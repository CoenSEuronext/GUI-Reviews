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0515EE8FCBE6576B7D9165F283D137DAC640AA1E" xr6:coauthVersionLast="47" xr6:coauthVersionMax="47" xr10:uidLastSave="{C341E632-902A-4866-B3F5-3C308D106C54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4" l="1"/>
  <c r="Q6" i="4"/>
  <c r="Q5" i="4"/>
  <c r="Q4" i="4"/>
  <c r="Q3" i="4"/>
  <c r="Q2" i="4"/>
  <c r="P2" i="4" a="1"/>
  <c r="P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<sst xmlns="http://schemas.openxmlformats.org/spreadsheetml/2006/main" count="310" uniqueCount="85">
  <si>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</si>
  <si>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</si>
  <si>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</si>
  <si>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</si>
  <si>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</si>
  <si>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</si>
  <si>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</si>
  <si>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</si>
  <si>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</si>
  <si>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</si>
  <si>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</si>
  <si>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</si>
  <si>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</si>
  <si>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</si>
  <si>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</si>
  <si>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</si>
  <si>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</si>
  <si>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</si>
  <si>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</si>
  <si>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</si>
  <si>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</si>
  <si>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</si>
  <si>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</si>
  <si>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</si>
  <si>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</si>
  <si>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</si>
  <si>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</si>
  <si>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</si>
  <si>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</si>
  <si>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</si>
  <si>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</si>
  <si>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</si>
  <si>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</si>
  <si>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</si>
  <si>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</si>
  <si>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</si>
  <si>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</si>
  <si>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</si>
  <si>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</si>
  <si>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</si>
  <si>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</si>
  <si>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</si>
  <si>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</si>
  <si>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</si>
  <si>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</si>
  <si>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</si>
  <si>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</si>
  <si>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</si>
  <si>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</si>
  <si>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</si>
  <si>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</si>
  <si>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</si>
  <si>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</si>
  <si>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</si>
  <si>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</si>
  <si>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</si>
  <si>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</si>
  <si>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</si>
  <si>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</si>
  <si>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</si>
  <si>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</si>
  <si>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</si>
  <si>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Unrounded NOSH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</si>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</sst>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70488722</v>
      </c>
      <c r="E2">
        <v>1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3262998</v>
      </c>
      <c r="E3">
        <v>1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2035278</v>
      </c>
      <c r="E4">
        <v>1</v>
      </c>
      <c r="F4">
        <v>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186289121</v>
      </c>
      <c r="E5">
        <v>1</v>
      </c>
      <c r="F5">
        <v>1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118953212</v>
      </c>
      <c r="E6">
        <v>1</v>
      </c>
      <c r="F6">
        <v>1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178762960</v>
      </c>
      <c r="E7">
        <v>1</v>
      </c>
      <c r="F7">
        <v>1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93428838</v>
      </c>
      <c r="E8">
        <v>1</v>
      </c>
      <c r="F8">
        <v>1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12970169</v>
      </c>
      <c r="E9">
        <v>1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174459177</v>
      </c>
      <c r="E10">
        <v>1</v>
      </c>
      <c r="F10">
        <v>1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48590865</v>
      </c>
      <c r="E11">
        <v>1</v>
      </c>
      <c r="F11">
        <v>1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40355125</v>
      </c>
      <c r="E12">
        <v>1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48804295</v>
      </c>
      <c r="E13">
        <v>1</v>
      </c>
      <c r="F13">
        <v>1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45941807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81944824</v>
      </c>
      <c r="E15">
        <v>1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18915511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6609385</v>
      </c>
      <c r="E17">
        <v>1</v>
      </c>
      <c r="F17">
        <v>1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16304348</v>
      </c>
      <c r="E18">
        <v>1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26511135</v>
      </c>
      <c r="E19">
        <v>1</v>
      </c>
      <c r="F19">
        <v>1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64878893</v>
      </c>
      <c r="E20">
        <v>1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23353573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tabSelected="1" workbookViewId="0">
      <selection activeCell="D17" sqref="D17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8.85546875" bestFit="1" customWidth="1"/>
    <col min="5" max="5" width="23.140625" bestFit="1" customWidth="1"/>
    <col min="6" max="6" width="10.140625" bestFit="1" customWidth="1"/>
    <col min="7" max="7" width="12.42578125" bestFit="1" customWidth="1"/>
    <col min="8" max="8" width="13.85546875" bestFit="1" customWidth="1"/>
    <col min="9" max="9" width="12.5703125" bestFit="1" customWidth="1"/>
    <col min="10" max="10" width="16.7109375" bestFit="1" customWidth="1"/>
    <col min="11" max="11" width="14.85546875" bestFit="1" customWidth="1"/>
    <col min="12" max="12" width="9.85546875" bestFit="1" customWidth="1"/>
    <col min="13" max="13" width="16.85546875" bestFit="1" customWidth="1"/>
    <col min="14" max="14" width="14.7109375" bestFit="1" customWidth="1"/>
    <col min="15" max="15" width="14.140625" bestFit="1" customWidth="1"/>
  </cols>
  <sheetData>
    <row r="1" spans="1:17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  <c r="O1" s="1" t="s">
        <v>5</v>
      </c>
    </row>
    <row r="2" spans="1:17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64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1</v>
      </c>
      <c r="M2">
        <v>2035278.1546811401</v>
      </c>
      <c r="N2">
        <v>2035278</v>
      </c>
      <c r="O2">
        <v>1</v>
      </c>
      <c r="P2" cm="1">
        <f t="array" ref="P2:P7">_xlfn.UNIQUE(K2:K21)</f>
        <v>10102020</v>
      </c>
      <c r="Q2">
        <f>COUNTIF($K$2:$K$21,P2)</f>
        <v>2</v>
      </c>
    </row>
    <row r="3" spans="1:17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65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1</v>
      </c>
      <c r="M3">
        <v>6609385.3271645736</v>
      </c>
      <c r="N3">
        <v>6609385</v>
      </c>
      <c r="O3">
        <v>1</v>
      </c>
      <c r="P3">
        <v>50202010</v>
      </c>
      <c r="Q3">
        <f t="shared" ref="Q3:Q7" si="0">COUNTIF($K$2:$K$21,P3)</f>
        <v>3</v>
      </c>
    </row>
    <row r="4" spans="1:17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66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</v>
      </c>
      <c r="M4">
        <v>178762960.31462279</v>
      </c>
      <c r="N4">
        <v>178762960</v>
      </c>
      <c r="O4">
        <v>1</v>
      </c>
      <c r="P4">
        <v>30101010</v>
      </c>
      <c r="Q4">
        <f t="shared" si="0"/>
        <v>9</v>
      </c>
    </row>
    <row r="5" spans="1:17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67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</v>
      </c>
      <c r="M5">
        <v>23353573.096683789</v>
      </c>
      <c r="N5">
        <v>23353573</v>
      </c>
      <c r="O5">
        <v>1</v>
      </c>
      <c r="P5">
        <v>60102020</v>
      </c>
      <c r="Q5">
        <f t="shared" si="0"/>
        <v>1</v>
      </c>
    </row>
    <row r="6" spans="1:17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68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1</v>
      </c>
      <c r="M6">
        <v>18915510.71878941</v>
      </c>
      <c r="N6">
        <v>18915511</v>
      </c>
      <c r="O6">
        <v>1</v>
      </c>
      <c r="P6">
        <v>10102010</v>
      </c>
      <c r="Q6">
        <f t="shared" si="0"/>
        <v>3</v>
      </c>
    </row>
    <row r="7" spans="1:17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69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1</v>
      </c>
      <c r="M7">
        <v>93428838.368109629</v>
      </c>
      <c r="N7">
        <v>93428838</v>
      </c>
      <c r="O7">
        <v>1</v>
      </c>
      <c r="P7">
        <v>50206015</v>
      </c>
      <c r="Q7">
        <f t="shared" si="0"/>
        <v>2</v>
      </c>
    </row>
    <row r="8" spans="1:17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1</v>
      </c>
      <c r="M8">
        <v>16304347.826086961</v>
      </c>
      <c r="N8">
        <v>16304348</v>
      </c>
      <c r="O8">
        <v>1</v>
      </c>
    </row>
    <row r="9" spans="1:17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71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</v>
      </c>
      <c r="M9">
        <v>48804294.77794046</v>
      </c>
      <c r="N9">
        <v>48804295</v>
      </c>
      <c r="O9">
        <v>1</v>
      </c>
    </row>
    <row r="10" spans="1:17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72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</v>
      </c>
      <c r="M10">
        <v>45941807.044410408</v>
      </c>
      <c r="N10">
        <v>45941807</v>
      </c>
      <c r="O10">
        <v>1</v>
      </c>
    </row>
    <row r="11" spans="1:17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73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1</v>
      </c>
      <c r="M11">
        <v>26511134.676564161</v>
      </c>
      <c r="N11">
        <v>26511135</v>
      </c>
      <c r="O11">
        <v>1</v>
      </c>
    </row>
    <row r="12" spans="1:17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74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1</v>
      </c>
      <c r="M12">
        <v>174459176.55268669</v>
      </c>
      <c r="N12">
        <v>174459177</v>
      </c>
      <c r="O12">
        <v>1</v>
      </c>
    </row>
    <row r="13" spans="1:17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75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1</v>
      </c>
      <c r="M13">
        <v>3262997.6071350882</v>
      </c>
      <c r="N13">
        <v>3262998</v>
      </c>
      <c r="O13">
        <v>1</v>
      </c>
    </row>
    <row r="14" spans="1:17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76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1</v>
      </c>
      <c r="M14">
        <v>40355125.100887813</v>
      </c>
      <c r="N14">
        <v>40355125</v>
      </c>
      <c r="O14">
        <v>1</v>
      </c>
    </row>
    <row r="15" spans="1:17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77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1</v>
      </c>
      <c r="M15">
        <v>64878892.733564012</v>
      </c>
      <c r="N15">
        <v>64878893</v>
      </c>
      <c r="O15">
        <v>1</v>
      </c>
    </row>
    <row r="16" spans="1:17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78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</v>
      </c>
      <c r="M16">
        <v>118953211.7367169</v>
      </c>
      <c r="N16">
        <v>118953212</v>
      </c>
      <c r="O16">
        <v>1</v>
      </c>
    </row>
    <row r="17" spans="1:1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79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</v>
      </c>
      <c r="M17">
        <v>48590864.917395517</v>
      </c>
      <c r="N17">
        <v>48590865</v>
      </c>
      <c r="O17">
        <v>1</v>
      </c>
    </row>
    <row r="18" spans="1:1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1</v>
      </c>
      <c r="M18">
        <v>12970168.61219196</v>
      </c>
      <c r="N18">
        <v>12970169</v>
      </c>
      <c r="O18">
        <v>1</v>
      </c>
    </row>
    <row r="19" spans="1:1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81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1</v>
      </c>
      <c r="M19">
        <v>70488721.804511279</v>
      </c>
      <c r="N19">
        <v>70488722</v>
      </c>
      <c r="O19">
        <v>1</v>
      </c>
    </row>
    <row r="20" spans="1:1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82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</v>
      </c>
      <c r="M20">
        <v>186289120.71535021</v>
      </c>
      <c r="N20">
        <v>186289121</v>
      </c>
      <c r="O20">
        <v>1</v>
      </c>
    </row>
    <row r="21" spans="1:1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83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1</v>
      </c>
      <c r="M21">
        <v>81944823.818628788</v>
      </c>
      <c r="N21">
        <v>81944824</v>
      </c>
      <c r="O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84</v>
      </c>
    </row>
    <row r="2" spans="1:1" x14ac:dyDescent="0.25">
      <c r="A2">
        <v>30000000000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2025-11-19T13:53:06Z</dcterms:created>
  <dcterms:modified xsi:type="dcterms:W3CDTF">2025-11-19T13:53:44Z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2025-11-19T13:53:44Z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fd2192aa-d165-4f86-a913-80084f089fac</vt:lpwstr>
  </property>
  <property fmtid="{D5CDD505-2E9C-101B-9397-08002B2CF9AE}" pid="8" name="MSIP_Label_ac0b9ce6-6e99-42a1-af95-429494370cbc_ContentBits">
    <vt:lpwstr>2</vt:lpwstr>
  </property>
</Properties>
</file>