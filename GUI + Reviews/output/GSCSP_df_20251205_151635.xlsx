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C7556A88C006FA91E5B299929F132EAD0E473489" xr6:coauthVersionLast="47" xr6:coauthVersionMax="47" xr10:uidLastSave="{C4B84C56-668E-46BA-992D-3EE2DA12B41E}"/>
  <bookViews>
    <workbookView xWindow="-21870" yWindow="-12855" windowWidth="21600" windowHeight="937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K7" i="4"/>
</calcChain>
</file>

<file path=xl/sharedStrings.xml><?xml version="1.0" encoding="utf-8"?>
<sst xmlns="http://schemas.openxmlformats.org/spreadsheetml/2006/main" count="104" uniqueCount="60">
  <si>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</si>
  <si>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</si>
  <si>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</si>
  <si>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</si>
  <si>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</si>
  <si>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</si>
  <si>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</si>
  <si>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</si>
  <si>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</si>
  <si>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</si>
  <si>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</si>
  <si>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</si>
  <si>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</si>
  <si>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</si>
  <si>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</si>
  <si>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22-Sep-25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</si>
  <si>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</si>
  <si>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</si>
  <si>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</si>
  <si>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</si>
  <si>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</si>
  <si>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</si>
  <si>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</si>
  <si>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</si>
  <si>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</si>
  <si>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</si>
  <si>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</si>
  <si>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</si>
  <si>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</si>
  <si>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</si>
  <si>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</si>
  <si>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</si>
  <si>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</si>
  <si>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</si>
  <si>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</si>
  <si>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</si>
  <si>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</si>
  <si>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</si>
  <si>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</si>
  <si>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</si>
  <si>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</si>
  <si>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</si>
  <si>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</si>
  <si>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</si>
  <si>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</si>
  <si>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</si>
  <si>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</si>
  <si>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</si>
  <si>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</si>
  <si>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</si>
  <si>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</si>
  <si>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</si>
  <si>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16-09-2025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</si>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</sst>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3" sqref="C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14</v>
      </c>
      <c r="D2">
        <v>670601</v>
      </c>
      <c r="E2">
        <v>1</v>
      </c>
      <c r="F2">
        <v>1</v>
      </c>
      <c r="G2" t="s">
        <v>15</v>
      </c>
      <c r="H2" t="s">
        <v>16</v>
      </c>
    </row>
    <row r="3" spans="1:8" x14ac:dyDescent="0.25">
      <c r="A3" t="s">
        <v>9</v>
      </c>
      <c r="B3" t="s">
        <v>12</v>
      </c>
      <c r="C3" t="s">
        <v>14</v>
      </c>
      <c r="D3">
        <v>66259</v>
      </c>
      <c r="E3">
        <v>1</v>
      </c>
      <c r="F3">
        <v>1</v>
      </c>
      <c r="G3" t="s">
        <v>15</v>
      </c>
      <c r="H3" t="s">
        <v>16</v>
      </c>
    </row>
    <row r="4" spans="1:8" x14ac:dyDescent="0.25">
      <c r="A4" t="s">
        <v>10</v>
      </c>
      <c r="B4" t="s">
        <v>13</v>
      </c>
      <c r="C4" t="s">
        <v>14</v>
      </c>
      <c r="D4">
        <v>397078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"/>
  <sheetViews>
    <sheetView workbookViewId="0">
      <selection activeCell="O6" sqref="O6"/>
    </sheetView>
  </sheetViews>
  <sheetFormatPr defaultRowHeight="15" x14ac:dyDescent="0.25"/>
  <cols>
    <col min="1" max="1" width="8.5703125" bestFit="1" customWidth="1"/>
    <col min="2" max="2" width="11.85546875" bestFit="1" customWidth="1"/>
    <col min="3" max="3" width="13.7109375" bestFit="1" customWidth="1"/>
    <col min="4" max="4" width="13.5703125" bestFit="1" customWidth="1"/>
    <col min="5" max="6" width="8" bestFit="1" customWidth="1"/>
    <col min="7" max="7" width="18.140625" bestFit="1" customWidth="1"/>
    <col min="8" max="8" width="5.7109375" bestFit="1" customWidth="1"/>
    <col min="9" max="9" width="8.42578125" bestFit="1" customWidth="1"/>
    <col min="10" max="10" width="13.85546875" bestFit="1" customWidth="1"/>
    <col min="11" max="11" width="15.85546875" bestFit="1" customWidth="1"/>
    <col min="12" max="12" width="7.5703125" bestFit="1" customWidth="1"/>
    <col min="13" max="13" width="9.28515625" bestFit="1" customWidth="1"/>
    <col min="14" max="14" width="6.5703125" bestFit="1" customWidth="1"/>
    <col min="15" max="15" width="7" bestFit="1" customWidth="1"/>
    <col min="16" max="16" width="15.28515625" bestFit="1" customWidth="1"/>
    <col min="17" max="17" width="19.85546875" bestFit="1" customWidth="1"/>
    <col min="18" max="18" width="8.85546875" bestFit="1" customWidth="1"/>
    <col min="19" max="19" width="12.42578125" bestFit="1" customWidth="1"/>
    <col min="20" max="20" width="5.85546875" bestFit="1" customWidth="1"/>
    <col min="21" max="21" width="13.85546875" bestFit="1" customWidth="1"/>
    <col min="22" max="22" width="9" bestFit="1" customWidth="1"/>
    <col min="23" max="23" width="13.5703125" bestFit="1" customWidth="1"/>
    <col min="24" max="24" width="13.7109375" bestFit="1" customWidth="1"/>
    <col min="25" max="25" width="15.28515625" bestFit="1" customWidth="1"/>
    <col min="26" max="26" width="14.7109375" bestFit="1" customWidth="1"/>
    <col min="27" max="27" width="12" bestFit="1" customWidth="1"/>
    <col min="28" max="28" width="14.7109375" bestFit="1" customWidth="1"/>
    <col min="29" max="29" width="11.7109375" bestFit="1" customWidth="1"/>
    <col min="30" max="30" width="6" bestFit="1" customWidth="1"/>
    <col min="31" max="31" width="10.140625" bestFit="1" customWidth="1"/>
    <col min="32" max="32" width="13.7109375" bestFit="1" customWidth="1"/>
    <col min="33" max="33" width="17.42578125" bestFit="1" customWidth="1"/>
    <col min="34" max="34" width="16.85546875" bestFit="1" customWidth="1"/>
    <col min="35" max="35" width="14.7109375" bestFit="1" customWidth="1"/>
    <col min="36" max="36" width="9.85546875" bestFit="1" customWidth="1"/>
    <col min="37" max="37" width="23.140625" bestFit="1" customWidth="1"/>
    <col min="38" max="38" width="14.140625" bestFit="1" customWidth="1"/>
  </cols>
  <sheetData>
    <row r="1" spans="1:38" x14ac:dyDescent="0.25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</v>
      </c>
      <c r="AK1" s="1" t="s">
        <v>6</v>
      </c>
      <c r="AL1" s="1" t="s">
        <v>5</v>
      </c>
    </row>
    <row r="2" spans="1:38" x14ac:dyDescent="0.25">
      <c r="A2" t="s">
        <v>49</v>
      </c>
      <c r="B2" t="s">
        <v>52</v>
      </c>
      <c r="D2" t="s">
        <v>13</v>
      </c>
      <c r="E2" t="s">
        <v>53</v>
      </c>
      <c r="F2" t="s">
        <v>54</v>
      </c>
      <c r="G2" t="s">
        <v>10</v>
      </c>
      <c r="H2" t="s">
        <v>14</v>
      </c>
      <c r="I2" t="s">
        <v>57</v>
      </c>
      <c r="J2">
        <v>8872.64</v>
      </c>
      <c r="K2">
        <v>8872.64</v>
      </c>
      <c r="L2">
        <v>0</v>
      </c>
      <c r="M2">
        <v>0</v>
      </c>
      <c r="N2" t="s">
        <v>58</v>
      </c>
      <c r="O2">
        <v>400007</v>
      </c>
      <c r="P2">
        <v>1</v>
      </c>
      <c r="Q2">
        <v>1</v>
      </c>
      <c r="R2" t="s">
        <v>16</v>
      </c>
      <c r="S2">
        <v>1</v>
      </c>
      <c r="T2">
        <v>1</v>
      </c>
      <c r="U2">
        <v>3549118108.48</v>
      </c>
      <c r="V2">
        <v>55.405670000000001</v>
      </c>
      <c r="AA2">
        <v>0</v>
      </c>
      <c r="AB2">
        <v>0</v>
      </c>
      <c r="AE2" t="s">
        <v>16</v>
      </c>
      <c r="AF2">
        <v>0.55000000000000004</v>
      </c>
      <c r="AG2">
        <v>3523132274.3924999</v>
      </c>
      <c r="AH2">
        <v>397078.23989167833</v>
      </c>
      <c r="AI2">
        <v>397078</v>
      </c>
      <c r="AJ2">
        <v>1</v>
      </c>
      <c r="AK2" t="s">
        <v>15</v>
      </c>
      <c r="AL2">
        <v>1</v>
      </c>
    </row>
    <row r="3" spans="1:38" x14ac:dyDescent="0.25">
      <c r="A3" t="s">
        <v>50</v>
      </c>
      <c r="B3" t="s">
        <v>52</v>
      </c>
      <c r="D3" t="s">
        <v>12</v>
      </c>
      <c r="E3" t="s">
        <v>53</v>
      </c>
      <c r="F3" t="s">
        <v>55</v>
      </c>
      <c r="G3" t="s">
        <v>9</v>
      </c>
      <c r="H3" t="s">
        <v>14</v>
      </c>
      <c r="I3" t="s">
        <v>57</v>
      </c>
      <c r="J3">
        <v>4833.83</v>
      </c>
      <c r="K3">
        <v>4833.83</v>
      </c>
      <c r="L3">
        <v>0</v>
      </c>
      <c r="M3">
        <v>0</v>
      </c>
      <c r="N3" t="s">
        <v>58</v>
      </c>
      <c r="O3">
        <v>68453</v>
      </c>
      <c r="P3">
        <v>1</v>
      </c>
      <c r="Q3">
        <v>1</v>
      </c>
      <c r="R3" t="s">
        <v>16</v>
      </c>
      <c r="S3">
        <v>1</v>
      </c>
      <c r="T3">
        <v>1</v>
      </c>
      <c r="U3">
        <v>330890164.99000001</v>
      </c>
      <c r="V3">
        <v>5.1655600000000002</v>
      </c>
      <c r="AA3">
        <v>0</v>
      </c>
      <c r="AB3">
        <v>0</v>
      </c>
      <c r="AE3" t="s">
        <v>16</v>
      </c>
      <c r="AF3">
        <v>0.05</v>
      </c>
      <c r="AG3">
        <v>320284752.21749997</v>
      </c>
      <c r="AH3">
        <v>66259.002119954574</v>
      </c>
      <c r="AI3">
        <v>66259</v>
      </c>
      <c r="AJ3">
        <v>1</v>
      </c>
      <c r="AK3" t="s">
        <v>15</v>
      </c>
      <c r="AL3">
        <v>1</v>
      </c>
    </row>
    <row r="4" spans="1:38" x14ac:dyDescent="0.25">
      <c r="A4" t="s">
        <v>51</v>
      </c>
      <c r="B4" t="s">
        <v>52</v>
      </c>
      <c r="D4" t="s">
        <v>11</v>
      </c>
      <c r="E4" t="s">
        <v>53</v>
      </c>
      <c r="F4" t="s">
        <v>56</v>
      </c>
      <c r="G4" t="s">
        <v>8</v>
      </c>
      <c r="H4" t="s">
        <v>14</v>
      </c>
      <c r="I4" t="s">
        <v>57</v>
      </c>
      <c r="J4">
        <v>3820.87</v>
      </c>
      <c r="K4">
        <v>3820.87</v>
      </c>
      <c r="L4">
        <v>0</v>
      </c>
      <c r="M4">
        <v>0</v>
      </c>
      <c r="N4" t="s">
        <v>58</v>
      </c>
      <c r="O4">
        <v>661024</v>
      </c>
      <c r="P4">
        <v>1</v>
      </c>
      <c r="Q4">
        <v>1</v>
      </c>
      <c r="R4" t="s">
        <v>16</v>
      </c>
      <c r="S4">
        <v>1</v>
      </c>
      <c r="T4">
        <v>1</v>
      </c>
      <c r="U4">
        <v>2525686770.8800001</v>
      </c>
      <c r="V4">
        <v>39.42877</v>
      </c>
      <c r="AA4">
        <v>0</v>
      </c>
      <c r="AB4">
        <v>0</v>
      </c>
      <c r="AE4" t="s">
        <v>16</v>
      </c>
      <c r="AF4">
        <v>0.4</v>
      </c>
      <c r="AG4">
        <v>2562278017.7399998</v>
      </c>
      <c r="AH4">
        <v>670600.67935836606</v>
      </c>
      <c r="AI4">
        <v>670601</v>
      </c>
      <c r="AJ4">
        <v>1</v>
      </c>
      <c r="AK4" t="s">
        <v>15</v>
      </c>
      <c r="AL4">
        <v>1</v>
      </c>
    </row>
    <row r="6" spans="1:38" x14ac:dyDescent="0.25">
      <c r="O6">
        <f>'Index Market Cap'!$A$2*0.05/'Full Universe'!K3</f>
        <v>66259.002119954574</v>
      </c>
    </row>
    <row r="7" spans="1:38" x14ac:dyDescent="0.25">
      <c r="K7">
        <f>K2*O2</f>
        <v>3549118108.4799995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C4" sqref="C4"/>
    </sheetView>
  </sheetViews>
  <sheetFormatPr defaultRowHeight="15" x14ac:dyDescent="0.25"/>
  <sheetData>
    <row r="1" spans="1:1" x14ac:dyDescent="0.25">
      <c r="A1" s="1" t="s">
        <v>59</v>
      </c>
    </row>
    <row r="2" spans="1:1" x14ac:dyDescent="0.25">
      <c r="A2">
        <v>6405695044.3500004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2025-12-05T14:16:35Z</dcterms:created>
  <dcterms:modified xsi:type="dcterms:W3CDTF">2025-12-05T14:21:32Z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2025-12-05T14:19:32Z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82670d62-0129-4f83-b789-5820badaa75c</vt:lpwstr>
  </property>
  <property fmtid="{D5CDD505-2E9C-101B-9397-08002B2CF9AE}" pid="8" name="MSIP_Label_ac0b9ce6-6e99-42a1-af95-429494370cbc_ContentBits">
    <vt:lpwstr>2</vt:lpwstr>
  </property>
</Properties>
</file>