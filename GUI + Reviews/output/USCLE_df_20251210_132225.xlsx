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65669B6C4DC1AE58AB4F3FA14F47AD476396635C" xr6:coauthVersionLast="47" xr6:coauthVersionMax="47" xr10:uidLastSave="{F92827E2-72A4-461D-B1F5-A757DFA8ACC5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4" hidden="1">'Top 250'!$A$1:$BF$251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51" i="5" l="1"/>
  <c r="BG250" i="5"/>
  <c r="BG249" i="5"/>
  <c r="BG248" i="5"/>
  <c r="BG247" i="5"/>
  <c r="BG246" i="5"/>
  <c r="BG245" i="5"/>
  <c r="BG244" i="5"/>
  <c r="BG243" i="5"/>
  <c r="BG242" i="5"/>
  <c r="BG241" i="5"/>
  <c r="BG240" i="5"/>
  <c r="BG239" i="5"/>
  <c r="BG238" i="5"/>
  <c r="BG237" i="5"/>
  <c r="BG236" i="5"/>
  <c r="BG235" i="5"/>
  <c r="BG234" i="5"/>
  <c r="BG233" i="5"/>
  <c r="BG232" i="5"/>
  <c r="BG231" i="5"/>
  <c r="BG230" i="5"/>
  <c r="BG229" i="5"/>
  <c r="BG228" i="5"/>
  <c r="BG227" i="5"/>
  <c r="BG226" i="5"/>
  <c r="BG225" i="5"/>
  <c r="BG224" i="5"/>
  <c r="BG223" i="5"/>
  <c r="BG222" i="5"/>
  <c r="BG221" i="5"/>
  <c r="BG220" i="5"/>
  <c r="BG219" i="5"/>
  <c r="BG218" i="5"/>
  <c r="BG217" i="5"/>
  <c r="BG216" i="5"/>
  <c r="BG215" i="5"/>
  <c r="BG214" i="5"/>
  <c r="BG213" i="5"/>
  <c r="BG212" i="5"/>
  <c r="BG211" i="5"/>
  <c r="BG210" i="5"/>
  <c r="BG209" i="5"/>
  <c r="BG208" i="5"/>
  <c r="BG207" i="5"/>
  <c r="BG206" i="5"/>
  <c r="BG205" i="5"/>
  <c r="BG204" i="5"/>
  <c r="BG203" i="5"/>
  <c r="BG202" i="5"/>
  <c r="BG201" i="5"/>
  <c r="BG200" i="5"/>
  <c r="BG199" i="5"/>
  <c r="BG198" i="5"/>
  <c r="BG197" i="5"/>
  <c r="BG196" i="5"/>
  <c r="BG195" i="5"/>
  <c r="BG194" i="5"/>
  <c r="BG193" i="5"/>
  <c r="BG192" i="5"/>
  <c r="BG191" i="5"/>
  <c r="BG190" i="5"/>
  <c r="BG189" i="5"/>
  <c r="BG188" i="5"/>
  <c r="BG187" i="5"/>
  <c r="BG186" i="5"/>
  <c r="BG185" i="5"/>
  <c r="BG184" i="5"/>
  <c r="BG183" i="5"/>
  <c r="BG182" i="5"/>
  <c r="BG181" i="5"/>
  <c r="BG180" i="5"/>
  <c r="BG179" i="5"/>
  <c r="BG178" i="5"/>
  <c r="BG177" i="5"/>
  <c r="BG176" i="5"/>
  <c r="BG175" i="5"/>
  <c r="BG174" i="5"/>
  <c r="BG173" i="5"/>
  <c r="BG172" i="5"/>
  <c r="BG171" i="5"/>
  <c r="BG170" i="5"/>
  <c r="BG169" i="5"/>
  <c r="BG168" i="5"/>
  <c r="BG167" i="5"/>
  <c r="BG166" i="5"/>
  <c r="BG165" i="5"/>
  <c r="BG164" i="5"/>
  <c r="BG163" i="5"/>
  <c r="BG162" i="5"/>
  <c r="BG161" i="5"/>
  <c r="BG160" i="5"/>
  <c r="BG159" i="5"/>
  <c r="BG158" i="5"/>
  <c r="BG157" i="5"/>
  <c r="BG156" i="5"/>
  <c r="BG155" i="5"/>
  <c r="BG154" i="5"/>
  <c r="BG153" i="5"/>
  <c r="BG152" i="5"/>
  <c r="BG151" i="5"/>
  <c r="BG150" i="5"/>
  <c r="BG149" i="5"/>
  <c r="BG148" i="5"/>
  <c r="BG147" i="5"/>
  <c r="BG146" i="5"/>
  <c r="BG145" i="5"/>
  <c r="BG144" i="5"/>
  <c r="BG143" i="5"/>
  <c r="BG142" i="5"/>
  <c r="BG141" i="5"/>
  <c r="BG140" i="5"/>
  <c r="BG139" i="5"/>
  <c r="BG138" i="5"/>
  <c r="BG137" i="5"/>
  <c r="BG136" i="5"/>
  <c r="BG135" i="5"/>
  <c r="BG134" i="5"/>
  <c r="BG133" i="5"/>
  <c r="BG132" i="5"/>
  <c r="BG131" i="5"/>
  <c r="BG130" i="5"/>
  <c r="BG129" i="5"/>
  <c r="BG128" i="5"/>
  <c r="BG127" i="5"/>
  <c r="BG126" i="5"/>
  <c r="BG125" i="5"/>
  <c r="BG124" i="5"/>
  <c r="BG123" i="5"/>
  <c r="BG122" i="5"/>
  <c r="BG121" i="5"/>
  <c r="BG120" i="5"/>
  <c r="BG119" i="5"/>
  <c r="BG118" i="5"/>
  <c r="BG117" i="5"/>
  <c r="BG116" i="5"/>
  <c r="BG115" i="5"/>
  <c r="BG114" i="5"/>
  <c r="BG113" i="5"/>
  <c r="BG112" i="5"/>
  <c r="BG111" i="5"/>
  <c r="BG110" i="5"/>
  <c r="BG109" i="5"/>
  <c r="BG108" i="5"/>
  <c r="BG107" i="5"/>
  <c r="BG106" i="5"/>
  <c r="BG105" i="5"/>
  <c r="BG104" i="5"/>
  <c r="BG103" i="5"/>
  <c r="BG102" i="5"/>
  <c r="BG101" i="5"/>
  <c r="BG100" i="5"/>
  <c r="BG99" i="5"/>
  <c r="BG98" i="5"/>
  <c r="BG97" i="5"/>
  <c r="BG96" i="5"/>
  <c r="BG95" i="5"/>
  <c r="BG94" i="5"/>
  <c r="BG93" i="5"/>
  <c r="BG92" i="5"/>
  <c r="BG91" i="5"/>
  <c r="BG90" i="5"/>
  <c r="BG89" i="5"/>
  <c r="BG88" i="5"/>
  <c r="BG87" i="5"/>
  <c r="BG86" i="5"/>
  <c r="BG85" i="5"/>
  <c r="BG84" i="5"/>
  <c r="BG83" i="5"/>
  <c r="BG82" i="5"/>
  <c r="BG81" i="5"/>
  <c r="BG80" i="5"/>
  <c r="BG79" i="5"/>
  <c r="BG78" i="5"/>
  <c r="BG77" i="5"/>
  <c r="BG76" i="5"/>
  <c r="BG75" i="5"/>
  <c r="BG74" i="5"/>
  <c r="BG73" i="5"/>
  <c r="BG72" i="5"/>
  <c r="BG71" i="5"/>
  <c r="BG70" i="5"/>
  <c r="BG69" i="5"/>
  <c r="BG68" i="5"/>
  <c r="BG67" i="5"/>
  <c r="BG66" i="5"/>
  <c r="BG65" i="5"/>
  <c r="BG64" i="5"/>
  <c r="BG63" i="5"/>
  <c r="BG62" i="5"/>
  <c r="BG61" i="5"/>
  <c r="BG60" i="5"/>
  <c r="BG59" i="5"/>
  <c r="BG58" i="5"/>
  <c r="BG57" i="5"/>
  <c r="BG56" i="5"/>
  <c r="BG55" i="5"/>
  <c r="BG54" i="5"/>
  <c r="BG53" i="5"/>
  <c r="BG52" i="5"/>
  <c r="BG51" i="5"/>
  <c r="BG50" i="5"/>
  <c r="BG49" i="5"/>
  <c r="BG48" i="5"/>
  <c r="BG47" i="5"/>
  <c r="BG46" i="5"/>
  <c r="BG45" i="5"/>
  <c r="BG44" i="5"/>
  <c r="BG43" i="5"/>
  <c r="BG42" i="5"/>
  <c r="BG41" i="5"/>
  <c r="BG40" i="5"/>
  <c r="BG39" i="5"/>
  <c r="BG38" i="5"/>
  <c r="BG37" i="5"/>
  <c r="BG36" i="5"/>
  <c r="BG35" i="5"/>
  <c r="BG34" i="5"/>
  <c r="BG33" i="5"/>
  <c r="BG32" i="5"/>
  <c r="BG31" i="5"/>
  <c r="BG30" i="5"/>
  <c r="BG29" i="5"/>
  <c r="BG28" i="5"/>
  <c r="BG27" i="5"/>
  <c r="BG26" i="5"/>
  <c r="BG25" i="5"/>
  <c r="BG24" i="5"/>
  <c r="BG23" i="5"/>
  <c r="BG22" i="5"/>
  <c r="BG21" i="5"/>
  <c r="BG20" i="5"/>
  <c r="BG19" i="5"/>
  <c r="BG18" i="5"/>
  <c r="BG17" i="5"/>
  <c r="BG16" i="5"/>
  <c r="BG15" i="5"/>
  <c r="BG14" i="5"/>
  <c r="BG13" i="5"/>
  <c r="BG12" i="5"/>
  <c r="BG11" i="5"/>
  <c r="BG10" i="5"/>
  <c r="BG9" i="5"/>
  <c r="BG8" i="5"/>
  <c r="BG7" i="5"/>
  <c r="BG6" i="5"/>
  <c r="BG5" i="5"/>
  <c r="BG4" i="5"/>
  <c r="BG3" i="5"/>
  <c r="BG2" i="5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<sst xmlns="http://schemas.openxmlformats.org/spreadsheetml/2006/main" count="13389" uniqueCount="1739">
  <si>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</si>
  <si>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</si>
  <si>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</si>
  <si>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</si>
  <si>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</si>
  <si>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</si>
  <si>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</si>
  <si>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</si>
  <si>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</si>
  <si>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</si>
  <si>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</si>
  <si>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</si>
  <si>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</si>
  <si>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</si>
  <si>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</si>
  <si>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</si>
  <si>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</si>
  <si>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</si>
  <si>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</si>
  <si>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</si>
  <si>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</si>
  <si>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</si>
  <si>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</si>
  <si>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</si>
  <si>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</si>
  <si>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</si>
  <si>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</si>
  <si>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</si>
  <si>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</si>
  <si>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</si>
  <si>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</si>
  <si>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</si>
  <si>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</si>
  <si>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</si>
  <si>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</si>
  <si>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</si>
  <si>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</si>
  <si>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</si>
  <si>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</si>
  <si>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</si>
  <si>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US22160K1051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</si>
  <si>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</si>
  <si>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</si>
  <si>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</si>
  <si>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</si>
  <si>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</si>
  <si>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</si>
  <si>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</si>
  <si>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</si>
  <si>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</si>
  <si>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</si>
  <si>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</si>
  <si>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</si>
  <si>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</si>
  <si>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</si>
  <si>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</si>
  <si>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</si>
  <si>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</si>
  <si>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</si>
  <si>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</si>
  <si>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</si>
  <si>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</si>
  <si>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</si>
  <si>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</si>
  <si>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</si>
  <si>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</si>
  <si>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SALESFORCE INC</t>
  </si>
  <si>
    <t>US00287Y1091</t>
  </si>
  <si>
    <t>US4592001014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</si>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</sst>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84)%20Euronext%20US%20Screened%20Climate%20Amb%2025%20EW%20EUR\Template%20USCLE.xlsm" TargetMode="External"/><Relationship Id="rId1" Type="http://schemas.openxmlformats.org/officeDocument/2006/relationships/externalLinkPath" Target="file:///V:\PM-Indices-IndexOperations\Review%20Files\202509\84)%20Euronext%20US%20Screened%20Climate%20Amb%2025%20EW%20EUR\Template%20USC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Oekom Trust&amp;Carbon Score"/>
      <sheetName val="EOD AD stock"/>
      <sheetName val="EOD AD index"/>
      <sheetName val="Consolidated"/>
      <sheetName val="Ranking"/>
      <sheetName val="USCLE"/>
      <sheetName val="USCLE+"/>
      <sheetName val="USCLE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W11" t="str">
            <v>US02079K3059</v>
          </cell>
        </row>
        <row r="12">
          <cell r="W12" t="str">
            <v>US0231351067</v>
          </cell>
        </row>
        <row r="13">
          <cell r="W13" t="str">
            <v>US0378331005</v>
          </cell>
        </row>
        <row r="14">
          <cell r="W14" t="str">
            <v>US0605051046</v>
          </cell>
        </row>
        <row r="15">
          <cell r="W15" t="str">
            <v>US11135F1012</v>
          </cell>
        </row>
        <row r="16">
          <cell r="W16" t="str">
            <v>US17275R1023</v>
          </cell>
        </row>
        <row r="17">
          <cell r="W17" t="str">
            <v>US1912161007</v>
          </cell>
        </row>
        <row r="18">
          <cell r="W18" t="str">
            <v>US5324571083</v>
          </cell>
        </row>
        <row r="19">
          <cell r="W19" t="str">
            <v>US3696043013</v>
          </cell>
        </row>
        <row r="20">
          <cell r="W20" t="str">
            <v>US4370761029</v>
          </cell>
        </row>
        <row r="21">
          <cell r="W21" t="str">
            <v>US4781601046</v>
          </cell>
        </row>
        <row r="22">
          <cell r="W22" t="str">
            <v>US46625H1005</v>
          </cell>
        </row>
        <row r="23">
          <cell r="W23" t="str">
            <v>US57636Q1040</v>
          </cell>
        </row>
        <row r="24">
          <cell r="W24" t="str">
            <v>US30303M1027</v>
          </cell>
        </row>
        <row r="25">
          <cell r="W25" t="str">
            <v>US5949181045</v>
          </cell>
        </row>
        <row r="26">
          <cell r="W26" t="str">
            <v>US64110L1061</v>
          </cell>
        </row>
        <row r="27">
          <cell r="W27" t="str">
            <v>US68389X1054</v>
          </cell>
        </row>
        <row r="28">
          <cell r="W28" t="str">
            <v>US69608A1088</v>
          </cell>
        </row>
        <row r="29">
          <cell r="W29" t="str">
            <v>US7181721090</v>
          </cell>
        </row>
        <row r="30">
          <cell r="W30" t="str">
            <v>US7427181091</v>
          </cell>
        </row>
        <row r="31">
          <cell r="W31" t="str">
            <v>US79466L3024</v>
          </cell>
        </row>
        <row r="32">
          <cell r="W32" t="str">
            <v>US88160R1014</v>
          </cell>
        </row>
        <row r="33">
          <cell r="W33" t="str">
            <v>US91324P1021</v>
          </cell>
        </row>
        <row r="34">
          <cell r="W34" t="str">
            <v>US92826C8394</v>
          </cell>
        </row>
        <row r="35">
          <cell r="W35" t="str">
            <v>US9311421039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A26" sqref="A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  <c r="I2" t="b">
        <f>B2='[1]USCLE+'!W11</f>
        <v>1</v>
      </c>
    </row>
    <row r="3" spans="1:9" x14ac:dyDescent="0.25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  <c r="I3" t="b">
        <f>B3='[1]USCLE+'!W12</f>
        <v>1</v>
      </c>
    </row>
    <row r="4" spans="1:9" x14ac:dyDescent="0.25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  <c r="I4" t="b">
        <f>B4='[1]USCLE+'!W13</f>
        <v>1</v>
      </c>
    </row>
    <row r="5" spans="1:9" x14ac:dyDescent="0.25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  <c r="I5" t="b">
        <f>B5='[1]USCLE+'!W14</f>
        <v>1</v>
      </c>
    </row>
    <row r="6" spans="1:9" x14ac:dyDescent="0.25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  <c r="I6" t="b">
        <f>B6='[1]USCLE+'!W15</f>
        <v>1</v>
      </c>
    </row>
    <row r="7" spans="1:9" x14ac:dyDescent="0.25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  <c r="I7" t="b">
        <f>B7='[1]USCLE+'!W16</f>
        <v>1</v>
      </c>
    </row>
    <row r="8" spans="1:9" x14ac:dyDescent="0.25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  <c r="I8" t="b">
        <f>B8='[1]USCLE+'!W17</f>
        <v>1</v>
      </c>
    </row>
    <row r="9" spans="1:9" x14ac:dyDescent="0.25">
      <c r="A9" t="s">
        <v>15</v>
      </c>
      <c r="B9" t="s">
        <v>40</v>
      </c>
      <c r="C9" t="s">
        <v>58</v>
      </c>
      <c r="D9">
        <v>221972</v>
      </c>
      <c r="E9">
        <v>1</v>
      </c>
      <c r="F9">
        <v>1</v>
      </c>
      <c r="G9" t="s">
        <v>60</v>
      </c>
      <c r="H9" t="s">
        <v>61</v>
      </c>
      <c r="I9" t="b">
        <f>B9='[1]USCLE+'!W18</f>
        <v>0</v>
      </c>
    </row>
    <row r="10" spans="1:9" x14ac:dyDescent="0.25">
      <c r="A10" t="s">
        <v>16</v>
      </c>
      <c r="B10" t="s">
        <v>41</v>
      </c>
      <c r="C10" t="s">
        <v>59</v>
      </c>
      <c r="D10">
        <v>276357</v>
      </c>
      <c r="E10">
        <v>1</v>
      </c>
      <c r="F10">
        <v>1</v>
      </c>
      <c r="G10" t="s">
        <v>60</v>
      </c>
      <c r="H10" t="s">
        <v>61</v>
      </c>
      <c r="I10" t="b">
        <f>B10='[1]USCLE+'!W19</f>
        <v>0</v>
      </c>
    </row>
    <row r="11" spans="1:9" x14ac:dyDescent="0.25">
      <c r="A11" t="s">
        <v>17</v>
      </c>
      <c r="B11" t="s">
        <v>42</v>
      </c>
      <c r="C11" t="s">
        <v>59</v>
      </c>
      <c r="D11">
        <v>721346</v>
      </c>
      <c r="E11">
        <v>1</v>
      </c>
      <c r="F11">
        <v>1</v>
      </c>
      <c r="G11" t="s">
        <v>60</v>
      </c>
      <c r="H11" t="s">
        <v>61</v>
      </c>
      <c r="I11" t="b">
        <f>B11='[1]USCLE+'!W20</f>
        <v>0</v>
      </c>
    </row>
    <row r="12" spans="1:9" x14ac:dyDescent="0.25">
      <c r="A12" t="s">
        <v>18</v>
      </c>
      <c r="B12" t="s">
        <v>43</v>
      </c>
      <c r="C12" t="s">
        <v>59</v>
      </c>
      <c r="D12">
        <v>501442</v>
      </c>
      <c r="E12">
        <v>1</v>
      </c>
      <c r="F12">
        <v>1</v>
      </c>
      <c r="G12" t="s">
        <v>60</v>
      </c>
      <c r="H12" t="s">
        <v>61</v>
      </c>
      <c r="I12" t="b">
        <f>B12='[1]USCLE+'!W21</f>
        <v>0</v>
      </c>
    </row>
    <row r="13" spans="1:9" x14ac:dyDescent="0.25">
      <c r="A13" t="s">
        <v>19</v>
      </c>
      <c r="B13" t="s">
        <v>44</v>
      </c>
      <c r="C13" t="s">
        <v>59</v>
      </c>
      <c r="D13">
        <v>1197624</v>
      </c>
      <c r="E13">
        <v>1</v>
      </c>
      <c r="F13">
        <v>1</v>
      </c>
      <c r="G13" t="s">
        <v>60</v>
      </c>
      <c r="H13" t="s">
        <v>61</v>
      </c>
      <c r="I13" t="b">
        <f>B13='[1]USCLE+'!W22</f>
        <v>0</v>
      </c>
    </row>
    <row r="14" spans="1:9" x14ac:dyDescent="0.25">
      <c r="A14" t="s">
        <v>20</v>
      </c>
      <c r="B14" t="s">
        <v>45</v>
      </c>
      <c r="C14" t="s">
        <v>59</v>
      </c>
      <c r="D14">
        <v>683504</v>
      </c>
      <c r="E14">
        <v>1</v>
      </c>
      <c r="F14">
        <v>1</v>
      </c>
      <c r="G14" t="s">
        <v>60</v>
      </c>
      <c r="H14" t="s">
        <v>61</v>
      </c>
      <c r="I14" t="b">
        <f>B14='[1]USCLE+'!W23</f>
        <v>0</v>
      </c>
    </row>
    <row r="15" spans="1:9" x14ac:dyDescent="0.25">
      <c r="A15" t="s">
        <v>21</v>
      </c>
      <c r="B15" t="s">
        <v>46</v>
      </c>
      <c r="C15" t="s">
        <v>59</v>
      </c>
      <c r="D15">
        <v>360378</v>
      </c>
      <c r="E15">
        <v>1</v>
      </c>
      <c r="F15">
        <v>1</v>
      </c>
      <c r="G15" t="s">
        <v>60</v>
      </c>
      <c r="H15" t="s">
        <v>61</v>
      </c>
      <c r="I15" t="b">
        <f>B15='[1]USCLE+'!W24</f>
        <v>0</v>
      </c>
    </row>
    <row r="16" spans="1:9" x14ac:dyDescent="0.25">
      <c r="A16" t="s">
        <v>22</v>
      </c>
      <c r="B16" t="s">
        <v>47</v>
      </c>
      <c r="C16" t="s">
        <v>58</v>
      </c>
      <c r="D16">
        <v>271287</v>
      </c>
      <c r="E16">
        <v>1</v>
      </c>
      <c r="F16">
        <v>1</v>
      </c>
      <c r="G16" t="s">
        <v>60</v>
      </c>
      <c r="H16" t="s">
        <v>61</v>
      </c>
      <c r="I16" t="b">
        <f>B16='[1]USCLE+'!W25</f>
        <v>0</v>
      </c>
    </row>
    <row r="17" spans="1:9" x14ac:dyDescent="0.25">
      <c r="A17" t="s">
        <v>23</v>
      </c>
      <c r="B17" t="s">
        <v>48</v>
      </c>
      <c r="C17" t="s">
        <v>58</v>
      </c>
      <c r="D17">
        <v>415159</v>
      </c>
      <c r="E17">
        <v>1</v>
      </c>
      <c r="F17">
        <v>1</v>
      </c>
      <c r="G17" t="s">
        <v>60</v>
      </c>
      <c r="H17" t="s">
        <v>61</v>
      </c>
      <c r="I17" t="b">
        <f>B17='[1]USCLE+'!W26</f>
        <v>0</v>
      </c>
    </row>
    <row r="18" spans="1:9" x14ac:dyDescent="0.25">
      <c r="A18" t="s">
        <v>24</v>
      </c>
      <c r="B18" t="s">
        <v>49</v>
      </c>
      <c r="C18" t="s">
        <v>58</v>
      </c>
      <c r="D18">
        <v>176036</v>
      </c>
      <c r="E18">
        <v>1</v>
      </c>
      <c r="F18">
        <v>1</v>
      </c>
      <c r="G18" t="s">
        <v>60</v>
      </c>
      <c r="H18" t="s">
        <v>61</v>
      </c>
      <c r="I18" t="b">
        <f>B18='[1]USCLE+'!W27</f>
        <v>0</v>
      </c>
    </row>
    <row r="19" spans="1:9" x14ac:dyDescent="0.25">
      <c r="A19" t="s">
        <v>25</v>
      </c>
      <c r="B19" t="s">
        <v>50</v>
      </c>
      <c r="C19" t="s">
        <v>59</v>
      </c>
      <c r="D19">
        <v>689166</v>
      </c>
      <c r="E19">
        <v>1</v>
      </c>
      <c r="F19">
        <v>1</v>
      </c>
      <c r="G19" t="s">
        <v>60</v>
      </c>
      <c r="H19" t="s">
        <v>61</v>
      </c>
      <c r="I19" t="b">
        <f>B19='[1]USCLE+'!W28</f>
        <v>0</v>
      </c>
    </row>
    <row r="20" spans="1:9" x14ac:dyDescent="0.25">
      <c r="A20" t="s">
        <v>26</v>
      </c>
      <c r="B20" t="s">
        <v>51</v>
      </c>
      <c r="C20" t="s">
        <v>58</v>
      </c>
      <c r="D20">
        <v>1241235</v>
      </c>
      <c r="E20">
        <v>1</v>
      </c>
      <c r="F20">
        <v>1</v>
      </c>
      <c r="G20" t="s">
        <v>60</v>
      </c>
      <c r="H20" t="s">
        <v>61</v>
      </c>
      <c r="I20" t="b">
        <f>B20='[1]USCLE+'!W29</f>
        <v>0</v>
      </c>
    </row>
    <row r="21" spans="1:9" x14ac:dyDescent="0.25">
      <c r="A21" t="s">
        <v>27</v>
      </c>
      <c r="B21" t="s">
        <v>52</v>
      </c>
      <c r="C21" t="s">
        <v>59</v>
      </c>
      <c r="D21">
        <v>1296838</v>
      </c>
      <c r="E21">
        <v>1</v>
      </c>
      <c r="F21">
        <v>1</v>
      </c>
      <c r="G21" t="s">
        <v>60</v>
      </c>
      <c r="H21" t="s">
        <v>61</v>
      </c>
      <c r="I21" t="b">
        <f>B21='[1]USCLE+'!W30</f>
        <v>0</v>
      </c>
    </row>
    <row r="22" spans="1:9" x14ac:dyDescent="0.25">
      <c r="A22" t="s">
        <v>28</v>
      </c>
      <c r="B22" t="s">
        <v>53</v>
      </c>
      <c r="C22" t="s">
        <v>59</v>
      </c>
      <c r="D22">
        <v>1337126</v>
      </c>
      <c r="E22">
        <v>1</v>
      </c>
      <c r="F22">
        <v>1</v>
      </c>
      <c r="G22" t="s">
        <v>60</v>
      </c>
      <c r="H22" t="s">
        <v>61</v>
      </c>
      <c r="I22" t="b">
        <f>B22='[1]USCLE+'!W31</f>
        <v>0</v>
      </c>
    </row>
    <row r="23" spans="1:9" x14ac:dyDescent="0.25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  <c r="I23" t="b">
        <f>B23='[1]USCLE+'!W32</f>
        <v>1</v>
      </c>
    </row>
    <row r="24" spans="1:9" x14ac:dyDescent="0.25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  <c r="I24" t="b">
        <f>B24='[1]USCLE+'!W33</f>
        <v>1</v>
      </c>
    </row>
    <row r="25" spans="1:9" x14ac:dyDescent="0.25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  <c r="I25" t="b">
        <f>B25='[1]USCLE+'!W34</f>
        <v>1</v>
      </c>
    </row>
    <row r="26" spans="1:9" x14ac:dyDescent="0.25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  <c r="I26" t="b">
        <f>B26='[1]USCLE+'!W35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15</v>
      </c>
      <c r="B4" t="s">
        <v>40</v>
      </c>
      <c r="C4" t="s">
        <v>58</v>
      </c>
    </row>
    <row r="5" spans="1:3" x14ac:dyDescent="0.25">
      <c r="A5" t="s">
        <v>29</v>
      </c>
      <c r="B5" t="s">
        <v>54</v>
      </c>
      <c r="C5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67</v>
      </c>
      <c r="C2" t="s">
        <v>59</v>
      </c>
    </row>
    <row r="3" spans="1:3" x14ac:dyDescent="0.25">
      <c r="A3" t="s">
        <v>64</v>
      </c>
      <c r="B3" t="s">
        <v>68</v>
      </c>
      <c r="C3" t="s">
        <v>59</v>
      </c>
    </row>
    <row r="4" spans="1:3" x14ac:dyDescent="0.25">
      <c r="A4" t="s">
        <v>65</v>
      </c>
      <c r="B4" t="s">
        <v>69</v>
      </c>
      <c r="C4" t="s">
        <v>58</v>
      </c>
    </row>
    <row r="5" spans="1:3" x14ac:dyDescent="0.25">
      <c r="A5" t="s">
        <v>66</v>
      </c>
      <c r="B5" t="s">
        <v>70</v>
      </c>
      <c r="C5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59"/>
  <sheetViews>
    <sheetView workbookViewId="0"/>
  </sheetViews>
  <sheetFormatPr defaultRowHeight="15" x14ac:dyDescent="0.25"/>
  <sheetData>
    <row r="1" spans="1:5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</row>
    <row r="2" spans="1:52" x14ac:dyDescent="0.25">
      <c r="A2">
        <v>1</v>
      </c>
      <c r="B2" t="s">
        <v>120</v>
      </c>
      <c r="C2" t="s">
        <v>549</v>
      </c>
      <c r="D2" t="s">
        <v>1007</v>
      </c>
      <c r="E2" t="s">
        <v>61</v>
      </c>
      <c r="F2">
        <v>135.44970000000001</v>
      </c>
      <c r="G2">
        <v>532629700</v>
      </c>
      <c r="H2" t="s">
        <v>1436</v>
      </c>
      <c r="I2">
        <v>72144.55</v>
      </c>
      <c r="J2">
        <v>408945092.57435</v>
      </c>
      <c r="K2">
        <v>496637070.76005399</v>
      </c>
      <c r="L2">
        <v>440552490.31022698</v>
      </c>
      <c r="M2">
        <v>511032364.85076201</v>
      </c>
      <c r="N2">
        <v>473722842.90872598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238</v>
      </c>
      <c r="AX2" t="s">
        <v>1460</v>
      </c>
      <c r="AY2" t="s">
        <v>1480</v>
      </c>
      <c r="AZ2">
        <v>34</v>
      </c>
    </row>
    <row r="3" spans="1:52" x14ac:dyDescent="0.25">
      <c r="A3">
        <v>2</v>
      </c>
      <c r="B3" t="s">
        <v>121</v>
      </c>
      <c r="C3" t="s">
        <v>550</v>
      </c>
      <c r="D3" t="s">
        <v>1008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616825316.39902401</v>
      </c>
      <c r="K3">
        <v>796362190.701069</v>
      </c>
      <c r="L3">
        <v>726411611.80495203</v>
      </c>
      <c r="M3">
        <v>842152897.799034</v>
      </c>
      <c r="N3">
        <v>696176883.20906305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233</v>
      </c>
      <c r="AX3" t="s">
        <v>1460</v>
      </c>
      <c r="AY3" t="s">
        <v>1480</v>
      </c>
      <c r="AZ3">
        <v>54</v>
      </c>
    </row>
    <row r="4" spans="1:52" x14ac:dyDescent="0.25">
      <c r="A4">
        <v>3</v>
      </c>
      <c r="B4" t="s">
        <v>63</v>
      </c>
      <c r="C4" t="s">
        <v>551</v>
      </c>
      <c r="D4" t="s">
        <v>67</v>
      </c>
      <c r="E4" t="s">
        <v>61</v>
      </c>
      <c r="F4">
        <v>179.7235</v>
      </c>
      <c r="G4">
        <v>1766558200</v>
      </c>
      <c r="H4" t="s">
        <v>1436</v>
      </c>
      <c r="I4">
        <v>317492.09999999998</v>
      </c>
      <c r="J4">
        <v>809362054.30235004</v>
      </c>
      <c r="K4">
        <v>1178361402.18787</v>
      </c>
      <c r="L4">
        <v>934236696.961797</v>
      </c>
      <c r="M4">
        <v>1083280458.0320001</v>
      </c>
      <c r="N4">
        <v>1084996558.1536701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440</v>
      </c>
      <c r="AW4" t="s">
        <v>1459</v>
      </c>
      <c r="AX4" t="s">
        <v>1461</v>
      </c>
      <c r="AY4" t="s">
        <v>1481</v>
      </c>
    </row>
    <row r="5" spans="1:52" x14ac:dyDescent="0.25">
      <c r="A5">
        <v>4</v>
      </c>
      <c r="B5" t="s">
        <v>122</v>
      </c>
      <c r="C5" t="s">
        <v>552</v>
      </c>
      <c r="D5" t="s">
        <v>1009</v>
      </c>
      <c r="E5" t="s">
        <v>61</v>
      </c>
      <c r="F5">
        <v>221.21520000000001</v>
      </c>
      <c r="G5">
        <v>622852700</v>
      </c>
      <c r="H5" t="s">
        <v>1436</v>
      </c>
      <c r="I5">
        <v>137784.5</v>
      </c>
      <c r="J5">
        <v>1076701177.5631101</v>
      </c>
      <c r="K5">
        <v>989155913.80736303</v>
      </c>
      <c r="L5">
        <v>956711431.80120504</v>
      </c>
      <c r="M5">
        <v>1108768684.13661</v>
      </c>
      <c r="N5">
        <v>915281704.85023499</v>
      </c>
      <c r="O5" t="s">
        <v>59</v>
      </c>
      <c r="P5">
        <v>1</v>
      </c>
      <c r="Q5">
        <v>0.69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67</v>
      </c>
      <c r="AX5" t="s">
        <v>1460</v>
      </c>
      <c r="AY5" t="s">
        <v>1480</v>
      </c>
      <c r="AZ5">
        <v>29</v>
      </c>
    </row>
    <row r="6" spans="1:52" x14ac:dyDescent="0.25">
      <c r="A6">
        <v>5</v>
      </c>
      <c r="B6" t="s">
        <v>123</v>
      </c>
      <c r="C6" t="s">
        <v>553</v>
      </c>
      <c r="D6" t="s">
        <v>1010</v>
      </c>
      <c r="E6" t="s">
        <v>61</v>
      </c>
      <c r="F6">
        <v>309.00319999999999</v>
      </c>
      <c r="G6">
        <v>424200000</v>
      </c>
      <c r="H6" t="s">
        <v>1437</v>
      </c>
      <c r="I6">
        <v>131079.20000000001</v>
      </c>
      <c r="J6">
        <v>1120977636.3619299</v>
      </c>
      <c r="K6">
        <v>1294554557.09954</v>
      </c>
      <c r="L6">
        <v>1238758521.5074601</v>
      </c>
      <c r="M6">
        <v>1435969088.14887</v>
      </c>
      <c r="N6">
        <v>1422917295.0629301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57</v>
      </c>
      <c r="AX6" t="s">
        <v>1460</v>
      </c>
      <c r="AY6" t="s">
        <v>1480</v>
      </c>
      <c r="AZ6">
        <v>8</v>
      </c>
    </row>
    <row r="7" spans="1:52" x14ac:dyDescent="0.25">
      <c r="A7">
        <v>6</v>
      </c>
      <c r="B7" t="s">
        <v>124</v>
      </c>
      <c r="C7" t="s">
        <v>554</v>
      </c>
      <c r="D7" t="s">
        <v>1011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10180693611.117701</v>
      </c>
      <c r="K7">
        <v>5521513698.63381</v>
      </c>
      <c r="L7">
        <v>7308068950.1087799</v>
      </c>
      <c r="M7">
        <v>8482367499.1201096</v>
      </c>
      <c r="N7">
        <v>5138512587.0727596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448</v>
      </c>
      <c r="AW7" t="s">
        <v>1459</v>
      </c>
      <c r="AX7" t="s">
        <v>1461</v>
      </c>
      <c r="AY7" t="s">
        <v>1481</v>
      </c>
    </row>
    <row r="8" spans="1:52" x14ac:dyDescent="0.25">
      <c r="A8">
        <v>7</v>
      </c>
      <c r="B8" t="s">
        <v>125</v>
      </c>
      <c r="C8" t="s">
        <v>555</v>
      </c>
      <c r="D8" t="s">
        <v>1012</v>
      </c>
      <c r="E8" t="s">
        <v>61</v>
      </c>
      <c r="F8">
        <v>101.92870000000001</v>
      </c>
      <c r="G8">
        <v>176566560</v>
      </c>
      <c r="H8" t="s">
        <v>1436</v>
      </c>
      <c r="I8">
        <v>17997.189999999999</v>
      </c>
      <c r="J8">
        <v>146675009.597868</v>
      </c>
      <c r="K8">
        <v>148454075.304609</v>
      </c>
      <c r="L8">
        <v>128160522.888156</v>
      </c>
      <c r="M8">
        <v>148444195.41948199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8</v>
      </c>
      <c r="AJ8" t="s">
        <v>1446</v>
      </c>
      <c r="AX8" t="s">
        <v>1462</v>
      </c>
      <c r="AY8" t="s">
        <v>1481</v>
      </c>
    </row>
    <row r="9" spans="1:52" x14ac:dyDescent="0.25">
      <c r="A9">
        <v>8</v>
      </c>
      <c r="B9" t="s">
        <v>126</v>
      </c>
      <c r="C9" t="s">
        <v>556</v>
      </c>
      <c r="D9" t="s">
        <v>1013</v>
      </c>
      <c r="E9" t="s">
        <v>61</v>
      </c>
      <c r="F9">
        <v>67.835809999999995</v>
      </c>
      <c r="G9">
        <v>281825620</v>
      </c>
      <c r="H9" t="s">
        <v>1437</v>
      </c>
      <c r="I9">
        <v>19117.87</v>
      </c>
      <c r="J9">
        <v>379842277.32081598</v>
      </c>
      <c r="K9">
        <v>349391641.55171603</v>
      </c>
      <c r="L9">
        <v>313306580.96384001</v>
      </c>
      <c r="M9">
        <v>363344481.62393498</v>
      </c>
      <c r="N9">
        <v>408088960.52596903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361</v>
      </c>
      <c r="AJ9" t="s">
        <v>1446</v>
      </c>
      <c r="AX9" t="s">
        <v>1462</v>
      </c>
      <c r="AY9" t="s">
        <v>1481</v>
      </c>
    </row>
    <row r="10" spans="1:52" x14ac:dyDescent="0.25">
      <c r="A10">
        <v>9</v>
      </c>
      <c r="B10" t="s">
        <v>127</v>
      </c>
      <c r="C10" t="s">
        <v>557</v>
      </c>
      <c r="D10" t="s">
        <v>1014</v>
      </c>
      <c r="E10" t="s">
        <v>61</v>
      </c>
      <c r="F10">
        <v>92.558459999999997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210792980.44335699</v>
      </c>
      <c r="L10">
        <v>218360578.673895</v>
      </c>
      <c r="M10">
        <v>253265986.255128</v>
      </c>
      <c r="N10">
        <v>209514128.77802801</v>
      </c>
      <c r="O10" t="s">
        <v>59</v>
      </c>
      <c r="P10">
        <v>0.9</v>
      </c>
      <c r="Q10">
        <v>0.81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85</v>
      </c>
      <c r="AX10" t="s">
        <v>1460</v>
      </c>
      <c r="AY10" t="s">
        <v>1480</v>
      </c>
      <c r="AZ10">
        <v>195</v>
      </c>
    </row>
    <row r="11" spans="1:52" x14ac:dyDescent="0.25">
      <c r="A11">
        <v>10</v>
      </c>
      <c r="B11" t="s">
        <v>128</v>
      </c>
      <c r="C11" t="s">
        <v>558</v>
      </c>
      <c r="D11" t="s">
        <v>1015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207713353.23748901</v>
      </c>
      <c r="L11">
        <v>179717054.30937901</v>
      </c>
      <c r="M11">
        <v>207900794.32647699</v>
      </c>
      <c r="N11">
        <v>210687609.89215499</v>
      </c>
      <c r="O11" t="s">
        <v>59</v>
      </c>
      <c r="P11">
        <v>1</v>
      </c>
      <c r="Q11">
        <v>0.57999999999999996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50</v>
      </c>
      <c r="AX11" t="s">
        <v>1460</v>
      </c>
      <c r="AY11" t="s">
        <v>1480</v>
      </c>
      <c r="AZ11">
        <v>107</v>
      </c>
    </row>
    <row r="12" spans="1:52" x14ac:dyDescent="0.25">
      <c r="A12">
        <v>12</v>
      </c>
      <c r="B12" t="s">
        <v>129</v>
      </c>
      <c r="C12" t="s">
        <v>559</v>
      </c>
      <c r="D12" t="s">
        <v>1016</v>
      </c>
      <c r="E12" t="s">
        <v>61</v>
      </c>
      <c r="F12">
        <v>255.41900000000001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296265845.99622202</v>
      </c>
      <c r="L12">
        <v>269042170.35786903</v>
      </c>
      <c r="M12">
        <v>311524272.35162097</v>
      </c>
      <c r="N12">
        <v>358300897.94405699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333</v>
      </c>
      <c r="AX12" t="s">
        <v>1460</v>
      </c>
      <c r="AY12" t="s">
        <v>1480</v>
      </c>
      <c r="AZ12">
        <v>68</v>
      </c>
    </row>
    <row r="13" spans="1:52" x14ac:dyDescent="0.25">
      <c r="A13">
        <v>13</v>
      </c>
      <c r="B13" t="s">
        <v>130</v>
      </c>
      <c r="C13" t="s">
        <v>560</v>
      </c>
      <c r="D13" t="s">
        <v>1017</v>
      </c>
      <c r="E13" t="s">
        <v>61</v>
      </c>
      <c r="F13">
        <v>110.87220000000001</v>
      </c>
      <c r="G13">
        <v>429079560</v>
      </c>
      <c r="H13" t="s">
        <v>1437</v>
      </c>
      <c r="I13">
        <v>47572.98</v>
      </c>
      <c r="J13">
        <v>681079112.42343605</v>
      </c>
      <c r="K13">
        <v>602946605.85896301</v>
      </c>
      <c r="L13">
        <v>546795164.92454398</v>
      </c>
      <c r="M13">
        <v>632860676.784531</v>
      </c>
      <c r="N13">
        <v>590843155.45066798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57</v>
      </c>
      <c r="AX13" t="s">
        <v>1460</v>
      </c>
      <c r="AY13" t="s">
        <v>1480</v>
      </c>
      <c r="AZ13">
        <v>288</v>
      </c>
    </row>
    <row r="14" spans="1:52" x14ac:dyDescent="0.25">
      <c r="A14">
        <v>15</v>
      </c>
      <c r="B14" t="s">
        <v>131</v>
      </c>
      <c r="C14" t="s">
        <v>561</v>
      </c>
      <c r="D14" t="s">
        <v>1018</v>
      </c>
      <c r="E14" t="s">
        <v>61</v>
      </c>
      <c r="F14">
        <v>175.38829999999999</v>
      </c>
      <c r="G14">
        <v>263505340</v>
      </c>
      <c r="H14" t="s">
        <v>1436</v>
      </c>
      <c r="I14">
        <v>46215.75</v>
      </c>
      <c r="J14">
        <v>230169609.69979101</v>
      </c>
      <c r="K14">
        <v>300728713.680924</v>
      </c>
      <c r="L14">
        <v>272873053.25215203</v>
      </c>
      <c r="M14">
        <v>316140975.63274503</v>
      </c>
      <c r="N14">
        <v>291949163.05703902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31</v>
      </c>
      <c r="AX14" t="s">
        <v>1460</v>
      </c>
      <c r="AY14" t="s">
        <v>1480</v>
      </c>
      <c r="AZ14">
        <v>137</v>
      </c>
    </row>
    <row r="15" spans="1:52" x14ac:dyDescent="0.25">
      <c r="A15">
        <v>16</v>
      </c>
      <c r="B15" t="s">
        <v>132</v>
      </c>
      <c r="C15" t="s">
        <v>562</v>
      </c>
      <c r="D15" t="s">
        <v>1019</v>
      </c>
      <c r="E15" t="s">
        <v>61</v>
      </c>
      <c r="F15">
        <v>387.76240000000001</v>
      </c>
      <c r="G15">
        <v>131079010</v>
      </c>
      <c r="H15" t="s">
        <v>1437</v>
      </c>
      <c r="I15">
        <v>50827.519999999997</v>
      </c>
      <c r="J15">
        <v>478512019.32988602</v>
      </c>
      <c r="K15">
        <v>279167153.06222302</v>
      </c>
      <c r="L15">
        <v>327448250.40604502</v>
      </c>
      <c r="M15">
        <v>379571108.04794902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438</v>
      </c>
      <c r="AW15" t="s">
        <v>1459</v>
      </c>
      <c r="AX15" t="s">
        <v>1461</v>
      </c>
      <c r="AY15" t="s">
        <v>1481</v>
      </c>
    </row>
    <row r="16" spans="1:52" x14ac:dyDescent="0.25">
      <c r="A16">
        <v>17</v>
      </c>
      <c r="B16" t="s">
        <v>8</v>
      </c>
      <c r="C16" t="s">
        <v>563</v>
      </c>
      <c r="D16" t="s">
        <v>33</v>
      </c>
      <c r="E16" t="s">
        <v>61</v>
      </c>
      <c r="F16">
        <v>175.87469999999999</v>
      </c>
      <c r="G16">
        <v>5817000000</v>
      </c>
      <c r="H16" t="s">
        <v>1437</v>
      </c>
      <c r="I16">
        <v>1023063</v>
      </c>
      <c r="J16">
        <v>4924880078.1669102</v>
      </c>
      <c r="K16">
        <v>5871719670.3087597</v>
      </c>
      <c r="L16">
        <v>5903367807.6370802</v>
      </c>
      <c r="M16">
        <v>6845939479.7802401</v>
      </c>
      <c r="N16">
        <v>5169967672.5729103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63</v>
      </c>
      <c r="AX16" t="s">
        <v>1460</v>
      </c>
      <c r="AY16" t="s">
        <v>1480</v>
      </c>
      <c r="AZ16">
        <v>79</v>
      </c>
    </row>
    <row r="17" spans="1:52" x14ac:dyDescent="0.25">
      <c r="A17">
        <v>18</v>
      </c>
      <c r="B17" t="s">
        <v>133</v>
      </c>
      <c r="C17" t="s">
        <v>564</v>
      </c>
      <c r="D17" t="s">
        <v>1020</v>
      </c>
      <c r="E17" t="s">
        <v>61</v>
      </c>
      <c r="F17">
        <v>57.748759999999997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505240811.95363301</v>
      </c>
      <c r="L17">
        <v>455288859.80276603</v>
      </c>
      <c r="M17">
        <v>527876208.25461102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82</v>
      </c>
      <c r="AX17" t="s">
        <v>1460</v>
      </c>
      <c r="AY17" t="s">
        <v>1480</v>
      </c>
      <c r="AZ17">
        <v>240</v>
      </c>
    </row>
    <row r="18" spans="1:52" x14ac:dyDescent="0.25">
      <c r="A18">
        <v>19</v>
      </c>
      <c r="B18" t="s">
        <v>9</v>
      </c>
      <c r="C18" t="s">
        <v>565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7977200081.5604095</v>
      </c>
      <c r="K18">
        <v>8510479471.7246799</v>
      </c>
      <c r="L18">
        <v>7991296283.0697298</v>
      </c>
      <c r="M18">
        <v>9264357936.8119106</v>
      </c>
      <c r="N18">
        <v>7824617314.4031696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150</v>
      </c>
      <c r="AX18" t="s">
        <v>1460</v>
      </c>
      <c r="AY18" t="s">
        <v>1480</v>
      </c>
      <c r="AZ18">
        <v>230</v>
      </c>
    </row>
    <row r="19" spans="1:52" x14ac:dyDescent="0.25">
      <c r="A19">
        <v>20</v>
      </c>
      <c r="B19" t="s">
        <v>134</v>
      </c>
      <c r="C19" t="s">
        <v>566</v>
      </c>
      <c r="D19" t="s">
        <v>1021</v>
      </c>
      <c r="E19" t="s">
        <v>61</v>
      </c>
      <c r="F19">
        <v>7.4330090000000002</v>
      </c>
      <c r="G19">
        <v>2305359900</v>
      </c>
      <c r="H19" t="s">
        <v>1436</v>
      </c>
      <c r="I19">
        <v>17135.759999999998</v>
      </c>
      <c r="J19">
        <v>234132732.19712201</v>
      </c>
      <c r="K19">
        <v>265655022.836234</v>
      </c>
      <c r="L19">
        <v>208311578.17550501</v>
      </c>
      <c r="M19">
        <v>241311978.54317999</v>
      </c>
      <c r="N19">
        <v>196596975.51954401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159</v>
      </c>
      <c r="AX19" t="s">
        <v>1460</v>
      </c>
      <c r="AY19" t="s">
        <v>1480</v>
      </c>
      <c r="AZ19">
        <v>67</v>
      </c>
    </row>
    <row r="20" spans="1:52" x14ac:dyDescent="0.25">
      <c r="A20">
        <v>21</v>
      </c>
      <c r="B20" t="s">
        <v>135</v>
      </c>
      <c r="C20" t="s">
        <v>567</v>
      </c>
      <c r="D20" t="s">
        <v>1022</v>
      </c>
      <c r="E20" t="s">
        <v>61</v>
      </c>
      <c r="F20">
        <v>87.002899999999997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151370129.69408801</v>
      </c>
      <c r="L20">
        <v>133617040.98077901</v>
      </c>
      <c r="M20">
        <v>154802902.04474699</v>
      </c>
      <c r="N20">
        <v>137993484.63755101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321</v>
      </c>
      <c r="AU20" t="s">
        <v>1457</v>
      </c>
      <c r="AX20" t="s">
        <v>1463</v>
      </c>
      <c r="AY20" t="s">
        <v>1481</v>
      </c>
    </row>
    <row r="21" spans="1:52" x14ac:dyDescent="0.25">
      <c r="A21">
        <v>22</v>
      </c>
      <c r="B21" t="s">
        <v>136</v>
      </c>
      <c r="C21" t="s">
        <v>568</v>
      </c>
      <c r="D21" t="s">
        <v>1023</v>
      </c>
      <c r="E21" t="s">
        <v>61</v>
      </c>
      <c r="F21">
        <v>97.303290000000004</v>
      </c>
      <c r="G21">
        <v>534794740</v>
      </c>
      <c r="H21" t="s">
        <v>1437</v>
      </c>
      <c r="I21">
        <v>52037.29</v>
      </c>
      <c r="J21">
        <v>301975372.79727501</v>
      </c>
      <c r="K21">
        <v>342555252.47247303</v>
      </c>
      <c r="L21">
        <v>274783191.65512598</v>
      </c>
      <c r="M21">
        <v>318510569.39431602</v>
      </c>
      <c r="N21">
        <v>305282379.61201203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0.25090000000000001</v>
      </c>
      <c r="AF21">
        <v>0.73</v>
      </c>
      <c r="AG21">
        <v>0</v>
      </c>
      <c r="AH21">
        <v>0.25090000000000001</v>
      </c>
      <c r="AI21">
        <v>281</v>
      </c>
      <c r="AU21" t="s">
        <v>1457</v>
      </c>
      <c r="AX21" t="s">
        <v>1463</v>
      </c>
      <c r="AY21" t="s">
        <v>1481</v>
      </c>
    </row>
    <row r="22" spans="1:52" x14ac:dyDescent="0.25">
      <c r="A22">
        <v>23</v>
      </c>
      <c r="B22" t="s">
        <v>137</v>
      </c>
      <c r="C22" t="s">
        <v>569</v>
      </c>
      <c r="D22" t="s">
        <v>1024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614786654.05890596</v>
      </c>
      <c r="K22">
        <v>765376913.24781501</v>
      </c>
      <c r="L22">
        <v>688528716.82108998</v>
      </c>
      <c r="M22">
        <v>798446385.31213999</v>
      </c>
      <c r="N22">
        <v>727323593.68563402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69</v>
      </c>
      <c r="AX22" t="s">
        <v>1460</v>
      </c>
      <c r="AY22" t="s">
        <v>1480</v>
      </c>
      <c r="AZ22">
        <v>190</v>
      </c>
    </row>
    <row r="23" spans="1:52" x14ac:dyDescent="0.25">
      <c r="A23">
        <v>24</v>
      </c>
      <c r="B23" t="s">
        <v>138</v>
      </c>
      <c r="C23" t="s">
        <v>570</v>
      </c>
      <c r="D23" t="s">
        <v>1025</v>
      </c>
      <c r="E23" t="s">
        <v>61</v>
      </c>
      <c r="F23">
        <v>71.15549</v>
      </c>
      <c r="G23">
        <v>554003850</v>
      </c>
      <c r="H23" t="s">
        <v>1436</v>
      </c>
      <c r="I23">
        <v>39420.410000000003</v>
      </c>
      <c r="J23">
        <v>260038029.024533</v>
      </c>
      <c r="K23">
        <v>339945440.38151199</v>
      </c>
      <c r="L23">
        <v>295567465.98747998</v>
      </c>
      <c r="M23">
        <v>342595110.70583397</v>
      </c>
      <c r="N23">
        <v>310629686.43501103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116</v>
      </c>
      <c r="AX23" t="s">
        <v>1460</v>
      </c>
      <c r="AY23" t="s">
        <v>1480</v>
      </c>
      <c r="AZ23">
        <v>250</v>
      </c>
    </row>
    <row r="24" spans="1:52" x14ac:dyDescent="0.25">
      <c r="A24">
        <v>25</v>
      </c>
      <c r="B24" t="s">
        <v>139</v>
      </c>
      <c r="C24" t="s">
        <v>571</v>
      </c>
      <c r="D24" t="s">
        <v>1026</v>
      </c>
      <c r="E24" t="s">
        <v>61</v>
      </c>
      <c r="F24">
        <v>180.8158</v>
      </c>
      <c r="G24">
        <v>468251220</v>
      </c>
      <c r="H24" t="s">
        <v>1436</v>
      </c>
      <c r="I24">
        <v>84667.24</v>
      </c>
      <c r="J24">
        <v>392758881.99478501</v>
      </c>
      <c r="K24">
        <v>515891295.13147599</v>
      </c>
      <c r="L24">
        <v>399968843.60151899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406</v>
      </c>
      <c r="AJ24" t="s">
        <v>1446</v>
      </c>
      <c r="AW24" t="s">
        <v>1459</v>
      </c>
      <c r="AX24" t="s">
        <v>1464</v>
      </c>
      <c r="AY24" t="s">
        <v>1481</v>
      </c>
    </row>
    <row r="25" spans="1:52" x14ac:dyDescent="0.25">
      <c r="A25">
        <v>26</v>
      </c>
      <c r="B25" t="s">
        <v>140</v>
      </c>
      <c r="C25" t="s">
        <v>572</v>
      </c>
      <c r="D25" t="s">
        <v>1027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202836164.32253301</v>
      </c>
      <c r="K25">
        <v>185887782.99063101</v>
      </c>
      <c r="L25">
        <v>159087260.06987801</v>
      </c>
      <c r="M25">
        <v>184297759.80728301</v>
      </c>
      <c r="N25">
        <v>165403374.65572399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252</v>
      </c>
      <c r="AX25" t="s">
        <v>1460</v>
      </c>
      <c r="AY25" t="s">
        <v>1480</v>
      </c>
      <c r="AZ25">
        <v>7</v>
      </c>
    </row>
    <row r="26" spans="1:52" x14ac:dyDescent="0.25">
      <c r="A26">
        <v>27</v>
      </c>
      <c r="B26" t="s">
        <v>141</v>
      </c>
      <c r="C26" t="s">
        <v>573</v>
      </c>
      <c r="D26" t="s">
        <v>1028</v>
      </c>
      <c r="E26" t="s">
        <v>61</v>
      </c>
      <c r="F26">
        <v>441.13330000000002</v>
      </c>
      <c r="G26">
        <v>94271570</v>
      </c>
      <c r="H26" t="s">
        <v>1436</v>
      </c>
      <c r="I26">
        <v>41586.33</v>
      </c>
      <c r="J26">
        <v>168192529.93055701</v>
      </c>
      <c r="K26">
        <v>217741227.73284501</v>
      </c>
      <c r="L26">
        <v>200422981.33456501</v>
      </c>
      <c r="M26">
        <v>232247844.76809901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313</v>
      </c>
      <c r="AX26" t="s">
        <v>1460</v>
      </c>
      <c r="AY26" t="s">
        <v>1480</v>
      </c>
      <c r="AZ26">
        <v>155</v>
      </c>
    </row>
    <row r="27" spans="1:52" x14ac:dyDescent="0.25">
      <c r="A27">
        <v>28</v>
      </c>
      <c r="B27" t="s">
        <v>142</v>
      </c>
      <c r="C27" t="s">
        <v>574</v>
      </c>
      <c r="D27" t="s">
        <v>1029</v>
      </c>
      <c r="E27" t="s">
        <v>61</v>
      </c>
      <c r="F27">
        <v>159.54089999999999</v>
      </c>
      <c r="G27">
        <v>230953960</v>
      </c>
      <c r="H27" t="s">
        <v>1436</v>
      </c>
      <c r="I27">
        <v>36846.6</v>
      </c>
      <c r="J27">
        <v>190230484.24966201</v>
      </c>
      <c r="K27">
        <v>216113981.95322001</v>
      </c>
      <c r="L27">
        <v>210959416.45812199</v>
      </c>
      <c r="M27">
        <v>244330496.27851301</v>
      </c>
      <c r="N27">
        <v>210015554.793562</v>
      </c>
      <c r="O27" t="s">
        <v>59</v>
      </c>
      <c r="P27">
        <v>1</v>
      </c>
      <c r="Q27">
        <v>2.1800000000000002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256</v>
      </c>
      <c r="AX27" t="s">
        <v>1460</v>
      </c>
      <c r="AY27" t="s">
        <v>1480</v>
      </c>
      <c r="AZ27">
        <v>286</v>
      </c>
    </row>
    <row r="28" spans="1:52" x14ac:dyDescent="0.25">
      <c r="A28">
        <v>29</v>
      </c>
      <c r="B28" t="s">
        <v>143</v>
      </c>
      <c r="C28" t="s">
        <v>575</v>
      </c>
      <c r="D28" t="s">
        <v>1030</v>
      </c>
      <c r="E28" t="s">
        <v>61</v>
      </c>
      <c r="F28">
        <v>250.65710000000001</v>
      </c>
      <c r="G28">
        <v>538361900</v>
      </c>
      <c r="H28" t="s">
        <v>1437</v>
      </c>
      <c r="I28">
        <v>134944.20000000001</v>
      </c>
      <c r="J28">
        <v>545940127.36640203</v>
      </c>
      <c r="K28">
        <v>721161144.70048904</v>
      </c>
      <c r="L28">
        <v>599945087.19578803</v>
      </c>
      <c r="M28">
        <v>694463908.01877797</v>
      </c>
      <c r="N28">
        <v>762371889.16311002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118</v>
      </c>
      <c r="AX28" t="s">
        <v>1460</v>
      </c>
      <c r="AY28" t="s">
        <v>1480</v>
      </c>
      <c r="AZ28">
        <v>43</v>
      </c>
    </row>
    <row r="29" spans="1:52" x14ac:dyDescent="0.25">
      <c r="A29">
        <v>30</v>
      </c>
      <c r="B29" t="s">
        <v>144</v>
      </c>
      <c r="C29" t="s">
        <v>576</v>
      </c>
      <c r="D29" t="s">
        <v>1031</v>
      </c>
      <c r="E29" t="s">
        <v>61</v>
      </c>
      <c r="F29">
        <v>93.326509999999999</v>
      </c>
      <c r="G29">
        <v>1220921100</v>
      </c>
      <c r="H29" t="s">
        <v>1436</v>
      </c>
      <c r="I29">
        <v>113944.3</v>
      </c>
      <c r="J29">
        <v>681994160.99956095</v>
      </c>
      <c r="K29">
        <v>645687097.16377604</v>
      </c>
      <c r="L29">
        <v>741463394.00386298</v>
      </c>
      <c r="M29">
        <v>859915088.00492501</v>
      </c>
      <c r="N29">
        <v>543446089.02059805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131</v>
      </c>
      <c r="AX29" t="s">
        <v>1460</v>
      </c>
      <c r="AY29" t="s">
        <v>1480</v>
      </c>
      <c r="AZ29">
        <v>194</v>
      </c>
    </row>
    <row r="30" spans="1:52" x14ac:dyDescent="0.25">
      <c r="A30">
        <v>31</v>
      </c>
      <c r="B30" t="s">
        <v>145</v>
      </c>
      <c r="C30" t="s">
        <v>577</v>
      </c>
      <c r="D30" t="s">
        <v>1032</v>
      </c>
      <c r="E30" t="s">
        <v>61</v>
      </c>
      <c r="F30">
        <v>43.727600000000002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163967156.77500701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1</v>
      </c>
      <c r="AJ30" t="s">
        <v>1446</v>
      </c>
      <c r="AX30" t="s">
        <v>1462</v>
      </c>
      <c r="AY30" t="s">
        <v>1481</v>
      </c>
    </row>
    <row r="31" spans="1:52" x14ac:dyDescent="0.25">
      <c r="A31">
        <v>32</v>
      </c>
      <c r="B31" t="s">
        <v>146</v>
      </c>
      <c r="C31" t="s">
        <v>578</v>
      </c>
      <c r="D31" t="s">
        <v>1033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786486788.72515202</v>
      </c>
      <c r="K31">
        <v>768239782.19090903</v>
      </c>
      <c r="L31">
        <v>739655375.34691</v>
      </c>
      <c r="M31">
        <v>856929565.16285706</v>
      </c>
      <c r="N31">
        <v>711411076.79616702</v>
      </c>
      <c r="O31" t="s">
        <v>58</v>
      </c>
      <c r="P31">
        <v>1</v>
      </c>
      <c r="Q31">
        <v>0.28999999999999998</v>
      </c>
      <c r="R31">
        <v>54.21</v>
      </c>
      <c r="S31">
        <v>0.94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0.94</v>
      </c>
      <c r="AG31">
        <v>0</v>
      </c>
      <c r="AH31">
        <v>0</v>
      </c>
      <c r="AI31">
        <v>11</v>
      </c>
      <c r="AX31" t="s">
        <v>1460</v>
      </c>
      <c r="AY31" t="s">
        <v>1480</v>
      </c>
      <c r="AZ31">
        <v>117</v>
      </c>
    </row>
    <row r="32" spans="1:52" x14ac:dyDescent="0.25">
      <c r="A32">
        <v>33</v>
      </c>
      <c r="B32" t="s">
        <v>147</v>
      </c>
      <c r="C32" t="s">
        <v>579</v>
      </c>
      <c r="D32" t="s">
        <v>1034</v>
      </c>
      <c r="E32" t="s">
        <v>61</v>
      </c>
      <c r="F32">
        <v>46.603520000000003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140079549.08656099</v>
      </c>
      <c r="M32">
        <v>162561999.78452301</v>
      </c>
      <c r="N32">
        <v>97503699.034223706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110</v>
      </c>
      <c r="AX32" t="s">
        <v>1460</v>
      </c>
      <c r="AY32" t="s">
        <v>1480</v>
      </c>
      <c r="AZ32">
        <v>175</v>
      </c>
    </row>
    <row r="33" spans="1:52" x14ac:dyDescent="0.25">
      <c r="A33">
        <v>34</v>
      </c>
      <c r="B33" t="s">
        <v>148</v>
      </c>
      <c r="C33" t="s">
        <v>580</v>
      </c>
      <c r="D33" t="s">
        <v>1035</v>
      </c>
      <c r="E33" t="s">
        <v>61</v>
      </c>
      <c r="F33">
        <v>320.10579999999999</v>
      </c>
      <c r="G33">
        <v>215626600</v>
      </c>
      <c r="H33" t="s">
        <v>1436</v>
      </c>
      <c r="I33">
        <v>69023.33</v>
      </c>
      <c r="J33">
        <v>422844112.40252697</v>
      </c>
      <c r="K33">
        <v>459890117.38133699</v>
      </c>
      <c r="L33">
        <v>421890275.09203702</v>
      </c>
      <c r="M33">
        <v>489251842.20846099</v>
      </c>
      <c r="N33">
        <v>397231046.27838302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29</v>
      </c>
      <c r="AX33" t="s">
        <v>1460</v>
      </c>
      <c r="AY33" t="s">
        <v>1480</v>
      </c>
      <c r="AZ33">
        <v>277</v>
      </c>
    </row>
    <row r="34" spans="1:52" x14ac:dyDescent="0.25">
      <c r="A34">
        <v>35</v>
      </c>
      <c r="B34" t="s">
        <v>149</v>
      </c>
      <c r="C34" t="s">
        <v>581</v>
      </c>
      <c r="D34" t="s">
        <v>1036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421964720.74676001</v>
      </c>
      <c r="K34">
        <v>444376127.91677099</v>
      </c>
      <c r="L34">
        <v>352843160.41247398</v>
      </c>
      <c r="M34">
        <v>409162635.401851</v>
      </c>
      <c r="N34">
        <v>535426974.50788599</v>
      </c>
      <c r="O34" t="s">
        <v>59</v>
      </c>
      <c r="P34">
        <v>0.7</v>
      </c>
      <c r="Q34">
        <v>4.3899999999999997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419</v>
      </c>
      <c r="AW34" t="s">
        <v>1459</v>
      </c>
      <c r="AX34" t="s">
        <v>1461</v>
      </c>
      <c r="AY34" t="s">
        <v>1481</v>
      </c>
    </row>
    <row r="35" spans="1:52" x14ac:dyDescent="0.25">
      <c r="A35">
        <v>36</v>
      </c>
      <c r="B35" t="s">
        <v>10</v>
      </c>
      <c r="C35" t="s">
        <v>582</v>
      </c>
      <c r="D35" t="s">
        <v>35</v>
      </c>
      <c r="E35" t="s">
        <v>61</v>
      </c>
      <c r="F35">
        <v>194.36760000000001</v>
      </c>
      <c r="G35">
        <v>14840390000</v>
      </c>
      <c r="H35" t="s">
        <v>1437</v>
      </c>
      <c r="I35">
        <v>2884492</v>
      </c>
      <c r="J35">
        <v>11742442171.999701</v>
      </c>
      <c r="K35">
        <v>10834248916.0028</v>
      </c>
      <c r="L35">
        <v>10078043926.932301</v>
      </c>
      <c r="M35">
        <v>11681697190.574699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23</v>
      </c>
      <c r="AX35" t="s">
        <v>1460</v>
      </c>
      <c r="AY35" t="s">
        <v>1480</v>
      </c>
      <c r="AZ35">
        <v>25</v>
      </c>
    </row>
    <row r="36" spans="1:52" x14ac:dyDescent="0.25">
      <c r="A36">
        <v>37</v>
      </c>
      <c r="B36" t="s">
        <v>150</v>
      </c>
      <c r="C36" t="s">
        <v>583</v>
      </c>
      <c r="D36" t="s">
        <v>1037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1304060041.5383301</v>
      </c>
      <c r="K36">
        <v>1101361481.7327001</v>
      </c>
      <c r="L36">
        <v>1111016368.2326801</v>
      </c>
      <c r="M36">
        <v>1288342172.2455299</v>
      </c>
      <c r="N36">
        <v>1116794469.2958601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118</v>
      </c>
      <c r="AX36" t="s">
        <v>1460</v>
      </c>
      <c r="AY36" t="s">
        <v>1480</v>
      </c>
      <c r="AZ36">
        <v>70</v>
      </c>
    </row>
    <row r="37" spans="1:52" x14ac:dyDescent="0.25">
      <c r="A37">
        <v>38</v>
      </c>
      <c r="B37" t="s">
        <v>151</v>
      </c>
      <c r="C37" t="s">
        <v>584</v>
      </c>
      <c r="D37" t="s">
        <v>1038</v>
      </c>
      <c r="E37" t="s">
        <v>61</v>
      </c>
      <c r="F37">
        <v>376.92439999999999</v>
      </c>
      <c r="G37">
        <v>307636380</v>
      </c>
      <c r="H37" t="s">
        <v>1437</v>
      </c>
      <c r="I37">
        <v>115955.6</v>
      </c>
      <c r="J37">
        <v>2565679722.3404102</v>
      </c>
      <c r="K37">
        <v>2212125970.1619501</v>
      </c>
      <c r="L37">
        <v>1871493761.8843501</v>
      </c>
      <c r="M37">
        <v>2168013325.16436</v>
      </c>
      <c r="N37">
        <v>1815030060.9040201</v>
      </c>
      <c r="O37" t="s">
        <v>58</v>
      </c>
      <c r="P37">
        <v>0.75</v>
      </c>
      <c r="Q37">
        <v>2.5299999999999998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304</v>
      </c>
      <c r="AX37" t="s">
        <v>1460</v>
      </c>
      <c r="AY37" t="s">
        <v>1480</v>
      </c>
      <c r="AZ37">
        <v>256</v>
      </c>
    </row>
    <row r="38" spans="1:52" x14ac:dyDescent="0.25">
      <c r="A38">
        <v>39</v>
      </c>
      <c r="B38" t="s">
        <v>152</v>
      </c>
      <c r="C38" t="s">
        <v>585</v>
      </c>
      <c r="D38" t="s">
        <v>1039</v>
      </c>
      <c r="E38" t="s">
        <v>61</v>
      </c>
      <c r="F38">
        <v>79.714969999999994</v>
      </c>
      <c r="G38">
        <v>373220300</v>
      </c>
      <c r="H38" t="s">
        <v>1437</v>
      </c>
      <c r="I38">
        <v>29751.24</v>
      </c>
      <c r="J38">
        <v>153193377.37661901</v>
      </c>
      <c r="K38">
        <v>154303505.573861</v>
      </c>
      <c r="L38">
        <v>168975029.08680099</v>
      </c>
      <c r="M38">
        <v>196146159.973104</v>
      </c>
      <c r="N38">
        <v>163357964.58525601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357</v>
      </c>
      <c r="AX38" t="s">
        <v>1460</v>
      </c>
      <c r="AY38" t="s">
        <v>1480</v>
      </c>
      <c r="AZ38">
        <v>177</v>
      </c>
    </row>
    <row r="39" spans="1:52" x14ac:dyDescent="0.25">
      <c r="A39">
        <v>40</v>
      </c>
      <c r="B39" t="s">
        <v>153</v>
      </c>
      <c r="C39" t="s">
        <v>586</v>
      </c>
      <c r="D39" t="s">
        <v>1040</v>
      </c>
      <c r="E39" t="s">
        <v>61</v>
      </c>
      <c r="F39">
        <v>53.695169999999997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181625808.86897901</v>
      </c>
      <c r="L39">
        <v>168414301.31849799</v>
      </c>
      <c r="M39">
        <v>195364487.807648</v>
      </c>
      <c r="N39">
        <v>168368185.90020201</v>
      </c>
      <c r="O39" t="s">
        <v>59</v>
      </c>
      <c r="P39">
        <v>1</v>
      </c>
      <c r="Q39">
        <v>2.7</v>
      </c>
      <c r="R39">
        <v>52.37</v>
      </c>
      <c r="S39">
        <v>0.94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0.94</v>
      </c>
      <c r="AG39">
        <v>0</v>
      </c>
      <c r="AH39">
        <v>0</v>
      </c>
      <c r="AI39">
        <v>331</v>
      </c>
      <c r="AX39" t="s">
        <v>1460</v>
      </c>
      <c r="AY39" t="s">
        <v>1480</v>
      </c>
      <c r="AZ39">
        <v>145</v>
      </c>
    </row>
    <row r="40" spans="1:52" x14ac:dyDescent="0.25">
      <c r="A40">
        <v>41</v>
      </c>
      <c r="B40" t="s">
        <v>154</v>
      </c>
      <c r="C40" t="s">
        <v>587</v>
      </c>
      <c r="D40" t="s">
        <v>1041</v>
      </c>
      <c r="E40" t="s">
        <v>61</v>
      </c>
      <c r="F40">
        <v>154.523</v>
      </c>
      <c r="G40">
        <v>215934700</v>
      </c>
      <c r="H40" t="s">
        <v>1436</v>
      </c>
      <c r="I40">
        <v>33366.870000000003</v>
      </c>
      <c r="J40">
        <v>209524623.55805299</v>
      </c>
      <c r="K40">
        <v>252735968.60536501</v>
      </c>
      <c r="L40">
        <v>215088017.78389901</v>
      </c>
      <c r="M40">
        <v>249262419.28916299</v>
      </c>
      <c r="N40">
        <v>217819160.78203601</v>
      </c>
      <c r="O40" t="s">
        <v>59</v>
      </c>
      <c r="P40">
        <v>0.9</v>
      </c>
      <c r="Q40">
        <v>2.5099999999999998</v>
      </c>
      <c r="R40">
        <v>27.77</v>
      </c>
      <c r="S40">
        <v>0.56999999999999995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0.56999999999999995</v>
      </c>
      <c r="AG40">
        <v>0</v>
      </c>
      <c r="AH40">
        <v>0</v>
      </c>
      <c r="AI40">
        <v>301</v>
      </c>
      <c r="AJ40" t="s">
        <v>1446</v>
      </c>
      <c r="AX40" t="s">
        <v>1462</v>
      </c>
      <c r="AY40" t="s">
        <v>1481</v>
      </c>
    </row>
    <row r="41" spans="1:52" x14ac:dyDescent="0.25">
      <c r="A41">
        <v>42</v>
      </c>
      <c r="B41" t="s">
        <v>155</v>
      </c>
      <c r="C41" t="s">
        <v>588</v>
      </c>
      <c r="D41" t="s">
        <v>1042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1121166796.7019501</v>
      </c>
      <c r="K41">
        <v>885437029.69010305</v>
      </c>
      <c r="L41">
        <v>905887743.32720602</v>
      </c>
      <c r="M41">
        <v>1049866546.81317</v>
      </c>
      <c r="N41">
        <v>823167969.85702801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377</v>
      </c>
      <c r="AW41" t="s">
        <v>1459</v>
      </c>
      <c r="AX41" t="s">
        <v>1461</v>
      </c>
      <c r="AY41" t="s">
        <v>1481</v>
      </c>
    </row>
    <row r="42" spans="1:52" x14ac:dyDescent="0.25">
      <c r="A42">
        <v>43</v>
      </c>
      <c r="B42" t="s">
        <v>156</v>
      </c>
      <c r="C42" t="s">
        <v>589</v>
      </c>
      <c r="D42" t="s">
        <v>1043</v>
      </c>
      <c r="E42" t="s">
        <v>61</v>
      </c>
      <c r="F42">
        <v>258.72160000000002</v>
      </c>
      <c r="G42">
        <v>256400000</v>
      </c>
      <c r="H42" t="s">
        <v>1436</v>
      </c>
      <c r="I42">
        <v>66336.23</v>
      </c>
      <c r="J42">
        <v>376932729.93351501</v>
      </c>
      <c r="K42">
        <v>422056937.26963502</v>
      </c>
      <c r="L42">
        <v>392511869.30245101</v>
      </c>
      <c r="M42">
        <v>454694377.79044998</v>
      </c>
      <c r="N42">
        <v>414953225.78045201</v>
      </c>
      <c r="O42" t="s">
        <v>59</v>
      </c>
      <c r="P42">
        <v>1</v>
      </c>
      <c r="Q42">
        <v>2.5499999999999998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307</v>
      </c>
      <c r="AX42" t="s">
        <v>1460</v>
      </c>
      <c r="AY42" t="s">
        <v>1480</v>
      </c>
      <c r="AZ42">
        <v>267</v>
      </c>
    </row>
    <row r="43" spans="1:52" x14ac:dyDescent="0.25">
      <c r="A43">
        <v>44</v>
      </c>
      <c r="B43" t="s">
        <v>157</v>
      </c>
      <c r="C43" t="s">
        <v>590</v>
      </c>
      <c r="D43" t="s">
        <v>1044</v>
      </c>
      <c r="E43" t="s">
        <v>61</v>
      </c>
      <c r="F43">
        <v>152.83330000000001</v>
      </c>
      <c r="G43">
        <v>166219150</v>
      </c>
      <c r="H43" t="s">
        <v>1437</v>
      </c>
      <c r="I43">
        <v>25403.81</v>
      </c>
      <c r="J43">
        <v>952770622.67043698</v>
      </c>
      <c r="K43">
        <v>420604133.051355</v>
      </c>
      <c r="L43">
        <v>565501157.44998598</v>
      </c>
      <c r="M43">
        <v>656337333.92899096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1</v>
      </c>
      <c r="AX43" t="s">
        <v>1460</v>
      </c>
      <c r="AY43" t="s">
        <v>1480</v>
      </c>
      <c r="AZ43">
        <v>316</v>
      </c>
    </row>
    <row r="44" spans="1:52" x14ac:dyDescent="0.25">
      <c r="A44">
        <v>45</v>
      </c>
      <c r="B44" t="s">
        <v>158</v>
      </c>
      <c r="C44" t="s">
        <v>591</v>
      </c>
      <c r="D44" t="s">
        <v>1045</v>
      </c>
      <c r="E44" t="s">
        <v>61</v>
      </c>
      <c r="F44">
        <v>24.551970000000001</v>
      </c>
      <c r="G44">
        <v>7150385300</v>
      </c>
      <c r="H44" t="s">
        <v>1436</v>
      </c>
      <c r="I44">
        <v>175556.1</v>
      </c>
      <c r="J44">
        <v>707493094.55368102</v>
      </c>
      <c r="K44">
        <v>899197125.75118697</v>
      </c>
      <c r="L44">
        <v>760971853.12662303</v>
      </c>
      <c r="M44">
        <v>882251933.79410803</v>
      </c>
      <c r="N44">
        <v>828642483.35025501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296</v>
      </c>
      <c r="AX44" t="s">
        <v>1460</v>
      </c>
      <c r="AY44" t="s">
        <v>1480</v>
      </c>
      <c r="AZ44">
        <v>33</v>
      </c>
    </row>
    <row r="45" spans="1:52" x14ac:dyDescent="0.25">
      <c r="A45">
        <v>46</v>
      </c>
      <c r="B45" t="s">
        <v>159</v>
      </c>
      <c r="C45" t="s">
        <v>592</v>
      </c>
      <c r="D45" t="s">
        <v>1046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493633418.86045402</v>
      </c>
      <c r="K45">
        <v>453098859.46151799</v>
      </c>
      <c r="L45">
        <v>408658431.41985297</v>
      </c>
      <c r="M45">
        <v>473608275.90673202</v>
      </c>
      <c r="N45">
        <v>446981585.45138597</v>
      </c>
      <c r="O45" t="s">
        <v>58</v>
      </c>
      <c r="P45">
        <v>1</v>
      </c>
      <c r="Q45">
        <v>0.55000000000000004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42</v>
      </c>
      <c r="AX45" t="s">
        <v>1460</v>
      </c>
      <c r="AY45" t="s">
        <v>1480</v>
      </c>
      <c r="AZ45">
        <v>39</v>
      </c>
    </row>
    <row r="46" spans="1:52" x14ac:dyDescent="0.25">
      <c r="A46">
        <v>47</v>
      </c>
      <c r="B46" t="s">
        <v>160</v>
      </c>
      <c r="C46" t="s">
        <v>593</v>
      </c>
      <c r="D46" t="s">
        <v>1047</v>
      </c>
      <c r="E46" t="s">
        <v>61</v>
      </c>
      <c r="F46">
        <v>143.54839999999999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136472995.74247301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386</v>
      </c>
      <c r="AW46" t="s">
        <v>1459</v>
      </c>
      <c r="AX46" t="s">
        <v>1461</v>
      </c>
      <c r="AY46" t="s">
        <v>1481</v>
      </c>
    </row>
    <row r="47" spans="1:52" x14ac:dyDescent="0.25">
      <c r="A47">
        <v>48</v>
      </c>
      <c r="B47" t="s">
        <v>161</v>
      </c>
      <c r="C47" t="s">
        <v>594</v>
      </c>
      <c r="D47" t="s">
        <v>1048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338071801.46177399</v>
      </c>
      <c r="K47">
        <v>411208252.470972</v>
      </c>
      <c r="L47">
        <v>404853911.12070602</v>
      </c>
      <c r="M47">
        <v>469139000.84455401</v>
      </c>
      <c r="N47">
        <v>399859134.45132899</v>
      </c>
      <c r="O47" t="s">
        <v>58</v>
      </c>
      <c r="P47">
        <v>1</v>
      </c>
      <c r="Q47">
        <v>2.4700000000000002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295</v>
      </c>
      <c r="AX47" t="s">
        <v>1460</v>
      </c>
      <c r="AY47" t="s">
        <v>1480</v>
      </c>
      <c r="AZ47">
        <v>46</v>
      </c>
    </row>
    <row r="48" spans="1:52" x14ac:dyDescent="0.25">
      <c r="A48">
        <v>49</v>
      </c>
      <c r="B48" t="s">
        <v>162</v>
      </c>
      <c r="C48" t="s">
        <v>595</v>
      </c>
      <c r="D48" t="s">
        <v>1049</v>
      </c>
      <c r="E48" t="s">
        <v>61</v>
      </c>
      <c r="F48">
        <v>262.80079999999998</v>
      </c>
      <c r="G48">
        <v>405043150</v>
      </c>
      <c r="H48" t="s">
        <v>1437</v>
      </c>
      <c r="I48">
        <v>106445.7</v>
      </c>
      <c r="J48">
        <v>371482417.12575001</v>
      </c>
      <c r="K48">
        <v>477093623.77327597</v>
      </c>
      <c r="L48">
        <v>422880491.48918098</v>
      </c>
      <c r="M48">
        <v>489695476.811755</v>
      </c>
      <c r="N48">
        <v>463262173.38329899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209</v>
      </c>
      <c r="AX48" t="s">
        <v>1460</v>
      </c>
      <c r="AY48" t="s">
        <v>1480</v>
      </c>
      <c r="AZ48">
        <v>50</v>
      </c>
    </row>
    <row r="49" spans="1:52" x14ac:dyDescent="0.25">
      <c r="A49">
        <v>50</v>
      </c>
      <c r="B49" t="s">
        <v>163</v>
      </c>
      <c r="C49" t="s">
        <v>596</v>
      </c>
      <c r="D49" t="s">
        <v>1050</v>
      </c>
      <c r="E49" t="s">
        <v>61</v>
      </c>
      <c r="F49">
        <v>3507.9450000000002</v>
      </c>
      <c r="G49">
        <v>16728714</v>
      </c>
      <c r="H49" t="s">
        <v>1436</v>
      </c>
      <c r="I49">
        <v>58683.41</v>
      </c>
      <c r="J49">
        <v>372428856.25504202</v>
      </c>
      <c r="K49">
        <v>455828596.45033401</v>
      </c>
      <c r="L49">
        <v>439989788.50696802</v>
      </c>
      <c r="M49">
        <v>509475574.23206198</v>
      </c>
      <c r="N49">
        <v>411033820.06215501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398</v>
      </c>
      <c r="AW49" t="s">
        <v>1459</v>
      </c>
      <c r="AX49" t="s">
        <v>1461</v>
      </c>
      <c r="AY49" t="s">
        <v>1481</v>
      </c>
    </row>
    <row r="50" spans="1:52" x14ac:dyDescent="0.25">
      <c r="A50">
        <v>51</v>
      </c>
      <c r="B50" t="s">
        <v>164</v>
      </c>
      <c r="C50" t="s">
        <v>597</v>
      </c>
      <c r="D50" t="s">
        <v>1051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157030063.94252399</v>
      </c>
      <c r="L50">
        <v>157214741.98396</v>
      </c>
      <c r="M50">
        <v>182035633.39842001</v>
      </c>
      <c r="N50">
        <v>149173884.56963101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129</v>
      </c>
      <c r="AX50" t="s">
        <v>1460</v>
      </c>
      <c r="AY50" t="s">
        <v>1480</v>
      </c>
      <c r="AZ50">
        <v>56</v>
      </c>
    </row>
    <row r="51" spans="1:52" x14ac:dyDescent="0.25">
      <c r="A51">
        <v>52</v>
      </c>
      <c r="B51" t="s">
        <v>165</v>
      </c>
      <c r="C51" t="s">
        <v>598</v>
      </c>
      <c r="D51" t="s">
        <v>1052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555035541.60815203</v>
      </c>
      <c r="K51">
        <v>413886201.19189399</v>
      </c>
      <c r="L51">
        <v>428938684.11108297</v>
      </c>
      <c r="M51">
        <v>497569089.40134102</v>
      </c>
      <c r="N51">
        <v>406024531.16427201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366</v>
      </c>
      <c r="AX51" t="s">
        <v>1460</v>
      </c>
      <c r="AY51" t="s">
        <v>1480</v>
      </c>
      <c r="AZ51">
        <v>305</v>
      </c>
    </row>
    <row r="52" spans="1:52" x14ac:dyDescent="0.25">
      <c r="A52">
        <v>53</v>
      </c>
      <c r="B52" t="s">
        <v>166</v>
      </c>
      <c r="C52" t="s">
        <v>599</v>
      </c>
      <c r="D52" t="s">
        <v>1053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280851299.21991903</v>
      </c>
      <c r="L52">
        <v>253917802.32297701</v>
      </c>
      <c r="M52">
        <v>294458383.65665901</v>
      </c>
      <c r="N52">
        <v>268822726.24362999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439</v>
      </c>
      <c r="AW52" t="s">
        <v>1459</v>
      </c>
      <c r="AX52" t="s">
        <v>1461</v>
      </c>
      <c r="AY52" t="s">
        <v>1481</v>
      </c>
    </row>
    <row r="53" spans="1:52" x14ac:dyDescent="0.25">
      <c r="A53">
        <v>54</v>
      </c>
      <c r="B53" t="s">
        <v>167</v>
      </c>
      <c r="C53" t="s">
        <v>600</v>
      </c>
      <c r="D53" t="s">
        <v>1054</v>
      </c>
      <c r="E53" t="s">
        <v>61</v>
      </c>
      <c r="F53">
        <v>87.506399999999999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331943936.06070399</v>
      </c>
      <c r="L53">
        <v>327498745.54878598</v>
      </c>
      <c r="M53">
        <v>379870249.11382902</v>
      </c>
      <c r="N53">
        <v>307253315.00660002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13</v>
      </c>
      <c r="AX53" t="s">
        <v>1460</v>
      </c>
      <c r="AY53" t="s">
        <v>1480</v>
      </c>
      <c r="AZ53">
        <v>102</v>
      </c>
    </row>
    <row r="54" spans="1:52" x14ac:dyDescent="0.25">
      <c r="A54">
        <v>55</v>
      </c>
      <c r="B54" t="s">
        <v>11</v>
      </c>
      <c r="C54" t="s">
        <v>601</v>
      </c>
      <c r="D54" t="s">
        <v>36</v>
      </c>
      <c r="E54" t="s">
        <v>61</v>
      </c>
      <c r="F54">
        <v>42.225639999999999</v>
      </c>
      <c r="G54">
        <v>7406947300</v>
      </c>
      <c r="H54" t="s">
        <v>1436</v>
      </c>
      <c r="I54">
        <v>312763.09999999998</v>
      </c>
      <c r="J54">
        <v>1326849891.8288801</v>
      </c>
      <c r="K54">
        <v>1671811430.33867</v>
      </c>
      <c r="L54">
        <v>1543274831.2206099</v>
      </c>
      <c r="M54">
        <v>1789607393.2502799</v>
      </c>
      <c r="N54">
        <v>1561100232.8698599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202</v>
      </c>
      <c r="AX54" t="s">
        <v>1460</v>
      </c>
      <c r="AY54" t="s">
        <v>1480</v>
      </c>
      <c r="AZ54">
        <v>215</v>
      </c>
    </row>
    <row r="55" spans="1:52" x14ac:dyDescent="0.25">
      <c r="A55">
        <v>60</v>
      </c>
      <c r="B55" t="s">
        <v>168</v>
      </c>
      <c r="C55" t="s">
        <v>602</v>
      </c>
      <c r="D55" t="s">
        <v>1055</v>
      </c>
      <c r="E55" t="s">
        <v>61</v>
      </c>
      <c r="F55">
        <v>170.38740000000001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466170000.62137997</v>
      </c>
      <c r="L55">
        <v>431523122.38323599</v>
      </c>
      <c r="M55">
        <v>500259433.29610902</v>
      </c>
      <c r="N55">
        <v>421202064.42629999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395</v>
      </c>
      <c r="AW55" t="s">
        <v>1459</v>
      </c>
      <c r="AX55" t="s">
        <v>1461</v>
      </c>
      <c r="AY55" t="s">
        <v>1481</v>
      </c>
    </row>
    <row r="56" spans="1:52" x14ac:dyDescent="0.25">
      <c r="A56">
        <v>61</v>
      </c>
      <c r="B56" t="s">
        <v>169</v>
      </c>
      <c r="C56" t="s">
        <v>603</v>
      </c>
      <c r="D56" t="s">
        <v>1056</v>
      </c>
      <c r="E56" t="s">
        <v>61</v>
      </c>
      <c r="F56">
        <v>417.30669999999998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2290514255.1900001</v>
      </c>
      <c r="L56">
        <v>1956876197.6331899</v>
      </c>
      <c r="M56">
        <v>2267164820.6726499</v>
      </c>
      <c r="N56">
        <v>1994446840.4869001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5.0000000000000001E-3</v>
      </c>
      <c r="AD56">
        <v>2.0400000000000001E-2</v>
      </c>
      <c r="AG56">
        <v>5.0000000000000001E-3</v>
      </c>
      <c r="AH56">
        <v>2.0400000000000001E-2</v>
      </c>
      <c r="AI56">
        <v>443</v>
      </c>
      <c r="AT56" t="s">
        <v>1456</v>
      </c>
      <c r="AW56" t="s">
        <v>1459</v>
      </c>
      <c r="AX56" t="s">
        <v>1465</v>
      </c>
      <c r="AY56" t="s">
        <v>1481</v>
      </c>
    </row>
    <row r="57" spans="1:52" x14ac:dyDescent="0.25">
      <c r="A57">
        <v>62</v>
      </c>
      <c r="B57" t="s">
        <v>170</v>
      </c>
      <c r="C57" t="s">
        <v>604</v>
      </c>
      <c r="D57" t="s">
        <v>1057</v>
      </c>
      <c r="E57" t="s">
        <v>61</v>
      </c>
      <c r="F57">
        <v>118.88549999999999</v>
      </c>
      <c r="G57">
        <v>146614600</v>
      </c>
      <c r="H57" t="s">
        <v>1437</v>
      </c>
      <c r="I57">
        <v>17430.349999999999</v>
      </c>
      <c r="J57">
        <v>163129132.583958</v>
      </c>
      <c r="K57">
        <v>184057669.135627</v>
      </c>
      <c r="L57">
        <v>160619326.12937701</v>
      </c>
      <c r="M57">
        <v>185902032.39517301</v>
      </c>
      <c r="N57">
        <v>199868216.61398801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168</v>
      </c>
      <c r="AX57" t="s">
        <v>1460</v>
      </c>
      <c r="AY57" t="s">
        <v>1480</v>
      </c>
      <c r="AZ57">
        <v>89</v>
      </c>
    </row>
    <row r="58" spans="1:52" x14ac:dyDescent="0.25">
      <c r="A58">
        <v>63</v>
      </c>
      <c r="B58" t="s">
        <v>171</v>
      </c>
      <c r="C58" t="s">
        <v>605</v>
      </c>
      <c r="D58" t="s">
        <v>1058</v>
      </c>
      <c r="E58" t="s">
        <v>61</v>
      </c>
      <c r="F58">
        <v>979.83450000000005</v>
      </c>
      <c r="G58">
        <v>154853330</v>
      </c>
      <c r="H58" t="s">
        <v>1436</v>
      </c>
      <c r="I58">
        <v>151730.6</v>
      </c>
      <c r="J58">
        <v>473655159.49360502</v>
      </c>
      <c r="K58">
        <v>643103501.30183899</v>
      </c>
      <c r="L58">
        <v>541767904.40728796</v>
      </c>
      <c r="M58">
        <v>628060111.92955804</v>
      </c>
      <c r="N58">
        <v>629089988.59255803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38</v>
      </c>
      <c r="AX58" t="s">
        <v>1460</v>
      </c>
      <c r="AY58" t="s">
        <v>1480</v>
      </c>
      <c r="AZ58">
        <v>148</v>
      </c>
    </row>
    <row r="59" spans="1:52" x14ac:dyDescent="0.25">
      <c r="A59">
        <v>64</v>
      </c>
      <c r="B59" t="s">
        <v>172</v>
      </c>
      <c r="C59" t="s">
        <v>606</v>
      </c>
      <c r="D59" t="s">
        <v>1059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568974675.74847901</v>
      </c>
      <c r="K59">
        <v>584048493.44496298</v>
      </c>
      <c r="L59">
        <v>506927621.00047898</v>
      </c>
      <c r="M59">
        <v>588523273.41425395</v>
      </c>
      <c r="N59">
        <v>554276640.78884602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182</v>
      </c>
      <c r="AX59" t="s">
        <v>1460</v>
      </c>
      <c r="AY59" t="s">
        <v>1480</v>
      </c>
      <c r="AZ59">
        <v>303</v>
      </c>
    </row>
    <row r="60" spans="1:52" x14ac:dyDescent="0.25">
      <c r="A60">
        <v>65</v>
      </c>
      <c r="B60" t="s">
        <v>173</v>
      </c>
      <c r="C60" t="s">
        <v>607</v>
      </c>
      <c r="D60" t="s">
        <v>1060</v>
      </c>
      <c r="E60" t="s">
        <v>61</v>
      </c>
      <c r="F60">
        <v>67.520060000000001</v>
      </c>
      <c r="G60">
        <v>549574000</v>
      </c>
      <c r="H60" t="s">
        <v>1436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>
        <v>0.62</v>
      </c>
      <c r="R60">
        <v>36.549999999999997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57</v>
      </c>
      <c r="AX60" t="s">
        <v>1460</v>
      </c>
      <c r="AY60" t="s">
        <v>1480</v>
      </c>
      <c r="AZ60">
        <v>283</v>
      </c>
    </row>
    <row r="61" spans="1:52" x14ac:dyDescent="0.25">
      <c r="A61">
        <v>66</v>
      </c>
      <c r="B61" t="s">
        <v>174</v>
      </c>
      <c r="C61" t="s">
        <v>608</v>
      </c>
      <c r="D61" t="s">
        <v>1061</v>
      </c>
      <c r="E61" t="s">
        <v>61</v>
      </c>
      <c r="F61">
        <v>196.38159999999999</v>
      </c>
      <c r="G61">
        <v>756157700</v>
      </c>
      <c r="H61" t="s">
        <v>1436</v>
      </c>
      <c r="I61">
        <v>148495.5</v>
      </c>
      <c r="J61">
        <v>1212518535.2725899</v>
      </c>
      <c r="K61">
        <v>1456350220.46557</v>
      </c>
      <c r="L61">
        <v>1475754692.1657801</v>
      </c>
      <c r="M61">
        <v>1709872931.4833601</v>
      </c>
      <c r="N61">
        <v>1534156835.3150001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341</v>
      </c>
      <c r="AQ61" t="s">
        <v>1453</v>
      </c>
      <c r="AS61" t="s">
        <v>1455</v>
      </c>
      <c r="AX61" t="s">
        <v>1466</v>
      </c>
      <c r="AY61" t="s">
        <v>1481</v>
      </c>
    </row>
    <row r="62" spans="1:52" x14ac:dyDescent="0.25">
      <c r="A62">
        <v>67</v>
      </c>
      <c r="B62" t="s">
        <v>175</v>
      </c>
      <c r="C62" t="s">
        <v>609</v>
      </c>
      <c r="D62" t="s">
        <v>1062</v>
      </c>
      <c r="E62" t="s">
        <v>61</v>
      </c>
      <c r="F62">
        <v>4882.1220000000003</v>
      </c>
      <c r="G62">
        <v>32409885</v>
      </c>
      <c r="H62" t="s">
        <v>1437</v>
      </c>
      <c r="I62">
        <v>158229</v>
      </c>
      <c r="J62">
        <v>880381315.76390004</v>
      </c>
      <c r="K62">
        <v>1090252455.9240201</v>
      </c>
      <c r="L62">
        <v>967342716.88723302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151</v>
      </c>
      <c r="AJ62" t="s">
        <v>1446</v>
      </c>
      <c r="AX62" t="s">
        <v>1462</v>
      </c>
      <c r="AY62" t="s">
        <v>1481</v>
      </c>
    </row>
    <row r="63" spans="1:52" x14ac:dyDescent="0.25">
      <c r="A63">
        <v>68</v>
      </c>
      <c r="B63" t="s">
        <v>176</v>
      </c>
      <c r="C63" t="s">
        <v>610</v>
      </c>
      <c r="D63" t="s">
        <v>1063</v>
      </c>
      <c r="E63" t="s">
        <v>61</v>
      </c>
      <c r="F63">
        <v>90.604190000000003</v>
      </c>
      <c r="G63">
        <v>1481751600</v>
      </c>
      <c r="H63" t="s">
        <v>1436</v>
      </c>
      <c r="I63">
        <v>134252.9</v>
      </c>
      <c r="J63">
        <v>554542067.26783395</v>
      </c>
      <c r="K63">
        <v>717112395.72085404</v>
      </c>
      <c r="L63">
        <v>658934292.88709199</v>
      </c>
      <c r="M63">
        <v>763815068.633834</v>
      </c>
      <c r="N63">
        <v>600111741.80582201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129</v>
      </c>
      <c r="AX63" t="s">
        <v>1460</v>
      </c>
      <c r="AY63" t="s">
        <v>1480</v>
      </c>
      <c r="AZ63">
        <v>92</v>
      </c>
    </row>
    <row r="64" spans="1:52" x14ac:dyDescent="0.25">
      <c r="A64">
        <v>69</v>
      </c>
      <c r="B64" t="s">
        <v>177</v>
      </c>
      <c r="C64" t="s">
        <v>611</v>
      </c>
      <c r="D64" t="s">
        <v>1064</v>
      </c>
      <c r="E64" t="s">
        <v>61</v>
      </c>
      <c r="F64">
        <v>40.894350000000003</v>
      </c>
      <c r="G64">
        <v>2035435800</v>
      </c>
      <c r="H64" t="s">
        <v>1436</v>
      </c>
      <c r="I64">
        <v>83237.81</v>
      </c>
      <c r="J64">
        <v>419857740.11416101</v>
      </c>
      <c r="K64">
        <v>622194191.98504996</v>
      </c>
      <c r="L64">
        <v>527386654.65150797</v>
      </c>
      <c r="M64">
        <v>610655941.77396905</v>
      </c>
      <c r="N64">
        <v>592408852.62063098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14</v>
      </c>
      <c r="AX64" t="s">
        <v>1460</v>
      </c>
      <c r="AY64" t="s">
        <v>1480</v>
      </c>
      <c r="AZ64">
        <v>37</v>
      </c>
    </row>
    <row r="65" spans="1:52" x14ac:dyDescent="0.25">
      <c r="A65">
        <v>70</v>
      </c>
      <c r="B65" t="s">
        <v>12</v>
      </c>
      <c r="C65" t="s">
        <v>612</v>
      </c>
      <c r="D65" t="s">
        <v>37</v>
      </c>
      <c r="E65" t="s">
        <v>61</v>
      </c>
      <c r="F65">
        <v>250.89609999999999</v>
      </c>
      <c r="G65">
        <v>4703471000</v>
      </c>
      <c r="H65" t="s">
        <v>1437</v>
      </c>
      <c r="I65">
        <v>1180082</v>
      </c>
      <c r="J65">
        <v>4428457229.8315401</v>
      </c>
      <c r="K65">
        <v>5006321316.74051</v>
      </c>
      <c r="L65">
        <v>4833545038.5913496</v>
      </c>
      <c r="M65">
        <v>5597175362.9924803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360</v>
      </c>
      <c r="AX65" t="s">
        <v>1460</v>
      </c>
      <c r="AY65" t="s">
        <v>1480</v>
      </c>
      <c r="AZ65">
        <v>219</v>
      </c>
    </row>
    <row r="66" spans="1:52" x14ac:dyDescent="0.25">
      <c r="A66">
        <v>71</v>
      </c>
      <c r="B66" t="s">
        <v>178</v>
      </c>
      <c r="C66" t="s">
        <v>613</v>
      </c>
      <c r="D66" t="s">
        <v>1065</v>
      </c>
      <c r="E66" t="s">
        <v>61</v>
      </c>
      <c r="F66">
        <v>223.74119999999999</v>
      </c>
      <c r="G66">
        <v>117129320</v>
      </c>
      <c r="H66" t="s">
        <v>1436</v>
      </c>
      <c r="I66">
        <v>26206.66</v>
      </c>
      <c r="J66">
        <v>181691919.15489399</v>
      </c>
      <c r="K66">
        <v>133936784.61857</v>
      </c>
      <c r="L66">
        <v>142113384.74255601</v>
      </c>
      <c r="M66">
        <v>164908788.59826899</v>
      </c>
      <c r="N66">
        <v>118031399.41577899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126</v>
      </c>
    </row>
    <row r="67" spans="1:52" x14ac:dyDescent="0.25">
      <c r="A67">
        <v>74</v>
      </c>
      <c r="B67" t="s">
        <v>179</v>
      </c>
      <c r="C67" t="s">
        <v>614</v>
      </c>
      <c r="D67" t="s">
        <v>1066</v>
      </c>
      <c r="E67" t="s">
        <v>61</v>
      </c>
      <c r="F67">
        <v>82.488479999999996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268125547.23821199</v>
      </c>
      <c r="L67">
        <v>336903920.96515101</v>
      </c>
      <c r="M67">
        <v>390834086.57235199</v>
      </c>
      <c r="N67">
        <v>206110854.93654701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310</v>
      </c>
      <c r="AX67" t="s">
        <v>1460</v>
      </c>
      <c r="AY67" t="s">
        <v>1480</v>
      </c>
      <c r="AZ67">
        <v>315</v>
      </c>
    </row>
    <row r="68" spans="1:52" x14ac:dyDescent="0.25">
      <c r="A68">
        <v>75</v>
      </c>
      <c r="B68" t="s">
        <v>180</v>
      </c>
      <c r="C68" t="s">
        <v>615</v>
      </c>
      <c r="D68" t="s">
        <v>1067</v>
      </c>
      <c r="E68" t="s">
        <v>61</v>
      </c>
      <c r="F68">
        <v>239.66550000000001</v>
      </c>
      <c r="G68">
        <v>63086660</v>
      </c>
      <c r="H68" t="s">
        <v>1436</v>
      </c>
      <c r="I68">
        <v>15119.69</v>
      </c>
      <c r="J68">
        <v>210031354.46896401</v>
      </c>
      <c r="K68">
        <v>264306407.62824601</v>
      </c>
      <c r="L68">
        <v>229926906.402365</v>
      </c>
      <c r="M68">
        <v>265947985.681321</v>
      </c>
      <c r="N68">
        <v>239631895.25459099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224</v>
      </c>
      <c r="AX68" t="s">
        <v>1460</v>
      </c>
      <c r="AY68" t="s">
        <v>1480</v>
      </c>
      <c r="AZ68">
        <v>265</v>
      </c>
    </row>
    <row r="69" spans="1:52" x14ac:dyDescent="0.25">
      <c r="A69">
        <v>76</v>
      </c>
      <c r="B69" t="s">
        <v>181</v>
      </c>
      <c r="C69" t="s">
        <v>616</v>
      </c>
      <c r="D69" t="s">
        <v>1068</v>
      </c>
      <c r="E69" t="s">
        <v>61</v>
      </c>
      <c r="F69">
        <v>298.37</v>
      </c>
      <c r="G69">
        <v>272490000</v>
      </c>
      <c r="H69" t="s">
        <v>1437</v>
      </c>
      <c r="I69">
        <v>81302.850000000006</v>
      </c>
      <c r="J69">
        <v>437945430.16140997</v>
      </c>
      <c r="K69">
        <v>538596717.93021095</v>
      </c>
      <c r="L69">
        <v>526513609.44132602</v>
      </c>
      <c r="M69">
        <v>608830809.18146098</v>
      </c>
      <c r="N69">
        <v>512026284.34235901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27</v>
      </c>
      <c r="AX69" t="s">
        <v>1460</v>
      </c>
      <c r="AY69" t="s">
        <v>1480</v>
      </c>
      <c r="AZ69">
        <v>76</v>
      </c>
    </row>
    <row r="70" spans="1:52" x14ac:dyDescent="0.25">
      <c r="A70">
        <v>81</v>
      </c>
      <c r="B70" t="s">
        <v>182</v>
      </c>
      <c r="C70" t="s">
        <v>617</v>
      </c>
      <c r="D70" t="s">
        <v>1069</v>
      </c>
      <c r="E70" t="s">
        <v>61</v>
      </c>
      <c r="F70">
        <v>188.78649999999999</v>
      </c>
      <c r="G70">
        <v>639517330</v>
      </c>
      <c r="H70" t="s">
        <v>1436</v>
      </c>
      <c r="I70">
        <v>120732.2</v>
      </c>
      <c r="J70">
        <v>602439373.59410596</v>
      </c>
      <c r="K70">
        <v>791971063.41394901</v>
      </c>
      <c r="L70">
        <v>700090939.39499402</v>
      </c>
      <c r="M70">
        <v>811391700.31491196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41</v>
      </c>
      <c r="AX70" t="s">
        <v>1460</v>
      </c>
      <c r="AY70" t="s">
        <v>1480</v>
      </c>
      <c r="AZ70">
        <v>297</v>
      </c>
    </row>
    <row r="71" spans="1:52" x14ac:dyDescent="0.25">
      <c r="A71">
        <v>82</v>
      </c>
      <c r="B71" t="s">
        <v>183</v>
      </c>
      <c r="C71" t="s">
        <v>618</v>
      </c>
      <c r="D71" t="s">
        <v>1070</v>
      </c>
      <c r="E71" t="s">
        <v>61</v>
      </c>
      <c r="F71">
        <v>126.38679999999999</v>
      </c>
      <c r="G71">
        <v>238793640</v>
      </c>
      <c r="H71" t="s">
        <v>1436</v>
      </c>
      <c r="I71">
        <v>30180.36</v>
      </c>
      <c r="J71">
        <v>371583307.87927902</v>
      </c>
      <c r="K71">
        <v>315454995.988922</v>
      </c>
      <c r="L71">
        <v>304918189.21864301</v>
      </c>
      <c r="M71">
        <v>353724222.700109</v>
      </c>
      <c r="N71">
        <v>276954220.56692898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261</v>
      </c>
      <c r="AX71" t="s">
        <v>1460</v>
      </c>
      <c r="AY71" t="s">
        <v>1480</v>
      </c>
      <c r="AZ71">
        <v>63</v>
      </c>
    </row>
    <row r="72" spans="1:52" x14ac:dyDescent="0.25">
      <c r="A72">
        <v>83</v>
      </c>
      <c r="B72" t="s">
        <v>184</v>
      </c>
      <c r="C72" t="s">
        <v>619</v>
      </c>
      <c r="D72" t="s">
        <v>1071</v>
      </c>
      <c r="E72" t="s">
        <v>61</v>
      </c>
      <c r="F72">
        <v>26.711040000000001</v>
      </c>
      <c r="G72">
        <v>1167404000</v>
      </c>
      <c r="H72" t="s">
        <v>1436</v>
      </c>
      <c r="I72">
        <v>31182.58</v>
      </c>
      <c r="J72">
        <v>394495030.29011202</v>
      </c>
      <c r="K72">
        <v>501070171.793019</v>
      </c>
      <c r="L72">
        <v>520923713.40616298</v>
      </c>
      <c r="M72">
        <v>604574220.26011705</v>
      </c>
      <c r="N72">
        <v>499500736.62302101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228</v>
      </c>
      <c r="AX72" t="s">
        <v>1460</v>
      </c>
      <c r="AY72" t="s">
        <v>1480</v>
      </c>
      <c r="AZ72">
        <v>151</v>
      </c>
    </row>
    <row r="73" spans="1:52" x14ac:dyDescent="0.25">
      <c r="A73">
        <v>84</v>
      </c>
      <c r="B73" t="s">
        <v>185</v>
      </c>
      <c r="C73" t="s">
        <v>620</v>
      </c>
      <c r="D73" t="s">
        <v>1072</v>
      </c>
      <c r="E73" t="s">
        <v>61</v>
      </c>
      <c r="F73">
        <v>57.817030000000003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309611372.30633903</v>
      </c>
      <c r="L73">
        <v>287920982.58962202</v>
      </c>
      <c r="M73">
        <v>333535753.17901099</v>
      </c>
      <c r="N73">
        <v>311696599.60635102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78</v>
      </c>
      <c r="AX73" t="s">
        <v>1460</v>
      </c>
      <c r="AY73" t="s">
        <v>1480</v>
      </c>
      <c r="AZ73">
        <v>113</v>
      </c>
    </row>
    <row r="74" spans="1:52" x14ac:dyDescent="0.25">
      <c r="A74">
        <v>85</v>
      </c>
      <c r="B74" t="s">
        <v>186</v>
      </c>
      <c r="C74" t="s">
        <v>621</v>
      </c>
      <c r="D74" t="s">
        <v>1073</v>
      </c>
      <c r="E74" t="s">
        <v>61</v>
      </c>
      <c r="F74">
        <v>305.35070000000002</v>
      </c>
      <c r="G74">
        <v>138083500</v>
      </c>
      <c r="H74" t="s">
        <v>1436</v>
      </c>
      <c r="I74">
        <v>42163.89</v>
      </c>
      <c r="J74">
        <v>832649307.49293303</v>
      </c>
      <c r="K74">
        <v>974797660.40702903</v>
      </c>
      <c r="L74">
        <v>954326026.95399106</v>
      </c>
      <c r="M74">
        <v>1104957538.4139099</v>
      </c>
      <c r="N74">
        <v>809102736.00219595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423</v>
      </c>
      <c r="AW74" t="s">
        <v>1459</v>
      </c>
      <c r="AX74" t="s">
        <v>1461</v>
      </c>
      <c r="AY74" t="s">
        <v>1481</v>
      </c>
    </row>
    <row r="75" spans="1:52" x14ac:dyDescent="0.25">
      <c r="A75">
        <v>86</v>
      </c>
      <c r="B75" t="s">
        <v>187</v>
      </c>
      <c r="C75" t="s">
        <v>622</v>
      </c>
      <c r="D75" t="s">
        <v>1074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151178606.77903301</v>
      </c>
      <c r="L75">
        <v>150877326.95888001</v>
      </c>
      <c r="M75">
        <v>174551608.32554901</v>
      </c>
      <c r="N75">
        <v>121935777.921092</v>
      </c>
      <c r="O75" t="s">
        <v>58</v>
      </c>
      <c r="P75">
        <v>1</v>
      </c>
      <c r="Q75">
        <v>2.2200000000000002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259</v>
      </c>
      <c r="AX75" t="s">
        <v>1460</v>
      </c>
      <c r="AY75" t="s">
        <v>1480</v>
      </c>
      <c r="AZ75">
        <v>298</v>
      </c>
    </row>
    <row r="76" spans="1:52" x14ac:dyDescent="0.25">
      <c r="A76">
        <v>87</v>
      </c>
      <c r="B76" t="s">
        <v>188</v>
      </c>
      <c r="C76" t="s">
        <v>623</v>
      </c>
      <c r="D76" t="s">
        <v>1075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1266121495.3303101</v>
      </c>
      <c r="K76">
        <v>910270181.80166304</v>
      </c>
      <c r="L76">
        <v>963077289.32815695</v>
      </c>
      <c r="M76">
        <v>1117300658.49</v>
      </c>
      <c r="N76">
        <v>853266473.45873106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334</v>
      </c>
      <c r="AX76" t="s">
        <v>1460</v>
      </c>
      <c r="AY76" t="s">
        <v>1480</v>
      </c>
      <c r="AZ76">
        <v>165</v>
      </c>
    </row>
    <row r="77" spans="1:52" x14ac:dyDescent="0.25">
      <c r="A77">
        <v>88</v>
      </c>
      <c r="B77" t="s">
        <v>189</v>
      </c>
      <c r="C77" t="s">
        <v>624</v>
      </c>
      <c r="D77" t="s">
        <v>1076</v>
      </c>
      <c r="E77" t="s">
        <v>61</v>
      </c>
      <c r="F77">
        <v>140.30549999999999</v>
      </c>
      <c r="G77">
        <v>297554320</v>
      </c>
      <c r="H77" t="s">
        <v>1436</v>
      </c>
      <c r="I77">
        <v>41748.51</v>
      </c>
      <c r="J77">
        <v>194877095.08591101</v>
      </c>
      <c r="K77">
        <v>213232206.05644199</v>
      </c>
      <c r="L77">
        <v>196610675.76719701</v>
      </c>
      <c r="M77">
        <v>227610947.073659</v>
      </c>
      <c r="N77">
        <v>218250775.52219799</v>
      </c>
      <c r="O77" t="s">
        <v>59</v>
      </c>
      <c r="P77">
        <v>1</v>
      </c>
      <c r="Q77">
        <v>0.34</v>
      </c>
      <c r="R77">
        <v>65.099999999999994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14</v>
      </c>
      <c r="AX77" t="s">
        <v>1460</v>
      </c>
      <c r="AY77" t="s">
        <v>1480</v>
      </c>
      <c r="AZ77">
        <v>22</v>
      </c>
    </row>
    <row r="78" spans="1:52" x14ac:dyDescent="0.25">
      <c r="A78">
        <v>89</v>
      </c>
      <c r="B78" t="s">
        <v>190</v>
      </c>
      <c r="C78" t="s">
        <v>625</v>
      </c>
      <c r="D78" t="s">
        <v>1077</v>
      </c>
      <c r="E78" t="s">
        <v>61</v>
      </c>
      <c r="F78">
        <v>142.51580000000001</v>
      </c>
      <c r="G78">
        <v>131060750</v>
      </c>
      <c r="H78" t="s">
        <v>1437</v>
      </c>
      <c r="I78">
        <v>18678.23</v>
      </c>
      <c r="J78">
        <v>198700051.14243099</v>
      </c>
      <c r="K78">
        <v>196978577.87349999</v>
      </c>
      <c r="L78">
        <v>167154504.65584201</v>
      </c>
      <c r="M78">
        <v>193649077.93536299</v>
      </c>
      <c r="N78">
        <v>207560471.90876499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170</v>
      </c>
      <c r="AX78" t="s">
        <v>1460</v>
      </c>
      <c r="AY78" t="s">
        <v>1480</v>
      </c>
      <c r="AZ78">
        <v>127</v>
      </c>
    </row>
    <row r="79" spans="1:52" x14ac:dyDescent="0.25">
      <c r="A79">
        <v>91</v>
      </c>
      <c r="B79" t="s">
        <v>191</v>
      </c>
      <c r="C79" t="s">
        <v>626</v>
      </c>
      <c r="D79" t="s">
        <v>1078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397358505.53264499</v>
      </c>
      <c r="L79">
        <v>328363276.08556497</v>
      </c>
      <c r="M79">
        <v>380395325.43073201</v>
      </c>
      <c r="N79">
        <v>355755798.912256</v>
      </c>
      <c r="O79" t="s">
        <v>59</v>
      </c>
      <c r="P79">
        <v>1</v>
      </c>
      <c r="Q79">
        <v>2.3199999999999998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271</v>
      </c>
      <c r="AX79" t="s">
        <v>1460</v>
      </c>
      <c r="AY79" t="s">
        <v>1480</v>
      </c>
      <c r="AZ79">
        <v>144</v>
      </c>
    </row>
    <row r="80" spans="1:52" x14ac:dyDescent="0.25">
      <c r="A80">
        <v>93</v>
      </c>
      <c r="B80" t="s">
        <v>192</v>
      </c>
      <c r="C80" t="s">
        <v>627</v>
      </c>
      <c r="D80" t="s">
        <v>1079</v>
      </c>
      <c r="E80" t="s">
        <v>61</v>
      </c>
      <c r="F80">
        <v>32.471409999999999</v>
      </c>
      <c r="G80">
        <v>652864870</v>
      </c>
      <c r="H80" t="s">
        <v>1436</v>
      </c>
      <c r="I80">
        <v>21199.439999999999</v>
      </c>
      <c r="J80">
        <v>136112004.36421099</v>
      </c>
      <c r="K80">
        <v>180645698.51698101</v>
      </c>
      <c r="L80">
        <v>173795785.30269599</v>
      </c>
      <c r="M80">
        <v>201241200.97720101</v>
      </c>
      <c r="N80">
        <v>161970560.64626601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6.0999999999999999E-2</v>
      </c>
      <c r="AF80">
        <v>0.87</v>
      </c>
      <c r="AG80">
        <v>0</v>
      </c>
      <c r="AH80">
        <v>6.0999999999999999E-2</v>
      </c>
      <c r="AI80">
        <v>261</v>
      </c>
      <c r="AX80" t="s">
        <v>1460</v>
      </c>
      <c r="AY80" t="s">
        <v>1480</v>
      </c>
      <c r="AZ80">
        <v>181</v>
      </c>
    </row>
    <row r="81" spans="1:52" x14ac:dyDescent="0.25">
      <c r="A81">
        <v>95</v>
      </c>
      <c r="B81" t="s">
        <v>193</v>
      </c>
      <c r="C81" t="s">
        <v>628</v>
      </c>
      <c r="D81" t="s">
        <v>1080</v>
      </c>
      <c r="E81" t="s">
        <v>61</v>
      </c>
      <c r="F81">
        <v>81.780169999999998</v>
      </c>
      <c r="G81">
        <v>1815219400</v>
      </c>
      <c r="H81" t="s">
        <v>1436</v>
      </c>
      <c r="I81">
        <v>148448.9</v>
      </c>
      <c r="J81">
        <v>676407221.37682295</v>
      </c>
      <c r="K81">
        <v>699793862.36133003</v>
      </c>
      <c r="L81">
        <v>653715564.88879704</v>
      </c>
      <c r="M81">
        <v>758556939.61059499</v>
      </c>
      <c r="N81">
        <v>671730707.66805804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291</v>
      </c>
      <c r="AX81" t="s">
        <v>1460</v>
      </c>
      <c r="AY81" t="s">
        <v>1480</v>
      </c>
      <c r="AZ81">
        <v>275</v>
      </c>
    </row>
    <row r="82" spans="1:52" x14ac:dyDescent="0.25">
      <c r="A82">
        <v>96</v>
      </c>
      <c r="B82" t="s">
        <v>194</v>
      </c>
      <c r="C82" t="s">
        <v>629</v>
      </c>
      <c r="D82" t="s">
        <v>1081</v>
      </c>
      <c r="E82" t="s">
        <v>61</v>
      </c>
      <c r="F82">
        <v>236.88339999999999</v>
      </c>
      <c r="G82">
        <v>136627990</v>
      </c>
      <c r="H82" t="s">
        <v>1437</v>
      </c>
      <c r="I82">
        <v>32364.91</v>
      </c>
      <c r="J82">
        <v>453645452.57608998</v>
      </c>
      <c r="K82">
        <v>494507282.736889</v>
      </c>
      <c r="L82">
        <v>501489560.65073401</v>
      </c>
      <c r="M82">
        <v>581585320.46619594</v>
      </c>
      <c r="N82">
        <v>443485710.05580699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359</v>
      </c>
      <c r="AX82" t="s">
        <v>1460</v>
      </c>
      <c r="AY82" t="s">
        <v>1480</v>
      </c>
      <c r="AZ82">
        <v>211</v>
      </c>
    </row>
    <row r="83" spans="1:52" x14ac:dyDescent="0.25">
      <c r="A83">
        <v>97</v>
      </c>
      <c r="B83" t="s">
        <v>195</v>
      </c>
      <c r="C83" t="s">
        <v>630</v>
      </c>
      <c r="D83" t="s">
        <v>1082</v>
      </c>
      <c r="E83" t="s">
        <v>61</v>
      </c>
      <c r="F83">
        <v>202.73079999999999</v>
      </c>
      <c r="G83">
        <v>219768100</v>
      </c>
      <c r="H83" t="s">
        <v>1436</v>
      </c>
      <c r="I83">
        <v>44553.77</v>
      </c>
      <c r="J83">
        <v>354457929.44255298</v>
      </c>
      <c r="K83">
        <v>409974990.03301603</v>
      </c>
      <c r="L83">
        <v>398622634.25160003</v>
      </c>
      <c r="M83">
        <v>461655751.69738197</v>
      </c>
      <c r="N83">
        <v>381597669.19313103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344</v>
      </c>
      <c r="AX83" t="s">
        <v>1460</v>
      </c>
      <c r="AY83" t="s">
        <v>1480</v>
      </c>
      <c r="AZ83">
        <v>185</v>
      </c>
    </row>
    <row r="84" spans="1:52" x14ac:dyDescent="0.25">
      <c r="A84">
        <v>98</v>
      </c>
      <c r="B84" t="s">
        <v>196</v>
      </c>
      <c r="C84" t="s">
        <v>631</v>
      </c>
      <c r="D84" t="s">
        <v>1083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1295120954.5000701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9.9000000000000008E-3</v>
      </c>
      <c r="AE84" t="s">
        <v>1445</v>
      </c>
      <c r="AF84">
        <v>0.99</v>
      </c>
      <c r="AG84">
        <v>0</v>
      </c>
      <c r="AH84">
        <v>9.9000000000000008E-3</v>
      </c>
      <c r="AI84">
        <v>431</v>
      </c>
      <c r="AV84" t="s">
        <v>1458</v>
      </c>
      <c r="AW84" t="s">
        <v>1459</v>
      </c>
      <c r="AX84" t="s">
        <v>1467</v>
      </c>
      <c r="AY84" t="s">
        <v>1481</v>
      </c>
    </row>
    <row r="85" spans="1:52" x14ac:dyDescent="0.25">
      <c r="A85">
        <v>99</v>
      </c>
      <c r="B85" t="s">
        <v>197</v>
      </c>
      <c r="C85" t="s">
        <v>632</v>
      </c>
      <c r="D85" t="s">
        <v>1084</v>
      </c>
      <c r="E85" t="s">
        <v>61</v>
      </c>
      <c r="F85">
        <v>37.241849999999999</v>
      </c>
      <c r="G85">
        <v>1340885000</v>
      </c>
      <c r="H85" t="s">
        <v>1436</v>
      </c>
      <c r="I85">
        <v>49937.04</v>
      </c>
      <c r="J85">
        <v>618855164.52933598</v>
      </c>
      <c r="K85">
        <v>658270882.047575</v>
      </c>
      <c r="L85">
        <v>674359323.61576498</v>
      </c>
      <c r="M85">
        <v>782850771.43635297</v>
      </c>
      <c r="N85">
        <v>597966604.22017598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82</v>
      </c>
      <c r="AX85" t="s">
        <v>1460</v>
      </c>
      <c r="AY85" t="s">
        <v>1480</v>
      </c>
      <c r="AZ85">
        <v>195</v>
      </c>
    </row>
    <row r="86" spans="1:52" x14ac:dyDescent="0.25">
      <c r="A86">
        <v>100</v>
      </c>
      <c r="B86" t="s">
        <v>198</v>
      </c>
      <c r="C86" t="s">
        <v>633</v>
      </c>
      <c r="D86" t="s">
        <v>1085</v>
      </c>
      <c r="E86" t="s">
        <v>61</v>
      </c>
      <c r="F86">
        <v>236.97730000000001</v>
      </c>
      <c r="G86">
        <v>398690300</v>
      </c>
      <c r="H86" t="s">
        <v>1436</v>
      </c>
      <c r="I86">
        <v>94480.55</v>
      </c>
      <c r="J86">
        <v>363201862.54762399</v>
      </c>
      <c r="K86">
        <v>457056309.02205801</v>
      </c>
      <c r="L86">
        <v>437465830.71448898</v>
      </c>
      <c r="M86">
        <v>507437234.86728603</v>
      </c>
      <c r="N86">
        <v>438036084.002469</v>
      </c>
      <c r="O86" t="s">
        <v>59</v>
      </c>
      <c r="P86">
        <v>0.95</v>
      </c>
      <c r="Q86">
        <v>2.5099999999999998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301</v>
      </c>
      <c r="AX86" t="s">
        <v>1460</v>
      </c>
      <c r="AY86" t="s">
        <v>1480</v>
      </c>
      <c r="AZ86">
        <v>247</v>
      </c>
    </row>
    <row r="87" spans="1:52" x14ac:dyDescent="0.25">
      <c r="A87">
        <v>101</v>
      </c>
      <c r="B87" t="s">
        <v>199</v>
      </c>
      <c r="C87" t="s">
        <v>634</v>
      </c>
      <c r="D87" t="s">
        <v>1086</v>
      </c>
      <c r="E87" t="s">
        <v>61</v>
      </c>
      <c r="F87">
        <v>81.088920000000002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192738846.98353299</v>
      </c>
      <c r="L87">
        <v>190567487.614977</v>
      </c>
      <c r="M87">
        <v>220590919.22888601</v>
      </c>
      <c r="N87">
        <v>169753859.68758401</v>
      </c>
      <c r="O87" t="s">
        <v>59</v>
      </c>
      <c r="P87">
        <v>1</v>
      </c>
      <c r="Q87">
        <v>2.2000000000000002</v>
      </c>
      <c r="R87">
        <v>52.75</v>
      </c>
      <c r="S87">
        <v>0.94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0.94</v>
      </c>
      <c r="AG87">
        <v>0</v>
      </c>
      <c r="AH87">
        <v>0</v>
      </c>
      <c r="AI87">
        <v>257</v>
      </c>
      <c r="AX87" t="s">
        <v>1460</v>
      </c>
      <c r="AY87" t="s">
        <v>1480</v>
      </c>
      <c r="AZ87">
        <v>139</v>
      </c>
    </row>
    <row r="88" spans="1:52" x14ac:dyDescent="0.25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</row>
    <row r="89" spans="1:52" x14ac:dyDescent="0.25">
      <c r="A89">
        <v>104</v>
      </c>
      <c r="B89" t="s">
        <v>201</v>
      </c>
      <c r="C89" t="s">
        <v>636</v>
      </c>
      <c r="D89" t="s">
        <v>1088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67787864.471160099</v>
      </c>
      <c r="K89">
        <v>86436161.944108605</v>
      </c>
      <c r="L89">
        <v>72106660.400381804</v>
      </c>
      <c r="M89">
        <v>83557387.1840325</v>
      </c>
      <c r="N89">
        <v>83369202.043856397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370</v>
      </c>
      <c r="AW89" t="s">
        <v>1459</v>
      </c>
      <c r="AX89" t="s">
        <v>1461</v>
      </c>
      <c r="AY89" t="s">
        <v>1481</v>
      </c>
    </row>
    <row r="90" spans="1:52" x14ac:dyDescent="0.25">
      <c r="A90">
        <v>105</v>
      </c>
      <c r="B90" t="s">
        <v>202</v>
      </c>
      <c r="C90" t="s">
        <v>637</v>
      </c>
      <c r="D90" t="s">
        <v>1089</v>
      </c>
      <c r="E90" t="s">
        <v>61</v>
      </c>
      <c r="F90">
        <v>183.9819</v>
      </c>
      <c r="G90">
        <v>402977940</v>
      </c>
      <c r="H90" t="s">
        <v>1437</v>
      </c>
      <c r="I90">
        <v>74140.639999999999</v>
      </c>
      <c r="J90">
        <v>266484449.014202</v>
      </c>
      <c r="K90">
        <v>313124707.73117</v>
      </c>
      <c r="L90">
        <v>274002867.39095098</v>
      </c>
      <c r="M90">
        <v>317524543.62664801</v>
      </c>
      <c r="N90">
        <v>312339058.84411299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177</v>
      </c>
      <c r="AX90" t="s">
        <v>1460</v>
      </c>
      <c r="AY90" t="s">
        <v>1480</v>
      </c>
      <c r="AZ90">
        <v>216</v>
      </c>
    </row>
    <row r="91" spans="1:52" x14ac:dyDescent="0.25">
      <c r="A91">
        <v>106</v>
      </c>
      <c r="B91" t="s">
        <v>203</v>
      </c>
      <c r="C91" t="s">
        <v>638</v>
      </c>
      <c r="D91" t="s">
        <v>1090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4195308415.4189401</v>
      </c>
      <c r="L91">
        <v>4195308415.4189401</v>
      </c>
      <c r="M91">
        <v>4869627529.7617197</v>
      </c>
      <c r="N91">
        <v>4195308415.4189401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1</v>
      </c>
      <c r="AJ91" t="s">
        <v>1446</v>
      </c>
      <c r="AK91" t="s">
        <v>1447</v>
      </c>
      <c r="AX91" t="s">
        <v>1468</v>
      </c>
      <c r="AY91" t="s">
        <v>1481</v>
      </c>
    </row>
    <row r="92" spans="1:52" x14ac:dyDescent="0.25">
      <c r="A92">
        <v>107</v>
      </c>
      <c r="B92" t="s">
        <v>13</v>
      </c>
      <c r="C92" t="s">
        <v>639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1234256500.4516201</v>
      </c>
      <c r="L92">
        <v>1180078478.9753499</v>
      </c>
      <c r="M92">
        <v>1368994163.1348701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10</v>
      </c>
      <c r="AX92" t="s">
        <v>1460</v>
      </c>
      <c r="AY92" t="s">
        <v>1480</v>
      </c>
      <c r="AZ92">
        <v>18</v>
      </c>
    </row>
    <row r="93" spans="1:52" x14ac:dyDescent="0.25">
      <c r="A93">
        <v>108</v>
      </c>
      <c r="B93" t="s">
        <v>204</v>
      </c>
      <c r="C93" t="s">
        <v>640</v>
      </c>
      <c r="D93" t="s">
        <v>1091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1080009845.5856099</v>
      </c>
      <c r="L93">
        <v>1082422138.49862</v>
      </c>
      <c r="M93">
        <v>1256721267.2894599</v>
      </c>
      <c r="N93">
        <v>993110010.89100599</v>
      </c>
      <c r="O93" t="s">
        <v>59</v>
      </c>
      <c r="P93">
        <v>1</v>
      </c>
      <c r="Q93">
        <v>0.56000000000000005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44</v>
      </c>
      <c r="AX93" t="s">
        <v>1460</v>
      </c>
      <c r="AY93" t="s">
        <v>1480</v>
      </c>
      <c r="AZ93">
        <v>130</v>
      </c>
    </row>
    <row r="94" spans="1:52" x14ac:dyDescent="0.25">
      <c r="A94">
        <v>109</v>
      </c>
      <c r="B94" t="s">
        <v>205</v>
      </c>
      <c r="C94" t="s">
        <v>641</v>
      </c>
      <c r="D94" t="s">
        <v>1092</v>
      </c>
      <c r="E94" t="s">
        <v>61</v>
      </c>
      <c r="F94">
        <v>43.326509999999999</v>
      </c>
      <c r="G94">
        <v>431349000</v>
      </c>
      <c r="H94" t="s">
        <v>1436</v>
      </c>
      <c r="I94">
        <v>18688.849999999999</v>
      </c>
      <c r="J94">
        <v>159060962.70625499</v>
      </c>
      <c r="K94">
        <v>189313852.88774699</v>
      </c>
      <c r="L94">
        <v>196974536.64274001</v>
      </c>
      <c r="M94">
        <v>228456900.80243</v>
      </c>
      <c r="N94">
        <v>184029273.21586499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345</v>
      </c>
      <c r="AX94" t="s">
        <v>1460</v>
      </c>
      <c r="AY94" t="s">
        <v>1480</v>
      </c>
      <c r="AZ94">
        <v>289</v>
      </c>
    </row>
    <row r="95" spans="1:52" x14ac:dyDescent="0.25">
      <c r="A95">
        <v>110</v>
      </c>
      <c r="B95" t="s">
        <v>206</v>
      </c>
      <c r="C95" t="s">
        <v>642</v>
      </c>
      <c r="D95" t="s">
        <v>1093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414712905.20960402</v>
      </c>
      <c r="K95">
        <v>474695676.406165</v>
      </c>
      <c r="L95">
        <v>511911030.15565503</v>
      </c>
      <c r="M95">
        <v>593270895.12510896</v>
      </c>
      <c r="N95">
        <v>393516553.58469802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451</v>
      </c>
      <c r="AW95" t="s">
        <v>1459</v>
      </c>
      <c r="AX95" t="s">
        <v>1461</v>
      </c>
      <c r="AY95" t="s">
        <v>1481</v>
      </c>
    </row>
    <row r="96" spans="1:52" x14ac:dyDescent="0.25">
      <c r="A96">
        <v>111</v>
      </c>
      <c r="B96" t="s">
        <v>207</v>
      </c>
      <c r="C96" t="s">
        <v>643</v>
      </c>
      <c r="D96" t="s">
        <v>1094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435631600.59830302</v>
      </c>
      <c r="K96">
        <v>588828846.02629304</v>
      </c>
      <c r="L96">
        <v>546727099.14504898</v>
      </c>
      <c r="M96">
        <v>633170708.11238503</v>
      </c>
      <c r="N96">
        <v>504735379.99131602</v>
      </c>
      <c r="O96" t="s">
        <v>58</v>
      </c>
      <c r="P96">
        <v>1</v>
      </c>
      <c r="Q96">
        <v>2.2799999999999998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267</v>
      </c>
      <c r="AX96" t="s">
        <v>1460</v>
      </c>
      <c r="AY96" t="s">
        <v>1480</v>
      </c>
      <c r="AZ96">
        <v>232</v>
      </c>
    </row>
    <row r="97" spans="1:52" x14ac:dyDescent="0.25">
      <c r="A97">
        <v>112</v>
      </c>
      <c r="B97" t="s">
        <v>208</v>
      </c>
      <c r="C97" t="s">
        <v>644</v>
      </c>
      <c r="D97" t="s">
        <v>1095</v>
      </c>
      <c r="E97" t="s">
        <v>61</v>
      </c>
      <c r="F97">
        <v>62.399729999999998</v>
      </c>
      <c r="G97">
        <v>299335450</v>
      </c>
      <c r="H97" t="s">
        <v>1436</v>
      </c>
      <c r="I97">
        <v>18678.45</v>
      </c>
      <c r="J97">
        <v>149976230.93645701</v>
      </c>
      <c r="K97">
        <v>163513408.82776299</v>
      </c>
      <c r="L97">
        <v>144994446.67155999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0.45100000000000001</v>
      </c>
      <c r="AF97">
        <v>0.91</v>
      </c>
      <c r="AG97">
        <v>0</v>
      </c>
      <c r="AH97">
        <v>0.45100000000000001</v>
      </c>
      <c r="AI97">
        <v>371</v>
      </c>
      <c r="AU97" t="s">
        <v>1457</v>
      </c>
      <c r="AW97" t="s">
        <v>1459</v>
      </c>
      <c r="AX97" t="s">
        <v>1469</v>
      </c>
      <c r="AY97" t="s">
        <v>1481</v>
      </c>
    </row>
    <row r="98" spans="1:52" x14ac:dyDescent="0.25">
      <c r="A98">
        <v>113</v>
      </c>
      <c r="B98" t="s">
        <v>14</v>
      </c>
      <c r="C98" t="s">
        <v>645</v>
      </c>
      <c r="D98" t="s">
        <v>39</v>
      </c>
      <c r="E98" t="s">
        <v>61</v>
      </c>
      <c r="F98">
        <v>59.848089999999999</v>
      </c>
      <c r="G98">
        <v>4303667500</v>
      </c>
      <c r="H98" t="s">
        <v>1436</v>
      </c>
      <c r="I98">
        <v>257566.3</v>
      </c>
      <c r="J98">
        <v>726459285.39432597</v>
      </c>
      <c r="K98">
        <v>1051612961.57113</v>
      </c>
      <c r="L98">
        <v>914230375.49364603</v>
      </c>
      <c r="M98">
        <v>1059945793.5657001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66</v>
      </c>
      <c r="AX98" t="s">
        <v>1460</v>
      </c>
      <c r="AY98" t="s">
        <v>1480</v>
      </c>
      <c r="AZ98">
        <v>222</v>
      </c>
    </row>
    <row r="99" spans="1:52" x14ac:dyDescent="0.25">
      <c r="A99">
        <v>114</v>
      </c>
      <c r="B99" t="s">
        <v>209</v>
      </c>
      <c r="C99" t="s">
        <v>646</v>
      </c>
      <c r="D99" t="s">
        <v>1096</v>
      </c>
      <c r="E99" t="s">
        <v>61</v>
      </c>
      <c r="F99">
        <v>77.095060000000004</v>
      </c>
      <c r="G99">
        <v>460780980</v>
      </c>
      <c r="H99" t="s">
        <v>1437</v>
      </c>
      <c r="I99">
        <v>35523.94</v>
      </c>
      <c r="J99">
        <v>162995809.17854699</v>
      </c>
      <c r="K99">
        <v>180147139.61720699</v>
      </c>
      <c r="L99">
        <v>150693886.31168899</v>
      </c>
      <c r="M99">
        <v>174556009.18880901</v>
      </c>
      <c r="N99">
        <v>144234490.91100299</v>
      </c>
      <c r="O99" t="s">
        <v>58</v>
      </c>
      <c r="P99">
        <v>0.45</v>
      </c>
      <c r="Q99">
        <v>0.66</v>
      </c>
      <c r="R99">
        <v>55.82</v>
      </c>
      <c r="S99">
        <v>0.94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0.94</v>
      </c>
      <c r="AG99">
        <v>0</v>
      </c>
      <c r="AH99">
        <v>0</v>
      </c>
      <c r="AI99">
        <v>65</v>
      </c>
      <c r="AX99" t="s">
        <v>1460</v>
      </c>
      <c r="AY99" t="s">
        <v>1480</v>
      </c>
      <c r="AZ99">
        <v>96</v>
      </c>
    </row>
    <row r="100" spans="1:52" x14ac:dyDescent="0.25">
      <c r="A100">
        <v>115</v>
      </c>
      <c r="B100" t="s">
        <v>210</v>
      </c>
      <c r="C100" t="s">
        <v>647</v>
      </c>
      <c r="D100" t="s">
        <v>1097</v>
      </c>
      <c r="E100" t="s">
        <v>61</v>
      </c>
      <c r="F100">
        <v>61.759689999999999</v>
      </c>
      <c r="G100">
        <v>488395940</v>
      </c>
      <c r="H100" t="s">
        <v>1437</v>
      </c>
      <c r="I100">
        <v>30163.18</v>
      </c>
      <c r="J100">
        <v>248878083.86301199</v>
      </c>
      <c r="K100">
        <v>270360057.87363797</v>
      </c>
      <c r="L100">
        <v>244959727.08689299</v>
      </c>
      <c r="M100">
        <v>283653899.21237397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108</v>
      </c>
      <c r="AX100" t="s">
        <v>1460</v>
      </c>
      <c r="AY100" t="s">
        <v>1480</v>
      </c>
      <c r="AZ100">
        <v>15</v>
      </c>
    </row>
    <row r="101" spans="1:52" x14ac:dyDescent="0.25">
      <c r="A101">
        <v>116</v>
      </c>
      <c r="B101" t="s">
        <v>211</v>
      </c>
      <c r="C101" t="s">
        <v>648</v>
      </c>
      <c r="D101" t="s">
        <v>1098</v>
      </c>
      <c r="E101" t="s">
        <v>61</v>
      </c>
      <c r="F101">
        <v>272.95609999999999</v>
      </c>
      <c r="G101">
        <v>215159120</v>
      </c>
      <c r="H101" t="s">
        <v>1437</v>
      </c>
      <c r="I101">
        <v>58729</v>
      </c>
      <c r="J101">
        <v>3088643867.0404301</v>
      </c>
      <c r="K101">
        <v>2999660990.2897</v>
      </c>
      <c r="L101">
        <v>3847848113.4079099</v>
      </c>
      <c r="M101">
        <v>4469242288.3070402</v>
      </c>
      <c r="N101">
        <v>2788665538.8413601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221</v>
      </c>
      <c r="AX101" t="s">
        <v>1460</v>
      </c>
      <c r="AY101" t="s">
        <v>1480</v>
      </c>
      <c r="AZ101">
        <v>311</v>
      </c>
    </row>
    <row r="102" spans="1:52" x14ac:dyDescent="0.25">
      <c r="A102">
        <v>117</v>
      </c>
      <c r="B102" t="s">
        <v>212</v>
      </c>
      <c r="C102" t="s">
        <v>649</v>
      </c>
      <c r="D102" t="s">
        <v>1099</v>
      </c>
      <c r="E102" t="s">
        <v>61</v>
      </c>
      <c r="F102">
        <v>73.340159999999997</v>
      </c>
      <c r="G102">
        <v>808220800</v>
      </c>
      <c r="H102" t="s">
        <v>1436</v>
      </c>
      <c r="I102">
        <v>59275.05</v>
      </c>
      <c r="J102">
        <v>335390424.50797999</v>
      </c>
      <c r="K102">
        <v>425642125.64200699</v>
      </c>
      <c r="L102">
        <v>385373583.54321897</v>
      </c>
      <c r="M102">
        <v>446297088.52785599</v>
      </c>
      <c r="N102">
        <v>413936065.52719301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88</v>
      </c>
      <c r="AX102" t="s">
        <v>1460</v>
      </c>
      <c r="AY102" t="s">
        <v>1480</v>
      </c>
      <c r="AZ102">
        <v>82</v>
      </c>
    </row>
    <row r="103" spans="1:52" x14ac:dyDescent="0.25">
      <c r="A103">
        <v>118</v>
      </c>
      <c r="B103" t="s">
        <v>213</v>
      </c>
      <c r="C103" t="s">
        <v>650</v>
      </c>
      <c r="D103" t="s">
        <v>1100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616172466.80293906</v>
      </c>
      <c r="K103">
        <v>729222108.89149702</v>
      </c>
      <c r="L103">
        <v>619868065.01939297</v>
      </c>
      <c r="M103">
        <v>717956215.89675796</v>
      </c>
      <c r="N103">
        <v>751551765.15631998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196</v>
      </c>
      <c r="AX103" t="s">
        <v>1460</v>
      </c>
      <c r="AY103" t="s">
        <v>1480</v>
      </c>
      <c r="AZ103">
        <v>157</v>
      </c>
    </row>
    <row r="104" spans="1:52" x14ac:dyDescent="0.25">
      <c r="A104">
        <v>119</v>
      </c>
      <c r="B104" t="s">
        <v>214</v>
      </c>
      <c r="C104" t="s">
        <v>651</v>
      </c>
      <c r="D104" t="s">
        <v>1101</v>
      </c>
      <c r="E104" t="s">
        <v>61</v>
      </c>
      <c r="F104">
        <v>588.39390000000003</v>
      </c>
      <c r="G104">
        <v>35281452</v>
      </c>
      <c r="H104" t="s">
        <v>1436</v>
      </c>
      <c r="I104">
        <v>20759.39</v>
      </c>
      <c r="J104">
        <v>227107020.97089201</v>
      </c>
      <c r="K104">
        <v>184753819.01210201</v>
      </c>
      <c r="L104">
        <v>194265980.23723999</v>
      </c>
      <c r="M104">
        <v>225341821.795304</v>
      </c>
      <c r="N104">
        <v>167056828.85197899</v>
      </c>
      <c r="O104" t="s">
        <v>59</v>
      </c>
      <c r="P104">
        <v>1</v>
      </c>
      <c r="Q104">
        <v>3.05</v>
      </c>
      <c r="R104">
        <v>32.4</v>
      </c>
      <c r="S104">
        <v>0.55000000000000004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0.55000000000000004</v>
      </c>
      <c r="AG104">
        <v>0</v>
      </c>
      <c r="AH104">
        <v>0</v>
      </c>
      <c r="AI104">
        <v>363</v>
      </c>
      <c r="AJ104" t="s">
        <v>1446</v>
      </c>
      <c r="AX104" t="s">
        <v>1462</v>
      </c>
      <c r="AY104" t="s">
        <v>1481</v>
      </c>
    </row>
    <row r="105" spans="1:52" x14ac:dyDescent="0.25">
      <c r="A105">
        <v>120</v>
      </c>
      <c r="B105" t="s">
        <v>215</v>
      </c>
      <c r="C105" t="s">
        <v>652</v>
      </c>
      <c r="D105" t="s">
        <v>1102</v>
      </c>
      <c r="E105" t="s">
        <v>61</v>
      </c>
      <c r="F105">
        <v>82.590879999999999</v>
      </c>
      <c r="G105">
        <v>1248942300</v>
      </c>
      <c r="H105" t="s">
        <v>1436</v>
      </c>
      <c r="I105">
        <v>103151.2</v>
      </c>
      <c r="J105">
        <v>589705862.45718002</v>
      </c>
      <c r="K105">
        <v>698306059.20655</v>
      </c>
      <c r="L105">
        <v>600408336.24782395</v>
      </c>
      <c r="M105">
        <v>695419975.66514301</v>
      </c>
      <c r="N105">
        <v>688212345.13207901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183</v>
      </c>
      <c r="AV105" t="s">
        <v>1458</v>
      </c>
      <c r="AX105" t="s">
        <v>1470</v>
      </c>
      <c r="AY105" t="s">
        <v>1481</v>
      </c>
    </row>
    <row r="106" spans="1:52" x14ac:dyDescent="0.25">
      <c r="A106">
        <v>121</v>
      </c>
      <c r="B106" t="s">
        <v>216</v>
      </c>
      <c r="C106" t="s">
        <v>653</v>
      </c>
      <c r="D106" t="s">
        <v>1103</v>
      </c>
      <c r="E106" t="s">
        <v>61</v>
      </c>
      <c r="F106">
        <v>86.746889999999993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2.2999999999999998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7.9699999999999993E-2</v>
      </c>
      <c r="AF106">
        <v>0.85</v>
      </c>
      <c r="AG106">
        <v>0</v>
      </c>
      <c r="AH106">
        <v>7.9699999999999993E-2</v>
      </c>
      <c r="AI106">
        <v>270</v>
      </c>
      <c r="AX106" t="s">
        <v>1460</v>
      </c>
      <c r="AY106" t="s">
        <v>1480</v>
      </c>
      <c r="AZ106">
        <v>272</v>
      </c>
    </row>
    <row r="107" spans="1:52" x14ac:dyDescent="0.25">
      <c r="A107">
        <v>122</v>
      </c>
      <c r="B107" t="s">
        <v>217</v>
      </c>
      <c r="C107" t="s">
        <v>654</v>
      </c>
      <c r="D107" t="s">
        <v>1104</v>
      </c>
      <c r="E107" t="s">
        <v>61</v>
      </c>
      <c r="F107">
        <v>143.04490000000001</v>
      </c>
      <c r="G107">
        <v>176266240</v>
      </c>
      <c r="H107" t="s">
        <v>1436</v>
      </c>
      <c r="I107">
        <v>25213.98</v>
      </c>
      <c r="J107">
        <v>226144902.98834401</v>
      </c>
      <c r="K107">
        <v>349441696.55104101</v>
      </c>
      <c r="L107">
        <v>315047420.91035098</v>
      </c>
      <c r="M107">
        <v>365281191.76555198</v>
      </c>
      <c r="N107">
        <v>353354614.64082801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254</v>
      </c>
      <c r="AX107" t="s">
        <v>1460</v>
      </c>
      <c r="AY107" t="s">
        <v>1480</v>
      </c>
      <c r="AZ107">
        <v>284</v>
      </c>
    </row>
    <row r="108" spans="1:52" x14ac:dyDescent="0.25">
      <c r="A108">
        <v>123</v>
      </c>
      <c r="B108" t="s">
        <v>218</v>
      </c>
      <c r="C108" t="s">
        <v>655</v>
      </c>
      <c r="D108" t="s">
        <v>1105</v>
      </c>
      <c r="E108" t="s">
        <v>61</v>
      </c>
      <c r="F108">
        <v>264.68680000000001</v>
      </c>
      <c r="G108">
        <v>312405580</v>
      </c>
      <c r="H108" t="s">
        <v>1437</v>
      </c>
      <c r="I108">
        <v>82689.64</v>
      </c>
      <c r="J108">
        <v>666552961.52056301</v>
      </c>
      <c r="K108">
        <v>794295486.25812399</v>
      </c>
      <c r="L108">
        <v>745730570.32170606</v>
      </c>
      <c r="M108">
        <v>862199038.77715302</v>
      </c>
      <c r="N108">
        <v>838494361.58729398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6.4399999999999999E-2</v>
      </c>
      <c r="AF108">
        <v>0.91</v>
      </c>
      <c r="AG108">
        <v>0</v>
      </c>
      <c r="AH108">
        <v>6.4399999999999999E-2</v>
      </c>
      <c r="AI108">
        <v>196</v>
      </c>
      <c r="AX108" t="s">
        <v>1460</v>
      </c>
      <c r="AY108" t="s">
        <v>1480</v>
      </c>
      <c r="AZ108">
        <v>239</v>
      </c>
    </row>
    <row r="109" spans="1:52" x14ac:dyDescent="0.25">
      <c r="A109">
        <v>125</v>
      </c>
      <c r="B109" t="s">
        <v>219</v>
      </c>
      <c r="C109" t="s">
        <v>656</v>
      </c>
      <c r="D109" t="s">
        <v>1106</v>
      </c>
      <c r="E109" t="s">
        <v>61</v>
      </c>
      <c r="F109">
        <v>41.781869999999998</v>
      </c>
      <c r="G109">
        <v>966936200</v>
      </c>
      <c r="H109" t="s">
        <v>1437</v>
      </c>
      <c r="I109">
        <v>40400.400000000001</v>
      </c>
      <c r="J109">
        <v>227715426.895863</v>
      </c>
      <c r="K109">
        <v>289565221.76878399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397</v>
      </c>
      <c r="AW109" t="s">
        <v>1459</v>
      </c>
      <c r="AX109" t="s">
        <v>1461</v>
      </c>
      <c r="AY109" t="s">
        <v>1481</v>
      </c>
    </row>
    <row r="110" spans="1:52" x14ac:dyDescent="0.25">
      <c r="A110">
        <v>126</v>
      </c>
      <c r="B110" t="s">
        <v>220</v>
      </c>
      <c r="C110" t="s">
        <v>657</v>
      </c>
      <c r="D110" t="s">
        <v>1107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2528091274.0268202</v>
      </c>
      <c r="K110">
        <v>1947973178.0806401</v>
      </c>
      <c r="L110">
        <v>2501355430.1242199</v>
      </c>
      <c r="M110">
        <v>2890509728.9562302</v>
      </c>
      <c r="N110">
        <v>1947973178.0806401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1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X110" t="s">
        <v>1471</v>
      </c>
      <c r="AY110" t="s">
        <v>1481</v>
      </c>
    </row>
    <row r="111" spans="1:52" x14ac:dyDescent="0.25">
      <c r="A111">
        <v>127</v>
      </c>
      <c r="B111" t="s">
        <v>221</v>
      </c>
      <c r="C111" t="s">
        <v>658</v>
      </c>
      <c r="D111" t="s">
        <v>1108</v>
      </c>
      <c r="E111" t="s">
        <v>61</v>
      </c>
      <c r="F111">
        <v>56.127319999999997</v>
      </c>
      <c r="G111">
        <v>856618700</v>
      </c>
      <c r="H111" t="s">
        <v>1436</v>
      </c>
      <c r="I111">
        <v>48079.71</v>
      </c>
      <c r="J111">
        <v>272518568.58726901</v>
      </c>
      <c r="K111">
        <v>250141004.696015</v>
      </c>
      <c r="L111">
        <v>236858562.94191501</v>
      </c>
      <c r="M111">
        <v>274316059.80816001</v>
      </c>
      <c r="N111">
        <v>229783047.47056901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274</v>
      </c>
      <c r="AX111" t="s">
        <v>1460</v>
      </c>
      <c r="AY111" t="s">
        <v>1480</v>
      </c>
      <c r="AZ111">
        <v>231</v>
      </c>
    </row>
    <row r="112" spans="1:52" x14ac:dyDescent="0.25">
      <c r="A112">
        <v>128</v>
      </c>
      <c r="B112" t="s">
        <v>222</v>
      </c>
      <c r="C112" t="s">
        <v>659</v>
      </c>
      <c r="D112" t="s">
        <v>1109</v>
      </c>
      <c r="E112" t="s">
        <v>61</v>
      </c>
      <c r="F112">
        <v>282.63350000000003</v>
      </c>
      <c r="G112">
        <v>70614380</v>
      </c>
      <c r="H112" t="s">
        <v>1436</v>
      </c>
      <c r="I112">
        <v>19958</v>
      </c>
      <c r="J112">
        <v>154610884.42719999</v>
      </c>
      <c r="K112">
        <v>149062018.078408</v>
      </c>
      <c r="L112">
        <v>142921409.71929201</v>
      </c>
      <c r="M112">
        <v>165590204.780662</v>
      </c>
      <c r="N112">
        <v>151241371.30902001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350</v>
      </c>
      <c r="AX112" t="s">
        <v>1460</v>
      </c>
      <c r="AY112" t="s">
        <v>1480</v>
      </c>
      <c r="AZ112">
        <v>314</v>
      </c>
    </row>
    <row r="113" spans="1:52" x14ac:dyDescent="0.25">
      <c r="A113">
        <v>129</v>
      </c>
      <c r="B113" t="s">
        <v>223</v>
      </c>
      <c r="C113" t="s">
        <v>660</v>
      </c>
      <c r="D113" t="s">
        <v>1110</v>
      </c>
      <c r="E113" t="s">
        <v>61</v>
      </c>
      <c r="F113">
        <v>62.613079999999997</v>
      </c>
      <c r="G113">
        <v>679100000</v>
      </c>
      <c r="H113" t="s">
        <v>1436</v>
      </c>
      <c r="I113">
        <v>42520.54</v>
      </c>
      <c r="J113">
        <v>251894806.62465101</v>
      </c>
      <c r="K113">
        <v>228968140.64487201</v>
      </c>
      <c r="L113">
        <v>257198842.29734001</v>
      </c>
      <c r="M113">
        <v>298036365.67545801</v>
      </c>
      <c r="N113">
        <v>207937543.80898899</v>
      </c>
      <c r="O113" t="s">
        <v>59</v>
      </c>
      <c r="P113">
        <v>1</v>
      </c>
      <c r="Q113">
        <v>1.53</v>
      </c>
      <c r="R113">
        <v>32.869999999999997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166</v>
      </c>
      <c r="AX113" t="s">
        <v>1460</v>
      </c>
      <c r="AY113" t="s">
        <v>1480</v>
      </c>
      <c r="AZ113">
        <v>295</v>
      </c>
    </row>
    <row r="114" spans="1:52" x14ac:dyDescent="0.25">
      <c r="A114">
        <v>130</v>
      </c>
      <c r="B114" t="s">
        <v>224</v>
      </c>
      <c r="C114" t="s">
        <v>661</v>
      </c>
      <c r="D114" t="s">
        <v>1111</v>
      </c>
      <c r="E114" t="s">
        <v>61</v>
      </c>
      <c r="F114">
        <v>77.846050000000005</v>
      </c>
      <c r="G114">
        <v>423650360</v>
      </c>
      <c r="H114" t="s">
        <v>1437</v>
      </c>
      <c r="I114">
        <v>32979.51</v>
      </c>
      <c r="J114">
        <v>229321252.17330301</v>
      </c>
      <c r="K114">
        <v>235736746.45502999</v>
      </c>
      <c r="L114">
        <v>214773726.59168199</v>
      </c>
      <c r="M114">
        <v>249092447.34149399</v>
      </c>
      <c r="N114">
        <v>211920368.09162501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177</v>
      </c>
      <c r="AX114" t="s">
        <v>1460</v>
      </c>
      <c r="AY114" t="s">
        <v>1480</v>
      </c>
      <c r="AZ114">
        <v>120</v>
      </c>
    </row>
    <row r="115" spans="1:52" x14ac:dyDescent="0.25">
      <c r="A115">
        <v>131</v>
      </c>
      <c r="B115" t="s">
        <v>15</v>
      </c>
      <c r="C115" t="s">
        <v>662</v>
      </c>
      <c r="D115" t="s">
        <v>40</v>
      </c>
      <c r="E115" t="s">
        <v>61</v>
      </c>
      <c r="F115">
        <v>818.00649999999996</v>
      </c>
      <c r="G115">
        <v>443477080</v>
      </c>
      <c r="H115" t="s">
        <v>1437</v>
      </c>
      <c r="I115">
        <v>362767.1</v>
      </c>
      <c r="J115">
        <v>1817008742.2313299</v>
      </c>
      <c r="K115">
        <v>1986362946.6632299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2.4500000000000002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293</v>
      </c>
      <c r="AX115" t="s">
        <v>1460</v>
      </c>
      <c r="AY115" t="s">
        <v>1480</v>
      </c>
      <c r="AZ115">
        <v>249</v>
      </c>
    </row>
    <row r="116" spans="1:52" x14ac:dyDescent="0.25">
      <c r="A116">
        <v>132</v>
      </c>
      <c r="B116" t="s">
        <v>225</v>
      </c>
      <c r="C116" t="s">
        <v>663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132099712.89411999</v>
      </c>
      <c r="K116">
        <v>166067152.27315101</v>
      </c>
      <c r="L116">
        <v>148966291.86768401</v>
      </c>
      <c r="M116">
        <v>172539611.19649199</v>
      </c>
      <c r="N116">
        <v>154080067.71402401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318</v>
      </c>
      <c r="AV116" t="s">
        <v>1458</v>
      </c>
      <c r="AX116" t="s">
        <v>1470</v>
      </c>
      <c r="AY116" t="s">
        <v>1481</v>
      </c>
    </row>
    <row r="117" spans="1:52" x14ac:dyDescent="0.25">
      <c r="A117">
        <v>133</v>
      </c>
      <c r="B117" t="s">
        <v>226</v>
      </c>
      <c r="C117" t="s">
        <v>664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40857.050000000003</v>
      </c>
      <c r="J117">
        <v>274781838.01851398</v>
      </c>
      <c r="K117">
        <v>235350116.23301801</v>
      </c>
      <c r="L117">
        <v>258479722.82245299</v>
      </c>
      <c r="M117">
        <v>299917184.80263501</v>
      </c>
      <c r="N117">
        <v>200334348.43681699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415</v>
      </c>
      <c r="AW117" t="s">
        <v>1459</v>
      </c>
      <c r="AX117" t="s">
        <v>1461</v>
      </c>
      <c r="AY117" t="s">
        <v>1481</v>
      </c>
    </row>
    <row r="118" spans="1:52" x14ac:dyDescent="0.25">
      <c r="A118">
        <v>134</v>
      </c>
      <c r="B118" t="s">
        <v>227</v>
      </c>
      <c r="C118" t="s">
        <v>665</v>
      </c>
      <c r="D118" t="s">
        <v>1114</v>
      </c>
      <c r="E118" t="s">
        <v>61</v>
      </c>
      <c r="F118">
        <v>97.320369999999997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314921462.26383001</v>
      </c>
      <c r="L118">
        <v>408735704.394054</v>
      </c>
      <c r="M118">
        <v>473619476.33138001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400</v>
      </c>
      <c r="AW118" t="s">
        <v>1459</v>
      </c>
      <c r="AX118" t="s">
        <v>1461</v>
      </c>
      <c r="AY118" t="s">
        <v>1481</v>
      </c>
    </row>
    <row r="119" spans="1:52" x14ac:dyDescent="0.25">
      <c r="A119">
        <v>135</v>
      </c>
      <c r="B119" t="s">
        <v>228</v>
      </c>
      <c r="C119" t="s">
        <v>666</v>
      </c>
      <c r="D119" t="s">
        <v>1115</v>
      </c>
      <c r="E119" t="s">
        <v>61</v>
      </c>
      <c r="F119">
        <v>96.714449999999999</v>
      </c>
      <c r="G119">
        <v>672659300</v>
      </c>
      <c r="H119" t="s">
        <v>1436</v>
      </c>
      <c r="I119">
        <v>65055.87</v>
      </c>
      <c r="J119">
        <v>448651641.61173898</v>
      </c>
      <c r="K119">
        <v>504887816.54145998</v>
      </c>
      <c r="L119">
        <v>354948754.94190598</v>
      </c>
      <c r="M119">
        <v>411477839.85676199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72</v>
      </c>
      <c r="AX119" t="s">
        <v>1460</v>
      </c>
      <c r="AY119" t="s">
        <v>1480</v>
      </c>
      <c r="AZ119">
        <v>53</v>
      </c>
    </row>
    <row r="120" spans="1:52" x14ac:dyDescent="0.25">
      <c r="A120">
        <v>136</v>
      </c>
      <c r="B120" t="s">
        <v>229</v>
      </c>
      <c r="C120" t="s">
        <v>667</v>
      </c>
      <c r="D120" t="s">
        <v>1116</v>
      </c>
      <c r="E120" t="s">
        <v>61</v>
      </c>
      <c r="F120">
        <v>358.89229999999998</v>
      </c>
      <c r="G120">
        <v>249248170</v>
      </c>
      <c r="H120" t="s">
        <v>1437</v>
      </c>
      <c r="I120">
        <v>90065.88</v>
      </c>
      <c r="J120">
        <v>986290689.33915901</v>
      </c>
      <c r="K120">
        <v>1403691769.4239199</v>
      </c>
      <c r="L120">
        <v>1326162590.9160299</v>
      </c>
      <c r="M120">
        <v>1533679672.3939199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442</v>
      </c>
      <c r="AW120" t="s">
        <v>1459</v>
      </c>
      <c r="AX120" t="s">
        <v>1461</v>
      </c>
      <c r="AY120" t="s">
        <v>1481</v>
      </c>
    </row>
    <row r="121" spans="1:52" x14ac:dyDescent="0.25">
      <c r="A121">
        <v>137</v>
      </c>
      <c r="B121" t="s">
        <v>230</v>
      </c>
      <c r="C121" t="s">
        <v>668</v>
      </c>
      <c r="D121" t="s">
        <v>1117</v>
      </c>
      <c r="E121" t="s">
        <v>61</v>
      </c>
      <c r="F121">
        <v>88.573139999999995</v>
      </c>
      <c r="G121">
        <v>435470060</v>
      </c>
      <c r="H121" t="s">
        <v>1436</v>
      </c>
      <c r="I121">
        <v>38570.949999999997</v>
      </c>
      <c r="J121">
        <v>254665129.266743</v>
      </c>
      <c r="K121">
        <v>303081006.97766</v>
      </c>
      <c r="L121">
        <v>277698546.25612497</v>
      </c>
      <c r="M121">
        <v>321948615.77179003</v>
      </c>
      <c r="N121">
        <v>283108935.014139</v>
      </c>
      <c r="O121" t="s">
        <v>59</v>
      </c>
      <c r="P121">
        <v>1</v>
      </c>
      <c r="Q121">
        <v>2.5299999999999998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304</v>
      </c>
      <c r="AX121" t="s">
        <v>1460</v>
      </c>
      <c r="AY121" t="s">
        <v>1480</v>
      </c>
      <c r="AZ121">
        <v>193</v>
      </c>
    </row>
    <row r="122" spans="1:52" x14ac:dyDescent="0.25">
      <c r="A122">
        <v>138</v>
      </c>
      <c r="B122" t="s">
        <v>231</v>
      </c>
      <c r="C122" t="s">
        <v>669</v>
      </c>
      <c r="D122" t="s">
        <v>1118</v>
      </c>
      <c r="E122" t="s">
        <v>61</v>
      </c>
      <c r="F122">
        <v>29.510159999999999</v>
      </c>
      <c r="G122">
        <v>1864277000</v>
      </c>
      <c r="H122" t="s">
        <v>1437</v>
      </c>
      <c r="I122">
        <v>55015.11</v>
      </c>
      <c r="J122">
        <v>673426895.61300099</v>
      </c>
      <c r="K122">
        <v>485448148.87536299</v>
      </c>
      <c r="L122">
        <v>547331154.89422202</v>
      </c>
      <c r="M122">
        <v>634951506.43778801</v>
      </c>
      <c r="N122">
        <v>436302933.54345298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209</v>
      </c>
      <c r="AX122" t="s">
        <v>1460</v>
      </c>
      <c r="AY122" t="s">
        <v>1480</v>
      </c>
      <c r="AZ122">
        <v>77</v>
      </c>
    </row>
    <row r="123" spans="1:52" x14ac:dyDescent="0.25">
      <c r="A123">
        <v>139</v>
      </c>
      <c r="B123" t="s">
        <v>232</v>
      </c>
      <c r="C123" t="s">
        <v>670</v>
      </c>
      <c r="D123" t="s">
        <v>1119</v>
      </c>
      <c r="E123" t="s">
        <v>61</v>
      </c>
      <c r="F123">
        <v>343.31799999999998</v>
      </c>
      <c r="G123">
        <v>137786040</v>
      </c>
      <c r="H123" t="s">
        <v>1436</v>
      </c>
      <c r="I123">
        <v>47304.42</v>
      </c>
      <c r="J123">
        <v>321132851.76284403</v>
      </c>
      <c r="K123">
        <v>264028402.30585599</v>
      </c>
      <c r="L123">
        <v>254643845.969372</v>
      </c>
      <c r="M123">
        <v>295516298.64458698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75</v>
      </c>
      <c r="AX123" t="s">
        <v>1460</v>
      </c>
      <c r="AY123" t="s">
        <v>1480</v>
      </c>
      <c r="AZ123">
        <v>85</v>
      </c>
    </row>
    <row r="124" spans="1:52" x14ac:dyDescent="0.25">
      <c r="A124">
        <v>140</v>
      </c>
      <c r="B124" t="s">
        <v>233</v>
      </c>
      <c r="C124" t="s">
        <v>671</v>
      </c>
      <c r="D124" t="s">
        <v>1120</v>
      </c>
      <c r="E124" t="s">
        <v>61</v>
      </c>
      <c r="F124">
        <v>410.41989999999998</v>
      </c>
      <c r="G124">
        <v>37678110</v>
      </c>
      <c r="H124" t="s">
        <v>1436</v>
      </c>
      <c r="I124">
        <v>15463.84</v>
      </c>
      <c r="J124">
        <v>159719750.34444901</v>
      </c>
      <c r="K124">
        <v>115386310.41806699</v>
      </c>
      <c r="L124">
        <v>142573315.53764799</v>
      </c>
      <c r="M124">
        <v>165018521.76921999</v>
      </c>
      <c r="N124">
        <v>103314384.75044399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95</v>
      </c>
      <c r="AX124" t="s">
        <v>1460</v>
      </c>
      <c r="AY124" t="s">
        <v>1480</v>
      </c>
      <c r="AZ124">
        <v>312</v>
      </c>
    </row>
    <row r="125" spans="1:52" x14ac:dyDescent="0.25">
      <c r="A125">
        <v>141</v>
      </c>
      <c r="B125" t="s">
        <v>234</v>
      </c>
      <c r="C125" t="s">
        <v>672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371509352.57194197</v>
      </c>
      <c r="K125">
        <v>520366352.819372</v>
      </c>
      <c r="L125">
        <v>428182738.972067</v>
      </c>
      <c r="M125">
        <v>495841098.727548</v>
      </c>
      <c r="N125">
        <v>587386835.96924996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28</v>
      </c>
      <c r="AX125" t="s">
        <v>1460</v>
      </c>
      <c r="AY125" t="s">
        <v>1480</v>
      </c>
      <c r="AZ125">
        <v>38</v>
      </c>
    </row>
    <row r="126" spans="1:52" x14ac:dyDescent="0.25">
      <c r="A126">
        <v>142</v>
      </c>
      <c r="B126" t="s">
        <v>235</v>
      </c>
      <c r="C126" t="s">
        <v>673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574993918.10023904</v>
      </c>
      <c r="K126">
        <v>353949782.28619999</v>
      </c>
      <c r="L126">
        <v>486448489.63727802</v>
      </c>
      <c r="M126">
        <v>562193697.46285796</v>
      </c>
      <c r="N126">
        <v>252060183.89034599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368</v>
      </c>
      <c r="AW126" t="s">
        <v>1459</v>
      </c>
      <c r="AX126" t="s">
        <v>1461</v>
      </c>
      <c r="AY126" t="s">
        <v>1481</v>
      </c>
    </row>
    <row r="127" spans="1:52" x14ac:dyDescent="0.25">
      <c r="A127">
        <v>143</v>
      </c>
      <c r="B127" t="s">
        <v>236</v>
      </c>
      <c r="C127" t="s">
        <v>674</v>
      </c>
      <c r="D127" t="s">
        <v>1123</v>
      </c>
      <c r="E127" t="s">
        <v>61</v>
      </c>
      <c r="F127">
        <v>145.65620000000001</v>
      </c>
      <c r="G127">
        <v>298123540</v>
      </c>
      <c r="H127" t="s">
        <v>1436</v>
      </c>
      <c r="I127">
        <v>43423.55</v>
      </c>
      <c r="J127">
        <v>543402504.64845002</v>
      </c>
      <c r="K127">
        <v>455780897.696841</v>
      </c>
      <c r="L127">
        <v>488884585.84507799</v>
      </c>
      <c r="M127">
        <v>567855657.46769297</v>
      </c>
      <c r="N127">
        <v>439349560.74391598</v>
      </c>
      <c r="O127" t="s">
        <v>59</v>
      </c>
      <c r="P127">
        <v>0.95</v>
      </c>
      <c r="Q127">
        <v>3.37</v>
      </c>
      <c r="R127">
        <v>29.22</v>
      </c>
      <c r="S127">
        <v>0.56000000000000005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0.56000000000000005</v>
      </c>
      <c r="AG127">
        <v>0</v>
      </c>
      <c r="AH127">
        <v>0</v>
      </c>
      <c r="AI127">
        <v>382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 x14ac:dyDescent="0.25">
      <c r="A128">
        <v>144</v>
      </c>
      <c r="B128" t="s">
        <v>237</v>
      </c>
      <c r="C128" t="s">
        <v>675</v>
      </c>
      <c r="D128" t="s">
        <v>1124</v>
      </c>
      <c r="E128" t="s">
        <v>61</v>
      </c>
      <c r="F128">
        <v>180.74760000000001</v>
      </c>
      <c r="G128">
        <v>716051600</v>
      </c>
      <c r="H128" t="s">
        <v>1436</v>
      </c>
      <c r="I128">
        <v>129424.6</v>
      </c>
      <c r="J128">
        <v>585750436.64728701</v>
      </c>
      <c r="K128">
        <v>727249497.51960695</v>
      </c>
      <c r="L128">
        <v>676803075.69060194</v>
      </c>
      <c r="M128">
        <v>784856637.26163697</v>
      </c>
      <c r="N128">
        <v>730250459.42789102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171</v>
      </c>
      <c r="AX128" t="s">
        <v>1460</v>
      </c>
      <c r="AY128" t="s">
        <v>1480</v>
      </c>
      <c r="AZ128">
        <v>80</v>
      </c>
    </row>
    <row r="129" spans="1:52" x14ac:dyDescent="0.25">
      <c r="A129">
        <v>145</v>
      </c>
      <c r="B129" t="s">
        <v>238</v>
      </c>
      <c r="C129" t="s">
        <v>676</v>
      </c>
      <c r="D129" t="s">
        <v>1125</v>
      </c>
      <c r="E129" t="s">
        <v>61</v>
      </c>
      <c r="F129">
        <v>177.99969999999999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236376231.52116799</v>
      </c>
      <c r="M129">
        <v>273817965.95101798</v>
      </c>
      <c r="N129">
        <v>226246264.89712799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423</v>
      </c>
      <c r="AW129" t="s">
        <v>1459</v>
      </c>
      <c r="AX129" t="s">
        <v>1461</v>
      </c>
      <c r="AY129" t="s">
        <v>1481</v>
      </c>
    </row>
    <row r="130" spans="1:52" x14ac:dyDescent="0.25">
      <c r="A130">
        <v>146</v>
      </c>
      <c r="B130" t="s">
        <v>239</v>
      </c>
      <c r="C130" t="s">
        <v>677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702675005.51241302</v>
      </c>
      <c r="K130">
        <v>655341355.58302796</v>
      </c>
      <c r="L130">
        <v>824016678.39979398</v>
      </c>
      <c r="M130">
        <v>958398022.23944402</v>
      </c>
      <c r="N130">
        <v>602950654.72145605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218</v>
      </c>
      <c r="AX130" t="s">
        <v>1460</v>
      </c>
      <c r="AY130" t="s">
        <v>1480</v>
      </c>
      <c r="AZ130">
        <v>94</v>
      </c>
    </row>
    <row r="131" spans="1:52" x14ac:dyDescent="0.25">
      <c r="A131">
        <v>147</v>
      </c>
      <c r="B131" t="s">
        <v>240</v>
      </c>
      <c r="C131" t="s">
        <v>678</v>
      </c>
      <c r="D131" t="s">
        <v>1127</v>
      </c>
      <c r="E131" t="s">
        <v>61</v>
      </c>
      <c r="F131">
        <v>423.27190000000002</v>
      </c>
      <c r="G131">
        <v>270827060</v>
      </c>
      <c r="H131" t="s">
        <v>1436</v>
      </c>
      <c r="I131">
        <v>114633.5</v>
      </c>
      <c r="J131">
        <v>657468061.90477002</v>
      </c>
      <c r="K131">
        <v>579391627.523476</v>
      </c>
      <c r="L131">
        <v>540937603.59890401</v>
      </c>
      <c r="M131">
        <v>627289046.87983203</v>
      </c>
      <c r="N131">
        <v>549042843.39396703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183</v>
      </c>
      <c r="AX131" t="s">
        <v>1460</v>
      </c>
      <c r="AY131" t="s">
        <v>1480</v>
      </c>
      <c r="AZ131">
        <v>60</v>
      </c>
    </row>
    <row r="132" spans="1:52" x14ac:dyDescent="0.25">
      <c r="A132">
        <v>148</v>
      </c>
      <c r="B132" t="s">
        <v>241</v>
      </c>
      <c r="C132" t="s">
        <v>679</v>
      </c>
      <c r="D132" t="s">
        <v>1128</v>
      </c>
      <c r="E132" t="s">
        <v>61</v>
      </c>
      <c r="F132">
        <v>111.65730000000001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631229810.68996596</v>
      </c>
      <c r="L132">
        <v>583368833.88229299</v>
      </c>
      <c r="M132">
        <v>675251935.03496003</v>
      </c>
      <c r="N132">
        <v>812173414.67727995</v>
      </c>
      <c r="O132" t="s">
        <v>59</v>
      </c>
      <c r="P132">
        <v>0.9</v>
      </c>
      <c r="Q132">
        <v>1.27</v>
      </c>
      <c r="R132">
        <v>66.989999999999995</v>
      </c>
      <c r="S132">
        <v>0.94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0.94</v>
      </c>
      <c r="AG132">
        <v>0</v>
      </c>
      <c r="AH132">
        <v>0</v>
      </c>
      <c r="AI132">
        <v>142</v>
      </c>
      <c r="AX132" t="s">
        <v>1460</v>
      </c>
      <c r="AY132" t="s">
        <v>1480</v>
      </c>
      <c r="AZ132">
        <v>14</v>
      </c>
    </row>
    <row r="133" spans="1:52" x14ac:dyDescent="0.25">
      <c r="A133">
        <v>149</v>
      </c>
      <c r="B133" t="s">
        <v>242</v>
      </c>
      <c r="C133" t="s">
        <v>680</v>
      </c>
      <c r="D133" t="s">
        <v>1129</v>
      </c>
      <c r="E133" t="s">
        <v>61</v>
      </c>
      <c r="F133">
        <v>52.645499999999998</v>
      </c>
      <c r="G133">
        <v>652948400</v>
      </c>
      <c r="H133" t="s">
        <v>1436</v>
      </c>
      <c r="I133">
        <v>34374.800000000003</v>
      </c>
      <c r="J133">
        <v>365029068.64857399</v>
      </c>
      <c r="K133">
        <v>491444423.17363399</v>
      </c>
      <c r="L133">
        <v>435762346.945494</v>
      </c>
      <c r="M133">
        <v>505757722.08066398</v>
      </c>
      <c r="N133">
        <v>469222442.96635598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14</v>
      </c>
      <c r="AX133" t="s">
        <v>1460</v>
      </c>
      <c r="AY133" t="s">
        <v>1480</v>
      </c>
      <c r="AZ133">
        <v>251</v>
      </c>
    </row>
    <row r="134" spans="1:52" x14ac:dyDescent="0.25">
      <c r="A134">
        <v>150</v>
      </c>
      <c r="B134" t="s">
        <v>243</v>
      </c>
      <c r="C134" t="s">
        <v>681</v>
      </c>
      <c r="D134" t="s">
        <v>1130</v>
      </c>
      <c r="E134" t="s">
        <v>61</v>
      </c>
      <c r="F134">
        <v>30.005120000000002</v>
      </c>
      <c r="G134">
        <v>634800000</v>
      </c>
      <c r="H134" t="s">
        <v>1436</v>
      </c>
      <c r="I134">
        <v>19047.25</v>
      </c>
      <c r="J134">
        <v>223568660.98657599</v>
      </c>
      <c r="K134">
        <v>253898575.15703401</v>
      </c>
      <c r="L134">
        <v>227368082.06193101</v>
      </c>
      <c r="M134">
        <v>263349055.60819101</v>
      </c>
      <c r="N134">
        <v>287719677.00631702</v>
      </c>
      <c r="O134" t="s">
        <v>59</v>
      </c>
      <c r="P134">
        <v>1</v>
      </c>
      <c r="Q134">
        <v>2.4900000000000002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298</v>
      </c>
      <c r="AV134" t="s">
        <v>1458</v>
      </c>
      <c r="AX134" t="s">
        <v>1470</v>
      </c>
      <c r="AY134" t="s">
        <v>1481</v>
      </c>
    </row>
    <row r="135" spans="1:52" x14ac:dyDescent="0.25">
      <c r="A135">
        <v>151</v>
      </c>
      <c r="B135" t="s">
        <v>244</v>
      </c>
      <c r="C135" t="s">
        <v>682</v>
      </c>
      <c r="D135" t="s">
        <v>1131</v>
      </c>
      <c r="E135" t="s">
        <v>61</v>
      </c>
      <c r="F135">
        <v>70.199690000000004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273153050.29539001</v>
      </c>
      <c r="L135">
        <v>247524567.580212</v>
      </c>
      <c r="M135">
        <v>286783511.71599001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396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 x14ac:dyDescent="0.25">
      <c r="A136">
        <v>152</v>
      </c>
      <c r="B136" t="s">
        <v>245</v>
      </c>
      <c r="C136" t="s">
        <v>683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254556107.08666301</v>
      </c>
      <c r="K136">
        <v>320357506.16418803</v>
      </c>
      <c r="L136">
        <v>278985265.10889697</v>
      </c>
      <c r="M136">
        <v>322902323.54845798</v>
      </c>
      <c r="N136">
        <v>341874124.10414499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336</v>
      </c>
      <c r="AV136" t="s">
        <v>1458</v>
      </c>
      <c r="AX136" t="s">
        <v>1470</v>
      </c>
      <c r="AY136" t="s">
        <v>1481</v>
      </c>
    </row>
    <row r="137" spans="1:52" x14ac:dyDescent="0.25">
      <c r="A137">
        <v>153</v>
      </c>
      <c r="B137" t="s">
        <v>246</v>
      </c>
      <c r="C137" t="s">
        <v>684</v>
      </c>
      <c r="D137" t="s">
        <v>1133</v>
      </c>
      <c r="E137" t="s">
        <v>61</v>
      </c>
      <c r="F137">
        <v>142.56700000000001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287633413.41655499</v>
      </c>
      <c r="L137">
        <v>248742996.40768701</v>
      </c>
      <c r="M137">
        <v>288189373.331936</v>
      </c>
      <c r="N137">
        <v>305814418.89639997</v>
      </c>
      <c r="O137" t="s">
        <v>59</v>
      </c>
      <c r="P137">
        <v>0.95</v>
      </c>
      <c r="Q137">
        <v>2.2599999999999998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265</v>
      </c>
      <c r="AX137" t="s">
        <v>1460</v>
      </c>
      <c r="AY137" t="s">
        <v>1480</v>
      </c>
      <c r="AZ137">
        <v>72</v>
      </c>
    </row>
    <row r="138" spans="1:52" x14ac:dyDescent="0.25">
      <c r="A138">
        <v>154</v>
      </c>
      <c r="B138" t="s">
        <v>247</v>
      </c>
      <c r="C138" t="s">
        <v>685</v>
      </c>
      <c r="D138" t="s">
        <v>1134</v>
      </c>
      <c r="E138" t="s">
        <v>61</v>
      </c>
      <c r="F138">
        <v>95.920810000000003</v>
      </c>
      <c r="G138">
        <v>220070620</v>
      </c>
      <c r="H138" t="s">
        <v>1436</v>
      </c>
      <c r="I138">
        <v>21109.35</v>
      </c>
      <c r="J138">
        <v>265861429.23054799</v>
      </c>
      <c r="K138">
        <v>329585211.327479</v>
      </c>
      <c r="L138">
        <v>301693663.05067801</v>
      </c>
      <c r="M138">
        <v>348988298.63137001</v>
      </c>
      <c r="N138">
        <v>332788662.36795098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428</v>
      </c>
      <c r="AW138" t="s">
        <v>1459</v>
      </c>
      <c r="AX138" t="s">
        <v>1461</v>
      </c>
      <c r="AY138" t="s">
        <v>1481</v>
      </c>
    </row>
    <row r="139" spans="1:52" x14ac:dyDescent="0.25">
      <c r="A139">
        <v>155</v>
      </c>
      <c r="B139" t="s">
        <v>248</v>
      </c>
      <c r="C139" t="s">
        <v>686</v>
      </c>
      <c r="D139" t="s">
        <v>1135</v>
      </c>
      <c r="E139" t="s">
        <v>61</v>
      </c>
      <c r="F139">
        <v>96.705920000000006</v>
      </c>
      <c r="G139">
        <v>208695820</v>
      </c>
      <c r="H139" t="s">
        <v>1437</v>
      </c>
      <c r="I139">
        <v>20182.12</v>
      </c>
      <c r="J139">
        <v>285607622.31344402</v>
      </c>
      <c r="K139">
        <v>339015143.41668999</v>
      </c>
      <c r="L139">
        <v>327368961.39055902</v>
      </c>
      <c r="M139">
        <v>378933513.68055803</v>
      </c>
      <c r="N139">
        <v>306544622.58561599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432</v>
      </c>
      <c r="AW139" t="s">
        <v>1459</v>
      </c>
      <c r="AX139" t="s">
        <v>1461</v>
      </c>
      <c r="AY139" t="s">
        <v>1481</v>
      </c>
    </row>
    <row r="140" spans="1:52" x14ac:dyDescent="0.25">
      <c r="A140">
        <v>157</v>
      </c>
      <c r="B140" t="s">
        <v>249</v>
      </c>
      <c r="C140" t="s">
        <v>687</v>
      </c>
      <c r="D140" t="s">
        <v>1136</v>
      </c>
      <c r="E140" t="s">
        <v>61</v>
      </c>
      <c r="F140">
        <v>52.824710000000003</v>
      </c>
      <c r="G140">
        <v>853433650</v>
      </c>
      <c r="H140" t="s">
        <v>1436</v>
      </c>
      <c r="I140">
        <v>45082.39</v>
      </c>
      <c r="J140">
        <v>244717207.00111499</v>
      </c>
      <c r="K140">
        <v>271142003.96752203</v>
      </c>
      <c r="L140">
        <v>263456579.62342501</v>
      </c>
      <c r="M140">
        <v>304948540.10726303</v>
      </c>
      <c r="N140">
        <v>250454903.27095401</v>
      </c>
      <c r="O140" t="s">
        <v>59</v>
      </c>
      <c r="P140">
        <v>1</v>
      </c>
      <c r="Q140">
        <v>1.94</v>
      </c>
      <c r="R140">
        <v>42.61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0.36109999999999998</v>
      </c>
      <c r="AE140" t="s">
        <v>1445</v>
      </c>
      <c r="AF140">
        <v>0.94</v>
      </c>
      <c r="AG140">
        <v>0</v>
      </c>
      <c r="AH140">
        <v>0.36109999999999998</v>
      </c>
      <c r="AI140">
        <v>221</v>
      </c>
      <c r="AU140" t="s">
        <v>1457</v>
      </c>
      <c r="AV140" t="s">
        <v>1458</v>
      </c>
      <c r="AX140" t="s">
        <v>1472</v>
      </c>
      <c r="AY140" t="s">
        <v>1481</v>
      </c>
    </row>
    <row r="141" spans="1:52" x14ac:dyDescent="0.25">
      <c r="A141">
        <v>158</v>
      </c>
      <c r="B141" t="s">
        <v>250</v>
      </c>
      <c r="C141" t="s">
        <v>688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946631691.37698805</v>
      </c>
      <c r="K141">
        <v>930446987.89597499</v>
      </c>
      <c r="L141">
        <v>789135114.609869</v>
      </c>
      <c r="M141">
        <v>914778081.41345203</v>
      </c>
      <c r="N141">
        <v>704517393.53676403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409</v>
      </c>
      <c r="AW141" t="s">
        <v>1459</v>
      </c>
      <c r="AX141" t="s">
        <v>1461</v>
      </c>
      <c r="AY141" t="s">
        <v>1481</v>
      </c>
    </row>
    <row r="142" spans="1:52" x14ac:dyDescent="0.25">
      <c r="A142">
        <v>159</v>
      </c>
      <c r="B142" t="s">
        <v>251</v>
      </c>
      <c r="C142" t="s">
        <v>689</v>
      </c>
      <c r="D142" t="s">
        <v>1138</v>
      </c>
      <c r="E142" t="s">
        <v>61</v>
      </c>
      <c r="F142">
        <v>156.22970000000001</v>
      </c>
      <c r="G142">
        <v>137134460</v>
      </c>
      <c r="H142" t="s">
        <v>1436</v>
      </c>
      <c r="I142">
        <v>21424.48</v>
      </c>
      <c r="J142">
        <v>144401633.80793101</v>
      </c>
      <c r="K142">
        <v>175622945.31374899</v>
      </c>
      <c r="L142">
        <v>160873056.97637299</v>
      </c>
      <c r="M142">
        <v>186581666.80803499</v>
      </c>
      <c r="N142">
        <v>164010977.32528901</v>
      </c>
      <c r="O142" t="s">
        <v>59</v>
      </c>
      <c r="P142">
        <v>1</v>
      </c>
      <c r="Q142">
        <v>0.56000000000000005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44</v>
      </c>
      <c r="AX142" t="s">
        <v>1460</v>
      </c>
      <c r="AY142" t="s">
        <v>1480</v>
      </c>
      <c r="AZ142">
        <v>208</v>
      </c>
    </row>
    <row r="143" spans="1:52" x14ac:dyDescent="0.25">
      <c r="A143">
        <v>160</v>
      </c>
      <c r="B143" t="s">
        <v>252</v>
      </c>
      <c r="C143" t="s">
        <v>690</v>
      </c>
      <c r="D143" t="s">
        <v>1139</v>
      </c>
      <c r="E143" t="s">
        <v>61</v>
      </c>
      <c r="F143">
        <v>21.428570000000001</v>
      </c>
      <c r="G143">
        <v>708844200</v>
      </c>
      <c r="H143" t="s">
        <v>1436</v>
      </c>
      <c r="I143">
        <v>15189.52</v>
      </c>
      <c r="J143">
        <v>288109342.43052298</v>
      </c>
      <c r="K143">
        <v>295047672.69743299</v>
      </c>
      <c r="L143">
        <v>326447170.47084099</v>
      </c>
      <c r="M143">
        <v>379090042.46488398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154</v>
      </c>
      <c r="AX143" t="s">
        <v>1460</v>
      </c>
      <c r="AY143" t="s">
        <v>1480</v>
      </c>
      <c r="AZ143">
        <v>158</v>
      </c>
    </row>
    <row r="144" spans="1:52" x14ac:dyDescent="0.25">
      <c r="A144">
        <v>161</v>
      </c>
      <c r="B144" t="s">
        <v>253</v>
      </c>
      <c r="C144" t="s">
        <v>691</v>
      </c>
      <c r="D144" t="s">
        <v>1140</v>
      </c>
      <c r="E144" t="s">
        <v>61</v>
      </c>
      <c r="F144">
        <v>40.262839999999997</v>
      </c>
      <c r="G144">
        <v>496470060</v>
      </c>
      <c r="H144" t="s">
        <v>1437</v>
      </c>
      <c r="I144">
        <v>19989.3</v>
      </c>
      <c r="J144">
        <v>397635017.60741401</v>
      </c>
      <c r="K144">
        <v>356861218.48685801</v>
      </c>
      <c r="L144">
        <v>338441812.41348898</v>
      </c>
      <c r="M144">
        <v>392341976.15750402</v>
      </c>
      <c r="N144">
        <v>349141167.35677201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436</v>
      </c>
      <c r="AW144" t="s">
        <v>1459</v>
      </c>
      <c r="AX144" t="s">
        <v>1461</v>
      </c>
      <c r="AY144" t="s">
        <v>1481</v>
      </c>
    </row>
    <row r="145" spans="1:52" x14ac:dyDescent="0.25">
      <c r="A145">
        <v>162</v>
      </c>
      <c r="B145" t="s">
        <v>254</v>
      </c>
      <c r="C145" t="s">
        <v>692</v>
      </c>
      <c r="D145" t="s">
        <v>1141</v>
      </c>
      <c r="E145" t="s">
        <v>61</v>
      </c>
      <c r="F145">
        <v>119.42310000000001</v>
      </c>
      <c r="G145">
        <v>207587800</v>
      </c>
      <c r="H145" t="s">
        <v>1436</v>
      </c>
      <c r="I145">
        <v>24790.78</v>
      </c>
      <c r="J145">
        <v>132823774.77323399</v>
      </c>
      <c r="K145">
        <v>172678276.96936899</v>
      </c>
      <c r="L145">
        <v>156534347.05729899</v>
      </c>
      <c r="M145">
        <v>181509445.84101099</v>
      </c>
      <c r="N145">
        <v>156664597.45975801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0.30399999999999999</v>
      </c>
      <c r="AF145">
        <v>0.76</v>
      </c>
      <c r="AG145">
        <v>0</v>
      </c>
      <c r="AH145">
        <v>0.30399999999999999</v>
      </c>
      <c r="AI145">
        <v>278</v>
      </c>
      <c r="AU145" t="s">
        <v>1457</v>
      </c>
      <c r="AX145" t="s">
        <v>1463</v>
      </c>
      <c r="AY145" t="s">
        <v>1481</v>
      </c>
    </row>
    <row r="146" spans="1:52" x14ac:dyDescent="0.25">
      <c r="A146">
        <v>163</v>
      </c>
      <c r="B146" t="s">
        <v>255</v>
      </c>
      <c r="C146" t="s">
        <v>693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82513.929999999993</v>
      </c>
      <c r="J146">
        <v>359797922.08476901</v>
      </c>
      <c r="K146">
        <v>384669837.82404798</v>
      </c>
      <c r="L146">
        <v>314424380.62037599</v>
      </c>
      <c r="M146">
        <v>364188134.461761</v>
      </c>
      <c r="N146">
        <v>367575887.53850299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0.50749999999999995</v>
      </c>
      <c r="AF146">
        <v>0.7</v>
      </c>
      <c r="AG146">
        <v>0</v>
      </c>
      <c r="AH146">
        <v>0.50749999999999995</v>
      </c>
      <c r="AI146">
        <v>229</v>
      </c>
      <c r="AU146" t="s">
        <v>1457</v>
      </c>
      <c r="AX146" t="s">
        <v>1463</v>
      </c>
      <c r="AY146" t="s">
        <v>1481</v>
      </c>
    </row>
    <row r="147" spans="1:52" x14ac:dyDescent="0.25">
      <c r="A147">
        <v>164</v>
      </c>
      <c r="B147" t="s">
        <v>256</v>
      </c>
      <c r="C147" t="s">
        <v>694</v>
      </c>
      <c r="D147" t="s">
        <v>1143</v>
      </c>
      <c r="E147" t="s">
        <v>61</v>
      </c>
      <c r="F147">
        <v>65.983959999999996</v>
      </c>
      <c r="G147">
        <v>418716670</v>
      </c>
      <c r="H147" t="s">
        <v>1436</v>
      </c>
      <c r="I147">
        <v>27628.58</v>
      </c>
      <c r="J147">
        <v>203138002.51407099</v>
      </c>
      <c r="K147">
        <v>187483800.761078</v>
      </c>
      <c r="L147">
        <v>172176707.23421299</v>
      </c>
      <c r="M147">
        <v>199476641.268287</v>
      </c>
      <c r="N147">
        <v>174388037.88642401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200</v>
      </c>
      <c r="AX147" t="s">
        <v>1460</v>
      </c>
      <c r="AY147" t="s">
        <v>1480</v>
      </c>
      <c r="AZ147">
        <v>187</v>
      </c>
    </row>
    <row r="148" spans="1:52" x14ac:dyDescent="0.25">
      <c r="A148">
        <v>165</v>
      </c>
      <c r="B148" t="s">
        <v>257</v>
      </c>
      <c r="C148" t="s">
        <v>695</v>
      </c>
      <c r="D148" t="s">
        <v>1144</v>
      </c>
      <c r="E148" t="s">
        <v>61</v>
      </c>
      <c r="F148">
        <v>296.64620000000002</v>
      </c>
      <c r="G148">
        <v>389300000</v>
      </c>
      <c r="H148" t="s">
        <v>1436</v>
      </c>
      <c r="I148">
        <v>115484.4</v>
      </c>
      <c r="J148">
        <v>826857830.77393305</v>
      </c>
      <c r="K148">
        <v>813984014.07384598</v>
      </c>
      <c r="L148">
        <v>698142155.87219</v>
      </c>
      <c r="M148">
        <v>809368518.64500594</v>
      </c>
      <c r="N148">
        <v>767582009.69787395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313</v>
      </c>
      <c r="AX148" t="s">
        <v>1460</v>
      </c>
      <c r="AY148" t="s">
        <v>1480</v>
      </c>
      <c r="AZ148">
        <v>109</v>
      </c>
    </row>
    <row r="149" spans="1:52" x14ac:dyDescent="0.25">
      <c r="A149">
        <v>166</v>
      </c>
      <c r="B149" t="s">
        <v>258</v>
      </c>
      <c r="C149" t="s">
        <v>696</v>
      </c>
      <c r="D149" t="s">
        <v>1145</v>
      </c>
      <c r="E149" t="s">
        <v>61</v>
      </c>
      <c r="F149">
        <v>84.673159999999996</v>
      </c>
      <c r="G149">
        <v>457000000</v>
      </c>
      <c r="H149" t="s">
        <v>1437</v>
      </c>
      <c r="I149">
        <v>38695.629999999997</v>
      </c>
      <c r="J149">
        <v>477304550.03125101</v>
      </c>
      <c r="K149">
        <v>394518058.00946498</v>
      </c>
      <c r="L149">
        <v>416759311.25724697</v>
      </c>
      <c r="M149">
        <v>482712200.66798198</v>
      </c>
      <c r="N149">
        <v>333281209.89579701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151</v>
      </c>
      <c r="AX149" t="s">
        <v>1460</v>
      </c>
      <c r="AY149" t="s">
        <v>1480</v>
      </c>
      <c r="AZ149">
        <v>118</v>
      </c>
    </row>
    <row r="150" spans="1:52" x14ac:dyDescent="0.25">
      <c r="A150">
        <v>167</v>
      </c>
      <c r="B150" t="s">
        <v>259</v>
      </c>
      <c r="C150" t="s">
        <v>697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68674.600000000006</v>
      </c>
      <c r="J150">
        <v>253904071.25035399</v>
      </c>
      <c r="K150">
        <v>305075421.59488201</v>
      </c>
      <c r="L150">
        <v>278183544.19251502</v>
      </c>
      <c r="M150">
        <v>322464741.84727299</v>
      </c>
      <c r="N150">
        <v>275621630.85593998</v>
      </c>
      <c r="O150" t="s">
        <v>59</v>
      </c>
      <c r="P150">
        <v>0.9</v>
      </c>
      <c r="Q150">
        <v>0.89</v>
      </c>
      <c r="R150">
        <v>65.459999999999994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100</v>
      </c>
      <c r="AX150" t="s">
        <v>1460</v>
      </c>
      <c r="AY150" t="s">
        <v>1480</v>
      </c>
      <c r="AZ150">
        <v>20</v>
      </c>
    </row>
    <row r="151" spans="1:52" x14ac:dyDescent="0.25">
      <c r="A151">
        <v>168</v>
      </c>
      <c r="B151" t="s">
        <v>260</v>
      </c>
      <c r="C151" t="s">
        <v>698</v>
      </c>
      <c r="D151" t="s">
        <v>1147</v>
      </c>
      <c r="E151" t="s">
        <v>61</v>
      </c>
      <c r="F151">
        <v>47.448369999999997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184900885.42071399</v>
      </c>
      <c r="L151">
        <v>176487567.83393401</v>
      </c>
      <c r="M151">
        <v>204405013.899726</v>
      </c>
      <c r="N151">
        <v>200378870.92194101</v>
      </c>
      <c r="O151" t="s">
        <v>59</v>
      </c>
      <c r="P151">
        <v>1</v>
      </c>
      <c r="Q151">
        <v>0.65</v>
      </c>
      <c r="R151">
        <v>39.119999999999997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4.3999999999999997E-2</v>
      </c>
      <c r="AF151">
        <v>0.66</v>
      </c>
      <c r="AG151">
        <v>0</v>
      </c>
      <c r="AH151">
        <v>4.3999999999999997E-2</v>
      </c>
      <c r="AI151">
        <v>63</v>
      </c>
      <c r="AX151" t="s">
        <v>1460</v>
      </c>
      <c r="AY151" t="s">
        <v>1480</v>
      </c>
      <c r="AZ151">
        <v>270</v>
      </c>
    </row>
    <row r="152" spans="1:52" x14ac:dyDescent="0.25">
      <c r="A152">
        <v>169</v>
      </c>
      <c r="B152" t="s">
        <v>261</v>
      </c>
      <c r="C152" t="s">
        <v>699</v>
      </c>
      <c r="D152" t="s">
        <v>1148</v>
      </c>
      <c r="E152" t="s">
        <v>61</v>
      </c>
      <c r="F152">
        <v>69.832740000000001</v>
      </c>
      <c r="G152">
        <v>587100000</v>
      </c>
      <c r="H152" t="s">
        <v>1436</v>
      </c>
      <c r="I152">
        <v>40998.81</v>
      </c>
      <c r="J152">
        <v>260106247.38992599</v>
      </c>
      <c r="K152">
        <v>300978096.06299299</v>
      </c>
      <c r="L152">
        <v>284733109.49641901</v>
      </c>
      <c r="M152">
        <v>330046183.46661401</v>
      </c>
      <c r="N152">
        <v>326641385.58420098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193</v>
      </c>
      <c r="AX152" t="s">
        <v>1460</v>
      </c>
      <c r="AY152" t="s">
        <v>1480</v>
      </c>
      <c r="AZ152">
        <v>27</v>
      </c>
    </row>
    <row r="153" spans="1:52" x14ac:dyDescent="0.25">
      <c r="A153">
        <v>170</v>
      </c>
      <c r="B153" t="s">
        <v>262</v>
      </c>
      <c r="C153" t="s">
        <v>700</v>
      </c>
      <c r="D153" t="s">
        <v>1149</v>
      </c>
      <c r="E153" t="s">
        <v>61</v>
      </c>
      <c r="F153">
        <v>146.27070000000001</v>
      </c>
      <c r="G153">
        <v>250207300</v>
      </c>
      <c r="H153" t="s">
        <v>1437</v>
      </c>
      <c r="I153">
        <v>36598</v>
      </c>
      <c r="J153">
        <v>469398311.81457299</v>
      </c>
      <c r="K153">
        <v>434141738.308887</v>
      </c>
      <c r="L153">
        <v>397322695.43803197</v>
      </c>
      <c r="M153">
        <v>460106787.93246698</v>
      </c>
      <c r="N153">
        <v>384986210.51494199</v>
      </c>
      <c r="O153" t="s">
        <v>58</v>
      </c>
      <c r="P153">
        <v>0.9</v>
      </c>
      <c r="Q153">
        <v>0.5</v>
      </c>
      <c r="R153">
        <v>45.65</v>
      </c>
      <c r="S153">
        <v>0.56999999999999995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0.56999999999999995</v>
      </c>
      <c r="AG153">
        <v>0</v>
      </c>
      <c r="AH153">
        <v>0</v>
      </c>
      <c r="AI153">
        <v>36</v>
      </c>
      <c r="AJ153" t="s">
        <v>1446</v>
      </c>
      <c r="AX153" t="s">
        <v>1462</v>
      </c>
      <c r="AY153" t="s">
        <v>1481</v>
      </c>
    </row>
    <row r="154" spans="1:52" x14ac:dyDescent="0.25">
      <c r="A154">
        <v>171</v>
      </c>
      <c r="B154" t="s">
        <v>263</v>
      </c>
      <c r="C154" t="s">
        <v>701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668422075.94253194</v>
      </c>
      <c r="L154">
        <v>675062696.08353901</v>
      </c>
      <c r="M154">
        <v>782817645.19086504</v>
      </c>
      <c r="N154">
        <v>657427553.20037496</v>
      </c>
      <c r="O154" t="s">
        <v>59</v>
      </c>
      <c r="P154">
        <v>1</v>
      </c>
      <c r="Q154">
        <v>18.68</v>
      </c>
      <c r="R154">
        <v>69.680000000000007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454</v>
      </c>
      <c r="AW154" t="s">
        <v>1459</v>
      </c>
      <c r="AX154" t="s">
        <v>1461</v>
      </c>
      <c r="AY154" t="s">
        <v>1481</v>
      </c>
    </row>
    <row r="155" spans="1:52" x14ac:dyDescent="0.25">
      <c r="A155">
        <v>172</v>
      </c>
      <c r="B155" t="s">
        <v>16</v>
      </c>
      <c r="C155" t="s">
        <v>702</v>
      </c>
      <c r="D155" t="s">
        <v>41</v>
      </c>
      <c r="E155" t="s">
        <v>61</v>
      </c>
      <c r="F155">
        <v>607.33910000000003</v>
      </c>
      <c r="G155">
        <v>946456800</v>
      </c>
      <c r="H155" t="s">
        <v>1436</v>
      </c>
      <c r="I155">
        <v>574820.19999999995</v>
      </c>
      <c r="J155">
        <v>4428955769.9924002</v>
      </c>
      <c r="K155">
        <v>2908575870.1115999</v>
      </c>
      <c r="L155">
        <v>2747403680.6307402</v>
      </c>
      <c r="M155">
        <v>3185157703.6094599</v>
      </c>
      <c r="N155">
        <v>2816072044.4991298</v>
      </c>
      <c r="O155" t="s">
        <v>59</v>
      </c>
      <c r="P155">
        <v>0.85</v>
      </c>
      <c r="Q155">
        <v>2.5499999999999998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307</v>
      </c>
      <c r="AX155" t="s">
        <v>1460</v>
      </c>
      <c r="AY155" t="s">
        <v>1480</v>
      </c>
      <c r="AZ155">
        <v>57</v>
      </c>
    </row>
    <row r="156" spans="1:52" x14ac:dyDescent="0.25">
      <c r="A156">
        <v>173</v>
      </c>
      <c r="B156" t="s">
        <v>264</v>
      </c>
      <c r="C156" t="s">
        <v>703</v>
      </c>
      <c r="D156" t="s">
        <v>1151</v>
      </c>
      <c r="E156" t="s">
        <v>61</v>
      </c>
      <c r="F156">
        <v>520.77149999999995</v>
      </c>
      <c r="G156">
        <v>44764250</v>
      </c>
      <c r="H156" t="s">
        <v>1436</v>
      </c>
      <c r="I156">
        <v>23311.94</v>
      </c>
      <c r="J156">
        <v>152058690.44966099</v>
      </c>
      <c r="K156">
        <v>194711353.481428</v>
      </c>
      <c r="L156">
        <v>186152316.48532099</v>
      </c>
      <c r="M156">
        <v>215666827.74003401</v>
      </c>
      <c r="N156">
        <v>183553599.02682799</v>
      </c>
      <c r="O156" t="s">
        <v>59</v>
      </c>
      <c r="P156">
        <v>1</v>
      </c>
      <c r="Q156">
        <v>1.86</v>
      </c>
      <c r="R156">
        <v>33.380000000000003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209</v>
      </c>
      <c r="AX156" t="s">
        <v>1460</v>
      </c>
      <c r="AY156" t="s">
        <v>1480</v>
      </c>
      <c r="AZ156">
        <v>293</v>
      </c>
    </row>
    <row r="157" spans="1:52" x14ac:dyDescent="0.25">
      <c r="A157">
        <v>174</v>
      </c>
      <c r="B157" t="s">
        <v>265</v>
      </c>
      <c r="C157" t="s">
        <v>704</v>
      </c>
      <c r="D157" t="s">
        <v>1152</v>
      </c>
      <c r="E157" t="s">
        <v>61</v>
      </c>
      <c r="F157">
        <v>114.15770000000001</v>
      </c>
      <c r="G157">
        <v>562800000</v>
      </c>
      <c r="H157" t="s">
        <v>1436</v>
      </c>
      <c r="I157">
        <v>64247.96</v>
      </c>
      <c r="J157">
        <v>453751717.67037302</v>
      </c>
      <c r="K157">
        <v>348400513.47448403</v>
      </c>
      <c r="L157">
        <v>369179408.91558599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104</v>
      </c>
      <c r="AX157" t="s">
        <v>1460</v>
      </c>
      <c r="AY157" t="s">
        <v>1480</v>
      </c>
      <c r="AZ157">
        <v>223</v>
      </c>
    </row>
    <row r="158" spans="1:52" x14ac:dyDescent="0.25">
      <c r="A158">
        <v>176</v>
      </c>
      <c r="B158" t="s">
        <v>266</v>
      </c>
      <c r="C158" t="s">
        <v>705</v>
      </c>
      <c r="D158" t="s">
        <v>1153</v>
      </c>
      <c r="E158" t="s">
        <v>61</v>
      </c>
      <c r="F158">
        <v>14.942819999999999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237436910.93600801</v>
      </c>
      <c r="L158">
        <v>202897879.06916401</v>
      </c>
      <c r="M158">
        <v>235241419.58755401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8.9999999999999993E-3</v>
      </c>
      <c r="AD158" t="s">
        <v>1443</v>
      </c>
      <c r="AE158" t="s">
        <v>1444</v>
      </c>
      <c r="AG158">
        <v>8.9999999999999993E-3</v>
      </c>
      <c r="AI158">
        <v>268</v>
      </c>
      <c r="AT158" t="s">
        <v>1456</v>
      </c>
      <c r="AU158" t="s">
        <v>1457</v>
      </c>
      <c r="AX158" t="s">
        <v>1473</v>
      </c>
      <c r="AY158" t="s">
        <v>1481</v>
      </c>
    </row>
    <row r="159" spans="1:52" x14ac:dyDescent="0.25">
      <c r="A159">
        <v>177</v>
      </c>
      <c r="B159" t="s">
        <v>267</v>
      </c>
      <c r="C159" t="s">
        <v>706</v>
      </c>
      <c r="D159" t="s">
        <v>1154</v>
      </c>
      <c r="E159" t="s">
        <v>61</v>
      </c>
      <c r="F159">
        <v>76.233149999999995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258017410.53035399</v>
      </c>
      <c r="L159">
        <v>194112768.66222101</v>
      </c>
      <c r="M159">
        <v>224871724.57355499</v>
      </c>
      <c r="N159">
        <v>252344351.53602099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0.53559999999999997</v>
      </c>
      <c r="AF159">
        <v>0.97</v>
      </c>
      <c r="AG159">
        <v>0</v>
      </c>
      <c r="AH159">
        <v>0.53559999999999997</v>
      </c>
      <c r="AI159">
        <v>354</v>
      </c>
      <c r="AU159" t="s">
        <v>1457</v>
      </c>
      <c r="AX159" t="s">
        <v>1463</v>
      </c>
      <c r="AY159" t="s">
        <v>1481</v>
      </c>
    </row>
    <row r="160" spans="1:52" x14ac:dyDescent="0.25">
      <c r="A160">
        <v>178</v>
      </c>
      <c r="B160" t="s">
        <v>268</v>
      </c>
      <c r="C160" t="s">
        <v>707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109126922.62668601</v>
      </c>
      <c r="M160">
        <v>126482647.29873399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248</v>
      </c>
      <c r="AX160" t="s">
        <v>1460</v>
      </c>
      <c r="AY160" t="s">
        <v>1480</v>
      </c>
    </row>
    <row r="161" spans="1:52" x14ac:dyDescent="0.25">
      <c r="A161">
        <v>179</v>
      </c>
      <c r="B161" t="s">
        <v>269</v>
      </c>
      <c r="C161" t="s">
        <v>708</v>
      </c>
      <c r="D161" t="s">
        <v>1156</v>
      </c>
      <c r="E161" t="s">
        <v>61</v>
      </c>
      <c r="F161">
        <v>103.35380000000001</v>
      </c>
      <c r="G161">
        <v>545993400</v>
      </c>
      <c r="H161" t="s">
        <v>1436</v>
      </c>
      <c r="I161">
        <v>56430.5</v>
      </c>
      <c r="J161">
        <v>287510810.50419497</v>
      </c>
      <c r="K161">
        <v>396918263.91914499</v>
      </c>
      <c r="L161">
        <v>349103498.46975601</v>
      </c>
      <c r="M161">
        <v>404329709.16974097</v>
      </c>
      <c r="N161">
        <v>379521626.65296602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242</v>
      </c>
      <c r="AV161" t="s">
        <v>1458</v>
      </c>
      <c r="AX161" t="s">
        <v>1470</v>
      </c>
      <c r="AY161" t="s">
        <v>1481</v>
      </c>
    </row>
    <row r="162" spans="1:52" x14ac:dyDescent="0.25">
      <c r="A162">
        <v>180</v>
      </c>
      <c r="B162" t="s">
        <v>270</v>
      </c>
      <c r="C162" t="s">
        <v>709</v>
      </c>
      <c r="D162" t="s">
        <v>1157</v>
      </c>
      <c r="E162" t="s">
        <v>61</v>
      </c>
      <c r="F162">
        <v>44.350569999999998</v>
      </c>
      <c r="G162">
        <v>624063100</v>
      </c>
      <c r="H162" t="s">
        <v>1436</v>
      </c>
      <c r="I162">
        <v>27677.56</v>
      </c>
      <c r="J162">
        <v>278486588.33743799</v>
      </c>
      <c r="K162">
        <v>387283913.91280901</v>
      </c>
      <c r="L162">
        <v>376942903.50164002</v>
      </c>
      <c r="M162">
        <v>437591572.29471201</v>
      </c>
      <c r="N162">
        <v>343809026.72917598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219</v>
      </c>
      <c r="AV162" t="s">
        <v>1458</v>
      </c>
      <c r="AX162" t="s">
        <v>1470</v>
      </c>
      <c r="AY162" t="s">
        <v>1481</v>
      </c>
    </row>
    <row r="163" spans="1:52" x14ac:dyDescent="0.25">
      <c r="A163">
        <v>181</v>
      </c>
      <c r="B163" t="s">
        <v>271</v>
      </c>
      <c r="C163" t="s">
        <v>710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216804075.45745501</v>
      </c>
      <c r="K163">
        <v>231267479.064123</v>
      </c>
      <c r="L163">
        <v>218247508.58441901</v>
      </c>
      <c r="M163">
        <v>253217575.11235899</v>
      </c>
      <c r="N163">
        <v>241683572.69095501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318</v>
      </c>
      <c r="AX163" t="s">
        <v>1460</v>
      </c>
      <c r="AY163" t="s">
        <v>1480</v>
      </c>
      <c r="AZ163">
        <v>112</v>
      </c>
    </row>
    <row r="164" spans="1:52" x14ac:dyDescent="0.25">
      <c r="A164">
        <v>182</v>
      </c>
      <c r="B164" t="s">
        <v>272</v>
      </c>
      <c r="C164" t="s">
        <v>711</v>
      </c>
      <c r="D164" t="s">
        <v>1159</v>
      </c>
      <c r="E164" t="s">
        <v>61</v>
      </c>
      <c r="F164">
        <v>671.16399999999999</v>
      </c>
      <c r="G164">
        <v>97863980</v>
      </c>
      <c r="H164" t="s">
        <v>1437</v>
      </c>
      <c r="I164">
        <v>65682.78</v>
      </c>
      <c r="J164">
        <v>261295730.73752099</v>
      </c>
      <c r="K164">
        <v>479057087.02342498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72.599999999999994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156</v>
      </c>
      <c r="AX164" t="s">
        <v>1460</v>
      </c>
      <c r="AY164" t="s">
        <v>1480</v>
      </c>
      <c r="AZ164">
        <v>1</v>
      </c>
    </row>
    <row r="165" spans="1:52" x14ac:dyDescent="0.25">
      <c r="A165">
        <v>183</v>
      </c>
      <c r="B165" t="s">
        <v>273</v>
      </c>
      <c r="C165" t="s">
        <v>712</v>
      </c>
      <c r="D165" t="s">
        <v>1160</v>
      </c>
      <c r="E165" t="s">
        <v>61</v>
      </c>
      <c r="F165">
        <v>55.692100000000003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121467112.54985499</v>
      </c>
      <c r="L165">
        <v>117760447.85456499</v>
      </c>
      <c r="M165">
        <v>136445862.46103799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352</v>
      </c>
      <c r="AX165" t="s">
        <v>1460</v>
      </c>
      <c r="AY165" t="s">
        <v>1480</v>
      </c>
      <c r="AZ165">
        <v>101</v>
      </c>
    </row>
    <row r="166" spans="1:52" x14ac:dyDescent="0.25">
      <c r="A166">
        <v>184</v>
      </c>
      <c r="B166" t="s">
        <v>274</v>
      </c>
      <c r="C166" t="s">
        <v>713</v>
      </c>
      <c r="D166" t="s">
        <v>1161</v>
      </c>
      <c r="E166" t="s">
        <v>61</v>
      </c>
      <c r="F166">
        <v>77.854579999999999</v>
      </c>
      <c r="G166">
        <v>234347410</v>
      </c>
      <c r="H166" t="s">
        <v>1436</v>
      </c>
      <c r="I166">
        <v>18245.02</v>
      </c>
      <c r="J166">
        <v>336898540.43897402</v>
      </c>
      <c r="K166">
        <v>265408663.77211201</v>
      </c>
      <c r="L166">
        <v>303419109.15525502</v>
      </c>
      <c r="M166">
        <v>352309333.01222998</v>
      </c>
      <c r="N166">
        <v>295243808.15743798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190</v>
      </c>
      <c r="AX166" t="s">
        <v>1460</v>
      </c>
      <c r="AY166" t="s">
        <v>1480</v>
      </c>
      <c r="AZ166">
        <v>163</v>
      </c>
    </row>
    <row r="167" spans="1:52" x14ac:dyDescent="0.25">
      <c r="A167">
        <v>185</v>
      </c>
      <c r="B167" t="s">
        <v>275</v>
      </c>
      <c r="C167" t="s">
        <v>714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21070.400000000001</v>
      </c>
      <c r="J167">
        <v>103323912.182098</v>
      </c>
      <c r="K167">
        <v>139511810.61993501</v>
      </c>
      <c r="L167">
        <v>125453371.614131</v>
      </c>
      <c r="M167">
        <v>145213905.167968</v>
      </c>
      <c r="N167">
        <v>137913867.39402401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392</v>
      </c>
      <c r="AW167" t="s">
        <v>1459</v>
      </c>
      <c r="AX167" t="s">
        <v>1461</v>
      </c>
      <c r="AY167" t="s">
        <v>1481</v>
      </c>
    </row>
    <row r="168" spans="1:52" x14ac:dyDescent="0.25">
      <c r="A168">
        <v>186</v>
      </c>
      <c r="B168" t="s">
        <v>276</v>
      </c>
      <c r="C168" t="s">
        <v>715</v>
      </c>
      <c r="D168" t="s">
        <v>1163</v>
      </c>
      <c r="E168" t="s">
        <v>61</v>
      </c>
      <c r="F168">
        <v>38.368319999999997</v>
      </c>
      <c r="G168">
        <v>1009987300</v>
      </c>
      <c r="H168" t="s">
        <v>1437</v>
      </c>
      <c r="I168">
        <v>38751.519999999997</v>
      </c>
      <c r="J168">
        <v>223487168.74934301</v>
      </c>
      <c r="K168">
        <v>291566640.40921402</v>
      </c>
      <c r="L168">
        <v>232627010.55750301</v>
      </c>
      <c r="M168">
        <v>269129754.80915499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108</v>
      </c>
      <c r="AU168" t="s">
        <v>1457</v>
      </c>
      <c r="AX168" t="s">
        <v>1463</v>
      </c>
      <c r="AY168" t="s">
        <v>1481</v>
      </c>
    </row>
    <row r="169" spans="1:52" x14ac:dyDescent="0.25">
      <c r="A169">
        <v>187</v>
      </c>
      <c r="B169" t="s">
        <v>277</v>
      </c>
      <c r="C169" t="s">
        <v>716</v>
      </c>
      <c r="D169" t="s">
        <v>1164</v>
      </c>
      <c r="E169" t="s">
        <v>61</v>
      </c>
      <c r="F169">
        <v>80.781710000000004</v>
      </c>
      <c r="G169">
        <v>238145680</v>
      </c>
      <c r="H169" t="s">
        <v>1437</v>
      </c>
      <c r="I169">
        <v>19237.810000000001</v>
      </c>
      <c r="J169">
        <v>277618210.238159</v>
      </c>
      <c r="K169">
        <v>380174307.40884697</v>
      </c>
      <c r="L169">
        <v>302926197.94726503</v>
      </c>
      <c r="M169">
        <v>351355695.20662898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212</v>
      </c>
      <c r="AV169" t="s">
        <v>1458</v>
      </c>
      <c r="AX169" t="s">
        <v>1470</v>
      </c>
      <c r="AY169" t="s">
        <v>1481</v>
      </c>
    </row>
    <row r="170" spans="1:52" x14ac:dyDescent="0.25">
      <c r="A170">
        <v>188</v>
      </c>
      <c r="B170" t="s">
        <v>278</v>
      </c>
      <c r="C170" t="s">
        <v>717</v>
      </c>
      <c r="D170" t="s">
        <v>1165</v>
      </c>
      <c r="E170" t="s">
        <v>61</v>
      </c>
      <c r="F170">
        <v>183.31630000000001</v>
      </c>
      <c r="G170">
        <v>118192130</v>
      </c>
      <c r="H170" t="s">
        <v>1437</v>
      </c>
      <c r="I170">
        <v>21666.54</v>
      </c>
      <c r="J170">
        <v>401988498.38300598</v>
      </c>
      <c r="K170">
        <v>323773370.22210199</v>
      </c>
      <c r="L170">
        <v>276760619.444933</v>
      </c>
      <c r="M170">
        <v>321050958.97119498</v>
      </c>
      <c r="N170">
        <v>291683384.97455698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327</v>
      </c>
      <c r="AX170" t="s">
        <v>1460</v>
      </c>
      <c r="AY170" t="s">
        <v>1480</v>
      </c>
      <c r="AZ170">
        <v>228</v>
      </c>
    </row>
    <row r="171" spans="1:52" x14ac:dyDescent="0.25">
      <c r="A171">
        <v>189</v>
      </c>
      <c r="B171" t="s">
        <v>279</v>
      </c>
      <c r="C171" t="s">
        <v>718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435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 x14ac:dyDescent="0.25">
      <c r="A172">
        <v>190</v>
      </c>
      <c r="B172" t="s">
        <v>280</v>
      </c>
      <c r="C172" t="s">
        <v>719</v>
      </c>
      <c r="D172" t="s">
        <v>1167</v>
      </c>
      <c r="E172" t="s">
        <v>61</v>
      </c>
      <c r="F172">
        <v>94.965010000000007</v>
      </c>
      <c r="G172">
        <v>4263247000</v>
      </c>
      <c r="H172" t="s">
        <v>1436</v>
      </c>
      <c r="I172">
        <v>404859.3</v>
      </c>
      <c r="J172">
        <v>1452038214.6143501</v>
      </c>
      <c r="K172">
        <v>1656306958.5904701</v>
      </c>
      <c r="L172">
        <v>1590194341.70928</v>
      </c>
      <c r="M172">
        <v>1842254641.6747601</v>
      </c>
      <c r="N172">
        <v>1625004621.7591901</v>
      </c>
      <c r="O172" t="s">
        <v>59</v>
      </c>
      <c r="P172">
        <v>1</v>
      </c>
      <c r="Q172">
        <v>5.73</v>
      </c>
      <c r="R172">
        <v>35.340000000000003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433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 x14ac:dyDescent="0.25">
      <c r="A173">
        <v>191</v>
      </c>
      <c r="B173" t="s">
        <v>281</v>
      </c>
      <c r="C173" t="s">
        <v>720</v>
      </c>
      <c r="D173" t="s">
        <v>1168</v>
      </c>
      <c r="E173" t="s">
        <v>61</v>
      </c>
      <c r="F173">
        <v>270.72030000000001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131359860.58340099</v>
      </c>
      <c r="L173">
        <v>124676590.67082299</v>
      </c>
      <c r="M173">
        <v>144444399.12118199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401</v>
      </c>
      <c r="AW173" t="s">
        <v>1459</v>
      </c>
      <c r="AX173" t="s">
        <v>1461</v>
      </c>
      <c r="AY173" t="s">
        <v>1481</v>
      </c>
    </row>
    <row r="174" spans="1:52" x14ac:dyDescent="0.25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</row>
    <row r="175" spans="1:52" x14ac:dyDescent="0.25">
      <c r="A175">
        <v>194</v>
      </c>
      <c r="B175" t="s">
        <v>283</v>
      </c>
      <c r="C175" t="s">
        <v>722</v>
      </c>
      <c r="D175" t="s">
        <v>1170</v>
      </c>
      <c r="E175" t="s">
        <v>61</v>
      </c>
      <c r="F175">
        <v>43.002220000000001</v>
      </c>
      <c r="G175">
        <v>1147636600</v>
      </c>
      <c r="H175" t="s">
        <v>1437</v>
      </c>
      <c r="I175">
        <v>49350.93</v>
      </c>
      <c r="J175">
        <v>230685423.38412699</v>
      </c>
      <c r="K175">
        <v>247997402.698347</v>
      </c>
      <c r="L175">
        <v>231023031.295948</v>
      </c>
      <c r="M175">
        <v>268086289.191394</v>
      </c>
      <c r="N175">
        <v>220487946.12343901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356</v>
      </c>
      <c r="AX175" t="s">
        <v>1460</v>
      </c>
      <c r="AY175" t="s">
        <v>1480</v>
      </c>
      <c r="AZ175">
        <v>162</v>
      </c>
    </row>
    <row r="176" spans="1:52" x14ac:dyDescent="0.25">
      <c r="A176">
        <v>195</v>
      </c>
      <c r="B176" t="s">
        <v>284</v>
      </c>
      <c r="C176" t="s">
        <v>723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415362899.79409897</v>
      </c>
      <c r="L176">
        <v>416452030.02061099</v>
      </c>
      <c r="M176">
        <v>483200432.85111398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93</v>
      </c>
      <c r="AX176" t="s">
        <v>1460</v>
      </c>
      <c r="AY176" t="s">
        <v>1480</v>
      </c>
      <c r="AZ176">
        <v>302</v>
      </c>
    </row>
    <row r="177" spans="1:52" x14ac:dyDescent="0.25">
      <c r="A177">
        <v>196</v>
      </c>
      <c r="B177" t="s">
        <v>285</v>
      </c>
      <c r="C177" t="s">
        <v>724</v>
      </c>
      <c r="D177" t="s">
        <v>1172</v>
      </c>
      <c r="E177" t="s">
        <v>61</v>
      </c>
      <c r="F177">
        <v>199.36850000000001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276207027.13233203</v>
      </c>
      <c r="M177">
        <v>319883465.36876702</v>
      </c>
      <c r="N177">
        <v>293453926.35361803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337</v>
      </c>
      <c r="AX177" t="s">
        <v>1460</v>
      </c>
      <c r="AY177" t="s">
        <v>1480</v>
      </c>
      <c r="AZ177">
        <v>167</v>
      </c>
    </row>
    <row r="178" spans="1:52" x14ac:dyDescent="0.25">
      <c r="A178">
        <v>197</v>
      </c>
      <c r="B178" t="s">
        <v>286</v>
      </c>
      <c r="C178" t="s">
        <v>725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275603711.76397198</v>
      </c>
      <c r="K178">
        <v>243971125.20766899</v>
      </c>
      <c r="L178">
        <v>207790465.59890699</v>
      </c>
      <c r="M178">
        <v>240766715.288176</v>
      </c>
      <c r="N178">
        <v>244910450.21966699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176</v>
      </c>
      <c r="AX178" t="s">
        <v>1460</v>
      </c>
      <c r="AY178" t="s">
        <v>1480</v>
      </c>
      <c r="AZ178">
        <v>180</v>
      </c>
    </row>
    <row r="179" spans="1:52" x14ac:dyDescent="0.25">
      <c r="A179">
        <v>198</v>
      </c>
      <c r="B179" t="s">
        <v>287</v>
      </c>
      <c r="C179" t="s">
        <v>726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121783109.04463699</v>
      </c>
      <c r="K179">
        <v>175394129.99827999</v>
      </c>
      <c r="L179">
        <v>177805561.21396399</v>
      </c>
      <c r="M179">
        <v>206353987.082618</v>
      </c>
      <c r="N179">
        <v>175494424.02287599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288</v>
      </c>
      <c r="AX179" t="s">
        <v>1460</v>
      </c>
      <c r="AY179" t="s">
        <v>1480</v>
      </c>
      <c r="AZ179">
        <v>238</v>
      </c>
    </row>
    <row r="180" spans="1:52" x14ac:dyDescent="0.25">
      <c r="A180">
        <v>199</v>
      </c>
      <c r="B180" t="s">
        <v>288</v>
      </c>
      <c r="C180" t="s">
        <v>727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20215.830000000002</v>
      </c>
      <c r="J180">
        <v>255485096.21257401</v>
      </c>
      <c r="K180">
        <v>162421269.253663</v>
      </c>
      <c r="L180">
        <v>168613691.009855</v>
      </c>
      <c r="M180">
        <v>195631482.24836099</v>
      </c>
      <c r="N180">
        <v>162459153.02864599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437</v>
      </c>
      <c r="AW180" t="s">
        <v>1459</v>
      </c>
      <c r="AX180" t="s">
        <v>1461</v>
      </c>
      <c r="AY180" t="s">
        <v>1481</v>
      </c>
    </row>
    <row r="181" spans="1:52" x14ac:dyDescent="0.25">
      <c r="A181">
        <v>200</v>
      </c>
      <c r="B181" t="s">
        <v>289</v>
      </c>
      <c r="C181" t="s">
        <v>728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18513.439999999999</v>
      </c>
      <c r="J181">
        <v>644582214.56077695</v>
      </c>
      <c r="K181">
        <v>595662559.19334197</v>
      </c>
      <c r="L181">
        <v>589008058.11365104</v>
      </c>
      <c r="M181">
        <v>683333901.08127904</v>
      </c>
      <c r="N181">
        <v>523240810.79975599</v>
      </c>
      <c r="O181" t="s">
        <v>58</v>
      </c>
      <c r="P181">
        <v>1</v>
      </c>
      <c r="Q181">
        <v>4.26</v>
      </c>
      <c r="R181">
        <v>72.150000000000006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416</v>
      </c>
      <c r="AW181" t="s">
        <v>1459</v>
      </c>
      <c r="AX181" t="s">
        <v>1461</v>
      </c>
      <c r="AY181" t="s">
        <v>1481</v>
      </c>
    </row>
    <row r="182" spans="1:52" x14ac:dyDescent="0.25">
      <c r="A182">
        <v>201</v>
      </c>
      <c r="B182" t="s">
        <v>290</v>
      </c>
      <c r="C182" t="s">
        <v>729</v>
      </c>
      <c r="D182" t="s">
        <v>1177</v>
      </c>
      <c r="E182" t="s">
        <v>61</v>
      </c>
      <c r="F182">
        <v>37.369860000000003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189462591.58515999</v>
      </c>
      <c r="L182">
        <v>156199008.06531301</v>
      </c>
      <c r="M182">
        <v>180808007.496777</v>
      </c>
      <c r="N182">
        <v>154163399.460446</v>
      </c>
      <c r="O182" t="s">
        <v>59</v>
      </c>
      <c r="P182">
        <v>0.95</v>
      </c>
      <c r="Q182">
        <v>2.0699999999999998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9.4E-2</v>
      </c>
      <c r="AF182">
        <v>0.86</v>
      </c>
      <c r="AG182">
        <v>0.01</v>
      </c>
      <c r="AH182">
        <v>9.4E-2</v>
      </c>
      <c r="AI182">
        <v>239</v>
      </c>
      <c r="AT182" t="s">
        <v>1456</v>
      </c>
      <c r="AX182" t="s">
        <v>1474</v>
      </c>
      <c r="AY182" t="s">
        <v>1481</v>
      </c>
    </row>
    <row r="183" spans="1:52" x14ac:dyDescent="0.25">
      <c r="A183">
        <v>202</v>
      </c>
      <c r="B183" t="s">
        <v>291</v>
      </c>
      <c r="C183" t="s">
        <v>730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523525779.94649601</v>
      </c>
      <c r="K183">
        <v>754042772.11817396</v>
      </c>
      <c r="L183">
        <v>724454572.46918201</v>
      </c>
      <c r="M183">
        <v>838831837.97345805</v>
      </c>
      <c r="N183">
        <v>630848949.06587696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245</v>
      </c>
      <c r="AX183" t="s">
        <v>1460</v>
      </c>
      <c r="AY183" t="s">
        <v>1480</v>
      </c>
      <c r="AZ183">
        <v>241</v>
      </c>
    </row>
    <row r="184" spans="1:52" x14ac:dyDescent="0.25">
      <c r="A184">
        <v>203</v>
      </c>
      <c r="B184" t="s">
        <v>292</v>
      </c>
      <c r="C184" t="s">
        <v>731</v>
      </c>
      <c r="D184" t="s">
        <v>1179</v>
      </c>
      <c r="E184" t="s">
        <v>61</v>
      </c>
      <c r="F184">
        <v>44.307899999999997</v>
      </c>
      <c r="G184">
        <v>375324830</v>
      </c>
      <c r="H184" t="s">
        <v>1437</v>
      </c>
      <c r="I184">
        <v>16629.86</v>
      </c>
      <c r="J184">
        <v>150118235.02252701</v>
      </c>
      <c r="K184">
        <v>157679875.49264699</v>
      </c>
      <c r="L184">
        <v>181121286.14297301</v>
      </c>
      <c r="M184">
        <v>210405286.901472</v>
      </c>
      <c r="N184">
        <v>150092770.66034299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380</v>
      </c>
      <c r="AW184" t="s">
        <v>1459</v>
      </c>
      <c r="AX184" t="s">
        <v>1461</v>
      </c>
      <c r="AY184" t="s">
        <v>1481</v>
      </c>
    </row>
    <row r="185" spans="1:52" x14ac:dyDescent="0.25">
      <c r="A185">
        <v>204</v>
      </c>
      <c r="B185" t="s">
        <v>293</v>
      </c>
      <c r="C185" t="s">
        <v>732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533389807.80581802</v>
      </c>
      <c r="K185">
        <v>587863115.33903503</v>
      </c>
      <c r="L185">
        <v>641620515.67695904</v>
      </c>
      <c r="M185">
        <v>744493024.350793</v>
      </c>
      <c r="N185">
        <v>498012725.92564201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156</v>
      </c>
      <c r="AX185" t="s">
        <v>1460</v>
      </c>
      <c r="AY185" t="s">
        <v>1480</v>
      </c>
      <c r="AZ185">
        <v>243</v>
      </c>
    </row>
    <row r="186" spans="1:52" x14ac:dyDescent="0.25">
      <c r="A186">
        <v>205</v>
      </c>
      <c r="B186" t="s">
        <v>294</v>
      </c>
      <c r="C186" t="s">
        <v>733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555907757.44724798</v>
      </c>
      <c r="K186">
        <v>956698250.47549403</v>
      </c>
      <c r="L186">
        <v>772975729.08465099</v>
      </c>
      <c r="M186">
        <v>894984612.99650097</v>
      </c>
      <c r="N186">
        <v>768571163.757918</v>
      </c>
      <c r="O186" t="s">
        <v>59</v>
      </c>
      <c r="P186">
        <v>1</v>
      </c>
      <c r="Q186">
        <v>0.57999999999999996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50</v>
      </c>
      <c r="AX186" t="s">
        <v>1460</v>
      </c>
      <c r="AY186" t="s">
        <v>1480</v>
      </c>
      <c r="AZ186">
        <v>115</v>
      </c>
    </row>
    <row r="187" spans="1:52" x14ac:dyDescent="0.25">
      <c r="A187">
        <v>206</v>
      </c>
      <c r="B187" t="s">
        <v>295</v>
      </c>
      <c r="C187" t="s">
        <v>734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914370161.33164704</v>
      </c>
      <c r="K187">
        <v>485697729.42786002</v>
      </c>
      <c r="L187">
        <v>507688726.97630298</v>
      </c>
      <c r="M187">
        <v>588720033.94227803</v>
      </c>
      <c r="N187">
        <v>434523552.97411698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98</v>
      </c>
      <c r="AX187" t="s">
        <v>1460</v>
      </c>
      <c r="AY187" t="s">
        <v>1480</v>
      </c>
      <c r="AZ187">
        <v>62</v>
      </c>
    </row>
    <row r="188" spans="1:52" x14ac:dyDescent="0.25">
      <c r="A188">
        <v>209</v>
      </c>
      <c r="B188" t="s">
        <v>296</v>
      </c>
      <c r="C188" t="s">
        <v>735</v>
      </c>
      <c r="D188" t="s">
        <v>1183</v>
      </c>
      <c r="E188" t="s">
        <v>61</v>
      </c>
      <c r="F188">
        <v>36.934629999999999</v>
      </c>
      <c r="G188">
        <v>1435774200</v>
      </c>
      <c r="H188" t="s">
        <v>1436</v>
      </c>
      <c r="I188">
        <v>53029.79</v>
      </c>
      <c r="J188">
        <v>358883551.76951897</v>
      </c>
      <c r="K188">
        <v>552025228.44839799</v>
      </c>
      <c r="L188">
        <v>527528457.36922902</v>
      </c>
      <c r="M188">
        <v>611913144.81753695</v>
      </c>
      <c r="N188">
        <v>521997290.93621701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250</v>
      </c>
      <c r="AX188" t="s">
        <v>1460</v>
      </c>
      <c r="AY188" t="s">
        <v>1480</v>
      </c>
      <c r="AZ188">
        <v>209</v>
      </c>
    </row>
    <row r="189" spans="1:52" x14ac:dyDescent="0.25">
      <c r="A189">
        <v>210</v>
      </c>
      <c r="B189" t="s">
        <v>297</v>
      </c>
      <c r="C189" t="s">
        <v>736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38755.050000000003</v>
      </c>
      <c r="J189">
        <v>137168930.130678</v>
      </c>
      <c r="K189">
        <v>177439177.08316901</v>
      </c>
      <c r="L189">
        <v>158960930.38732299</v>
      </c>
      <c r="M189">
        <v>184045790.233118</v>
      </c>
      <c r="N189">
        <v>169063524.12272999</v>
      </c>
      <c r="O189" t="s">
        <v>59</v>
      </c>
      <c r="P189">
        <v>0.85</v>
      </c>
      <c r="Q189">
        <v>2.65</v>
      </c>
      <c r="R189">
        <v>38.869999999999997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321</v>
      </c>
      <c r="AX189" t="s">
        <v>1460</v>
      </c>
      <c r="AY189" t="s">
        <v>1480</v>
      </c>
      <c r="AZ189">
        <v>271</v>
      </c>
    </row>
    <row r="190" spans="1:52" x14ac:dyDescent="0.25">
      <c r="A190">
        <v>211</v>
      </c>
      <c r="B190" t="s">
        <v>298</v>
      </c>
      <c r="C190" t="s">
        <v>737</v>
      </c>
      <c r="D190" t="s">
        <v>1185</v>
      </c>
      <c r="E190" t="s">
        <v>61</v>
      </c>
      <c r="F190">
        <v>213.26159999999999</v>
      </c>
      <c r="G190">
        <v>75735794</v>
      </c>
      <c r="H190" t="s">
        <v>1436</v>
      </c>
      <c r="I190">
        <v>16151.54</v>
      </c>
      <c r="J190">
        <v>425013926.18219399</v>
      </c>
      <c r="K190">
        <v>297575517.50654203</v>
      </c>
      <c r="L190">
        <v>328182574.39032203</v>
      </c>
      <c r="M190">
        <v>380383567.06583798</v>
      </c>
      <c r="N190">
        <v>240059158.78931999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143</v>
      </c>
      <c r="AX190" t="s">
        <v>1460</v>
      </c>
      <c r="AY190" t="s">
        <v>1480</v>
      </c>
      <c r="AZ190">
        <v>49</v>
      </c>
    </row>
    <row r="191" spans="1:52" x14ac:dyDescent="0.25">
      <c r="A191">
        <v>212</v>
      </c>
      <c r="B191" t="s">
        <v>17</v>
      </c>
      <c r="C191" t="s">
        <v>738</v>
      </c>
      <c r="D191" t="s">
        <v>42</v>
      </c>
      <c r="E191" t="s">
        <v>61</v>
      </c>
      <c r="F191">
        <v>227.45349999999999</v>
      </c>
      <c r="G191">
        <v>1060439300</v>
      </c>
      <c r="H191" t="s">
        <v>1436</v>
      </c>
      <c r="I191">
        <v>241200.6</v>
      </c>
      <c r="J191">
        <v>954172276.81808305</v>
      </c>
      <c r="K191">
        <v>1232001148.6273999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245</v>
      </c>
    </row>
    <row r="192" spans="1:52" x14ac:dyDescent="0.25">
      <c r="A192">
        <v>213</v>
      </c>
      <c r="B192" t="s">
        <v>299</v>
      </c>
      <c r="C192" t="s">
        <v>739</v>
      </c>
      <c r="D192" t="s">
        <v>1186</v>
      </c>
      <c r="E192" t="s">
        <v>61</v>
      </c>
      <c r="F192">
        <v>64.191839999999999</v>
      </c>
      <c r="G192">
        <v>456562040</v>
      </c>
      <c r="H192" t="s">
        <v>1437</v>
      </c>
      <c r="I192">
        <v>29307.56</v>
      </c>
      <c r="J192">
        <v>202828675.43279701</v>
      </c>
      <c r="K192">
        <v>279382727.74312001</v>
      </c>
      <c r="L192">
        <v>234611520.672593</v>
      </c>
      <c r="M192">
        <v>271853249.01017702</v>
      </c>
      <c r="N192">
        <v>262838257.28489801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93</v>
      </c>
      <c r="AX192" t="s">
        <v>1460</v>
      </c>
      <c r="AY192" t="s">
        <v>1480</v>
      </c>
      <c r="AZ192">
        <v>44</v>
      </c>
    </row>
    <row r="193" spans="1:52" x14ac:dyDescent="0.25">
      <c r="A193">
        <v>214</v>
      </c>
      <c r="B193" t="s">
        <v>300</v>
      </c>
      <c r="C193" t="s">
        <v>740</v>
      </c>
      <c r="D193" t="s">
        <v>1187</v>
      </c>
      <c r="E193" t="s">
        <v>61</v>
      </c>
      <c r="F193">
        <v>518.06619999999998</v>
      </c>
      <c r="G193">
        <v>272223940</v>
      </c>
      <c r="H193" t="s">
        <v>1436</v>
      </c>
      <c r="I193">
        <v>141030</v>
      </c>
      <c r="J193">
        <v>1320347460.4049799</v>
      </c>
      <c r="K193">
        <v>1321821417.2260399</v>
      </c>
      <c r="L193">
        <v>1404895753.30042</v>
      </c>
      <c r="M193">
        <v>1629779084.19748</v>
      </c>
      <c r="N193">
        <v>1116348341.1224699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177</v>
      </c>
      <c r="AJ193" t="s">
        <v>1446</v>
      </c>
      <c r="AX193" t="s">
        <v>1462</v>
      </c>
      <c r="AY193" t="s">
        <v>1481</v>
      </c>
    </row>
    <row r="194" spans="1:52" x14ac:dyDescent="0.25">
      <c r="A194">
        <v>215</v>
      </c>
      <c r="B194" t="s">
        <v>301</v>
      </c>
      <c r="C194" t="s">
        <v>741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16597.669999999998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97692771.230871096</v>
      </c>
      <c r="O194" t="s">
        <v>58</v>
      </c>
      <c r="P194">
        <v>0.9</v>
      </c>
      <c r="Q194">
        <v>1.94</v>
      </c>
      <c r="R194">
        <v>59.66</v>
      </c>
      <c r="S194">
        <v>0.94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0.94</v>
      </c>
      <c r="AG194">
        <v>0</v>
      </c>
      <c r="AH194">
        <v>0</v>
      </c>
      <c r="AI194">
        <v>221</v>
      </c>
      <c r="AX194" t="s">
        <v>1460</v>
      </c>
      <c r="AY194" t="s">
        <v>1480</v>
      </c>
      <c r="AZ194">
        <v>51</v>
      </c>
    </row>
    <row r="195" spans="1:52" x14ac:dyDescent="0.25">
      <c r="A195">
        <v>216</v>
      </c>
      <c r="B195" t="s">
        <v>302</v>
      </c>
      <c r="C195" t="s">
        <v>742</v>
      </c>
      <c r="D195" t="s">
        <v>1189</v>
      </c>
      <c r="E195" t="s">
        <v>61</v>
      </c>
      <c r="F195">
        <v>272.75130000000001</v>
      </c>
      <c r="G195">
        <v>268993350</v>
      </c>
      <c r="H195" t="s">
        <v>1436</v>
      </c>
      <c r="I195">
        <v>73368.289999999994</v>
      </c>
      <c r="J195">
        <v>242965468.24405801</v>
      </c>
      <c r="K195">
        <v>335615155.64768797</v>
      </c>
      <c r="L195">
        <v>293372083.03913403</v>
      </c>
      <c r="M195">
        <v>340400458.96113902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0.94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0.94</v>
      </c>
      <c r="AG195">
        <v>0</v>
      </c>
      <c r="AH195">
        <v>0</v>
      </c>
      <c r="AI195">
        <v>117</v>
      </c>
      <c r="AP195" t="s">
        <v>1452</v>
      </c>
      <c r="AQ195" t="s">
        <v>1453</v>
      </c>
      <c r="AS195" t="s">
        <v>1455</v>
      </c>
      <c r="AX195" t="s">
        <v>1475</v>
      </c>
      <c r="AY195" t="s">
        <v>1481</v>
      </c>
    </row>
    <row r="196" spans="1:52" x14ac:dyDescent="0.25">
      <c r="A196">
        <v>217</v>
      </c>
      <c r="B196" t="s">
        <v>303</v>
      </c>
      <c r="C196" t="s">
        <v>743</v>
      </c>
      <c r="D196" t="s">
        <v>1190</v>
      </c>
      <c r="E196" t="s">
        <v>61</v>
      </c>
      <c r="F196">
        <v>42.823009999999996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285693271.42615598</v>
      </c>
      <c r="L196">
        <v>250947180.20159701</v>
      </c>
      <c r="M196">
        <v>291147584.76946598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146</v>
      </c>
      <c r="AX196" t="s">
        <v>1460</v>
      </c>
      <c r="AY196" t="s">
        <v>1480</v>
      </c>
      <c r="AZ196">
        <v>73</v>
      </c>
    </row>
    <row r="197" spans="1:52" x14ac:dyDescent="0.25">
      <c r="A197">
        <v>218</v>
      </c>
      <c r="B197" t="s">
        <v>304</v>
      </c>
      <c r="C197" t="s">
        <v>744</v>
      </c>
      <c r="D197" t="s">
        <v>1191</v>
      </c>
      <c r="E197" t="s">
        <v>61</v>
      </c>
      <c r="F197">
        <v>49.812249999999999</v>
      </c>
      <c r="G197">
        <v>952077800</v>
      </c>
      <c r="H197" t="s">
        <v>1436</v>
      </c>
      <c r="I197">
        <v>47425.14</v>
      </c>
      <c r="J197">
        <v>305847823.14260399</v>
      </c>
      <c r="K197">
        <v>524400620.35508198</v>
      </c>
      <c r="L197">
        <v>411080279.26053101</v>
      </c>
      <c r="M197">
        <v>476597989.48283398</v>
      </c>
      <c r="N197">
        <v>544518152.52593994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140</v>
      </c>
      <c r="AX197" t="s">
        <v>1460</v>
      </c>
      <c r="AY197" t="s">
        <v>1480</v>
      </c>
      <c r="AZ197">
        <v>143</v>
      </c>
    </row>
    <row r="198" spans="1:52" x14ac:dyDescent="0.25">
      <c r="A198">
        <v>219</v>
      </c>
      <c r="B198" t="s">
        <v>305</v>
      </c>
      <c r="C198" t="s">
        <v>745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145892239.29675701</v>
      </c>
      <c r="L198">
        <v>125348697.26696</v>
      </c>
      <c r="M198">
        <v>145284815.11384499</v>
      </c>
      <c r="N198">
        <v>148749402.32402101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383</v>
      </c>
      <c r="AW198" t="s">
        <v>1459</v>
      </c>
      <c r="AX198" t="s">
        <v>1461</v>
      </c>
      <c r="AY198" t="s">
        <v>1481</v>
      </c>
    </row>
    <row r="199" spans="1:52" x14ac:dyDescent="0.25">
      <c r="A199">
        <v>220</v>
      </c>
      <c r="B199" t="s">
        <v>306</v>
      </c>
      <c r="C199" t="s">
        <v>746</v>
      </c>
      <c r="D199" t="s">
        <v>1193</v>
      </c>
      <c r="E199" t="s">
        <v>61</v>
      </c>
      <c r="F199">
        <v>97.943330000000003</v>
      </c>
      <c r="G199">
        <v>1240806900</v>
      </c>
      <c r="H199" t="s">
        <v>1437</v>
      </c>
      <c r="I199">
        <v>121528.8</v>
      </c>
      <c r="J199">
        <v>687886141.01966906</v>
      </c>
      <c r="K199">
        <v>826661182.88458896</v>
      </c>
      <c r="L199">
        <v>691046479.12710404</v>
      </c>
      <c r="M199">
        <v>800315279.76337504</v>
      </c>
      <c r="N199">
        <v>707106229.56357598</v>
      </c>
      <c r="O199" t="s">
        <v>58</v>
      </c>
      <c r="P199">
        <v>1</v>
      </c>
      <c r="Q199">
        <v>0.56999999999999995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48</v>
      </c>
      <c r="AX199" t="s">
        <v>1460</v>
      </c>
      <c r="AY199" t="s">
        <v>1480</v>
      </c>
      <c r="AZ199">
        <v>95</v>
      </c>
    </row>
    <row r="200" spans="1:52" x14ac:dyDescent="0.25">
      <c r="A200">
        <v>221</v>
      </c>
      <c r="B200" t="s">
        <v>307</v>
      </c>
      <c r="C200" t="s">
        <v>747</v>
      </c>
      <c r="D200" t="s">
        <v>1194</v>
      </c>
      <c r="E200" t="s">
        <v>61</v>
      </c>
      <c r="F200">
        <v>76.813450000000003</v>
      </c>
      <c r="G200">
        <v>242607100</v>
      </c>
      <c r="H200" t="s">
        <v>1436</v>
      </c>
      <c r="I200">
        <v>18635.490000000002</v>
      </c>
      <c r="J200">
        <v>208490465.59736699</v>
      </c>
      <c r="K200">
        <v>226196988.65879199</v>
      </c>
      <c r="L200">
        <v>184188024.65941799</v>
      </c>
      <c r="M200">
        <v>213353683.09577399</v>
      </c>
      <c r="N200">
        <v>215387996.24969101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191</v>
      </c>
      <c r="AX200" t="s">
        <v>1460</v>
      </c>
      <c r="AY200" t="s">
        <v>1480</v>
      </c>
      <c r="AZ200">
        <v>276</v>
      </c>
    </row>
    <row r="201" spans="1:52" x14ac:dyDescent="0.25">
      <c r="A201">
        <v>222</v>
      </c>
      <c r="B201" t="s">
        <v>308</v>
      </c>
      <c r="C201" t="s">
        <v>748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330679091.76349097</v>
      </c>
      <c r="K201">
        <v>250112069.295531</v>
      </c>
      <c r="L201">
        <v>238431254.09926</v>
      </c>
      <c r="M201">
        <v>276488761.92057902</v>
      </c>
      <c r="N201">
        <v>230454765.11234799</v>
      </c>
      <c r="O201" t="s">
        <v>59</v>
      </c>
      <c r="P201">
        <v>1</v>
      </c>
      <c r="Q201">
        <v>1.6</v>
      </c>
      <c r="R201">
        <v>53.2</v>
      </c>
      <c r="S201">
        <v>0.56000000000000005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0.56000000000000005</v>
      </c>
      <c r="AG201">
        <v>0</v>
      </c>
      <c r="AH201">
        <v>0</v>
      </c>
      <c r="AI201">
        <v>174</v>
      </c>
      <c r="AJ201" t="s">
        <v>1446</v>
      </c>
      <c r="AX201" t="s">
        <v>1462</v>
      </c>
      <c r="AY201" t="s">
        <v>1481</v>
      </c>
    </row>
    <row r="202" spans="1:52" x14ac:dyDescent="0.25">
      <c r="A202">
        <v>223</v>
      </c>
      <c r="B202" t="s">
        <v>309</v>
      </c>
      <c r="C202" t="s">
        <v>749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1349617747.1577201</v>
      </c>
      <c r="L202">
        <v>1196630898.28983</v>
      </c>
      <c r="M202">
        <v>1388781386.76842</v>
      </c>
      <c r="N202">
        <v>1248018637.4733801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372</v>
      </c>
      <c r="AW202" t="s">
        <v>1459</v>
      </c>
      <c r="AX202" t="s">
        <v>1461</v>
      </c>
      <c r="AY202" t="s">
        <v>1481</v>
      </c>
    </row>
    <row r="203" spans="1:52" x14ac:dyDescent="0.25">
      <c r="A203">
        <v>224</v>
      </c>
      <c r="B203" t="s">
        <v>310</v>
      </c>
      <c r="C203" t="s">
        <v>750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160588245.37465701</v>
      </c>
      <c r="L203">
        <v>169921910.16146699</v>
      </c>
      <c r="M203">
        <v>196431751.549389</v>
      </c>
      <c r="N203">
        <v>174339747.55197299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168</v>
      </c>
      <c r="AX203" t="s">
        <v>1460</v>
      </c>
      <c r="AY203" t="s">
        <v>1480</v>
      </c>
      <c r="AZ203">
        <v>58</v>
      </c>
    </row>
    <row r="204" spans="1:52" x14ac:dyDescent="0.25">
      <c r="A204">
        <v>225</v>
      </c>
      <c r="B204" t="s">
        <v>311</v>
      </c>
      <c r="C204" t="s">
        <v>751</v>
      </c>
      <c r="D204" t="s">
        <v>1198</v>
      </c>
      <c r="E204" t="s">
        <v>61</v>
      </c>
      <c r="F204">
        <v>19.004950000000001</v>
      </c>
      <c r="G204">
        <v>852602100</v>
      </c>
      <c r="H204" t="s">
        <v>1436</v>
      </c>
      <c r="I204">
        <v>16203.66</v>
      </c>
      <c r="J204">
        <v>187667301.83416301</v>
      </c>
      <c r="K204">
        <v>280007732.54440701</v>
      </c>
      <c r="L204">
        <v>274381611.50481099</v>
      </c>
      <c r="M204">
        <v>317770300.96022397</v>
      </c>
      <c r="N204">
        <v>271599653.51404399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151</v>
      </c>
      <c r="AX204" t="s">
        <v>1460</v>
      </c>
      <c r="AY204" t="s">
        <v>1480</v>
      </c>
      <c r="AZ204">
        <v>281</v>
      </c>
    </row>
    <row r="205" spans="1:52" x14ac:dyDescent="0.25">
      <c r="A205">
        <v>226</v>
      </c>
      <c r="B205" t="s">
        <v>312</v>
      </c>
      <c r="C205" t="s">
        <v>752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147871981.85109001</v>
      </c>
      <c r="K205">
        <v>179053462.661587</v>
      </c>
      <c r="L205">
        <v>170904868.88745701</v>
      </c>
      <c r="M205">
        <v>197965875.13196301</v>
      </c>
      <c r="N205">
        <v>173428008.40758201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103</v>
      </c>
      <c r="AX205" t="s">
        <v>1460</v>
      </c>
      <c r="AY205" t="s">
        <v>1480</v>
      </c>
      <c r="AZ205">
        <v>142</v>
      </c>
    </row>
    <row r="206" spans="1:52" x14ac:dyDescent="0.25">
      <c r="A206">
        <v>227</v>
      </c>
      <c r="B206" t="s">
        <v>313</v>
      </c>
      <c r="C206" t="s">
        <v>753</v>
      </c>
      <c r="D206" t="s">
        <v>1200</v>
      </c>
      <c r="E206" t="s">
        <v>61</v>
      </c>
      <c r="F206">
        <v>345.59649999999999</v>
      </c>
      <c r="G206">
        <v>233993500</v>
      </c>
      <c r="H206" t="s">
        <v>1436</v>
      </c>
      <c r="I206">
        <v>80867.34</v>
      </c>
      <c r="J206">
        <v>390423133.39514399</v>
      </c>
      <c r="K206">
        <v>485382521.78917599</v>
      </c>
      <c r="L206">
        <v>455259013.23098397</v>
      </c>
      <c r="M206">
        <v>527711360.83067501</v>
      </c>
      <c r="N206">
        <v>473906894.71813601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268</v>
      </c>
      <c r="AX206" t="s">
        <v>1460</v>
      </c>
      <c r="AY206" t="s">
        <v>1480</v>
      </c>
      <c r="AZ206">
        <v>86</v>
      </c>
    </row>
    <row r="207" spans="1:52" x14ac:dyDescent="0.25">
      <c r="A207">
        <v>228</v>
      </c>
      <c r="B207" t="s">
        <v>314</v>
      </c>
      <c r="C207" t="s">
        <v>754</v>
      </c>
      <c r="D207" t="s">
        <v>1201</v>
      </c>
      <c r="E207" t="s">
        <v>61</v>
      </c>
      <c r="F207">
        <v>154.83019999999999</v>
      </c>
      <c r="G207">
        <v>148110720</v>
      </c>
      <c r="H207" t="s">
        <v>1436</v>
      </c>
      <c r="I207">
        <v>22932.01</v>
      </c>
      <c r="J207">
        <v>227139502.34775701</v>
      </c>
      <c r="K207">
        <v>269101690.83102399</v>
      </c>
      <c r="L207">
        <v>264514011.841115</v>
      </c>
      <c r="M207">
        <v>306634314.76737899</v>
      </c>
      <c r="N207">
        <v>288375112.82173902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79</v>
      </c>
      <c r="AX207" t="s">
        <v>1460</v>
      </c>
      <c r="AY207" t="s">
        <v>1480</v>
      </c>
      <c r="AZ207">
        <v>140</v>
      </c>
    </row>
    <row r="208" spans="1:52" x14ac:dyDescent="0.25">
      <c r="A208">
        <v>229</v>
      </c>
      <c r="B208" t="s">
        <v>315</v>
      </c>
      <c r="C208" t="s">
        <v>755</v>
      </c>
      <c r="D208" t="s">
        <v>1202</v>
      </c>
      <c r="E208" t="s">
        <v>61</v>
      </c>
      <c r="F208">
        <v>19.158560000000001</v>
      </c>
      <c r="G208">
        <v>1312215600</v>
      </c>
      <c r="H208" t="s">
        <v>1436</v>
      </c>
      <c r="I208">
        <v>25140.16</v>
      </c>
      <c r="J208">
        <v>275134033.41604102</v>
      </c>
      <c r="K208">
        <v>311729114.05841601</v>
      </c>
      <c r="L208">
        <v>304641433.156645</v>
      </c>
      <c r="M208">
        <v>353450752.85403597</v>
      </c>
      <c r="N208">
        <v>300638970.31788301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131</v>
      </c>
      <c r="AX208" t="s">
        <v>1460</v>
      </c>
      <c r="AY208" t="s">
        <v>1480</v>
      </c>
      <c r="AZ208">
        <v>3</v>
      </c>
    </row>
    <row r="209" spans="1:52" x14ac:dyDescent="0.25">
      <c r="A209">
        <v>230</v>
      </c>
      <c r="B209" t="s">
        <v>316</v>
      </c>
      <c r="C209" t="s">
        <v>756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332087148.76351702</v>
      </c>
      <c r="K209">
        <v>462172422.00881302</v>
      </c>
      <c r="L209">
        <v>418123851.92793101</v>
      </c>
      <c r="M209">
        <v>485272659.33228803</v>
      </c>
      <c r="N209">
        <v>395516241.78825599</v>
      </c>
      <c r="O209" t="s">
        <v>59</v>
      </c>
      <c r="P209">
        <v>1</v>
      </c>
      <c r="Q209">
        <v>4.3499999999999996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418</v>
      </c>
      <c r="AW209" t="s">
        <v>1459</v>
      </c>
      <c r="AX209" t="s">
        <v>1461</v>
      </c>
      <c r="AY209" t="s">
        <v>1481</v>
      </c>
    </row>
    <row r="210" spans="1:52" x14ac:dyDescent="0.25">
      <c r="A210">
        <v>231</v>
      </c>
      <c r="B210" t="s">
        <v>18</v>
      </c>
      <c r="C210" t="s">
        <v>757</v>
      </c>
      <c r="D210" t="s">
        <v>43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1273560645.8359301</v>
      </c>
      <c r="K210">
        <v>1206316941.6256001</v>
      </c>
      <c r="L210">
        <v>1139621405.26524</v>
      </c>
      <c r="M210">
        <v>1321827038.3647201</v>
      </c>
      <c r="N210">
        <v>1200889028.3908801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171</v>
      </c>
      <c r="AX210" t="s">
        <v>1460</v>
      </c>
      <c r="AY210" t="s">
        <v>1480</v>
      </c>
      <c r="AZ210">
        <v>213</v>
      </c>
    </row>
    <row r="211" spans="1:52" x14ac:dyDescent="0.25">
      <c r="A211">
        <v>232</v>
      </c>
      <c r="B211" t="s">
        <v>317</v>
      </c>
      <c r="C211" t="s">
        <v>758</v>
      </c>
      <c r="D211" t="s">
        <v>1204</v>
      </c>
      <c r="E211" t="s">
        <v>61</v>
      </c>
      <c r="F211">
        <v>190.16040000000001</v>
      </c>
      <c r="G211">
        <v>634896550</v>
      </c>
      <c r="H211" t="s">
        <v>1437</v>
      </c>
      <c r="I211">
        <v>120732.2</v>
      </c>
      <c r="J211">
        <v>590144266.09665895</v>
      </c>
      <c r="K211">
        <v>769083085.65337801</v>
      </c>
      <c r="L211">
        <v>665768271.66303504</v>
      </c>
      <c r="M211">
        <v>771954754.42903602</v>
      </c>
      <c r="N211">
        <v>776638669.20881999</v>
      </c>
      <c r="O211" t="s">
        <v>58</v>
      </c>
      <c r="P211">
        <v>1</v>
      </c>
      <c r="Q211">
        <v>0.56000000000000005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44</v>
      </c>
      <c r="AX211" t="s">
        <v>1460</v>
      </c>
      <c r="AY211" t="s">
        <v>1480</v>
      </c>
      <c r="AZ211">
        <v>119</v>
      </c>
    </row>
    <row r="212" spans="1:52" x14ac:dyDescent="0.25">
      <c r="A212">
        <v>233</v>
      </c>
      <c r="B212" t="s">
        <v>318</v>
      </c>
      <c r="C212" t="s">
        <v>759</v>
      </c>
      <c r="D212" t="s">
        <v>1205</v>
      </c>
      <c r="E212" t="s">
        <v>61</v>
      </c>
      <c r="F212">
        <v>145.92930000000001</v>
      </c>
      <c r="G212">
        <v>403126300</v>
      </c>
      <c r="H212" t="s">
        <v>1436</v>
      </c>
      <c r="I212">
        <v>58827.96</v>
      </c>
      <c r="J212">
        <v>362323200.54552197</v>
      </c>
      <c r="K212">
        <v>429858218.64920998</v>
      </c>
      <c r="L212">
        <v>484731122.74571002</v>
      </c>
      <c r="M212">
        <v>562394163.44248497</v>
      </c>
      <c r="N212">
        <v>342475573.19971901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12</v>
      </c>
      <c r="AX212" t="s">
        <v>1460</v>
      </c>
      <c r="AY212" t="s">
        <v>1480</v>
      </c>
      <c r="AZ212">
        <v>178</v>
      </c>
    </row>
    <row r="213" spans="1:52" x14ac:dyDescent="0.25">
      <c r="A213">
        <v>234</v>
      </c>
      <c r="B213" t="s">
        <v>319</v>
      </c>
      <c r="C213" t="s">
        <v>760</v>
      </c>
      <c r="D213" t="s">
        <v>1206</v>
      </c>
      <c r="E213" t="s">
        <v>61</v>
      </c>
      <c r="F213">
        <v>23.672979999999999</v>
      </c>
      <c r="G213">
        <v>939272900</v>
      </c>
      <c r="H213" t="s">
        <v>1436</v>
      </c>
      <c r="I213">
        <v>22235.39</v>
      </c>
      <c r="J213">
        <v>163236413.20848501</v>
      </c>
      <c r="K213">
        <v>206844681.93814299</v>
      </c>
      <c r="L213">
        <v>192343975.40389901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18</v>
      </c>
      <c r="AX213" t="s">
        <v>1460</v>
      </c>
      <c r="AY213" t="s">
        <v>1480</v>
      </c>
      <c r="AZ213">
        <v>2</v>
      </c>
    </row>
    <row r="214" spans="1:52" x14ac:dyDescent="0.25">
      <c r="A214">
        <v>235</v>
      </c>
      <c r="B214" t="s">
        <v>320</v>
      </c>
      <c r="C214" t="s">
        <v>761</v>
      </c>
      <c r="D214" t="s">
        <v>1207</v>
      </c>
      <c r="E214" t="s">
        <v>61</v>
      </c>
      <c r="F214">
        <v>376.21609999999998</v>
      </c>
      <c r="G214">
        <v>53140010</v>
      </c>
      <c r="H214" t="s">
        <v>1436</v>
      </c>
      <c r="I214">
        <v>19992.13</v>
      </c>
      <c r="J214">
        <v>162133380.69778201</v>
      </c>
      <c r="K214">
        <v>211389533.698055</v>
      </c>
      <c r="L214">
        <v>194501746.813503</v>
      </c>
      <c r="M214">
        <v>225241399.33933401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194</v>
      </c>
      <c r="AX214" t="s">
        <v>1460</v>
      </c>
      <c r="AY214" t="s">
        <v>1480</v>
      </c>
      <c r="AZ214">
        <v>188</v>
      </c>
    </row>
    <row r="215" spans="1:52" x14ac:dyDescent="0.25">
      <c r="A215">
        <v>236</v>
      </c>
      <c r="B215" t="s">
        <v>321</v>
      </c>
      <c r="C215" t="s">
        <v>762</v>
      </c>
      <c r="D215" t="s">
        <v>1208</v>
      </c>
      <c r="E215" t="s">
        <v>61</v>
      </c>
      <c r="F215">
        <v>404.76190000000003</v>
      </c>
      <c r="G215">
        <v>52693110</v>
      </c>
      <c r="H215" t="s">
        <v>1436</v>
      </c>
      <c r="I215">
        <v>21328.16</v>
      </c>
      <c r="J215">
        <v>475858097.80474001</v>
      </c>
      <c r="K215">
        <v>395948317.89871299</v>
      </c>
      <c r="L215">
        <v>399359442.55773503</v>
      </c>
      <c r="M215">
        <v>462807289.37766802</v>
      </c>
      <c r="N215">
        <v>343205717.68730402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138</v>
      </c>
      <c r="AX215" t="s">
        <v>1460</v>
      </c>
      <c r="AY215" t="s">
        <v>1480</v>
      </c>
      <c r="AZ215">
        <v>64</v>
      </c>
    </row>
    <row r="216" spans="1:52" x14ac:dyDescent="0.25">
      <c r="A216">
        <v>237</v>
      </c>
      <c r="B216" t="s">
        <v>322</v>
      </c>
      <c r="C216" t="s">
        <v>763</v>
      </c>
      <c r="D216" t="s">
        <v>1209</v>
      </c>
      <c r="E216" t="s">
        <v>61</v>
      </c>
      <c r="F216">
        <v>255.59819999999999</v>
      </c>
      <c r="G216">
        <v>120271820</v>
      </c>
      <c r="H216" t="s">
        <v>1436</v>
      </c>
      <c r="I216">
        <v>30741.26</v>
      </c>
      <c r="J216">
        <v>354544717.09887701</v>
      </c>
      <c r="K216">
        <v>385832563.40973699</v>
      </c>
      <c r="L216">
        <v>361117466.67885202</v>
      </c>
      <c r="M216">
        <v>418208545.33574301</v>
      </c>
      <c r="N216">
        <v>457083907.20924598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457</v>
      </c>
      <c r="AW216" t="s">
        <v>1459</v>
      </c>
      <c r="AX216" t="s">
        <v>1461</v>
      </c>
      <c r="AY216" t="s">
        <v>1481</v>
      </c>
    </row>
    <row r="217" spans="1:52" x14ac:dyDescent="0.25">
      <c r="A217">
        <v>238</v>
      </c>
      <c r="B217" t="s">
        <v>323</v>
      </c>
      <c r="C217" t="s">
        <v>764</v>
      </c>
      <c r="D217" t="s">
        <v>1210</v>
      </c>
      <c r="E217" t="s">
        <v>61</v>
      </c>
      <c r="F217">
        <v>14.814819999999999</v>
      </c>
      <c r="G217">
        <v>1465886400</v>
      </c>
      <c r="H217" t="s">
        <v>1437</v>
      </c>
      <c r="I217">
        <v>21716.84</v>
      </c>
      <c r="J217">
        <v>352612419.66322303</v>
      </c>
      <c r="K217">
        <v>378157024.08340102</v>
      </c>
      <c r="L217">
        <v>443286130.65054202</v>
      </c>
      <c r="M217">
        <v>514283693.80436701</v>
      </c>
      <c r="N217">
        <v>306472133.93578202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233</v>
      </c>
      <c r="AX217" t="s">
        <v>1460</v>
      </c>
      <c r="AY217" t="s">
        <v>1480</v>
      </c>
      <c r="AZ217">
        <v>253</v>
      </c>
    </row>
    <row r="218" spans="1:52" x14ac:dyDescent="0.25">
      <c r="A218">
        <v>239</v>
      </c>
      <c r="B218" t="s">
        <v>64</v>
      </c>
      <c r="C218" t="s">
        <v>765</v>
      </c>
      <c r="D218" t="s">
        <v>68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1053160944.5447299</v>
      </c>
      <c r="M218">
        <v>1222154836.9649501</v>
      </c>
      <c r="N218">
        <v>985290448.89441597</v>
      </c>
      <c r="O218" t="s">
        <v>59</v>
      </c>
      <c r="P218">
        <v>1</v>
      </c>
      <c r="Q218">
        <v>1.03</v>
      </c>
      <c r="R218">
        <v>70.06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115</v>
      </c>
      <c r="AX218" t="s">
        <v>1460</v>
      </c>
      <c r="AY218" t="s">
        <v>1480</v>
      </c>
      <c r="AZ218">
        <v>5</v>
      </c>
    </row>
    <row r="219" spans="1:52" x14ac:dyDescent="0.25">
      <c r="A219">
        <v>240</v>
      </c>
      <c r="B219" t="s">
        <v>324</v>
      </c>
      <c r="C219" t="s">
        <v>766</v>
      </c>
      <c r="D219" t="s">
        <v>1211</v>
      </c>
      <c r="E219" t="s">
        <v>61</v>
      </c>
      <c r="F219">
        <v>550.90459999999996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314364120.56719601</v>
      </c>
      <c r="L219">
        <v>290810634.85887402</v>
      </c>
      <c r="M219">
        <v>336904626.504713</v>
      </c>
      <c r="N219">
        <v>282129019.48180699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334</v>
      </c>
      <c r="AX219" t="s">
        <v>1460</v>
      </c>
      <c r="AY219" t="s">
        <v>1480</v>
      </c>
      <c r="AZ219">
        <v>225</v>
      </c>
    </row>
    <row r="220" spans="1:52" x14ac:dyDescent="0.25">
      <c r="A220">
        <v>241</v>
      </c>
      <c r="B220" t="s">
        <v>325</v>
      </c>
      <c r="C220" t="s">
        <v>767</v>
      </c>
      <c r="D220" t="s">
        <v>1212</v>
      </c>
      <c r="E220" t="s">
        <v>61</v>
      </c>
      <c r="F220">
        <v>229.91130000000001</v>
      </c>
      <c r="G220">
        <v>291500000</v>
      </c>
      <c r="H220" t="s">
        <v>1436</v>
      </c>
      <c r="I220">
        <v>67019.13</v>
      </c>
      <c r="J220">
        <v>206072389.67121601</v>
      </c>
      <c r="K220">
        <v>248551616.297941</v>
      </c>
      <c r="L220">
        <v>210315669.360668</v>
      </c>
      <c r="M220">
        <v>243760531.50458801</v>
      </c>
      <c r="N220">
        <v>230497258.46833199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278</v>
      </c>
      <c r="AX220" t="s">
        <v>1460</v>
      </c>
      <c r="AY220" t="s">
        <v>1480</v>
      </c>
      <c r="AZ220">
        <v>214</v>
      </c>
    </row>
    <row r="221" spans="1:52" x14ac:dyDescent="0.25">
      <c r="A221">
        <v>242</v>
      </c>
      <c r="B221" t="s">
        <v>326</v>
      </c>
      <c r="C221" t="s">
        <v>768</v>
      </c>
      <c r="D221" t="s">
        <v>1213</v>
      </c>
      <c r="E221" t="s">
        <v>61</v>
      </c>
      <c r="F221">
        <v>68.808670000000006</v>
      </c>
      <c r="G221">
        <v>397452500</v>
      </c>
      <c r="H221" t="s">
        <v>1436</v>
      </c>
      <c r="I221">
        <v>27348.18</v>
      </c>
      <c r="J221">
        <v>201427970.89816499</v>
      </c>
      <c r="K221">
        <v>217401464.52621901</v>
      </c>
      <c r="L221">
        <v>199576325.16361901</v>
      </c>
      <c r="M221">
        <v>231243773.30972001</v>
      </c>
      <c r="N221">
        <v>208366850.54877499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18</v>
      </c>
      <c r="AX221" t="s">
        <v>1460</v>
      </c>
      <c r="AY221" t="s">
        <v>1480</v>
      </c>
      <c r="AZ221">
        <v>36</v>
      </c>
    </row>
    <row r="222" spans="1:52" x14ac:dyDescent="0.25">
      <c r="A222">
        <v>243</v>
      </c>
      <c r="B222" t="s">
        <v>327</v>
      </c>
      <c r="C222" t="s">
        <v>769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350013162.17923498</v>
      </c>
      <c r="K222">
        <v>240395536.54741001</v>
      </c>
      <c r="L222">
        <v>336921158.65460002</v>
      </c>
      <c r="M222">
        <v>391055986.12420702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389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 x14ac:dyDescent="0.25">
      <c r="A223">
        <v>244</v>
      </c>
      <c r="B223" t="s">
        <v>328</v>
      </c>
      <c r="C223" t="s">
        <v>770</v>
      </c>
      <c r="D223" t="s">
        <v>1215</v>
      </c>
      <c r="E223" t="s">
        <v>61</v>
      </c>
      <c r="F223">
        <v>282.27510000000001</v>
      </c>
      <c r="G223">
        <v>70392530</v>
      </c>
      <c r="H223" t="s">
        <v>1437</v>
      </c>
      <c r="I223">
        <v>19870.060000000001</v>
      </c>
      <c r="J223">
        <v>202911357.50872001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394</v>
      </c>
      <c r="AW223" t="s">
        <v>1459</v>
      </c>
      <c r="AX223" t="s">
        <v>1461</v>
      </c>
      <c r="AY223" t="s">
        <v>1481</v>
      </c>
    </row>
    <row r="224" spans="1:52" x14ac:dyDescent="0.25">
      <c r="A224">
        <v>246</v>
      </c>
      <c r="B224" t="s">
        <v>329</v>
      </c>
      <c r="C224" t="s">
        <v>771</v>
      </c>
      <c r="D224" t="s">
        <v>1216</v>
      </c>
      <c r="E224" t="s">
        <v>61</v>
      </c>
      <c r="F224">
        <v>21.164020000000001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1942264757.5983701</v>
      </c>
      <c r="M224">
        <v>2255306554.9643698</v>
      </c>
      <c r="N224">
        <v>1824242575.3715501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158</v>
      </c>
      <c r="AX224" t="s">
        <v>1460</v>
      </c>
      <c r="AY224" t="s">
        <v>1480</v>
      </c>
      <c r="AZ224">
        <v>41</v>
      </c>
    </row>
    <row r="225" spans="1:52" x14ac:dyDescent="0.25">
      <c r="A225">
        <v>247</v>
      </c>
      <c r="B225" t="s">
        <v>330</v>
      </c>
      <c r="C225" t="s">
        <v>772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215637377.07468799</v>
      </c>
      <c r="K225">
        <v>309107825.34832901</v>
      </c>
      <c r="L225">
        <v>258125103.979112</v>
      </c>
      <c r="M225">
        <v>299542821.16031498</v>
      </c>
      <c r="N225">
        <v>258089282.05737999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403</v>
      </c>
      <c r="AW225" t="s">
        <v>1459</v>
      </c>
      <c r="AX225" t="s">
        <v>1461</v>
      </c>
      <c r="AY225" t="s">
        <v>1481</v>
      </c>
    </row>
    <row r="226" spans="1:52" x14ac:dyDescent="0.25">
      <c r="A226">
        <v>248</v>
      </c>
      <c r="B226" t="s">
        <v>331</v>
      </c>
      <c r="C226" t="s">
        <v>773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490456551.93230897</v>
      </c>
      <c r="K226">
        <v>467392416.58999699</v>
      </c>
      <c r="L226">
        <v>395827563.03732198</v>
      </c>
      <c r="M226">
        <v>458453885.99695098</v>
      </c>
      <c r="N226">
        <v>448522972.11492902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252</v>
      </c>
      <c r="AX226" t="s">
        <v>1460</v>
      </c>
      <c r="AY226" t="s">
        <v>1480</v>
      </c>
      <c r="AZ226">
        <v>210</v>
      </c>
    </row>
    <row r="227" spans="1:52" x14ac:dyDescent="0.25">
      <c r="A227">
        <v>249</v>
      </c>
      <c r="B227" t="s">
        <v>332</v>
      </c>
      <c r="C227" t="s">
        <v>774</v>
      </c>
      <c r="D227" t="s">
        <v>1219</v>
      </c>
      <c r="E227" t="s">
        <v>61</v>
      </c>
      <c r="F227">
        <v>41.722140000000003</v>
      </c>
      <c r="G227">
        <v>527982100</v>
      </c>
      <c r="H227" t="s">
        <v>1436</v>
      </c>
      <c r="I227">
        <v>22028.54</v>
      </c>
      <c r="J227">
        <v>161484654.82560101</v>
      </c>
      <c r="K227">
        <v>223565131.706985</v>
      </c>
      <c r="L227">
        <v>178700934.042757</v>
      </c>
      <c r="M227">
        <v>207023331.94847801</v>
      </c>
      <c r="N227">
        <v>269918102.24226999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146</v>
      </c>
      <c r="AX227" t="s">
        <v>1460</v>
      </c>
      <c r="AY227" t="s">
        <v>1480</v>
      </c>
      <c r="AZ227">
        <v>134</v>
      </c>
    </row>
    <row r="228" spans="1:52" x14ac:dyDescent="0.25">
      <c r="A228">
        <v>250</v>
      </c>
      <c r="B228" t="s">
        <v>333</v>
      </c>
      <c r="C228" t="s">
        <v>775</v>
      </c>
      <c r="D228" t="s">
        <v>1220</v>
      </c>
      <c r="E228" t="s">
        <v>61</v>
      </c>
      <c r="F228">
        <v>565.50599999999997</v>
      </c>
      <c r="G228">
        <v>278947000</v>
      </c>
      <c r="H228" t="s">
        <v>1437</v>
      </c>
      <c r="I228">
        <v>157746.20000000001</v>
      </c>
      <c r="J228">
        <v>1307658270.5120499</v>
      </c>
      <c r="K228">
        <v>1091826284.77563</v>
      </c>
      <c r="L228">
        <v>1166426486.6809599</v>
      </c>
      <c r="M228">
        <v>1350292557.43642</v>
      </c>
      <c r="N228">
        <v>1007872329.78359</v>
      </c>
      <c r="O228" t="s">
        <v>58</v>
      </c>
      <c r="P228">
        <v>1</v>
      </c>
      <c r="Q228">
        <v>17.989999999999998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453</v>
      </c>
      <c r="AW228" t="s">
        <v>1459</v>
      </c>
      <c r="AX228" t="s">
        <v>1461</v>
      </c>
      <c r="AY228" t="s">
        <v>1481</v>
      </c>
    </row>
    <row r="229" spans="1:52" x14ac:dyDescent="0.25">
      <c r="A229">
        <v>251</v>
      </c>
      <c r="B229" t="s">
        <v>334</v>
      </c>
      <c r="C229" t="s">
        <v>776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764110878.23156095</v>
      </c>
      <c r="K229">
        <v>933642553.44183898</v>
      </c>
      <c r="L229">
        <v>818145025.43019795</v>
      </c>
      <c r="M229">
        <v>948497746.72081399</v>
      </c>
      <c r="N229">
        <v>816674169.46835899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369</v>
      </c>
      <c r="AW229" t="s">
        <v>1459</v>
      </c>
      <c r="AX229" t="s">
        <v>1461</v>
      </c>
      <c r="AY229" t="s">
        <v>1481</v>
      </c>
    </row>
    <row r="230" spans="1:52" x14ac:dyDescent="0.25">
      <c r="A230">
        <v>252</v>
      </c>
      <c r="B230" t="s">
        <v>335</v>
      </c>
      <c r="C230" t="s">
        <v>777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206330644.22713599</v>
      </c>
      <c r="K230">
        <v>305876533.38463199</v>
      </c>
      <c r="L230">
        <v>302860502.23228902</v>
      </c>
      <c r="M230">
        <v>351115643.87542403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315</v>
      </c>
      <c r="AX230" t="s">
        <v>1460</v>
      </c>
      <c r="AY230" t="s">
        <v>1480</v>
      </c>
      <c r="AZ230">
        <v>233</v>
      </c>
    </row>
    <row r="231" spans="1:52" x14ac:dyDescent="0.25">
      <c r="A231">
        <v>253</v>
      </c>
      <c r="B231" t="s">
        <v>336</v>
      </c>
      <c r="C231" t="s">
        <v>778</v>
      </c>
      <c r="D231" t="s">
        <v>1223</v>
      </c>
      <c r="E231" t="s">
        <v>61</v>
      </c>
      <c r="F231">
        <v>80.098990000000001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149898817.39849699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131</v>
      </c>
      <c r="AX231" t="s">
        <v>1460</v>
      </c>
      <c r="AY231" t="s">
        <v>1480</v>
      </c>
      <c r="AZ231">
        <v>42</v>
      </c>
    </row>
    <row r="232" spans="1:52" x14ac:dyDescent="0.25">
      <c r="A232">
        <v>254</v>
      </c>
      <c r="B232" t="s">
        <v>337</v>
      </c>
      <c r="C232" t="s">
        <v>779</v>
      </c>
      <c r="D232" t="s">
        <v>1224</v>
      </c>
      <c r="E232" t="s">
        <v>61</v>
      </c>
      <c r="F232">
        <v>179.07490000000001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308651754.45737797</v>
      </c>
      <c r="N232">
        <v>199171623.28808901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355</v>
      </c>
      <c r="AX232" t="s">
        <v>1460</v>
      </c>
      <c r="AY232" t="s">
        <v>1480</v>
      </c>
      <c r="AZ232">
        <v>136</v>
      </c>
    </row>
    <row r="233" spans="1:52" x14ac:dyDescent="0.25">
      <c r="A233">
        <v>255</v>
      </c>
      <c r="B233" t="s">
        <v>338</v>
      </c>
      <c r="C233" t="s">
        <v>780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88177575.948660001</v>
      </c>
      <c r="K233">
        <v>93118443.272945702</v>
      </c>
      <c r="L233">
        <v>80562301.276089504</v>
      </c>
      <c r="M233">
        <v>93265539.682363003</v>
      </c>
      <c r="N233">
        <v>97380289.194711</v>
      </c>
      <c r="O233" t="s">
        <v>59</v>
      </c>
      <c r="P233">
        <v>1</v>
      </c>
      <c r="Q233">
        <v>0.59</v>
      </c>
      <c r="R233">
        <v>64.510000000000005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53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 x14ac:dyDescent="0.25">
      <c r="A234">
        <v>256</v>
      </c>
      <c r="B234" t="s">
        <v>19</v>
      </c>
      <c r="C234" t="s">
        <v>781</v>
      </c>
      <c r="D234" t="s">
        <v>44</v>
      </c>
      <c r="E234" t="s">
        <v>61</v>
      </c>
      <c r="F234">
        <v>153.00389999999999</v>
      </c>
      <c r="G234">
        <v>2408338900</v>
      </c>
      <c r="H234" t="s">
        <v>1436</v>
      </c>
      <c r="I234">
        <v>368485.3</v>
      </c>
      <c r="J234">
        <v>1312110632.6108201</v>
      </c>
      <c r="K234">
        <v>1281509204.8752999</v>
      </c>
      <c r="L234">
        <v>1178015848.98422</v>
      </c>
      <c r="M234">
        <v>1365586579.3002901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34</v>
      </c>
      <c r="AX234" t="s">
        <v>1460</v>
      </c>
      <c r="AY234" t="s">
        <v>1480</v>
      </c>
      <c r="AZ234">
        <v>13</v>
      </c>
    </row>
    <row r="235" spans="1:52" x14ac:dyDescent="0.25">
      <c r="A235">
        <v>257</v>
      </c>
      <c r="B235" t="s">
        <v>339</v>
      </c>
      <c r="C235" t="s">
        <v>782</v>
      </c>
      <c r="D235" t="s">
        <v>1226</v>
      </c>
      <c r="E235" t="s">
        <v>61</v>
      </c>
      <c r="F235">
        <v>91.534390000000002</v>
      </c>
      <c r="G235">
        <v>654385440</v>
      </c>
      <c r="H235" t="s">
        <v>1436</v>
      </c>
      <c r="I235">
        <v>59898.78</v>
      </c>
      <c r="J235">
        <v>470443190.88100201</v>
      </c>
      <c r="K235">
        <v>401992744.13071501</v>
      </c>
      <c r="L235">
        <v>443364823.041798</v>
      </c>
      <c r="M235">
        <v>513954831.283539</v>
      </c>
      <c r="N235">
        <v>346429399.99060601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72</v>
      </c>
      <c r="AX235" t="s">
        <v>1460</v>
      </c>
      <c r="AY235" t="s">
        <v>1480</v>
      </c>
      <c r="AZ235">
        <v>59</v>
      </c>
    </row>
    <row r="236" spans="1:52" x14ac:dyDescent="0.25">
      <c r="A236">
        <v>258</v>
      </c>
      <c r="B236" t="s">
        <v>20</v>
      </c>
      <c r="C236" t="s">
        <v>783</v>
      </c>
      <c r="D236" t="s">
        <v>45</v>
      </c>
      <c r="E236" t="s">
        <v>61</v>
      </c>
      <c r="F236">
        <v>252.80760000000001</v>
      </c>
      <c r="G236">
        <v>2749754000</v>
      </c>
      <c r="H236" t="s">
        <v>1436</v>
      </c>
      <c r="I236">
        <v>695158.8</v>
      </c>
      <c r="J236">
        <v>1750689480.2976999</v>
      </c>
      <c r="K236">
        <v>2281588910.3264098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0.94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0.94</v>
      </c>
      <c r="AG236">
        <v>0</v>
      </c>
      <c r="AH236">
        <v>0</v>
      </c>
      <c r="AI236">
        <v>196</v>
      </c>
      <c r="AX236" t="s">
        <v>1460</v>
      </c>
      <c r="AY236" t="s">
        <v>1480</v>
      </c>
      <c r="AZ236">
        <v>197</v>
      </c>
    </row>
    <row r="237" spans="1:52" x14ac:dyDescent="0.25">
      <c r="A237">
        <v>259</v>
      </c>
      <c r="B237" t="s">
        <v>340</v>
      </c>
      <c r="C237" t="s">
        <v>784</v>
      </c>
      <c r="D237" t="s">
        <v>1227</v>
      </c>
      <c r="E237" t="s">
        <v>61</v>
      </c>
      <c r="F237">
        <v>68.399050000000003</v>
      </c>
      <c r="G237">
        <v>347669200</v>
      </c>
      <c r="H237" t="s">
        <v>1436</v>
      </c>
      <c r="I237">
        <v>23780.240000000002</v>
      </c>
      <c r="J237">
        <v>128080304.84501299</v>
      </c>
      <c r="K237">
        <v>221848974.68702999</v>
      </c>
      <c r="L237">
        <v>224395147.993139</v>
      </c>
      <c r="M237">
        <v>259925656.72560501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98</v>
      </c>
      <c r="AX237" t="s">
        <v>1460</v>
      </c>
      <c r="AY237" t="s">
        <v>1480</v>
      </c>
      <c r="AZ237">
        <v>171</v>
      </c>
    </row>
    <row r="238" spans="1:52" x14ac:dyDescent="0.25">
      <c r="A238">
        <v>260</v>
      </c>
      <c r="B238" t="s">
        <v>341</v>
      </c>
      <c r="C238" t="s">
        <v>785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340610990.88009501</v>
      </c>
      <c r="K238">
        <v>365608786.51929802</v>
      </c>
      <c r="L238">
        <v>353147070.32849699</v>
      </c>
      <c r="M238">
        <v>408950940.46548599</v>
      </c>
      <c r="N238">
        <v>332376811.22364599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246</v>
      </c>
      <c r="AX238" t="s">
        <v>1460</v>
      </c>
      <c r="AY238" t="s">
        <v>1480</v>
      </c>
      <c r="AZ238">
        <v>233</v>
      </c>
    </row>
    <row r="239" spans="1:52" x14ac:dyDescent="0.25">
      <c r="A239">
        <v>261</v>
      </c>
      <c r="B239" t="s">
        <v>342</v>
      </c>
      <c r="C239" t="s">
        <v>786</v>
      </c>
      <c r="D239" t="s">
        <v>1229</v>
      </c>
      <c r="E239" t="s">
        <v>61</v>
      </c>
      <c r="F239">
        <v>29.983779999999999</v>
      </c>
      <c r="G239">
        <v>1358435300</v>
      </c>
      <c r="H239" t="s">
        <v>1437</v>
      </c>
      <c r="I239">
        <v>40731.03</v>
      </c>
      <c r="J239">
        <v>216332978.31033599</v>
      </c>
      <c r="K239">
        <v>381686152.26090401</v>
      </c>
      <c r="L239">
        <v>284747391.839293</v>
      </c>
      <c r="M239">
        <v>329855460.15117502</v>
      </c>
      <c r="N239">
        <v>341313419.93769598</v>
      </c>
      <c r="O239" t="s">
        <v>58</v>
      </c>
      <c r="P239">
        <v>1</v>
      </c>
      <c r="Q239">
        <v>0.81</v>
      </c>
      <c r="R239">
        <v>49.72</v>
      </c>
      <c r="S239">
        <v>0.94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0.94</v>
      </c>
      <c r="AG239">
        <v>0</v>
      </c>
      <c r="AH239">
        <v>0</v>
      </c>
      <c r="AI239">
        <v>85</v>
      </c>
      <c r="AX239" t="s">
        <v>1460</v>
      </c>
      <c r="AY239" t="s">
        <v>1480</v>
      </c>
      <c r="AZ239">
        <v>174</v>
      </c>
    </row>
    <row r="240" spans="1:52" x14ac:dyDescent="0.25">
      <c r="A240">
        <v>262</v>
      </c>
      <c r="B240" t="s">
        <v>343</v>
      </c>
      <c r="C240" t="s">
        <v>787</v>
      </c>
      <c r="D240" t="s">
        <v>1230</v>
      </c>
      <c r="E240" t="s">
        <v>61</v>
      </c>
      <c r="F240">
        <v>16.197299999999998</v>
      </c>
      <c r="G240">
        <v>1096515900</v>
      </c>
      <c r="H240" t="s">
        <v>1436</v>
      </c>
      <c r="I240">
        <v>17760.599999999999</v>
      </c>
      <c r="J240">
        <v>400152095.98505199</v>
      </c>
      <c r="K240">
        <v>275077154.728751</v>
      </c>
      <c r="L240">
        <v>339242125.71722698</v>
      </c>
      <c r="M240">
        <v>393997706.63765001</v>
      </c>
      <c r="N240">
        <v>226991238.66362199</v>
      </c>
      <c r="O240" t="s">
        <v>59</v>
      </c>
      <c r="P240">
        <v>1</v>
      </c>
      <c r="Q240">
        <v>2.8</v>
      </c>
      <c r="R240">
        <v>39.979999999999997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339</v>
      </c>
      <c r="AX240" t="s">
        <v>1460</v>
      </c>
      <c r="AY240" t="s">
        <v>1480</v>
      </c>
      <c r="AZ240">
        <v>261</v>
      </c>
    </row>
    <row r="241" spans="1:52" x14ac:dyDescent="0.25">
      <c r="A241">
        <v>263</v>
      </c>
      <c r="B241" t="s">
        <v>344</v>
      </c>
      <c r="C241" t="s">
        <v>788</v>
      </c>
      <c r="D241" t="s">
        <v>1231</v>
      </c>
      <c r="E241" t="s">
        <v>61</v>
      </c>
      <c r="F241">
        <v>142.40479999999999</v>
      </c>
      <c r="G241">
        <v>172108860</v>
      </c>
      <c r="H241" t="s">
        <v>1436</v>
      </c>
      <c r="I241">
        <v>24509.14</v>
      </c>
      <c r="J241">
        <v>153330653.37020901</v>
      </c>
      <c r="K241">
        <v>139887838.04483199</v>
      </c>
      <c r="L241">
        <v>125861042.15158001</v>
      </c>
      <c r="M241">
        <v>145847862.97188401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0.94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0.94</v>
      </c>
      <c r="AG241">
        <v>0</v>
      </c>
      <c r="AH241">
        <v>0</v>
      </c>
      <c r="AI241">
        <v>254</v>
      </c>
      <c r="AX241" t="s">
        <v>1460</v>
      </c>
      <c r="AY241" t="s">
        <v>1480</v>
      </c>
      <c r="AZ241">
        <v>88</v>
      </c>
    </row>
    <row r="242" spans="1:52" x14ac:dyDescent="0.25">
      <c r="A242">
        <v>264</v>
      </c>
      <c r="B242" t="s">
        <v>345</v>
      </c>
      <c r="C242" t="s">
        <v>789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265831482.04104301</v>
      </c>
      <c r="K242">
        <v>282405710.84387898</v>
      </c>
      <c r="L242">
        <v>269455073.58852601</v>
      </c>
      <c r="M242">
        <v>311956451.01484001</v>
      </c>
      <c r="N242">
        <v>273856452.24851799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207</v>
      </c>
      <c r="AX242" t="s">
        <v>1460</v>
      </c>
      <c r="AY242" t="s">
        <v>1480</v>
      </c>
      <c r="AZ242">
        <v>114</v>
      </c>
    </row>
    <row r="243" spans="1:52" x14ac:dyDescent="0.25">
      <c r="A243">
        <v>265</v>
      </c>
      <c r="B243" t="s">
        <v>346</v>
      </c>
      <c r="C243" t="s">
        <v>790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370942880.34504598</v>
      </c>
      <c r="K243">
        <v>343852217.69749999</v>
      </c>
      <c r="L243">
        <v>350978408.92813998</v>
      </c>
      <c r="M243">
        <v>406930549.51389402</v>
      </c>
      <c r="N243">
        <v>340901376.65501601</v>
      </c>
      <c r="O243" t="s">
        <v>59</v>
      </c>
      <c r="P243">
        <v>0.85</v>
      </c>
      <c r="Q243">
        <v>2.0499999999999998</v>
      </c>
      <c r="R243">
        <v>40.270000000000003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237</v>
      </c>
      <c r="AX243" t="s">
        <v>1460</v>
      </c>
      <c r="AY243" t="s">
        <v>1480</v>
      </c>
      <c r="AZ243">
        <v>260</v>
      </c>
    </row>
    <row r="244" spans="1:52" x14ac:dyDescent="0.25">
      <c r="A244">
        <v>267</v>
      </c>
      <c r="B244" t="s">
        <v>347</v>
      </c>
      <c r="C244" t="s">
        <v>791</v>
      </c>
      <c r="D244" t="s">
        <v>1234</v>
      </c>
      <c r="E244" t="s">
        <v>61</v>
      </c>
      <c r="F244">
        <v>120.98480000000001</v>
      </c>
      <c r="G244">
        <v>890948700</v>
      </c>
      <c r="H244" t="s">
        <v>1436</v>
      </c>
      <c r="I244">
        <v>107791.3</v>
      </c>
      <c r="J244">
        <v>377631611.16582602</v>
      </c>
      <c r="K244">
        <v>540024273.55845904</v>
      </c>
      <c r="L244">
        <v>401780922.35903001</v>
      </c>
      <c r="M244">
        <v>465667609.32267898</v>
      </c>
      <c r="N244">
        <v>498272811.67483801</v>
      </c>
      <c r="O244" t="s">
        <v>59</v>
      </c>
      <c r="P244">
        <v>0.75</v>
      </c>
      <c r="Q244">
        <v>5.16</v>
      </c>
      <c r="R244">
        <v>33.869999999999997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429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 x14ac:dyDescent="0.25">
      <c r="A245">
        <v>268</v>
      </c>
      <c r="B245" t="s">
        <v>348</v>
      </c>
      <c r="C245" t="s">
        <v>792</v>
      </c>
      <c r="D245" t="s">
        <v>1235</v>
      </c>
      <c r="E245" t="s">
        <v>61</v>
      </c>
      <c r="F245">
        <v>742.68650000000002</v>
      </c>
      <c r="G245">
        <v>131961360</v>
      </c>
      <c r="H245" t="s">
        <v>1437</v>
      </c>
      <c r="I245">
        <v>98005.91</v>
      </c>
      <c r="J245">
        <v>768794030.19883299</v>
      </c>
      <c r="K245">
        <v>797448692.88333404</v>
      </c>
      <c r="L245">
        <v>825264472.31555998</v>
      </c>
      <c r="M245">
        <v>955563036.85876501</v>
      </c>
      <c r="N245">
        <v>757779528.10928297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165</v>
      </c>
      <c r="AX245" t="s">
        <v>1460</v>
      </c>
      <c r="AY245" t="s">
        <v>1480</v>
      </c>
      <c r="AZ245">
        <v>172</v>
      </c>
    </row>
    <row r="246" spans="1:52" x14ac:dyDescent="0.25">
      <c r="A246">
        <v>269</v>
      </c>
      <c r="B246" t="s">
        <v>349</v>
      </c>
      <c r="C246" t="s">
        <v>793</v>
      </c>
      <c r="D246" t="s">
        <v>1236</v>
      </c>
      <c r="E246" t="s">
        <v>61</v>
      </c>
      <c r="F246">
        <v>23.946069999999999</v>
      </c>
      <c r="G246">
        <v>1183599200</v>
      </c>
      <c r="H246" t="s">
        <v>1437</v>
      </c>
      <c r="I246">
        <v>28342.55</v>
      </c>
      <c r="J246">
        <v>248024959.74380401</v>
      </c>
      <c r="K246">
        <v>321514648.44335902</v>
      </c>
      <c r="L246">
        <v>339601934.055085</v>
      </c>
      <c r="M246">
        <v>394050568.934497</v>
      </c>
      <c r="N246">
        <v>296396205.90447199</v>
      </c>
      <c r="O246" t="s">
        <v>58</v>
      </c>
      <c r="P246">
        <v>0.7</v>
      </c>
      <c r="Q246">
        <v>1.01</v>
      </c>
      <c r="R246">
        <v>53.23</v>
      </c>
      <c r="S246">
        <v>0.94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0.94</v>
      </c>
      <c r="AG246">
        <v>0</v>
      </c>
      <c r="AH246">
        <v>0</v>
      </c>
      <c r="AI246">
        <v>113</v>
      </c>
      <c r="AX246" t="s">
        <v>1460</v>
      </c>
      <c r="AY246" t="s">
        <v>1480</v>
      </c>
      <c r="AZ246">
        <v>133</v>
      </c>
    </row>
    <row r="247" spans="1:52" x14ac:dyDescent="0.25">
      <c r="A247">
        <v>270</v>
      </c>
      <c r="B247" t="s">
        <v>350</v>
      </c>
      <c r="C247" t="s">
        <v>794</v>
      </c>
      <c r="D247" t="s">
        <v>1237</v>
      </c>
      <c r="E247" t="s">
        <v>61</v>
      </c>
      <c r="F247">
        <v>59.361660000000001</v>
      </c>
      <c r="G247">
        <v>661155800</v>
      </c>
      <c r="H247" t="s">
        <v>1436</v>
      </c>
      <c r="I247">
        <v>39247.31</v>
      </c>
      <c r="J247">
        <v>408175128.29338598</v>
      </c>
      <c r="K247">
        <v>462274033.475734</v>
      </c>
      <c r="L247">
        <v>440022700.63175702</v>
      </c>
      <c r="M247">
        <v>509553562.86003202</v>
      </c>
      <c r="N247">
        <v>366478382.03306597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372</v>
      </c>
      <c r="AW247" t="s">
        <v>1459</v>
      </c>
      <c r="AX247" t="s">
        <v>1461</v>
      </c>
      <c r="AY247" t="s">
        <v>1481</v>
      </c>
    </row>
    <row r="248" spans="1:52" x14ac:dyDescent="0.25">
      <c r="A248">
        <v>271</v>
      </c>
      <c r="B248" t="s">
        <v>351</v>
      </c>
      <c r="C248" t="s">
        <v>795</v>
      </c>
      <c r="D248" t="s">
        <v>1238</v>
      </c>
      <c r="E248" t="s">
        <v>61</v>
      </c>
      <c r="F248">
        <v>235.33879999999999</v>
      </c>
      <c r="G248">
        <v>187094800</v>
      </c>
      <c r="H248" t="s">
        <v>1436</v>
      </c>
      <c r="I248">
        <v>44030.66</v>
      </c>
      <c r="J248">
        <v>269479924.83129698</v>
      </c>
      <c r="K248">
        <v>301305198.97515601</v>
      </c>
      <c r="L248">
        <v>310926678.12981498</v>
      </c>
      <c r="M248">
        <v>360085054.25556099</v>
      </c>
      <c r="N248">
        <v>253369960.53742301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264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 x14ac:dyDescent="0.25">
      <c r="A249">
        <v>272</v>
      </c>
      <c r="B249" t="s">
        <v>352</v>
      </c>
      <c r="C249" t="s">
        <v>796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19727.560000000001</v>
      </c>
      <c r="J249">
        <v>121723876.860953</v>
      </c>
      <c r="K249">
        <v>164640082.30330801</v>
      </c>
      <c r="L249">
        <v>157147340.54576001</v>
      </c>
      <c r="M249">
        <v>182371718.90784201</v>
      </c>
      <c r="N249">
        <v>144268750.90959001</v>
      </c>
      <c r="O249" t="s">
        <v>59</v>
      </c>
      <c r="P249">
        <v>1</v>
      </c>
      <c r="Q249">
        <v>4.1399999999999997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412</v>
      </c>
      <c r="AW249" t="s">
        <v>1459</v>
      </c>
      <c r="AX249" t="s">
        <v>1461</v>
      </c>
      <c r="AY249" t="s">
        <v>1481</v>
      </c>
    </row>
    <row r="250" spans="1:52" x14ac:dyDescent="0.25">
      <c r="A250">
        <v>273</v>
      </c>
      <c r="B250" t="s">
        <v>353</v>
      </c>
      <c r="C250" t="s">
        <v>797</v>
      </c>
      <c r="D250" t="s">
        <v>1240</v>
      </c>
      <c r="E250" t="s">
        <v>61</v>
      </c>
      <c r="F250">
        <v>85.407070000000004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879468480.17524898</v>
      </c>
      <c r="L250">
        <v>902763373.92982197</v>
      </c>
      <c r="M250">
        <v>1046365609.89205</v>
      </c>
      <c r="N250">
        <v>888234232.70832396</v>
      </c>
      <c r="O250" t="s">
        <v>58</v>
      </c>
      <c r="P250">
        <v>1</v>
      </c>
      <c r="Q250">
        <v>3.81</v>
      </c>
      <c r="R250">
        <v>49.76</v>
      </c>
      <c r="S250">
        <v>0.81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</v>
      </c>
      <c r="AG250">
        <v>0</v>
      </c>
      <c r="AH250">
        <v>0</v>
      </c>
      <c r="AI250">
        <v>402</v>
      </c>
      <c r="AW250" t="s">
        <v>1459</v>
      </c>
      <c r="AX250" t="s">
        <v>1461</v>
      </c>
      <c r="AY250" t="s">
        <v>1481</v>
      </c>
    </row>
    <row r="251" spans="1:52" x14ac:dyDescent="0.25">
      <c r="A251">
        <v>274</v>
      </c>
      <c r="B251" t="s">
        <v>354</v>
      </c>
      <c r="C251" t="s">
        <v>798</v>
      </c>
      <c r="D251" t="s">
        <v>1241</v>
      </c>
      <c r="E251" t="s">
        <v>61</v>
      </c>
      <c r="F251">
        <v>155.09469999999999</v>
      </c>
      <c r="G251">
        <v>128297330</v>
      </c>
      <c r="H251" t="s">
        <v>1436</v>
      </c>
      <c r="I251">
        <v>19898.240000000002</v>
      </c>
      <c r="J251">
        <v>148746277.27362001</v>
      </c>
      <c r="K251">
        <v>172768602.111047</v>
      </c>
      <c r="L251">
        <v>144765612.90722901</v>
      </c>
      <c r="M251">
        <v>167468293.18359801</v>
      </c>
      <c r="N251">
        <v>176442130.64753601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281</v>
      </c>
      <c r="AX251" t="s">
        <v>1460</v>
      </c>
      <c r="AY251" t="s">
        <v>1480</v>
      </c>
      <c r="AZ251">
        <v>84</v>
      </c>
    </row>
    <row r="252" spans="1:52" x14ac:dyDescent="0.25">
      <c r="A252">
        <v>275</v>
      </c>
      <c r="B252" t="s">
        <v>355</v>
      </c>
      <c r="C252" t="s">
        <v>799</v>
      </c>
      <c r="D252" t="s">
        <v>1242</v>
      </c>
      <c r="E252" t="s">
        <v>61</v>
      </c>
      <c r="F252">
        <v>115.84739999999999</v>
      </c>
      <c r="G252">
        <v>227601640</v>
      </c>
      <c r="H252" t="s">
        <v>1436</v>
      </c>
      <c r="I252">
        <v>26367.06</v>
      </c>
      <c r="J252">
        <v>352125231.89710301</v>
      </c>
      <c r="K252">
        <v>311821271.35499799</v>
      </c>
      <c r="L252">
        <v>316789648.88520497</v>
      </c>
      <c r="M252">
        <v>367780247.280011</v>
      </c>
      <c r="N252">
        <v>336508855.36498398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240</v>
      </c>
      <c r="AX252" t="s">
        <v>1460</v>
      </c>
      <c r="AY252" t="s">
        <v>1480</v>
      </c>
      <c r="AZ252">
        <v>310</v>
      </c>
    </row>
    <row r="253" spans="1:52" x14ac:dyDescent="0.25">
      <c r="A253">
        <v>276</v>
      </c>
      <c r="B253" t="s">
        <v>356</v>
      </c>
      <c r="C253" t="s">
        <v>800</v>
      </c>
      <c r="D253" t="s">
        <v>1243</v>
      </c>
      <c r="E253" t="s">
        <v>61</v>
      </c>
      <c r="F253">
        <v>505.13740000000001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222781165.85023001</v>
      </c>
      <c r="N253">
        <v>205835964.14041099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306</v>
      </c>
      <c r="AX253" t="s">
        <v>1460</v>
      </c>
      <c r="AY253" t="s">
        <v>1480</v>
      </c>
      <c r="AZ253">
        <v>149</v>
      </c>
    </row>
    <row r="254" spans="1:52" x14ac:dyDescent="0.25">
      <c r="A254">
        <v>277</v>
      </c>
      <c r="B254" t="s">
        <v>357</v>
      </c>
      <c r="C254" t="s">
        <v>801</v>
      </c>
      <c r="D254" t="s">
        <v>1244</v>
      </c>
      <c r="E254" t="s">
        <v>61</v>
      </c>
      <c r="F254">
        <v>87.847759999999994</v>
      </c>
      <c r="G254">
        <v>223627030</v>
      </c>
      <c r="H254" t="s">
        <v>1437</v>
      </c>
      <c r="I254">
        <v>19645.13</v>
      </c>
      <c r="J254">
        <v>93551701.053915605</v>
      </c>
      <c r="K254">
        <v>101274259.76871499</v>
      </c>
      <c r="L254">
        <v>87621311.402251497</v>
      </c>
      <c r="M254">
        <v>101588835.06409</v>
      </c>
      <c r="N254">
        <v>95532920.923024595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430</v>
      </c>
      <c r="AW254" t="s">
        <v>1459</v>
      </c>
      <c r="AX254" t="s">
        <v>1461</v>
      </c>
      <c r="AY254" t="s">
        <v>1481</v>
      </c>
    </row>
    <row r="255" spans="1:52" x14ac:dyDescent="0.25">
      <c r="A255">
        <v>278</v>
      </c>
      <c r="B255" t="s">
        <v>358</v>
      </c>
      <c r="C255" t="s">
        <v>802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580170002.68715703</v>
      </c>
      <c r="K255">
        <v>823355366.50541997</v>
      </c>
      <c r="L255">
        <v>701244930.017097</v>
      </c>
      <c r="M255">
        <v>811477499.73178804</v>
      </c>
      <c r="N255">
        <v>825745374.48370302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287</v>
      </c>
      <c r="AU255" t="s">
        <v>1457</v>
      </c>
      <c r="AX255" t="s">
        <v>1463</v>
      </c>
      <c r="AY255" t="s">
        <v>1481</v>
      </c>
    </row>
    <row r="256" spans="1:52" x14ac:dyDescent="0.25">
      <c r="A256">
        <v>279</v>
      </c>
      <c r="B256" t="s">
        <v>359</v>
      </c>
      <c r="C256" t="s">
        <v>803</v>
      </c>
      <c r="D256" t="s">
        <v>1246</v>
      </c>
      <c r="E256" t="s">
        <v>61</v>
      </c>
      <c r="F256">
        <v>141.42339999999999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323973482.18977201</v>
      </c>
      <c r="L256">
        <v>330768860.76126802</v>
      </c>
      <c r="M256">
        <v>382422716.05539101</v>
      </c>
      <c r="N256">
        <v>289717082.16721302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455</v>
      </c>
      <c r="AW256" t="s">
        <v>1459</v>
      </c>
      <c r="AX256" t="s">
        <v>1461</v>
      </c>
      <c r="AY256" t="s">
        <v>1481</v>
      </c>
    </row>
    <row r="257" spans="1:52" x14ac:dyDescent="0.25">
      <c r="A257">
        <v>281</v>
      </c>
      <c r="B257" t="s">
        <v>360</v>
      </c>
      <c r="C257" t="s">
        <v>804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569884209.72918606</v>
      </c>
      <c r="K257">
        <v>681850498.38518202</v>
      </c>
      <c r="L257">
        <v>683485069.37221098</v>
      </c>
      <c r="M257">
        <v>793022524.89979601</v>
      </c>
      <c r="N257">
        <v>642008383.32245505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205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1476</v>
      </c>
      <c r="AY257" t="s">
        <v>1481</v>
      </c>
    </row>
    <row r="258" spans="1:52" x14ac:dyDescent="0.25">
      <c r="A258">
        <v>282</v>
      </c>
      <c r="B258" t="s">
        <v>361</v>
      </c>
      <c r="C258" t="s">
        <v>805</v>
      </c>
      <c r="D258" t="s">
        <v>1248</v>
      </c>
      <c r="E258" t="s">
        <v>61</v>
      </c>
      <c r="F258">
        <v>225.06399999999999</v>
      </c>
      <c r="G258">
        <v>560437700</v>
      </c>
      <c r="H258" t="s">
        <v>1436</v>
      </c>
      <c r="I258">
        <v>126134.3</v>
      </c>
      <c r="J258">
        <v>739772101.25865495</v>
      </c>
      <c r="K258">
        <v>584357264.36939704</v>
      </c>
      <c r="L258">
        <v>570027675.955953</v>
      </c>
      <c r="M258">
        <v>660936997.53048003</v>
      </c>
      <c r="N258">
        <v>566681249.06656206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164</v>
      </c>
      <c r="AX258" t="s">
        <v>1460</v>
      </c>
      <c r="AY258" t="s">
        <v>1480</v>
      </c>
      <c r="AZ258">
        <v>191</v>
      </c>
    </row>
    <row r="259" spans="1:52" x14ac:dyDescent="0.25">
      <c r="A259">
        <v>283</v>
      </c>
      <c r="B259" t="s">
        <v>362</v>
      </c>
      <c r="C259" t="s">
        <v>806</v>
      </c>
      <c r="D259" t="s">
        <v>1249</v>
      </c>
      <c r="E259" t="s">
        <v>61</v>
      </c>
      <c r="F259">
        <v>309.30189999999999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265547164.73590299</v>
      </c>
      <c r="L259">
        <v>242716252.67557701</v>
      </c>
      <c r="M259">
        <v>281420529.46189803</v>
      </c>
      <c r="N259">
        <v>226126938.60823399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288</v>
      </c>
      <c r="AX259" t="s">
        <v>1460</v>
      </c>
      <c r="AY259" t="s">
        <v>1480</v>
      </c>
      <c r="AZ259">
        <v>263</v>
      </c>
    </row>
    <row r="260" spans="1:52" x14ac:dyDescent="0.25">
      <c r="A260">
        <v>284</v>
      </c>
      <c r="B260" t="s">
        <v>363</v>
      </c>
      <c r="C260" t="s">
        <v>807</v>
      </c>
      <c r="D260" t="s">
        <v>1250</v>
      </c>
      <c r="E260" t="s">
        <v>61</v>
      </c>
      <c r="F260">
        <v>177.15479999999999</v>
      </c>
      <c r="G260">
        <v>114729430</v>
      </c>
      <c r="H260" t="s">
        <v>1437</v>
      </c>
      <c r="I260">
        <v>20324.87</v>
      </c>
      <c r="J260">
        <v>585685466.55975795</v>
      </c>
      <c r="K260">
        <v>678492039.46873701</v>
      </c>
      <c r="L260">
        <v>742487969.26993501</v>
      </c>
      <c r="M260">
        <v>858921524.18741906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342</v>
      </c>
      <c r="AX260" t="s">
        <v>1460</v>
      </c>
      <c r="AY260" t="s">
        <v>1480</v>
      </c>
      <c r="AZ260">
        <v>97</v>
      </c>
    </row>
    <row r="261" spans="1:52" x14ac:dyDescent="0.25">
      <c r="A261">
        <v>285</v>
      </c>
      <c r="B261" t="s">
        <v>364</v>
      </c>
      <c r="C261" t="s">
        <v>808</v>
      </c>
      <c r="D261" t="s">
        <v>1251</v>
      </c>
      <c r="E261" t="s">
        <v>61</v>
      </c>
      <c r="F261">
        <v>170.45570000000001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203879387.22379899</v>
      </c>
      <c r="L261">
        <v>183457385.34686899</v>
      </c>
      <c r="M261">
        <v>212575220.44391301</v>
      </c>
      <c r="N261">
        <v>204165085.80489999</v>
      </c>
      <c r="O261" t="s">
        <v>59</v>
      </c>
      <c r="P261">
        <v>1</v>
      </c>
      <c r="Q261">
        <v>3.15</v>
      </c>
      <c r="R261">
        <v>40.549999999999997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366</v>
      </c>
      <c r="AX261" t="s">
        <v>1460</v>
      </c>
      <c r="AY261" t="s">
        <v>1480</v>
      </c>
      <c r="AZ261">
        <v>257</v>
      </c>
    </row>
    <row r="262" spans="1:52" x14ac:dyDescent="0.25">
      <c r="A262">
        <v>287</v>
      </c>
      <c r="B262" t="s">
        <v>365</v>
      </c>
      <c r="C262" t="s">
        <v>809</v>
      </c>
      <c r="D262" t="s">
        <v>1252</v>
      </c>
      <c r="E262" t="s">
        <v>61</v>
      </c>
      <c r="F262">
        <v>145.82689999999999</v>
      </c>
      <c r="G262">
        <v>304020300</v>
      </c>
      <c r="H262" t="s">
        <v>1436</v>
      </c>
      <c r="I262">
        <v>44334.35</v>
      </c>
      <c r="J262">
        <v>254355547.09764001</v>
      </c>
      <c r="K262">
        <v>347040053.021065</v>
      </c>
      <c r="L262">
        <v>325235184.043513</v>
      </c>
      <c r="M262">
        <v>376997104.85336602</v>
      </c>
      <c r="N262">
        <v>371034396.07815403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204</v>
      </c>
      <c r="AX262" t="s">
        <v>1460</v>
      </c>
      <c r="AY262" t="s">
        <v>1480</v>
      </c>
      <c r="AZ262">
        <v>259</v>
      </c>
    </row>
    <row r="263" spans="1:52" x14ac:dyDescent="0.25">
      <c r="A263">
        <v>288</v>
      </c>
      <c r="B263" t="s">
        <v>366</v>
      </c>
      <c r="C263" t="s">
        <v>810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69975962.561578497</v>
      </c>
      <c r="K263">
        <v>87828805.375500306</v>
      </c>
      <c r="L263">
        <v>81703829.671257302</v>
      </c>
      <c r="M263">
        <v>94509106.572801098</v>
      </c>
      <c r="N263">
        <v>86205021.662620604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352</v>
      </c>
      <c r="AX263" t="s">
        <v>1460</v>
      </c>
      <c r="AY263" t="s">
        <v>1480</v>
      </c>
      <c r="AZ263">
        <v>309</v>
      </c>
    </row>
    <row r="264" spans="1:52" x14ac:dyDescent="0.25">
      <c r="A264">
        <v>289</v>
      </c>
      <c r="B264" t="s">
        <v>367</v>
      </c>
      <c r="C264" t="s">
        <v>811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310972109.87846398</v>
      </c>
      <c r="K264">
        <v>389774081.03680199</v>
      </c>
      <c r="L264">
        <v>326202356.98335499</v>
      </c>
      <c r="M264">
        <v>378144668.444215</v>
      </c>
      <c r="N264">
        <v>370272995.94793397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404</v>
      </c>
      <c r="AW264" t="s">
        <v>1459</v>
      </c>
      <c r="AX264" t="s">
        <v>1461</v>
      </c>
      <c r="AY264" t="s">
        <v>1481</v>
      </c>
    </row>
    <row r="265" spans="1:52" x14ac:dyDescent="0.25">
      <c r="A265">
        <v>290</v>
      </c>
      <c r="B265" t="s">
        <v>368</v>
      </c>
      <c r="C265" t="s">
        <v>812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384152090.57393497</v>
      </c>
      <c r="K265">
        <v>450808338.43623298</v>
      </c>
      <c r="L265">
        <v>436421333.98908401</v>
      </c>
      <c r="M265">
        <v>505907093.36437798</v>
      </c>
      <c r="N265">
        <v>421077998.99756402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286</v>
      </c>
      <c r="AX265" t="s">
        <v>1460</v>
      </c>
      <c r="AY265" t="s">
        <v>1480</v>
      </c>
      <c r="AZ265">
        <v>189</v>
      </c>
    </row>
    <row r="266" spans="1:52" x14ac:dyDescent="0.25">
      <c r="A266">
        <v>291</v>
      </c>
      <c r="B266" t="s">
        <v>369</v>
      </c>
      <c r="C266" t="s">
        <v>813</v>
      </c>
      <c r="D266" t="s">
        <v>1256</v>
      </c>
      <c r="E266" t="s">
        <v>61</v>
      </c>
      <c r="F266">
        <v>518.76599999999996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227284021.58976799</v>
      </c>
      <c r="L266">
        <v>200468479.998092</v>
      </c>
      <c r="M266">
        <v>232144057.87049401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240</v>
      </c>
      <c r="AX266" t="s">
        <v>1460</v>
      </c>
      <c r="AY266" t="s">
        <v>1480</v>
      </c>
      <c r="AZ266">
        <v>304</v>
      </c>
    </row>
    <row r="267" spans="1:52" x14ac:dyDescent="0.25">
      <c r="A267">
        <v>292</v>
      </c>
      <c r="B267" t="s">
        <v>370</v>
      </c>
      <c r="C267" t="s">
        <v>814</v>
      </c>
      <c r="D267" t="s">
        <v>1257</v>
      </c>
      <c r="E267" t="s">
        <v>61</v>
      </c>
      <c r="F267">
        <v>62.297319999999999</v>
      </c>
      <c r="G267">
        <v>862200000</v>
      </c>
      <c r="H267" t="s">
        <v>1437</v>
      </c>
      <c r="I267">
        <v>53712.75</v>
      </c>
      <c r="J267">
        <v>848529696.96725202</v>
      </c>
      <c r="K267">
        <v>1208980616.3262501</v>
      </c>
      <c r="L267">
        <v>1245925941.90025</v>
      </c>
      <c r="M267">
        <v>1441584113.54492</v>
      </c>
      <c r="N267">
        <v>1184802481.1704099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456</v>
      </c>
      <c r="AW267" t="s">
        <v>1459</v>
      </c>
      <c r="AX267" t="s">
        <v>1461</v>
      </c>
      <c r="AY267" t="s">
        <v>1481</v>
      </c>
    </row>
    <row r="268" spans="1:52" x14ac:dyDescent="0.25">
      <c r="A268">
        <v>293</v>
      </c>
      <c r="B268" t="s">
        <v>21</v>
      </c>
      <c r="C268" t="s">
        <v>815</v>
      </c>
      <c r="D268" t="s">
        <v>46</v>
      </c>
      <c r="E268" t="s">
        <v>61</v>
      </c>
      <c r="F268">
        <v>511.14530000000002</v>
      </c>
      <c r="G268">
        <v>897274200</v>
      </c>
      <c r="H268" t="s">
        <v>1436</v>
      </c>
      <c r="I268">
        <v>458637.4</v>
      </c>
      <c r="J268">
        <v>1248219365.9288099</v>
      </c>
      <c r="K268">
        <v>1398723395.22855</v>
      </c>
      <c r="L268">
        <v>1368972489.76139</v>
      </c>
      <c r="M268">
        <v>1586678465.4317501</v>
      </c>
      <c r="N268">
        <v>1307409277.19572</v>
      </c>
      <c r="O268" t="s">
        <v>59</v>
      </c>
      <c r="P268">
        <v>0.9</v>
      </c>
      <c r="Q268">
        <v>0.56999999999999995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48</v>
      </c>
      <c r="AX268" t="s">
        <v>1460</v>
      </c>
      <c r="AY268" t="s">
        <v>1480</v>
      </c>
      <c r="AZ268">
        <v>69</v>
      </c>
    </row>
    <row r="269" spans="1:52" x14ac:dyDescent="0.25">
      <c r="A269">
        <v>294</v>
      </c>
      <c r="B269" t="s">
        <v>371</v>
      </c>
      <c r="C269" t="s">
        <v>816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139217063.79159099</v>
      </c>
      <c r="K269">
        <v>161707062.626017</v>
      </c>
      <c r="L269">
        <v>146716694.56168199</v>
      </c>
      <c r="M269">
        <v>170071656.62615299</v>
      </c>
      <c r="N269">
        <v>147890021.59031501</v>
      </c>
      <c r="O269" t="s">
        <v>59</v>
      </c>
      <c r="P269">
        <v>1</v>
      </c>
      <c r="Q269">
        <v>1.0900000000000001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123</v>
      </c>
      <c r="AX269" t="s">
        <v>1460</v>
      </c>
      <c r="AY269" t="s">
        <v>1480</v>
      </c>
      <c r="AZ269">
        <v>202</v>
      </c>
    </row>
    <row r="270" spans="1:52" x14ac:dyDescent="0.25">
      <c r="A270">
        <v>295</v>
      </c>
      <c r="B270" t="s">
        <v>372</v>
      </c>
      <c r="C270" t="s">
        <v>817</v>
      </c>
      <c r="D270" t="s">
        <v>1259</v>
      </c>
      <c r="E270" t="s">
        <v>61</v>
      </c>
      <c r="F270">
        <v>268.02359999999999</v>
      </c>
      <c r="G270">
        <v>713604430</v>
      </c>
      <c r="H270" t="s">
        <v>1436</v>
      </c>
      <c r="I270">
        <v>191262.8</v>
      </c>
      <c r="J270">
        <v>949996449.78659904</v>
      </c>
      <c r="K270">
        <v>1002064122.13943</v>
      </c>
      <c r="L270">
        <v>943571889.225384</v>
      </c>
      <c r="M270">
        <v>1094442426.8735199</v>
      </c>
      <c r="N270">
        <v>947600157.23388302</v>
      </c>
      <c r="O270" t="s">
        <v>59</v>
      </c>
      <c r="P270">
        <v>1</v>
      </c>
      <c r="Q270">
        <v>0.59</v>
      </c>
      <c r="R270">
        <v>33.520000000000003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53</v>
      </c>
      <c r="AX270" t="s">
        <v>1460</v>
      </c>
      <c r="AY270" t="s">
        <v>1480</v>
      </c>
      <c r="AZ270">
        <v>292</v>
      </c>
    </row>
    <row r="271" spans="1:52" x14ac:dyDescent="0.25">
      <c r="A271">
        <v>296</v>
      </c>
      <c r="B271" t="s">
        <v>373</v>
      </c>
      <c r="C271" t="s">
        <v>818</v>
      </c>
      <c r="D271" t="s">
        <v>1260</v>
      </c>
      <c r="E271" t="s">
        <v>61</v>
      </c>
      <c r="F271">
        <v>588.36829999999998</v>
      </c>
      <c r="G271">
        <v>124384390</v>
      </c>
      <c r="H271" t="s">
        <v>1436</v>
      </c>
      <c r="I271">
        <v>73183.839999999997</v>
      </c>
      <c r="J271">
        <v>589375996.34941399</v>
      </c>
      <c r="K271">
        <v>569829222.08567595</v>
      </c>
      <c r="L271">
        <v>471415536.357472</v>
      </c>
      <c r="M271">
        <v>546096736.66592097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69</v>
      </c>
      <c r="AX271" t="s">
        <v>1460</v>
      </c>
      <c r="AY271" t="s">
        <v>1480</v>
      </c>
      <c r="AZ271">
        <v>255</v>
      </c>
    </row>
    <row r="272" spans="1:52" x14ac:dyDescent="0.25">
      <c r="A272">
        <v>297</v>
      </c>
      <c r="B272" t="s">
        <v>374</v>
      </c>
      <c r="C272" t="s">
        <v>819</v>
      </c>
      <c r="D272" t="s">
        <v>1261</v>
      </c>
      <c r="E272" t="s">
        <v>61</v>
      </c>
      <c r="F272">
        <v>79.117599999999996</v>
      </c>
      <c r="G272">
        <v>1281264600</v>
      </c>
      <c r="H272" t="s">
        <v>1436</v>
      </c>
      <c r="I272">
        <v>101483</v>
      </c>
      <c r="J272">
        <v>641584534.27104902</v>
      </c>
      <c r="K272">
        <v>604788557.223001</v>
      </c>
      <c r="L272">
        <v>602171385.75414395</v>
      </c>
      <c r="M272">
        <v>697858968.69790804</v>
      </c>
      <c r="N272">
        <v>569036763.15390897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148</v>
      </c>
      <c r="AX272" t="s">
        <v>1460</v>
      </c>
      <c r="AY272" t="s">
        <v>1480</v>
      </c>
      <c r="AZ272">
        <v>28</v>
      </c>
    </row>
    <row r="273" spans="1:52" x14ac:dyDescent="0.25">
      <c r="A273">
        <v>298</v>
      </c>
      <c r="B273" t="s">
        <v>375</v>
      </c>
      <c r="C273" t="s">
        <v>820</v>
      </c>
      <c r="D273" t="s">
        <v>1262</v>
      </c>
      <c r="E273" t="s">
        <v>61</v>
      </c>
      <c r="F273">
        <v>2074.2620000000002</v>
      </c>
      <c r="G273">
        <v>50697376</v>
      </c>
      <c r="H273" t="s">
        <v>1437</v>
      </c>
      <c r="I273">
        <v>105159.6</v>
      </c>
      <c r="J273">
        <v>845209702.20961297</v>
      </c>
      <c r="K273">
        <v>796718098.70318997</v>
      </c>
      <c r="L273">
        <v>717824613.48043001</v>
      </c>
      <c r="M273">
        <v>831447130.457021</v>
      </c>
      <c r="N273">
        <v>744676913.58530498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425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 x14ac:dyDescent="0.25">
      <c r="A274">
        <v>299</v>
      </c>
      <c r="B274" t="s">
        <v>376</v>
      </c>
      <c r="C274" t="s">
        <v>821</v>
      </c>
      <c r="D274" t="s">
        <v>1263</v>
      </c>
      <c r="E274" t="s">
        <v>61</v>
      </c>
      <c r="F274">
        <v>74.560509999999994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1138244113.5702701</v>
      </c>
      <c r="L274">
        <v>983157347.68014002</v>
      </c>
      <c r="M274">
        <v>1139478746.2140999</v>
      </c>
      <c r="N274">
        <v>1131152608.1069901</v>
      </c>
      <c r="O274" t="s">
        <v>59</v>
      </c>
      <c r="P274">
        <v>1</v>
      </c>
      <c r="Q274">
        <v>0.56000000000000005</v>
      </c>
      <c r="R274">
        <v>68.739999999999995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44</v>
      </c>
      <c r="AX274" t="s">
        <v>1460</v>
      </c>
      <c r="AY274" t="s">
        <v>1480</v>
      </c>
      <c r="AZ274">
        <v>9</v>
      </c>
    </row>
    <row r="275" spans="1:52" x14ac:dyDescent="0.25">
      <c r="A275">
        <v>300</v>
      </c>
      <c r="B275" t="s">
        <v>22</v>
      </c>
      <c r="C275" t="s">
        <v>822</v>
      </c>
      <c r="D275" t="s">
        <v>47</v>
      </c>
      <c r="E275" t="s">
        <v>61</v>
      </c>
      <c r="F275">
        <v>644.12869999999998</v>
      </c>
      <c r="G275">
        <v>2168962400</v>
      </c>
      <c r="H275" t="s">
        <v>1437</v>
      </c>
      <c r="I275">
        <v>1397091</v>
      </c>
      <c r="J275">
        <v>7299881309.0649004</v>
      </c>
      <c r="K275">
        <v>8553468985.4068298</v>
      </c>
      <c r="L275">
        <v>7554075680.2125902</v>
      </c>
      <c r="M275">
        <v>8749958510.0768509</v>
      </c>
      <c r="N275">
        <v>7956730973.2098398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90</v>
      </c>
      <c r="AX275" t="s">
        <v>1460</v>
      </c>
      <c r="AY275" t="s">
        <v>1480</v>
      </c>
      <c r="AZ275">
        <v>224</v>
      </c>
    </row>
    <row r="276" spans="1:52" x14ac:dyDescent="0.25">
      <c r="A276">
        <v>301</v>
      </c>
      <c r="B276" t="s">
        <v>377</v>
      </c>
      <c r="C276" t="s">
        <v>823</v>
      </c>
      <c r="D276" t="s">
        <v>1264</v>
      </c>
      <c r="E276" t="s">
        <v>61</v>
      </c>
      <c r="F276">
        <v>69.542580000000001</v>
      </c>
      <c r="G276">
        <v>665026060</v>
      </c>
      <c r="H276" t="s">
        <v>1436</v>
      </c>
      <c r="I276">
        <v>46247.63</v>
      </c>
      <c r="J276">
        <v>230356180.87457901</v>
      </c>
      <c r="K276">
        <v>230766836.397782</v>
      </c>
      <c r="L276">
        <v>203034286.39108399</v>
      </c>
      <c r="M276">
        <v>235248491.92297</v>
      </c>
      <c r="N276">
        <v>244561130.80180699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25</v>
      </c>
      <c r="AX276" t="s">
        <v>1460</v>
      </c>
      <c r="AY276" t="s">
        <v>1480</v>
      </c>
      <c r="AZ276">
        <v>40</v>
      </c>
    </row>
    <row r="277" spans="1:52" x14ac:dyDescent="0.25">
      <c r="A277">
        <v>302</v>
      </c>
      <c r="B277" t="s">
        <v>378</v>
      </c>
      <c r="C277" t="s">
        <v>824</v>
      </c>
      <c r="D277" t="s">
        <v>1265</v>
      </c>
      <c r="E277" t="s">
        <v>61</v>
      </c>
      <c r="F277">
        <v>1127.7090000000001</v>
      </c>
      <c r="G277">
        <v>20599040</v>
      </c>
      <c r="H277" t="s">
        <v>1436</v>
      </c>
      <c r="I277">
        <v>23229.73</v>
      </c>
      <c r="J277">
        <v>158613584.37547901</v>
      </c>
      <c r="K277">
        <v>188886398.94444901</v>
      </c>
      <c r="L277">
        <v>169412684.22620401</v>
      </c>
      <c r="M277">
        <v>196099572.20854101</v>
      </c>
      <c r="N277">
        <v>172432916.47183901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95</v>
      </c>
      <c r="AX277" t="s">
        <v>1460</v>
      </c>
      <c r="AY277" t="s">
        <v>1480</v>
      </c>
      <c r="AZ277">
        <v>103</v>
      </c>
    </row>
    <row r="278" spans="1:52" x14ac:dyDescent="0.25">
      <c r="A278">
        <v>303</v>
      </c>
      <c r="B278" t="s">
        <v>379</v>
      </c>
      <c r="C278" t="s">
        <v>825</v>
      </c>
      <c r="D278" t="s">
        <v>1266</v>
      </c>
      <c r="E278" t="s">
        <v>61</v>
      </c>
      <c r="F278">
        <v>59.003239999999998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537106234.46814096</v>
      </c>
      <c r="L278">
        <v>531145964.402363</v>
      </c>
      <c r="M278">
        <v>615353503.72149897</v>
      </c>
      <c r="N278">
        <v>502621794.46554601</v>
      </c>
      <c r="O278" t="s">
        <v>58</v>
      </c>
      <c r="P278">
        <v>1</v>
      </c>
      <c r="Q278">
        <v>3.96</v>
      </c>
      <c r="R278">
        <v>47.49</v>
      </c>
      <c r="S278">
        <v>0.57999999999999996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0.57999999999999996</v>
      </c>
      <c r="AG278">
        <v>0</v>
      </c>
      <c r="AH278">
        <v>0</v>
      </c>
      <c r="AI278">
        <v>405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 x14ac:dyDescent="0.25">
      <c r="A279">
        <v>304</v>
      </c>
      <c r="B279" t="s">
        <v>380</v>
      </c>
      <c r="C279" t="s">
        <v>826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2015600267.4072001</v>
      </c>
      <c r="L279">
        <v>2196468541.3365202</v>
      </c>
      <c r="M279">
        <v>2548949950.8892298</v>
      </c>
      <c r="N279">
        <v>2071296474.1673601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278</v>
      </c>
      <c r="AX279" t="s">
        <v>1460</v>
      </c>
      <c r="AY279" t="s">
        <v>1480</v>
      </c>
      <c r="AZ279">
        <v>145</v>
      </c>
    </row>
    <row r="280" spans="1:52" x14ac:dyDescent="0.25">
      <c r="A280">
        <v>305</v>
      </c>
      <c r="B280" t="s">
        <v>23</v>
      </c>
      <c r="C280" t="s">
        <v>827</v>
      </c>
      <c r="D280" t="s">
        <v>48</v>
      </c>
      <c r="E280" t="s">
        <v>61</v>
      </c>
      <c r="F280">
        <v>432.86399999999998</v>
      </c>
      <c r="G280">
        <v>7433166500</v>
      </c>
      <c r="H280" t="s">
        <v>1437</v>
      </c>
      <c r="I280">
        <v>3217550</v>
      </c>
      <c r="J280">
        <v>9436941222.6542606</v>
      </c>
      <c r="K280">
        <v>8721626593.0646706</v>
      </c>
      <c r="L280">
        <v>8529722043.0490904</v>
      </c>
      <c r="M280">
        <v>9885213580.2704906</v>
      </c>
      <c r="N280">
        <v>8482259076.6637096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29</v>
      </c>
      <c r="AX280" t="s">
        <v>1460</v>
      </c>
      <c r="AY280" t="s">
        <v>1480</v>
      </c>
      <c r="AZ280">
        <v>21</v>
      </c>
    </row>
    <row r="281" spans="1:52" x14ac:dyDescent="0.25">
      <c r="A281">
        <v>306</v>
      </c>
      <c r="B281" t="s">
        <v>381</v>
      </c>
      <c r="C281" t="s">
        <v>828</v>
      </c>
      <c r="D281" t="s">
        <v>1268</v>
      </c>
      <c r="E281" t="s">
        <v>61</v>
      </c>
      <c r="F281">
        <v>54.113329999999998</v>
      </c>
      <c r="G281">
        <v>1293945400</v>
      </c>
      <c r="H281" t="s">
        <v>1437</v>
      </c>
      <c r="I281">
        <v>70019.7</v>
      </c>
      <c r="J281">
        <v>383026322.61576402</v>
      </c>
      <c r="K281">
        <v>491917453.610753</v>
      </c>
      <c r="L281">
        <v>422701670.58427203</v>
      </c>
      <c r="M281">
        <v>489845793.71059</v>
      </c>
      <c r="N281">
        <v>492006331.03808498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79</v>
      </c>
      <c r="AX281" t="s">
        <v>1460</v>
      </c>
      <c r="AY281" t="s">
        <v>1480</v>
      </c>
      <c r="AZ281">
        <v>182</v>
      </c>
    </row>
    <row r="282" spans="1:52" x14ac:dyDescent="0.25">
      <c r="A282">
        <v>307</v>
      </c>
      <c r="B282" t="s">
        <v>382</v>
      </c>
      <c r="C282" t="s">
        <v>829</v>
      </c>
      <c r="D282" t="s">
        <v>1269</v>
      </c>
      <c r="E282" t="s">
        <v>61</v>
      </c>
      <c r="F282">
        <v>186.94319999999999</v>
      </c>
      <c r="G282">
        <v>81714310</v>
      </c>
      <c r="H282" t="s">
        <v>1437</v>
      </c>
      <c r="I282">
        <v>15275.93</v>
      </c>
      <c r="J282">
        <v>431193266.92478597</v>
      </c>
      <c r="K282">
        <v>446995176.80289298</v>
      </c>
      <c r="L282">
        <v>454573571.56023502</v>
      </c>
      <c r="M282">
        <v>526261121.73106998</v>
      </c>
      <c r="N282">
        <v>444883882.96697301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68</v>
      </c>
      <c r="AX282" t="s">
        <v>1460</v>
      </c>
      <c r="AY282" t="s">
        <v>1480</v>
      </c>
      <c r="AZ282">
        <v>92</v>
      </c>
    </row>
    <row r="283" spans="1:52" x14ac:dyDescent="0.25">
      <c r="A283">
        <v>308</v>
      </c>
      <c r="B283" t="s">
        <v>383</v>
      </c>
      <c r="C283" t="s">
        <v>830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449459196.27099401</v>
      </c>
      <c r="K283">
        <v>448363248.11205</v>
      </c>
      <c r="L283">
        <v>378497771.65446502</v>
      </c>
      <c r="M283">
        <v>438367008.25320798</v>
      </c>
      <c r="N283">
        <v>494906753.52350003</v>
      </c>
      <c r="O283" t="s">
        <v>58</v>
      </c>
      <c r="P283">
        <v>1</v>
      </c>
      <c r="Q283">
        <v>4.1100000000000003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411</v>
      </c>
      <c r="AW283" t="s">
        <v>1459</v>
      </c>
      <c r="AX283" t="s">
        <v>1461</v>
      </c>
      <c r="AY283" t="s">
        <v>1481</v>
      </c>
    </row>
    <row r="284" spans="1:52" x14ac:dyDescent="0.25">
      <c r="A284">
        <v>309</v>
      </c>
      <c r="B284" t="s">
        <v>384</v>
      </c>
      <c r="C284" t="s">
        <v>831</v>
      </c>
      <c r="D284" t="s">
        <v>1271</v>
      </c>
      <c r="E284" t="s">
        <v>61</v>
      </c>
      <c r="F284">
        <v>53.626899999999999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323645336.69901198</v>
      </c>
      <c r="L284">
        <v>323783662.75638199</v>
      </c>
      <c r="M284">
        <v>375130655.11292398</v>
      </c>
      <c r="N284">
        <v>300583170.83749801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139</v>
      </c>
      <c r="AX284" t="s">
        <v>1460</v>
      </c>
      <c r="AY284" t="s">
        <v>1480</v>
      </c>
      <c r="AZ284">
        <v>313</v>
      </c>
    </row>
    <row r="285" spans="1:52" x14ac:dyDescent="0.25">
      <c r="A285">
        <v>310</v>
      </c>
      <c r="B285" t="s">
        <v>385</v>
      </c>
      <c r="C285" t="s">
        <v>832</v>
      </c>
      <c r="D285" t="s">
        <v>1272</v>
      </c>
      <c r="E285" t="s">
        <v>61</v>
      </c>
      <c r="F285">
        <v>440.35669999999999</v>
      </c>
      <c r="G285">
        <v>179400000</v>
      </c>
      <c r="H285" t="s">
        <v>1436</v>
      </c>
      <c r="I285">
        <v>78999.990000000005</v>
      </c>
      <c r="J285">
        <v>262507829.45385101</v>
      </c>
      <c r="K285">
        <v>334108104.46151102</v>
      </c>
      <c r="L285">
        <v>295248595.11710101</v>
      </c>
      <c r="M285">
        <v>342358211.58702701</v>
      </c>
      <c r="N285">
        <v>327116965.38162303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69</v>
      </c>
      <c r="AX285" t="s">
        <v>1460</v>
      </c>
      <c r="AY285" t="s">
        <v>1480</v>
      </c>
      <c r="AZ285">
        <v>17</v>
      </c>
    </row>
    <row r="286" spans="1:52" x14ac:dyDescent="0.25">
      <c r="A286">
        <v>311</v>
      </c>
      <c r="B286" t="s">
        <v>386</v>
      </c>
      <c r="C286" t="s">
        <v>833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570081824.22159195</v>
      </c>
      <c r="K286">
        <v>742315418.83532596</v>
      </c>
      <c r="L286">
        <v>629809603.66704202</v>
      </c>
      <c r="M286">
        <v>730572037.570485</v>
      </c>
      <c r="N286">
        <v>730609431.82698798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345</v>
      </c>
      <c r="AX286" t="s">
        <v>1460</v>
      </c>
      <c r="AY286" t="s">
        <v>1480</v>
      </c>
      <c r="AZ286">
        <v>212</v>
      </c>
    </row>
    <row r="287" spans="1:52" x14ac:dyDescent="0.25">
      <c r="A287">
        <v>312</v>
      </c>
      <c r="B287" t="s">
        <v>387</v>
      </c>
      <c r="C287" t="s">
        <v>834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65673.320000000007</v>
      </c>
      <c r="J287">
        <v>421820103.83683902</v>
      </c>
      <c r="K287">
        <v>352952980.62332201</v>
      </c>
      <c r="L287">
        <v>352024813.74696201</v>
      </c>
      <c r="M287">
        <v>407605507.21071798</v>
      </c>
      <c r="N287">
        <v>346493654.038311</v>
      </c>
      <c r="O287" t="s">
        <v>59</v>
      </c>
      <c r="P287">
        <v>1</v>
      </c>
      <c r="Q287">
        <v>1.1299999999999999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126</v>
      </c>
      <c r="AX287" t="s">
        <v>1460</v>
      </c>
      <c r="AY287" t="s">
        <v>1480</v>
      </c>
      <c r="AZ287">
        <v>116</v>
      </c>
    </row>
    <row r="288" spans="1:52" x14ac:dyDescent="0.25">
      <c r="A288">
        <v>313</v>
      </c>
      <c r="B288" t="s">
        <v>388</v>
      </c>
      <c r="C288" t="s">
        <v>835</v>
      </c>
      <c r="D288" t="s">
        <v>1275</v>
      </c>
      <c r="E288" t="s">
        <v>61</v>
      </c>
      <c r="F288">
        <v>43.292369999999998</v>
      </c>
      <c r="G288">
        <v>1019065900</v>
      </c>
      <c r="H288" t="s">
        <v>1436</v>
      </c>
      <c r="I288">
        <v>44117.78</v>
      </c>
      <c r="J288">
        <v>70119448.704886496</v>
      </c>
      <c r="K288">
        <v>70774619.305578902</v>
      </c>
      <c r="L288">
        <v>54983171.451190501</v>
      </c>
      <c r="M288">
        <v>63742462.840833001</v>
      </c>
      <c r="N288">
        <v>72933670.485352099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434</v>
      </c>
      <c r="AW288" t="s">
        <v>1459</v>
      </c>
      <c r="AX288" t="s">
        <v>1461</v>
      </c>
      <c r="AY288" t="s">
        <v>1481</v>
      </c>
    </row>
    <row r="289" spans="1:52" x14ac:dyDescent="0.25">
      <c r="A289">
        <v>314</v>
      </c>
      <c r="B289" t="s">
        <v>389</v>
      </c>
      <c r="C289" t="s">
        <v>836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303551288.21270901</v>
      </c>
      <c r="K289">
        <v>303692298.48332798</v>
      </c>
      <c r="L289">
        <v>320421093.01251298</v>
      </c>
      <c r="M289">
        <v>371983665.15001398</v>
      </c>
      <c r="N289">
        <v>283938234.20477402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61</v>
      </c>
      <c r="AX289" t="s">
        <v>1460</v>
      </c>
      <c r="AY289" t="s">
        <v>1480</v>
      </c>
      <c r="AZ289">
        <v>24</v>
      </c>
    </row>
    <row r="290" spans="1:52" x14ac:dyDescent="0.25">
      <c r="A290">
        <v>315</v>
      </c>
      <c r="B290" t="s">
        <v>390</v>
      </c>
      <c r="C290" t="s">
        <v>837</v>
      </c>
      <c r="D290" t="s">
        <v>1277</v>
      </c>
      <c r="E290" t="s">
        <v>61</v>
      </c>
      <c r="F290">
        <v>80.858509999999995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252245698.75852901</v>
      </c>
      <c r="L290">
        <v>256448084.052912</v>
      </c>
      <c r="M290">
        <v>297338373.08917999</v>
      </c>
      <c r="N290">
        <v>220973900.42140999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166</v>
      </c>
      <c r="AX290" t="s">
        <v>1460</v>
      </c>
      <c r="AY290" t="s">
        <v>1480</v>
      </c>
      <c r="AZ290">
        <v>65</v>
      </c>
    </row>
    <row r="291" spans="1:52" x14ac:dyDescent="0.25">
      <c r="A291">
        <v>317</v>
      </c>
      <c r="B291" t="s">
        <v>391</v>
      </c>
      <c r="C291" t="s">
        <v>838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225709548.33144099</v>
      </c>
      <c r="K291">
        <v>210969772.13308299</v>
      </c>
      <c r="L291">
        <v>187367242.72490099</v>
      </c>
      <c r="M291">
        <v>217151876.37745199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312</v>
      </c>
      <c r="AX291" t="s">
        <v>1460</v>
      </c>
      <c r="AY291" t="s">
        <v>1480</v>
      </c>
      <c r="AZ291">
        <v>48</v>
      </c>
    </row>
    <row r="292" spans="1:52" x14ac:dyDescent="0.25">
      <c r="A292">
        <v>318</v>
      </c>
      <c r="B292" t="s">
        <v>392</v>
      </c>
      <c r="C292" t="s">
        <v>839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189750743.90737501</v>
      </c>
      <c r="L292">
        <v>176163061.09731099</v>
      </c>
      <c r="M292">
        <v>203672789.87275401</v>
      </c>
      <c r="N292">
        <v>188809772.190366</v>
      </c>
      <c r="O292" t="s">
        <v>58</v>
      </c>
      <c r="P292">
        <v>1</v>
      </c>
      <c r="Q292">
        <v>2.0099999999999998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231</v>
      </c>
      <c r="AX292" t="s">
        <v>1460</v>
      </c>
      <c r="AY292" t="s">
        <v>1480</v>
      </c>
      <c r="AZ292">
        <v>122</v>
      </c>
    </row>
    <row r="293" spans="1:52" x14ac:dyDescent="0.25">
      <c r="A293">
        <v>319</v>
      </c>
      <c r="B293" t="s">
        <v>24</v>
      </c>
      <c r="C293" t="s">
        <v>840</v>
      </c>
      <c r="D293" t="s">
        <v>49</v>
      </c>
      <c r="E293" t="s">
        <v>61</v>
      </c>
      <c r="F293">
        <v>1028.0340000000001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3947852061.4971299</v>
      </c>
      <c r="N293">
        <v>3324520614.5185699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208</v>
      </c>
      <c r="AX293" t="s">
        <v>1460</v>
      </c>
      <c r="AY293" t="s">
        <v>1480</v>
      </c>
      <c r="AZ293">
        <v>225</v>
      </c>
    </row>
    <row r="294" spans="1:52" x14ac:dyDescent="0.25">
      <c r="A294">
        <v>320</v>
      </c>
      <c r="B294" t="s">
        <v>393</v>
      </c>
      <c r="C294" t="s">
        <v>841</v>
      </c>
      <c r="D294" t="s">
        <v>1280</v>
      </c>
      <c r="E294" t="s">
        <v>61</v>
      </c>
      <c r="F294">
        <v>60.394260000000003</v>
      </c>
      <c r="G294">
        <v>1098449700</v>
      </c>
      <c r="H294" t="s">
        <v>1436</v>
      </c>
      <c r="I294">
        <v>66340.06</v>
      </c>
      <c r="J294">
        <v>477678433.72651601</v>
      </c>
      <c r="K294">
        <v>594773032.45717096</v>
      </c>
      <c r="L294">
        <v>591873513.20936596</v>
      </c>
      <c r="M294">
        <v>686197595.33189201</v>
      </c>
      <c r="N294">
        <v>506998741.73429501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131</v>
      </c>
      <c r="AX294" t="s">
        <v>1460</v>
      </c>
      <c r="AY294" t="s">
        <v>1480</v>
      </c>
      <c r="AZ294">
        <v>129</v>
      </c>
    </row>
    <row r="295" spans="1:52" x14ac:dyDescent="0.25">
      <c r="A295">
        <v>321</v>
      </c>
      <c r="B295" t="s">
        <v>394</v>
      </c>
      <c r="C295" t="s">
        <v>842</v>
      </c>
      <c r="D295" t="s">
        <v>1281</v>
      </c>
      <c r="E295" t="s">
        <v>61</v>
      </c>
      <c r="F295">
        <v>65.130570000000006</v>
      </c>
      <c r="G295">
        <v>2059292500</v>
      </c>
      <c r="H295" t="s">
        <v>1436</v>
      </c>
      <c r="I295">
        <v>134122.9</v>
      </c>
      <c r="J295">
        <v>604990419.58663094</v>
      </c>
      <c r="K295">
        <v>753691401.663993</v>
      </c>
      <c r="L295">
        <v>669157930.18318796</v>
      </c>
      <c r="M295">
        <v>776114450.31452799</v>
      </c>
      <c r="N295">
        <v>742458672.72188497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0.43509999999999999</v>
      </c>
      <c r="AF295">
        <v>0.97</v>
      </c>
      <c r="AG295">
        <v>0</v>
      </c>
      <c r="AH295">
        <v>0.43509999999999999</v>
      </c>
      <c r="AI295">
        <v>143</v>
      </c>
      <c r="AU295" t="s">
        <v>1457</v>
      </c>
      <c r="AX295" t="s">
        <v>1463</v>
      </c>
      <c r="AY295" t="s">
        <v>1481</v>
      </c>
    </row>
    <row r="296" spans="1:52" x14ac:dyDescent="0.25">
      <c r="A296">
        <v>322</v>
      </c>
      <c r="B296" t="s">
        <v>395</v>
      </c>
      <c r="C296" t="s">
        <v>843</v>
      </c>
      <c r="D296" t="s">
        <v>1282</v>
      </c>
      <c r="E296" t="s">
        <v>61</v>
      </c>
      <c r="F296">
        <v>66.888540000000006</v>
      </c>
      <c r="G296">
        <v>1188015700</v>
      </c>
      <c r="H296" t="s">
        <v>1436</v>
      </c>
      <c r="I296">
        <v>79464.639999999999</v>
      </c>
      <c r="J296">
        <v>537047596.59935796</v>
      </c>
      <c r="K296">
        <v>1023495115.0716701</v>
      </c>
      <c r="L296">
        <v>901309190.10692096</v>
      </c>
      <c r="M296">
        <v>1047302665.45055</v>
      </c>
      <c r="N296">
        <v>962257804.98011899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23</v>
      </c>
      <c r="AX296" t="s">
        <v>1460</v>
      </c>
      <c r="AY296" t="s">
        <v>1480</v>
      </c>
      <c r="AZ296">
        <v>91</v>
      </c>
    </row>
    <row r="297" spans="1:52" x14ac:dyDescent="0.25">
      <c r="A297">
        <v>323</v>
      </c>
      <c r="B297" t="s">
        <v>396</v>
      </c>
      <c r="C297" t="s">
        <v>844</v>
      </c>
      <c r="D297" t="s">
        <v>1283</v>
      </c>
      <c r="E297" t="s">
        <v>61</v>
      </c>
      <c r="F297">
        <v>36.644480000000001</v>
      </c>
      <c r="G297">
        <v>470855000</v>
      </c>
      <c r="H297" t="s">
        <v>1436</v>
      </c>
      <c r="I297">
        <v>17254.240000000002</v>
      </c>
      <c r="J297">
        <v>149486221.14341199</v>
      </c>
      <c r="K297">
        <v>163663985.39659899</v>
      </c>
      <c r="L297">
        <v>143309224.937877</v>
      </c>
      <c r="M297">
        <v>166164597.42596701</v>
      </c>
      <c r="N297">
        <v>143965897.25427401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274</v>
      </c>
      <c r="AU297" t="s">
        <v>1457</v>
      </c>
      <c r="AX297" t="s">
        <v>1463</v>
      </c>
      <c r="AY297" t="s">
        <v>1481</v>
      </c>
    </row>
    <row r="298" spans="1:52" x14ac:dyDescent="0.25">
      <c r="A298">
        <v>324</v>
      </c>
      <c r="B298" t="s">
        <v>397</v>
      </c>
      <c r="C298" t="s">
        <v>845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492361170.84906298</v>
      </c>
      <c r="K298">
        <v>375557016.511985</v>
      </c>
      <c r="L298">
        <v>475812389.92158097</v>
      </c>
      <c r="M298">
        <v>551835196.18336701</v>
      </c>
      <c r="N298">
        <v>329480704.20811301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242</v>
      </c>
      <c r="AX298" t="s">
        <v>1460</v>
      </c>
      <c r="AY298" t="s">
        <v>1480</v>
      </c>
      <c r="AZ298">
        <v>169</v>
      </c>
    </row>
    <row r="299" spans="1:52" x14ac:dyDescent="0.25">
      <c r="A299">
        <v>325</v>
      </c>
      <c r="B299" t="s">
        <v>398</v>
      </c>
      <c r="C299" t="s">
        <v>846</v>
      </c>
      <c r="D299" t="s">
        <v>1285</v>
      </c>
      <c r="E299" t="s">
        <v>61</v>
      </c>
      <c r="F299">
        <v>110.99160000000001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197355908.91684401</v>
      </c>
      <c r="M299">
        <v>228766457.99423599</v>
      </c>
      <c r="N299">
        <v>140235440.45392299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72</v>
      </c>
      <c r="AX299" t="s">
        <v>1460</v>
      </c>
      <c r="AY299" t="s">
        <v>1480</v>
      </c>
      <c r="AZ299">
        <v>100</v>
      </c>
    </row>
    <row r="300" spans="1:52" x14ac:dyDescent="0.25">
      <c r="A300">
        <v>326</v>
      </c>
      <c r="B300" t="s">
        <v>399</v>
      </c>
      <c r="C300" t="s">
        <v>847</v>
      </c>
      <c r="D300" t="s">
        <v>1286</v>
      </c>
      <c r="E300" t="s">
        <v>61</v>
      </c>
      <c r="F300">
        <v>505.58109999999999</v>
      </c>
      <c r="G300">
        <v>143182980</v>
      </c>
      <c r="H300" t="s">
        <v>1436</v>
      </c>
      <c r="I300">
        <v>72390.62</v>
      </c>
      <c r="J300">
        <v>363636347.74780399</v>
      </c>
      <c r="K300">
        <v>445522773.22945398</v>
      </c>
      <c r="L300">
        <v>364181289.47600698</v>
      </c>
      <c r="M300">
        <v>422258880.45288098</v>
      </c>
      <c r="N300">
        <v>397981647.92628002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188</v>
      </c>
      <c r="AP300" t="s">
        <v>1452</v>
      </c>
      <c r="AQ300" t="s">
        <v>1453</v>
      </c>
      <c r="AS300" t="s">
        <v>1455</v>
      </c>
      <c r="AX300" t="s">
        <v>1475</v>
      </c>
      <c r="AY300" t="s">
        <v>1481</v>
      </c>
    </row>
    <row r="301" spans="1:52" x14ac:dyDescent="0.25">
      <c r="A301">
        <v>327</v>
      </c>
      <c r="B301" t="s">
        <v>400</v>
      </c>
      <c r="C301" t="s">
        <v>848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423319743.88079798</v>
      </c>
      <c r="K301">
        <v>381126856.67938399</v>
      </c>
      <c r="L301">
        <v>413215459.51547098</v>
      </c>
      <c r="M301">
        <v>478779210.62485403</v>
      </c>
      <c r="N301">
        <v>310759849.95545799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0.19089999999999999</v>
      </c>
      <c r="AF301">
        <v>0.92</v>
      </c>
      <c r="AG301">
        <v>0</v>
      </c>
      <c r="AH301">
        <v>0.19089999999999999</v>
      </c>
      <c r="AI301">
        <v>378</v>
      </c>
      <c r="AU301" t="s">
        <v>1457</v>
      </c>
      <c r="AW301" t="s">
        <v>1459</v>
      </c>
      <c r="AX301" t="s">
        <v>1469</v>
      </c>
      <c r="AY301" t="s">
        <v>1481</v>
      </c>
    </row>
    <row r="302" spans="1:52" x14ac:dyDescent="0.25">
      <c r="A302">
        <v>328</v>
      </c>
      <c r="B302" t="s">
        <v>401</v>
      </c>
      <c r="C302" t="s">
        <v>849</v>
      </c>
      <c r="D302" t="s">
        <v>1288</v>
      </c>
      <c r="E302" t="s">
        <v>61</v>
      </c>
      <c r="F302">
        <v>11.896229999999999</v>
      </c>
      <c r="G302">
        <v>3768057900</v>
      </c>
      <c r="H302" t="s">
        <v>1436</v>
      </c>
      <c r="I302">
        <v>44825.67</v>
      </c>
      <c r="J302">
        <v>605434865.48543406</v>
      </c>
      <c r="K302">
        <v>666239054.63142002</v>
      </c>
      <c r="L302">
        <v>710492512.37473297</v>
      </c>
      <c r="M302">
        <v>824867907.78686798</v>
      </c>
      <c r="N302">
        <v>586306943.94219899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408</v>
      </c>
      <c r="AW302" t="s">
        <v>1459</v>
      </c>
      <c r="AX302" t="s">
        <v>1461</v>
      </c>
      <c r="AY302" t="s">
        <v>1481</v>
      </c>
    </row>
    <row r="303" spans="1:52" x14ac:dyDescent="0.25">
      <c r="A303">
        <v>329</v>
      </c>
      <c r="B303" t="s">
        <v>402</v>
      </c>
      <c r="C303" t="s">
        <v>850</v>
      </c>
      <c r="D303" t="s">
        <v>1289</v>
      </c>
      <c r="E303" t="s">
        <v>61</v>
      </c>
      <c r="F303">
        <v>126.24169999999999</v>
      </c>
      <c r="G303">
        <v>229535450</v>
      </c>
      <c r="H303" t="s">
        <v>1436</v>
      </c>
      <c r="I303">
        <v>28976.94</v>
      </c>
      <c r="J303">
        <v>151869313.09103501</v>
      </c>
      <c r="K303">
        <v>259937823.963009</v>
      </c>
      <c r="L303">
        <v>238267182.54615301</v>
      </c>
      <c r="M303">
        <v>275599391.92545098</v>
      </c>
      <c r="N303">
        <v>271524031.90000403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318</v>
      </c>
      <c r="AX303" t="s">
        <v>1460</v>
      </c>
      <c r="AY303" t="s">
        <v>1480</v>
      </c>
      <c r="AZ303">
        <v>183</v>
      </c>
    </row>
    <row r="304" spans="1:52" x14ac:dyDescent="0.25">
      <c r="A304">
        <v>330</v>
      </c>
      <c r="B304" t="s">
        <v>403</v>
      </c>
      <c r="C304" t="s">
        <v>851</v>
      </c>
      <c r="D304" t="s">
        <v>1290</v>
      </c>
      <c r="E304" t="s">
        <v>61</v>
      </c>
      <c r="F304">
        <v>58.704560000000001</v>
      </c>
      <c r="G304">
        <v>268077450</v>
      </c>
      <c r="H304" t="s">
        <v>1437</v>
      </c>
      <c r="I304">
        <v>15737.37</v>
      </c>
      <c r="J304">
        <v>152549430.55631199</v>
      </c>
      <c r="K304">
        <v>173286011.350106</v>
      </c>
      <c r="L304">
        <v>162433532.736269</v>
      </c>
      <c r="M304">
        <v>187818594.68440899</v>
      </c>
      <c r="N304">
        <v>156242582.19586399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175</v>
      </c>
      <c r="AX304" t="s">
        <v>1460</v>
      </c>
      <c r="AY304" t="s">
        <v>1480</v>
      </c>
      <c r="AZ304">
        <v>83</v>
      </c>
    </row>
    <row r="305" spans="1:52" x14ac:dyDescent="0.25">
      <c r="A305">
        <v>332</v>
      </c>
      <c r="B305" t="s">
        <v>65</v>
      </c>
      <c r="C305" t="s">
        <v>852</v>
      </c>
      <c r="D305" t="s">
        <v>69</v>
      </c>
      <c r="E305" t="s">
        <v>61</v>
      </c>
      <c r="F305">
        <v>151.89449999999999</v>
      </c>
      <c r="G305">
        <v>24400000000</v>
      </c>
      <c r="H305" t="s">
        <v>1437</v>
      </c>
      <c r="I305">
        <v>3691037</v>
      </c>
      <c r="J305">
        <v>23696641664.016499</v>
      </c>
      <c r="K305">
        <v>27178618002.6814</v>
      </c>
      <c r="L305">
        <v>24709076880.173599</v>
      </c>
      <c r="M305">
        <v>28621481140.908901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376</v>
      </c>
      <c r="AW305" t="s">
        <v>1459</v>
      </c>
      <c r="AX305" t="s">
        <v>1461</v>
      </c>
      <c r="AY305" t="s">
        <v>1481</v>
      </c>
    </row>
    <row r="306" spans="1:52" x14ac:dyDescent="0.25">
      <c r="A306">
        <v>333</v>
      </c>
      <c r="B306" t="s">
        <v>404</v>
      </c>
      <c r="C306" t="s">
        <v>853</v>
      </c>
      <c r="D306" t="s">
        <v>1291</v>
      </c>
      <c r="E306" t="s">
        <v>61</v>
      </c>
      <c r="F306">
        <v>7008.7129999999997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141443816.79342601</v>
      </c>
      <c r="L306">
        <v>127482501.4316</v>
      </c>
      <c r="M306">
        <v>147817409.87108099</v>
      </c>
      <c r="N306">
        <v>161091394.92076099</v>
      </c>
      <c r="O306" t="s">
        <v>59</v>
      </c>
      <c r="P306">
        <v>1</v>
      </c>
      <c r="Q306">
        <v>2.4900000000000002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298</v>
      </c>
      <c r="AX306" t="s">
        <v>1460</v>
      </c>
      <c r="AY306" t="s">
        <v>1480</v>
      </c>
      <c r="AZ306">
        <v>306</v>
      </c>
    </row>
    <row r="307" spans="1:52" x14ac:dyDescent="0.25">
      <c r="A307">
        <v>334</v>
      </c>
      <c r="B307" t="s">
        <v>405</v>
      </c>
      <c r="C307" t="s">
        <v>854</v>
      </c>
      <c r="D307" t="s">
        <v>1292</v>
      </c>
      <c r="E307" t="s">
        <v>61</v>
      </c>
      <c r="F307">
        <v>200.40110000000001</v>
      </c>
      <c r="G307">
        <v>252114600</v>
      </c>
      <c r="H307" t="s">
        <v>1437</v>
      </c>
      <c r="I307">
        <v>50524.04</v>
      </c>
      <c r="J307">
        <v>543322665.46855795</v>
      </c>
      <c r="K307">
        <v>551375607.10422206</v>
      </c>
      <c r="L307">
        <v>503202827.78474802</v>
      </c>
      <c r="M307">
        <v>583638854.68865395</v>
      </c>
      <c r="N307">
        <v>542755436.78909194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246</v>
      </c>
      <c r="AX307" t="s">
        <v>1460</v>
      </c>
      <c r="AY307" t="s">
        <v>1480</v>
      </c>
      <c r="AZ307">
        <v>30</v>
      </c>
    </row>
    <row r="308" spans="1:52" x14ac:dyDescent="0.25">
      <c r="A308">
        <v>335</v>
      </c>
      <c r="B308" t="s">
        <v>406</v>
      </c>
      <c r="C308" t="s">
        <v>855</v>
      </c>
      <c r="D308" t="s">
        <v>1293</v>
      </c>
      <c r="E308" t="s">
        <v>61</v>
      </c>
      <c r="F308">
        <v>39.110770000000002</v>
      </c>
      <c r="G308">
        <v>984439760</v>
      </c>
      <c r="H308" t="s">
        <v>1436</v>
      </c>
      <c r="I308">
        <v>38502.199999999997</v>
      </c>
      <c r="J308">
        <v>381886936.625103</v>
      </c>
      <c r="K308">
        <v>471072106.05477601</v>
      </c>
      <c r="L308">
        <v>429502500.47455502</v>
      </c>
      <c r="M308">
        <v>497885960.815718</v>
      </c>
      <c r="N308">
        <v>514289182.98829901</v>
      </c>
      <c r="O308" t="s">
        <v>59</v>
      </c>
      <c r="P308">
        <v>0.75</v>
      </c>
      <c r="Q308">
        <v>2.5499999999999998</v>
      </c>
      <c r="R308">
        <v>37.630000000000003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9.9000000000000008E-3</v>
      </c>
      <c r="AE308" t="s">
        <v>1445</v>
      </c>
      <c r="AF308">
        <v>0.99</v>
      </c>
      <c r="AG308">
        <v>0</v>
      </c>
      <c r="AH308">
        <v>9.9000000000000008E-3</v>
      </c>
      <c r="AI308">
        <v>307</v>
      </c>
      <c r="AV308" t="s">
        <v>1458</v>
      </c>
      <c r="AX308" t="s">
        <v>1470</v>
      </c>
      <c r="AY308" t="s">
        <v>1481</v>
      </c>
    </row>
    <row r="309" spans="1:52" x14ac:dyDescent="0.25">
      <c r="A309">
        <v>336</v>
      </c>
      <c r="B309" t="s">
        <v>407</v>
      </c>
      <c r="C309" t="s">
        <v>856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271577657.91756201</v>
      </c>
      <c r="L309">
        <v>247820703.18882701</v>
      </c>
      <c r="M309">
        <v>287210787.54552299</v>
      </c>
      <c r="N309">
        <v>270842787.56481099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266</v>
      </c>
      <c r="AX309" t="s">
        <v>1460</v>
      </c>
      <c r="AY309" t="s">
        <v>1480</v>
      </c>
      <c r="AZ309">
        <v>307</v>
      </c>
    </row>
    <row r="310" spans="1:52" x14ac:dyDescent="0.25">
      <c r="A310">
        <v>337</v>
      </c>
      <c r="B310" t="s">
        <v>408</v>
      </c>
      <c r="C310" t="s">
        <v>857</v>
      </c>
      <c r="D310" t="s">
        <v>1295</v>
      </c>
      <c r="E310" t="s">
        <v>61</v>
      </c>
      <c r="F310">
        <v>44.248170000000002</v>
      </c>
      <c r="G310">
        <v>408974000</v>
      </c>
      <c r="H310" t="s">
        <v>1437</v>
      </c>
      <c r="I310">
        <v>18096.349999999999</v>
      </c>
      <c r="J310">
        <v>437554177.72225398</v>
      </c>
      <c r="K310">
        <v>415038013.71200502</v>
      </c>
      <c r="L310">
        <v>442186914.97453701</v>
      </c>
      <c r="M310">
        <v>512304717.77517301</v>
      </c>
      <c r="N310">
        <v>420218055.74519598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215</v>
      </c>
      <c r="AX310" t="s">
        <v>1460</v>
      </c>
      <c r="AY310" t="s">
        <v>1480</v>
      </c>
      <c r="AZ310">
        <v>98</v>
      </c>
    </row>
    <row r="311" spans="1:52" x14ac:dyDescent="0.25">
      <c r="A311">
        <v>338</v>
      </c>
      <c r="B311" t="s">
        <v>409</v>
      </c>
      <c r="C311" t="s">
        <v>858</v>
      </c>
      <c r="D311" t="s">
        <v>1296</v>
      </c>
      <c r="E311" t="s">
        <v>61</v>
      </c>
      <c r="F311">
        <v>63.867550000000001</v>
      </c>
      <c r="G311">
        <v>629756000</v>
      </c>
      <c r="H311" t="s">
        <v>1436</v>
      </c>
      <c r="I311">
        <v>40220.97</v>
      </c>
      <c r="J311">
        <v>236555902.09776101</v>
      </c>
      <c r="K311">
        <v>296586027.53917998</v>
      </c>
      <c r="L311">
        <v>258489241.92013699</v>
      </c>
      <c r="M311">
        <v>299152818.50100797</v>
      </c>
      <c r="N311">
        <v>298462026.14697301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337</v>
      </c>
      <c r="AX311" t="s">
        <v>1460</v>
      </c>
      <c r="AY311" t="s">
        <v>1480</v>
      </c>
      <c r="AZ311">
        <v>227</v>
      </c>
    </row>
    <row r="312" spans="1:52" x14ac:dyDescent="0.25">
      <c r="A312">
        <v>339</v>
      </c>
      <c r="B312" t="s">
        <v>25</v>
      </c>
      <c r="C312" t="s">
        <v>859</v>
      </c>
      <c r="D312" t="s">
        <v>50</v>
      </c>
      <c r="E312" t="s">
        <v>61</v>
      </c>
      <c r="F312">
        <v>201.71530000000001</v>
      </c>
      <c r="G312">
        <v>2808833000</v>
      </c>
      <c r="H312" t="s">
        <v>1436</v>
      </c>
      <c r="I312">
        <v>566584.6</v>
      </c>
      <c r="J312">
        <v>2206388463.8401899</v>
      </c>
      <c r="K312">
        <v>1966734618.61625</v>
      </c>
      <c r="L312">
        <v>2544094954.9567399</v>
      </c>
      <c r="M312">
        <v>2953605541.7596402</v>
      </c>
      <c r="N312">
        <v>1752054426.7746601</v>
      </c>
      <c r="O312" t="s">
        <v>59</v>
      </c>
      <c r="P312">
        <v>0.6</v>
      </c>
      <c r="Q312">
        <v>0.84</v>
      </c>
      <c r="R312">
        <v>65.099999999999994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90</v>
      </c>
      <c r="AX312" t="s">
        <v>1460</v>
      </c>
      <c r="AY312" t="s">
        <v>1480</v>
      </c>
      <c r="AZ312">
        <v>22</v>
      </c>
    </row>
    <row r="313" spans="1:52" x14ac:dyDescent="0.25">
      <c r="A313">
        <v>340</v>
      </c>
      <c r="B313" t="s">
        <v>410</v>
      </c>
      <c r="C313" t="s">
        <v>860</v>
      </c>
      <c r="D313" t="s">
        <v>1297</v>
      </c>
      <c r="E313" t="s">
        <v>61</v>
      </c>
      <c r="F313">
        <v>87.310119999999998</v>
      </c>
      <c r="G313">
        <v>848496700</v>
      </c>
      <c r="H313" t="s">
        <v>1437</v>
      </c>
      <c r="I313">
        <v>74082.34</v>
      </c>
      <c r="J313">
        <v>405667985.70756203</v>
      </c>
      <c r="K313">
        <v>475119283.35551</v>
      </c>
      <c r="L313">
        <v>409058459.66482002</v>
      </c>
      <c r="M313">
        <v>473781345.02215302</v>
      </c>
      <c r="N313">
        <v>425575681.69159299</v>
      </c>
      <c r="O313" t="s">
        <v>58</v>
      </c>
      <c r="P313">
        <v>1</v>
      </c>
      <c r="Q313">
        <v>1.87</v>
      </c>
      <c r="R313">
        <v>36.630000000000003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212</v>
      </c>
      <c r="AX313" t="s">
        <v>1460</v>
      </c>
      <c r="AY313" t="s">
        <v>1480</v>
      </c>
      <c r="AZ313">
        <v>282</v>
      </c>
    </row>
    <row r="314" spans="1:52" x14ac:dyDescent="0.25">
      <c r="A314">
        <v>341</v>
      </c>
      <c r="B314" t="s">
        <v>411</v>
      </c>
      <c r="C314" t="s">
        <v>861</v>
      </c>
      <c r="D314" t="s">
        <v>1298</v>
      </c>
      <c r="E314" t="s">
        <v>61</v>
      </c>
      <c r="F314">
        <v>75.593109999999996</v>
      </c>
      <c r="G314">
        <v>392475220</v>
      </c>
      <c r="H314" t="s">
        <v>1436</v>
      </c>
      <c r="I314">
        <v>29668.42</v>
      </c>
      <c r="J314">
        <v>311275609.96672702</v>
      </c>
      <c r="K314">
        <v>254096127.38365999</v>
      </c>
      <c r="L314">
        <v>239444589.326094</v>
      </c>
      <c r="M314">
        <v>277919771.21692997</v>
      </c>
      <c r="N314">
        <v>219533288.39143899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288</v>
      </c>
      <c r="AX314" t="s">
        <v>1460</v>
      </c>
      <c r="AY314" t="s">
        <v>1480</v>
      </c>
      <c r="AZ314">
        <v>87</v>
      </c>
    </row>
    <row r="315" spans="1:52" x14ac:dyDescent="0.25">
      <c r="A315">
        <v>342</v>
      </c>
      <c r="B315" t="s">
        <v>412</v>
      </c>
      <c r="C315" t="s">
        <v>862</v>
      </c>
      <c r="D315" t="s">
        <v>1299</v>
      </c>
      <c r="E315" t="s">
        <v>61</v>
      </c>
      <c r="F315">
        <v>86.618870000000001</v>
      </c>
      <c r="G315">
        <v>525103400</v>
      </c>
      <c r="H315" t="s">
        <v>1437</v>
      </c>
      <c r="I315">
        <v>45483.86</v>
      </c>
      <c r="J315">
        <v>179260821.44141001</v>
      </c>
      <c r="K315">
        <v>257582361.05414799</v>
      </c>
      <c r="L315">
        <v>228332582.94665399</v>
      </c>
      <c r="M315">
        <v>265017668.25127199</v>
      </c>
      <c r="N315">
        <v>247833952.43233499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374</v>
      </c>
      <c r="AW315" t="s">
        <v>1459</v>
      </c>
      <c r="AX315" t="s">
        <v>1461</v>
      </c>
      <c r="AY315" t="s">
        <v>1481</v>
      </c>
    </row>
    <row r="316" spans="1:52" x14ac:dyDescent="0.25">
      <c r="A316">
        <v>343</v>
      </c>
      <c r="B316" t="s">
        <v>413</v>
      </c>
      <c r="C316" t="s">
        <v>863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144019911.00252301</v>
      </c>
      <c r="L316">
        <v>125868064.199209</v>
      </c>
      <c r="M316">
        <v>145869666.370473</v>
      </c>
      <c r="N316">
        <v>145638028.66207501</v>
      </c>
      <c r="O316" t="s">
        <v>59</v>
      </c>
      <c r="P316">
        <v>1</v>
      </c>
      <c r="Q316">
        <v>2.3199999999999998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271</v>
      </c>
      <c r="AX316" t="s">
        <v>1460</v>
      </c>
      <c r="AY316" t="s">
        <v>1480</v>
      </c>
      <c r="AZ316">
        <v>155</v>
      </c>
    </row>
    <row r="317" spans="1:52" x14ac:dyDescent="0.25">
      <c r="A317">
        <v>344</v>
      </c>
      <c r="B317" t="s">
        <v>26</v>
      </c>
      <c r="C317" t="s">
        <v>864</v>
      </c>
      <c r="D317" t="s">
        <v>51</v>
      </c>
      <c r="E317" t="s">
        <v>61</v>
      </c>
      <c r="F317">
        <v>135.46680000000001</v>
      </c>
      <c r="G317">
        <v>2274261500</v>
      </c>
      <c r="H317" t="s">
        <v>1437</v>
      </c>
      <c r="I317">
        <v>308086.90000000002</v>
      </c>
      <c r="J317">
        <v>12871210487.820601</v>
      </c>
      <c r="K317">
        <v>9591774681.5623608</v>
      </c>
      <c r="L317">
        <v>9749180052.1586609</v>
      </c>
      <c r="M317">
        <v>11299341541.7658</v>
      </c>
      <c r="N317">
        <v>7282076477.0959597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121</v>
      </c>
      <c r="AX317" t="s">
        <v>1460</v>
      </c>
      <c r="AY317" t="s">
        <v>1480</v>
      </c>
      <c r="AZ317">
        <v>121</v>
      </c>
    </row>
    <row r="318" spans="1:52" x14ac:dyDescent="0.25">
      <c r="A318">
        <v>345</v>
      </c>
      <c r="B318" t="s">
        <v>414</v>
      </c>
      <c r="C318" t="s">
        <v>865</v>
      </c>
      <c r="D318" t="s">
        <v>1301</v>
      </c>
      <c r="E318" t="s">
        <v>61</v>
      </c>
      <c r="F318">
        <v>158.62780000000001</v>
      </c>
      <c r="G318">
        <v>667472960</v>
      </c>
      <c r="H318" t="s">
        <v>1437</v>
      </c>
      <c r="I318">
        <v>105879.7</v>
      </c>
      <c r="J318">
        <v>1823246830.1254699</v>
      </c>
      <c r="K318">
        <v>1045932753.1583101</v>
      </c>
      <c r="L318">
        <v>1215881535.26319</v>
      </c>
      <c r="M318">
        <v>1408540879.0837901</v>
      </c>
      <c r="N318">
        <v>984878588.91099894</v>
      </c>
      <c r="O318" t="s">
        <v>58</v>
      </c>
      <c r="P318">
        <v>1</v>
      </c>
      <c r="Q318">
        <v>7.38</v>
      </c>
      <c r="R318">
        <v>65.569999999999993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444</v>
      </c>
      <c r="AW318" t="s">
        <v>1459</v>
      </c>
      <c r="AX318" t="s">
        <v>1461</v>
      </c>
      <c r="AY318" t="s">
        <v>1481</v>
      </c>
    </row>
    <row r="319" spans="1:52" x14ac:dyDescent="0.25">
      <c r="A319">
        <v>346</v>
      </c>
      <c r="B319" t="s">
        <v>415</v>
      </c>
      <c r="C319" t="s">
        <v>866</v>
      </c>
      <c r="D319" t="s">
        <v>1302</v>
      </c>
      <c r="E319" t="s">
        <v>61</v>
      </c>
      <c r="F319">
        <v>642.02940000000001</v>
      </c>
      <c r="G319">
        <v>126682150</v>
      </c>
      <c r="H319" t="s">
        <v>1436</v>
      </c>
      <c r="I319">
        <v>81333.66</v>
      </c>
      <c r="J319">
        <v>513613272.65842801</v>
      </c>
      <c r="K319">
        <v>447860005.15649498</v>
      </c>
      <c r="L319">
        <v>383547946.08338702</v>
      </c>
      <c r="M319">
        <v>444838188.65065098</v>
      </c>
      <c r="N319">
        <v>407905145.37634498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75</v>
      </c>
      <c r="AX319" t="s">
        <v>1460</v>
      </c>
      <c r="AY319" t="s">
        <v>1480</v>
      </c>
      <c r="AZ319">
        <v>204</v>
      </c>
    </row>
    <row r="320" spans="1:52" x14ac:dyDescent="0.25">
      <c r="A320">
        <v>347</v>
      </c>
      <c r="B320" t="s">
        <v>416</v>
      </c>
      <c r="C320" t="s">
        <v>867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295029911.87595999</v>
      </c>
      <c r="L320">
        <v>288920136.74623001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55</v>
      </c>
      <c r="AX320" t="s">
        <v>1460</v>
      </c>
      <c r="AY320" t="s">
        <v>1480</v>
      </c>
      <c r="AZ320">
        <v>90</v>
      </c>
    </row>
    <row r="321" spans="1:52" x14ac:dyDescent="0.25">
      <c r="A321">
        <v>348</v>
      </c>
      <c r="B321" t="s">
        <v>417</v>
      </c>
      <c r="C321" t="s">
        <v>868</v>
      </c>
      <c r="D321" t="s">
        <v>1304</v>
      </c>
      <c r="E321" t="s">
        <v>61</v>
      </c>
      <c r="F321">
        <v>59.651820000000001</v>
      </c>
      <c r="G321">
        <v>955378400</v>
      </c>
      <c r="H321" t="s">
        <v>1437</v>
      </c>
      <c r="I321">
        <v>56990.06</v>
      </c>
      <c r="J321">
        <v>585849987.27684295</v>
      </c>
      <c r="K321">
        <v>679862307.70146704</v>
      </c>
      <c r="L321">
        <v>654791912.83758295</v>
      </c>
      <c r="M321">
        <v>758667329.32199299</v>
      </c>
      <c r="N321">
        <v>732291416.52105296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110</v>
      </c>
      <c r="AX321" t="s">
        <v>1460</v>
      </c>
      <c r="AY321" t="s">
        <v>1480</v>
      </c>
      <c r="AZ321">
        <v>236</v>
      </c>
    </row>
    <row r="322" spans="1:52" x14ac:dyDescent="0.25">
      <c r="A322">
        <v>350</v>
      </c>
      <c r="B322" t="s">
        <v>418</v>
      </c>
      <c r="C322" t="s">
        <v>869</v>
      </c>
      <c r="D322" t="s">
        <v>1305</v>
      </c>
      <c r="E322" t="s">
        <v>61</v>
      </c>
      <c r="F322">
        <v>92.677930000000003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134954309.80664599</v>
      </c>
      <c r="L322">
        <v>134653087.47970301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315</v>
      </c>
      <c r="AX322" t="s">
        <v>1460</v>
      </c>
      <c r="AY322" t="s">
        <v>1480</v>
      </c>
      <c r="AZ322">
        <v>141</v>
      </c>
    </row>
    <row r="323" spans="1:52" x14ac:dyDescent="0.25">
      <c r="A323">
        <v>351</v>
      </c>
      <c r="B323" t="s">
        <v>419</v>
      </c>
      <c r="C323" t="s">
        <v>870</v>
      </c>
      <c r="D323" t="s">
        <v>1306</v>
      </c>
      <c r="E323" t="s">
        <v>61</v>
      </c>
      <c r="F323">
        <v>127.70099999999999</v>
      </c>
      <c r="G323">
        <v>1369077100</v>
      </c>
      <c r="H323" t="s">
        <v>1437</v>
      </c>
      <c r="I323">
        <v>174832.5</v>
      </c>
      <c r="J323">
        <v>934983408.87370503</v>
      </c>
      <c r="K323">
        <v>1096851270.65098</v>
      </c>
      <c r="L323">
        <v>1139028520.4605501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61</v>
      </c>
      <c r="AX323" t="s">
        <v>1460</v>
      </c>
      <c r="AY323" t="s">
        <v>1480</v>
      </c>
      <c r="AZ323">
        <v>74</v>
      </c>
    </row>
    <row r="324" spans="1:52" x14ac:dyDescent="0.25">
      <c r="A324">
        <v>352</v>
      </c>
      <c r="B324" t="s">
        <v>420</v>
      </c>
      <c r="C324" t="s">
        <v>871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949828588.27414799</v>
      </c>
      <c r="K324">
        <v>1019629417.0365601</v>
      </c>
      <c r="L324">
        <v>853112937.637995</v>
      </c>
      <c r="M324">
        <v>988870454.34864604</v>
      </c>
      <c r="N324">
        <v>997631865.37536502</v>
      </c>
      <c r="O324" t="s">
        <v>59</v>
      </c>
      <c r="P324">
        <v>1</v>
      </c>
      <c r="Q324">
        <v>0.89</v>
      </c>
      <c r="R324">
        <v>67.989999999999995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100</v>
      </c>
      <c r="AX324" t="s">
        <v>1460</v>
      </c>
      <c r="AY324" t="s">
        <v>1480</v>
      </c>
      <c r="AZ324">
        <v>11</v>
      </c>
    </row>
    <row r="325" spans="1:52" x14ac:dyDescent="0.25">
      <c r="A325">
        <v>353</v>
      </c>
      <c r="B325" t="s">
        <v>421</v>
      </c>
      <c r="C325" t="s">
        <v>872</v>
      </c>
      <c r="D325" t="s">
        <v>1308</v>
      </c>
      <c r="E325" t="s">
        <v>61</v>
      </c>
      <c r="F325">
        <v>12.962960000000001</v>
      </c>
      <c r="G325">
        <v>2197837400</v>
      </c>
      <c r="H325" t="s">
        <v>1436</v>
      </c>
      <c r="I325">
        <v>28490.49</v>
      </c>
      <c r="J325">
        <v>375123331.23014599</v>
      </c>
      <c r="K325">
        <v>305729682.06187099</v>
      </c>
      <c r="L325">
        <v>357328586.94257897</v>
      </c>
      <c r="M325">
        <v>413792206.37575603</v>
      </c>
      <c r="N325">
        <v>315674645.90851003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8.8400000000000006E-2</v>
      </c>
      <c r="AF325">
        <v>0.93</v>
      </c>
      <c r="AG325">
        <v>0</v>
      </c>
      <c r="AH325">
        <v>8.8400000000000006E-2</v>
      </c>
      <c r="AI325">
        <v>31</v>
      </c>
      <c r="AX325" t="s">
        <v>1460</v>
      </c>
      <c r="AY325" t="s">
        <v>1480</v>
      </c>
      <c r="AZ325">
        <v>173</v>
      </c>
    </row>
    <row r="326" spans="1:52" x14ac:dyDescent="0.25">
      <c r="A326">
        <v>354</v>
      </c>
      <c r="B326" t="s">
        <v>27</v>
      </c>
      <c r="C326" t="s">
        <v>873</v>
      </c>
      <c r="D326" t="s">
        <v>52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656648061.30172205</v>
      </c>
      <c r="K326">
        <v>899383165.88637304</v>
      </c>
      <c r="L326">
        <v>842353364.72163999</v>
      </c>
      <c r="M326">
        <v>976319979.048648</v>
      </c>
      <c r="N326">
        <v>774633604.55018401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55</v>
      </c>
      <c r="AX326" t="s">
        <v>1460</v>
      </c>
      <c r="AY326" t="s">
        <v>1480</v>
      </c>
      <c r="AZ326">
        <v>153</v>
      </c>
    </row>
    <row r="327" spans="1:52" x14ac:dyDescent="0.25">
      <c r="A327">
        <v>355</v>
      </c>
      <c r="B327" t="s">
        <v>422</v>
      </c>
      <c r="C327" t="s">
        <v>874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342678512.41654903</v>
      </c>
      <c r="L327">
        <v>306265690.13493699</v>
      </c>
      <c r="M327">
        <v>354866493.561351</v>
      </c>
      <c r="N327">
        <v>348412074.96929902</v>
      </c>
      <c r="O327" t="s">
        <v>59</v>
      </c>
      <c r="P327">
        <v>1</v>
      </c>
      <c r="Q327">
        <v>1.68</v>
      </c>
      <c r="R327">
        <v>33.799999999999997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187</v>
      </c>
      <c r="AX327" t="s">
        <v>1460</v>
      </c>
      <c r="AY327" t="s">
        <v>1480</v>
      </c>
      <c r="AZ327">
        <v>290</v>
      </c>
    </row>
    <row r="328" spans="1:52" x14ac:dyDescent="0.25">
      <c r="A328">
        <v>356</v>
      </c>
      <c r="B328" t="s">
        <v>423</v>
      </c>
      <c r="C328" t="s">
        <v>875</v>
      </c>
      <c r="D328" t="s">
        <v>1310</v>
      </c>
      <c r="E328" t="s">
        <v>61</v>
      </c>
      <c r="F328">
        <v>30.389140000000001</v>
      </c>
      <c r="G328">
        <v>599264160</v>
      </c>
      <c r="H328" t="s">
        <v>1436</v>
      </c>
      <c r="I328">
        <v>18211.12</v>
      </c>
      <c r="J328">
        <v>394672077.44678098</v>
      </c>
      <c r="K328">
        <v>335415116.46408802</v>
      </c>
      <c r="L328">
        <v>299010531.71099502</v>
      </c>
      <c r="M328">
        <v>346624330.50056499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219</v>
      </c>
      <c r="AX328" t="s">
        <v>1460</v>
      </c>
      <c r="AY328" t="s">
        <v>1480</v>
      </c>
      <c r="AZ328">
        <v>201</v>
      </c>
    </row>
    <row r="329" spans="1:52" x14ac:dyDescent="0.25">
      <c r="A329">
        <v>357</v>
      </c>
      <c r="B329" t="s">
        <v>424</v>
      </c>
      <c r="C329" t="s">
        <v>876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243557785.34552801</v>
      </c>
      <c r="K329">
        <v>369187836.78997898</v>
      </c>
      <c r="L329">
        <v>343603908.53644699</v>
      </c>
      <c r="M329">
        <v>398810332.46830899</v>
      </c>
      <c r="N329">
        <v>358156572.00505799</v>
      </c>
      <c r="O329" t="s">
        <v>59</v>
      </c>
      <c r="P329">
        <v>1</v>
      </c>
      <c r="Q329">
        <v>2.3199999999999998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271</v>
      </c>
      <c r="AX329" t="s">
        <v>1460</v>
      </c>
      <c r="AY329" t="s">
        <v>1480</v>
      </c>
      <c r="AZ329">
        <v>248</v>
      </c>
    </row>
    <row r="330" spans="1:52" x14ac:dyDescent="0.25">
      <c r="A330">
        <v>359</v>
      </c>
      <c r="B330" t="s">
        <v>425</v>
      </c>
      <c r="C330" t="s">
        <v>877</v>
      </c>
      <c r="D330" t="s">
        <v>1312</v>
      </c>
      <c r="E330" t="s">
        <v>61</v>
      </c>
      <c r="F330">
        <v>97.516639999999995</v>
      </c>
      <c r="G330">
        <v>225700000</v>
      </c>
      <c r="H330" t="s">
        <v>1436</v>
      </c>
      <c r="I330">
        <v>22009.51</v>
      </c>
      <c r="J330">
        <v>150646948.89637101</v>
      </c>
      <c r="K330">
        <v>199427806.574599</v>
      </c>
      <c r="L330">
        <v>174978198.93218601</v>
      </c>
      <c r="M330">
        <v>202643432.475824</v>
      </c>
      <c r="N330">
        <v>199960910.63141799</v>
      </c>
      <c r="O330" t="s">
        <v>59</v>
      </c>
      <c r="P330">
        <v>1</v>
      </c>
      <c r="Q330">
        <v>0.53</v>
      </c>
      <c r="R330">
        <v>38.18</v>
      </c>
      <c r="S330">
        <v>0.94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0.94</v>
      </c>
      <c r="AG330">
        <v>0</v>
      </c>
      <c r="AH330">
        <v>0</v>
      </c>
      <c r="AI330">
        <v>39</v>
      </c>
      <c r="AX330" t="s">
        <v>1460</v>
      </c>
      <c r="AY330" t="s">
        <v>1480</v>
      </c>
      <c r="AZ330">
        <v>278</v>
      </c>
    </row>
    <row r="331" spans="1:52" x14ac:dyDescent="0.25">
      <c r="A331">
        <v>360</v>
      </c>
      <c r="B331" t="s">
        <v>426</v>
      </c>
      <c r="C331" t="s">
        <v>878</v>
      </c>
      <c r="D331" t="s">
        <v>1313</v>
      </c>
      <c r="E331" t="s">
        <v>61</v>
      </c>
      <c r="F331">
        <v>31.490020000000001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184607668.68757001</v>
      </c>
      <c r="L331">
        <v>180957201.651465</v>
      </c>
      <c r="M331">
        <v>209874969.42189801</v>
      </c>
      <c r="N331">
        <v>162920339.578033</v>
      </c>
      <c r="O331" t="s">
        <v>59</v>
      </c>
      <c r="P331">
        <v>1</v>
      </c>
      <c r="Q331">
        <v>3.49</v>
      </c>
      <c r="R331">
        <v>35.130000000000003</v>
      </c>
      <c r="S331">
        <v>0.69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0.40689999999999998</v>
      </c>
      <c r="AF331">
        <v>0.69</v>
      </c>
      <c r="AG331">
        <v>0</v>
      </c>
      <c r="AH331">
        <v>0.40689999999999998</v>
      </c>
      <c r="AI331">
        <v>388</v>
      </c>
      <c r="AU331" t="s">
        <v>1457</v>
      </c>
      <c r="AW331" t="s">
        <v>1459</v>
      </c>
      <c r="AX331" t="s">
        <v>1469</v>
      </c>
      <c r="AY331" t="s">
        <v>1481</v>
      </c>
    </row>
    <row r="332" spans="1:52" x14ac:dyDescent="0.25">
      <c r="A332">
        <v>361</v>
      </c>
      <c r="B332" t="s">
        <v>427</v>
      </c>
      <c r="C332" t="s">
        <v>879</v>
      </c>
      <c r="D332" t="s">
        <v>1314</v>
      </c>
      <c r="E332" t="s">
        <v>61</v>
      </c>
      <c r="F332">
        <v>68.885480000000001</v>
      </c>
      <c r="G332">
        <v>222768450</v>
      </c>
      <c r="H332" t="s">
        <v>1437</v>
      </c>
      <c r="I332">
        <v>15345.51</v>
      </c>
      <c r="J332">
        <v>79270006.770130605</v>
      </c>
      <c r="K332">
        <v>96346982.2584382</v>
      </c>
      <c r="L332">
        <v>81453050.030792207</v>
      </c>
      <c r="M332">
        <v>94344795.342006594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9</v>
      </c>
      <c r="AX332" t="s">
        <v>1460</v>
      </c>
      <c r="AY332" t="s">
        <v>1480</v>
      </c>
      <c r="AZ332">
        <v>179</v>
      </c>
    </row>
    <row r="333" spans="1:52" x14ac:dyDescent="0.25">
      <c r="A333">
        <v>362</v>
      </c>
      <c r="B333" t="s">
        <v>28</v>
      </c>
      <c r="C333" t="s">
        <v>880</v>
      </c>
      <c r="D333" t="s">
        <v>53</v>
      </c>
      <c r="E333" t="s">
        <v>61</v>
      </c>
      <c r="F333">
        <v>135.40710000000001</v>
      </c>
      <c r="G333">
        <v>2342371600</v>
      </c>
      <c r="H333" t="s">
        <v>1436</v>
      </c>
      <c r="I333">
        <v>317173.59999999998</v>
      </c>
      <c r="J333">
        <v>923051669.78539097</v>
      </c>
      <c r="K333">
        <v>1205134365.4763899</v>
      </c>
      <c r="L333">
        <v>1110124859.7864599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82</v>
      </c>
      <c r="AX333" t="s">
        <v>1460</v>
      </c>
      <c r="AY333" t="s">
        <v>1480</v>
      </c>
      <c r="AZ333">
        <v>60</v>
      </c>
    </row>
    <row r="334" spans="1:52" x14ac:dyDescent="0.25">
      <c r="A334">
        <v>363</v>
      </c>
      <c r="B334" t="s">
        <v>428</v>
      </c>
      <c r="C334" t="s">
        <v>881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609504957.75100505</v>
      </c>
      <c r="K334">
        <v>812358471.27881896</v>
      </c>
      <c r="L334">
        <v>799845065.32638395</v>
      </c>
      <c r="M334">
        <v>927172452.51779699</v>
      </c>
      <c r="N334">
        <v>688540170.21549499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329</v>
      </c>
      <c r="AX334" t="s">
        <v>1460</v>
      </c>
      <c r="AY334" t="s">
        <v>1480</v>
      </c>
      <c r="AZ334">
        <v>152</v>
      </c>
    </row>
    <row r="335" spans="1:52" x14ac:dyDescent="0.25">
      <c r="A335">
        <v>364</v>
      </c>
      <c r="B335" t="s">
        <v>429</v>
      </c>
      <c r="C335" t="s">
        <v>882</v>
      </c>
      <c r="D335" t="s">
        <v>1316</v>
      </c>
      <c r="E335" t="s">
        <v>61</v>
      </c>
      <c r="F335">
        <v>95.818399999999997</v>
      </c>
      <c r="G335">
        <v>928063000</v>
      </c>
      <c r="H335" t="s">
        <v>1436</v>
      </c>
      <c r="I335">
        <v>88925.52</v>
      </c>
      <c r="J335">
        <v>274184887.03008902</v>
      </c>
      <c r="K335">
        <v>436228589.00115502</v>
      </c>
      <c r="L335">
        <v>371953776.18120497</v>
      </c>
      <c r="M335">
        <v>431087898.42790401</v>
      </c>
      <c r="N335">
        <v>428946996.30007601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21</v>
      </c>
      <c r="AX335" t="s">
        <v>1460</v>
      </c>
      <c r="AY335" t="s">
        <v>1480</v>
      </c>
      <c r="AZ335">
        <v>138</v>
      </c>
    </row>
    <row r="336" spans="1:52" x14ac:dyDescent="0.25">
      <c r="A336">
        <v>365</v>
      </c>
      <c r="B336" t="s">
        <v>430</v>
      </c>
      <c r="C336" t="s">
        <v>883</v>
      </c>
      <c r="D336" t="s">
        <v>1317</v>
      </c>
      <c r="E336" t="s">
        <v>61</v>
      </c>
      <c r="F336">
        <v>93.778800000000004</v>
      </c>
      <c r="G336">
        <v>352000000</v>
      </c>
      <c r="H336" t="s">
        <v>1436</v>
      </c>
      <c r="I336">
        <v>33010.14</v>
      </c>
      <c r="J336">
        <v>147676348.27003399</v>
      </c>
      <c r="K336">
        <v>167682693.10082501</v>
      </c>
      <c r="L336">
        <v>148720808.02306601</v>
      </c>
      <c r="M336">
        <v>172199783.77565399</v>
      </c>
      <c r="N336">
        <v>169585287.72126299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226</v>
      </c>
      <c r="AX336" t="s">
        <v>1460</v>
      </c>
      <c r="AY336" t="s">
        <v>1480</v>
      </c>
      <c r="AZ336">
        <v>161</v>
      </c>
    </row>
    <row r="337" spans="1:52" x14ac:dyDescent="0.25">
      <c r="A337">
        <v>366</v>
      </c>
      <c r="B337" t="s">
        <v>431</v>
      </c>
      <c r="C337" t="s">
        <v>884</v>
      </c>
      <c r="D337" t="s">
        <v>1318</v>
      </c>
      <c r="E337" t="s">
        <v>61</v>
      </c>
      <c r="F337">
        <v>183.52109999999999</v>
      </c>
      <c r="G337">
        <v>119792700</v>
      </c>
      <c r="H337" t="s">
        <v>1437</v>
      </c>
      <c r="I337">
        <v>21984.49</v>
      </c>
      <c r="J337">
        <v>151571595.16845399</v>
      </c>
      <c r="K337">
        <v>161900247.33246201</v>
      </c>
      <c r="L337">
        <v>181847612.74171299</v>
      </c>
      <c r="M337">
        <v>211079908.49316499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177</v>
      </c>
      <c r="AX337" t="s">
        <v>1460</v>
      </c>
      <c r="AY337" t="s">
        <v>1480</v>
      </c>
      <c r="AZ337">
        <v>55</v>
      </c>
    </row>
    <row r="338" spans="1:52" x14ac:dyDescent="0.25">
      <c r="A338">
        <v>367</v>
      </c>
      <c r="B338" t="s">
        <v>432</v>
      </c>
      <c r="C338" t="s">
        <v>885</v>
      </c>
      <c r="D338" t="s">
        <v>1319</v>
      </c>
      <c r="E338" t="s">
        <v>61</v>
      </c>
      <c r="F338">
        <v>71.428569999999993</v>
      </c>
      <c r="G338">
        <v>499079740</v>
      </c>
      <c r="H338" t="s">
        <v>1436</v>
      </c>
      <c r="I338">
        <v>35648.550000000003</v>
      </c>
      <c r="J338">
        <v>196138380.38301599</v>
      </c>
      <c r="K338">
        <v>220509254.846443</v>
      </c>
      <c r="L338">
        <v>202178157.91315001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449</v>
      </c>
      <c r="AW338" t="s">
        <v>1459</v>
      </c>
      <c r="AX338" t="s">
        <v>1461</v>
      </c>
      <c r="AY338" t="s">
        <v>1481</v>
      </c>
    </row>
    <row r="339" spans="1:52" x14ac:dyDescent="0.25">
      <c r="A339">
        <v>368</v>
      </c>
      <c r="B339" t="s">
        <v>433</v>
      </c>
      <c r="C339" t="s">
        <v>886</v>
      </c>
      <c r="D339" t="s">
        <v>1320</v>
      </c>
      <c r="E339" t="s">
        <v>61</v>
      </c>
      <c r="F339">
        <v>250.64859999999999</v>
      </c>
      <c r="G339">
        <v>175452850</v>
      </c>
      <c r="H339" t="s">
        <v>1436</v>
      </c>
      <c r="I339">
        <v>43977</v>
      </c>
      <c r="J339">
        <v>162503824.33050001</v>
      </c>
      <c r="K339">
        <v>220296089.87863499</v>
      </c>
      <c r="L339">
        <v>210886564.60567099</v>
      </c>
      <c r="M339">
        <v>244359544.061165</v>
      </c>
      <c r="N339">
        <v>217102288.87505999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379</v>
      </c>
      <c r="AW339" t="s">
        <v>1459</v>
      </c>
      <c r="AX339" t="s">
        <v>1461</v>
      </c>
      <c r="AY339" t="s">
        <v>1481</v>
      </c>
    </row>
    <row r="340" spans="1:52" x14ac:dyDescent="0.25">
      <c r="A340">
        <v>369</v>
      </c>
      <c r="B340" t="s">
        <v>434</v>
      </c>
      <c r="C340" t="s">
        <v>887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215372892.17166501</v>
      </c>
      <c r="K340">
        <v>203332070.562159</v>
      </c>
      <c r="L340">
        <v>201577112.51449999</v>
      </c>
      <c r="M340">
        <v>234066098.26210901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235</v>
      </c>
      <c r="AX340" t="s">
        <v>1460</v>
      </c>
      <c r="AY340" t="s">
        <v>1480</v>
      </c>
      <c r="AZ340">
        <v>299</v>
      </c>
    </row>
    <row r="341" spans="1:52" x14ac:dyDescent="0.25">
      <c r="A341">
        <v>370</v>
      </c>
      <c r="B341" t="s">
        <v>435</v>
      </c>
      <c r="C341" t="s">
        <v>888</v>
      </c>
      <c r="D341" t="s">
        <v>1322</v>
      </c>
      <c r="E341" t="s">
        <v>61</v>
      </c>
      <c r="F341">
        <v>49.778120000000001</v>
      </c>
      <c r="G341">
        <v>326831670</v>
      </c>
      <c r="H341" t="s">
        <v>1436</v>
      </c>
      <c r="I341">
        <v>16269.07</v>
      </c>
      <c r="J341">
        <v>91128441.471044004</v>
      </c>
      <c r="K341">
        <v>127816919.59632801</v>
      </c>
      <c r="L341">
        <v>119822492.67978901</v>
      </c>
      <c r="M341">
        <v>138603645.96360099</v>
      </c>
      <c r="N341">
        <v>143042814.19165599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364</v>
      </c>
      <c r="AJ341" t="s">
        <v>1446</v>
      </c>
      <c r="AX341" t="s">
        <v>1462</v>
      </c>
      <c r="AY341" t="s">
        <v>1481</v>
      </c>
    </row>
    <row r="342" spans="1:52" x14ac:dyDescent="0.25">
      <c r="A342">
        <v>371</v>
      </c>
      <c r="B342" t="s">
        <v>436</v>
      </c>
      <c r="C342" t="s">
        <v>889</v>
      </c>
      <c r="D342" t="s">
        <v>1323</v>
      </c>
      <c r="E342" t="s">
        <v>61</v>
      </c>
      <c r="F342">
        <v>134.84379999999999</v>
      </c>
      <c r="G342">
        <v>1079000000</v>
      </c>
      <c r="H342" t="s">
        <v>1437</v>
      </c>
      <c r="I342">
        <v>145496.5</v>
      </c>
      <c r="J342">
        <v>905466588.19149804</v>
      </c>
      <c r="K342">
        <v>1138850637.91482</v>
      </c>
      <c r="L342">
        <v>1072046717.8488899</v>
      </c>
      <c r="M342">
        <v>1241465813.7953</v>
      </c>
      <c r="N342">
        <v>1194479197.0379601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90</v>
      </c>
      <c r="AX342" t="s">
        <v>1460</v>
      </c>
      <c r="AY342" t="s">
        <v>1480</v>
      </c>
      <c r="AZ342">
        <v>52</v>
      </c>
    </row>
    <row r="343" spans="1:52" x14ac:dyDescent="0.25">
      <c r="A343">
        <v>372</v>
      </c>
      <c r="B343" t="s">
        <v>437</v>
      </c>
      <c r="C343" t="s">
        <v>890</v>
      </c>
      <c r="D343" t="s">
        <v>1324</v>
      </c>
      <c r="E343" t="s">
        <v>61</v>
      </c>
      <c r="F343">
        <v>324.15089999999998</v>
      </c>
      <c r="G343">
        <v>147329770</v>
      </c>
      <c r="H343" t="s">
        <v>1436</v>
      </c>
      <c r="I343">
        <v>47757.07</v>
      </c>
      <c r="J343">
        <v>334715806.51443797</v>
      </c>
      <c r="K343">
        <v>383575967.31410199</v>
      </c>
      <c r="L343">
        <v>368766931.79421097</v>
      </c>
      <c r="M343">
        <v>427723062.052347</v>
      </c>
      <c r="N343">
        <v>343098566.59192502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420</v>
      </c>
      <c r="AW343" t="s">
        <v>1459</v>
      </c>
      <c r="AX343" t="s">
        <v>1461</v>
      </c>
      <c r="AY343" t="s">
        <v>1481</v>
      </c>
    </row>
    <row r="344" spans="1:52" x14ac:dyDescent="0.25">
      <c r="A344">
        <v>373</v>
      </c>
      <c r="B344" t="s">
        <v>438</v>
      </c>
      <c r="C344" t="s">
        <v>891</v>
      </c>
      <c r="D344" t="s">
        <v>1325</v>
      </c>
      <c r="E344" t="s">
        <v>61</v>
      </c>
      <c r="F344">
        <v>153.80609999999999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179072107.17747599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230</v>
      </c>
      <c r="AX344" t="s">
        <v>1460</v>
      </c>
      <c r="AY344" t="s">
        <v>1480</v>
      </c>
      <c r="AZ344">
        <v>108</v>
      </c>
    </row>
    <row r="345" spans="1:52" x14ac:dyDescent="0.25">
      <c r="A345">
        <v>374</v>
      </c>
      <c r="B345" t="s">
        <v>439</v>
      </c>
      <c r="C345" t="s">
        <v>892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125085302.46351101</v>
      </c>
      <c r="K345">
        <v>169024032.572146</v>
      </c>
      <c r="L345">
        <v>146396849.504866</v>
      </c>
      <c r="M345">
        <v>169728529.31431299</v>
      </c>
      <c r="N345">
        <v>169142071.41479999</v>
      </c>
      <c r="O345" t="s">
        <v>59</v>
      </c>
      <c r="P345">
        <v>0.9</v>
      </c>
      <c r="Q345">
        <v>2.5099999999999998</v>
      </c>
      <c r="R345">
        <v>32.880000000000003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301</v>
      </c>
      <c r="AX345" t="s">
        <v>1460</v>
      </c>
      <c r="AY345" t="s">
        <v>1480</v>
      </c>
      <c r="AZ345">
        <v>294</v>
      </c>
    </row>
    <row r="346" spans="1:52" x14ac:dyDescent="0.25">
      <c r="A346">
        <v>376</v>
      </c>
      <c r="B346" t="s">
        <v>440</v>
      </c>
      <c r="C346" t="s">
        <v>893</v>
      </c>
      <c r="D346" t="s">
        <v>1327</v>
      </c>
      <c r="E346" t="s">
        <v>61</v>
      </c>
      <c r="F346">
        <v>50.281619999999997</v>
      </c>
      <c r="G346">
        <v>914306100</v>
      </c>
      <c r="H346" t="s">
        <v>1436</v>
      </c>
      <c r="I346">
        <v>45972.79</v>
      </c>
      <c r="J346">
        <v>247433924.74136201</v>
      </c>
      <c r="K346">
        <v>289947622.90881002</v>
      </c>
      <c r="L346">
        <v>265795498.10991499</v>
      </c>
      <c r="M346">
        <v>308056662.28921402</v>
      </c>
      <c r="N346">
        <v>274225062.83269298</v>
      </c>
      <c r="O346" t="s">
        <v>59</v>
      </c>
      <c r="P346">
        <v>1</v>
      </c>
      <c r="Q346">
        <v>4.8499999999999996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426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 x14ac:dyDescent="0.25">
      <c r="A347">
        <v>377</v>
      </c>
      <c r="B347" t="s">
        <v>441</v>
      </c>
      <c r="C347" t="s">
        <v>894</v>
      </c>
      <c r="D347" t="s">
        <v>1328</v>
      </c>
      <c r="E347" t="s">
        <v>61</v>
      </c>
      <c r="F347">
        <v>185.44970000000001</v>
      </c>
      <c r="G347">
        <v>134585850</v>
      </c>
      <c r="H347" t="s">
        <v>1436</v>
      </c>
      <c r="I347">
        <v>24958.91</v>
      </c>
      <c r="J347">
        <v>1470111787.7676499</v>
      </c>
      <c r="K347">
        <v>1016976961.42837</v>
      </c>
      <c r="L347">
        <v>1065822793.5325</v>
      </c>
      <c r="M347">
        <v>1236110737.1505499</v>
      </c>
      <c r="N347">
        <v>889164059.33527005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1</v>
      </c>
      <c r="AX347" t="s">
        <v>1460</v>
      </c>
      <c r="AY347" t="s">
        <v>1480</v>
      </c>
      <c r="AZ347">
        <v>296</v>
      </c>
    </row>
    <row r="348" spans="1:52" x14ac:dyDescent="0.25">
      <c r="A348">
        <v>378</v>
      </c>
      <c r="B348" t="s">
        <v>442</v>
      </c>
      <c r="C348" t="s">
        <v>895</v>
      </c>
      <c r="D348" t="s">
        <v>1329</v>
      </c>
      <c r="E348" t="s">
        <v>61</v>
      </c>
      <c r="F348">
        <v>503.05509999999998</v>
      </c>
      <c r="G348">
        <v>104170296</v>
      </c>
      <c r="H348" t="s">
        <v>1437</v>
      </c>
      <c r="I348">
        <v>52403.4</v>
      </c>
      <c r="J348">
        <v>507673700.38327098</v>
      </c>
      <c r="K348">
        <v>592494891.57999301</v>
      </c>
      <c r="L348">
        <v>547538444.52180398</v>
      </c>
      <c r="M348">
        <v>633035442.990798</v>
      </c>
      <c r="N348">
        <v>604625395.21338201</v>
      </c>
      <c r="O348" t="s">
        <v>58</v>
      </c>
      <c r="P348">
        <v>1</v>
      </c>
      <c r="Q348">
        <v>2.1</v>
      </c>
      <c r="R348">
        <v>66.209999999999994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242</v>
      </c>
      <c r="AX348" t="s">
        <v>1460</v>
      </c>
      <c r="AY348" t="s">
        <v>1480</v>
      </c>
      <c r="AZ348">
        <v>16</v>
      </c>
    </row>
    <row r="349" spans="1:52" x14ac:dyDescent="0.25">
      <c r="A349">
        <v>379</v>
      </c>
      <c r="B349" t="s">
        <v>443</v>
      </c>
      <c r="C349" t="s">
        <v>896</v>
      </c>
      <c r="D349" t="s">
        <v>1330</v>
      </c>
      <c r="E349" t="s">
        <v>61</v>
      </c>
      <c r="F349">
        <v>22.836659999999998</v>
      </c>
      <c r="G349">
        <v>892308350</v>
      </c>
      <c r="H349" t="s">
        <v>1436</v>
      </c>
      <c r="I349">
        <v>20377.349999999999</v>
      </c>
      <c r="J349">
        <v>311521926.57183403</v>
      </c>
      <c r="K349">
        <v>218038786.791931</v>
      </c>
      <c r="L349">
        <v>259053811.54873899</v>
      </c>
      <c r="M349">
        <v>300827653.48498702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321</v>
      </c>
      <c r="AX349" t="s">
        <v>1460</v>
      </c>
      <c r="AY349" t="s">
        <v>1480</v>
      </c>
      <c r="AZ349">
        <v>246</v>
      </c>
    </row>
    <row r="350" spans="1:52" x14ac:dyDescent="0.25">
      <c r="A350">
        <v>380</v>
      </c>
      <c r="B350" t="s">
        <v>444</v>
      </c>
      <c r="C350" t="s">
        <v>897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292362503.45543301</v>
      </c>
      <c r="L350">
        <v>283426488.00367099</v>
      </c>
      <c r="M350">
        <v>328280411.04854101</v>
      </c>
      <c r="N350">
        <v>241439411.43540001</v>
      </c>
      <c r="O350" t="s">
        <v>59</v>
      </c>
      <c r="P350">
        <v>0.65</v>
      </c>
      <c r="Q350">
        <v>2.34</v>
      </c>
      <c r="R350">
        <v>55.05</v>
      </c>
      <c r="S350">
        <v>0.94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0.94</v>
      </c>
      <c r="AG350">
        <v>0</v>
      </c>
      <c r="AH350">
        <v>0</v>
      </c>
      <c r="AI350">
        <v>274</v>
      </c>
      <c r="AX350" t="s">
        <v>1460</v>
      </c>
      <c r="AY350" t="s">
        <v>1480</v>
      </c>
      <c r="AZ350">
        <v>104</v>
      </c>
    </row>
    <row r="351" spans="1:52" x14ac:dyDescent="0.25">
      <c r="A351">
        <v>381</v>
      </c>
      <c r="B351" t="s">
        <v>445</v>
      </c>
      <c r="C351" t="s">
        <v>898</v>
      </c>
      <c r="D351" t="s">
        <v>1332</v>
      </c>
      <c r="E351" t="s">
        <v>61</v>
      </c>
      <c r="F351">
        <v>250.66560000000001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208011918.63328001</v>
      </c>
      <c r="M351">
        <v>241204078.12286901</v>
      </c>
      <c r="N351">
        <v>215931235.32403001</v>
      </c>
      <c r="O351" t="s">
        <v>59</v>
      </c>
      <c r="P351">
        <v>1</v>
      </c>
      <c r="Q351">
        <v>3</v>
      </c>
      <c r="R351">
        <v>55.05</v>
      </c>
      <c r="S351">
        <v>0.69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0.69</v>
      </c>
      <c r="AG351">
        <v>0</v>
      </c>
      <c r="AH351">
        <v>0</v>
      </c>
      <c r="AI351">
        <v>357</v>
      </c>
      <c r="AX351" t="s">
        <v>1460</v>
      </c>
      <c r="AY351" t="s">
        <v>1480</v>
      </c>
      <c r="AZ351">
        <v>104</v>
      </c>
    </row>
    <row r="352" spans="1:52" x14ac:dyDescent="0.25">
      <c r="A352">
        <v>383</v>
      </c>
      <c r="B352" t="s">
        <v>446</v>
      </c>
      <c r="C352" t="s">
        <v>899</v>
      </c>
      <c r="D352" t="s">
        <v>1333</v>
      </c>
      <c r="E352" t="s">
        <v>61</v>
      </c>
      <c r="F352">
        <v>93.292370000000005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2785194362.2514601</v>
      </c>
      <c r="L352">
        <v>3594839314.8899798</v>
      </c>
      <c r="M352">
        <v>4177639993.0996799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188</v>
      </c>
      <c r="AX352" t="s">
        <v>1460</v>
      </c>
      <c r="AY352" t="s">
        <v>1480</v>
      </c>
      <c r="AZ352">
        <v>308</v>
      </c>
    </row>
    <row r="353" spans="1:52" x14ac:dyDescent="0.25">
      <c r="A353">
        <v>384</v>
      </c>
      <c r="B353" t="s">
        <v>447</v>
      </c>
      <c r="C353" t="s">
        <v>900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972936039.73765397</v>
      </c>
      <c r="K353">
        <v>674603712.35618699</v>
      </c>
      <c r="L353">
        <v>853741356.26265705</v>
      </c>
      <c r="M353">
        <v>989593891.06562996</v>
      </c>
      <c r="N353">
        <v>546800226.02260399</v>
      </c>
      <c r="O353" t="s">
        <v>59</v>
      </c>
      <c r="P353">
        <v>1</v>
      </c>
      <c r="Q353">
        <v>7.52</v>
      </c>
      <c r="R353">
        <v>34.590000000000003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447</v>
      </c>
      <c r="AW353" t="s">
        <v>1459</v>
      </c>
      <c r="AX353" t="s">
        <v>1461</v>
      </c>
      <c r="AY353" t="s">
        <v>1481</v>
      </c>
    </row>
    <row r="354" spans="1:52" x14ac:dyDescent="0.25">
      <c r="A354">
        <v>385</v>
      </c>
      <c r="B354" t="s">
        <v>448</v>
      </c>
      <c r="C354" t="s">
        <v>901</v>
      </c>
      <c r="D354" t="s">
        <v>1335</v>
      </c>
      <c r="E354" t="s">
        <v>61</v>
      </c>
      <c r="F354">
        <v>37.873359999999998</v>
      </c>
      <c r="G354">
        <v>482413300</v>
      </c>
      <c r="H354" t="s">
        <v>1437</v>
      </c>
      <c r="I354">
        <v>18270.61</v>
      </c>
      <c r="J354">
        <v>710322689.45235395</v>
      </c>
      <c r="K354">
        <v>531604681.35520399</v>
      </c>
      <c r="L354">
        <v>743337982.44812405</v>
      </c>
      <c r="M354">
        <v>862809915.339535</v>
      </c>
      <c r="N354">
        <v>443707489.02566499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202</v>
      </c>
      <c r="AX354" t="s">
        <v>1460</v>
      </c>
      <c r="AY354" t="s">
        <v>1480</v>
      </c>
      <c r="AZ354">
        <v>317</v>
      </c>
    </row>
    <row r="355" spans="1:52" x14ac:dyDescent="0.25">
      <c r="A355">
        <v>386</v>
      </c>
      <c r="B355" t="s">
        <v>449</v>
      </c>
      <c r="C355" t="s">
        <v>902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327133753.72563797</v>
      </c>
      <c r="K355">
        <v>252696219.39227</v>
      </c>
      <c r="L355">
        <v>262303241.43711901</v>
      </c>
      <c r="M355">
        <v>304032991.49138898</v>
      </c>
      <c r="N355">
        <v>234495215.47888401</v>
      </c>
      <c r="O355" t="s">
        <v>59</v>
      </c>
      <c r="P355">
        <v>1</v>
      </c>
      <c r="Q355">
        <v>2.4500000000000002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293</v>
      </c>
      <c r="AX355" t="s">
        <v>1460</v>
      </c>
      <c r="AY355" t="s">
        <v>1480</v>
      </c>
      <c r="AZ355">
        <v>280</v>
      </c>
    </row>
    <row r="356" spans="1:52" x14ac:dyDescent="0.25">
      <c r="A356">
        <v>387</v>
      </c>
      <c r="B356" t="s">
        <v>450</v>
      </c>
      <c r="C356" t="s">
        <v>903</v>
      </c>
      <c r="D356" t="s">
        <v>1337</v>
      </c>
      <c r="E356" t="s">
        <v>61</v>
      </c>
      <c r="F356">
        <v>49.487969999999997</v>
      </c>
      <c r="G356">
        <v>484640000</v>
      </c>
      <c r="H356" t="s">
        <v>1436</v>
      </c>
      <c r="I356">
        <v>23983.85</v>
      </c>
      <c r="J356">
        <v>62117926.654432602</v>
      </c>
      <c r="K356">
        <v>91851055.612331599</v>
      </c>
      <c r="L356">
        <v>78762329.752042994</v>
      </c>
      <c r="M356">
        <v>91251597.708898902</v>
      </c>
      <c r="N356">
        <v>83022841.336763695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374</v>
      </c>
      <c r="AW356" t="s">
        <v>1459</v>
      </c>
      <c r="AX356" t="s">
        <v>1461</v>
      </c>
      <c r="AY356" t="s">
        <v>1481</v>
      </c>
    </row>
    <row r="357" spans="1:52" x14ac:dyDescent="0.25">
      <c r="A357">
        <v>388</v>
      </c>
      <c r="B357" t="s">
        <v>451</v>
      </c>
      <c r="C357" t="s">
        <v>904</v>
      </c>
      <c r="D357" t="s">
        <v>1338</v>
      </c>
      <c r="E357" t="s">
        <v>61</v>
      </c>
      <c r="F357">
        <v>458.13279999999997</v>
      </c>
      <c r="G357">
        <v>107613820</v>
      </c>
      <c r="H357" t="s">
        <v>1437</v>
      </c>
      <c r="I357">
        <v>49301.43</v>
      </c>
      <c r="J357">
        <v>339858264.64097399</v>
      </c>
      <c r="K357">
        <v>309980503.80720299</v>
      </c>
      <c r="L357">
        <v>291690622.01188099</v>
      </c>
      <c r="M357">
        <v>338452556.33590102</v>
      </c>
      <c r="N357">
        <v>291017875.44158697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140</v>
      </c>
      <c r="AX357" t="s">
        <v>1460</v>
      </c>
      <c r="AY357" t="s">
        <v>1480</v>
      </c>
      <c r="AZ357">
        <v>176</v>
      </c>
    </row>
    <row r="358" spans="1:52" x14ac:dyDescent="0.25">
      <c r="A358">
        <v>389</v>
      </c>
      <c r="B358" t="s">
        <v>452</v>
      </c>
      <c r="C358" t="s">
        <v>905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41100.129999999997</v>
      </c>
      <c r="J358">
        <v>448979077.01304102</v>
      </c>
      <c r="K358">
        <v>406971140.84450299</v>
      </c>
      <c r="L358">
        <v>414822133.49734902</v>
      </c>
      <c r="M358">
        <v>479807155.22238702</v>
      </c>
      <c r="N358">
        <v>375831764.52102298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365</v>
      </c>
      <c r="AX358" t="s">
        <v>1460</v>
      </c>
      <c r="AY358" t="s">
        <v>1480</v>
      </c>
      <c r="AZ358">
        <v>300</v>
      </c>
    </row>
    <row r="359" spans="1:52" x14ac:dyDescent="0.25">
      <c r="A359">
        <v>391</v>
      </c>
      <c r="B359" t="s">
        <v>453</v>
      </c>
      <c r="C359" t="s">
        <v>906</v>
      </c>
      <c r="D359" t="s">
        <v>1340</v>
      </c>
      <c r="E359" t="s">
        <v>61</v>
      </c>
      <c r="F359">
        <v>294.13720000000001</v>
      </c>
      <c r="G359">
        <v>271627660</v>
      </c>
      <c r="H359" t="s">
        <v>1436</v>
      </c>
      <c r="I359">
        <v>79895.8</v>
      </c>
      <c r="J359">
        <v>525555501.65313798</v>
      </c>
      <c r="K359">
        <v>575228947.74705696</v>
      </c>
      <c r="L359">
        <v>622354011.91679204</v>
      </c>
      <c r="M359">
        <v>722384731.46620095</v>
      </c>
      <c r="N359">
        <v>497089775.06605101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118</v>
      </c>
      <c r="AX359" t="s">
        <v>1460</v>
      </c>
      <c r="AY359" t="s">
        <v>1480</v>
      </c>
      <c r="AZ359">
        <v>160</v>
      </c>
    </row>
    <row r="360" spans="1:52" x14ac:dyDescent="0.25">
      <c r="A360">
        <v>392</v>
      </c>
      <c r="B360" t="s">
        <v>454</v>
      </c>
      <c r="C360" t="s">
        <v>907</v>
      </c>
      <c r="D360" t="s">
        <v>1341</v>
      </c>
      <c r="E360" t="s">
        <v>61</v>
      </c>
      <c r="F360">
        <v>133.33330000000001</v>
      </c>
      <c r="G360">
        <v>1338541900</v>
      </c>
      <c r="H360" t="s">
        <v>1436</v>
      </c>
      <c r="I360">
        <v>178472.2</v>
      </c>
      <c r="J360">
        <v>522092343.45403099</v>
      </c>
      <c r="K360">
        <v>654804956.89768302</v>
      </c>
      <c r="L360">
        <v>661493389.77193296</v>
      </c>
      <c r="M360">
        <v>766652501.04687095</v>
      </c>
      <c r="N360">
        <v>602679161.21641898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149</v>
      </c>
      <c r="AS360" t="s">
        <v>1455</v>
      </c>
      <c r="AX360" t="s">
        <v>1477</v>
      </c>
      <c r="AY360" t="s">
        <v>1481</v>
      </c>
    </row>
    <row r="361" spans="1:52" x14ac:dyDescent="0.25">
      <c r="A361">
        <v>393</v>
      </c>
      <c r="B361" t="s">
        <v>455</v>
      </c>
      <c r="C361" t="s">
        <v>908</v>
      </c>
      <c r="D361" t="s">
        <v>1342</v>
      </c>
      <c r="E361" t="s">
        <v>61</v>
      </c>
      <c r="F361">
        <v>475.04689999999999</v>
      </c>
      <c r="G361">
        <v>305300000</v>
      </c>
      <c r="H361" t="s">
        <v>1436</v>
      </c>
      <c r="I361">
        <v>145031.79999999999</v>
      </c>
      <c r="J361">
        <v>546751987.78233695</v>
      </c>
      <c r="K361">
        <v>568947251.92767596</v>
      </c>
      <c r="L361">
        <v>516829322.80228698</v>
      </c>
      <c r="M361">
        <v>598815565.18768597</v>
      </c>
      <c r="N361">
        <v>573074609.64821506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57</v>
      </c>
      <c r="AX361" t="s">
        <v>1460</v>
      </c>
      <c r="AY361" t="s">
        <v>1480</v>
      </c>
      <c r="AZ361">
        <v>32</v>
      </c>
    </row>
    <row r="362" spans="1:52" x14ac:dyDescent="0.25">
      <c r="A362">
        <v>394</v>
      </c>
      <c r="B362" t="s">
        <v>66</v>
      </c>
      <c r="C362" t="s">
        <v>909</v>
      </c>
      <c r="D362" t="s">
        <v>70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1771303707.1337299</v>
      </c>
      <c r="K362">
        <v>1774784643.26071</v>
      </c>
      <c r="L362">
        <v>1824998017.7253799</v>
      </c>
      <c r="M362">
        <v>2111862353.5232401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110</v>
      </c>
      <c r="AX362" t="s">
        <v>1460</v>
      </c>
      <c r="AY362" t="s">
        <v>1480</v>
      </c>
      <c r="AZ362">
        <v>19</v>
      </c>
    </row>
    <row r="363" spans="1:52" x14ac:dyDescent="0.25">
      <c r="A363">
        <v>395</v>
      </c>
      <c r="B363" t="s">
        <v>456</v>
      </c>
      <c r="C363" t="s">
        <v>910</v>
      </c>
      <c r="D363" t="s">
        <v>1343</v>
      </c>
      <c r="E363" t="s">
        <v>61</v>
      </c>
      <c r="F363">
        <v>190.19460000000001</v>
      </c>
      <c r="G363">
        <v>107379010</v>
      </c>
      <c r="H363" t="s">
        <v>1437</v>
      </c>
      <c r="I363">
        <v>20422.91</v>
      </c>
      <c r="J363">
        <v>162727372.67116299</v>
      </c>
      <c r="K363">
        <v>177557678.95774001</v>
      </c>
      <c r="L363">
        <v>143479187.79629499</v>
      </c>
      <c r="M363">
        <v>166343875.40963399</v>
      </c>
      <c r="N363">
        <v>175509297.88862699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155</v>
      </c>
      <c r="AX363" t="s">
        <v>1460</v>
      </c>
      <c r="AY363" t="s">
        <v>1480</v>
      </c>
      <c r="AZ363">
        <v>184</v>
      </c>
    </row>
    <row r="364" spans="1:52" x14ac:dyDescent="0.25">
      <c r="A364">
        <v>396</v>
      </c>
      <c r="B364" t="s">
        <v>457</v>
      </c>
      <c r="C364" t="s">
        <v>911</v>
      </c>
      <c r="D364" t="s">
        <v>1344</v>
      </c>
      <c r="E364" t="s">
        <v>61</v>
      </c>
      <c r="F364">
        <v>30.389140000000001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536800889.06452203</v>
      </c>
      <c r="L364">
        <v>465323599.11387801</v>
      </c>
      <c r="M364">
        <v>539333515.81324399</v>
      </c>
      <c r="N364">
        <v>517929623.66554099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25</v>
      </c>
      <c r="AX364" t="s">
        <v>1460</v>
      </c>
      <c r="AY364" t="s">
        <v>1480</v>
      </c>
      <c r="AZ364">
        <v>236</v>
      </c>
    </row>
    <row r="365" spans="1:52" x14ac:dyDescent="0.25">
      <c r="A365">
        <v>397</v>
      </c>
      <c r="B365" t="s">
        <v>458</v>
      </c>
      <c r="C365" t="s">
        <v>912</v>
      </c>
      <c r="D365" t="s">
        <v>1345</v>
      </c>
      <c r="E365" t="s">
        <v>61</v>
      </c>
      <c r="F365">
        <v>135.86789999999999</v>
      </c>
      <c r="G365">
        <v>212677190</v>
      </c>
      <c r="H365" t="s">
        <v>1437</v>
      </c>
      <c r="I365">
        <v>28896</v>
      </c>
      <c r="J365">
        <v>325371706.59852803</v>
      </c>
      <c r="K365">
        <v>404523907.31984901</v>
      </c>
      <c r="L365">
        <v>472277025.18454599</v>
      </c>
      <c r="M365">
        <v>546905353.50489604</v>
      </c>
      <c r="N365">
        <v>322424630.10448402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79</v>
      </c>
      <c r="AX365" t="s">
        <v>1460</v>
      </c>
      <c r="AY365" t="s">
        <v>1480</v>
      </c>
      <c r="AZ365">
        <v>81</v>
      </c>
    </row>
    <row r="366" spans="1:52" x14ac:dyDescent="0.25">
      <c r="A366">
        <v>398</v>
      </c>
      <c r="B366" t="s">
        <v>459</v>
      </c>
      <c r="C366" t="s">
        <v>913</v>
      </c>
      <c r="D366" t="s">
        <v>1346</v>
      </c>
      <c r="E366" t="s">
        <v>61</v>
      </c>
      <c r="F366">
        <v>70.745859999999993</v>
      </c>
      <c r="G366">
        <v>652472400</v>
      </c>
      <c r="H366" t="s">
        <v>1436</v>
      </c>
      <c r="I366">
        <v>46159.73</v>
      </c>
      <c r="J366">
        <v>255359628.15626201</v>
      </c>
      <c r="K366">
        <v>303203575.60692602</v>
      </c>
      <c r="L366">
        <v>245321599.11834899</v>
      </c>
      <c r="M366">
        <v>284119161.65436202</v>
      </c>
      <c r="N366">
        <v>284230101.80367702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215</v>
      </c>
      <c r="AU366" t="s">
        <v>1457</v>
      </c>
      <c r="AX366" t="s">
        <v>1463</v>
      </c>
      <c r="AY366" t="s">
        <v>1481</v>
      </c>
    </row>
    <row r="367" spans="1:52" x14ac:dyDescent="0.25">
      <c r="A367">
        <v>399</v>
      </c>
      <c r="B367" t="s">
        <v>460</v>
      </c>
      <c r="C367" t="s">
        <v>914</v>
      </c>
      <c r="D367" t="s">
        <v>1347</v>
      </c>
      <c r="E367" t="s">
        <v>61</v>
      </c>
      <c r="F367">
        <v>756.74180000000001</v>
      </c>
      <c r="G367">
        <v>208000000</v>
      </c>
      <c r="H367" t="s">
        <v>1436</v>
      </c>
      <c r="I367">
        <v>157402.29999999999</v>
      </c>
      <c r="J367">
        <v>1439262491.4648099</v>
      </c>
      <c r="K367">
        <v>1390415962.8743899</v>
      </c>
      <c r="L367">
        <v>1234419009.8475299</v>
      </c>
      <c r="M367">
        <v>1432352579.9279699</v>
      </c>
      <c r="N367">
        <v>1319453139.84973</v>
      </c>
      <c r="O367" t="s">
        <v>59</v>
      </c>
      <c r="P367">
        <v>1</v>
      </c>
      <c r="Q367">
        <v>1.0900000000000001</v>
      </c>
      <c r="R367">
        <v>68.09</v>
      </c>
      <c r="S367">
        <v>0.81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</v>
      </c>
      <c r="AG367">
        <v>0</v>
      </c>
      <c r="AH367">
        <v>0</v>
      </c>
      <c r="AI367">
        <v>123</v>
      </c>
      <c r="AX367" t="s">
        <v>1460</v>
      </c>
      <c r="AY367" t="s">
        <v>1480</v>
      </c>
      <c r="AZ367">
        <v>10</v>
      </c>
    </row>
    <row r="368" spans="1:52" x14ac:dyDescent="0.25">
      <c r="A368">
        <v>400</v>
      </c>
      <c r="B368" t="s">
        <v>461</v>
      </c>
      <c r="C368" t="s">
        <v>915</v>
      </c>
      <c r="D368" t="s">
        <v>1348</v>
      </c>
      <c r="E368" t="s">
        <v>61</v>
      </c>
      <c r="F368">
        <v>318.25400000000002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567088607.58996201</v>
      </c>
      <c r="L368">
        <v>536220066.016882</v>
      </c>
      <c r="M368">
        <v>622296849.14720798</v>
      </c>
      <c r="N368">
        <v>568338317.06417894</v>
      </c>
      <c r="O368" t="s">
        <v>59</v>
      </c>
      <c r="P368">
        <v>0.95</v>
      </c>
      <c r="Q368">
        <v>1.87</v>
      </c>
      <c r="R368">
        <v>38.520000000000003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212</v>
      </c>
      <c r="AX368" t="s">
        <v>1460</v>
      </c>
      <c r="AY368" t="s">
        <v>1480</v>
      </c>
      <c r="AZ368">
        <v>273</v>
      </c>
    </row>
    <row r="369" spans="1:52" x14ac:dyDescent="0.25">
      <c r="A369">
        <v>401</v>
      </c>
      <c r="B369" t="s">
        <v>462</v>
      </c>
      <c r="C369" t="s">
        <v>916</v>
      </c>
      <c r="D369" t="s">
        <v>1349</v>
      </c>
      <c r="E369" t="s">
        <v>61</v>
      </c>
      <c r="F369">
        <v>121.27500000000001</v>
      </c>
      <c r="G369">
        <v>1220418800</v>
      </c>
      <c r="H369" t="s">
        <v>1437</v>
      </c>
      <c r="I369">
        <v>148006.20000000001</v>
      </c>
      <c r="J369">
        <v>1254706081.0016201</v>
      </c>
      <c r="K369">
        <v>1034282724.78741</v>
      </c>
      <c r="L369">
        <v>883462221.34472501</v>
      </c>
      <c r="M369">
        <v>1024258091.17098</v>
      </c>
      <c r="N369">
        <v>860887730.00689995</v>
      </c>
      <c r="O369" t="s">
        <v>58</v>
      </c>
      <c r="P369">
        <v>1</v>
      </c>
      <c r="Q369">
        <v>4.6100000000000003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422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 x14ac:dyDescent="0.25">
      <c r="A370">
        <v>402</v>
      </c>
      <c r="B370" t="s">
        <v>463</v>
      </c>
      <c r="C370" t="s">
        <v>917</v>
      </c>
      <c r="D370" t="s">
        <v>1350</v>
      </c>
      <c r="E370" t="s">
        <v>61</v>
      </c>
      <c r="F370">
        <v>150.67420000000001</v>
      </c>
      <c r="G370">
        <v>326484770</v>
      </c>
      <c r="H370" t="s">
        <v>1436</v>
      </c>
      <c r="I370">
        <v>49192.83</v>
      </c>
      <c r="J370">
        <v>220375917.40944499</v>
      </c>
      <c r="K370">
        <v>246971907.32652</v>
      </c>
      <c r="L370">
        <v>213051425.68485701</v>
      </c>
      <c r="M370">
        <v>246862429.35340801</v>
      </c>
      <c r="N370">
        <v>237834268.81665099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251</v>
      </c>
      <c r="AX370" t="s">
        <v>1460</v>
      </c>
      <c r="AY370" t="s">
        <v>1480</v>
      </c>
      <c r="AZ370">
        <v>135</v>
      </c>
    </row>
    <row r="371" spans="1:52" x14ac:dyDescent="0.25">
      <c r="A371">
        <v>403</v>
      </c>
      <c r="B371" t="s">
        <v>464</v>
      </c>
      <c r="C371" t="s">
        <v>918</v>
      </c>
      <c r="D371" t="s">
        <v>1351</v>
      </c>
      <c r="E371" t="s">
        <v>61</v>
      </c>
      <c r="F371">
        <v>38.999830000000003</v>
      </c>
      <c r="G371">
        <v>522125060</v>
      </c>
      <c r="H371" t="s">
        <v>1436</v>
      </c>
      <c r="I371">
        <v>20362.79</v>
      </c>
      <c r="J371">
        <v>155759769.86762401</v>
      </c>
      <c r="K371">
        <v>152094718.10509101</v>
      </c>
      <c r="L371">
        <v>144351740.34530401</v>
      </c>
      <c r="M371">
        <v>167428893.72723699</v>
      </c>
      <c r="N371">
        <v>165678546.928574</v>
      </c>
      <c r="O371" t="s">
        <v>59</v>
      </c>
      <c r="P371">
        <v>1</v>
      </c>
      <c r="Q371">
        <v>4.0199999999999996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407</v>
      </c>
      <c r="AW371" t="s">
        <v>1459</v>
      </c>
      <c r="AX371" t="s">
        <v>1461</v>
      </c>
      <c r="AY371" t="s">
        <v>1481</v>
      </c>
    </row>
    <row r="372" spans="1:52" x14ac:dyDescent="0.25">
      <c r="A372">
        <v>404</v>
      </c>
      <c r="B372" t="s">
        <v>465</v>
      </c>
      <c r="C372" t="s">
        <v>919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66054958.066767298</v>
      </c>
      <c r="K372">
        <v>107682547.376425</v>
      </c>
      <c r="L372">
        <v>90612850.300816193</v>
      </c>
      <c r="M372">
        <v>105030843.77765299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205</v>
      </c>
      <c r="AX372" t="s">
        <v>1460</v>
      </c>
      <c r="AY372" t="s">
        <v>1480</v>
      </c>
      <c r="AZ372">
        <v>244</v>
      </c>
    </row>
    <row r="373" spans="1:52" x14ac:dyDescent="0.25">
      <c r="A373">
        <v>405</v>
      </c>
      <c r="B373" t="s">
        <v>466</v>
      </c>
      <c r="C373" t="s">
        <v>920</v>
      </c>
      <c r="D373" t="s">
        <v>1353</v>
      </c>
      <c r="E373" t="s">
        <v>61</v>
      </c>
      <c r="F373">
        <v>167.95529999999999</v>
      </c>
      <c r="G373">
        <v>333658000</v>
      </c>
      <c r="H373" t="s">
        <v>1436</v>
      </c>
      <c r="I373">
        <v>56039.62</v>
      </c>
      <c r="J373">
        <v>686162145.77663696</v>
      </c>
      <c r="K373">
        <v>805541939.59259903</v>
      </c>
      <c r="L373">
        <v>759710835.11577201</v>
      </c>
      <c r="M373">
        <v>878779636.99945998</v>
      </c>
      <c r="N373">
        <v>841293920.76285899</v>
      </c>
      <c r="O373" t="s">
        <v>59</v>
      </c>
      <c r="P373">
        <v>1</v>
      </c>
      <c r="Q373">
        <v>9.0500000000000007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450</v>
      </c>
      <c r="AW373" t="s">
        <v>1459</v>
      </c>
      <c r="AX373" t="s">
        <v>1461</v>
      </c>
      <c r="AY373" t="s">
        <v>1481</v>
      </c>
    </row>
    <row r="374" spans="1:52" x14ac:dyDescent="0.25">
      <c r="A374">
        <v>406</v>
      </c>
      <c r="B374" t="s">
        <v>467</v>
      </c>
      <c r="C374" t="s">
        <v>921</v>
      </c>
      <c r="D374" t="s">
        <v>1354</v>
      </c>
      <c r="E374" t="s">
        <v>61</v>
      </c>
      <c r="F374">
        <v>21.351769999999998</v>
      </c>
      <c r="G374">
        <v>1185385500</v>
      </c>
      <c r="H374" t="s">
        <v>1437</v>
      </c>
      <c r="I374">
        <v>25310.07</v>
      </c>
      <c r="J374">
        <v>1179643778.8845999</v>
      </c>
      <c r="K374">
        <v>919970535.35678601</v>
      </c>
      <c r="L374">
        <v>1177652748.0999601</v>
      </c>
      <c r="M374">
        <v>1366451164.6008201</v>
      </c>
      <c r="N374">
        <v>747270385.48012996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385</v>
      </c>
      <c r="AW374" t="s">
        <v>1459</v>
      </c>
      <c r="AX374" t="s">
        <v>1461</v>
      </c>
      <c r="AY374" t="s">
        <v>1481</v>
      </c>
    </row>
    <row r="375" spans="1:52" x14ac:dyDescent="0.25">
      <c r="A375">
        <v>407</v>
      </c>
      <c r="B375" t="s">
        <v>468</v>
      </c>
      <c r="C375" t="s">
        <v>922</v>
      </c>
      <c r="D375" t="s">
        <v>1355</v>
      </c>
      <c r="E375" t="s">
        <v>61</v>
      </c>
      <c r="F375">
        <v>71.505380000000002</v>
      </c>
      <c r="G375">
        <v>209888100</v>
      </c>
      <c r="H375" t="s">
        <v>1436</v>
      </c>
      <c r="I375">
        <v>15008.13</v>
      </c>
      <c r="J375">
        <v>195514755.05073801</v>
      </c>
      <c r="K375">
        <v>184200958.27924201</v>
      </c>
      <c r="L375">
        <v>151667731.24068001</v>
      </c>
      <c r="M375">
        <v>176011394.78412399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315</v>
      </c>
      <c r="AX375" t="s">
        <v>1460</v>
      </c>
      <c r="AY375" t="s">
        <v>1480</v>
      </c>
      <c r="AZ375">
        <v>279</v>
      </c>
    </row>
    <row r="376" spans="1:52" x14ac:dyDescent="0.25">
      <c r="A376">
        <v>408</v>
      </c>
      <c r="B376" t="s">
        <v>469</v>
      </c>
      <c r="C376" t="s">
        <v>923</v>
      </c>
      <c r="D376" t="s">
        <v>1356</v>
      </c>
      <c r="E376" t="s">
        <v>61</v>
      </c>
      <c r="F376">
        <v>80.628100000000003</v>
      </c>
      <c r="G376">
        <v>1100047400</v>
      </c>
      <c r="H376" t="s">
        <v>1436</v>
      </c>
      <c r="I376">
        <v>88694.73</v>
      </c>
      <c r="J376">
        <v>402544333.90726799</v>
      </c>
      <c r="K376">
        <v>418316459.26997399</v>
      </c>
      <c r="L376">
        <v>421945343.09113598</v>
      </c>
      <c r="M376">
        <v>488802800.688811</v>
      </c>
      <c r="N376">
        <v>390919098.05929202</v>
      </c>
      <c r="O376" t="s">
        <v>59</v>
      </c>
      <c r="P376">
        <v>1</v>
      </c>
      <c r="Q376">
        <v>2.67</v>
      </c>
      <c r="R376">
        <v>42.46</v>
      </c>
      <c r="S376">
        <v>0.94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0.49630000000000002</v>
      </c>
      <c r="AF376">
        <v>0.94</v>
      </c>
      <c r="AG376">
        <v>0</v>
      </c>
      <c r="AH376">
        <v>0.49630000000000002</v>
      </c>
      <c r="AI376">
        <v>326</v>
      </c>
      <c r="AU376" t="s">
        <v>1457</v>
      </c>
      <c r="AX376" t="s">
        <v>1463</v>
      </c>
      <c r="AY376" t="s">
        <v>1481</v>
      </c>
    </row>
    <row r="377" spans="1:52" x14ac:dyDescent="0.25">
      <c r="A377">
        <v>409</v>
      </c>
      <c r="B377" t="s">
        <v>470</v>
      </c>
      <c r="C377" t="s">
        <v>924</v>
      </c>
      <c r="D377" t="s">
        <v>1357</v>
      </c>
      <c r="E377" t="s">
        <v>61</v>
      </c>
      <c r="F377">
        <v>591.38930000000005</v>
      </c>
      <c r="G377">
        <v>205777760</v>
      </c>
      <c r="H377" t="s">
        <v>1436</v>
      </c>
      <c r="I377">
        <v>121694.8</v>
      </c>
      <c r="J377">
        <v>1122952193.8663499</v>
      </c>
      <c r="K377">
        <v>1314041708.1273201</v>
      </c>
      <c r="L377">
        <v>1206825374.5055001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380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 x14ac:dyDescent="0.25">
      <c r="A378">
        <v>410</v>
      </c>
      <c r="B378" t="s">
        <v>471</v>
      </c>
      <c r="C378" t="s">
        <v>925</v>
      </c>
      <c r="D378" t="s">
        <v>1358</v>
      </c>
      <c r="E378" t="s">
        <v>61</v>
      </c>
      <c r="F378">
        <v>76.975589999999997</v>
      </c>
      <c r="G378">
        <v>244220640</v>
      </c>
      <c r="H378" t="s">
        <v>1437</v>
      </c>
      <c r="I378">
        <v>18799.03</v>
      </c>
      <c r="J378">
        <v>91723714.161249399</v>
      </c>
      <c r="K378">
        <v>98841666.557788298</v>
      </c>
      <c r="L378">
        <v>82395587.363482997</v>
      </c>
      <c r="M378">
        <v>95581523.615396097</v>
      </c>
      <c r="N378">
        <v>97030199.914851204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300</v>
      </c>
      <c r="AX378" t="s">
        <v>1460</v>
      </c>
      <c r="AY378" t="s">
        <v>1480</v>
      </c>
      <c r="AZ378">
        <v>192</v>
      </c>
    </row>
    <row r="379" spans="1:52" x14ac:dyDescent="0.25">
      <c r="A379">
        <v>411</v>
      </c>
      <c r="B379" t="s">
        <v>472</v>
      </c>
      <c r="C379" t="s">
        <v>926</v>
      </c>
      <c r="D379" t="s">
        <v>1359</v>
      </c>
      <c r="E379" t="s">
        <v>61</v>
      </c>
      <c r="F379">
        <v>75.422420000000002</v>
      </c>
      <c r="G379">
        <v>1136700000</v>
      </c>
      <c r="H379" t="s">
        <v>1437</v>
      </c>
      <c r="I379">
        <v>85732.68</v>
      </c>
      <c r="J379">
        <v>636915697.35702097</v>
      </c>
      <c r="K379">
        <v>859532311.226753</v>
      </c>
      <c r="L379">
        <v>743306572.178563</v>
      </c>
      <c r="M379">
        <v>860607039.213238</v>
      </c>
      <c r="N379">
        <v>841949387.04402304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88</v>
      </c>
      <c r="AX379" t="s">
        <v>1460</v>
      </c>
      <c r="AY379" t="s">
        <v>1480</v>
      </c>
      <c r="AZ379">
        <v>199</v>
      </c>
    </row>
    <row r="380" spans="1:52" x14ac:dyDescent="0.25">
      <c r="A380">
        <v>412</v>
      </c>
      <c r="B380" t="s">
        <v>473</v>
      </c>
      <c r="C380" t="s">
        <v>927</v>
      </c>
      <c r="D380" t="s">
        <v>1360</v>
      </c>
      <c r="E380" t="s">
        <v>61</v>
      </c>
      <c r="F380">
        <v>98.549239999999998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178639796.68801799</v>
      </c>
      <c r="M380">
        <v>207279250.12796301</v>
      </c>
      <c r="N380">
        <v>182679640.46636701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100</v>
      </c>
      <c r="AX380" t="s">
        <v>1460</v>
      </c>
      <c r="AY380" t="s">
        <v>1480</v>
      </c>
      <c r="AZ380">
        <v>74</v>
      </c>
    </row>
    <row r="381" spans="1:52" x14ac:dyDescent="0.25">
      <c r="A381">
        <v>413</v>
      </c>
      <c r="B381" t="s">
        <v>474</v>
      </c>
      <c r="C381" t="s">
        <v>928</v>
      </c>
      <c r="D381" t="s">
        <v>1361</v>
      </c>
      <c r="E381" t="s">
        <v>61</v>
      </c>
      <c r="F381">
        <v>113.22750000000001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178138183.38273999</v>
      </c>
      <c r="L381">
        <v>162606694.37665901</v>
      </c>
      <c r="M381">
        <v>188265487.45707399</v>
      </c>
      <c r="N381">
        <v>179736453.59659201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281</v>
      </c>
      <c r="AX381" t="s">
        <v>1460</v>
      </c>
      <c r="AY381" t="s">
        <v>1480</v>
      </c>
      <c r="AZ381">
        <v>235</v>
      </c>
    </row>
    <row r="382" spans="1:52" x14ac:dyDescent="0.25">
      <c r="A382">
        <v>414</v>
      </c>
      <c r="B382" t="s">
        <v>475</v>
      </c>
      <c r="C382" t="s">
        <v>929</v>
      </c>
      <c r="D382" t="s">
        <v>1362</v>
      </c>
      <c r="E382" t="s">
        <v>61</v>
      </c>
      <c r="F382">
        <v>214.94280000000001</v>
      </c>
      <c r="G382">
        <v>98490610</v>
      </c>
      <c r="H382" t="s">
        <v>1436</v>
      </c>
      <c r="I382">
        <v>21169.85</v>
      </c>
      <c r="J382">
        <v>111316463.56344201</v>
      </c>
      <c r="K382">
        <v>128415504.59678601</v>
      </c>
      <c r="L382">
        <v>119953181.068809</v>
      </c>
      <c r="M382">
        <v>138996573.67126101</v>
      </c>
      <c r="N382">
        <v>118311382.268971</v>
      </c>
      <c r="O382" t="s">
        <v>59</v>
      </c>
      <c r="P382">
        <v>1</v>
      </c>
      <c r="Q382">
        <v>4.1500000000000004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413</v>
      </c>
      <c r="AW382" t="s">
        <v>1459</v>
      </c>
      <c r="AX382" t="s">
        <v>1461</v>
      </c>
      <c r="AY382" t="s">
        <v>1481</v>
      </c>
    </row>
    <row r="383" spans="1:52" x14ac:dyDescent="0.25">
      <c r="A383">
        <v>415</v>
      </c>
      <c r="B383" t="s">
        <v>476</v>
      </c>
      <c r="C383" t="s">
        <v>930</v>
      </c>
      <c r="D383" t="s">
        <v>1363</v>
      </c>
      <c r="E383" t="s">
        <v>61</v>
      </c>
      <c r="F383">
        <v>305.62380000000002</v>
      </c>
      <c r="G383">
        <v>263912700</v>
      </c>
      <c r="H383" t="s">
        <v>1437</v>
      </c>
      <c r="I383">
        <v>80658.009999999995</v>
      </c>
      <c r="J383">
        <v>3789177386.5555301</v>
      </c>
      <c r="K383">
        <v>4608543440.5853701</v>
      </c>
      <c r="L383">
        <v>3944870376.3766098</v>
      </c>
      <c r="M383">
        <v>4575841426.8906202</v>
      </c>
      <c r="N383">
        <v>5403323383.1579704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281</v>
      </c>
      <c r="AX383" t="s">
        <v>1460</v>
      </c>
      <c r="AY383" t="s">
        <v>1480</v>
      </c>
      <c r="AZ383">
        <v>258</v>
      </c>
    </row>
    <row r="384" spans="1:52" x14ac:dyDescent="0.25">
      <c r="A384">
        <v>416</v>
      </c>
      <c r="B384" t="s">
        <v>477</v>
      </c>
      <c r="C384" t="s">
        <v>931</v>
      </c>
      <c r="D384" t="s">
        <v>1364</v>
      </c>
      <c r="E384" t="s">
        <v>61</v>
      </c>
      <c r="F384">
        <v>336.42259999999999</v>
      </c>
      <c r="G384">
        <v>382307300</v>
      </c>
      <c r="H384" t="s">
        <v>1436</v>
      </c>
      <c r="I384">
        <v>128616.8</v>
      </c>
      <c r="J384">
        <v>406615467.74999398</v>
      </c>
      <c r="K384">
        <v>483275628.86497599</v>
      </c>
      <c r="L384">
        <v>412930608.82059801</v>
      </c>
      <c r="M384">
        <v>478705203.35451502</v>
      </c>
      <c r="N384">
        <v>457834281.63795298</v>
      </c>
      <c r="O384" t="s">
        <v>59</v>
      </c>
      <c r="P384">
        <v>0.95</v>
      </c>
      <c r="Q384">
        <v>39.770000000000003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458</v>
      </c>
      <c r="AW384" t="s">
        <v>1459</v>
      </c>
      <c r="AX384" t="s">
        <v>1461</v>
      </c>
      <c r="AY384" t="s">
        <v>1481</v>
      </c>
    </row>
    <row r="385" spans="1:52" x14ac:dyDescent="0.25">
      <c r="A385">
        <v>419</v>
      </c>
      <c r="B385" t="s">
        <v>478</v>
      </c>
      <c r="C385" t="s">
        <v>932</v>
      </c>
      <c r="D385" t="s">
        <v>1365</v>
      </c>
      <c r="E385" t="s">
        <v>61</v>
      </c>
      <c r="F385">
        <v>37.446660000000001</v>
      </c>
      <c r="G385">
        <v>596817600</v>
      </c>
      <c r="H385" t="s">
        <v>1437</v>
      </c>
      <c r="I385">
        <v>22348.83</v>
      </c>
      <c r="J385">
        <v>1482525595.8893001</v>
      </c>
      <c r="K385">
        <v>1926001256.6494999</v>
      </c>
      <c r="L385">
        <v>1605664208.1080999</v>
      </c>
      <c r="M385">
        <v>1861470766.5746601</v>
      </c>
      <c r="N385">
        <v>2407384339.6690102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446</v>
      </c>
      <c r="AW385" t="s">
        <v>1459</v>
      </c>
      <c r="AX385" t="s">
        <v>1461</v>
      </c>
      <c r="AY385" t="s">
        <v>1481</v>
      </c>
    </row>
    <row r="386" spans="1:52" x14ac:dyDescent="0.25">
      <c r="A386">
        <v>420</v>
      </c>
      <c r="B386" t="s">
        <v>479</v>
      </c>
      <c r="C386" t="s">
        <v>933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186624023.93588001</v>
      </c>
      <c r="K386">
        <v>214391285.02939501</v>
      </c>
      <c r="L386">
        <v>192450826.38228399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0.56000000000000005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0.56000000000000005</v>
      </c>
      <c r="AG386">
        <v>0</v>
      </c>
      <c r="AH386">
        <v>0</v>
      </c>
      <c r="AI386">
        <v>321</v>
      </c>
      <c r="AJ386" t="s">
        <v>1446</v>
      </c>
      <c r="AX386" t="s">
        <v>1462</v>
      </c>
      <c r="AY386" t="s">
        <v>1481</v>
      </c>
    </row>
    <row r="387" spans="1:52" x14ac:dyDescent="0.25">
      <c r="A387">
        <v>421</v>
      </c>
      <c r="B387" t="s">
        <v>480</v>
      </c>
      <c r="C387" t="s">
        <v>934</v>
      </c>
      <c r="D387" t="s">
        <v>1367</v>
      </c>
      <c r="E387" t="s">
        <v>61</v>
      </c>
      <c r="F387">
        <v>517.59690000000001</v>
      </c>
      <c r="G387">
        <v>185043640</v>
      </c>
      <c r="H387" t="s">
        <v>1437</v>
      </c>
      <c r="I387">
        <v>95778</v>
      </c>
      <c r="J387">
        <v>559775706.38843799</v>
      </c>
      <c r="K387">
        <v>675363486.80904996</v>
      </c>
      <c r="L387">
        <v>821254048.485677</v>
      </c>
      <c r="M387">
        <v>951688154.27294397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194</v>
      </c>
      <c r="AX387" t="s">
        <v>1460</v>
      </c>
      <c r="AY387" t="s">
        <v>1480</v>
      </c>
      <c r="AZ387">
        <v>71</v>
      </c>
    </row>
    <row r="388" spans="1:52" x14ac:dyDescent="0.25">
      <c r="A388">
        <v>422</v>
      </c>
      <c r="B388" t="s">
        <v>481</v>
      </c>
      <c r="C388" t="s">
        <v>935</v>
      </c>
      <c r="D388" t="s">
        <v>1368</v>
      </c>
      <c r="E388" t="s">
        <v>61</v>
      </c>
      <c r="F388">
        <v>68.518519999999995</v>
      </c>
      <c r="G388">
        <v>478212370</v>
      </c>
      <c r="H388" t="s">
        <v>1436</v>
      </c>
      <c r="I388">
        <v>32766.400000000001</v>
      </c>
      <c r="J388">
        <v>216732546.57952499</v>
      </c>
      <c r="K388">
        <v>212066065.31446999</v>
      </c>
      <c r="L388">
        <v>197948167.36036</v>
      </c>
      <c r="M388">
        <v>229413646.22043699</v>
      </c>
      <c r="N388">
        <v>224186785.42266199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393</v>
      </c>
      <c r="AW388" t="s">
        <v>1459</v>
      </c>
      <c r="AX388" t="s">
        <v>1461</v>
      </c>
      <c r="AY388" t="s">
        <v>1481</v>
      </c>
    </row>
    <row r="389" spans="1:52" x14ac:dyDescent="0.25">
      <c r="A389">
        <v>423</v>
      </c>
      <c r="B389" t="s">
        <v>482</v>
      </c>
      <c r="C389" t="s">
        <v>936</v>
      </c>
      <c r="D389" t="s">
        <v>1369</v>
      </c>
      <c r="E389" t="s">
        <v>61</v>
      </c>
      <c r="F389">
        <v>92.413380000000004</v>
      </c>
      <c r="G389">
        <v>219715240</v>
      </c>
      <c r="H389" t="s">
        <v>1437</v>
      </c>
      <c r="I389">
        <v>20304.63</v>
      </c>
      <c r="J389">
        <v>110854488.46689799</v>
      </c>
      <c r="K389">
        <v>157245515.25165701</v>
      </c>
      <c r="L389">
        <v>130743223.840482</v>
      </c>
      <c r="M389">
        <v>151536730.24213001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0.94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0.94</v>
      </c>
      <c r="AG389">
        <v>0</v>
      </c>
      <c r="AH389">
        <v>0</v>
      </c>
      <c r="AI389">
        <v>131</v>
      </c>
      <c r="AX389" t="s">
        <v>1460</v>
      </c>
      <c r="AY389" t="s">
        <v>1480</v>
      </c>
      <c r="AZ389">
        <v>198</v>
      </c>
    </row>
    <row r="390" spans="1:52" x14ac:dyDescent="0.25">
      <c r="A390">
        <v>424</v>
      </c>
      <c r="B390" t="s">
        <v>483</v>
      </c>
      <c r="C390" t="s">
        <v>937</v>
      </c>
      <c r="D390" t="s">
        <v>1370</v>
      </c>
      <c r="E390" t="s">
        <v>61</v>
      </c>
      <c r="F390">
        <v>195.45140000000001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409932980.29954302</v>
      </c>
      <c r="L390">
        <v>391519450.362795</v>
      </c>
      <c r="M390">
        <v>453665257.48133701</v>
      </c>
      <c r="N390">
        <v>333073110.21142298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261</v>
      </c>
      <c r="AX390" t="s">
        <v>1460</v>
      </c>
      <c r="AY390" t="s">
        <v>1480</v>
      </c>
      <c r="AZ390">
        <v>220</v>
      </c>
    </row>
    <row r="391" spans="1:52" x14ac:dyDescent="0.25">
      <c r="A391">
        <v>425</v>
      </c>
      <c r="B391" t="s">
        <v>484</v>
      </c>
      <c r="C391" t="s">
        <v>938</v>
      </c>
      <c r="D391" t="s">
        <v>1371</v>
      </c>
      <c r="E391" t="s">
        <v>61</v>
      </c>
      <c r="F391">
        <v>85.048649999999995</v>
      </c>
      <c r="G391">
        <v>208123630</v>
      </c>
      <c r="H391" t="s">
        <v>1436</v>
      </c>
      <c r="I391">
        <v>17700.63</v>
      </c>
      <c r="J391">
        <v>444740316.60313201</v>
      </c>
      <c r="K391">
        <v>353790536.05138397</v>
      </c>
      <c r="L391">
        <v>328232575.49646097</v>
      </c>
      <c r="M391">
        <v>381114831.11565202</v>
      </c>
      <c r="N391">
        <v>300375980.96032703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350</v>
      </c>
      <c r="AX391" t="s">
        <v>1460</v>
      </c>
      <c r="AY391" t="s">
        <v>1480</v>
      </c>
      <c r="AZ391">
        <v>164</v>
      </c>
    </row>
    <row r="392" spans="1:52" x14ac:dyDescent="0.25">
      <c r="A392">
        <v>426</v>
      </c>
      <c r="B392" t="s">
        <v>485</v>
      </c>
      <c r="C392" t="s">
        <v>939</v>
      </c>
      <c r="D392" t="s">
        <v>1372</v>
      </c>
      <c r="E392" t="s">
        <v>61</v>
      </c>
      <c r="F392">
        <v>139.32409999999999</v>
      </c>
      <c r="G392">
        <v>215191850</v>
      </c>
      <c r="H392" t="s">
        <v>1436</v>
      </c>
      <c r="I392">
        <v>29981.41</v>
      </c>
      <c r="J392">
        <v>228367037.70597199</v>
      </c>
      <c r="K392">
        <v>299361210.28322798</v>
      </c>
      <c r="L392">
        <v>238139108.80672801</v>
      </c>
      <c r="M392">
        <v>275753033.80589402</v>
      </c>
      <c r="N392">
        <v>290070439.45277601</v>
      </c>
      <c r="O392" t="s">
        <v>59</v>
      </c>
      <c r="P392">
        <v>1</v>
      </c>
      <c r="Q392">
        <v>1.89</v>
      </c>
      <c r="R392">
        <v>39.229999999999997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215</v>
      </c>
      <c r="AX392" t="s">
        <v>1460</v>
      </c>
      <c r="AY392" t="s">
        <v>1480</v>
      </c>
      <c r="AZ392">
        <v>268</v>
      </c>
    </row>
    <row r="393" spans="1:52" x14ac:dyDescent="0.25">
      <c r="A393">
        <v>427</v>
      </c>
      <c r="B393" t="s">
        <v>486</v>
      </c>
      <c r="C393" t="s">
        <v>940</v>
      </c>
      <c r="D393" t="s">
        <v>1373</v>
      </c>
      <c r="E393" t="s">
        <v>61</v>
      </c>
      <c r="F393">
        <v>84.690219999999997</v>
      </c>
      <c r="G393">
        <v>454365900</v>
      </c>
      <c r="H393" t="s">
        <v>1436</v>
      </c>
      <c r="I393">
        <v>38480.339999999997</v>
      </c>
      <c r="J393">
        <v>745178309.276016</v>
      </c>
      <c r="K393">
        <v>692795372.35887206</v>
      </c>
      <c r="L393">
        <v>561894223.04160202</v>
      </c>
      <c r="M393">
        <v>651486722.64877498</v>
      </c>
      <c r="N393">
        <v>694479354.29501998</v>
      </c>
      <c r="O393" t="s">
        <v>59</v>
      </c>
      <c r="P393">
        <v>1</v>
      </c>
      <c r="Q393">
        <v>0.57999999999999996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50</v>
      </c>
      <c r="AX393" t="s">
        <v>1460</v>
      </c>
      <c r="AY393" t="s">
        <v>1480</v>
      </c>
      <c r="AZ393">
        <v>124</v>
      </c>
    </row>
    <row r="394" spans="1:52" x14ac:dyDescent="0.25">
      <c r="A394">
        <v>429</v>
      </c>
      <c r="B394" t="s">
        <v>487</v>
      </c>
      <c r="C394" t="s">
        <v>941</v>
      </c>
      <c r="D394" t="s">
        <v>1374</v>
      </c>
      <c r="E394" t="s">
        <v>61</v>
      </c>
      <c r="F394">
        <v>174.94450000000001</v>
      </c>
      <c r="G394">
        <v>295481480</v>
      </c>
      <c r="H394" t="s">
        <v>1436</v>
      </c>
      <c r="I394">
        <v>51692.87</v>
      </c>
      <c r="J394">
        <v>279519722.54118699</v>
      </c>
      <c r="K394">
        <v>271979137.53491902</v>
      </c>
      <c r="L394">
        <v>287699041.61490399</v>
      </c>
      <c r="M394">
        <v>333806467.57827598</v>
      </c>
      <c r="N394">
        <v>246270254.47034499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199</v>
      </c>
      <c r="AX394" t="s">
        <v>1460</v>
      </c>
      <c r="AY394" t="s">
        <v>1480</v>
      </c>
      <c r="AZ394">
        <v>128</v>
      </c>
    </row>
    <row r="395" spans="1:52" x14ac:dyDescent="0.25">
      <c r="A395">
        <v>430</v>
      </c>
      <c r="B395" t="s">
        <v>488</v>
      </c>
      <c r="C395" t="s">
        <v>942</v>
      </c>
      <c r="D395" t="s">
        <v>1375</v>
      </c>
      <c r="E395" t="s">
        <v>61</v>
      </c>
      <c r="F395">
        <v>470.26799999999997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155570404.41613999</v>
      </c>
      <c r="L395">
        <v>173711072.04628599</v>
      </c>
      <c r="M395">
        <v>201521531.29257199</v>
      </c>
      <c r="N395">
        <v>129483479.78293</v>
      </c>
      <c r="O395" t="s">
        <v>59</v>
      </c>
      <c r="P395">
        <v>1</v>
      </c>
      <c r="Q395">
        <v>2.9</v>
      </c>
      <c r="R395">
        <v>39.659999999999997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348</v>
      </c>
      <c r="AX395" t="s">
        <v>1460</v>
      </c>
      <c r="AY395" t="s">
        <v>1480</v>
      </c>
      <c r="AZ395">
        <v>262</v>
      </c>
    </row>
    <row r="396" spans="1:52" x14ac:dyDescent="0.25">
      <c r="A396">
        <v>432</v>
      </c>
      <c r="B396" t="s">
        <v>489</v>
      </c>
      <c r="C396" t="s">
        <v>943</v>
      </c>
      <c r="D396" t="s">
        <v>1376</v>
      </c>
      <c r="E396" t="s">
        <v>61</v>
      </c>
      <c r="F396">
        <v>98.395629999999997</v>
      </c>
      <c r="G396">
        <v>159073530</v>
      </c>
      <c r="H396" t="s">
        <v>1437</v>
      </c>
      <c r="I396">
        <v>15652.14</v>
      </c>
      <c r="J396">
        <v>334405746.95337999</v>
      </c>
      <c r="K396">
        <v>296188399.90290499</v>
      </c>
      <c r="L396">
        <v>316893160.57971197</v>
      </c>
      <c r="M396">
        <v>367223332.77014399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0.69</v>
      </c>
      <c r="AG396">
        <v>0</v>
      </c>
      <c r="AH396">
        <v>0</v>
      </c>
      <c r="AI396">
        <v>161</v>
      </c>
      <c r="AX396" t="s">
        <v>1460</v>
      </c>
      <c r="AY396" t="s">
        <v>1480</v>
      </c>
      <c r="AZ396">
        <v>207</v>
      </c>
    </row>
    <row r="397" spans="1:52" x14ac:dyDescent="0.25">
      <c r="A397">
        <v>433</v>
      </c>
      <c r="B397" t="s">
        <v>29</v>
      </c>
      <c r="C397" t="s">
        <v>944</v>
      </c>
      <c r="D397" t="s">
        <v>54</v>
      </c>
      <c r="E397" t="s">
        <v>61</v>
      </c>
      <c r="F397">
        <v>290.16039999999998</v>
      </c>
      <c r="G397">
        <v>3225449000</v>
      </c>
      <c r="H397" t="s">
        <v>1437</v>
      </c>
      <c r="I397">
        <v>935897.7</v>
      </c>
      <c r="J397">
        <v>21367950547.258999</v>
      </c>
      <c r="K397">
        <v>29445716543.261101</v>
      </c>
      <c r="L397">
        <v>27999683608.127899</v>
      </c>
      <c r="M397">
        <v>32415370075.7384</v>
      </c>
      <c r="N397">
        <v>27610005889.156399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347</v>
      </c>
      <c r="AX397" t="s">
        <v>1460</v>
      </c>
      <c r="AY397" t="s">
        <v>1480</v>
      </c>
      <c r="AZ397">
        <v>45</v>
      </c>
    </row>
    <row r="398" spans="1:52" x14ac:dyDescent="0.25">
      <c r="A398">
        <v>434</v>
      </c>
      <c r="B398" t="s">
        <v>490</v>
      </c>
      <c r="C398" t="s">
        <v>945</v>
      </c>
      <c r="D398" t="s">
        <v>1377</v>
      </c>
      <c r="E398" t="s">
        <v>61</v>
      </c>
      <c r="F398">
        <v>175.84909999999999</v>
      </c>
      <c r="G398">
        <v>909137150</v>
      </c>
      <c r="H398" t="s">
        <v>1437</v>
      </c>
      <c r="I398">
        <v>159871</v>
      </c>
      <c r="J398">
        <v>978909014.00847495</v>
      </c>
      <c r="K398">
        <v>1206750991.3348</v>
      </c>
      <c r="L398">
        <v>1128612098.6382699</v>
      </c>
      <c r="M398">
        <v>1308731126.78228</v>
      </c>
      <c r="N398">
        <v>1137316856.0325401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398</v>
      </c>
      <c r="AW398" t="s">
        <v>1459</v>
      </c>
      <c r="AX398" t="s">
        <v>1461</v>
      </c>
      <c r="AY398" t="s">
        <v>1481</v>
      </c>
    </row>
    <row r="399" spans="1:52" x14ac:dyDescent="0.25">
      <c r="A399">
        <v>435</v>
      </c>
      <c r="B399" t="s">
        <v>491</v>
      </c>
      <c r="C399" t="s">
        <v>946</v>
      </c>
      <c r="D399" t="s">
        <v>1378</v>
      </c>
      <c r="E399" t="s">
        <v>61</v>
      </c>
      <c r="F399">
        <v>777.97410000000002</v>
      </c>
      <c r="G399">
        <v>22987326</v>
      </c>
      <c r="H399" t="s">
        <v>1436</v>
      </c>
      <c r="I399">
        <v>17883.54</v>
      </c>
      <c r="J399">
        <v>113150273.01441699</v>
      </c>
      <c r="K399">
        <v>144247376.96832401</v>
      </c>
      <c r="L399">
        <v>135563802.83721101</v>
      </c>
      <c r="M399">
        <v>157003775.470384</v>
      </c>
      <c r="N399">
        <v>177387215.41087899</v>
      </c>
      <c r="O399" t="s">
        <v>59</v>
      </c>
      <c r="P399">
        <v>1</v>
      </c>
      <c r="Q399">
        <v>2.21</v>
      </c>
      <c r="R399">
        <v>39.270000000000003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258</v>
      </c>
      <c r="AX399" t="s">
        <v>1460</v>
      </c>
      <c r="AY399" t="s">
        <v>1480</v>
      </c>
      <c r="AZ399">
        <v>266</v>
      </c>
    </row>
    <row r="400" spans="1:52" x14ac:dyDescent="0.25">
      <c r="A400">
        <v>436</v>
      </c>
      <c r="B400" t="s">
        <v>492</v>
      </c>
      <c r="C400" t="s">
        <v>947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941040415.64769495</v>
      </c>
      <c r="K400">
        <v>953554455.25290501</v>
      </c>
      <c r="L400">
        <v>890137433.60251498</v>
      </c>
      <c r="M400">
        <v>1031242039.16255</v>
      </c>
      <c r="N400">
        <v>910980167.371158</v>
      </c>
      <c r="O400" t="s">
        <v>59</v>
      </c>
      <c r="P400">
        <v>1</v>
      </c>
      <c r="Q400">
        <v>1.1100000000000001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125</v>
      </c>
      <c r="AX400" t="s">
        <v>1460</v>
      </c>
      <c r="AY400" t="s">
        <v>1480</v>
      </c>
      <c r="AZ400">
        <v>202</v>
      </c>
    </row>
    <row r="401" spans="1:52" x14ac:dyDescent="0.25">
      <c r="A401">
        <v>437</v>
      </c>
      <c r="B401" t="s">
        <v>493</v>
      </c>
      <c r="C401" t="s">
        <v>948</v>
      </c>
      <c r="D401" t="s">
        <v>1380</v>
      </c>
      <c r="E401" t="s">
        <v>61</v>
      </c>
      <c r="F401">
        <v>426.68540000000002</v>
      </c>
      <c r="G401">
        <v>377612120</v>
      </c>
      <c r="H401" t="s">
        <v>1436</v>
      </c>
      <c r="I401">
        <v>161121.60000000001</v>
      </c>
      <c r="J401">
        <v>830447756.05835104</v>
      </c>
      <c r="K401">
        <v>1016521812.99466</v>
      </c>
      <c r="L401">
        <v>1024025379.81883</v>
      </c>
      <c r="M401">
        <v>1188375770.44368</v>
      </c>
      <c r="N401">
        <v>956768625.45759499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163</v>
      </c>
      <c r="AX401" t="s">
        <v>1460</v>
      </c>
      <c r="AY401" t="s">
        <v>1480</v>
      </c>
      <c r="AZ401">
        <v>47</v>
      </c>
    </row>
    <row r="402" spans="1:52" x14ac:dyDescent="0.25">
      <c r="A402">
        <v>439</v>
      </c>
      <c r="B402" t="s">
        <v>494</v>
      </c>
      <c r="C402" t="s">
        <v>949</v>
      </c>
      <c r="D402" t="s">
        <v>1381</v>
      </c>
      <c r="E402" t="s">
        <v>61</v>
      </c>
      <c r="F402">
        <v>116.52160000000001</v>
      </c>
      <c r="G402">
        <v>1115615600</v>
      </c>
      <c r="H402" t="s">
        <v>1436</v>
      </c>
      <c r="I402">
        <v>129993.3</v>
      </c>
      <c r="J402">
        <v>662575767.02824104</v>
      </c>
      <c r="K402">
        <v>629306749.34710896</v>
      </c>
      <c r="L402">
        <v>582155868.90683401</v>
      </c>
      <c r="M402">
        <v>674558551.098858</v>
      </c>
      <c r="N402">
        <v>581240472.67104101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421</v>
      </c>
      <c r="AW402" t="s">
        <v>1459</v>
      </c>
      <c r="AX402" t="s">
        <v>1461</v>
      </c>
      <c r="AY402" t="s">
        <v>1481</v>
      </c>
    </row>
    <row r="403" spans="1:52" x14ac:dyDescent="0.25">
      <c r="A403">
        <v>440</v>
      </c>
      <c r="B403" t="s">
        <v>495</v>
      </c>
      <c r="C403" t="s">
        <v>950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241977.60000000001</v>
      </c>
      <c r="J403">
        <v>824739859.80586398</v>
      </c>
      <c r="K403">
        <v>969253911.40836895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104</v>
      </c>
      <c r="AX403" t="s">
        <v>1460</v>
      </c>
      <c r="AY403" t="s">
        <v>1480</v>
      </c>
      <c r="AZ403">
        <v>123</v>
      </c>
    </row>
    <row r="404" spans="1:52" x14ac:dyDescent="0.25">
      <c r="A404">
        <v>441</v>
      </c>
      <c r="B404" t="s">
        <v>496</v>
      </c>
      <c r="C404" t="s">
        <v>951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338034849.54999697</v>
      </c>
      <c r="K404">
        <v>272747457.200454</v>
      </c>
      <c r="L404">
        <v>293340381.56318802</v>
      </c>
      <c r="M404">
        <v>340281400.83280998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441</v>
      </c>
      <c r="AW404" t="s">
        <v>1459</v>
      </c>
      <c r="AX404" t="s">
        <v>1461</v>
      </c>
      <c r="AY404" t="s">
        <v>1481</v>
      </c>
    </row>
    <row r="405" spans="1:52" x14ac:dyDescent="0.25">
      <c r="A405">
        <v>443</v>
      </c>
      <c r="B405" t="s">
        <v>497</v>
      </c>
      <c r="C405" t="s">
        <v>952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209764178.24553201</v>
      </c>
      <c r="K405">
        <v>265037005.41576099</v>
      </c>
      <c r="L405">
        <v>268982297.58725899</v>
      </c>
      <c r="M405">
        <v>312025555.638179</v>
      </c>
      <c r="N405">
        <v>261623045.05328101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414</v>
      </c>
      <c r="AW405" t="s">
        <v>1459</v>
      </c>
      <c r="AX405" t="s">
        <v>1461</v>
      </c>
      <c r="AY405" t="s">
        <v>1481</v>
      </c>
    </row>
    <row r="406" spans="1:52" x14ac:dyDescent="0.25">
      <c r="A406">
        <v>444</v>
      </c>
      <c r="B406" t="s">
        <v>498</v>
      </c>
      <c r="C406" t="s">
        <v>953</v>
      </c>
      <c r="D406" t="s">
        <v>1385</v>
      </c>
      <c r="E406" t="s">
        <v>61</v>
      </c>
      <c r="F406">
        <v>45.400239999999997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717515907.95817602</v>
      </c>
      <c r="L406">
        <v>793102858.08574903</v>
      </c>
      <c r="M406">
        <v>920538713.25720704</v>
      </c>
      <c r="N406">
        <v>584135808.61026299</v>
      </c>
      <c r="O406" t="s">
        <v>58</v>
      </c>
      <c r="P406">
        <v>1</v>
      </c>
      <c r="Q406">
        <v>4.3099999999999996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417</v>
      </c>
      <c r="AW406" t="s">
        <v>1459</v>
      </c>
      <c r="AX406" t="s">
        <v>1461</v>
      </c>
      <c r="AY406" t="s">
        <v>1481</v>
      </c>
    </row>
    <row r="407" spans="1:52" x14ac:dyDescent="0.25">
      <c r="A407">
        <v>445</v>
      </c>
      <c r="B407" t="s">
        <v>499</v>
      </c>
      <c r="C407" t="s">
        <v>954</v>
      </c>
      <c r="D407" t="s">
        <v>1386</v>
      </c>
      <c r="E407" t="s">
        <v>61</v>
      </c>
      <c r="F407">
        <v>361.93040000000002</v>
      </c>
      <c r="G407">
        <v>222515370</v>
      </c>
      <c r="H407" t="s">
        <v>1436</v>
      </c>
      <c r="I407">
        <v>80535.06</v>
      </c>
      <c r="J407">
        <v>372508154.47346801</v>
      </c>
      <c r="K407">
        <v>501185196.40693402</v>
      </c>
      <c r="L407">
        <v>456675443.98159301</v>
      </c>
      <c r="M407">
        <v>529057253.93078101</v>
      </c>
      <c r="N407">
        <v>467655533.02012497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183</v>
      </c>
      <c r="AX407" t="s">
        <v>1460</v>
      </c>
      <c r="AY407" t="s">
        <v>1480</v>
      </c>
      <c r="AZ407">
        <v>35</v>
      </c>
    </row>
    <row r="408" spans="1:52" x14ac:dyDescent="0.25">
      <c r="A408">
        <v>446</v>
      </c>
      <c r="B408" t="s">
        <v>500</v>
      </c>
      <c r="C408" t="s">
        <v>955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590028773.34546995</v>
      </c>
      <c r="K408">
        <v>373702426.33787298</v>
      </c>
      <c r="L408">
        <v>385576303.36944503</v>
      </c>
      <c r="M408">
        <v>446948896.94620299</v>
      </c>
      <c r="N408">
        <v>342094210.79216701</v>
      </c>
      <c r="O408" t="s">
        <v>59</v>
      </c>
      <c r="P408">
        <v>1</v>
      </c>
      <c r="Q408">
        <v>1.1399999999999999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127</v>
      </c>
      <c r="AP408" t="s">
        <v>1452</v>
      </c>
      <c r="AX408" t="s">
        <v>1478</v>
      </c>
      <c r="AY408" t="s">
        <v>1481</v>
      </c>
    </row>
    <row r="409" spans="1:52" x14ac:dyDescent="0.25">
      <c r="A409">
        <v>447</v>
      </c>
      <c r="B409" t="s">
        <v>501</v>
      </c>
      <c r="C409" t="s">
        <v>956</v>
      </c>
      <c r="D409" t="s">
        <v>1388</v>
      </c>
      <c r="E409" t="s">
        <v>61</v>
      </c>
      <c r="F409">
        <v>77.709500000000006</v>
      </c>
      <c r="G409">
        <v>194800000</v>
      </c>
      <c r="H409" t="s">
        <v>1436</v>
      </c>
      <c r="I409">
        <v>15137.81</v>
      </c>
      <c r="J409">
        <v>137023594.22156301</v>
      </c>
      <c r="K409">
        <v>166027151.64634901</v>
      </c>
      <c r="L409">
        <v>167624087.24495801</v>
      </c>
      <c r="M409">
        <v>194443208.52583799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31</v>
      </c>
      <c r="AJ409" t="s">
        <v>1446</v>
      </c>
      <c r="AX409" t="s">
        <v>1462</v>
      </c>
      <c r="AY409" t="s">
        <v>1481</v>
      </c>
    </row>
    <row r="410" spans="1:52" x14ac:dyDescent="0.25">
      <c r="A410">
        <v>448</v>
      </c>
      <c r="B410" t="s">
        <v>502</v>
      </c>
      <c r="C410" t="s">
        <v>957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274400847.93914402</v>
      </c>
      <c r="K410">
        <v>308835995.29685301</v>
      </c>
      <c r="L410">
        <v>291765835.12643701</v>
      </c>
      <c r="M410">
        <v>338083157.28528601</v>
      </c>
      <c r="N410">
        <v>298938536.31179303</v>
      </c>
      <c r="O410" t="s">
        <v>59</v>
      </c>
      <c r="P410">
        <v>1</v>
      </c>
      <c r="Q410">
        <v>1.96</v>
      </c>
      <c r="R410">
        <v>42.71</v>
      </c>
      <c r="S410">
        <v>0.94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0.94</v>
      </c>
      <c r="AG410">
        <v>0</v>
      </c>
      <c r="AH410">
        <v>0</v>
      </c>
      <c r="AI410">
        <v>226</v>
      </c>
      <c r="AX410" t="s">
        <v>1460</v>
      </c>
      <c r="AY410" t="s">
        <v>1480</v>
      </c>
      <c r="AZ410">
        <v>242</v>
      </c>
    </row>
    <row r="411" spans="1:52" x14ac:dyDescent="0.25">
      <c r="A411">
        <v>449</v>
      </c>
      <c r="B411" t="s">
        <v>503</v>
      </c>
      <c r="C411" t="s">
        <v>958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109442726.43040401</v>
      </c>
      <c r="M411">
        <v>126981129.560425</v>
      </c>
      <c r="N411">
        <v>93394538.530925199</v>
      </c>
      <c r="O411" t="s">
        <v>58</v>
      </c>
      <c r="P411">
        <v>1</v>
      </c>
      <c r="Q411">
        <v>0.4</v>
      </c>
      <c r="R411">
        <v>39.44</v>
      </c>
      <c r="S411">
        <v>0.56999999999999995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0.56999999999999995</v>
      </c>
      <c r="AG411">
        <v>0</v>
      </c>
      <c r="AH411">
        <v>0</v>
      </c>
      <c r="AI411">
        <v>21</v>
      </c>
      <c r="AJ411" t="s">
        <v>1446</v>
      </c>
      <c r="AX411" t="s">
        <v>1462</v>
      </c>
      <c r="AY411" t="s">
        <v>1481</v>
      </c>
    </row>
    <row r="412" spans="1:52" x14ac:dyDescent="0.25">
      <c r="A412">
        <v>450</v>
      </c>
      <c r="B412" t="s">
        <v>504</v>
      </c>
      <c r="C412" t="s">
        <v>959</v>
      </c>
      <c r="D412" t="s">
        <v>1391</v>
      </c>
      <c r="E412" t="s">
        <v>61</v>
      </c>
      <c r="F412">
        <v>39.179040000000001</v>
      </c>
      <c r="G412">
        <v>1289435200</v>
      </c>
      <c r="H412" t="s">
        <v>1436</v>
      </c>
      <c r="I412">
        <v>50518.83</v>
      </c>
      <c r="J412">
        <v>229694792.43681499</v>
      </c>
      <c r="K412">
        <v>317628632.39793497</v>
      </c>
      <c r="L412">
        <v>271131890.79617</v>
      </c>
      <c r="M412">
        <v>314436240.62029201</v>
      </c>
      <c r="N412">
        <v>320466962.14114499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342</v>
      </c>
      <c r="AX412" t="s">
        <v>1460</v>
      </c>
      <c r="AY412" t="s">
        <v>1480</v>
      </c>
      <c r="AZ412">
        <v>269</v>
      </c>
    </row>
    <row r="413" spans="1:52" x14ac:dyDescent="0.25">
      <c r="A413">
        <v>451</v>
      </c>
      <c r="B413" t="s">
        <v>505</v>
      </c>
      <c r="C413" t="s">
        <v>960</v>
      </c>
      <c r="D413" t="s">
        <v>1392</v>
      </c>
      <c r="E413" t="s">
        <v>61</v>
      </c>
      <c r="F413">
        <v>478.87009999999998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154709008.03055099</v>
      </c>
      <c r="L413">
        <v>158354373.822274</v>
      </c>
      <c r="M413">
        <v>183481873.91908401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391</v>
      </c>
      <c r="AW413" t="s">
        <v>1459</v>
      </c>
      <c r="AX413" t="s">
        <v>1461</v>
      </c>
      <c r="AY413" t="s">
        <v>1481</v>
      </c>
    </row>
    <row r="414" spans="1:52" x14ac:dyDescent="0.25">
      <c r="A414">
        <v>452</v>
      </c>
      <c r="B414" t="s">
        <v>506</v>
      </c>
      <c r="C414" t="s">
        <v>961</v>
      </c>
      <c r="D414" t="s">
        <v>1393</v>
      </c>
      <c r="E414" t="s">
        <v>61</v>
      </c>
      <c r="F414">
        <v>41.201569999999997</v>
      </c>
      <c r="G414">
        <v>1556189500</v>
      </c>
      <c r="H414" t="s">
        <v>1436</v>
      </c>
      <c r="I414">
        <v>64117.45</v>
      </c>
      <c r="J414">
        <v>289025983.94707298</v>
      </c>
      <c r="K414">
        <v>420434073.40290201</v>
      </c>
      <c r="L414">
        <v>399635621.73099202</v>
      </c>
      <c r="M414">
        <v>463862845.33785099</v>
      </c>
      <c r="N414">
        <v>393987641.95182699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340</v>
      </c>
      <c r="AX414" t="s">
        <v>1460</v>
      </c>
      <c r="AY414" t="s">
        <v>1480</v>
      </c>
      <c r="AZ414">
        <v>221</v>
      </c>
    </row>
    <row r="415" spans="1:52" x14ac:dyDescent="0.25">
      <c r="A415">
        <v>453</v>
      </c>
      <c r="B415" t="s">
        <v>507</v>
      </c>
      <c r="C415" t="s">
        <v>962</v>
      </c>
      <c r="D415" t="s">
        <v>1394</v>
      </c>
      <c r="E415" t="s">
        <v>61</v>
      </c>
      <c r="F415">
        <v>82.599419999999995</v>
      </c>
      <c r="G415">
        <v>2085418700</v>
      </c>
      <c r="H415" t="s">
        <v>1436</v>
      </c>
      <c r="I415">
        <v>172254.4</v>
      </c>
      <c r="J415">
        <v>1538092925.0422699</v>
      </c>
      <c r="K415">
        <v>1482359491.3961301</v>
      </c>
      <c r="L415">
        <v>1509283570.7553599</v>
      </c>
      <c r="M415">
        <v>1747931746.7678101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162</v>
      </c>
      <c r="AX415" t="s">
        <v>1460</v>
      </c>
      <c r="AY415" t="s">
        <v>1480</v>
      </c>
      <c r="AZ415">
        <v>168</v>
      </c>
    </row>
    <row r="416" spans="1:52" x14ac:dyDescent="0.25">
      <c r="A416">
        <v>454</v>
      </c>
      <c r="B416" t="s">
        <v>508</v>
      </c>
      <c r="C416" t="s">
        <v>963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255879283.62681299</v>
      </c>
      <c r="K416">
        <v>314214107.98179197</v>
      </c>
      <c r="L416">
        <v>304694752.89728099</v>
      </c>
      <c r="M416">
        <v>352293519.98185802</v>
      </c>
      <c r="N416">
        <v>351375273.881046</v>
      </c>
      <c r="O416" t="s">
        <v>58</v>
      </c>
      <c r="P416">
        <v>1</v>
      </c>
      <c r="Q416">
        <v>1.79</v>
      </c>
      <c r="R416">
        <v>39.520000000000003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200</v>
      </c>
      <c r="AX416" t="s">
        <v>1460</v>
      </c>
      <c r="AY416" t="s">
        <v>1480</v>
      </c>
      <c r="AZ416">
        <v>264</v>
      </c>
    </row>
    <row r="417" spans="1:52" x14ac:dyDescent="0.25">
      <c r="A417">
        <v>455</v>
      </c>
      <c r="B417" t="s">
        <v>509</v>
      </c>
      <c r="C417" t="s">
        <v>964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730272531.11660898</v>
      </c>
      <c r="K417">
        <v>710397595.16974401</v>
      </c>
      <c r="L417">
        <v>771268000.95312703</v>
      </c>
      <c r="M417">
        <v>893925185.944363</v>
      </c>
      <c r="N417">
        <v>643011000.98961198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159</v>
      </c>
      <c r="AX417" t="s">
        <v>1460</v>
      </c>
      <c r="AY417" t="s">
        <v>1480</v>
      </c>
      <c r="AZ417">
        <v>110</v>
      </c>
    </row>
    <row r="418" spans="1:52" x14ac:dyDescent="0.25">
      <c r="A418">
        <v>456</v>
      </c>
      <c r="B418" t="s">
        <v>510</v>
      </c>
      <c r="C418" t="s">
        <v>965</v>
      </c>
      <c r="D418" t="s">
        <v>1397</v>
      </c>
      <c r="E418" t="s">
        <v>61</v>
      </c>
      <c r="F418">
        <v>87.881900000000002</v>
      </c>
      <c r="G418">
        <v>323732100</v>
      </c>
      <c r="H418" t="s">
        <v>1437</v>
      </c>
      <c r="I418">
        <v>28450.19</v>
      </c>
      <c r="J418">
        <v>409835815.92367399</v>
      </c>
      <c r="K418">
        <v>581566538.16866505</v>
      </c>
      <c r="L418">
        <v>505670860.951617</v>
      </c>
      <c r="M418">
        <v>586180486.85295904</v>
      </c>
      <c r="N418">
        <v>544995234.53042805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20</v>
      </c>
      <c r="AX418" t="s">
        <v>1460</v>
      </c>
      <c r="AY418" t="s">
        <v>1480</v>
      </c>
      <c r="AZ418">
        <v>285</v>
      </c>
    </row>
    <row r="419" spans="1:52" x14ac:dyDescent="0.25">
      <c r="A419">
        <v>457</v>
      </c>
      <c r="B419" t="s">
        <v>30</v>
      </c>
      <c r="C419" t="s">
        <v>966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5176096780.9330397</v>
      </c>
      <c r="K419">
        <v>4338962573.7455797</v>
      </c>
      <c r="L419">
        <v>4142938564.3520002</v>
      </c>
      <c r="M419">
        <v>4801865900.0657501</v>
      </c>
      <c r="N419">
        <v>3263141430.9116302</v>
      </c>
      <c r="O419" t="s">
        <v>59</v>
      </c>
      <c r="P419">
        <v>1</v>
      </c>
      <c r="Q419">
        <v>1.72</v>
      </c>
      <c r="R419">
        <v>70.209999999999994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191</v>
      </c>
      <c r="AX419" t="s">
        <v>1460</v>
      </c>
      <c r="AY419" t="s">
        <v>1480</v>
      </c>
      <c r="AZ419">
        <v>4</v>
      </c>
    </row>
    <row r="420" spans="1:52" x14ac:dyDescent="0.25">
      <c r="A420">
        <v>458</v>
      </c>
      <c r="B420" t="s">
        <v>511</v>
      </c>
      <c r="C420" t="s">
        <v>967</v>
      </c>
      <c r="D420" t="s">
        <v>1398</v>
      </c>
      <c r="E420" t="s">
        <v>61</v>
      </c>
      <c r="F420">
        <v>793.60820000000001</v>
      </c>
      <c r="G420">
        <v>64341225</v>
      </c>
      <c r="H420" t="s">
        <v>1436</v>
      </c>
      <c r="I420">
        <v>51061.72</v>
      </c>
      <c r="J420">
        <v>346632848.82644802</v>
      </c>
      <c r="K420">
        <v>396815873.49757802</v>
      </c>
      <c r="L420">
        <v>370638386.729433</v>
      </c>
      <c r="M420">
        <v>430579596.97705197</v>
      </c>
      <c r="N420">
        <v>394804470.72786701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145</v>
      </c>
      <c r="AX420" t="s">
        <v>1460</v>
      </c>
      <c r="AY420" t="s">
        <v>1480</v>
      </c>
      <c r="AZ420">
        <v>147</v>
      </c>
    </row>
    <row r="421" spans="1:52" x14ac:dyDescent="0.25">
      <c r="A421">
        <v>459</v>
      </c>
      <c r="B421" t="s">
        <v>512</v>
      </c>
      <c r="C421" t="s">
        <v>968</v>
      </c>
      <c r="D421" t="s">
        <v>1399</v>
      </c>
      <c r="E421" t="s">
        <v>61</v>
      </c>
      <c r="F421">
        <v>75.797920000000005</v>
      </c>
      <c r="G421">
        <v>736042900</v>
      </c>
      <c r="H421" t="s">
        <v>1436</v>
      </c>
      <c r="I421">
        <v>55790.52</v>
      </c>
      <c r="J421">
        <v>642116517.56222796</v>
      </c>
      <c r="K421">
        <v>568660079.01599002</v>
      </c>
      <c r="L421">
        <v>537108132.86704302</v>
      </c>
      <c r="M421">
        <v>622450259.41261995</v>
      </c>
      <c r="N421">
        <v>570070097.37573397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104</v>
      </c>
      <c r="AX421" t="s">
        <v>1460</v>
      </c>
      <c r="AY421" t="s">
        <v>1480</v>
      </c>
      <c r="AZ421">
        <v>291</v>
      </c>
    </row>
    <row r="422" spans="1:52" x14ac:dyDescent="0.25">
      <c r="A422">
        <v>460</v>
      </c>
      <c r="B422" t="s">
        <v>513</v>
      </c>
      <c r="C422" t="s">
        <v>969</v>
      </c>
      <c r="D422" t="s">
        <v>1400</v>
      </c>
      <c r="E422" t="s">
        <v>61</v>
      </c>
      <c r="F422">
        <v>66.623999999999995</v>
      </c>
      <c r="G422">
        <v>225171620</v>
      </c>
      <c r="H422" t="s">
        <v>1436</v>
      </c>
      <c r="I422">
        <v>15001.83</v>
      </c>
      <c r="J422">
        <v>182538237.09266099</v>
      </c>
      <c r="K422">
        <v>148073505.51748699</v>
      </c>
      <c r="L422">
        <v>154313840.53942701</v>
      </c>
      <c r="M422">
        <v>178912256.08694801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387</v>
      </c>
      <c r="AW422" t="s">
        <v>1459</v>
      </c>
      <c r="AX422" t="s">
        <v>1461</v>
      </c>
      <c r="AY422" t="s">
        <v>1481</v>
      </c>
    </row>
    <row r="423" spans="1:52" x14ac:dyDescent="0.25">
      <c r="A423">
        <v>461</v>
      </c>
      <c r="B423" t="s">
        <v>514</v>
      </c>
      <c r="C423" t="s">
        <v>970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38538.519999999997</v>
      </c>
      <c r="J423">
        <v>249909844.02156401</v>
      </c>
      <c r="K423">
        <v>379769787.28642499</v>
      </c>
      <c r="L423">
        <v>357061441.49065101</v>
      </c>
      <c r="M423">
        <v>414121229.50002801</v>
      </c>
      <c r="N423">
        <v>371490011.85413402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122</v>
      </c>
      <c r="AX423" t="s">
        <v>1460</v>
      </c>
      <c r="AY423" t="s">
        <v>1480</v>
      </c>
      <c r="AZ423">
        <v>287</v>
      </c>
    </row>
    <row r="424" spans="1:52" x14ac:dyDescent="0.25">
      <c r="A424">
        <v>462</v>
      </c>
      <c r="B424" t="s">
        <v>515</v>
      </c>
      <c r="C424" t="s">
        <v>971</v>
      </c>
      <c r="D424" t="s">
        <v>1402</v>
      </c>
      <c r="E424" t="s">
        <v>61</v>
      </c>
      <c r="F424">
        <v>248.21639999999999</v>
      </c>
      <c r="G424">
        <v>163412280</v>
      </c>
      <c r="H424" t="s">
        <v>1436</v>
      </c>
      <c r="I424">
        <v>40561.61</v>
      </c>
      <c r="J424">
        <v>236099312.87038401</v>
      </c>
      <c r="K424">
        <v>312208535.41206801</v>
      </c>
      <c r="L424">
        <v>343898948.44190198</v>
      </c>
      <c r="M424">
        <v>397528665.78160501</v>
      </c>
      <c r="N424">
        <v>264404197.45527601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173</v>
      </c>
      <c r="AX424" t="s">
        <v>1460</v>
      </c>
      <c r="AY424" t="s">
        <v>1480</v>
      </c>
      <c r="AZ424">
        <v>170</v>
      </c>
    </row>
    <row r="425" spans="1:52" x14ac:dyDescent="0.25">
      <c r="A425">
        <v>463</v>
      </c>
      <c r="B425" t="s">
        <v>516</v>
      </c>
      <c r="C425" t="s">
        <v>972</v>
      </c>
      <c r="D425" t="s">
        <v>1403</v>
      </c>
      <c r="E425" t="s">
        <v>61</v>
      </c>
      <c r="F425">
        <v>57.851170000000003</v>
      </c>
      <c r="G425">
        <v>454471200</v>
      </c>
      <c r="H425" t="s">
        <v>1436</v>
      </c>
      <c r="I425">
        <v>26291.69</v>
      </c>
      <c r="J425">
        <v>150961235.51418501</v>
      </c>
      <c r="K425">
        <v>188837792.79010701</v>
      </c>
      <c r="L425">
        <v>172353414.44175801</v>
      </c>
      <c r="M425">
        <v>199581498.82485399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427</v>
      </c>
      <c r="AW425" t="s">
        <v>1459</v>
      </c>
      <c r="AX425" t="s">
        <v>1461</v>
      </c>
      <c r="AY425" t="s">
        <v>1481</v>
      </c>
    </row>
    <row r="426" spans="1:52" x14ac:dyDescent="0.25">
      <c r="A426">
        <v>464</v>
      </c>
      <c r="B426" t="s">
        <v>517</v>
      </c>
      <c r="C426" t="s">
        <v>973</v>
      </c>
      <c r="D426" t="s">
        <v>1404</v>
      </c>
      <c r="E426" t="s">
        <v>61</v>
      </c>
      <c r="F426">
        <v>93.147289999999998</v>
      </c>
      <c r="G426">
        <v>248160840</v>
      </c>
      <c r="H426" t="s">
        <v>1436</v>
      </c>
      <c r="I426">
        <v>23115.51</v>
      </c>
      <c r="J426">
        <v>94946037.946448907</v>
      </c>
      <c r="K426">
        <v>117371681.028596</v>
      </c>
      <c r="L426">
        <v>106679366.048301</v>
      </c>
      <c r="M426">
        <v>123606290.045509</v>
      </c>
      <c r="N426">
        <v>130228010.97218899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291</v>
      </c>
      <c r="AX426" t="s">
        <v>1460</v>
      </c>
      <c r="AY426" t="s">
        <v>1480</v>
      </c>
      <c r="AZ426">
        <v>254</v>
      </c>
    </row>
    <row r="427" spans="1:52" x14ac:dyDescent="0.25">
      <c r="A427">
        <v>465</v>
      </c>
      <c r="B427" t="s">
        <v>518</v>
      </c>
      <c r="C427" t="s">
        <v>974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201567955.54979801</v>
      </c>
      <c r="K427">
        <v>212940578.56982499</v>
      </c>
      <c r="L427">
        <v>204446633.527778</v>
      </c>
      <c r="M427">
        <v>236628346.67031899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321</v>
      </c>
      <c r="AX427" t="s">
        <v>1460</v>
      </c>
      <c r="AY427" t="s">
        <v>1480</v>
      </c>
      <c r="AZ427">
        <v>159</v>
      </c>
    </row>
    <row r="428" spans="1:52" x14ac:dyDescent="0.25">
      <c r="A428">
        <v>466</v>
      </c>
      <c r="B428" t="s">
        <v>519</v>
      </c>
      <c r="C428" t="s">
        <v>975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262190873.22873601</v>
      </c>
      <c r="K428">
        <v>251334037.95064399</v>
      </c>
      <c r="L428">
        <v>249424607.56179199</v>
      </c>
      <c r="M428">
        <v>289197980.20839202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224</v>
      </c>
      <c r="AX428" t="s">
        <v>1460</v>
      </c>
      <c r="AY428" t="s">
        <v>1480</v>
      </c>
      <c r="AZ428">
        <v>111</v>
      </c>
    </row>
    <row r="429" spans="1:52" x14ac:dyDescent="0.25">
      <c r="A429">
        <v>467</v>
      </c>
      <c r="B429" t="s">
        <v>520</v>
      </c>
      <c r="C429" t="s">
        <v>976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159902.20000000001</v>
      </c>
      <c r="J429">
        <v>573940175.967713</v>
      </c>
      <c r="K429">
        <v>807668445.93597305</v>
      </c>
      <c r="L429">
        <v>652433401.58422196</v>
      </c>
      <c r="M429">
        <v>756990324.31854796</v>
      </c>
      <c r="N429">
        <v>784812502.85205603</v>
      </c>
      <c r="O429" t="s">
        <v>59</v>
      </c>
      <c r="P429">
        <v>1</v>
      </c>
      <c r="Q429">
        <v>0.93</v>
      </c>
      <c r="R429">
        <v>64.61</v>
      </c>
      <c r="S429">
        <v>0.94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0.94</v>
      </c>
      <c r="AG429">
        <v>0</v>
      </c>
      <c r="AH429">
        <v>0</v>
      </c>
      <c r="AI429">
        <v>104</v>
      </c>
      <c r="AX429" t="s">
        <v>1460</v>
      </c>
      <c r="AY429" t="s">
        <v>1480</v>
      </c>
      <c r="AZ429">
        <v>26</v>
      </c>
    </row>
    <row r="430" spans="1:52" x14ac:dyDescent="0.25">
      <c r="A430">
        <v>468</v>
      </c>
      <c r="B430" t="s">
        <v>521</v>
      </c>
      <c r="C430" t="s">
        <v>977</v>
      </c>
      <c r="D430" t="s">
        <v>1408</v>
      </c>
      <c r="E430" t="s">
        <v>61</v>
      </c>
      <c r="F430">
        <v>337.19060000000002</v>
      </c>
      <c r="G430">
        <v>256390660</v>
      </c>
      <c r="H430" t="s">
        <v>1437</v>
      </c>
      <c r="I430">
        <v>86452.53</v>
      </c>
      <c r="J430">
        <v>969589943.52486706</v>
      </c>
      <c r="K430">
        <v>670626753.52478695</v>
      </c>
      <c r="L430">
        <v>605139436.31567895</v>
      </c>
      <c r="M430">
        <v>701184733.31931198</v>
      </c>
      <c r="N430">
        <v>627552355.12973106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389</v>
      </c>
      <c r="AW430" t="s">
        <v>1459</v>
      </c>
      <c r="AX430" t="s">
        <v>1461</v>
      </c>
      <c r="AY430" t="s">
        <v>1481</v>
      </c>
    </row>
    <row r="431" spans="1:52" x14ac:dyDescent="0.25">
      <c r="A431">
        <v>469</v>
      </c>
      <c r="B431" t="s">
        <v>522</v>
      </c>
      <c r="C431" t="s">
        <v>978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41051.160000000003</v>
      </c>
      <c r="J431">
        <v>677410858.76393104</v>
      </c>
      <c r="K431">
        <v>791352209.90923798</v>
      </c>
      <c r="L431">
        <v>764972108.39400399</v>
      </c>
      <c r="M431">
        <v>886876371.42689502</v>
      </c>
      <c r="N431">
        <v>797728724.89382899</v>
      </c>
      <c r="O431" t="s">
        <v>59</v>
      </c>
      <c r="P431">
        <v>1</v>
      </c>
      <c r="Q431">
        <v>3.03</v>
      </c>
      <c r="R431">
        <v>38.450000000000003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361</v>
      </c>
      <c r="AX431" t="s">
        <v>1460</v>
      </c>
      <c r="AY431" t="s">
        <v>1480</v>
      </c>
      <c r="AZ431">
        <v>274</v>
      </c>
    </row>
    <row r="432" spans="1:52" x14ac:dyDescent="0.25">
      <c r="A432">
        <v>470</v>
      </c>
      <c r="B432" t="s">
        <v>523</v>
      </c>
      <c r="C432" t="s">
        <v>979</v>
      </c>
      <c r="D432" t="s">
        <v>1410</v>
      </c>
      <c r="E432" t="s">
        <v>61</v>
      </c>
      <c r="F432">
        <v>28.503160000000001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207267349.64262301</v>
      </c>
      <c r="N432">
        <v>177143730.76030299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327</v>
      </c>
      <c r="AX432" t="s">
        <v>1460</v>
      </c>
      <c r="AY432" t="s">
        <v>1480</v>
      </c>
      <c r="AZ432">
        <v>206</v>
      </c>
    </row>
    <row r="433" spans="1:52" x14ac:dyDescent="0.25">
      <c r="A433">
        <v>471</v>
      </c>
      <c r="B433" t="s">
        <v>31</v>
      </c>
      <c r="C433" t="s">
        <v>980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1736834610.5569401</v>
      </c>
      <c r="K433">
        <v>2083355015.5510099</v>
      </c>
      <c r="L433">
        <v>1967634288.4717901</v>
      </c>
      <c r="M433">
        <v>2279164078.3408799</v>
      </c>
      <c r="N433">
        <v>1929801042.0091701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87</v>
      </c>
      <c r="AX433" t="s">
        <v>1460</v>
      </c>
      <c r="AY433" t="s">
        <v>1480</v>
      </c>
      <c r="AZ433">
        <v>99</v>
      </c>
    </row>
    <row r="434" spans="1:52" x14ac:dyDescent="0.25">
      <c r="A434">
        <v>472</v>
      </c>
      <c r="B434" t="s">
        <v>524</v>
      </c>
      <c r="C434" t="s">
        <v>981</v>
      </c>
      <c r="D434" t="s">
        <v>1411</v>
      </c>
      <c r="E434" t="s">
        <v>61</v>
      </c>
      <c r="F434">
        <v>162.53630000000001</v>
      </c>
      <c r="G434">
        <v>338820300</v>
      </c>
      <c r="H434" t="s">
        <v>1436</v>
      </c>
      <c r="I434">
        <v>55070.59</v>
      </c>
      <c r="J434">
        <v>767508164.02270198</v>
      </c>
      <c r="K434">
        <v>873436999.30914903</v>
      </c>
      <c r="L434">
        <v>811042257.42667699</v>
      </c>
      <c r="M434">
        <v>939892510.67116296</v>
      </c>
      <c r="N434">
        <v>908913788.96249199</v>
      </c>
      <c r="O434" t="s">
        <v>59</v>
      </c>
      <c r="P434">
        <v>0.95</v>
      </c>
      <c r="Q434">
        <v>9.74</v>
      </c>
      <c r="R434">
        <v>40.119999999999997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0.76100000000000001</v>
      </c>
      <c r="AF434">
        <v>0.92</v>
      </c>
      <c r="AG434">
        <v>0.01</v>
      </c>
      <c r="AH434">
        <v>0.76100000000000001</v>
      </c>
      <c r="AI434">
        <v>452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 x14ac:dyDescent="0.25">
      <c r="A435">
        <v>473</v>
      </c>
      <c r="B435" t="s">
        <v>525</v>
      </c>
      <c r="C435" t="s">
        <v>982</v>
      </c>
      <c r="D435" t="s">
        <v>1412</v>
      </c>
      <c r="E435" t="s">
        <v>61</v>
      </c>
      <c r="F435">
        <v>249.53059999999999</v>
      </c>
      <c r="G435">
        <v>132124160</v>
      </c>
      <c r="H435" t="s">
        <v>1436</v>
      </c>
      <c r="I435">
        <v>32969.019999999997</v>
      </c>
      <c r="J435">
        <v>224527042.88613299</v>
      </c>
      <c r="K435">
        <v>257451068.79335299</v>
      </c>
      <c r="L435">
        <v>239591177.727027</v>
      </c>
      <c r="M435">
        <v>277203043.49288201</v>
      </c>
      <c r="N435">
        <v>232433155.69673601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332</v>
      </c>
      <c r="AX435" t="s">
        <v>1460</v>
      </c>
      <c r="AY435" t="s">
        <v>1480</v>
      </c>
      <c r="AZ435">
        <v>301</v>
      </c>
    </row>
    <row r="436" spans="1:52" x14ac:dyDescent="0.25">
      <c r="A436">
        <v>474</v>
      </c>
      <c r="B436" t="s">
        <v>526</v>
      </c>
      <c r="C436" t="s">
        <v>983</v>
      </c>
      <c r="D436" t="s">
        <v>1413</v>
      </c>
      <c r="E436" t="s">
        <v>61</v>
      </c>
      <c r="F436">
        <v>61.563409999999998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138769485.24374199</v>
      </c>
      <c r="N436">
        <v>107554592.74013799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281</v>
      </c>
      <c r="AJ436" t="s">
        <v>1446</v>
      </c>
      <c r="AX436" t="s">
        <v>1462</v>
      </c>
      <c r="AY436" t="s">
        <v>1481</v>
      </c>
    </row>
    <row r="437" spans="1:52" x14ac:dyDescent="0.25">
      <c r="A437">
        <v>475</v>
      </c>
      <c r="B437" t="s">
        <v>527</v>
      </c>
      <c r="C437" t="s">
        <v>984</v>
      </c>
      <c r="D437" t="s">
        <v>1414</v>
      </c>
      <c r="E437" t="s">
        <v>61</v>
      </c>
      <c r="F437">
        <v>872.04300000000001</v>
      </c>
      <c r="G437">
        <v>47832245</v>
      </c>
      <c r="H437" t="s">
        <v>1436</v>
      </c>
      <c r="I437">
        <v>41711.78</v>
      </c>
      <c r="J437">
        <v>260766874.29282299</v>
      </c>
      <c r="K437">
        <v>257029581.62130901</v>
      </c>
      <c r="L437">
        <v>259298029.06085399</v>
      </c>
      <c r="M437">
        <v>300814389.696841</v>
      </c>
      <c r="N437">
        <v>251110838.501113</v>
      </c>
      <c r="O437" t="s">
        <v>59</v>
      </c>
      <c r="P437">
        <v>0.95</v>
      </c>
      <c r="Q437">
        <v>4.0999999999999996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410</v>
      </c>
      <c r="AW437" t="s">
        <v>1459</v>
      </c>
      <c r="AX437" t="s">
        <v>1461</v>
      </c>
      <c r="AY437" t="s">
        <v>1481</v>
      </c>
    </row>
    <row r="438" spans="1:52" x14ac:dyDescent="0.25">
      <c r="A438">
        <v>476</v>
      </c>
      <c r="B438" t="s">
        <v>32</v>
      </c>
      <c r="C438" t="s">
        <v>985</v>
      </c>
      <c r="D438" t="s">
        <v>57</v>
      </c>
      <c r="E438" t="s">
        <v>61</v>
      </c>
      <c r="F438">
        <v>82.633560000000003</v>
      </c>
      <c r="G438">
        <v>7980418000</v>
      </c>
      <c r="H438" t="s">
        <v>1436</v>
      </c>
      <c r="I438">
        <v>659450.4</v>
      </c>
      <c r="J438">
        <v>1682401093.4101501</v>
      </c>
      <c r="K438">
        <v>1657235147.2631299</v>
      </c>
      <c r="L438">
        <v>1379758554.62344</v>
      </c>
      <c r="M438">
        <v>1599124553.8729601</v>
      </c>
      <c r="N438">
        <v>1502253898.5940399</v>
      </c>
      <c r="O438" t="s">
        <v>59</v>
      </c>
      <c r="P438">
        <v>0.55000000000000004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39</v>
      </c>
      <c r="AX438" t="s">
        <v>1460</v>
      </c>
      <c r="AY438" t="s">
        <v>1480</v>
      </c>
      <c r="AZ438">
        <v>217</v>
      </c>
    </row>
    <row r="439" spans="1:52" x14ac:dyDescent="0.25">
      <c r="A439">
        <v>477</v>
      </c>
      <c r="B439" t="s">
        <v>528</v>
      </c>
      <c r="C439" t="s">
        <v>986</v>
      </c>
      <c r="D439" t="s">
        <v>1415</v>
      </c>
      <c r="E439" t="s">
        <v>61</v>
      </c>
      <c r="F439">
        <v>10.283329999999999</v>
      </c>
      <c r="G439">
        <v>2475772200</v>
      </c>
      <c r="H439" t="s">
        <v>1437</v>
      </c>
      <c r="I439">
        <v>25459.17</v>
      </c>
      <c r="J439">
        <v>485851848.53104198</v>
      </c>
      <c r="K439">
        <v>496896433.17665398</v>
      </c>
      <c r="L439">
        <v>607852993.28184104</v>
      </c>
      <c r="M439">
        <v>705600842.68468499</v>
      </c>
      <c r="N439">
        <v>377002566.89087898</v>
      </c>
      <c r="O439" t="s">
        <v>58</v>
      </c>
      <c r="P439">
        <v>1</v>
      </c>
      <c r="Q439">
        <v>7.47</v>
      </c>
      <c r="R439">
        <v>38.299999999999997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445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 x14ac:dyDescent="0.25">
      <c r="A440">
        <v>479</v>
      </c>
      <c r="B440" t="s">
        <v>529</v>
      </c>
      <c r="C440" t="s">
        <v>987</v>
      </c>
      <c r="D440" t="s">
        <v>1416</v>
      </c>
      <c r="E440" t="s">
        <v>61</v>
      </c>
      <c r="F440">
        <v>193.73609999999999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355464454.96055901</v>
      </c>
      <c r="L440">
        <v>333571948.66792297</v>
      </c>
      <c r="M440">
        <v>386717549.894512</v>
      </c>
      <c r="N440">
        <v>331805694.63269103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248</v>
      </c>
      <c r="AX440" t="s">
        <v>1460</v>
      </c>
      <c r="AY440" t="s">
        <v>1480</v>
      </c>
      <c r="AZ440">
        <v>78</v>
      </c>
    </row>
    <row r="441" spans="1:52" x14ac:dyDescent="0.25">
      <c r="A441">
        <v>480</v>
      </c>
      <c r="B441" t="s">
        <v>530</v>
      </c>
      <c r="C441" t="s">
        <v>988</v>
      </c>
      <c r="D441" t="s">
        <v>1417</v>
      </c>
      <c r="E441" t="s">
        <v>61</v>
      </c>
      <c r="F441">
        <v>257.88529999999997</v>
      </c>
      <c r="G441">
        <v>59524130</v>
      </c>
      <c r="H441" t="s">
        <v>1436</v>
      </c>
      <c r="I441">
        <v>15350.4</v>
      </c>
      <c r="J441">
        <v>181171097.73953301</v>
      </c>
      <c r="K441">
        <v>191429342.66234899</v>
      </c>
      <c r="L441">
        <v>203989033.87283099</v>
      </c>
      <c r="M441">
        <v>236712164.13452101</v>
      </c>
      <c r="N441">
        <v>173359071.52774599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310</v>
      </c>
      <c r="AX441" t="s">
        <v>1460</v>
      </c>
      <c r="AY441" t="s">
        <v>1480</v>
      </c>
      <c r="AZ441">
        <v>132</v>
      </c>
    </row>
    <row r="442" spans="1:52" x14ac:dyDescent="0.25">
      <c r="A442">
        <v>481</v>
      </c>
      <c r="B442" t="s">
        <v>531</v>
      </c>
      <c r="C442" t="s">
        <v>989</v>
      </c>
      <c r="D442" t="s">
        <v>1418</v>
      </c>
      <c r="E442" t="s">
        <v>61</v>
      </c>
      <c r="F442">
        <v>92.626729999999995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193414092.99129099</v>
      </c>
      <c r="M442">
        <v>223933203.83296499</v>
      </c>
      <c r="N442">
        <v>194769125.59325299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329</v>
      </c>
      <c r="AU442" t="s">
        <v>1457</v>
      </c>
      <c r="AX442" t="s">
        <v>1463</v>
      </c>
      <c r="AY442" t="s">
        <v>1481</v>
      </c>
    </row>
    <row r="443" spans="1:52" x14ac:dyDescent="0.25">
      <c r="A443">
        <v>482</v>
      </c>
      <c r="B443" t="s">
        <v>532</v>
      </c>
      <c r="C443" t="s">
        <v>990</v>
      </c>
      <c r="D443" t="s">
        <v>1419</v>
      </c>
      <c r="E443" t="s">
        <v>61</v>
      </c>
      <c r="F443">
        <v>67.502979999999994</v>
      </c>
      <c r="G443">
        <v>3203441200</v>
      </c>
      <c r="H443" t="s">
        <v>1436</v>
      </c>
      <c r="I443">
        <v>216241.8</v>
      </c>
      <c r="J443">
        <v>892620898.71624601</v>
      </c>
      <c r="K443">
        <v>1158551105.21348</v>
      </c>
      <c r="L443">
        <v>1127764229.9707799</v>
      </c>
      <c r="M443">
        <v>1308218895.0095699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0.94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0.94</v>
      </c>
      <c r="AG443">
        <v>0</v>
      </c>
      <c r="AH443">
        <v>0</v>
      </c>
      <c r="AI443">
        <v>36</v>
      </c>
      <c r="AX443" t="s">
        <v>1460</v>
      </c>
      <c r="AY443" t="s">
        <v>1480</v>
      </c>
      <c r="AZ443">
        <v>252</v>
      </c>
    </row>
    <row r="444" spans="1:52" x14ac:dyDescent="0.25">
      <c r="A444">
        <v>483</v>
      </c>
      <c r="B444" t="s">
        <v>533</v>
      </c>
      <c r="C444" t="s">
        <v>991</v>
      </c>
      <c r="D444" t="s">
        <v>1420</v>
      </c>
      <c r="E444" t="s">
        <v>61</v>
      </c>
      <c r="F444">
        <v>140.32259999999999</v>
      </c>
      <c r="G444">
        <v>667943900</v>
      </c>
      <c r="H444" t="s">
        <v>1436</v>
      </c>
      <c r="I444">
        <v>93727.6</v>
      </c>
      <c r="J444">
        <v>347741034.66847301</v>
      </c>
      <c r="K444">
        <v>407248091.04906797</v>
      </c>
      <c r="L444">
        <v>385231468.61611801</v>
      </c>
      <c r="M444">
        <v>446029745.545506</v>
      </c>
      <c r="N444">
        <v>373346785.77674901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235</v>
      </c>
      <c r="AX444" t="s">
        <v>1460</v>
      </c>
      <c r="AY444" t="s">
        <v>1480</v>
      </c>
      <c r="AZ444">
        <v>66</v>
      </c>
    </row>
    <row r="445" spans="1:52" x14ac:dyDescent="0.25">
      <c r="A445">
        <v>484</v>
      </c>
      <c r="B445" t="s">
        <v>534</v>
      </c>
      <c r="C445" t="s">
        <v>992</v>
      </c>
      <c r="D445" t="s">
        <v>1421</v>
      </c>
      <c r="E445" t="s">
        <v>61</v>
      </c>
      <c r="F445">
        <v>211.51220000000001</v>
      </c>
      <c r="G445">
        <v>71907326</v>
      </c>
      <c r="H445" t="s">
        <v>1436</v>
      </c>
      <c r="I445">
        <v>15209.28</v>
      </c>
      <c r="J445">
        <v>112451955.94191501</v>
      </c>
      <c r="K445">
        <v>163231654.19249901</v>
      </c>
      <c r="L445">
        <v>139514337.023114</v>
      </c>
      <c r="M445">
        <v>161927213.16876999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383</v>
      </c>
      <c r="AW445" t="s">
        <v>1459</v>
      </c>
      <c r="AX445" t="s">
        <v>1461</v>
      </c>
      <c r="AY445" t="s">
        <v>1481</v>
      </c>
    </row>
    <row r="446" spans="1:52" x14ac:dyDescent="0.25">
      <c r="A446">
        <v>485</v>
      </c>
      <c r="B446" t="s">
        <v>535</v>
      </c>
      <c r="C446" t="s">
        <v>993</v>
      </c>
      <c r="D446" t="s">
        <v>1422</v>
      </c>
      <c r="E446" t="s">
        <v>61</v>
      </c>
      <c r="F446">
        <v>65.685270000000003</v>
      </c>
      <c r="G446">
        <v>346922120</v>
      </c>
      <c r="H446" t="s">
        <v>1437</v>
      </c>
      <c r="I446">
        <v>22787.67</v>
      </c>
      <c r="J446">
        <v>380832524.90968299</v>
      </c>
      <c r="K446">
        <v>350953677.20243901</v>
      </c>
      <c r="L446">
        <v>376130558.344814</v>
      </c>
      <c r="M446">
        <v>435813177.874753</v>
      </c>
      <c r="N446">
        <v>346432690.51381302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177</v>
      </c>
      <c r="AX446" t="s">
        <v>1460</v>
      </c>
      <c r="AY446" t="s">
        <v>1480</v>
      </c>
      <c r="AZ446">
        <v>131</v>
      </c>
    </row>
    <row r="447" spans="1:52" x14ac:dyDescent="0.25">
      <c r="A447">
        <v>486</v>
      </c>
      <c r="B447" t="s">
        <v>536</v>
      </c>
      <c r="C447" t="s">
        <v>994</v>
      </c>
      <c r="D447" t="s">
        <v>1423</v>
      </c>
      <c r="E447" t="s">
        <v>61</v>
      </c>
      <c r="F447">
        <v>167.04220000000001</v>
      </c>
      <c r="G447">
        <v>170953170</v>
      </c>
      <c r="H447" t="s">
        <v>1436</v>
      </c>
      <c r="I447">
        <v>28556.39</v>
      </c>
      <c r="J447">
        <v>180805315.67286301</v>
      </c>
      <c r="K447">
        <v>181896702.48201299</v>
      </c>
      <c r="L447">
        <v>184017476.39416701</v>
      </c>
      <c r="M447">
        <v>213367092.279322</v>
      </c>
      <c r="N447">
        <v>184014670.15812099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114</v>
      </c>
      <c r="AX447" t="s">
        <v>1460</v>
      </c>
      <c r="AY447" t="s">
        <v>1480</v>
      </c>
      <c r="AZ447">
        <v>218</v>
      </c>
    </row>
    <row r="448" spans="1:52" x14ac:dyDescent="0.25">
      <c r="A448">
        <v>487</v>
      </c>
      <c r="B448" t="s">
        <v>537</v>
      </c>
      <c r="C448" t="s">
        <v>995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84423037.527151197</v>
      </c>
      <c r="K448">
        <v>99600953.2472049</v>
      </c>
      <c r="L448">
        <v>100362426.28578199</v>
      </c>
      <c r="M448">
        <v>116396157.188961</v>
      </c>
      <c r="N448">
        <v>102420269.577042</v>
      </c>
      <c r="O448" t="s">
        <v>59</v>
      </c>
      <c r="P448">
        <v>1</v>
      </c>
      <c r="Q448">
        <v>1.1399999999999999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127</v>
      </c>
      <c r="AX448" t="s">
        <v>1460</v>
      </c>
      <c r="AY448" t="s">
        <v>1480</v>
      </c>
      <c r="AZ448">
        <v>125</v>
      </c>
    </row>
    <row r="449" spans="1:52" x14ac:dyDescent="0.25">
      <c r="A449">
        <v>489</v>
      </c>
      <c r="B449" t="s">
        <v>538</v>
      </c>
      <c r="C449" t="s">
        <v>996</v>
      </c>
      <c r="D449" t="s">
        <v>1425</v>
      </c>
      <c r="E449" t="s">
        <v>61</v>
      </c>
      <c r="F449">
        <v>48.702849999999998</v>
      </c>
      <c r="G449">
        <v>1221177400</v>
      </c>
      <c r="H449" t="s">
        <v>1436</v>
      </c>
      <c r="I449">
        <v>59474.82</v>
      </c>
      <c r="J449">
        <v>345146749.49628103</v>
      </c>
      <c r="K449">
        <v>399367160.67969698</v>
      </c>
      <c r="L449">
        <v>406816336.56008101</v>
      </c>
      <c r="M449">
        <v>471321626.16341001</v>
      </c>
      <c r="N449">
        <v>364722938.07907701</v>
      </c>
      <c r="O449" t="s">
        <v>59</v>
      </c>
      <c r="P449">
        <v>1</v>
      </c>
      <c r="Q449">
        <v>2.0099999999999998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231</v>
      </c>
      <c r="AX449" t="s">
        <v>1460</v>
      </c>
      <c r="AY449" t="s">
        <v>1480</v>
      </c>
      <c r="AZ449">
        <v>166</v>
      </c>
    </row>
    <row r="450" spans="1:52" x14ac:dyDescent="0.25">
      <c r="A450">
        <v>490</v>
      </c>
      <c r="B450" t="s">
        <v>539</v>
      </c>
      <c r="C450" t="s">
        <v>997</v>
      </c>
      <c r="D450" t="s">
        <v>1426</v>
      </c>
      <c r="E450" t="s">
        <v>61</v>
      </c>
      <c r="F450">
        <v>173.59620000000001</v>
      </c>
      <c r="G450">
        <v>122998060</v>
      </c>
      <c r="H450" t="s">
        <v>1436</v>
      </c>
      <c r="I450">
        <v>21351.99</v>
      </c>
      <c r="J450">
        <v>233330863.05727199</v>
      </c>
      <c r="K450">
        <v>308855072.81317502</v>
      </c>
      <c r="L450">
        <v>223550067.172243</v>
      </c>
      <c r="M450">
        <v>258756896.96623299</v>
      </c>
      <c r="N450">
        <v>290690982.533373</v>
      </c>
      <c r="O450" t="s">
        <v>59</v>
      </c>
      <c r="P450">
        <v>0.95</v>
      </c>
      <c r="Q450">
        <v>0.55000000000000004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42</v>
      </c>
      <c r="AX450" t="s">
        <v>1460</v>
      </c>
      <c r="AY450" t="s">
        <v>1480</v>
      </c>
      <c r="AZ450">
        <v>186</v>
      </c>
    </row>
    <row r="451" spans="1:52" x14ac:dyDescent="0.25">
      <c r="A451">
        <v>491</v>
      </c>
      <c r="B451" t="s">
        <v>540</v>
      </c>
      <c r="C451" t="s">
        <v>998</v>
      </c>
      <c r="D451" t="s">
        <v>1427</v>
      </c>
      <c r="E451" t="s">
        <v>61</v>
      </c>
      <c r="F451">
        <v>289.51190000000003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189681174.51865199</v>
      </c>
      <c r="L451">
        <v>181145376.82472101</v>
      </c>
      <c r="M451">
        <v>210084859.47727501</v>
      </c>
      <c r="N451">
        <v>183379455.29987699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34</v>
      </c>
      <c r="AX451" t="s">
        <v>1460</v>
      </c>
      <c r="AY451" t="s">
        <v>1480</v>
      </c>
      <c r="AZ451">
        <v>229</v>
      </c>
    </row>
    <row r="452" spans="1:52" x14ac:dyDescent="0.25">
      <c r="A452">
        <v>492</v>
      </c>
      <c r="B452" t="s">
        <v>541</v>
      </c>
      <c r="C452" t="s">
        <v>999</v>
      </c>
      <c r="D452" t="s">
        <v>1428</v>
      </c>
      <c r="E452" t="s">
        <v>61</v>
      </c>
      <c r="F452">
        <v>188.82919999999999</v>
      </c>
      <c r="G452">
        <v>217000000</v>
      </c>
      <c r="H452" t="s">
        <v>1437</v>
      </c>
      <c r="I452">
        <v>40975.93</v>
      </c>
      <c r="J452">
        <v>779948842.17180705</v>
      </c>
      <c r="K452">
        <v>538019273.92053699</v>
      </c>
      <c r="L452">
        <v>574257196.19502699</v>
      </c>
      <c r="M452">
        <v>665033858.47342002</v>
      </c>
      <c r="N452">
        <v>598144077.96201098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17</v>
      </c>
      <c r="AX452" t="s">
        <v>1460</v>
      </c>
      <c r="AY452" t="s">
        <v>1480</v>
      </c>
      <c r="AZ452">
        <v>6</v>
      </c>
    </row>
    <row r="453" spans="1:52" x14ac:dyDescent="0.25">
      <c r="A453">
        <v>494</v>
      </c>
      <c r="B453" t="s">
        <v>542</v>
      </c>
      <c r="C453" t="s">
        <v>1000</v>
      </c>
      <c r="D453" t="s">
        <v>1429</v>
      </c>
      <c r="E453" t="s">
        <v>61</v>
      </c>
      <c r="F453">
        <v>63.372590000000002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231854246.44020501</v>
      </c>
      <c r="L453">
        <v>194912697.94400501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0.40589999999999998</v>
      </c>
      <c r="AF453">
        <v>0.98</v>
      </c>
      <c r="AG453">
        <v>0</v>
      </c>
      <c r="AH453">
        <v>0.40589999999999998</v>
      </c>
      <c r="AI453">
        <v>348</v>
      </c>
      <c r="AU453" t="s">
        <v>1457</v>
      </c>
      <c r="AX453" t="s">
        <v>1463</v>
      </c>
      <c r="AY453" t="s">
        <v>1481</v>
      </c>
    </row>
    <row r="454" spans="1:52" x14ac:dyDescent="0.25">
      <c r="A454">
        <v>495</v>
      </c>
      <c r="B454" t="s">
        <v>543</v>
      </c>
      <c r="C454" t="s">
        <v>1001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136556979.36285201</v>
      </c>
      <c r="M454">
        <v>158176120.17047101</v>
      </c>
      <c r="N454">
        <v>160012612.57591099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131</v>
      </c>
      <c r="AX454" t="s">
        <v>1460</v>
      </c>
      <c r="AY454" t="s">
        <v>1480</v>
      </c>
      <c r="AZ454">
        <v>106</v>
      </c>
    </row>
    <row r="455" spans="1:52" x14ac:dyDescent="0.25">
      <c r="A455">
        <v>496</v>
      </c>
      <c r="B455" t="s">
        <v>544</v>
      </c>
      <c r="C455" t="s">
        <v>1002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298713457.98559701</v>
      </c>
      <c r="K455">
        <v>281899006.762945</v>
      </c>
      <c r="L455">
        <v>250771887.697171</v>
      </c>
      <c r="M455">
        <v>290674581.57452899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137</v>
      </c>
      <c r="AX455" t="s">
        <v>1460</v>
      </c>
      <c r="AY455" t="s">
        <v>1480</v>
      </c>
      <c r="AZ455">
        <v>205</v>
      </c>
    </row>
    <row r="456" spans="1:52" x14ac:dyDescent="0.25">
      <c r="A456">
        <v>497</v>
      </c>
      <c r="B456" t="s">
        <v>545</v>
      </c>
      <c r="C456" t="s">
        <v>1003</v>
      </c>
      <c r="D456" t="s">
        <v>1432</v>
      </c>
      <c r="E456" t="s">
        <v>61</v>
      </c>
      <c r="F456">
        <v>91.918419999999998</v>
      </c>
      <c r="G456">
        <v>198095980</v>
      </c>
      <c r="H456" t="s">
        <v>1436</v>
      </c>
      <c r="I456">
        <v>18208.669999999998</v>
      </c>
      <c r="J456">
        <v>152950632.620419</v>
      </c>
      <c r="K456">
        <v>183131686.833933</v>
      </c>
      <c r="L456">
        <v>154814754.725003</v>
      </c>
      <c r="M456">
        <v>179362237.61478201</v>
      </c>
      <c r="N456">
        <v>173238670.28826499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97</v>
      </c>
      <c r="AX456" t="s">
        <v>1460</v>
      </c>
      <c r="AY456" t="s">
        <v>1480</v>
      </c>
      <c r="AZ456">
        <v>154</v>
      </c>
    </row>
    <row r="457" spans="1:52" x14ac:dyDescent="0.25">
      <c r="A457">
        <v>498</v>
      </c>
      <c r="B457" t="s">
        <v>546</v>
      </c>
      <c r="C457" t="s">
        <v>1004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452918281.06009603</v>
      </c>
      <c r="K457">
        <v>424451561.17872798</v>
      </c>
      <c r="L457">
        <v>426060542.74639201</v>
      </c>
      <c r="M457">
        <v>493679878.26185799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296</v>
      </c>
      <c r="AX457" t="s">
        <v>1460</v>
      </c>
      <c r="AY457" t="s">
        <v>1480</v>
      </c>
      <c r="AZ457">
        <v>200</v>
      </c>
    </row>
    <row r="458" spans="1:52" x14ac:dyDescent="0.25">
      <c r="A458">
        <v>499</v>
      </c>
      <c r="B458" t="s">
        <v>547</v>
      </c>
      <c r="C458" t="s">
        <v>1005</v>
      </c>
      <c r="D458" t="s">
        <v>1434</v>
      </c>
      <c r="E458" t="s">
        <v>61</v>
      </c>
      <c r="F458">
        <v>70.378910000000005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194441358.02974901</v>
      </c>
      <c r="L458">
        <v>208774494.10967401</v>
      </c>
      <c r="M458">
        <v>242305786.77526101</v>
      </c>
      <c r="N458">
        <v>207079914.47437701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186</v>
      </c>
      <c r="AJ458" t="s">
        <v>1446</v>
      </c>
      <c r="AX458" t="s">
        <v>1462</v>
      </c>
      <c r="AY458" t="s">
        <v>1481</v>
      </c>
    </row>
    <row r="459" spans="1:52" x14ac:dyDescent="0.25">
      <c r="A459">
        <v>500</v>
      </c>
      <c r="B459" t="s">
        <v>548</v>
      </c>
      <c r="C459" t="s">
        <v>1006</v>
      </c>
      <c r="D459" t="s">
        <v>1435</v>
      </c>
      <c r="E459" t="s">
        <v>61</v>
      </c>
      <c r="F459">
        <v>232.56100000000001</v>
      </c>
      <c r="G459">
        <v>155695680</v>
      </c>
      <c r="H459" t="s">
        <v>1437</v>
      </c>
      <c r="I459">
        <v>36208.75</v>
      </c>
      <c r="J459">
        <v>309011240.82537401</v>
      </c>
      <c r="K459">
        <v>505702813.22492999</v>
      </c>
      <c r="L459">
        <v>541991930.91077697</v>
      </c>
      <c r="M459">
        <v>626370464.20833194</v>
      </c>
      <c r="N459">
        <v>414952601.32539099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75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251"/>
  <sheetViews>
    <sheetView topLeftCell="AF1" workbookViewId="0">
      <selection activeCell="BG2" sqref="BG2:BG27"/>
    </sheetView>
  </sheetViews>
  <sheetFormatPr defaultRowHeight="15" x14ac:dyDescent="0.25"/>
  <sheetData>
    <row r="1" spans="1:59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9" x14ac:dyDescent="0.25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 t="b">
        <f>ISNUMBER(MATCH(D2,'[1]USCLE+'!$W$11:$W$35,0))</f>
        <v>1</v>
      </c>
    </row>
    <row r="3" spans="1:59" x14ac:dyDescent="0.25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 t="b">
        <f>ISNUMBER(MATCH(D3,'[1]USCLE+'!$W$11:$W$35,0))</f>
        <v>1</v>
      </c>
    </row>
    <row r="4" spans="1:59" x14ac:dyDescent="0.25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 t="b">
        <f>ISNUMBER(MATCH(D4,'[1]USCLE+'!$W$11:$W$35,0))</f>
        <v>1</v>
      </c>
    </row>
    <row r="5" spans="1:59" x14ac:dyDescent="0.25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 t="b">
        <f>ISNUMBER(MATCH(D5,'[1]USCLE+'!$W$11:$W$35,0))</f>
        <v>1</v>
      </c>
    </row>
    <row r="6" spans="1:59" x14ac:dyDescent="0.25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 t="b">
        <f>ISNUMBER(MATCH(D6,'[1]USCLE+'!$W$11:$W$35,0))</f>
        <v>1</v>
      </c>
    </row>
    <row r="7" spans="1:59" x14ac:dyDescent="0.25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 t="b">
        <f>ISNUMBER(MATCH(D7,'[1]USCLE+'!$W$11:$W$35,0))</f>
        <v>1</v>
      </c>
    </row>
    <row r="8" spans="1:59" x14ac:dyDescent="0.25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 t="b">
        <f>ISNUMBER(MATCH(D8,'[1]USCLE+'!$W$11:$W$35,0))</f>
        <v>1</v>
      </c>
    </row>
    <row r="9" spans="1:59" x14ac:dyDescent="0.25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 t="b">
        <f>ISNUMBER(MATCH(D9,'[1]USCLE+'!$W$11:$W$35,0))</f>
        <v>1</v>
      </c>
    </row>
    <row r="10" spans="1:59" x14ac:dyDescent="0.25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 t="b">
        <f>ISNUMBER(MATCH(D10,'[1]USCLE+'!$W$11:$W$35,0))</f>
        <v>1</v>
      </c>
    </row>
    <row r="11" spans="1:59" x14ac:dyDescent="0.25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 t="b">
        <f>ISNUMBER(MATCH(D11,'[1]USCLE+'!$W$11:$W$35,0))</f>
        <v>1</v>
      </c>
    </row>
    <row r="12" spans="1:59" x14ac:dyDescent="0.25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 t="b">
        <f>ISNUMBER(MATCH(D12,'[1]USCLE+'!$W$11:$W$35,0))</f>
        <v>1</v>
      </c>
    </row>
    <row r="13" spans="1:59" x14ac:dyDescent="0.25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 t="b">
        <f>ISNUMBER(MATCH(D13,'[1]USCLE+'!$W$11:$W$35,0))</f>
        <v>1</v>
      </c>
    </row>
    <row r="14" spans="1:59" x14ac:dyDescent="0.25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 t="b">
        <f>ISNUMBER(MATCH(D14,'[1]USCLE+'!$W$11:$W$35,0))</f>
        <v>1</v>
      </c>
    </row>
    <row r="15" spans="1:59" x14ac:dyDescent="0.25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818.00649999999996</v>
      </c>
      <c r="G15">
        <v>443477080</v>
      </c>
      <c r="H15" t="s">
        <v>1437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 t="b">
        <f>ISNUMBER(MATCH(D15,'[1]USCLE+'!$W$11:$W$35,0))</f>
        <v>0</v>
      </c>
    </row>
    <row r="16" spans="1:59" x14ac:dyDescent="0.25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82.633560000000003</v>
      </c>
      <c r="G16">
        <v>7980418000</v>
      </c>
      <c r="H16" t="s">
        <v>1436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0.55000000000000004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 t="b">
        <f>ISNUMBER(MATCH(D16,'[1]USCLE+'!$W$11:$W$35,0))</f>
        <v>1</v>
      </c>
    </row>
    <row r="17" spans="1:59" x14ac:dyDescent="0.25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 t="b">
        <f>ISNUMBER(MATCH(D17,'[1]USCLE+'!$W$11:$W$35,0))</f>
        <v>1</v>
      </c>
    </row>
    <row r="18" spans="1:59" x14ac:dyDescent="0.25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201.71530000000001</v>
      </c>
      <c r="G18">
        <v>2808833000</v>
      </c>
      <c r="H18" t="s">
        <v>1436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0.6</v>
      </c>
      <c r="Q18">
        <v>0.84</v>
      </c>
      <c r="R18">
        <v>65.099999999999994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 t="b">
        <f>ISNUMBER(MATCH(D18,'[1]USCLE+'!$W$11:$W$35,0))</f>
        <v>1</v>
      </c>
    </row>
    <row r="19" spans="1:59" x14ac:dyDescent="0.25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135.40710000000001</v>
      </c>
      <c r="G19">
        <v>2342371600</v>
      </c>
      <c r="H19" t="s">
        <v>1436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 t="b">
        <f>ISNUMBER(MATCH(D19,'[1]USCLE+'!$W$11:$W$35,0))</f>
        <v>1</v>
      </c>
    </row>
    <row r="20" spans="1:59" x14ac:dyDescent="0.25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135.46680000000001</v>
      </c>
      <c r="G20">
        <v>2274261500</v>
      </c>
      <c r="H20" t="s">
        <v>1437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 t="b">
        <f>ISNUMBER(MATCH(D20,'[1]USCLE+'!$W$11:$W$35,0))</f>
        <v>1</v>
      </c>
    </row>
    <row r="21" spans="1:59" x14ac:dyDescent="0.25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42.225639999999999</v>
      </c>
      <c r="G21">
        <v>7406947300</v>
      </c>
      <c r="H21" t="s">
        <v>1436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0.9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 t="b">
        <f>ISNUMBER(MATCH(D21,'[1]USCLE+'!$W$11:$W$35,0))</f>
        <v>1</v>
      </c>
    </row>
    <row r="22" spans="1:59" x14ac:dyDescent="0.25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227.45349999999999</v>
      </c>
      <c r="G22">
        <v>1060439300</v>
      </c>
      <c r="H22" t="s">
        <v>1436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 t="b">
        <f>ISNUMBER(MATCH(D22,'[1]USCLE+'!$W$11:$W$35,0))</f>
        <v>1</v>
      </c>
    </row>
    <row r="23" spans="1:59" x14ac:dyDescent="0.25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 t="b">
        <f>ISNUMBER(MATCH(D23,'[1]USCLE+'!$W$11:$W$35,0))</f>
        <v>1</v>
      </c>
    </row>
    <row r="24" spans="1:59" x14ac:dyDescent="0.25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59.848089999999999</v>
      </c>
      <c r="G24">
        <v>4303667500</v>
      </c>
      <c r="H24" t="s">
        <v>1436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0.9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 t="b">
        <f>ISNUMBER(MATCH(D24,'[1]USCLE+'!$W$11:$W$35,0))</f>
        <v>1</v>
      </c>
    </row>
    <row r="25" spans="1:59" x14ac:dyDescent="0.25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 t="b">
        <f>ISNUMBER(MATCH(D25,'[1]USCLE+'!$W$11:$W$35,0))</f>
        <v>1</v>
      </c>
    </row>
    <row r="26" spans="1:59" x14ac:dyDescent="0.25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 t="b">
        <f>ISNUMBER(MATCH(D26,'[1]USCLE+'!$W$11:$W$35,0))</f>
        <v>1</v>
      </c>
    </row>
    <row r="27" spans="1:59" x14ac:dyDescent="0.25">
      <c r="A27">
        <v>394</v>
      </c>
      <c r="B27" t="s">
        <v>66</v>
      </c>
      <c r="C27" t="s">
        <v>909</v>
      </c>
      <c r="D27" t="s">
        <v>70</v>
      </c>
      <c r="E27" t="s">
        <v>61</v>
      </c>
      <c r="F27">
        <v>211.8877</v>
      </c>
      <c r="G27">
        <v>956000000</v>
      </c>
      <c r="H27" t="s">
        <v>1436</v>
      </c>
      <c r="I27">
        <v>202564.6</v>
      </c>
      <c r="J27">
        <v>1771303707.1337299</v>
      </c>
      <c r="K27">
        <v>1774784643.26071</v>
      </c>
      <c r="L27">
        <v>1824998017.7253799</v>
      </c>
      <c r="M27">
        <v>2111862353.5232401</v>
      </c>
      <c r="N27">
        <v>1784610644.59268</v>
      </c>
      <c r="O27" t="s">
        <v>59</v>
      </c>
      <c r="P27">
        <v>1</v>
      </c>
      <c r="Q27">
        <v>0.98</v>
      </c>
      <c r="R27">
        <v>65.48</v>
      </c>
      <c r="S27">
        <v>0.9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0.9</v>
      </c>
      <c r="AG27">
        <v>0</v>
      </c>
      <c r="AH27">
        <v>0</v>
      </c>
      <c r="AI27">
        <v>110</v>
      </c>
      <c r="AX27" t="s">
        <v>1460</v>
      </c>
      <c r="AY27" t="s">
        <v>1480</v>
      </c>
      <c r="AZ27">
        <v>19</v>
      </c>
      <c r="BA27" t="s">
        <v>1513</v>
      </c>
      <c r="BB27">
        <v>239.31</v>
      </c>
      <c r="BC27">
        <v>0.84373944999999995</v>
      </c>
      <c r="BD27">
        <v>201.91528777950001</v>
      </c>
      <c r="BE27">
        <v>202564641200</v>
      </c>
      <c r="BF27">
        <v>26</v>
      </c>
      <c r="BG27" t="b">
        <f>ISNUMBER(MATCH(D27,'[1]USCLE+'!$W$11:$W$35,0))</f>
        <v>1</v>
      </c>
    </row>
    <row r="28" spans="1:59" x14ac:dyDescent="0.25">
      <c r="A28">
        <v>2</v>
      </c>
      <c r="B28" t="s">
        <v>121</v>
      </c>
      <c r="C28" t="s">
        <v>550</v>
      </c>
      <c r="D28" t="s">
        <v>1008</v>
      </c>
      <c r="E28" t="s">
        <v>61</v>
      </c>
      <c r="F28">
        <v>113.1507</v>
      </c>
      <c r="G28">
        <v>1740459000</v>
      </c>
      <c r="H28" t="s">
        <v>1436</v>
      </c>
      <c r="I28">
        <v>196934.2</v>
      </c>
      <c r="J28">
        <v>616825316.39902401</v>
      </c>
      <c r="K28">
        <v>796362190.701069</v>
      </c>
      <c r="L28">
        <v>726411611.80495203</v>
      </c>
      <c r="M28">
        <v>842152897.799034</v>
      </c>
      <c r="N28">
        <v>696176883.20906305</v>
      </c>
      <c r="O28" t="s">
        <v>59</v>
      </c>
      <c r="P28">
        <v>1</v>
      </c>
      <c r="Q28">
        <v>2.02</v>
      </c>
      <c r="R28">
        <v>59.53</v>
      </c>
      <c r="S28">
        <v>1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1</v>
      </c>
      <c r="AG28">
        <v>0</v>
      </c>
      <c r="AH28">
        <v>0</v>
      </c>
      <c r="AI28">
        <v>233</v>
      </c>
      <c r="AX28" t="s">
        <v>1460</v>
      </c>
      <c r="AY28" t="s">
        <v>1480</v>
      </c>
      <c r="AZ28">
        <v>54</v>
      </c>
      <c r="BA28" t="s">
        <v>1514</v>
      </c>
      <c r="BB28">
        <v>132.76</v>
      </c>
      <c r="BC28">
        <v>0.84373944999999995</v>
      </c>
      <c r="BD28">
        <v>112.01484938199999</v>
      </c>
      <c r="BE28">
        <v>196934154171.29999</v>
      </c>
      <c r="BF28">
        <v>27</v>
      </c>
      <c r="BG28" t="b">
        <f>ISNUMBER(MATCH(D28,'[1]USCLE+'!$W$11:$W$35,0))</f>
        <v>0</v>
      </c>
    </row>
    <row r="29" spans="1:59" x14ac:dyDescent="0.25">
      <c r="A29">
        <v>239</v>
      </c>
      <c r="B29" t="s">
        <v>64</v>
      </c>
      <c r="C29" t="s">
        <v>765</v>
      </c>
      <c r="D29" t="s">
        <v>68</v>
      </c>
      <c r="E29" t="s">
        <v>61</v>
      </c>
      <c r="F29">
        <v>206.5967</v>
      </c>
      <c r="G29">
        <v>931519200</v>
      </c>
      <c r="H29" t="s">
        <v>1436</v>
      </c>
      <c r="I29">
        <v>192448.8</v>
      </c>
      <c r="J29">
        <v>1067285127.46495</v>
      </c>
      <c r="K29">
        <v>1066138258.92456</v>
      </c>
      <c r="L29">
        <v>1053160944.5447299</v>
      </c>
      <c r="M29">
        <v>1222154836.9649501</v>
      </c>
      <c r="N29">
        <v>985290448.89441597</v>
      </c>
      <c r="O29" t="s">
        <v>59</v>
      </c>
      <c r="P29">
        <v>1</v>
      </c>
      <c r="Q29">
        <v>1.03</v>
      </c>
      <c r="R29">
        <v>70.06</v>
      </c>
      <c r="S29">
        <v>0.94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0.94</v>
      </c>
      <c r="AG29">
        <v>0</v>
      </c>
      <c r="AH29">
        <v>0</v>
      </c>
      <c r="AI29">
        <v>115</v>
      </c>
      <c r="AX29" t="s">
        <v>1460</v>
      </c>
      <c r="AY29" t="s">
        <v>1480</v>
      </c>
      <c r="AZ29">
        <v>5</v>
      </c>
      <c r="BA29" t="s">
        <v>1515</v>
      </c>
      <c r="BB29">
        <v>257.52</v>
      </c>
      <c r="BC29">
        <v>0.84373944999999995</v>
      </c>
      <c r="BD29">
        <v>217.27978316400001</v>
      </c>
      <c r="BE29">
        <v>192448792706.64001</v>
      </c>
      <c r="BF29">
        <v>28</v>
      </c>
      <c r="BG29" t="b">
        <f>ISNUMBER(MATCH(D29,'[1]USCLE+'!$W$11:$W$35,0))</f>
        <v>0</v>
      </c>
    </row>
    <row r="30" spans="1:59" x14ac:dyDescent="0.25">
      <c r="A30">
        <v>299</v>
      </c>
      <c r="B30" t="s">
        <v>376</v>
      </c>
      <c r="C30" t="s">
        <v>821</v>
      </c>
      <c r="D30" t="s">
        <v>1263</v>
      </c>
      <c r="E30" t="s">
        <v>61</v>
      </c>
      <c r="F30">
        <v>74.560509999999994</v>
      </c>
      <c r="G30">
        <v>2497783200</v>
      </c>
      <c r="H30" t="s">
        <v>1436</v>
      </c>
      <c r="I30">
        <v>186236</v>
      </c>
      <c r="J30">
        <v>754040424.338117</v>
      </c>
      <c r="K30">
        <v>1138244113.5702701</v>
      </c>
      <c r="L30">
        <v>983157347.68014002</v>
      </c>
      <c r="M30">
        <v>1139478746.2140999</v>
      </c>
      <c r="N30">
        <v>1131152608.1069901</v>
      </c>
      <c r="O30" t="s">
        <v>59</v>
      </c>
      <c r="P30">
        <v>1</v>
      </c>
      <c r="Q30">
        <v>0.56000000000000005</v>
      </c>
      <c r="R30">
        <v>68.739999999999995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44</v>
      </c>
      <c r="AX30" t="s">
        <v>1460</v>
      </c>
      <c r="AY30" t="s">
        <v>1480</v>
      </c>
      <c r="AZ30">
        <v>9</v>
      </c>
      <c r="BA30" t="s">
        <v>1516</v>
      </c>
      <c r="BB30">
        <v>81.09</v>
      </c>
      <c r="BC30">
        <v>0.84373944999999995</v>
      </c>
      <c r="BD30">
        <v>68.418832000500004</v>
      </c>
      <c r="BE30">
        <v>186235989261.43201</v>
      </c>
      <c r="BF30">
        <v>29</v>
      </c>
      <c r="BG30" t="b">
        <f>ISNUMBER(MATCH(D30,'[1]USCLE+'!$W$11:$W$35,0))</f>
        <v>0</v>
      </c>
    </row>
    <row r="31" spans="1:59" x14ac:dyDescent="0.25">
      <c r="A31">
        <v>436</v>
      </c>
      <c r="B31" t="s">
        <v>492</v>
      </c>
      <c r="C31" t="s">
        <v>947</v>
      </c>
      <c r="D31" t="s">
        <v>1379</v>
      </c>
      <c r="E31" t="s">
        <v>61</v>
      </c>
      <c r="F31">
        <v>101.4337</v>
      </c>
      <c r="G31">
        <v>1797933800</v>
      </c>
      <c r="H31" t="s">
        <v>1436</v>
      </c>
      <c r="I31">
        <v>182371.1</v>
      </c>
      <c r="J31">
        <v>941040415.64769495</v>
      </c>
      <c r="K31">
        <v>953554455.25290501</v>
      </c>
      <c r="L31">
        <v>890137433.60251498</v>
      </c>
      <c r="M31">
        <v>1031242039.16255</v>
      </c>
      <c r="N31">
        <v>910980167.371158</v>
      </c>
      <c r="O31" t="s">
        <v>59</v>
      </c>
      <c r="P31">
        <v>1</v>
      </c>
      <c r="Q31">
        <v>1.1100000000000001</v>
      </c>
      <c r="R31">
        <v>46.65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125</v>
      </c>
      <c r="AX31" t="s">
        <v>1460</v>
      </c>
      <c r="AY31" t="s">
        <v>1480</v>
      </c>
      <c r="AZ31">
        <v>202</v>
      </c>
      <c r="BA31" t="s">
        <v>1517</v>
      </c>
      <c r="BB31">
        <v>115.23</v>
      </c>
      <c r="BC31">
        <v>0.84373944999999995</v>
      </c>
      <c r="BD31">
        <v>97.224096823499991</v>
      </c>
      <c r="BE31">
        <v>182371077689.06</v>
      </c>
      <c r="BF31">
        <v>30</v>
      </c>
      <c r="BG31" t="b">
        <f>ISNUMBER(MATCH(D31,'[1]USCLE+'!$W$11:$W$35,0))</f>
        <v>0</v>
      </c>
    </row>
    <row r="32" spans="1:59" x14ac:dyDescent="0.25">
      <c r="A32">
        <v>45</v>
      </c>
      <c r="B32" t="s">
        <v>158</v>
      </c>
      <c r="C32" t="s">
        <v>591</v>
      </c>
      <c r="D32" t="s">
        <v>1045</v>
      </c>
      <c r="E32" t="s">
        <v>61</v>
      </c>
      <c r="F32">
        <v>24.551970000000001</v>
      </c>
      <c r="G32">
        <v>7150385300</v>
      </c>
      <c r="H32" t="s">
        <v>1436</v>
      </c>
      <c r="I32">
        <v>175556.1</v>
      </c>
      <c r="J32">
        <v>707493094.55368102</v>
      </c>
      <c r="K32">
        <v>899197125.75118697</v>
      </c>
      <c r="L32">
        <v>760971853.12662303</v>
      </c>
      <c r="M32">
        <v>882251933.79410803</v>
      </c>
      <c r="N32">
        <v>828642483.35025501</v>
      </c>
      <c r="O32" t="s">
        <v>59</v>
      </c>
      <c r="P32">
        <v>1</v>
      </c>
      <c r="Q32">
        <v>2.48</v>
      </c>
      <c r="R32">
        <v>62.1</v>
      </c>
      <c r="S32">
        <v>0.98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296</v>
      </c>
      <c r="AX32" t="s">
        <v>1460</v>
      </c>
      <c r="AY32" t="s">
        <v>1480</v>
      </c>
      <c r="AZ32">
        <v>33</v>
      </c>
      <c r="BA32" t="s">
        <v>1518</v>
      </c>
      <c r="BB32">
        <v>29.33</v>
      </c>
      <c r="BC32">
        <v>0.84373944999999995</v>
      </c>
      <c r="BD32">
        <v>24.746878068499999</v>
      </c>
      <c r="BE32">
        <v>175556045374.04099</v>
      </c>
      <c r="BF32">
        <v>31</v>
      </c>
      <c r="BG32" t="b">
        <f>ISNUMBER(MATCH(D32,'[1]USCLE+'!$W$11:$W$35,0))</f>
        <v>0</v>
      </c>
    </row>
    <row r="33" spans="1:59" x14ac:dyDescent="0.25">
      <c r="A33">
        <v>351</v>
      </c>
      <c r="B33" t="s">
        <v>419</v>
      </c>
      <c r="C33" t="s">
        <v>870</v>
      </c>
      <c r="D33" t="s">
        <v>1306</v>
      </c>
      <c r="E33" t="s">
        <v>61</v>
      </c>
      <c r="F33">
        <v>127.70099999999999</v>
      </c>
      <c r="G33">
        <v>1369077100</v>
      </c>
      <c r="H33" t="s">
        <v>1437</v>
      </c>
      <c r="I33">
        <v>174832.5</v>
      </c>
      <c r="J33">
        <v>934983408.87370503</v>
      </c>
      <c r="K33">
        <v>1096851270.65098</v>
      </c>
      <c r="L33">
        <v>1139028520.4605501</v>
      </c>
      <c r="M33">
        <v>1320215123.74824</v>
      </c>
      <c r="N33">
        <v>1008909646.71197</v>
      </c>
      <c r="O33" t="s">
        <v>58</v>
      </c>
      <c r="P33">
        <v>1</v>
      </c>
      <c r="Q33">
        <v>0.63</v>
      </c>
      <c r="R33">
        <v>57.46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61</v>
      </c>
      <c r="AX33" t="s">
        <v>1460</v>
      </c>
      <c r="AY33" t="s">
        <v>1480</v>
      </c>
      <c r="AZ33">
        <v>74</v>
      </c>
      <c r="BA33" t="s">
        <v>1519</v>
      </c>
      <c r="BB33">
        <v>140.03</v>
      </c>
      <c r="BC33">
        <v>0.84373944999999995</v>
      </c>
      <c r="BD33">
        <v>118.1488351835</v>
      </c>
      <c r="BE33">
        <v>174832514747.10001</v>
      </c>
      <c r="BF33">
        <v>32</v>
      </c>
      <c r="BG33" t="b">
        <f>ISNUMBER(MATCH(D33,'[1]USCLE+'!$W$11:$W$35,0))</f>
        <v>0</v>
      </c>
    </row>
    <row r="34" spans="1:59" x14ac:dyDescent="0.25">
      <c r="A34">
        <v>87</v>
      </c>
      <c r="B34" t="s">
        <v>188</v>
      </c>
      <c r="C34" t="s">
        <v>623</v>
      </c>
      <c r="D34" t="s">
        <v>1075</v>
      </c>
      <c r="E34" t="s">
        <v>61</v>
      </c>
      <c r="F34">
        <v>371.7955</v>
      </c>
      <c r="G34">
        <v>468478900</v>
      </c>
      <c r="H34" t="s">
        <v>1436</v>
      </c>
      <c r="I34">
        <v>174178.4</v>
      </c>
      <c r="J34">
        <v>1266121495.3303101</v>
      </c>
      <c r="K34">
        <v>910270181.80166304</v>
      </c>
      <c r="L34">
        <v>963077289.32815695</v>
      </c>
      <c r="M34">
        <v>1117300658.49</v>
      </c>
      <c r="N34">
        <v>853266473.45873106</v>
      </c>
      <c r="O34" t="s">
        <v>59</v>
      </c>
      <c r="P34">
        <v>1</v>
      </c>
      <c r="Q34">
        <v>2.76</v>
      </c>
      <c r="R34">
        <v>50.68</v>
      </c>
      <c r="S34">
        <v>0.99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334</v>
      </c>
      <c r="AX34" t="s">
        <v>1460</v>
      </c>
      <c r="AY34" t="s">
        <v>1480</v>
      </c>
      <c r="AZ34">
        <v>165</v>
      </c>
      <c r="BA34" t="s">
        <v>1520</v>
      </c>
      <c r="BB34">
        <v>440.67</v>
      </c>
      <c r="BC34">
        <v>0.84373944999999995</v>
      </c>
      <c r="BD34">
        <v>371.81066343150002</v>
      </c>
      <c r="BE34">
        <v>174178346864.95001</v>
      </c>
      <c r="BF34">
        <v>33</v>
      </c>
      <c r="BG34" t="b">
        <f>ISNUMBER(MATCH(D34,'[1]USCLE+'!$W$11:$W$35,0))</f>
        <v>0</v>
      </c>
    </row>
    <row r="35" spans="1:59" x14ac:dyDescent="0.25">
      <c r="A35">
        <v>453</v>
      </c>
      <c r="B35" t="s">
        <v>507</v>
      </c>
      <c r="C35" t="s">
        <v>962</v>
      </c>
      <c r="D35" t="s">
        <v>1394</v>
      </c>
      <c r="E35" t="s">
        <v>61</v>
      </c>
      <c r="F35">
        <v>82.599419999999995</v>
      </c>
      <c r="G35">
        <v>2085418700</v>
      </c>
      <c r="H35" t="s">
        <v>1436</v>
      </c>
      <c r="I35">
        <v>172254.4</v>
      </c>
      <c r="J35">
        <v>1538092925.0422699</v>
      </c>
      <c r="K35">
        <v>1482359491.3961301</v>
      </c>
      <c r="L35">
        <v>1509283570.7553599</v>
      </c>
      <c r="M35">
        <v>1747931746.7678101</v>
      </c>
      <c r="N35">
        <v>1479819598.27529</v>
      </c>
      <c r="O35" t="s">
        <v>59</v>
      </c>
      <c r="P35">
        <v>1</v>
      </c>
      <c r="Q35">
        <v>1.47</v>
      </c>
      <c r="R35">
        <v>50.42</v>
      </c>
      <c r="S35">
        <v>0.85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0.85</v>
      </c>
      <c r="AG35">
        <v>0</v>
      </c>
      <c r="AH35">
        <v>0</v>
      </c>
      <c r="AI35">
        <v>162</v>
      </c>
      <c r="AX35" t="s">
        <v>1460</v>
      </c>
      <c r="AY35" t="s">
        <v>1480</v>
      </c>
      <c r="AZ35">
        <v>168</v>
      </c>
      <c r="BA35" t="s">
        <v>1521</v>
      </c>
      <c r="BB35">
        <v>97.83</v>
      </c>
      <c r="BC35">
        <v>0.84373944999999995</v>
      </c>
      <c r="BD35">
        <v>82.54303039349999</v>
      </c>
      <c r="BE35">
        <v>172254375077.15399</v>
      </c>
      <c r="BF35">
        <v>34</v>
      </c>
      <c r="BG35" t="b">
        <f>ISNUMBER(MATCH(D35,'[1]USCLE+'!$W$11:$W$35,0))</f>
        <v>0</v>
      </c>
    </row>
    <row r="36" spans="1:59" x14ac:dyDescent="0.25">
      <c r="A36">
        <v>437</v>
      </c>
      <c r="B36" t="s">
        <v>493</v>
      </c>
      <c r="C36" t="s">
        <v>948</v>
      </c>
      <c r="D36" t="s">
        <v>1380</v>
      </c>
      <c r="E36" t="s">
        <v>61</v>
      </c>
      <c r="F36">
        <v>426.68540000000002</v>
      </c>
      <c r="G36">
        <v>377612120</v>
      </c>
      <c r="H36" t="s">
        <v>1436</v>
      </c>
      <c r="I36">
        <v>161121.60000000001</v>
      </c>
      <c r="J36">
        <v>830447756.05835104</v>
      </c>
      <c r="K36">
        <v>1016521812.99466</v>
      </c>
      <c r="L36">
        <v>1024025379.81883</v>
      </c>
      <c r="M36">
        <v>1188375770.44368</v>
      </c>
      <c r="N36">
        <v>956768625.45759499</v>
      </c>
      <c r="O36" t="s">
        <v>59</v>
      </c>
      <c r="P36">
        <v>1</v>
      </c>
      <c r="Q36">
        <v>1.48</v>
      </c>
      <c r="R36">
        <v>60.38</v>
      </c>
      <c r="S36">
        <v>0.92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0.92</v>
      </c>
      <c r="AG36">
        <v>0</v>
      </c>
      <c r="AH36">
        <v>0</v>
      </c>
      <c r="AI36">
        <v>163</v>
      </c>
      <c r="AX36" t="s">
        <v>1460</v>
      </c>
      <c r="AY36" t="s">
        <v>1480</v>
      </c>
      <c r="AZ36">
        <v>47</v>
      </c>
      <c r="BA36" t="s">
        <v>1522</v>
      </c>
      <c r="BB36">
        <v>480.74</v>
      </c>
      <c r="BC36">
        <v>0.84373944999999995</v>
      </c>
      <c r="BD36">
        <v>405.61930319300001</v>
      </c>
      <c r="BE36">
        <v>161121578467.048</v>
      </c>
      <c r="BF36">
        <v>35</v>
      </c>
      <c r="BG36" t="b">
        <f>ISNUMBER(MATCH(D36,'[1]USCLE+'!$W$11:$W$35,0))</f>
        <v>0</v>
      </c>
    </row>
    <row r="37" spans="1:59" x14ac:dyDescent="0.25">
      <c r="A37">
        <v>467</v>
      </c>
      <c r="B37" t="s">
        <v>520</v>
      </c>
      <c r="C37" t="s">
        <v>976</v>
      </c>
      <c r="D37" t="s">
        <v>1407</v>
      </c>
      <c r="E37" t="s">
        <v>61</v>
      </c>
      <c r="F37">
        <v>37.92456</v>
      </c>
      <c r="G37">
        <v>4216324700</v>
      </c>
      <c r="H37" t="s">
        <v>1436</v>
      </c>
      <c r="I37">
        <v>159902.20000000001</v>
      </c>
      <c r="J37">
        <v>573940175.967713</v>
      </c>
      <c r="K37">
        <v>807668445.93597305</v>
      </c>
      <c r="L37">
        <v>652433401.58422196</v>
      </c>
      <c r="M37">
        <v>756990324.31854796</v>
      </c>
      <c r="N37">
        <v>784812502.85205603</v>
      </c>
      <c r="O37" t="s">
        <v>59</v>
      </c>
      <c r="P37">
        <v>1</v>
      </c>
      <c r="Q37">
        <v>0.93</v>
      </c>
      <c r="R37">
        <v>64.61</v>
      </c>
      <c r="S37">
        <v>0.94</v>
      </c>
      <c r="T37" t="s">
        <v>1441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0.94</v>
      </c>
      <c r="AG37">
        <v>0</v>
      </c>
      <c r="AH37">
        <v>0</v>
      </c>
      <c r="AI37">
        <v>104</v>
      </c>
      <c r="AX37" t="s">
        <v>1460</v>
      </c>
      <c r="AY37" t="s">
        <v>1480</v>
      </c>
      <c r="AZ37">
        <v>26</v>
      </c>
      <c r="BA37" t="s">
        <v>1523</v>
      </c>
      <c r="BB37">
        <v>43.74</v>
      </c>
      <c r="BC37">
        <v>0.84373944999999995</v>
      </c>
      <c r="BD37">
        <v>36.905163543</v>
      </c>
      <c r="BE37">
        <v>159902259064.63199</v>
      </c>
      <c r="BF37">
        <v>36</v>
      </c>
      <c r="BG37" t="b">
        <f>ISNUMBER(MATCH(D37,'[1]USCLE+'!$W$11:$W$35,0))</f>
        <v>0</v>
      </c>
    </row>
    <row r="38" spans="1:59" x14ac:dyDescent="0.25">
      <c r="A38">
        <v>399</v>
      </c>
      <c r="B38" t="s">
        <v>460</v>
      </c>
      <c r="C38" t="s">
        <v>914</v>
      </c>
      <c r="D38" t="s">
        <v>1347</v>
      </c>
      <c r="E38" t="s">
        <v>61</v>
      </c>
      <c r="F38">
        <v>756.74180000000001</v>
      </c>
      <c r="G38">
        <v>208000000</v>
      </c>
      <c r="H38" t="s">
        <v>1436</v>
      </c>
      <c r="I38">
        <v>157402.29999999999</v>
      </c>
      <c r="J38">
        <v>1439262491.4648099</v>
      </c>
      <c r="K38">
        <v>1390415962.8743899</v>
      </c>
      <c r="L38">
        <v>1234419009.8475299</v>
      </c>
      <c r="M38">
        <v>1432352579.9279699</v>
      </c>
      <c r="N38">
        <v>1319453139.84973</v>
      </c>
      <c r="O38" t="s">
        <v>59</v>
      </c>
      <c r="P38">
        <v>1</v>
      </c>
      <c r="Q38">
        <v>1.0900000000000001</v>
      </c>
      <c r="R38">
        <v>68.09</v>
      </c>
      <c r="S38">
        <v>0.81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0.81</v>
      </c>
      <c r="AG38">
        <v>0</v>
      </c>
      <c r="AH38">
        <v>0</v>
      </c>
      <c r="AI38">
        <v>123</v>
      </c>
      <c r="AX38" t="s">
        <v>1460</v>
      </c>
      <c r="AY38" t="s">
        <v>1480</v>
      </c>
      <c r="AZ38">
        <v>10</v>
      </c>
      <c r="BA38" t="s">
        <v>1524</v>
      </c>
      <c r="BB38">
        <v>932.01</v>
      </c>
      <c r="BC38">
        <v>0.84373944999999995</v>
      </c>
      <c r="BD38">
        <v>786.3736047944999</v>
      </c>
      <c r="BE38">
        <v>157402294400</v>
      </c>
      <c r="BF38">
        <v>37</v>
      </c>
      <c r="BG38" t="b">
        <f>ISNUMBER(MATCH(D38,'[1]USCLE+'!$W$11:$W$35,0))</f>
        <v>0</v>
      </c>
    </row>
    <row r="39" spans="1:59" x14ac:dyDescent="0.25">
      <c r="A39">
        <v>23</v>
      </c>
      <c r="B39" t="s">
        <v>137</v>
      </c>
      <c r="C39" t="s">
        <v>569</v>
      </c>
      <c r="D39" t="s">
        <v>1024</v>
      </c>
      <c r="E39" t="s">
        <v>61</v>
      </c>
      <c r="F39">
        <v>272.3673</v>
      </c>
      <c r="G39">
        <v>695882200</v>
      </c>
      <c r="H39" t="s">
        <v>1436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59</v>
      </c>
      <c r="P39">
        <v>0.8</v>
      </c>
      <c r="Q39">
        <v>0.71</v>
      </c>
      <c r="R39">
        <v>48.25</v>
      </c>
      <c r="S39">
        <v>0.86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0.86</v>
      </c>
      <c r="AG39">
        <v>0</v>
      </c>
      <c r="AH39">
        <v>0</v>
      </c>
      <c r="AI39">
        <v>69</v>
      </c>
      <c r="AX39" t="s">
        <v>1460</v>
      </c>
      <c r="AY39" t="s">
        <v>1480</v>
      </c>
      <c r="AZ39">
        <v>190</v>
      </c>
      <c r="BA39" t="s">
        <v>1525</v>
      </c>
      <c r="BB39">
        <v>327.04000000000002</v>
      </c>
      <c r="BC39">
        <v>0.84373944999999995</v>
      </c>
      <c r="BD39">
        <v>275.93654972799999</v>
      </c>
      <c r="BE39">
        <v>151628444745.64801</v>
      </c>
      <c r="BF39">
        <v>38</v>
      </c>
      <c r="BG39" t="b">
        <f>ISNUMBER(MATCH(D39,'[1]USCLE+'!$W$11:$W$35,0))</f>
        <v>0</v>
      </c>
    </row>
    <row r="40" spans="1:59" x14ac:dyDescent="0.25">
      <c r="A40">
        <v>311</v>
      </c>
      <c r="B40" t="s">
        <v>386</v>
      </c>
      <c r="C40" t="s">
        <v>833</v>
      </c>
      <c r="D40" t="s">
        <v>1273</v>
      </c>
      <c r="E40" t="s">
        <v>61</v>
      </c>
      <c r="F40">
        <v>126.3185</v>
      </c>
      <c r="G40">
        <v>1596335800</v>
      </c>
      <c r="H40" t="s">
        <v>1436</v>
      </c>
      <c r="I40">
        <v>201646.7</v>
      </c>
      <c r="J40">
        <v>570081824.22159195</v>
      </c>
      <c r="K40">
        <v>742315418.83532596</v>
      </c>
      <c r="L40">
        <v>629809603.66704202</v>
      </c>
      <c r="M40">
        <v>730572037.570485</v>
      </c>
      <c r="N40">
        <v>730609431.82698798</v>
      </c>
      <c r="O40" t="s">
        <v>59</v>
      </c>
      <c r="P40">
        <v>0.75</v>
      </c>
      <c r="Q40">
        <v>2.86</v>
      </c>
      <c r="R40">
        <v>45.5</v>
      </c>
      <c r="S40">
        <v>0.92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0.92</v>
      </c>
      <c r="AG40">
        <v>0</v>
      </c>
      <c r="AH40">
        <v>0</v>
      </c>
      <c r="AI40">
        <v>345</v>
      </c>
      <c r="AX40" t="s">
        <v>1460</v>
      </c>
      <c r="AY40" t="s">
        <v>1480</v>
      </c>
      <c r="AZ40">
        <v>212</v>
      </c>
      <c r="BA40" t="s">
        <v>1526</v>
      </c>
      <c r="BB40">
        <v>155.81</v>
      </c>
      <c r="BC40">
        <v>0.84373944999999995</v>
      </c>
      <c r="BD40">
        <v>131.4630437045</v>
      </c>
      <c r="BE40">
        <v>151235057814.22501</v>
      </c>
      <c r="BF40">
        <v>39</v>
      </c>
      <c r="BG40" t="b">
        <f>ISNUMBER(MATCH(D40,'[1]USCLE+'!$W$11:$W$35,0))</f>
        <v>0</v>
      </c>
    </row>
    <row r="41" spans="1:59" x14ac:dyDescent="0.25">
      <c r="A41">
        <v>108</v>
      </c>
      <c r="B41" t="s">
        <v>204</v>
      </c>
      <c r="C41" t="s">
        <v>640</v>
      </c>
      <c r="D41" t="s">
        <v>1091</v>
      </c>
      <c r="E41" t="s">
        <v>61</v>
      </c>
      <c r="F41">
        <v>81.29374</v>
      </c>
      <c r="G41">
        <v>1840898000</v>
      </c>
      <c r="H41" t="s">
        <v>1436</v>
      </c>
      <c r="I41">
        <v>149653.5</v>
      </c>
      <c r="J41">
        <v>1148475392.16377</v>
      </c>
      <c r="K41">
        <v>1080009845.5856099</v>
      </c>
      <c r="L41">
        <v>1082422138.49862</v>
      </c>
      <c r="M41">
        <v>1256721267.2894599</v>
      </c>
      <c r="N41">
        <v>993110010.89100599</v>
      </c>
      <c r="O41" t="s">
        <v>59</v>
      </c>
      <c r="P41">
        <v>1</v>
      </c>
      <c r="Q41">
        <v>0.56000000000000005</v>
      </c>
      <c r="R41">
        <v>53.38</v>
      </c>
      <c r="S41">
        <v>0.96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0.96</v>
      </c>
      <c r="AG41">
        <v>0</v>
      </c>
      <c r="AH41">
        <v>0</v>
      </c>
      <c r="AI41">
        <v>44</v>
      </c>
      <c r="AX41" t="s">
        <v>1460</v>
      </c>
      <c r="AY41" t="s">
        <v>1480</v>
      </c>
      <c r="AZ41">
        <v>130</v>
      </c>
      <c r="BA41" t="s">
        <v>1527</v>
      </c>
      <c r="BB41">
        <v>100.64</v>
      </c>
      <c r="BC41">
        <v>0.84373944999999995</v>
      </c>
      <c r="BD41">
        <v>84.913938247999994</v>
      </c>
      <c r="BE41">
        <v>149653483378.51999</v>
      </c>
      <c r="BF41">
        <v>40</v>
      </c>
      <c r="BG41" t="b">
        <f>ISNUMBER(MATCH(D41,'[1]USCLE+'!$W$11:$W$35,0))</f>
        <v>0</v>
      </c>
    </row>
    <row r="42" spans="1:59" x14ac:dyDescent="0.25">
      <c r="A42">
        <v>371</v>
      </c>
      <c r="B42" t="s">
        <v>436</v>
      </c>
      <c r="C42" t="s">
        <v>889</v>
      </c>
      <c r="D42" t="s">
        <v>1323</v>
      </c>
      <c r="E42" t="s">
        <v>61</v>
      </c>
      <c r="F42">
        <v>134.84379999999999</v>
      </c>
      <c r="G42">
        <v>1079000000</v>
      </c>
      <c r="H42" t="s">
        <v>1437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90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  <c r="BG42" t="b">
        <f>ISNUMBER(MATCH(D42,'[1]USCLE+'!$W$11:$W$35,0))</f>
        <v>0</v>
      </c>
    </row>
    <row r="43" spans="1:59" x14ac:dyDescent="0.25">
      <c r="A43">
        <v>393</v>
      </c>
      <c r="B43" t="s">
        <v>455</v>
      </c>
      <c r="C43" t="s">
        <v>908</v>
      </c>
      <c r="D43" t="s">
        <v>1342</v>
      </c>
      <c r="E43" t="s">
        <v>61</v>
      </c>
      <c r="F43">
        <v>475.04689999999999</v>
      </c>
      <c r="G43">
        <v>305300000</v>
      </c>
      <c r="H43" t="s">
        <v>1436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57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  <c r="BG43" t="b">
        <f>ISNUMBER(MATCH(D43,'[1]USCLE+'!$W$11:$W$35,0))</f>
        <v>0</v>
      </c>
    </row>
    <row r="44" spans="1:59" x14ac:dyDescent="0.25">
      <c r="A44">
        <v>63</v>
      </c>
      <c r="B44" t="s">
        <v>171</v>
      </c>
      <c r="C44" t="s">
        <v>605</v>
      </c>
      <c r="D44" t="s">
        <v>1058</v>
      </c>
      <c r="E44" t="s">
        <v>61</v>
      </c>
      <c r="F44">
        <v>979.83450000000005</v>
      </c>
      <c r="G44">
        <v>154853330</v>
      </c>
      <c r="H44" t="s">
        <v>1436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38</v>
      </c>
      <c r="AX44" t="s">
        <v>1460</v>
      </c>
      <c r="AY44" t="s">
        <v>1480</v>
      </c>
      <c r="AZ44">
        <v>148</v>
      </c>
      <c r="BA44" t="s">
        <v>1530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  <c r="BG44" t="b">
        <f>ISNUMBER(MATCH(D44,'[1]USCLE+'!$W$11:$W$35,0))</f>
        <v>0</v>
      </c>
    </row>
    <row r="45" spans="1:59" x14ac:dyDescent="0.25">
      <c r="A45">
        <v>4</v>
      </c>
      <c r="B45" t="s">
        <v>122</v>
      </c>
      <c r="C45" t="s">
        <v>552</v>
      </c>
      <c r="D45" t="s">
        <v>1009</v>
      </c>
      <c r="E45" t="s">
        <v>61</v>
      </c>
      <c r="F45">
        <v>221.21520000000001</v>
      </c>
      <c r="G45">
        <v>622852700</v>
      </c>
      <c r="H45" t="s">
        <v>1436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67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  <c r="BG45" t="b">
        <f>ISNUMBER(MATCH(D45,'[1]USCLE+'!$W$11:$W$35,0))</f>
        <v>0</v>
      </c>
    </row>
    <row r="46" spans="1:59" x14ac:dyDescent="0.25">
      <c r="A46">
        <v>29</v>
      </c>
      <c r="B46" t="s">
        <v>143</v>
      </c>
      <c r="C46" t="s">
        <v>575</v>
      </c>
      <c r="D46" t="s">
        <v>1030</v>
      </c>
      <c r="E46" t="s">
        <v>61</v>
      </c>
      <c r="F46">
        <v>250.65710000000001</v>
      </c>
      <c r="G46">
        <v>538361900</v>
      </c>
      <c r="H46" t="s">
        <v>1437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118</v>
      </c>
      <c r="AX46" t="s">
        <v>1460</v>
      </c>
      <c r="AY46" t="s">
        <v>1480</v>
      </c>
      <c r="AZ46">
        <v>43</v>
      </c>
      <c r="BA46" t="s">
        <v>1532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  <c r="BG46" t="b">
        <f>ISNUMBER(MATCH(D46,'[1]USCLE+'!$W$11:$W$35,0))</f>
        <v>0</v>
      </c>
    </row>
    <row r="47" spans="1:59" x14ac:dyDescent="0.25">
      <c r="A47">
        <v>68</v>
      </c>
      <c r="B47" t="s">
        <v>176</v>
      </c>
      <c r="C47" t="s">
        <v>610</v>
      </c>
      <c r="D47" t="s">
        <v>1063</v>
      </c>
      <c r="E47" t="s">
        <v>61</v>
      </c>
      <c r="F47">
        <v>90.604190000000003</v>
      </c>
      <c r="G47">
        <v>1481751600</v>
      </c>
      <c r="H47" t="s">
        <v>1436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129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  <c r="BG47" t="b">
        <f>ISNUMBER(MATCH(D47,'[1]USCLE+'!$W$11:$W$35,0))</f>
        <v>0</v>
      </c>
    </row>
    <row r="48" spans="1:59" x14ac:dyDescent="0.25">
      <c r="A48">
        <v>5</v>
      </c>
      <c r="B48" t="s">
        <v>123</v>
      </c>
      <c r="C48" t="s">
        <v>553</v>
      </c>
      <c r="D48" t="s">
        <v>1010</v>
      </c>
      <c r="E48" t="s">
        <v>61</v>
      </c>
      <c r="F48">
        <v>309.00319999999999</v>
      </c>
      <c r="G48">
        <v>424200000</v>
      </c>
      <c r="H48" t="s">
        <v>1437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57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  <c r="BG48" t="b">
        <f>ISNUMBER(MATCH(D48,'[1]USCLE+'!$W$11:$W$35,0))</f>
        <v>0</v>
      </c>
    </row>
    <row r="49" spans="1:59" x14ac:dyDescent="0.25">
      <c r="A49">
        <v>282</v>
      </c>
      <c r="B49" t="s">
        <v>361</v>
      </c>
      <c r="C49" t="s">
        <v>805</v>
      </c>
      <c r="D49" t="s">
        <v>1248</v>
      </c>
      <c r="E49" t="s">
        <v>61</v>
      </c>
      <c r="F49">
        <v>225.06399999999999</v>
      </c>
      <c r="G49">
        <v>560437700</v>
      </c>
      <c r="H49" t="s">
        <v>1436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164</v>
      </c>
      <c r="AX49" t="s">
        <v>1460</v>
      </c>
      <c r="AY49" t="s">
        <v>1480</v>
      </c>
      <c r="AZ49">
        <v>191</v>
      </c>
      <c r="BA49" t="s">
        <v>1535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  <c r="BG49" t="b">
        <f>ISNUMBER(MATCH(D49,'[1]USCLE+'!$W$11:$W$35,0))</f>
        <v>0</v>
      </c>
    </row>
    <row r="50" spans="1:59" x14ac:dyDescent="0.25">
      <c r="A50">
        <v>352</v>
      </c>
      <c r="B50" t="s">
        <v>420</v>
      </c>
      <c r="C50" t="s">
        <v>871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100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  <c r="BG50" t="b">
        <f>ISNUMBER(MATCH(D50,'[1]USCLE+'!$W$11:$W$35,0))</f>
        <v>0</v>
      </c>
    </row>
    <row r="51" spans="1:59" x14ac:dyDescent="0.25">
      <c r="A51">
        <v>363</v>
      </c>
      <c r="B51" t="s">
        <v>428</v>
      </c>
      <c r="C51" t="s">
        <v>881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329</v>
      </c>
      <c r="AX51" t="s">
        <v>1460</v>
      </c>
      <c r="AY51" t="s">
        <v>1480</v>
      </c>
      <c r="AZ51">
        <v>152</v>
      </c>
      <c r="BA51" t="s">
        <v>1537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  <c r="BG51" t="b">
        <f>ISNUMBER(MATCH(D51,'[1]USCLE+'!$W$11:$W$35,0))</f>
        <v>0</v>
      </c>
    </row>
    <row r="52" spans="1:59" x14ac:dyDescent="0.25">
      <c r="A52">
        <v>220</v>
      </c>
      <c r="B52" t="s">
        <v>306</v>
      </c>
      <c r="C52" t="s">
        <v>746</v>
      </c>
      <c r="D52" t="s">
        <v>1193</v>
      </c>
      <c r="E52" t="s">
        <v>61</v>
      </c>
      <c r="F52">
        <v>97.943330000000003</v>
      </c>
      <c r="G52">
        <v>1240806900</v>
      </c>
      <c r="H52" t="s">
        <v>1437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48</v>
      </c>
      <c r="AX52" t="s">
        <v>1460</v>
      </c>
      <c r="AY52" t="s">
        <v>1480</v>
      </c>
      <c r="AZ52">
        <v>95</v>
      </c>
      <c r="BA52" t="s">
        <v>1538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  <c r="BG52" t="b">
        <f>ISNUMBER(MATCH(D52,'[1]USCLE+'!$W$11:$W$35,0))</f>
        <v>0</v>
      </c>
    </row>
    <row r="53" spans="1:59" x14ac:dyDescent="0.25">
      <c r="A53">
        <v>232</v>
      </c>
      <c r="B53" t="s">
        <v>317</v>
      </c>
      <c r="C53" t="s">
        <v>758</v>
      </c>
      <c r="D53" t="s">
        <v>1204</v>
      </c>
      <c r="E53" t="s">
        <v>61</v>
      </c>
      <c r="F53">
        <v>190.16040000000001</v>
      </c>
      <c r="G53">
        <v>634896550</v>
      </c>
      <c r="H53" t="s">
        <v>1437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44</v>
      </c>
      <c r="AX53" t="s">
        <v>1460</v>
      </c>
      <c r="AY53" t="s">
        <v>1480</v>
      </c>
      <c r="AZ53">
        <v>119</v>
      </c>
      <c r="BA53" t="s">
        <v>1539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  <c r="BG53" t="b">
        <f>ISNUMBER(MATCH(D53,'[1]USCLE+'!$W$11:$W$35,0))</f>
        <v>0</v>
      </c>
    </row>
    <row r="54" spans="1:59" x14ac:dyDescent="0.25">
      <c r="A54">
        <v>144</v>
      </c>
      <c r="B54" t="s">
        <v>237</v>
      </c>
      <c r="C54" t="s">
        <v>675</v>
      </c>
      <c r="D54" t="s">
        <v>1124</v>
      </c>
      <c r="E54" t="s">
        <v>61</v>
      </c>
      <c r="F54">
        <v>180.74760000000001</v>
      </c>
      <c r="G54">
        <v>716051600</v>
      </c>
      <c r="H54" t="s">
        <v>1436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171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  <c r="BG54" t="b">
        <f>ISNUMBER(MATCH(D54,'[1]USCLE+'!$W$11:$W$35,0))</f>
        <v>0</v>
      </c>
    </row>
    <row r="55" spans="1:59" x14ac:dyDescent="0.25">
      <c r="A55">
        <v>165</v>
      </c>
      <c r="B55" t="s">
        <v>257</v>
      </c>
      <c r="C55" t="s">
        <v>695</v>
      </c>
      <c r="D55" t="s">
        <v>1144</v>
      </c>
      <c r="E55" t="s">
        <v>61</v>
      </c>
      <c r="F55">
        <v>296.64620000000002</v>
      </c>
      <c r="G55">
        <v>389300000</v>
      </c>
      <c r="H55" t="s">
        <v>1436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313</v>
      </c>
      <c r="AX55" t="s">
        <v>1460</v>
      </c>
      <c r="AY55" t="s">
        <v>1480</v>
      </c>
      <c r="AZ55">
        <v>109</v>
      </c>
      <c r="BA55" t="s">
        <v>1541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  <c r="BG55" t="b">
        <f>ISNUMBER(MATCH(D55,'[1]USCLE+'!$W$11:$W$35,0))</f>
        <v>0</v>
      </c>
    </row>
    <row r="56" spans="1:59" x14ac:dyDescent="0.25">
      <c r="A56">
        <v>455</v>
      </c>
      <c r="B56" t="s">
        <v>509</v>
      </c>
      <c r="C56" t="s">
        <v>964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159</v>
      </c>
      <c r="AX56" t="s">
        <v>1460</v>
      </c>
      <c r="AY56" t="s">
        <v>1480</v>
      </c>
      <c r="AZ56">
        <v>110</v>
      </c>
      <c r="BA56" t="s">
        <v>1542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  <c r="BG56" t="b">
        <f>ISNUMBER(MATCH(D56,'[1]USCLE+'!$W$11:$W$35,0))</f>
        <v>0</v>
      </c>
    </row>
    <row r="57" spans="1:59" x14ac:dyDescent="0.25">
      <c r="A57">
        <v>30</v>
      </c>
      <c r="B57" t="s">
        <v>144</v>
      </c>
      <c r="C57" t="s">
        <v>576</v>
      </c>
      <c r="D57" t="s">
        <v>1031</v>
      </c>
      <c r="E57" t="s">
        <v>61</v>
      </c>
      <c r="F57">
        <v>93.326509999999999</v>
      </c>
      <c r="G57">
        <v>1220921100</v>
      </c>
      <c r="H57" t="s">
        <v>1436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131</v>
      </c>
      <c r="AX57" t="s">
        <v>1460</v>
      </c>
      <c r="AY57" t="s">
        <v>1480</v>
      </c>
      <c r="AZ57">
        <v>194</v>
      </c>
      <c r="BA57" t="s">
        <v>1543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  <c r="BG57" t="b">
        <f>ISNUMBER(MATCH(D57,'[1]USCLE+'!$W$11:$W$35,0))</f>
        <v>0</v>
      </c>
    </row>
    <row r="58" spans="1:59" x14ac:dyDescent="0.25">
      <c r="A58">
        <v>304</v>
      </c>
      <c r="B58" t="s">
        <v>380</v>
      </c>
      <c r="C58" t="s">
        <v>826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278</v>
      </c>
      <c r="AX58" t="s">
        <v>1460</v>
      </c>
      <c r="AY58" t="s">
        <v>1480</v>
      </c>
      <c r="AZ58">
        <v>145</v>
      </c>
      <c r="BA58" t="s">
        <v>1544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  <c r="BG58" t="b">
        <f>ISNUMBER(MATCH(D58,'[1]USCLE+'!$W$11:$W$35,0))</f>
        <v>0</v>
      </c>
    </row>
    <row r="59" spans="1:59" x14ac:dyDescent="0.25">
      <c r="A59">
        <v>37</v>
      </c>
      <c r="B59" t="s">
        <v>150</v>
      </c>
      <c r="C59" t="s">
        <v>583</v>
      </c>
      <c r="D59" t="s">
        <v>1037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118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  <c r="BG59" t="b">
        <f>ISNUMBER(MATCH(D59,'[1]USCLE+'!$W$11:$W$35,0))</f>
        <v>0</v>
      </c>
    </row>
    <row r="60" spans="1:59" x14ac:dyDescent="0.25">
      <c r="A60">
        <v>147</v>
      </c>
      <c r="B60" t="s">
        <v>240</v>
      </c>
      <c r="C60" t="s">
        <v>678</v>
      </c>
      <c r="D60" t="s">
        <v>1127</v>
      </c>
      <c r="E60" t="s">
        <v>61</v>
      </c>
      <c r="F60">
        <v>423.27190000000002</v>
      </c>
      <c r="G60">
        <v>270827060</v>
      </c>
      <c r="H60" t="s">
        <v>1436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183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  <c r="BG60" t="b">
        <f>ISNUMBER(MATCH(D60,'[1]USCLE+'!$W$11:$W$35,0))</f>
        <v>0</v>
      </c>
    </row>
    <row r="61" spans="1:59" x14ac:dyDescent="0.25">
      <c r="A61">
        <v>118</v>
      </c>
      <c r="B61" t="s">
        <v>213</v>
      </c>
      <c r="C61" t="s">
        <v>650</v>
      </c>
      <c r="D61" t="s">
        <v>1100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196</v>
      </c>
      <c r="AX61" t="s">
        <v>1460</v>
      </c>
      <c r="AY61" t="s">
        <v>1480</v>
      </c>
      <c r="AZ61">
        <v>157</v>
      </c>
      <c r="BA61" t="s">
        <v>1547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  <c r="BG61" t="b">
        <f>ISNUMBER(MATCH(D61,'[1]USCLE+'!$W$11:$W$35,0))</f>
        <v>0</v>
      </c>
    </row>
    <row r="62" spans="1:59" x14ac:dyDescent="0.25">
      <c r="A62">
        <v>49</v>
      </c>
      <c r="B62" t="s">
        <v>162</v>
      </c>
      <c r="C62" t="s">
        <v>595</v>
      </c>
      <c r="D62" t="s">
        <v>1049</v>
      </c>
      <c r="E62" t="s">
        <v>61</v>
      </c>
      <c r="F62">
        <v>262.80079999999998</v>
      </c>
      <c r="G62">
        <v>405043150</v>
      </c>
      <c r="H62" t="s">
        <v>1437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209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  <c r="BG62" t="b">
        <f>ISNUMBER(MATCH(D62,'[1]USCLE+'!$W$11:$W$35,0))</f>
        <v>0</v>
      </c>
    </row>
    <row r="63" spans="1:59" x14ac:dyDescent="0.25">
      <c r="A63">
        <v>32</v>
      </c>
      <c r="B63" t="s">
        <v>146</v>
      </c>
      <c r="C63" t="s">
        <v>578</v>
      </c>
      <c r="D63" t="s">
        <v>1033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0.94</v>
      </c>
      <c r="AG63">
        <v>0</v>
      </c>
      <c r="AH63">
        <v>0</v>
      </c>
      <c r="AI63">
        <v>11</v>
      </c>
      <c r="AX63" t="s">
        <v>1460</v>
      </c>
      <c r="AY63" t="s">
        <v>1480</v>
      </c>
      <c r="AZ63">
        <v>117</v>
      </c>
      <c r="BA63" t="s">
        <v>1549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  <c r="BG63" t="b">
        <f>ISNUMBER(MATCH(D63,'[1]USCLE+'!$W$11:$W$35,0))</f>
        <v>0</v>
      </c>
    </row>
    <row r="64" spans="1:59" x14ac:dyDescent="0.25">
      <c r="A64">
        <v>297</v>
      </c>
      <c r="B64" t="s">
        <v>374</v>
      </c>
      <c r="C64" t="s">
        <v>819</v>
      </c>
      <c r="D64" t="s">
        <v>1261</v>
      </c>
      <c r="E64" t="s">
        <v>61</v>
      </c>
      <c r="F64">
        <v>79.117599999999996</v>
      </c>
      <c r="G64">
        <v>1281264600</v>
      </c>
      <c r="H64" t="s">
        <v>1436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148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  <c r="BG64" t="b">
        <f>ISNUMBER(MATCH(D64,'[1]USCLE+'!$W$11:$W$35,0))</f>
        <v>0</v>
      </c>
    </row>
    <row r="65" spans="1:59" x14ac:dyDescent="0.25">
      <c r="A65">
        <v>268</v>
      </c>
      <c r="B65" t="s">
        <v>348</v>
      </c>
      <c r="C65" t="s">
        <v>792</v>
      </c>
      <c r="D65" t="s">
        <v>1235</v>
      </c>
      <c r="E65" t="s">
        <v>61</v>
      </c>
      <c r="F65">
        <v>742.68650000000002</v>
      </c>
      <c r="G65">
        <v>131961360</v>
      </c>
      <c r="H65" t="s">
        <v>1437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165</v>
      </c>
      <c r="AX65" t="s">
        <v>1460</v>
      </c>
      <c r="AY65" t="s">
        <v>1480</v>
      </c>
      <c r="AZ65">
        <v>172</v>
      </c>
      <c r="BA65" t="s">
        <v>1551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  <c r="BG65" t="b">
        <f>ISNUMBER(MATCH(D65,'[1]USCLE+'!$W$11:$W$35,0))</f>
        <v>0</v>
      </c>
    </row>
    <row r="66" spans="1:59" x14ac:dyDescent="0.25">
      <c r="A66">
        <v>18</v>
      </c>
      <c r="B66" t="s">
        <v>133</v>
      </c>
      <c r="C66" t="s">
        <v>564</v>
      </c>
      <c r="D66" t="s">
        <v>1020</v>
      </c>
      <c r="E66" t="s">
        <v>61</v>
      </c>
      <c r="F66">
        <v>57.748759999999997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82</v>
      </c>
      <c r="AX66" t="s">
        <v>1460</v>
      </c>
      <c r="AY66" t="s">
        <v>1480</v>
      </c>
      <c r="AZ66">
        <v>240</v>
      </c>
      <c r="BA66" t="s">
        <v>1552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  <c r="BG66" t="b">
        <f>ISNUMBER(MATCH(D66,'[1]USCLE+'!$W$11:$W$35,0))</f>
        <v>0</v>
      </c>
    </row>
    <row r="67" spans="1:59" x14ac:dyDescent="0.25">
      <c r="A67">
        <v>421</v>
      </c>
      <c r="B67" t="s">
        <v>480</v>
      </c>
      <c r="C67" t="s">
        <v>934</v>
      </c>
      <c r="D67" t="s">
        <v>1367</v>
      </c>
      <c r="E67" t="s">
        <v>61</v>
      </c>
      <c r="F67">
        <v>517.59690000000001</v>
      </c>
      <c r="G67">
        <v>185043640</v>
      </c>
      <c r="H67" t="s">
        <v>1437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194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  <c r="BG67" t="b">
        <f>ISNUMBER(MATCH(D67,'[1]USCLE+'!$W$11:$W$35,0))</f>
        <v>0</v>
      </c>
    </row>
    <row r="68" spans="1:59" x14ac:dyDescent="0.25">
      <c r="A68">
        <v>483</v>
      </c>
      <c r="B68" t="s">
        <v>533</v>
      </c>
      <c r="C68" t="s">
        <v>991</v>
      </c>
      <c r="D68" t="s">
        <v>1420</v>
      </c>
      <c r="E68" t="s">
        <v>61</v>
      </c>
      <c r="F68">
        <v>140.32259999999999</v>
      </c>
      <c r="G68">
        <v>667943900</v>
      </c>
      <c r="H68" t="s">
        <v>1436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235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  <c r="BG68" t="b">
        <f>ISNUMBER(MATCH(D68,'[1]USCLE+'!$W$11:$W$35,0))</f>
        <v>0</v>
      </c>
    </row>
    <row r="69" spans="1:59" x14ac:dyDescent="0.25">
      <c r="A69">
        <v>246</v>
      </c>
      <c r="B69" t="s">
        <v>329</v>
      </c>
      <c r="C69" t="s">
        <v>771</v>
      </c>
      <c r="D69" t="s">
        <v>1216</v>
      </c>
      <c r="E69" t="s">
        <v>61</v>
      </c>
      <c r="F69">
        <v>21.164020000000001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158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  <c r="BG69" t="b">
        <f>ISNUMBER(MATCH(D69,'[1]USCLE+'!$W$11:$W$35,0))</f>
        <v>0</v>
      </c>
    </row>
    <row r="70" spans="1:59" x14ac:dyDescent="0.25">
      <c r="A70">
        <v>100</v>
      </c>
      <c r="B70" t="s">
        <v>198</v>
      </c>
      <c r="C70" t="s">
        <v>633</v>
      </c>
      <c r="D70" t="s">
        <v>1085</v>
      </c>
      <c r="E70" t="s">
        <v>61</v>
      </c>
      <c r="F70">
        <v>236.97730000000001</v>
      </c>
      <c r="G70">
        <v>398690300</v>
      </c>
      <c r="H70" t="s">
        <v>1436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301</v>
      </c>
      <c r="AX70" t="s">
        <v>1460</v>
      </c>
      <c r="AY70" t="s">
        <v>1480</v>
      </c>
      <c r="AZ70">
        <v>247</v>
      </c>
      <c r="BA70" t="s">
        <v>1556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  <c r="BG70" t="b">
        <f>ISNUMBER(MATCH(D70,'[1]USCLE+'!$W$11:$W$35,0))</f>
        <v>0</v>
      </c>
    </row>
    <row r="71" spans="1:59" x14ac:dyDescent="0.25">
      <c r="A71">
        <v>364</v>
      </c>
      <c r="B71" t="s">
        <v>429</v>
      </c>
      <c r="C71" t="s">
        <v>882</v>
      </c>
      <c r="D71" t="s">
        <v>1316</v>
      </c>
      <c r="E71" t="s">
        <v>61</v>
      </c>
      <c r="F71">
        <v>95.818399999999997</v>
      </c>
      <c r="G71">
        <v>928063000</v>
      </c>
      <c r="H71" t="s">
        <v>1436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21</v>
      </c>
      <c r="AX71" t="s">
        <v>1460</v>
      </c>
      <c r="AY71" t="s">
        <v>1480</v>
      </c>
      <c r="AZ71">
        <v>138</v>
      </c>
      <c r="BA71" t="s">
        <v>1557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  <c r="BG71" t="b">
        <f>ISNUMBER(MATCH(D71,'[1]USCLE+'!$W$11:$W$35,0))</f>
        <v>0</v>
      </c>
    </row>
    <row r="72" spans="1:59" x14ac:dyDescent="0.25">
      <c r="A72">
        <v>290</v>
      </c>
      <c r="B72" t="s">
        <v>368</v>
      </c>
      <c r="C72" t="s">
        <v>812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286</v>
      </c>
      <c r="AX72" t="s">
        <v>1460</v>
      </c>
      <c r="AY72" t="s">
        <v>1480</v>
      </c>
      <c r="AZ72">
        <v>189</v>
      </c>
      <c r="BA72" t="s">
        <v>1558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  <c r="BG72" t="b">
        <f>ISNUMBER(MATCH(D72,'[1]USCLE+'!$W$11:$W$35,0))</f>
        <v>0</v>
      </c>
    </row>
    <row r="73" spans="1:59" x14ac:dyDescent="0.25">
      <c r="A73">
        <v>248</v>
      </c>
      <c r="B73" t="s">
        <v>331</v>
      </c>
      <c r="C73" t="s">
        <v>773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252</v>
      </c>
      <c r="AX73" t="s">
        <v>1460</v>
      </c>
      <c r="AY73" t="s">
        <v>1480</v>
      </c>
      <c r="AZ73">
        <v>210</v>
      </c>
      <c r="BA73" t="s">
        <v>1559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  <c r="BG73" t="b">
        <f>ISNUMBER(MATCH(D73,'[1]USCLE+'!$W$11:$W$35,0))</f>
        <v>0</v>
      </c>
    </row>
    <row r="74" spans="1:59" x14ac:dyDescent="0.25">
      <c r="A74">
        <v>411</v>
      </c>
      <c r="B74" t="s">
        <v>472</v>
      </c>
      <c r="C74" t="s">
        <v>926</v>
      </c>
      <c r="D74" t="s">
        <v>1359</v>
      </c>
      <c r="E74" t="s">
        <v>61</v>
      </c>
      <c r="F74">
        <v>75.422420000000002</v>
      </c>
      <c r="G74">
        <v>1136700000</v>
      </c>
      <c r="H74" t="s">
        <v>1437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88</v>
      </c>
      <c r="AX74" t="s">
        <v>1460</v>
      </c>
      <c r="AY74" t="s">
        <v>1480</v>
      </c>
      <c r="AZ74">
        <v>199</v>
      </c>
      <c r="BA74" t="s">
        <v>1560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  <c r="BG74" t="b">
        <f>ISNUMBER(MATCH(D74,'[1]USCLE+'!$W$11:$W$35,0))</f>
        <v>0</v>
      </c>
    </row>
    <row r="75" spans="1:59" x14ac:dyDescent="0.25">
      <c r="A75">
        <v>440</v>
      </c>
      <c r="B75" t="s">
        <v>495</v>
      </c>
      <c r="C75" t="s">
        <v>950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104</v>
      </c>
      <c r="AX75" t="s">
        <v>1460</v>
      </c>
      <c r="AY75" t="s">
        <v>1480</v>
      </c>
      <c r="AZ75">
        <v>123</v>
      </c>
      <c r="BA75" t="s">
        <v>1561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  <c r="BG75" t="b">
        <f>ISNUMBER(MATCH(D75,'[1]USCLE+'!$W$11:$W$35,0))</f>
        <v>0</v>
      </c>
    </row>
    <row r="76" spans="1:59" x14ac:dyDescent="0.25">
      <c r="A76">
        <v>69</v>
      </c>
      <c r="B76" t="s">
        <v>177</v>
      </c>
      <c r="C76" t="s">
        <v>611</v>
      </c>
      <c r="D76" t="s">
        <v>1064</v>
      </c>
      <c r="E76" t="s">
        <v>61</v>
      </c>
      <c r="F76">
        <v>40.894350000000003</v>
      </c>
      <c r="G76">
        <v>2035435800</v>
      </c>
      <c r="H76" t="s">
        <v>1436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14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  <c r="BG76" t="b">
        <f>ISNUMBER(MATCH(D76,'[1]USCLE+'!$W$11:$W$35,0))</f>
        <v>0</v>
      </c>
    </row>
    <row r="77" spans="1:59" x14ac:dyDescent="0.25">
      <c r="A77">
        <v>111</v>
      </c>
      <c r="B77" t="s">
        <v>207</v>
      </c>
      <c r="C77" t="s">
        <v>643</v>
      </c>
      <c r="D77" t="s">
        <v>1094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267</v>
      </c>
      <c r="AX77" t="s">
        <v>1460</v>
      </c>
      <c r="AY77" t="s">
        <v>1480</v>
      </c>
      <c r="AZ77">
        <v>232</v>
      </c>
      <c r="BA77" t="s">
        <v>1563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  <c r="BG77" t="b">
        <f>ISNUMBER(MATCH(D77,'[1]USCLE+'!$W$11:$W$35,0))</f>
        <v>0</v>
      </c>
    </row>
    <row r="78" spans="1:59" x14ac:dyDescent="0.25">
      <c r="A78">
        <v>123</v>
      </c>
      <c r="B78" t="s">
        <v>218</v>
      </c>
      <c r="C78" t="s">
        <v>655</v>
      </c>
      <c r="D78" t="s">
        <v>1105</v>
      </c>
      <c r="E78" t="s">
        <v>61</v>
      </c>
      <c r="F78">
        <v>264.68680000000001</v>
      </c>
      <c r="G78">
        <v>312405580</v>
      </c>
      <c r="H78" t="s">
        <v>1437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6.4399999999999999E-2</v>
      </c>
      <c r="AF78">
        <v>0.91</v>
      </c>
      <c r="AG78">
        <v>0</v>
      </c>
      <c r="AH78">
        <v>6.4399999999999999E-2</v>
      </c>
      <c r="AI78">
        <v>196</v>
      </c>
      <c r="AX78" t="s">
        <v>1460</v>
      </c>
      <c r="AY78" t="s">
        <v>1480</v>
      </c>
      <c r="AZ78">
        <v>239</v>
      </c>
      <c r="BA78" t="s">
        <v>1564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  <c r="BG78" t="b">
        <f>ISNUMBER(MATCH(D78,'[1]USCLE+'!$W$11:$W$35,0))</f>
        <v>0</v>
      </c>
    </row>
    <row r="79" spans="1:59" x14ac:dyDescent="0.25">
      <c r="A79">
        <v>346</v>
      </c>
      <c r="B79" t="s">
        <v>415</v>
      </c>
      <c r="C79" t="s">
        <v>866</v>
      </c>
      <c r="D79" t="s">
        <v>1302</v>
      </c>
      <c r="E79" t="s">
        <v>61</v>
      </c>
      <c r="F79">
        <v>642.02940000000001</v>
      </c>
      <c r="G79">
        <v>126682150</v>
      </c>
      <c r="H79" t="s">
        <v>1436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75</v>
      </c>
      <c r="AX79" t="s">
        <v>1460</v>
      </c>
      <c r="AY79" t="s">
        <v>1480</v>
      </c>
      <c r="AZ79">
        <v>204</v>
      </c>
      <c r="BA79" t="s">
        <v>1565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  <c r="BG79" t="b">
        <f>ISNUMBER(MATCH(D79,'[1]USCLE+'!$W$11:$W$35,0))</f>
        <v>0</v>
      </c>
    </row>
    <row r="80" spans="1:59" x14ac:dyDescent="0.25">
      <c r="A80">
        <v>76</v>
      </c>
      <c r="B80" t="s">
        <v>181</v>
      </c>
      <c r="C80" t="s">
        <v>616</v>
      </c>
      <c r="D80" t="s">
        <v>1068</v>
      </c>
      <c r="E80" t="s">
        <v>61</v>
      </c>
      <c r="F80">
        <v>298.37</v>
      </c>
      <c r="G80">
        <v>272490000</v>
      </c>
      <c r="H80" t="s">
        <v>1437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27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  <c r="BG80" t="b">
        <f>ISNUMBER(MATCH(D80,'[1]USCLE+'!$W$11:$W$35,0))</f>
        <v>0</v>
      </c>
    </row>
    <row r="81" spans="1:59" x14ac:dyDescent="0.25">
      <c r="A81">
        <v>445</v>
      </c>
      <c r="B81" t="s">
        <v>499</v>
      </c>
      <c r="C81" t="s">
        <v>954</v>
      </c>
      <c r="D81" t="s">
        <v>1386</v>
      </c>
      <c r="E81" t="s">
        <v>61</v>
      </c>
      <c r="F81">
        <v>361.93040000000002</v>
      </c>
      <c r="G81">
        <v>222515370</v>
      </c>
      <c r="H81" t="s">
        <v>1436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183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  <c r="BG81" t="b">
        <f>ISNUMBER(MATCH(D81,'[1]USCLE+'!$W$11:$W$35,0))</f>
        <v>0</v>
      </c>
    </row>
    <row r="82" spans="1:59" x14ac:dyDescent="0.25">
      <c r="A82">
        <v>322</v>
      </c>
      <c r="B82" t="s">
        <v>395</v>
      </c>
      <c r="C82" t="s">
        <v>843</v>
      </c>
      <c r="D82" t="s">
        <v>1282</v>
      </c>
      <c r="E82" t="s">
        <v>61</v>
      </c>
      <c r="F82">
        <v>66.888540000000006</v>
      </c>
      <c r="G82">
        <v>1188015700</v>
      </c>
      <c r="H82" t="s">
        <v>1436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23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  <c r="BG82" t="b">
        <f>ISNUMBER(MATCH(D82,'[1]USCLE+'!$W$11:$W$35,0))</f>
        <v>0</v>
      </c>
    </row>
    <row r="83" spans="1:59" x14ac:dyDescent="0.25">
      <c r="A83">
        <v>141</v>
      </c>
      <c r="B83" t="s">
        <v>234</v>
      </c>
      <c r="C83" t="s">
        <v>672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28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  <c r="BG83" t="b">
        <f>ISNUMBER(MATCH(D83,'[1]USCLE+'!$W$11:$W$35,0))</f>
        <v>0</v>
      </c>
    </row>
    <row r="84" spans="1:59" x14ac:dyDescent="0.25">
      <c r="A84">
        <v>391</v>
      </c>
      <c r="B84" t="s">
        <v>453</v>
      </c>
      <c r="C84" t="s">
        <v>906</v>
      </c>
      <c r="D84" t="s">
        <v>1340</v>
      </c>
      <c r="E84" t="s">
        <v>61</v>
      </c>
      <c r="F84">
        <v>294.13720000000001</v>
      </c>
      <c r="G84">
        <v>271627660</v>
      </c>
      <c r="H84" t="s">
        <v>1436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118</v>
      </c>
      <c r="AX84" t="s">
        <v>1460</v>
      </c>
      <c r="AY84" t="s">
        <v>1480</v>
      </c>
      <c r="AZ84">
        <v>160</v>
      </c>
      <c r="BA84" t="s">
        <v>1570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  <c r="BG84" t="b">
        <f>ISNUMBER(MATCH(D84,'[1]USCLE+'!$W$11:$W$35,0))</f>
        <v>0</v>
      </c>
    </row>
    <row r="85" spans="1:59" x14ac:dyDescent="0.25">
      <c r="A85">
        <v>1</v>
      </c>
      <c r="B85" t="s">
        <v>120</v>
      </c>
      <c r="C85" t="s">
        <v>549</v>
      </c>
      <c r="D85" t="s">
        <v>1007</v>
      </c>
      <c r="E85" t="s">
        <v>61</v>
      </c>
      <c r="F85">
        <v>135.44970000000001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238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  <c r="BG85" t="b">
        <f>ISNUMBER(MATCH(D85,'[1]USCLE+'!$W$11:$W$35,0))</f>
        <v>0</v>
      </c>
    </row>
    <row r="86" spans="1:59" x14ac:dyDescent="0.25">
      <c r="A86">
        <v>479</v>
      </c>
      <c r="B86" t="s">
        <v>529</v>
      </c>
      <c r="C86" t="s">
        <v>987</v>
      </c>
      <c r="D86" t="s">
        <v>1416</v>
      </c>
      <c r="E86" t="s">
        <v>61</v>
      </c>
      <c r="F86">
        <v>193.73609999999999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248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  <c r="BG86" t="b">
        <f>ISNUMBER(MATCH(D86,'[1]USCLE+'!$W$11:$W$35,0))</f>
        <v>0</v>
      </c>
    </row>
    <row r="87" spans="1:59" x14ac:dyDescent="0.25">
      <c r="A87">
        <v>306</v>
      </c>
      <c r="B87" t="s">
        <v>381</v>
      </c>
      <c r="C87" t="s">
        <v>828</v>
      </c>
      <c r="D87" t="s">
        <v>1268</v>
      </c>
      <c r="E87" t="s">
        <v>61</v>
      </c>
      <c r="F87">
        <v>54.113329999999998</v>
      </c>
      <c r="G87">
        <v>1293945400</v>
      </c>
      <c r="H87" t="s">
        <v>1437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79</v>
      </c>
      <c r="AX87" t="s">
        <v>1460</v>
      </c>
      <c r="AY87" t="s">
        <v>1480</v>
      </c>
      <c r="AZ87">
        <v>182</v>
      </c>
      <c r="BA87" t="s">
        <v>1573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  <c r="BG87" t="b">
        <f>ISNUMBER(MATCH(D87,'[1]USCLE+'!$W$11:$W$35,0))</f>
        <v>0</v>
      </c>
    </row>
    <row r="88" spans="1:59" x14ac:dyDescent="0.25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  <c r="BA88" t="s">
        <v>1574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  <c r="BG88" t="b">
        <f>ISNUMBER(MATCH(D88,'[1]USCLE+'!$W$11:$W$35,0))</f>
        <v>0</v>
      </c>
    </row>
    <row r="89" spans="1:59" x14ac:dyDescent="0.25">
      <c r="A89">
        <v>357</v>
      </c>
      <c r="B89" t="s">
        <v>424</v>
      </c>
      <c r="C89" t="s">
        <v>876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271</v>
      </c>
      <c r="AX89" t="s">
        <v>1460</v>
      </c>
      <c r="AY89" t="s">
        <v>1480</v>
      </c>
      <c r="AZ89">
        <v>248</v>
      </c>
      <c r="BA89" t="s">
        <v>1575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  <c r="BG89" t="b">
        <f>ISNUMBER(MATCH(D89,'[1]USCLE+'!$W$11:$W$35,0))</f>
        <v>0</v>
      </c>
    </row>
    <row r="90" spans="1:59" x14ac:dyDescent="0.25">
      <c r="A90">
        <v>310</v>
      </c>
      <c r="B90" t="s">
        <v>385</v>
      </c>
      <c r="C90" t="s">
        <v>832</v>
      </c>
      <c r="D90" t="s">
        <v>1272</v>
      </c>
      <c r="E90" t="s">
        <v>61</v>
      </c>
      <c r="F90">
        <v>440.35669999999999</v>
      </c>
      <c r="G90">
        <v>179400000</v>
      </c>
      <c r="H90" t="s">
        <v>1436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69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  <c r="BG90" t="b">
        <f>ISNUMBER(MATCH(D90,'[1]USCLE+'!$W$11:$W$35,0))</f>
        <v>0</v>
      </c>
    </row>
    <row r="91" spans="1:59" x14ac:dyDescent="0.25">
      <c r="A91">
        <v>320</v>
      </c>
      <c r="B91" t="s">
        <v>393</v>
      </c>
      <c r="C91" t="s">
        <v>841</v>
      </c>
      <c r="D91" t="s">
        <v>1280</v>
      </c>
      <c r="E91" t="s">
        <v>61</v>
      </c>
      <c r="F91">
        <v>60.394260000000003</v>
      </c>
      <c r="G91">
        <v>1098449700</v>
      </c>
      <c r="H91" t="s">
        <v>1436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131</v>
      </c>
      <c r="AX91" t="s">
        <v>1460</v>
      </c>
      <c r="AY91" t="s">
        <v>1480</v>
      </c>
      <c r="AZ91">
        <v>129</v>
      </c>
      <c r="BA91" t="s">
        <v>1577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  <c r="BG91" t="b">
        <f>ISNUMBER(MATCH(D91,'[1]USCLE+'!$W$11:$W$35,0))</f>
        <v>0</v>
      </c>
    </row>
    <row r="92" spans="1:59" x14ac:dyDescent="0.25">
      <c r="A92">
        <v>182</v>
      </c>
      <c r="B92" t="s">
        <v>272</v>
      </c>
      <c r="C92" t="s">
        <v>711</v>
      </c>
      <c r="D92" t="s">
        <v>1159</v>
      </c>
      <c r="E92" t="s">
        <v>61</v>
      </c>
      <c r="F92">
        <v>671.16399999999999</v>
      </c>
      <c r="G92">
        <v>97863980</v>
      </c>
      <c r="H92" t="s">
        <v>1437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156</v>
      </c>
      <c r="AX92" t="s">
        <v>1460</v>
      </c>
      <c r="AY92" t="s">
        <v>1480</v>
      </c>
      <c r="AZ92">
        <v>1</v>
      </c>
      <c r="BA92" t="s">
        <v>1578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  <c r="BG92" t="b">
        <f>ISNUMBER(MATCH(D92,'[1]USCLE+'!$W$11:$W$35,0))</f>
        <v>0</v>
      </c>
    </row>
    <row r="93" spans="1:59" x14ac:dyDescent="0.25">
      <c r="A93">
        <v>312</v>
      </c>
      <c r="B93" t="s">
        <v>387</v>
      </c>
      <c r="C93" t="s">
        <v>834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126</v>
      </c>
      <c r="AX93" t="s">
        <v>1460</v>
      </c>
      <c r="AY93" t="s">
        <v>1480</v>
      </c>
      <c r="AZ93">
        <v>116</v>
      </c>
      <c r="BA93" t="s">
        <v>1579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  <c r="BG93" t="b">
        <f>ISNUMBER(MATCH(D93,'[1]USCLE+'!$W$11:$W$35,0))</f>
        <v>0</v>
      </c>
    </row>
    <row r="94" spans="1:59" x14ac:dyDescent="0.25">
      <c r="A94">
        <v>135</v>
      </c>
      <c r="B94" t="s">
        <v>228</v>
      </c>
      <c r="C94" t="s">
        <v>666</v>
      </c>
      <c r="D94" t="s">
        <v>1115</v>
      </c>
      <c r="E94" t="s">
        <v>61</v>
      </c>
      <c r="F94">
        <v>96.714449999999999</v>
      </c>
      <c r="G94">
        <v>672659300</v>
      </c>
      <c r="H94" t="s">
        <v>1436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72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  <c r="BG94" t="b">
        <f>ISNUMBER(MATCH(D94,'[1]USCLE+'!$W$11:$W$35,0))</f>
        <v>0</v>
      </c>
    </row>
    <row r="95" spans="1:59" x14ac:dyDescent="0.25">
      <c r="A95">
        <v>202</v>
      </c>
      <c r="B95" t="s">
        <v>291</v>
      </c>
      <c r="C95" t="s">
        <v>730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245</v>
      </c>
      <c r="AX95" t="s">
        <v>1460</v>
      </c>
      <c r="AY95" t="s">
        <v>1480</v>
      </c>
      <c r="AZ95">
        <v>241</v>
      </c>
      <c r="BA95" t="s">
        <v>1581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  <c r="BG95" t="b">
        <f>ISNUMBER(MATCH(D95,'[1]USCLE+'!$W$11:$W$35,0))</f>
        <v>0</v>
      </c>
    </row>
    <row r="96" spans="1:59" x14ac:dyDescent="0.25">
      <c r="A96">
        <v>174</v>
      </c>
      <c r="B96" t="s">
        <v>265</v>
      </c>
      <c r="C96" t="s">
        <v>704</v>
      </c>
      <c r="D96" t="s">
        <v>1152</v>
      </c>
      <c r="E96" t="s">
        <v>61</v>
      </c>
      <c r="F96">
        <v>114.15770000000001</v>
      </c>
      <c r="G96">
        <v>562800000</v>
      </c>
      <c r="H96" t="s">
        <v>1436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104</v>
      </c>
      <c r="AX96" t="s">
        <v>1460</v>
      </c>
      <c r="AY96" t="s">
        <v>1480</v>
      </c>
      <c r="AZ96">
        <v>223</v>
      </c>
      <c r="BA96" t="s">
        <v>1582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  <c r="BG96" t="b">
        <f>ISNUMBER(MATCH(D96,'[1]USCLE+'!$W$11:$W$35,0))</f>
        <v>0</v>
      </c>
    </row>
    <row r="97" spans="1:59" x14ac:dyDescent="0.25">
      <c r="A97">
        <v>452</v>
      </c>
      <c r="B97" t="s">
        <v>506</v>
      </c>
      <c r="C97" t="s">
        <v>961</v>
      </c>
      <c r="D97" t="s">
        <v>1393</v>
      </c>
      <c r="E97" t="s">
        <v>61</v>
      </c>
      <c r="F97">
        <v>41.201569999999997</v>
      </c>
      <c r="G97">
        <v>1556189500</v>
      </c>
      <c r="H97" t="s">
        <v>1436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340</v>
      </c>
      <c r="AX97" t="s">
        <v>1460</v>
      </c>
      <c r="AY97" t="s">
        <v>1480</v>
      </c>
      <c r="AZ97">
        <v>221</v>
      </c>
      <c r="BA97" t="s">
        <v>1583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  <c r="BG97" t="b">
        <f>ISNUMBER(MATCH(D97,'[1]USCLE+'!$W$11:$W$35,0))</f>
        <v>0</v>
      </c>
    </row>
    <row r="98" spans="1:59" x14ac:dyDescent="0.25">
      <c r="A98">
        <v>105</v>
      </c>
      <c r="B98" t="s">
        <v>202</v>
      </c>
      <c r="C98" t="s">
        <v>637</v>
      </c>
      <c r="D98" t="s">
        <v>1089</v>
      </c>
      <c r="E98" t="s">
        <v>61</v>
      </c>
      <c r="F98">
        <v>183.9819</v>
      </c>
      <c r="G98">
        <v>402977940</v>
      </c>
      <c r="H98" t="s">
        <v>1437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177</v>
      </c>
      <c r="AX98" t="s">
        <v>1460</v>
      </c>
      <c r="AY98" t="s">
        <v>1480</v>
      </c>
      <c r="AZ98">
        <v>216</v>
      </c>
      <c r="BA98" t="s">
        <v>1584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  <c r="BG98" t="b">
        <f>ISNUMBER(MATCH(D98,'[1]USCLE+'!$W$11:$W$35,0))</f>
        <v>0</v>
      </c>
    </row>
    <row r="99" spans="1:59" x14ac:dyDescent="0.25">
      <c r="A99">
        <v>167</v>
      </c>
      <c r="B99" t="s">
        <v>259</v>
      </c>
      <c r="C99" t="s">
        <v>697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100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  <c r="BG99" t="b">
        <f>ISNUMBER(MATCH(D99,'[1]USCLE+'!$W$11:$W$35,0))</f>
        <v>0</v>
      </c>
    </row>
    <row r="100" spans="1:59" x14ac:dyDescent="0.25">
      <c r="A100">
        <v>54</v>
      </c>
      <c r="B100" t="s">
        <v>167</v>
      </c>
      <c r="C100" t="s">
        <v>600</v>
      </c>
      <c r="D100" t="s">
        <v>1054</v>
      </c>
      <c r="E100" t="s">
        <v>61</v>
      </c>
      <c r="F100">
        <v>87.506399999999999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13</v>
      </c>
      <c r="AX100" t="s">
        <v>1460</v>
      </c>
      <c r="AY100" t="s">
        <v>1480</v>
      </c>
      <c r="AZ100">
        <v>102</v>
      </c>
      <c r="BA100" t="s">
        <v>1586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  <c r="BG100" t="b">
        <f>ISNUMBER(MATCH(D100,'[1]USCLE+'!$W$11:$W$35,0))</f>
        <v>0</v>
      </c>
    </row>
    <row r="101" spans="1:59" x14ac:dyDescent="0.25">
      <c r="A101">
        <v>241</v>
      </c>
      <c r="B101" t="s">
        <v>325</v>
      </c>
      <c r="C101" t="s">
        <v>767</v>
      </c>
      <c r="D101" t="s">
        <v>1212</v>
      </c>
      <c r="E101" t="s">
        <v>61</v>
      </c>
      <c r="F101">
        <v>229.91130000000001</v>
      </c>
      <c r="G101">
        <v>291500000</v>
      </c>
      <c r="H101" t="s">
        <v>1436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278</v>
      </c>
      <c r="AX101" t="s">
        <v>1460</v>
      </c>
      <c r="AY101" t="s">
        <v>1480</v>
      </c>
      <c r="AZ101">
        <v>214</v>
      </c>
      <c r="BA101" t="s">
        <v>1587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  <c r="BG101" t="b">
        <f>ISNUMBER(MATCH(D101,'[1]USCLE+'!$W$11:$W$35,0))</f>
        <v>0</v>
      </c>
    </row>
    <row r="102" spans="1:59" x14ac:dyDescent="0.25">
      <c r="A102">
        <v>257</v>
      </c>
      <c r="B102" t="s">
        <v>339</v>
      </c>
      <c r="C102" t="s">
        <v>782</v>
      </c>
      <c r="D102" t="s">
        <v>1226</v>
      </c>
      <c r="E102" t="s">
        <v>61</v>
      </c>
      <c r="F102">
        <v>91.534390000000002</v>
      </c>
      <c r="G102">
        <v>654385440</v>
      </c>
      <c r="H102" t="s">
        <v>1436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72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  <c r="BG102" t="b">
        <f>ISNUMBER(MATCH(D102,'[1]USCLE+'!$W$11:$W$35,0))</f>
        <v>0</v>
      </c>
    </row>
    <row r="103" spans="1:59" x14ac:dyDescent="0.25">
      <c r="A103">
        <v>489</v>
      </c>
      <c r="B103" t="s">
        <v>538</v>
      </c>
      <c r="C103" t="s">
        <v>996</v>
      </c>
      <c r="D103" t="s">
        <v>1425</v>
      </c>
      <c r="E103" t="s">
        <v>61</v>
      </c>
      <c r="F103">
        <v>48.702849999999998</v>
      </c>
      <c r="G103">
        <v>1221177400</v>
      </c>
      <c r="H103" t="s">
        <v>1436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231</v>
      </c>
      <c r="AX103" t="s">
        <v>1460</v>
      </c>
      <c r="AY103" t="s">
        <v>1480</v>
      </c>
      <c r="AZ103">
        <v>166</v>
      </c>
      <c r="BA103" t="s">
        <v>1589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  <c r="BG103" t="b">
        <f>ISNUMBER(MATCH(D103,'[1]USCLE+'!$W$11:$W$35,0))</f>
        <v>0</v>
      </c>
    </row>
    <row r="104" spans="1:59" x14ac:dyDescent="0.25">
      <c r="A104">
        <v>117</v>
      </c>
      <c r="B104" t="s">
        <v>212</v>
      </c>
      <c r="C104" t="s">
        <v>649</v>
      </c>
      <c r="D104" t="s">
        <v>1099</v>
      </c>
      <c r="E104" t="s">
        <v>61</v>
      </c>
      <c r="F104">
        <v>73.340159999999997</v>
      </c>
      <c r="G104">
        <v>808220800</v>
      </c>
      <c r="H104" t="s">
        <v>1436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88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  <c r="BG104" t="b">
        <f>ISNUMBER(MATCH(D104,'[1]USCLE+'!$W$11:$W$35,0))</f>
        <v>0</v>
      </c>
    </row>
    <row r="105" spans="1:59" x14ac:dyDescent="0.25">
      <c r="A105">
        <v>498</v>
      </c>
      <c r="B105" t="s">
        <v>546</v>
      </c>
      <c r="C105" t="s">
        <v>1004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296</v>
      </c>
      <c r="AX105" t="s">
        <v>1460</v>
      </c>
      <c r="AY105" t="s">
        <v>1480</v>
      </c>
      <c r="AZ105">
        <v>200</v>
      </c>
      <c r="BA105" t="s">
        <v>1591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  <c r="BG105" t="b">
        <f>ISNUMBER(MATCH(D105,'[1]USCLE+'!$W$11:$W$35,0))</f>
        <v>0</v>
      </c>
    </row>
    <row r="106" spans="1:59" x14ac:dyDescent="0.25">
      <c r="A106">
        <v>233</v>
      </c>
      <c r="B106" t="s">
        <v>318</v>
      </c>
      <c r="C106" t="s">
        <v>759</v>
      </c>
      <c r="D106" t="s">
        <v>1205</v>
      </c>
      <c r="E106" t="s">
        <v>61</v>
      </c>
      <c r="F106">
        <v>145.92930000000001</v>
      </c>
      <c r="G106">
        <v>403126300</v>
      </c>
      <c r="H106" t="s">
        <v>1436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12</v>
      </c>
      <c r="AX106" t="s">
        <v>1460</v>
      </c>
      <c r="AY106" t="s">
        <v>1480</v>
      </c>
      <c r="AZ106">
        <v>178</v>
      </c>
      <c r="BA106" t="s">
        <v>1592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  <c r="BG106" t="b">
        <f>ISNUMBER(MATCH(D106,'[1]USCLE+'!$W$11:$W$35,0))</f>
        <v>0</v>
      </c>
    </row>
    <row r="107" spans="1:59" x14ac:dyDescent="0.25">
      <c r="A107">
        <v>348</v>
      </c>
      <c r="B107" t="s">
        <v>417</v>
      </c>
      <c r="C107" t="s">
        <v>868</v>
      </c>
      <c r="D107" t="s">
        <v>1304</v>
      </c>
      <c r="E107" t="s">
        <v>61</v>
      </c>
      <c r="F107">
        <v>59.651820000000001</v>
      </c>
      <c r="G107">
        <v>955378400</v>
      </c>
      <c r="H107" t="s">
        <v>1437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110</v>
      </c>
      <c r="AX107" t="s">
        <v>1460</v>
      </c>
      <c r="AY107" t="s">
        <v>1480</v>
      </c>
      <c r="AZ107">
        <v>236</v>
      </c>
      <c r="BA107" t="s">
        <v>1593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  <c r="BG107" t="b">
        <f>ISNUMBER(MATCH(D107,'[1]USCLE+'!$W$11:$W$35,0))</f>
        <v>0</v>
      </c>
    </row>
    <row r="108" spans="1:59" x14ac:dyDescent="0.25">
      <c r="A108">
        <v>12</v>
      </c>
      <c r="B108" t="s">
        <v>129</v>
      </c>
      <c r="C108" t="s">
        <v>559</v>
      </c>
      <c r="D108" t="s">
        <v>1016</v>
      </c>
      <c r="E108" t="s">
        <v>61</v>
      </c>
      <c r="F108">
        <v>255.41900000000001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333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  <c r="BG108" t="b">
        <f>ISNUMBER(MATCH(D108,'[1]USCLE+'!$W$11:$W$35,0))</f>
        <v>0</v>
      </c>
    </row>
    <row r="109" spans="1:59" x14ac:dyDescent="0.25">
      <c r="A109">
        <v>227</v>
      </c>
      <c r="B109" t="s">
        <v>313</v>
      </c>
      <c r="C109" t="s">
        <v>753</v>
      </c>
      <c r="D109" t="s">
        <v>1200</v>
      </c>
      <c r="E109" t="s">
        <v>61</v>
      </c>
      <c r="F109">
        <v>345.59649999999999</v>
      </c>
      <c r="G109">
        <v>233993500</v>
      </c>
      <c r="H109" t="s">
        <v>1436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268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  <c r="BG109" t="b">
        <f>ISNUMBER(MATCH(D109,'[1]USCLE+'!$W$11:$W$35,0))</f>
        <v>0</v>
      </c>
    </row>
    <row r="110" spans="1:59" x14ac:dyDescent="0.25">
      <c r="A110">
        <v>138</v>
      </c>
      <c r="B110" t="s">
        <v>231</v>
      </c>
      <c r="C110" t="s">
        <v>669</v>
      </c>
      <c r="D110" t="s">
        <v>1118</v>
      </c>
      <c r="E110" t="s">
        <v>61</v>
      </c>
      <c r="F110">
        <v>29.510159999999999</v>
      </c>
      <c r="G110">
        <v>1864277000</v>
      </c>
      <c r="H110" t="s">
        <v>1437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209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  <c r="BG110" t="b">
        <f>ISNUMBER(MATCH(D110,'[1]USCLE+'!$W$11:$W$35,0))</f>
        <v>0</v>
      </c>
    </row>
    <row r="111" spans="1:59" x14ac:dyDescent="0.25">
      <c r="A111">
        <v>324</v>
      </c>
      <c r="B111" t="s">
        <v>397</v>
      </c>
      <c r="C111" t="s">
        <v>845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242</v>
      </c>
      <c r="AX111" t="s">
        <v>1460</v>
      </c>
      <c r="AY111" t="s">
        <v>1480</v>
      </c>
      <c r="AZ111">
        <v>169</v>
      </c>
      <c r="BA111" t="s">
        <v>1597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  <c r="BG111" t="b">
        <f>ISNUMBER(MATCH(D111,'[1]USCLE+'!$W$11:$W$35,0))</f>
        <v>0</v>
      </c>
    </row>
    <row r="112" spans="1:59" x14ac:dyDescent="0.25">
      <c r="A112">
        <v>448</v>
      </c>
      <c r="B112" t="s">
        <v>502</v>
      </c>
      <c r="C112" t="s">
        <v>957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0.94</v>
      </c>
      <c r="AG112">
        <v>0</v>
      </c>
      <c r="AH112">
        <v>0</v>
      </c>
      <c r="AI112">
        <v>226</v>
      </c>
      <c r="AX112" t="s">
        <v>1460</v>
      </c>
      <c r="AY112" t="s">
        <v>1480</v>
      </c>
      <c r="AZ112">
        <v>242</v>
      </c>
      <c r="BA112" t="s">
        <v>1598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  <c r="BG112" t="b">
        <f>ISNUMBER(MATCH(D112,'[1]USCLE+'!$W$11:$W$35,0))</f>
        <v>0</v>
      </c>
    </row>
    <row r="113" spans="1:59" x14ac:dyDescent="0.25">
      <c r="A113">
        <v>209</v>
      </c>
      <c r="B113" t="s">
        <v>296</v>
      </c>
      <c r="C113" t="s">
        <v>735</v>
      </c>
      <c r="D113" t="s">
        <v>1183</v>
      </c>
      <c r="E113" t="s">
        <v>61</v>
      </c>
      <c r="F113">
        <v>36.934629999999999</v>
      </c>
      <c r="G113">
        <v>1435774200</v>
      </c>
      <c r="H113" t="s">
        <v>1436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250</v>
      </c>
      <c r="AX113" t="s">
        <v>1460</v>
      </c>
      <c r="AY113" t="s">
        <v>1480</v>
      </c>
      <c r="AZ113">
        <v>209</v>
      </c>
      <c r="BA113" t="s">
        <v>1599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  <c r="BG113" t="b">
        <f>ISNUMBER(MATCH(D113,'[1]USCLE+'!$W$11:$W$35,0))</f>
        <v>0</v>
      </c>
    </row>
    <row r="114" spans="1:59" x14ac:dyDescent="0.25">
      <c r="A114">
        <v>48</v>
      </c>
      <c r="B114" t="s">
        <v>161</v>
      </c>
      <c r="C114" t="s">
        <v>594</v>
      </c>
      <c r="D114" t="s">
        <v>1048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295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  <c r="BG114" t="b">
        <f>ISNUMBER(MATCH(D114,'[1]USCLE+'!$W$11:$W$35,0))</f>
        <v>0</v>
      </c>
    </row>
    <row r="115" spans="1:59" x14ac:dyDescent="0.25">
      <c r="A115">
        <v>378</v>
      </c>
      <c r="B115" t="s">
        <v>442</v>
      </c>
      <c r="C115" t="s">
        <v>895</v>
      </c>
      <c r="D115" t="s">
        <v>1329</v>
      </c>
      <c r="E115" t="s">
        <v>61</v>
      </c>
      <c r="F115">
        <v>503.05509999999998</v>
      </c>
      <c r="G115">
        <v>104170296</v>
      </c>
      <c r="H115" t="s">
        <v>1437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242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  <c r="BG115" t="b">
        <f>ISNUMBER(MATCH(D115,'[1]USCLE+'!$W$11:$W$35,0))</f>
        <v>0</v>
      </c>
    </row>
    <row r="116" spans="1:59" x14ac:dyDescent="0.25">
      <c r="A116">
        <v>429</v>
      </c>
      <c r="B116" t="s">
        <v>487</v>
      </c>
      <c r="C116" t="s">
        <v>941</v>
      </c>
      <c r="D116" t="s">
        <v>1374</v>
      </c>
      <c r="E116" t="s">
        <v>61</v>
      </c>
      <c r="F116">
        <v>174.94450000000001</v>
      </c>
      <c r="G116">
        <v>295481480</v>
      </c>
      <c r="H116" t="s">
        <v>1436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199</v>
      </c>
      <c r="AX116" t="s">
        <v>1460</v>
      </c>
      <c r="AY116" t="s">
        <v>1480</v>
      </c>
      <c r="AZ116">
        <v>128</v>
      </c>
      <c r="BA116" t="s">
        <v>1602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  <c r="BG116" t="b">
        <f>ISNUMBER(MATCH(D116,'[1]USCLE+'!$W$11:$W$35,0))</f>
        <v>0</v>
      </c>
    </row>
    <row r="117" spans="1:59" x14ac:dyDescent="0.25">
      <c r="A117">
        <v>458</v>
      </c>
      <c r="B117" t="s">
        <v>511</v>
      </c>
      <c r="C117" t="s">
        <v>967</v>
      </c>
      <c r="D117" t="s">
        <v>1398</v>
      </c>
      <c r="E117" t="s">
        <v>61</v>
      </c>
      <c r="F117">
        <v>793.60820000000001</v>
      </c>
      <c r="G117">
        <v>64341225</v>
      </c>
      <c r="H117" t="s">
        <v>1436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145</v>
      </c>
      <c r="AX117" t="s">
        <v>1460</v>
      </c>
      <c r="AY117" t="s">
        <v>1480</v>
      </c>
      <c r="AZ117">
        <v>147</v>
      </c>
      <c r="BA117" t="s">
        <v>1603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  <c r="BG117" t="b">
        <f>ISNUMBER(MATCH(D117,'[1]USCLE+'!$W$11:$W$35,0))</f>
        <v>0</v>
      </c>
    </row>
    <row r="118" spans="1:59" x14ac:dyDescent="0.25">
      <c r="A118">
        <v>334</v>
      </c>
      <c r="B118" t="s">
        <v>405</v>
      </c>
      <c r="C118" t="s">
        <v>854</v>
      </c>
      <c r="D118" t="s">
        <v>1292</v>
      </c>
      <c r="E118" t="s">
        <v>61</v>
      </c>
      <c r="F118">
        <v>200.40110000000001</v>
      </c>
      <c r="G118">
        <v>252114600</v>
      </c>
      <c r="H118" t="s">
        <v>1437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246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  <c r="BG118" t="b">
        <f>ISNUMBER(MATCH(D118,'[1]USCLE+'!$W$11:$W$35,0))</f>
        <v>0</v>
      </c>
    </row>
    <row r="119" spans="1:59" x14ac:dyDescent="0.25">
      <c r="A119">
        <v>99</v>
      </c>
      <c r="B119" t="s">
        <v>197</v>
      </c>
      <c r="C119" t="s">
        <v>632</v>
      </c>
      <c r="D119" t="s">
        <v>1084</v>
      </c>
      <c r="E119" t="s">
        <v>61</v>
      </c>
      <c r="F119">
        <v>37.241849999999999</v>
      </c>
      <c r="G119">
        <v>1340885000</v>
      </c>
      <c r="H119" t="s">
        <v>1436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82</v>
      </c>
      <c r="AX119" t="s">
        <v>1460</v>
      </c>
      <c r="AY119" t="s">
        <v>1480</v>
      </c>
      <c r="AZ119">
        <v>195</v>
      </c>
      <c r="BA119" t="s">
        <v>1605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  <c r="BG119" t="b">
        <f>ISNUMBER(MATCH(D119,'[1]USCLE+'!$W$11:$W$35,0))</f>
        <v>0</v>
      </c>
    </row>
    <row r="120" spans="1:59" x14ac:dyDescent="0.25">
      <c r="A120">
        <v>194</v>
      </c>
      <c r="B120" t="s">
        <v>283</v>
      </c>
      <c r="C120" t="s">
        <v>722</v>
      </c>
      <c r="D120" t="s">
        <v>1170</v>
      </c>
      <c r="E120" t="s">
        <v>61</v>
      </c>
      <c r="F120">
        <v>43.002220000000001</v>
      </c>
      <c r="G120">
        <v>1147636600</v>
      </c>
      <c r="H120" t="s">
        <v>1437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356</v>
      </c>
      <c r="AX120" t="s">
        <v>1460</v>
      </c>
      <c r="AY120" t="s">
        <v>1480</v>
      </c>
      <c r="AZ120">
        <v>162</v>
      </c>
      <c r="BA120" t="s">
        <v>1606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  <c r="BG120" t="b">
        <f>ISNUMBER(MATCH(D120,'[1]USCLE+'!$W$11:$W$35,0))</f>
        <v>0</v>
      </c>
    </row>
    <row r="121" spans="1:59" x14ac:dyDescent="0.25">
      <c r="A121">
        <v>388</v>
      </c>
      <c r="B121" t="s">
        <v>451</v>
      </c>
      <c r="C121" t="s">
        <v>904</v>
      </c>
      <c r="D121" t="s">
        <v>1338</v>
      </c>
      <c r="E121" t="s">
        <v>61</v>
      </c>
      <c r="F121">
        <v>458.13279999999997</v>
      </c>
      <c r="G121">
        <v>107613820</v>
      </c>
      <c r="H121" t="s">
        <v>1437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140</v>
      </c>
      <c r="AX121" t="s">
        <v>1460</v>
      </c>
      <c r="AY121" t="s">
        <v>1480</v>
      </c>
      <c r="AZ121">
        <v>176</v>
      </c>
      <c r="BA121" t="s">
        <v>1607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  <c r="BG121" t="b">
        <f>ISNUMBER(MATCH(D121,'[1]USCLE+'!$W$11:$W$35,0))</f>
        <v>0</v>
      </c>
    </row>
    <row r="122" spans="1:59" x14ac:dyDescent="0.25">
      <c r="A122">
        <v>402</v>
      </c>
      <c r="B122" t="s">
        <v>463</v>
      </c>
      <c r="C122" t="s">
        <v>917</v>
      </c>
      <c r="D122" t="s">
        <v>1350</v>
      </c>
      <c r="E122" t="s">
        <v>61</v>
      </c>
      <c r="F122">
        <v>150.67420000000001</v>
      </c>
      <c r="G122">
        <v>326484770</v>
      </c>
      <c r="H122" t="s">
        <v>1436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251</v>
      </c>
      <c r="AX122" t="s">
        <v>1460</v>
      </c>
      <c r="AY122" t="s">
        <v>1480</v>
      </c>
      <c r="AZ122">
        <v>135</v>
      </c>
      <c r="BA122" t="s">
        <v>1608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  <c r="BG122" t="b">
        <f>ISNUMBER(MATCH(D122,'[1]USCLE+'!$W$11:$W$35,0))</f>
        <v>0</v>
      </c>
    </row>
    <row r="123" spans="1:59" x14ac:dyDescent="0.25">
      <c r="A123">
        <v>91</v>
      </c>
      <c r="B123" t="s">
        <v>191</v>
      </c>
      <c r="C123" t="s">
        <v>626</v>
      </c>
      <c r="D123" t="s">
        <v>1078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271</v>
      </c>
      <c r="AX123" t="s">
        <v>1460</v>
      </c>
      <c r="AY123" t="s">
        <v>1480</v>
      </c>
      <c r="AZ123">
        <v>144</v>
      </c>
      <c r="BA123" t="s">
        <v>1609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  <c r="BG123" t="b">
        <f>ISNUMBER(MATCH(D123,'[1]USCLE+'!$W$11:$W$35,0))</f>
        <v>0</v>
      </c>
    </row>
    <row r="124" spans="1:59" x14ac:dyDescent="0.25">
      <c r="A124">
        <v>218</v>
      </c>
      <c r="B124" t="s">
        <v>304</v>
      </c>
      <c r="C124" t="s">
        <v>744</v>
      </c>
      <c r="D124" t="s">
        <v>1191</v>
      </c>
      <c r="E124" t="s">
        <v>61</v>
      </c>
      <c r="F124">
        <v>49.812249999999999</v>
      </c>
      <c r="G124">
        <v>952077800</v>
      </c>
      <c r="H124" t="s">
        <v>1436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140</v>
      </c>
      <c r="AX124" t="s">
        <v>1460</v>
      </c>
      <c r="AY124" t="s">
        <v>1480</v>
      </c>
      <c r="AZ124">
        <v>143</v>
      </c>
      <c r="BA124" t="s">
        <v>1610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  <c r="BG124" t="b">
        <f>ISNUMBER(MATCH(D124,'[1]USCLE+'!$W$11:$W$35,0))</f>
        <v>0</v>
      </c>
    </row>
    <row r="125" spans="1:59" x14ac:dyDescent="0.25">
      <c r="A125">
        <v>139</v>
      </c>
      <c r="B125" t="s">
        <v>232</v>
      </c>
      <c r="C125" t="s">
        <v>670</v>
      </c>
      <c r="D125" t="s">
        <v>1119</v>
      </c>
      <c r="E125" t="s">
        <v>61</v>
      </c>
      <c r="F125">
        <v>343.31799999999998</v>
      </c>
      <c r="G125">
        <v>137786040</v>
      </c>
      <c r="H125" t="s">
        <v>1436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75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  <c r="BG125" t="b">
        <f>ISNUMBER(MATCH(D125,'[1]USCLE+'!$W$11:$W$35,0))</f>
        <v>0</v>
      </c>
    </row>
    <row r="126" spans="1:59" x14ac:dyDescent="0.25">
      <c r="A126">
        <v>84</v>
      </c>
      <c r="B126" t="s">
        <v>185</v>
      </c>
      <c r="C126" t="s">
        <v>620</v>
      </c>
      <c r="D126" t="s">
        <v>1072</v>
      </c>
      <c r="E126" t="s">
        <v>61</v>
      </c>
      <c r="F126">
        <v>57.817030000000003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78</v>
      </c>
      <c r="AX126" t="s">
        <v>1460</v>
      </c>
      <c r="AY126" t="s">
        <v>1480</v>
      </c>
      <c r="AZ126">
        <v>113</v>
      </c>
      <c r="BA126" t="s">
        <v>1612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  <c r="BG126" t="b">
        <f>ISNUMBER(MATCH(D126,'[1]USCLE+'!$W$11:$W$35,0))</f>
        <v>0</v>
      </c>
    </row>
    <row r="127" spans="1:59" x14ac:dyDescent="0.25">
      <c r="A127">
        <v>15</v>
      </c>
      <c r="B127" t="s">
        <v>131</v>
      </c>
      <c r="C127" t="s">
        <v>561</v>
      </c>
      <c r="D127" t="s">
        <v>1018</v>
      </c>
      <c r="E127" t="s">
        <v>61</v>
      </c>
      <c r="F127">
        <v>175.38829999999999</v>
      </c>
      <c r="G127">
        <v>263505340</v>
      </c>
      <c r="H127" t="s">
        <v>1436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31</v>
      </c>
      <c r="AX127" t="s">
        <v>1460</v>
      </c>
      <c r="AY127" t="s">
        <v>1480</v>
      </c>
      <c r="AZ127">
        <v>137</v>
      </c>
      <c r="BA127" t="s">
        <v>1613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  <c r="BG127" t="b">
        <f>ISNUMBER(MATCH(D127,'[1]USCLE+'!$W$11:$W$35,0))</f>
        <v>0</v>
      </c>
    </row>
    <row r="128" spans="1:59" x14ac:dyDescent="0.25">
      <c r="A128">
        <v>153</v>
      </c>
      <c r="B128" t="s">
        <v>246</v>
      </c>
      <c r="C128" t="s">
        <v>684</v>
      </c>
      <c r="D128" t="s">
        <v>1133</v>
      </c>
      <c r="E128" t="s">
        <v>61</v>
      </c>
      <c r="F128">
        <v>142.56700000000001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265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  <c r="BG128" t="b">
        <f>ISNUMBER(MATCH(D128,'[1]USCLE+'!$W$11:$W$35,0))</f>
        <v>0</v>
      </c>
    </row>
    <row r="129" spans="1:59" x14ac:dyDescent="0.25">
      <c r="A129">
        <v>396</v>
      </c>
      <c r="B129" t="s">
        <v>457</v>
      </c>
      <c r="C129" t="s">
        <v>911</v>
      </c>
      <c r="D129" t="s">
        <v>1344</v>
      </c>
      <c r="E129" t="s">
        <v>61</v>
      </c>
      <c r="F129">
        <v>30.389140000000001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25</v>
      </c>
      <c r="AX129" t="s">
        <v>1460</v>
      </c>
      <c r="AY129" t="s">
        <v>1480</v>
      </c>
      <c r="AZ129">
        <v>236</v>
      </c>
      <c r="BA129" t="s">
        <v>1615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  <c r="BG129" t="b">
        <f>ISNUMBER(MATCH(D129,'[1]USCLE+'!$W$11:$W$35,0))</f>
        <v>0</v>
      </c>
    </row>
    <row r="130" spans="1:59" x14ac:dyDescent="0.25">
      <c r="A130">
        <v>204</v>
      </c>
      <c r="B130" t="s">
        <v>293</v>
      </c>
      <c r="C130" t="s">
        <v>732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156</v>
      </c>
      <c r="AX130" t="s">
        <v>1460</v>
      </c>
      <c r="AY130" t="s">
        <v>1480</v>
      </c>
      <c r="AZ130">
        <v>243</v>
      </c>
      <c r="BA130" t="s">
        <v>1616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  <c r="BG130" t="b">
        <f>ISNUMBER(MATCH(D130,'[1]USCLE+'!$W$11:$W$35,0))</f>
        <v>0</v>
      </c>
    </row>
    <row r="131" spans="1:59" x14ac:dyDescent="0.25">
      <c r="A131">
        <v>97</v>
      </c>
      <c r="B131" t="s">
        <v>195</v>
      </c>
      <c r="C131" t="s">
        <v>630</v>
      </c>
      <c r="D131" t="s">
        <v>1082</v>
      </c>
      <c r="E131" t="s">
        <v>61</v>
      </c>
      <c r="F131">
        <v>202.73079999999999</v>
      </c>
      <c r="G131">
        <v>219768100</v>
      </c>
      <c r="H131" t="s">
        <v>1436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344</v>
      </c>
      <c r="AX131" t="s">
        <v>1460</v>
      </c>
      <c r="AY131" t="s">
        <v>1480</v>
      </c>
      <c r="AZ131">
        <v>185</v>
      </c>
      <c r="BA131" t="s">
        <v>1617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  <c r="BG131" t="b">
        <f>ISNUMBER(MATCH(D131,'[1]USCLE+'!$W$11:$W$35,0))</f>
        <v>0</v>
      </c>
    </row>
    <row r="132" spans="1:59" x14ac:dyDescent="0.25">
      <c r="A132">
        <v>9</v>
      </c>
      <c r="B132" t="s">
        <v>127</v>
      </c>
      <c r="C132" t="s">
        <v>557</v>
      </c>
      <c r="D132" t="s">
        <v>1014</v>
      </c>
      <c r="E132" t="s">
        <v>61</v>
      </c>
      <c r="F132">
        <v>92.558459999999997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85</v>
      </c>
      <c r="AX132" t="s">
        <v>1460</v>
      </c>
      <c r="AY132" t="s">
        <v>1480</v>
      </c>
      <c r="AZ132">
        <v>195</v>
      </c>
      <c r="BA132" t="s">
        <v>1618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  <c r="BG132" t="b">
        <f>ISNUMBER(MATCH(D132,'[1]USCLE+'!$W$11:$W$35,0))</f>
        <v>0</v>
      </c>
    </row>
    <row r="133" spans="1:59" x14ac:dyDescent="0.25">
      <c r="A133">
        <v>206</v>
      </c>
      <c r="B133" t="s">
        <v>295</v>
      </c>
      <c r="C133" t="s">
        <v>734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98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  <c r="BG133" t="b">
        <f>ISNUMBER(MATCH(D133,'[1]USCLE+'!$W$11:$W$35,0))</f>
        <v>0</v>
      </c>
    </row>
    <row r="134" spans="1:59" x14ac:dyDescent="0.25">
      <c r="A134">
        <v>240</v>
      </c>
      <c r="B134" t="s">
        <v>324</v>
      </c>
      <c r="C134" t="s">
        <v>766</v>
      </c>
      <c r="D134" t="s">
        <v>1211</v>
      </c>
      <c r="E134" t="s">
        <v>61</v>
      </c>
      <c r="F134">
        <v>550.90459999999996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334</v>
      </c>
      <c r="AX134" t="s">
        <v>1460</v>
      </c>
      <c r="AY134" t="s">
        <v>1480</v>
      </c>
      <c r="AZ134">
        <v>225</v>
      </c>
      <c r="BA134" t="s">
        <v>1620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  <c r="BG134" t="b">
        <f>ISNUMBER(MATCH(D134,'[1]USCLE+'!$W$11:$W$35,0))</f>
        <v>0</v>
      </c>
    </row>
    <row r="135" spans="1:59" x14ac:dyDescent="0.25">
      <c r="A135">
        <v>127</v>
      </c>
      <c r="B135" t="s">
        <v>221</v>
      </c>
      <c r="C135" t="s">
        <v>658</v>
      </c>
      <c r="D135" t="s">
        <v>1108</v>
      </c>
      <c r="E135" t="s">
        <v>61</v>
      </c>
      <c r="F135">
        <v>56.127319999999997</v>
      </c>
      <c r="G135">
        <v>856618700</v>
      </c>
      <c r="H135" t="s">
        <v>1436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274</v>
      </c>
      <c r="AX135" t="s">
        <v>1460</v>
      </c>
      <c r="AY135" t="s">
        <v>1480</v>
      </c>
      <c r="AZ135">
        <v>231</v>
      </c>
      <c r="BA135" t="s">
        <v>1621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  <c r="BG135" t="b">
        <f>ISNUMBER(MATCH(D135,'[1]USCLE+'!$W$11:$W$35,0))</f>
        <v>0</v>
      </c>
    </row>
    <row r="136" spans="1:59" x14ac:dyDescent="0.25">
      <c r="A136">
        <v>88</v>
      </c>
      <c r="B136" t="s">
        <v>189</v>
      </c>
      <c r="C136" t="s">
        <v>624</v>
      </c>
      <c r="D136" t="s">
        <v>1076</v>
      </c>
      <c r="E136" t="s">
        <v>61</v>
      </c>
      <c r="F136">
        <v>140.30549999999999</v>
      </c>
      <c r="G136">
        <v>297554320</v>
      </c>
      <c r="H136" t="s">
        <v>1436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14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  <c r="BG136" t="b">
        <f>ISNUMBER(MATCH(D136,'[1]USCLE+'!$W$11:$W$35,0))</f>
        <v>0</v>
      </c>
    </row>
    <row r="137" spans="1:59" x14ac:dyDescent="0.25">
      <c r="A137">
        <v>27</v>
      </c>
      <c r="B137" t="s">
        <v>141</v>
      </c>
      <c r="C137" t="s">
        <v>573</v>
      </c>
      <c r="D137" t="s">
        <v>1028</v>
      </c>
      <c r="E137" t="s">
        <v>61</v>
      </c>
      <c r="F137">
        <v>441.13330000000002</v>
      </c>
      <c r="G137">
        <v>94271570</v>
      </c>
      <c r="H137" t="s">
        <v>1436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313</v>
      </c>
      <c r="AX137" t="s">
        <v>1460</v>
      </c>
      <c r="AY137" t="s">
        <v>1480</v>
      </c>
      <c r="AZ137">
        <v>155</v>
      </c>
      <c r="BA137" t="s">
        <v>1623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  <c r="BG137" t="b">
        <f>ISNUMBER(MATCH(D137,'[1]USCLE+'!$W$11:$W$35,0))</f>
        <v>0</v>
      </c>
    </row>
    <row r="138" spans="1:59" x14ac:dyDescent="0.25">
      <c r="A138">
        <v>169</v>
      </c>
      <c r="B138" t="s">
        <v>261</v>
      </c>
      <c r="C138" t="s">
        <v>699</v>
      </c>
      <c r="D138" t="s">
        <v>1148</v>
      </c>
      <c r="E138" t="s">
        <v>61</v>
      </c>
      <c r="F138">
        <v>69.832740000000001</v>
      </c>
      <c r="G138">
        <v>587100000</v>
      </c>
      <c r="H138" t="s">
        <v>1436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193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  <c r="BG138" t="b">
        <f>ISNUMBER(MATCH(D138,'[1]USCLE+'!$W$11:$W$35,0))</f>
        <v>0</v>
      </c>
    </row>
    <row r="139" spans="1:59" x14ac:dyDescent="0.25">
      <c r="A139">
        <v>492</v>
      </c>
      <c r="B139" t="s">
        <v>541</v>
      </c>
      <c r="C139" t="s">
        <v>999</v>
      </c>
      <c r="D139" t="s">
        <v>1428</v>
      </c>
      <c r="E139" t="s">
        <v>61</v>
      </c>
      <c r="F139">
        <v>188.82919999999999</v>
      </c>
      <c r="G139">
        <v>217000000</v>
      </c>
      <c r="H139" t="s">
        <v>1437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17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  <c r="BG139" t="b">
        <f>ISNUMBER(MATCH(D139,'[1]USCLE+'!$W$11:$W$35,0))</f>
        <v>0</v>
      </c>
    </row>
    <row r="140" spans="1:59" x14ac:dyDescent="0.25">
      <c r="A140">
        <v>261</v>
      </c>
      <c r="B140" t="s">
        <v>342</v>
      </c>
      <c r="C140" t="s">
        <v>786</v>
      </c>
      <c r="D140" t="s">
        <v>1229</v>
      </c>
      <c r="E140" t="s">
        <v>61</v>
      </c>
      <c r="F140">
        <v>29.983779999999999</v>
      </c>
      <c r="G140">
        <v>1358435300</v>
      </c>
      <c r="H140" t="s">
        <v>1437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0.94</v>
      </c>
      <c r="AG140">
        <v>0</v>
      </c>
      <c r="AH140">
        <v>0</v>
      </c>
      <c r="AI140">
        <v>85</v>
      </c>
      <c r="AX140" t="s">
        <v>1460</v>
      </c>
      <c r="AY140" t="s">
        <v>1480</v>
      </c>
      <c r="AZ140">
        <v>174</v>
      </c>
      <c r="BA140" t="s">
        <v>1626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  <c r="BG140" t="b">
        <f>ISNUMBER(MATCH(D140,'[1]USCLE+'!$W$11:$W$35,0))</f>
        <v>0</v>
      </c>
    </row>
    <row r="141" spans="1:59" x14ac:dyDescent="0.25">
      <c r="A141">
        <v>380</v>
      </c>
      <c r="B141" t="s">
        <v>444</v>
      </c>
      <c r="C141" t="s">
        <v>897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0.94</v>
      </c>
      <c r="AG141">
        <v>0</v>
      </c>
      <c r="AH141">
        <v>0</v>
      </c>
      <c r="AI141">
        <v>274</v>
      </c>
      <c r="AX141" t="s">
        <v>1460</v>
      </c>
      <c r="AY141" t="s">
        <v>1480</v>
      </c>
      <c r="AZ141">
        <v>104</v>
      </c>
      <c r="BA141" t="s">
        <v>1627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  <c r="BG141" t="b">
        <f>ISNUMBER(MATCH(D141,'[1]USCLE+'!$W$11:$W$35,0))</f>
        <v>0</v>
      </c>
    </row>
    <row r="142" spans="1:59" x14ac:dyDescent="0.25">
      <c r="A142">
        <v>338</v>
      </c>
      <c r="B142" t="s">
        <v>409</v>
      </c>
      <c r="C142" t="s">
        <v>858</v>
      </c>
      <c r="D142" t="s">
        <v>1296</v>
      </c>
      <c r="E142" t="s">
        <v>61</v>
      </c>
      <c r="F142">
        <v>63.867550000000001</v>
      </c>
      <c r="G142">
        <v>629756000</v>
      </c>
      <c r="H142" t="s">
        <v>1436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337</v>
      </c>
      <c r="AX142" t="s">
        <v>1460</v>
      </c>
      <c r="AY142" t="s">
        <v>1480</v>
      </c>
      <c r="AZ142">
        <v>227</v>
      </c>
      <c r="BA142" t="s">
        <v>1628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  <c r="BG142" t="b">
        <f>ISNUMBER(MATCH(D142,'[1]USCLE+'!$W$11:$W$35,0))</f>
        <v>0</v>
      </c>
    </row>
    <row r="143" spans="1:59" x14ac:dyDescent="0.25">
      <c r="A143">
        <v>24</v>
      </c>
      <c r="B143" t="s">
        <v>138</v>
      </c>
      <c r="C143" t="s">
        <v>570</v>
      </c>
      <c r="D143" t="s">
        <v>1025</v>
      </c>
      <c r="E143" t="s">
        <v>61</v>
      </c>
      <c r="F143">
        <v>71.15549</v>
      </c>
      <c r="G143">
        <v>554003850</v>
      </c>
      <c r="H143" t="s">
        <v>1436</v>
      </c>
      <c r="I143">
        <v>39420.410000000003</v>
      </c>
      <c r="J143">
        <v>260038029.024533</v>
      </c>
      <c r="K143">
        <v>339945440.38151199</v>
      </c>
      <c r="L143">
        <v>295567465.98747998</v>
      </c>
      <c r="M143">
        <v>342595110.70583397</v>
      </c>
      <c r="N143">
        <v>310629686.43501103</v>
      </c>
      <c r="O143" t="s">
        <v>59</v>
      </c>
      <c r="P143">
        <v>1</v>
      </c>
      <c r="Q143">
        <v>1.04</v>
      </c>
      <c r="R143">
        <v>41.74</v>
      </c>
      <c r="S143">
        <v>0.76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0.76</v>
      </c>
      <c r="AG143">
        <v>0</v>
      </c>
      <c r="AH143">
        <v>0</v>
      </c>
      <c r="AI143">
        <v>116</v>
      </c>
      <c r="AX143" t="s">
        <v>1460</v>
      </c>
      <c r="AY143" t="s">
        <v>1480</v>
      </c>
      <c r="AZ143">
        <v>250</v>
      </c>
      <c r="BA143" t="s">
        <v>1629</v>
      </c>
      <c r="BB143">
        <v>76.34</v>
      </c>
      <c r="BC143">
        <v>0.84373944999999995</v>
      </c>
      <c r="BD143">
        <v>64.411069612999995</v>
      </c>
      <c r="BE143">
        <v>39420415408.636497</v>
      </c>
      <c r="BF143">
        <v>142</v>
      </c>
      <c r="BG143" t="b">
        <f>ISNUMBER(MATCH(D143,'[1]USCLE+'!$W$11:$W$35,0))</f>
        <v>0</v>
      </c>
    </row>
    <row r="144" spans="1:59" x14ac:dyDescent="0.25">
      <c r="A144">
        <v>196</v>
      </c>
      <c r="B144" t="s">
        <v>285</v>
      </c>
      <c r="C144" t="s">
        <v>724</v>
      </c>
      <c r="D144" t="s">
        <v>1172</v>
      </c>
      <c r="E144" t="s">
        <v>61</v>
      </c>
      <c r="F144">
        <v>199.36850000000001</v>
      </c>
      <c r="G144">
        <v>197181030</v>
      </c>
      <c r="H144" t="s">
        <v>1436</v>
      </c>
      <c r="I144">
        <v>39311.69</v>
      </c>
      <c r="J144">
        <v>213237836.093678</v>
      </c>
      <c r="K144">
        <v>294938210.808945</v>
      </c>
      <c r="L144">
        <v>276207027.13233203</v>
      </c>
      <c r="M144">
        <v>319883465.36876702</v>
      </c>
      <c r="N144">
        <v>293453926.35361803</v>
      </c>
      <c r="O144" t="s">
        <v>59</v>
      </c>
      <c r="P144">
        <v>1</v>
      </c>
      <c r="Q144">
        <v>2.79</v>
      </c>
      <c r="R144">
        <v>50.53</v>
      </c>
      <c r="S144">
        <v>0.96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0.96</v>
      </c>
      <c r="AG144">
        <v>0</v>
      </c>
      <c r="AH144">
        <v>0</v>
      </c>
      <c r="AI144">
        <v>337</v>
      </c>
      <c r="AX144" t="s">
        <v>1460</v>
      </c>
      <c r="AY144" t="s">
        <v>1480</v>
      </c>
      <c r="AZ144">
        <v>167</v>
      </c>
      <c r="BA144" t="s">
        <v>1630</v>
      </c>
      <c r="BB144">
        <v>231.54</v>
      </c>
      <c r="BC144">
        <v>0.84373944999999995</v>
      </c>
      <c r="BD144">
        <v>195.35943225299999</v>
      </c>
      <c r="BE144">
        <v>39311686179.555</v>
      </c>
      <c r="BF144">
        <v>143</v>
      </c>
      <c r="BG144" t="b">
        <f>ISNUMBER(MATCH(D144,'[1]USCLE+'!$W$11:$W$35,0))</f>
        <v>0</v>
      </c>
    </row>
    <row r="145" spans="1:59" x14ac:dyDescent="0.25">
      <c r="A145">
        <v>301</v>
      </c>
      <c r="B145" t="s">
        <v>377</v>
      </c>
      <c r="C145" t="s">
        <v>823</v>
      </c>
      <c r="D145" t="s">
        <v>1264</v>
      </c>
      <c r="E145" t="s">
        <v>61</v>
      </c>
      <c r="F145">
        <v>69.542580000000001</v>
      </c>
      <c r="G145">
        <v>665026060</v>
      </c>
      <c r="H145" t="s">
        <v>1436</v>
      </c>
      <c r="I145">
        <v>46247.63</v>
      </c>
      <c r="J145">
        <v>230356180.87457901</v>
      </c>
      <c r="K145">
        <v>230766836.397782</v>
      </c>
      <c r="L145">
        <v>203034286.39108399</v>
      </c>
      <c r="M145">
        <v>235248491.92297</v>
      </c>
      <c r="N145">
        <v>244561130.80180699</v>
      </c>
      <c r="O145" t="s">
        <v>59</v>
      </c>
      <c r="P145">
        <v>0.85</v>
      </c>
      <c r="Q145">
        <v>0.43</v>
      </c>
      <c r="R145">
        <v>60.99</v>
      </c>
      <c r="S145">
        <v>0.83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0.83</v>
      </c>
      <c r="AG145">
        <v>0</v>
      </c>
      <c r="AH145">
        <v>0</v>
      </c>
      <c r="AI145">
        <v>25</v>
      </c>
      <c r="AX145" t="s">
        <v>1460</v>
      </c>
      <c r="AY145" t="s">
        <v>1480</v>
      </c>
      <c r="AZ145">
        <v>40</v>
      </c>
      <c r="BA145" t="s">
        <v>1631</v>
      </c>
      <c r="BB145">
        <v>78.73</v>
      </c>
      <c r="BC145">
        <v>0.84373944999999995</v>
      </c>
      <c r="BD145">
        <v>66.427606898500002</v>
      </c>
      <c r="BE145">
        <v>39310483782.689583</v>
      </c>
      <c r="BF145">
        <v>144</v>
      </c>
      <c r="BG145" t="b">
        <f>ISNUMBER(MATCH(D145,'[1]USCLE+'!$W$11:$W$35,0))</f>
        <v>0</v>
      </c>
    </row>
    <row r="146" spans="1:59" x14ac:dyDescent="0.25">
      <c r="A146">
        <v>205</v>
      </c>
      <c r="B146" t="s">
        <v>294</v>
      </c>
      <c r="C146" t="s">
        <v>733</v>
      </c>
      <c r="D146" t="s">
        <v>1181</v>
      </c>
      <c r="E146" t="s">
        <v>61</v>
      </c>
      <c r="F146">
        <v>10.01877</v>
      </c>
      <c r="G146">
        <v>3909008300</v>
      </c>
      <c r="H146" t="s">
        <v>1436</v>
      </c>
      <c r="I146">
        <v>39163.47</v>
      </c>
      <c r="J146">
        <v>555907757.44724798</v>
      </c>
      <c r="K146">
        <v>956698250.47549403</v>
      </c>
      <c r="L146">
        <v>772975729.08465099</v>
      </c>
      <c r="M146">
        <v>894984612.99650097</v>
      </c>
      <c r="N146">
        <v>768571163.757918</v>
      </c>
      <c r="O146" t="s">
        <v>59</v>
      </c>
      <c r="P146">
        <v>1</v>
      </c>
      <c r="Q146">
        <v>0.57999999999999996</v>
      </c>
      <c r="R146">
        <v>54.39</v>
      </c>
      <c r="S146">
        <v>0.92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0.92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115</v>
      </c>
      <c r="BA146" t="s">
        <v>1632</v>
      </c>
      <c r="BB146">
        <v>11.61</v>
      </c>
      <c r="BC146">
        <v>0.84373944999999995</v>
      </c>
      <c r="BD146">
        <v>9.7958150144999987</v>
      </c>
      <c r="BE146">
        <v>39163455085.791</v>
      </c>
      <c r="BF146">
        <v>145</v>
      </c>
      <c r="BG146" t="b">
        <f>ISNUMBER(MATCH(D146,'[1]USCLE+'!$W$11:$W$35,0))</f>
        <v>0</v>
      </c>
    </row>
    <row r="147" spans="1:59" x14ac:dyDescent="0.25">
      <c r="A147">
        <v>347</v>
      </c>
      <c r="B147" t="s">
        <v>416</v>
      </c>
      <c r="C147" t="s">
        <v>867</v>
      </c>
      <c r="D147" t="s">
        <v>1303</v>
      </c>
      <c r="E147" t="s">
        <v>61</v>
      </c>
      <c r="F147">
        <v>120.1656</v>
      </c>
      <c r="G147">
        <v>360243870</v>
      </c>
      <c r="H147" t="s">
        <v>1437</v>
      </c>
      <c r="I147">
        <v>43288.91</v>
      </c>
      <c r="J147">
        <v>253900470.029176</v>
      </c>
      <c r="K147">
        <v>295029911.87595999</v>
      </c>
      <c r="L147">
        <v>288920136.74623001</v>
      </c>
      <c r="M147">
        <v>335401672.901618</v>
      </c>
      <c r="N147">
        <v>263671318.799337</v>
      </c>
      <c r="O147" t="s">
        <v>58</v>
      </c>
      <c r="P147">
        <v>0.9</v>
      </c>
      <c r="Q147">
        <v>0.61</v>
      </c>
      <c r="R147">
        <v>56.33</v>
      </c>
      <c r="S147">
        <v>0.67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0.67</v>
      </c>
      <c r="AG147">
        <v>0</v>
      </c>
      <c r="AH147">
        <v>0</v>
      </c>
      <c r="AI147">
        <v>55</v>
      </c>
      <c r="AX147" t="s">
        <v>1460</v>
      </c>
      <c r="AY147" t="s">
        <v>1480</v>
      </c>
      <c r="AZ147">
        <v>90</v>
      </c>
      <c r="BA147" t="s">
        <v>1633</v>
      </c>
      <c r="BB147">
        <v>131.62</v>
      </c>
      <c r="BC147">
        <v>0.84373944999999995</v>
      </c>
      <c r="BD147">
        <v>111.052986409</v>
      </c>
      <c r="BE147">
        <v>38960028706.384804</v>
      </c>
      <c r="BF147">
        <v>146</v>
      </c>
      <c r="BG147" t="b">
        <f>ISNUMBER(MATCH(D147,'[1]USCLE+'!$W$11:$W$35,0))</f>
        <v>0</v>
      </c>
    </row>
    <row r="148" spans="1:59" x14ac:dyDescent="0.25">
      <c r="A148">
        <v>166</v>
      </c>
      <c r="B148" t="s">
        <v>258</v>
      </c>
      <c r="C148" t="s">
        <v>696</v>
      </c>
      <c r="D148" t="s">
        <v>1145</v>
      </c>
      <c r="E148" t="s">
        <v>61</v>
      </c>
      <c r="F148">
        <v>84.673159999999996</v>
      </c>
      <c r="G148">
        <v>457000000</v>
      </c>
      <c r="H148" t="s">
        <v>1437</v>
      </c>
      <c r="I148">
        <v>38695.629999999997</v>
      </c>
      <c r="J148">
        <v>477304550.03125101</v>
      </c>
      <c r="K148">
        <v>394518058.00946498</v>
      </c>
      <c r="L148">
        <v>416759311.25724697</v>
      </c>
      <c r="M148">
        <v>482712200.66798198</v>
      </c>
      <c r="N148">
        <v>333281209.89579701</v>
      </c>
      <c r="O148" t="s">
        <v>58</v>
      </c>
      <c r="P148">
        <v>1</v>
      </c>
      <c r="Q148">
        <v>1.37</v>
      </c>
      <c r="R148">
        <v>54.15</v>
      </c>
      <c r="S148">
        <v>0.91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0.91</v>
      </c>
      <c r="AG148">
        <v>0</v>
      </c>
      <c r="AH148">
        <v>0</v>
      </c>
      <c r="AI148">
        <v>151</v>
      </c>
      <c r="AX148" t="s">
        <v>1460</v>
      </c>
      <c r="AY148" t="s">
        <v>1480</v>
      </c>
      <c r="AZ148">
        <v>118</v>
      </c>
      <c r="BA148" t="s">
        <v>1634</v>
      </c>
      <c r="BB148">
        <v>88.85</v>
      </c>
      <c r="BC148">
        <v>0.84373944999999995</v>
      </c>
      <c r="BD148">
        <v>74.966250132499994</v>
      </c>
      <c r="BE148">
        <v>38695634120</v>
      </c>
      <c r="BF148">
        <v>147</v>
      </c>
      <c r="BG148" t="b">
        <f>ISNUMBER(MATCH(D148,'[1]USCLE+'!$W$11:$W$35,0))</f>
        <v>0</v>
      </c>
    </row>
    <row r="149" spans="1:59" x14ac:dyDescent="0.25">
      <c r="A149">
        <v>137</v>
      </c>
      <c r="B149" t="s">
        <v>230</v>
      </c>
      <c r="C149" t="s">
        <v>668</v>
      </c>
      <c r="D149" t="s">
        <v>1117</v>
      </c>
      <c r="E149" t="s">
        <v>61</v>
      </c>
      <c r="F149">
        <v>88.573139999999995</v>
      </c>
      <c r="G149">
        <v>435470060</v>
      </c>
      <c r="H149" t="s">
        <v>1436</v>
      </c>
      <c r="I149">
        <v>38570.949999999997</v>
      </c>
      <c r="J149">
        <v>254665129.266743</v>
      </c>
      <c r="K149">
        <v>303081006.97766</v>
      </c>
      <c r="L149">
        <v>277698546.25612497</v>
      </c>
      <c r="M149">
        <v>321948615.77179003</v>
      </c>
      <c r="N149">
        <v>283108935.014139</v>
      </c>
      <c r="O149" t="s">
        <v>59</v>
      </c>
      <c r="P149">
        <v>1</v>
      </c>
      <c r="Q149">
        <v>2.5299999999999998</v>
      </c>
      <c r="R149">
        <v>47.82</v>
      </c>
      <c r="S149">
        <v>0.85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0.85</v>
      </c>
      <c r="AG149">
        <v>0</v>
      </c>
      <c r="AH149">
        <v>0</v>
      </c>
      <c r="AI149">
        <v>304</v>
      </c>
      <c r="AX149" t="s">
        <v>1460</v>
      </c>
      <c r="AY149" t="s">
        <v>1480</v>
      </c>
      <c r="AZ149">
        <v>193</v>
      </c>
      <c r="BA149" t="s">
        <v>1635</v>
      </c>
      <c r="BB149">
        <v>93.57</v>
      </c>
      <c r="BC149">
        <v>0.84373944999999995</v>
      </c>
      <c r="BD149">
        <v>78.948700336499982</v>
      </c>
      <c r="BE149">
        <v>38570950590.1884</v>
      </c>
      <c r="BF149">
        <v>148</v>
      </c>
      <c r="BG149" t="b">
        <f>ISNUMBER(MATCH(D149,'[1]USCLE+'!$W$11:$W$35,0))</f>
        <v>0</v>
      </c>
    </row>
    <row r="150" spans="1:59" x14ac:dyDescent="0.25">
      <c r="A150">
        <v>427</v>
      </c>
      <c r="B150" t="s">
        <v>486</v>
      </c>
      <c r="C150" t="s">
        <v>940</v>
      </c>
      <c r="D150" t="s">
        <v>1373</v>
      </c>
      <c r="E150" t="s">
        <v>61</v>
      </c>
      <c r="F150">
        <v>84.690219999999997</v>
      </c>
      <c r="G150">
        <v>454365900</v>
      </c>
      <c r="H150" t="s">
        <v>1436</v>
      </c>
      <c r="I150">
        <v>38480.339999999997</v>
      </c>
      <c r="J150">
        <v>745178309.276016</v>
      </c>
      <c r="K150">
        <v>692795372.35887206</v>
      </c>
      <c r="L150">
        <v>561894223.04160202</v>
      </c>
      <c r="M150">
        <v>651486722.64877498</v>
      </c>
      <c r="N150">
        <v>694479354.29501998</v>
      </c>
      <c r="O150" t="s">
        <v>59</v>
      </c>
      <c r="P150">
        <v>1</v>
      </c>
      <c r="Q150">
        <v>0.57999999999999996</v>
      </c>
      <c r="R150">
        <v>53.73</v>
      </c>
      <c r="S150">
        <v>0.93</v>
      </c>
      <c r="T150" t="s">
        <v>1441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0.93</v>
      </c>
      <c r="AG150">
        <v>0</v>
      </c>
      <c r="AH150">
        <v>0</v>
      </c>
      <c r="AI150">
        <v>50</v>
      </c>
      <c r="AX150" t="s">
        <v>1460</v>
      </c>
      <c r="AY150" t="s">
        <v>1480</v>
      </c>
      <c r="AZ150">
        <v>124</v>
      </c>
      <c r="BA150" t="s">
        <v>1636</v>
      </c>
      <c r="BB150">
        <v>89.72</v>
      </c>
      <c r="BC150">
        <v>0.84373944999999995</v>
      </c>
      <c r="BD150">
        <v>75.700303453999993</v>
      </c>
      <c r="BE150">
        <v>38480348031.498001</v>
      </c>
      <c r="BF150">
        <v>149</v>
      </c>
      <c r="BG150" t="b">
        <f>ISNUMBER(MATCH(D150,'[1]USCLE+'!$W$11:$W$35,0))</f>
        <v>0</v>
      </c>
    </row>
    <row r="151" spans="1:59" x14ac:dyDescent="0.25">
      <c r="A151">
        <v>314</v>
      </c>
      <c r="B151" t="s">
        <v>389</v>
      </c>
      <c r="C151" t="s">
        <v>836</v>
      </c>
      <c r="D151" t="s">
        <v>1276</v>
      </c>
      <c r="E151" t="s">
        <v>61</v>
      </c>
      <c r="F151">
        <v>490.553</v>
      </c>
      <c r="G151">
        <v>77365234</v>
      </c>
      <c r="H151" t="s">
        <v>1436</v>
      </c>
      <c r="I151">
        <v>37951.75</v>
      </c>
      <c r="J151">
        <v>303551288.21270901</v>
      </c>
      <c r="K151">
        <v>303692298.48332798</v>
      </c>
      <c r="L151">
        <v>320421093.01251298</v>
      </c>
      <c r="M151">
        <v>371983665.15001398</v>
      </c>
      <c r="N151">
        <v>283938234.20477402</v>
      </c>
      <c r="O151" t="s">
        <v>59</v>
      </c>
      <c r="P151">
        <v>1</v>
      </c>
      <c r="Q151">
        <v>0.63</v>
      </c>
      <c r="R151">
        <v>65.08</v>
      </c>
      <c r="S151">
        <v>0.86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0.86</v>
      </c>
      <c r="AG151">
        <v>0</v>
      </c>
      <c r="AH151">
        <v>0</v>
      </c>
      <c r="AI151">
        <v>61</v>
      </c>
      <c r="AX151" t="s">
        <v>1460</v>
      </c>
      <c r="AY151" t="s">
        <v>1480</v>
      </c>
      <c r="AZ151">
        <v>24</v>
      </c>
      <c r="BA151" t="s">
        <v>1637</v>
      </c>
      <c r="BB151">
        <v>567.02</v>
      </c>
      <c r="BC151">
        <v>0.84373944999999995</v>
      </c>
      <c r="BD151">
        <v>478.41714293899997</v>
      </c>
      <c r="BE151">
        <v>37951747634.402</v>
      </c>
      <c r="BF151">
        <v>150</v>
      </c>
      <c r="BG151" t="b">
        <f>ISNUMBER(MATCH(D151,'[1]USCLE+'!$W$11:$W$35,0))</f>
        <v>0</v>
      </c>
    </row>
    <row r="152" spans="1:59" x14ac:dyDescent="0.25">
      <c r="A152">
        <v>264</v>
      </c>
      <c r="B152" t="s">
        <v>345</v>
      </c>
      <c r="C152" t="s">
        <v>789</v>
      </c>
      <c r="D152" t="s">
        <v>1232</v>
      </c>
      <c r="E152" t="s">
        <v>61</v>
      </c>
      <c r="F152">
        <v>113.9188</v>
      </c>
      <c r="G152">
        <v>331779940</v>
      </c>
      <c r="H152" t="s">
        <v>1437</v>
      </c>
      <c r="I152">
        <v>37795.96</v>
      </c>
      <c r="J152">
        <v>265831482.04104301</v>
      </c>
      <c r="K152">
        <v>282405710.84387898</v>
      </c>
      <c r="L152">
        <v>269455073.58852601</v>
      </c>
      <c r="M152">
        <v>311956451.01484001</v>
      </c>
      <c r="N152">
        <v>273856452.24851799</v>
      </c>
      <c r="O152" t="s">
        <v>58</v>
      </c>
      <c r="P152">
        <v>1</v>
      </c>
      <c r="Q152">
        <v>1.84</v>
      </c>
      <c r="R152">
        <v>54.42</v>
      </c>
      <c r="S152">
        <v>1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1</v>
      </c>
      <c r="AG152">
        <v>0</v>
      </c>
      <c r="AH152">
        <v>0</v>
      </c>
      <c r="AI152">
        <v>207</v>
      </c>
      <c r="AX152" t="s">
        <v>1460</v>
      </c>
      <c r="AY152" t="s">
        <v>1480</v>
      </c>
      <c r="AZ152">
        <v>114</v>
      </c>
      <c r="BA152" t="s">
        <v>1638</v>
      </c>
      <c r="BB152">
        <v>125.04</v>
      </c>
      <c r="BC152">
        <v>0.84373944999999995</v>
      </c>
      <c r="BD152">
        <v>105.501180828</v>
      </c>
      <c r="BE152">
        <v>37795972628.872002</v>
      </c>
      <c r="BF152">
        <v>151</v>
      </c>
      <c r="BG152" t="b">
        <f>ISNUMBER(MATCH(D152,'[1]USCLE+'!$W$11:$W$35,0))</f>
        <v>0</v>
      </c>
    </row>
    <row r="153" spans="1:59" x14ac:dyDescent="0.25">
      <c r="A153">
        <v>315</v>
      </c>
      <c r="B153" t="s">
        <v>390</v>
      </c>
      <c r="C153" t="s">
        <v>837</v>
      </c>
      <c r="D153" t="s">
        <v>1277</v>
      </c>
      <c r="E153" t="s">
        <v>61</v>
      </c>
      <c r="F153">
        <v>80.858509999999995</v>
      </c>
      <c r="G153">
        <v>573795200</v>
      </c>
      <c r="H153" t="s">
        <v>1437</v>
      </c>
      <c r="I153">
        <v>46396.23</v>
      </c>
      <c r="J153">
        <v>220785734.913178</v>
      </c>
      <c r="K153">
        <v>252245698.75852901</v>
      </c>
      <c r="L153">
        <v>256448084.052912</v>
      </c>
      <c r="M153">
        <v>297338373.08917999</v>
      </c>
      <c r="N153">
        <v>220973900.42140999</v>
      </c>
      <c r="O153" t="s">
        <v>58</v>
      </c>
      <c r="P153">
        <v>0.8</v>
      </c>
      <c r="Q153">
        <v>1.53</v>
      </c>
      <c r="R153">
        <v>58.38</v>
      </c>
      <c r="S153">
        <v>0.73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0.73</v>
      </c>
      <c r="AG153">
        <v>0</v>
      </c>
      <c r="AH153">
        <v>0</v>
      </c>
      <c r="AI153">
        <v>166</v>
      </c>
      <c r="AX153" t="s">
        <v>1460</v>
      </c>
      <c r="AY153" t="s">
        <v>1480</v>
      </c>
      <c r="AZ153">
        <v>65</v>
      </c>
      <c r="BA153" t="s">
        <v>1639</v>
      </c>
      <c r="BB153">
        <v>92.54</v>
      </c>
      <c r="BC153">
        <v>0.84373944999999995</v>
      </c>
      <c r="BD153">
        <v>78.079648703000004</v>
      </c>
      <c r="BE153">
        <v>37116979933.721603</v>
      </c>
      <c r="BF153">
        <v>152</v>
      </c>
      <c r="BG153" t="b">
        <f>ISNUMBER(MATCH(D153,'[1]USCLE+'!$W$11:$W$35,0))</f>
        <v>0</v>
      </c>
    </row>
    <row r="154" spans="1:59" x14ac:dyDescent="0.25">
      <c r="A154">
        <v>381</v>
      </c>
      <c r="B154" t="s">
        <v>445</v>
      </c>
      <c r="C154" t="s">
        <v>898</v>
      </c>
      <c r="D154" t="s">
        <v>1332</v>
      </c>
      <c r="E154" t="s">
        <v>61</v>
      </c>
      <c r="F154">
        <v>250.66560000000001</v>
      </c>
      <c r="G154">
        <v>146414840</v>
      </c>
      <c r="H154" t="s">
        <v>1436</v>
      </c>
      <c r="I154">
        <v>36701.17</v>
      </c>
      <c r="J154">
        <v>244254159.134525</v>
      </c>
      <c r="K154">
        <v>217971722.781813</v>
      </c>
      <c r="L154">
        <v>208011918.63328001</v>
      </c>
      <c r="M154">
        <v>241204078.12286901</v>
      </c>
      <c r="N154">
        <v>215931235.32403001</v>
      </c>
      <c r="O154" t="s">
        <v>59</v>
      </c>
      <c r="P154">
        <v>1</v>
      </c>
      <c r="Q154">
        <v>3</v>
      </c>
      <c r="R154">
        <v>55.05</v>
      </c>
      <c r="S154">
        <v>0.69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0.69</v>
      </c>
      <c r="AG154">
        <v>0</v>
      </c>
      <c r="AH154">
        <v>0</v>
      </c>
      <c r="AI154">
        <v>357</v>
      </c>
      <c r="AX154" t="s">
        <v>1460</v>
      </c>
      <c r="AY154" t="s">
        <v>1480</v>
      </c>
      <c r="AZ154">
        <v>104</v>
      </c>
      <c r="BA154" t="s">
        <v>1640</v>
      </c>
      <c r="BB154">
        <v>272.60000000000002</v>
      </c>
      <c r="BC154">
        <v>0.84373944999999995</v>
      </c>
      <c r="BD154">
        <v>230.00337407000001</v>
      </c>
      <c r="BE154">
        <v>36701163717.504013</v>
      </c>
      <c r="BF154">
        <v>153</v>
      </c>
      <c r="BG154" t="b">
        <f>ISNUMBER(MATCH(D154,'[1]USCLE+'!$W$11:$W$35,0))</f>
        <v>0</v>
      </c>
    </row>
    <row r="155" spans="1:59" x14ac:dyDescent="0.25">
      <c r="A155">
        <v>462</v>
      </c>
      <c r="B155" t="s">
        <v>515</v>
      </c>
      <c r="C155" t="s">
        <v>971</v>
      </c>
      <c r="D155" t="s">
        <v>1402</v>
      </c>
      <c r="E155" t="s">
        <v>61</v>
      </c>
      <c r="F155">
        <v>248.21639999999999</v>
      </c>
      <c r="G155">
        <v>163412280</v>
      </c>
      <c r="H155" t="s">
        <v>1436</v>
      </c>
      <c r="I155">
        <v>40561.61</v>
      </c>
      <c r="J155">
        <v>236099312.87038401</v>
      </c>
      <c r="K155">
        <v>312208535.41206801</v>
      </c>
      <c r="L155">
        <v>343898948.44190198</v>
      </c>
      <c r="M155">
        <v>397528665.78160501</v>
      </c>
      <c r="N155">
        <v>264404197.45527601</v>
      </c>
      <c r="O155" t="s">
        <v>59</v>
      </c>
      <c r="P155">
        <v>0.9</v>
      </c>
      <c r="Q155">
        <v>1.59</v>
      </c>
      <c r="R155">
        <v>50.18</v>
      </c>
      <c r="S155">
        <v>0.71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0.71</v>
      </c>
      <c r="AG155">
        <v>0</v>
      </c>
      <c r="AH155">
        <v>0</v>
      </c>
      <c r="AI155">
        <v>173</v>
      </c>
      <c r="AX155" t="s">
        <v>1460</v>
      </c>
      <c r="AY155" t="s">
        <v>1480</v>
      </c>
      <c r="AZ155">
        <v>170</v>
      </c>
      <c r="BA155" t="s">
        <v>1641</v>
      </c>
      <c r="BB155">
        <v>273.88</v>
      </c>
      <c r="BC155">
        <v>0.84373944999999995</v>
      </c>
      <c r="BD155">
        <v>231.08336056600001</v>
      </c>
      <c r="BE155">
        <v>36505447071.652802</v>
      </c>
      <c r="BF155">
        <v>154</v>
      </c>
      <c r="BG155" t="b">
        <f>ISNUMBER(MATCH(D155,'[1]USCLE+'!$W$11:$W$35,0))</f>
        <v>0</v>
      </c>
    </row>
    <row r="156" spans="1:59" x14ac:dyDescent="0.25">
      <c r="A156">
        <v>146</v>
      </c>
      <c r="B156" t="s">
        <v>239</v>
      </c>
      <c r="C156" t="s">
        <v>677</v>
      </c>
      <c r="D156" t="s">
        <v>1126</v>
      </c>
      <c r="E156" t="s">
        <v>61</v>
      </c>
      <c r="F156">
        <v>111.9816</v>
      </c>
      <c r="G156">
        <v>323270700</v>
      </c>
      <c r="H156" t="s">
        <v>1437</v>
      </c>
      <c r="I156">
        <v>36200.36</v>
      </c>
      <c r="J156">
        <v>702675005.51241302</v>
      </c>
      <c r="K156">
        <v>655341355.58302796</v>
      </c>
      <c r="L156">
        <v>824016678.39979398</v>
      </c>
      <c r="M156">
        <v>958398022.23944402</v>
      </c>
      <c r="N156">
        <v>602950654.72145605</v>
      </c>
      <c r="O156" t="s">
        <v>58</v>
      </c>
      <c r="P156">
        <v>1</v>
      </c>
      <c r="Q156">
        <v>1.9</v>
      </c>
      <c r="R156">
        <v>55.91</v>
      </c>
      <c r="S156">
        <v>0.61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0.61</v>
      </c>
      <c r="AG156">
        <v>0</v>
      </c>
      <c r="AH156">
        <v>0</v>
      </c>
      <c r="AI156">
        <v>218</v>
      </c>
      <c r="AX156" t="s">
        <v>1460</v>
      </c>
      <c r="AY156" t="s">
        <v>1480</v>
      </c>
      <c r="AZ156">
        <v>94</v>
      </c>
      <c r="BA156" t="s">
        <v>1642</v>
      </c>
      <c r="BB156">
        <v>134.59</v>
      </c>
      <c r="BC156">
        <v>0.84373944999999995</v>
      </c>
      <c r="BD156">
        <v>113.5588925755</v>
      </c>
      <c r="BE156">
        <v>36200370219.120003</v>
      </c>
      <c r="BF156">
        <v>155</v>
      </c>
      <c r="BG156" t="b">
        <f>ISNUMBER(MATCH(D156,'[1]USCLE+'!$W$11:$W$35,0))</f>
        <v>0</v>
      </c>
    </row>
    <row r="157" spans="1:59" x14ac:dyDescent="0.25">
      <c r="A157">
        <v>260</v>
      </c>
      <c r="B157" t="s">
        <v>341</v>
      </c>
      <c r="C157" t="s">
        <v>785</v>
      </c>
      <c r="D157" t="s">
        <v>1228</v>
      </c>
      <c r="E157" t="s">
        <v>61</v>
      </c>
      <c r="F157">
        <v>18.44171</v>
      </c>
      <c r="G157">
        <v>1919070000</v>
      </c>
      <c r="H157" t="s">
        <v>1436</v>
      </c>
      <c r="I157">
        <v>35390.94</v>
      </c>
      <c r="J157">
        <v>340610990.88009501</v>
      </c>
      <c r="K157">
        <v>365608786.51929802</v>
      </c>
      <c r="L157">
        <v>353147070.32849699</v>
      </c>
      <c r="M157">
        <v>408950940.46548599</v>
      </c>
      <c r="N157">
        <v>332376811.22364599</v>
      </c>
      <c r="O157" t="s">
        <v>59</v>
      </c>
      <c r="P157">
        <v>1</v>
      </c>
      <c r="Q157">
        <v>2.12</v>
      </c>
      <c r="R157">
        <v>43.3</v>
      </c>
      <c r="S157">
        <v>0.71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0.71</v>
      </c>
      <c r="AG157">
        <v>0</v>
      </c>
      <c r="AH157">
        <v>0</v>
      </c>
      <c r="AI157">
        <v>246</v>
      </c>
      <c r="AX157" t="s">
        <v>1460</v>
      </c>
      <c r="AY157" t="s">
        <v>1480</v>
      </c>
      <c r="AZ157">
        <v>233</v>
      </c>
      <c r="BA157" t="s">
        <v>1643</v>
      </c>
      <c r="BB157">
        <v>18.13</v>
      </c>
      <c r="BC157">
        <v>0.84373944999999995</v>
      </c>
      <c r="BD157">
        <v>15.296996228499999</v>
      </c>
      <c r="BE157">
        <v>35390932409.699997</v>
      </c>
      <c r="BF157">
        <v>156</v>
      </c>
      <c r="BG157" t="b">
        <f>ISNUMBER(MATCH(D157,'[1]USCLE+'!$W$11:$W$35,0))</f>
        <v>0</v>
      </c>
    </row>
    <row r="158" spans="1:59" x14ac:dyDescent="0.25">
      <c r="A158">
        <v>496</v>
      </c>
      <c r="B158" t="s">
        <v>544</v>
      </c>
      <c r="C158" t="s">
        <v>1002</v>
      </c>
      <c r="D158" t="s">
        <v>1431</v>
      </c>
      <c r="E158" t="s">
        <v>61</v>
      </c>
      <c r="F158">
        <v>126.1905</v>
      </c>
      <c r="G158">
        <v>277535700</v>
      </c>
      <c r="H158" t="s">
        <v>1436</v>
      </c>
      <c r="I158">
        <v>35022.36</v>
      </c>
      <c r="J158">
        <v>298713457.98559701</v>
      </c>
      <c r="K158">
        <v>281899006.762945</v>
      </c>
      <c r="L158">
        <v>250771887.697171</v>
      </c>
      <c r="M158">
        <v>290674581.57452899</v>
      </c>
      <c r="N158">
        <v>260971671.488478</v>
      </c>
      <c r="O158" t="s">
        <v>59</v>
      </c>
      <c r="P158">
        <v>1</v>
      </c>
      <c r="Q158">
        <v>1.22</v>
      </c>
      <c r="R158">
        <v>46.48</v>
      </c>
      <c r="S158">
        <v>0.83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0.83</v>
      </c>
      <c r="AG158">
        <v>0</v>
      </c>
      <c r="AH158">
        <v>0</v>
      </c>
      <c r="AI158">
        <v>137</v>
      </c>
      <c r="AX158" t="s">
        <v>1460</v>
      </c>
      <c r="AY158" t="s">
        <v>1480</v>
      </c>
      <c r="AZ158">
        <v>205</v>
      </c>
      <c r="BA158" t="s">
        <v>1644</v>
      </c>
      <c r="BB158">
        <v>148.01</v>
      </c>
      <c r="BC158">
        <v>0.84373944999999995</v>
      </c>
      <c r="BD158">
        <v>124.88187599450001</v>
      </c>
      <c r="BE158">
        <v>35022368750.849998</v>
      </c>
      <c r="BF158">
        <v>157</v>
      </c>
      <c r="BG158" t="b">
        <f>ISNUMBER(MATCH(D158,'[1]USCLE+'!$W$11:$W$35,0))</f>
        <v>0</v>
      </c>
    </row>
    <row r="159" spans="1:59" x14ac:dyDescent="0.25">
      <c r="A159">
        <v>424</v>
      </c>
      <c r="B159" t="s">
        <v>483</v>
      </c>
      <c r="C159" t="s">
        <v>937</v>
      </c>
      <c r="D159" t="s">
        <v>1370</v>
      </c>
      <c r="E159" t="s">
        <v>61</v>
      </c>
      <c r="F159">
        <v>195.45140000000001</v>
      </c>
      <c r="G159">
        <v>184470210</v>
      </c>
      <c r="H159" t="s">
        <v>1437</v>
      </c>
      <c r="I159">
        <v>36054.97</v>
      </c>
      <c r="J159">
        <v>386137507.63277</v>
      </c>
      <c r="K159">
        <v>409932980.29954302</v>
      </c>
      <c r="L159">
        <v>391519450.362795</v>
      </c>
      <c r="M159">
        <v>453665257.48133701</v>
      </c>
      <c r="N159">
        <v>333073110.21142298</v>
      </c>
      <c r="O159" t="s">
        <v>58</v>
      </c>
      <c r="P159">
        <v>0.95</v>
      </c>
      <c r="Q159">
        <v>2.23</v>
      </c>
      <c r="R159">
        <v>44.59</v>
      </c>
      <c r="S159">
        <v>0.91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0.91</v>
      </c>
      <c r="AG159">
        <v>0</v>
      </c>
      <c r="AH159">
        <v>0</v>
      </c>
      <c r="AI159">
        <v>261</v>
      </c>
      <c r="AX159" t="s">
        <v>1460</v>
      </c>
      <c r="AY159" t="s">
        <v>1480</v>
      </c>
      <c r="AZ159">
        <v>220</v>
      </c>
      <c r="BA159" t="s">
        <v>1645</v>
      </c>
      <c r="BB159">
        <v>247.73</v>
      </c>
      <c r="BC159">
        <v>0.84373944999999995</v>
      </c>
      <c r="BD159">
        <v>209.01957394850001</v>
      </c>
      <c r="BE159">
        <v>34252212762.654301</v>
      </c>
      <c r="BF159">
        <v>158</v>
      </c>
      <c r="BG159" t="b">
        <f>ISNUMBER(MATCH(D159,'[1]USCLE+'!$W$11:$W$35,0))</f>
        <v>0</v>
      </c>
    </row>
    <row r="160" spans="1:59" x14ac:dyDescent="0.25">
      <c r="A160">
        <v>148</v>
      </c>
      <c r="B160" t="s">
        <v>241</v>
      </c>
      <c r="C160" t="s">
        <v>679</v>
      </c>
      <c r="D160" t="s">
        <v>1128</v>
      </c>
      <c r="E160" t="s">
        <v>61</v>
      </c>
      <c r="F160">
        <v>111.65730000000001</v>
      </c>
      <c r="G160">
        <v>339719020</v>
      </c>
      <c r="H160" t="s">
        <v>1436</v>
      </c>
      <c r="I160">
        <v>37932.1</v>
      </c>
      <c r="J160">
        <v>531385860.148476</v>
      </c>
      <c r="K160">
        <v>631229810.68996596</v>
      </c>
      <c r="L160">
        <v>583368833.88229299</v>
      </c>
      <c r="M160">
        <v>675251935.03496003</v>
      </c>
      <c r="N160">
        <v>812173414.67727995</v>
      </c>
      <c r="O160" t="s">
        <v>59</v>
      </c>
      <c r="P160">
        <v>0.9</v>
      </c>
      <c r="Q160">
        <v>1.27</v>
      </c>
      <c r="R160">
        <v>66.989999999999995</v>
      </c>
      <c r="S160">
        <v>0.94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0.94</v>
      </c>
      <c r="AG160">
        <v>0</v>
      </c>
      <c r="AH160">
        <v>0</v>
      </c>
      <c r="AI160">
        <v>142</v>
      </c>
      <c r="AX160" t="s">
        <v>1460</v>
      </c>
      <c r="AY160" t="s">
        <v>1480</v>
      </c>
      <c r="AZ160">
        <v>14</v>
      </c>
      <c r="BA160" t="s">
        <v>1646</v>
      </c>
      <c r="BB160">
        <v>127.68</v>
      </c>
      <c r="BC160">
        <v>0.84373944999999995</v>
      </c>
      <c r="BD160">
        <v>107.72865297600001</v>
      </c>
      <c r="BE160">
        <v>34138897678.6614</v>
      </c>
      <c r="BF160">
        <v>159</v>
      </c>
      <c r="BG160" t="b">
        <f>ISNUMBER(MATCH(D160,'[1]USCLE+'!$W$11:$W$35,0))</f>
        <v>0</v>
      </c>
    </row>
    <row r="161" spans="1:59" x14ac:dyDescent="0.25">
      <c r="A161">
        <v>365</v>
      </c>
      <c r="B161" t="s">
        <v>430</v>
      </c>
      <c r="C161" t="s">
        <v>883</v>
      </c>
      <c r="D161" t="s">
        <v>1317</v>
      </c>
      <c r="E161" t="s">
        <v>61</v>
      </c>
      <c r="F161">
        <v>93.778800000000004</v>
      </c>
      <c r="G161">
        <v>352000000</v>
      </c>
      <c r="H161" t="s">
        <v>1436</v>
      </c>
      <c r="I161">
        <v>33010.14</v>
      </c>
      <c r="J161">
        <v>147676348.27003399</v>
      </c>
      <c r="K161">
        <v>167682693.10082501</v>
      </c>
      <c r="L161">
        <v>148720808.02306601</v>
      </c>
      <c r="M161">
        <v>172199783.77565399</v>
      </c>
      <c r="N161">
        <v>169585287.72126299</v>
      </c>
      <c r="O161" t="s">
        <v>59</v>
      </c>
      <c r="P161">
        <v>1</v>
      </c>
      <c r="Q161">
        <v>1.96</v>
      </c>
      <c r="R161">
        <v>51.14</v>
      </c>
      <c r="S161">
        <v>0.97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0.97</v>
      </c>
      <c r="AG161">
        <v>0</v>
      </c>
      <c r="AH161">
        <v>0</v>
      </c>
      <c r="AI161">
        <v>226</v>
      </c>
      <c r="AX161" t="s">
        <v>1460</v>
      </c>
      <c r="AY161" t="s">
        <v>1480</v>
      </c>
      <c r="AZ161">
        <v>161</v>
      </c>
      <c r="BA161" t="s">
        <v>1647</v>
      </c>
      <c r="BB161">
        <v>102.15</v>
      </c>
      <c r="BC161">
        <v>0.84373944999999995</v>
      </c>
      <c r="BD161">
        <v>86.187984817499995</v>
      </c>
      <c r="BE161">
        <v>33010137600</v>
      </c>
      <c r="BF161">
        <v>160</v>
      </c>
      <c r="BG161" t="b">
        <f>ISNUMBER(MATCH(D161,'[1]USCLE+'!$W$11:$W$35,0))</f>
        <v>0</v>
      </c>
    </row>
    <row r="162" spans="1:59" x14ac:dyDescent="0.25">
      <c r="A162">
        <v>130</v>
      </c>
      <c r="B162" t="s">
        <v>224</v>
      </c>
      <c r="C162" t="s">
        <v>661</v>
      </c>
      <c r="D162" t="s">
        <v>1111</v>
      </c>
      <c r="E162" t="s">
        <v>61</v>
      </c>
      <c r="F162">
        <v>77.846050000000005</v>
      </c>
      <c r="G162">
        <v>423650360</v>
      </c>
      <c r="H162" t="s">
        <v>1437</v>
      </c>
      <c r="I162">
        <v>32979.51</v>
      </c>
      <c r="J162">
        <v>229321252.17330301</v>
      </c>
      <c r="K162">
        <v>235736746.45502999</v>
      </c>
      <c r="L162">
        <v>214773726.59168199</v>
      </c>
      <c r="M162">
        <v>249092447.34149399</v>
      </c>
      <c r="N162">
        <v>211920368.09162501</v>
      </c>
      <c r="O162" t="s">
        <v>58</v>
      </c>
      <c r="P162">
        <v>1</v>
      </c>
      <c r="Q162">
        <v>1.63</v>
      </c>
      <c r="R162">
        <v>53.92</v>
      </c>
      <c r="S162">
        <v>0.86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0.86</v>
      </c>
      <c r="AG162">
        <v>0</v>
      </c>
      <c r="AH162">
        <v>0</v>
      </c>
      <c r="AI162">
        <v>177</v>
      </c>
      <c r="AX162" t="s">
        <v>1460</v>
      </c>
      <c r="AY162" t="s">
        <v>1480</v>
      </c>
      <c r="AZ162">
        <v>120</v>
      </c>
      <c r="BA162" t="s">
        <v>1648</v>
      </c>
      <c r="BB162">
        <v>88.13</v>
      </c>
      <c r="BC162">
        <v>0.84373944999999995</v>
      </c>
      <c r="BD162">
        <v>74.358757728499995</v>
      </c>
      <c r="BE162">
        <v>32979507107.077999</v>
      </c>
      <c r="BF162">
        <v>161</v>
      </c>
      <c r="BG162" t="b">
        <f>ISNUMBER(MATCH(D162,'[1]USCLE+'!$W$11:$W$35,0))</f>
        <v>0</v>
      </c>
    </row>
    <row r="163" spans="1:59" x14ac:dyDescent="0.25">
      <c r="A163">
        <v>466</v>
      </c>
      <c r="B163" t="s">
        <v>519</v>
      </c>
      <c r="C163" t="s">
        <v>975</v>
      </c>
      <c r="D163" t="s">
        <v>1406</v>
      </c>
      <c r="E163" t="s">
        <v>61</v>
      </c>
      <c r="F163">
        <v>231.3193</v>
      </c>
      <c r="G163">
        <v>139714970</v>
      </c>
      <c r="H163" t="s">
        <v>1437</v>
      </c>
      <c r="I163">
        <v>32318.78</v>
      </c>
      <c r="J163">
        <v>262190873.22873601</v>
      </c>
      <c r="K163">
        <v>251334037.95064399</v>
      </c>
      <c r="L163">
        <v>249424607.56179199</v>
      </c>
      <c r="M163">
        <v>289197980.20839202</v>
      </c>
      <c r="N163">
        <v>214302164.443984</v>
      </c>
      <c r="O163" t="s">
        <v>58</v>
      </c>
      <c r="P163">
        <v>1</v>
      </c>
      <c r="Q163">
        <v>1.95</v>
      </c>
      <c r="R163">
        <v>54.71</v>
      </c>
      <c r="S163">
        <v>0.89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0.89</v>
      </c>
      <c r="AG163">
        <v>0</v>
      </c>
      <c r="AH163">
        <v>0</v>
      </c>
      <c r="AI163">
        <v>224</v>
      </c>
      <c r="AX163" t="s">
        <v>1460</v>
      </c>
      <c r="AY163" t="s">
        <v>1480</v>
      </c>
      <c r="AZ163">
        <v>111</v>
      </c>
      <c r="BA163" t="s">
        <v>1649</v>
      </c>
      <c r="BB163">
        <v>251.83</v>
      </c>
      <c r="BC163">
        <v>0.84373944999999995</v>
      </c>
      <c r="BD163">
        <v>212.4789056935</v>
      </c>
      <c r="BE163">
        <v>32318769059.921001</v>
      </c>
      <c r="BF163">
        <v>162</v>
      </c>
      <c r="BG163" t="b">
        <f>ISNUMBER(MATCH(D163,'[1]USCLE+'!$W$11:$W$35,0))</f>
        <v>0</v>
      </c>
    </row>
    <row r="164" spans="1:59" x14ac:dyDescent="0.25">
      <c r="A164">
        <v>226</v>
      </c>
      <c r="B164" t="s">
        <v>312</v>
      </c>
      <c r="C164" t="s">
        <v>752</v>
      </c>
      <c r="D164" t="s">
        <v>1199</v>
      </c>
      <c r="E164" t="s">
        <v>61</v>
      </c>
      <c r="F164">
        <v>114.3711</v>
      </c>
      <c r="G164">
        <v>281171660</v>
      </c>
      <c r="H164" t="s">
        <v>1436</v>
      </c>
      <c r="I164">
        <v>32157.9</v>
      </c>
      <c r="J164">
        <v>147871981.85109001</v>
      </c>
      <c r="K164">
        <v>179053462.661587</v>
      </c>
      <c r="L164">
        <v>170904868.88745701</v>
      </c>
      <c r="M164">
        <v>197965875.13196301</v>
      </c>
      <c r="N164">
        <v>173428008.40758201</v>
      </c>
      <c r="O164" t="s">
        <v>59</v>
      </c>
      <c r="P164">
        <v>1</v>
      </c>
      <c r="Q164">
        <v>0.9</v>
      </c>
      <c r="R164">
        <v>52.55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103</v>
      </c>
      <c r="AX164" t="s">
        <v>1460</v>
      </c>
      <c r="AY164" t="s">
        <v>1480</v>
      </c>
      <c r="AZ164">
        <v>142</v>
      </c>
      <c r="BA164" t="s">
        <v>1650</v>
      </c>
      <c r="BB164">
        <v>129.65</v>
      </c>
      <c r="BC164">
        <v>0.84373944999999995</v>
      </c>
      <c r="BD164">
        <v>109.3908196925</v>
      </c>
      <c r="BE164">
        <v>32157912043.026001</v>
      </c>
      <c r="BF164">
        <v>163</v>
      </c>
      <c r="BG164" t="b">
        <f>ISNUMBER(MATCH(D164,'[1]USCLE+'!$W$11:$W$35,0))</f>
        <v>0</v>
      </c>
    </row>
    <row r="165" spans="1:59" x14ac:dyDescent="0.25">
      <c r="A165">
        <v>197</v>
      </c>
      <c r="B165" t="s">
        <v>286</v>
      </c>
      <c r="C165" t="s">
        <v>725</v>
      </c>
      <c r="D165" t="s">
        <v>1173</v>
      </c>
      <c r="E165" t="s">
        <v>61</v>
      </c>
      <c r="F165">
        <v>61.23912</v>
      </c>
      <c r="G165">
        <v>522378600</v>
      </c>
      <c r="H165" t="s">
        <v>1436</v>
      </c>
      <c r="I165">
        <v>31990.01</v>
      </c>
      <c r="J165">
        <v>275603711.76397198</v>
      </c>
      <c r="K165">
        <v>243971125.20766899</v>
      </c>
      <c r="L165">
        <v>207790465.59890699</v>
      </c>
      <c r="M165">
        <v>240766715.288176</v>
      </c>
      <c r="N165">
        <v>244910450.21966699</v>
      </c>
      <c r="O165" t="s">
        <v>59</v>
      </c>
      <c r="P165">
        <v>1</v>
      </c>
      <c r="Q165">
        <v>1.62</v>
      </c>
      <c r="R165">
        <v>49.21</v>
      </c>
      <c r="S165">
        <v>0.89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0.89</v>
      </c>
      <c r="AG165">
        <v>0</v>
      </c>
      <c r="AH165">
        <v>0</v>
      </c>
      <c r="AI165">
        <v>176</v>
      </c>
      <c r="AX165" t="s">
        <v>1460</v>
      </c>
      <c r="AY165" t="s">
        <v>1480</v>
      </c>
      <c r="AZ165">
        <v>180</v>
      </c>
      <c r="BA165" t="s">
        <v>1651</v>
      </c>
      <c r="BB165">
        <v>66.44</v>
      </c>
      <c r="BC165">
        <v>0.84373944999999995</v>
      </c>
      <c r="BD165">
        <v>56.058049057999987</v>
      </c>
      <c r="BE165">
        <v>31990005770.832001</v>
      </c>
      <c r="BF165">
        <v>164</v>
      </c>
      <c r="BG165" t="b">
        <f>ISNUMBER(MATCH(D165,'[1]USCLE+'!$W$11:$W$35,0))</f>
        <v>0</v>
      </c>
    </row>
    <row r="166" spans="1:59" x14ac:dyDescent="0.25">
      <c r="A166">
        <v>470</v>
      </c>
      <c r="B166" t="s">
        <v>523</v>
      </c>
      <c r="C166" t="s">
        <v>979</v>
      </c>
      <c r="D166" t="s">
        <v>1410</v>
      </c>
      <c r="E166" t="s">
        <v>61</v>
      </c>
      <c r="F166">
        <v>28.503160000000001</v>
      </c>
      <c r="G166">
        <v>1066369800</v>
      </c>
      <c r="H166" t="s">
        <v>1436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207267349.64262301</v>
      </c>
      <c r="N166">
        <v>177143730.76030299</v>
      </c>
      <c r="O166" t="s">
        <v>59</v>
      </c>
      <c r="P166">
        <v>1</v>
      </c>
      <c r="Q166">
        <v>2.68</v>
      </c>
      <c r="R166">
        <v>46.38</v>
      </c>
      <c r="S166">
        <v>0.66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0.66</v>
      </c>
      <c r="AG166">
        <v>0</v>
      </c>
      <c r="AH166">
        <v>0</v>
      </c>
      <c r="AI166">
        <v>327</v>
      </c>
      <c r="AX166" t="s">
        <v>1460</v>
      </c>
      <c r="AY166" t="s">
        <v>1480</v>
      </c>
      <c r="AZ166">
        <v>206</v>
      </c>
      <c r="BA166" t="s">
        <v>1652</v>
      </c>
      <c r="BB166">
        <v>32.64</v>
      </c>
      <c r="BC166">
        <v>0.84373944999999995</v>
      </c>
      <c r="BD166">
        <v>27.539655648</v>
      </c>
      <c r="BE166">
        <v>30394909028.568001</v>
      </c>
      <c r="BF166">
        <v>165</v>
      </c>
      <c r="BG166" t="b">
        <f>ISNUMBER(MATCH(D166,'[1]USCLE+'!$W$11:$W$35,0))</f>
        <v>0</v>
      </c>
    </row>
    <row r="167" spans="1:59" x14ac:dyDescent="0.25">
      <c r="A167">
        <v>82</v>
      </c>
      <c r="B167" t="s">
        <v>183</v>
      </c>
      <c r="C167" t="s">
        <v>618</v>
      </c>
      <c r="D167" t="s">
        <v>1070</v>
      </c>
      <c r="E167" t="s">
        <v>61</v>
      </c>
      <c r="F167">
        <v>126.38679999999999</v>
      </c>
      <c r="G167">
        <v>238793640</v>
      </c>
      <c r="H167" t="s">
        <v>1436</v>
      </c>
      <c r="I167">
        <v>30180.36</v>
      </c>
      <c r="J167">
        <v>371583307.87927902</v>
      </c>
      <c r="K167">
        <v>315454995.988922</v>
      </c>
      <c r="L167">
        <v>304918189.21864301</v>
      </c>
      <c r="M167">
        <v>353724222.700109</v>
      </c>
      <c r="N167">
        <v>276954220.56692898</v>
      </c>
      <c r="O167" t="s">
        <v>59</v>
      </c>
      <c r="P167">
        <v>1</v>
      </c>
      <c r="Q167">
        <v>2.23</v>
      </c>
      <c r="R167">
        <v>58.54</v>
      </c>
      <c r="S167">
        <v>0.97</v>
      </c>
      <c r="T167" t="s">
        <v>1441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0.97</v>
      </c>
      <c r="AG167">
        <v>0</v>
      </c>
      <c r="AH167">
        <v>0</v>
      </c>
      <c r="AI167">
        <v>261</v>
      </c>
      <c r="AX167" t="s">
        <v>1460</v>
      </c>
      <c r="AY167" t="s">
        <v>1480</v>
      </c>
      <c r="AZ167">
        <v>63</v>
      </c>
      <c r="BA167" t="s">
        <v>1653</v>
      </c>
      <c r="BB167">
        <v>148.37</v>
      </c>
      <c r="BC167">
        <v>0.84373944999999995</v>
      </c>
      <c r="BD167">
        <v>125.18562219650001</v>
      </c>
      <c r="BE167">
        <v>30180364019.952</v>
      </c>
      <c r="BF167">
        <v>166</v>
      </c>
      <c r="BG167" t="b">
        <f>ISNUMBER(MATCH(D167,'[1]USCLE+'!$W$11:$W$35,0))</f>
        <v>0</v>
      </c>
    </row>
    <row r="168" spans="1:59" x14ac:dyDescent="0.25">
      <c r="A168">
        <v>115</v>
      </c>
      <c r="B168" t="s">
        <v>210</v>
      </c>
      <c r="C168" t="s">
        <v>647</v>
      </c>
      <c r="D168" t="s">
        <v>1097</v>
      </c>
      <c r="E168" t="s">
        <v>61</v>
      </c>
      <c r="F168">
        <v>61.759689999999999</v>
      </c>
      <c r="G168">
        <v>488395940</v>
      </c>
      <c r="H168" t="s">
        <v>1437</v>
      </c>
      <c r="I168">
        <v>30163.18</v>
      </c>
      <c r="J168">
        <v>248878083.86301199</v>
      </c>
      <c r="K168">
        <v>270360057.87363797</v>
      </c>
      <c r="L168">
        <v>244959727.08689299</v>
      </c>
      <c r="M168">
        <v>283653899.21237397</v>
      </c>
      <c r="N168">
        <v>251393455.854258</v>
      </c>
      <c r="O168" t="s">
        <v>58</v>
      </c>
      <c r="P168">
        <v>1</v>
      </c>
      <c r="Q168">
        <v>0.96</v>
      </c>
      <c r="R168">
        <v>66.89</v>
      </c>
      <c r="S168">
        <v>0.96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F168">
        <v>0.96</v>
      </c>
      <c r="AG168">
        <v>0</v>
      </c>
      <c r="AH168">
        <v>0</v>
      </c>
      <c r="AI168">
        <v>108</v>
      </c>
      <c r="AX168" t="s">
        <v>1460</v>
      </c>
      <c r="AY168" t="s">
        <v>1480</v>
      </c>
      <c r="AZ168">
        <v>15</v>
      </c>
      <c r="BA168" t="s">
        <v>1654</v>
      </c>
      <c r="BB168">
        <v>69.17</v>
      </c>
      <c r="BC168">
        <v>0.84373944999999995</v>
      </c>
      <c r="BD168">
        <v>58.361457756499988</v>
      </c>
      <c r="BE168">
        <v>30163181851.6586</v>
      </c>
      <c r="BF168">
        <v>167</v>
      </c>
      <c r="BG168" t="b">
        <f>ISNUMBER(MATCH(D168,'[1]USCLE+'!$W$11:$W$35,0))</f>
        <v>0</v>
      </c>
    </row>
    <row r="169" spans="1:59" x14ac:dyDescent="0.25">
      <c r="A169">
        <v>495</v>
      </c>
      <c r="B169" t="s">
        <v>543</v>
      </c>
      <c r="C169" t="s">
        <v>1001</v>
      </c>
      <c r="D169" t="s">
        <v>1430</v>
      </c>
      <c r="E169" t="s">
        <v>61</v>
      </c>
      <c r="F169">
        <v>122.666</v>
      </c>
      <c r="G169">
        <v>243409680</v>
      </c>
      <c r="H169" t="s">
        <v>1436</v>
      </c>
      <c r="I169">
        <v>29858.09</v>
      </c>
      <c r="J169">
        <v>129982865.042513</v>
      </c>
      <c r="K169">
        <v>166125226.369652</v>
      </c>
      <c r="L169">
        <v>136556979.36285201</v>
      </c>
      <c r="M169">
        <v>158176120.17047101</v>
      </c>
      <c r="N169">
        <v>160012612.57591099</v>
      </c>
      <c r="O169" t="s">
        <v>59</v>
      </c>
      <c r="P169">
        <v>1</v>
      </c>
      <c r="Q169">
        <v>1.2</v>
      </c>
      <c r="R169">
        <v>55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1444</v>
      </c>
      <c r="AF169">
        <v>0.93</v>
      </c>
      <c r="AG169">
        <v>0</v>
      </c>
      <c r="AH169">
        <v>0</v>
      </c>
      <c r="AI169">
        <v>131</v>
      </c>
      <c r="AX169" t="s">
        <v>1460</v>
      </c>
      <c r="AY169" t="s">
        <v>1480</v>
      </c>
      <c r="AZ169">
        <v>106</v>
      </c>
      <c r="BA169" t="s">
        <v>1655</v>
      </c>
      <c r="BB169">
        <v>140.72</v>
      </c>
      <c r="BC169">
        <v>0.84373944999999995</v>
      </c>
      <c r="BD169">
        <v>118.731015404</v>
      </c>
      <c r="BE169">
        <v>29858091806.880001</v>
      </c>
      <c r="BF169">
        <v>168</v>
      </c>
      <c r="BG169" t="b">
        <f>ISNUMBER(MATCH(D169,'[1]USCLE+'!$W$11:$W$35,0))</f>
        <v>0</v>
      </c>
    </row>
    <row r="170" spans="1:59" x14ac:dyDescent="0.25">
      <c r="A170">
        <v>39</v>
      </c>
      <c r="B170" t="s">
        <v>152</v>
      </c>
      <c r="C170" t="s">
        <v>585</v>
      </c>
      <c r="D170" t="s">
        <v>1039</v>
      </c>
      <c r="E170" t="s">
        <v>61</v>
      </c>
      <c r="F170">
        <v>79.714969999999994</v>
      </c>
      <c r="G170">
        <v>373220300</v>
      </c>
      <c r="H170" t="s">
        <v>1437</v>
      </c>
      <c r="I170">
        <v>29751.24</v>
      </c>
      <c r="J170">
        <v>153193377.37661901</v>
      </c>
      <c r="K170">
        <v>154303505.573861</v>
      </c>
      <c r="L170">
        <v>168975029.08680099</v>
      </c>
      <c r="M170">
        <v>196146159.973104</v>
      </c>
      <c r="N170">
        <v>163357964.58525601</v>
      </c>
      <c r="O170" t="s">
        <v>58</v>
      </c>
      <c r="P170">
        <v>1</v>
      </c>
      <c r="Q170">
        <v>3</v>
      </c>
      <c r="R170">
        <v>49.52</v>
      </c>
      <c r="S170">
        <v>0.66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0.66</v>
      </c>
      <c r="AG170">
        <v>0</v>
      </c>
      <c r="AH170">
        <v>0</v>
      </c>
      <c r="AI170">
        <v>357</v>
      </c>
      <c r="AX170" t="s">
        <v>1460</v>
      </c>
      <c r="AY170" t="s">
        <v>1480</v>
      </c>
      <c r="AZ170">
        <v>177</v>
      </c>
      <c r="BA170" t="s">
        <v>1656</v>
      </c>
      <c r="BB170">
        <v>87.38</v>
      </c>
      <c r="BC170">
        <v>0.84373944999999995</v>
      </c>
      <c r="BD170">
        <v>73.725953140999991</v>
      </c>
      <c r="BE170">
        <v>29751245017.890999</v>
      </c>
      <c r="BF170">
        <v>169</v>
      </c>
      <c r="BG170" t="b">
        <f>ISNUMBER(MATCH(D170,'[1]USCLE+'!$W$11:$W$35,0))</f>
        <v>0</v>
      </c>
    </row>
    <row r="171" spans="1:59" x14ac:dyDescent="0.25">
      <c r="A171">
        <v>341</v>
      </c>
      <c r="B171" t="s">
        <v>411</v>
      </c>
      <c r="C171" t="s">
        <v>861</v>
      </c>
      <c r="D171" t="s">
        <v>1298</v>
      </c>
      <c r="E171" t="s">
        <v>61</v>
      </c>
      <c r="F171">
        <v>75.593109999999996</v>
      </c>
      <c r="G171">
        <v>392475220</v>
      </c>
      <c r="H171" t="s">
        <v>1436</v>
      </c>
      <c r="I171">
        <v>29668.42</v>
      </c>
      <c r="J171">
        <v>311275609.96672702</v>
      </c>
      <c r="K171">
        <v>254096127.38365999</v>
      </c>
      <c r="L171">
        <v>239444589.326094</v>
      </c>
      <c r="M171">
        <v>277919771.21692997</v>
      </c>
      <c r="N171">
        <v>219533288.39143899</v>
      </c>
      <c r="O171" t="s">
        <v>59</v>
      </c>
      <c r="P171">
        <v>1</v>
      </c>
      <c r="Q171">
        <v>2.41</v>
      </c>
      <c r="R171">
        <v>56.81</v>
      </c>
      <c r="S171">
        <v>0.92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0.92</v>
      </c>
      <c r="AG171">
        <v>0</v>
      </c>
      <c r="AH171">
        <v>0</v>
      </c>
      <c r="AI171">
        <v>288</v>
      </c>
      <c r="AX171" t="s">
        <v>1460</v>
      </c>
      <c r="AY171" t="s">
        <v>1480</v>
      </c>
      <c r="AZ171">
        <v>87</v>
      </c>
      <c r="BA171" t="s">
        <v>1657</v>
      </c>
      <c r="BB171">
        <v>89.21</v>
      </c>
      <c r="BC171">
        <v>0.84373944999999995</v>
      </c>
      <c r="BD171">
        <v>75.269996334499993</v>
      </c>
      <c r="BE171">
        <v>29668422477.7342</v>
      </c>
      <c r="BF171">
        <v>170</v>
      </c>
      <c r="BG171" t="b">
        <f>ISNUMBER(MATCH(D171,'[1]USCLE+'!$W$11:$W$35,0))</f>
        <v>0</v>
      </c>
    </row>
    <row r="172" spans="1:59" x14ac:dyDescent="0.25">
      <c r="A172">
        <v>10</v>
      </c>
      <c r="B172" t="s">
        <v>128</v>
      </c>
      <c r="C172" t="s">
        <v>558</v>
      </c>
      <c r="D172" t="s">
        <v>1015</v>
      </c>
      <c r="E172" t="s">
        <v>61</v>
      </c>
      <c r="F172">
        <v>103.7976</v>
      </c>
      <c r="G172">
        <v>284064730</v>
      </c>
      <c r="H172" t="s">
        <v>1436</v>
      </c>
      <c r="I172">
        <v>29485.23</v>
      </c>
      <c r="J172">
        <v>113358493.199627</v>
      </c>
      <c r="K172">
        <v>207713353.23748901</v>
      </c>
      <c r="L172">
        <v>179717054.30937901</v>
      </c>
      <c r="M172">
        <v>207900794.32647699</v>
      </c>
      <c r="N172">
        <v>210687609.89215499</v>
      </c>
      <c r="O172" t="s">
        <v>59</v>
      </c>
      <c r="P172">
        <v>1</v>
      </c>
      <c r="Q172">
        <v>0.57999999999999996</v>
      </c>
      <c r="R172">
        <v>54.94</v>
      </c>
      <c r="S172">
        <v>0.98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0.98</v>
      </c>
      <c r="AG172">
        <v>0</v>
      </c>
      <c r="AH172">
        <v>0</v>
      </c>
      <c r="AI172">
        <v>50</v>
      </c>
      <c r="AX172" t="s">
        <v>1460</v>
      </c>
      <c r="AY172" t="s">
        <v>1480</v>
      </c>
      <c r="AZ172">
        <v>107</v>
      </c>
      <c r="BA172" t="s">
        <v>1658</v>
      </c>
      <c r="BB172">
        <v>127.19</v>
      </c>
      <c r="BC172">
        <v>0.84373944999999995</v>
      </c>
      <c r="BD172">
        <v>107.31522064550001</v>
      </c>
      <c r="BE172">
        <v>29485237218.647999</v>
      </c>
      <c r="BF172">
        <v>171</v>
      </c>
      <c r="BG172" t="b">
        <f>ISNUMBER(MATCH(D172,'[1]USCLE+'!$W$11:$W$35,0))</f>
        <v>0</v>
      </c>
    </row>
    <row r="173" spans="1:59" x14ac:dyDescent="0.25">
      <c r="A173">
        <v>213</v>
      </c>
      <c r="B173" t="s">
        <v>299</v>
      </c>
      <c r="C173" t="s">
        <v>739</v>
      </c>
      <c r="D173" t="s">
        <v>1186</v>
      </c>
      <c r="E173" t="s">
        <v>61</v>
      </c>
      <c r="F173">
        <v>64.191839999999999</v>
      </c>
      <c r="G173">
        <v>456562040</v>
      </c>
      <c r="H173" t="s">
        <v>1437</v>
      </c>
      <c r="I173">
        <v>29307.56</v>
      </c>
      <c r="J173">
        <v>202828675.43279701</v>
      </c>
      <c r="K173">
        <v>279382727.74312001</v>
      </c>
      <c r="L173">
        <v>234611520.672593</v>
      </c>
      <c r="M173">
        <v>271853249.01017702</v>
      </c>
      <c r="N173">
        <v>262838257.28489801</v>
      </c>
      <c r="O173" t="s">
        <v>58</v>
      </c>
      <c r="P173">
        <v>1</v>
      </c>
      <c r="Q173">
        <v>0.85</v>
      </c>
      <c r="R173">
        <v>60.69</v>
      </c>
      <c r="S173">
        <v>0.91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0.91</v>
      </c>
      <c r="AG173">
        <v>0</v>
      </c>
      <c r="AH173">
        <v>0</v>
      </c>
      <c r="AI173">
        <v>93</v>
      </c>
      <c r="AX173" t="s">
        <v>1460</v>
      </c>
      <c r="AY173" t="s">
        <v>1480</v>
      </c>
      <c r="AZ173">
        <v>44</v>
      </c>
      <c r="BA173" t="s">
        <v>1659</v>
      </c>
      <c r="BB173">
        <v>77.48</v>
      </c>
      <c r="BC173">
        <v>0.84373944999999995</v>
      </c>
      <c r="BD173">
        <v>65.372932586000005</v>
      </c>
      <c r="BE173">
        <v>29307557421.753601</v>
      </c>
      <c r="BF173">
        <v>172</v>
      </c>
      <c r="BG173" t="b">
        <f>ISNUMBER(MATCH(D173,'[1]USCLE+'!$W$11:$W$35,0))</f>
        <v>0</v>
      </c>
    </row>
    <row r="174" spans="1:59" x14ac:dyDescent="0.25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  <c r="BA174" t="s">
        <v>1660</v>
      </c>
      <c r="BB174">
        <v>1553.54</v>
      </c>
      <c r="BC174">
        <v>0.84373944999999995</v>
      </c>
      <c r="BD174">
        <v>1310.782985153</v>
      </c>
      <c r="BE174">
        <v>29003905588.672001</v>
      </c>
      <c r="BF174">
        <v>173</v>
      </c>
      <c r="BG174" t="b">
        <f>ISNUMBER(MATCH(D174,'[1]USCLE+'!$W$11:$W$35,0))</f>
        <v>0</v>
      </c>
    </row>
    <row r="175" spans="1:59" x14ac:dyDescent="0.25">
      <c r="A175">
        <v>329</v>
      </c>
      <c r="B175" t="s">
        <v>402</v>
      </c>
      <c r="C175" t="s">
        <v>850</v>
      </c>
      <c r="D175" t="s">
        <v>1289</v>
      </c>
      <c r="E175" t="s">
        <v>61</v>
      </c>
      <c r="F175">
        <v>126.24169999999999</v>
      </c>
      <c r="G175">
        <v>229535450</v>
      </c>
      <c r="H175" t="s">
        <v>1436</v>
      </c>
      <c r="I175">
        <v>28976.94</v>
      </c>
      <c r="J175">
        <v>151869313.09103501</v>
      </c>
      <c r="K175">
        <v>259937823.963009</v>
      </c>
      <c r="L175">
        <v>238267182.54615301</v>
      </c>
      <c r="M175">
        <v>275599391.92545098</v>
      </c>
      <c r="N175">
        <v>271524031.90000403</v>
      </c>
      <c r="O175" t="s">
        <v>59</v>
      </c>
      <c r="P175">
        <v>1</v>
      </c>
      <c r="Q175">
        <v>2.63</v>
      </c>
      <c r="R175">
        <v>48.89</v>
      </c>
      <c r="S175">
        <v>0.89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0.89</v>
      </c>
      <c r="AG175">
        <v>0</v>
      </c>
      <c r="AH175">
        <v>0</v>
      </c>
      <c r="AI175">
        <v>318</v>
      </c>
      <c r="AX175" t="s">
        <v>1460</v>
      </c>
      <c r="AY175" t="s">
        <v>1480</v>
      </c>
      <c r="AZ175">
        <v>183</v>
      </c>
      <c r="BA175" t="s">
        <v>1661</v>
      </c>
      <c r="BB175">
        <v>142.93</v>
      </c>
      <c r="BC175">
        <v>0.84373944999999995</v>
      </c>
      <c r="BD175">
        <v>120.5956795885</v>
      </c>
      <c r="BE175">
        <v>28976945418.264999</v>
      </c>
      <c r="BF175">
        <v>174</v>
      </c>
      <c r="BG175" t="b">
        <f>ISNUMBER(MATCH(D175,'[1]USCLE+'!$W$11:$W$35,0))</f>
        <v>0</v>
      </c>
    </row>
    <row r="176" spans="1:59" x14ac:dyDescent="0.25">
      <c r="A176">
        <v>397</v>
      </c>
      <c r="B176" t="s">
        <v>458</v>
      </c>
      <c r="C176" t="s">
        <v>912</v>
      </c>
      <c r="D176" t="s">
        <v>1345</v>
      </c>
      <c r="E176" t="s">
        <v>61</v>
      </c>
      <c r="F176">
        <v>135.86789999999999</v>
      </c>
      <c r="G176">
        <v>212677190</v>
      </c>
      <c r="H176" t="s">
        <v>1437</v>
      </c>
      <c r="I176">
        <v>28896</v>
      </c>
      <c r="J176">
        <v>325371706.59852803</v>
      </c>
      <c r="K176">
        <v>404523907.31984901</v>
      </c>
      <c r="L176">
        <v>472277025.18454599</v>
      </c>
      <c r="M176">
        <v>546905353.50489604</v>
      </c>
      <c r="N176">
        <v>322424630.10448402</v>
      </c>
      <c r="O176" t="s">
        <v>58</v>
      </c>
      <c r="P176">
        <v>1</v>
      </c>
      <c r="Q176">
        <v>0.78</v>
      </c>
      <c r="R176">
        <v>57.13</v>
      </c>
      <c r="S176">
        <v>0.96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0.96</v>
      </c>
      <c r="AG176">
        <v>0</v>
      </c>
      <c r="AH176">
        <v>0</v>
      </c>
      <c r="AI176">
        <v>79</v>
      </c>
      <c r="AX176" t="s">
        <v>1460</v>
      </c>
      <c r="AY176" t="s">
        <v>1480</v>
      </c>
      <c r="AZ176">
        <v>81</v>
      </c>
      <c r="BA176" t="s">
        <v>1662</v>
      </c>
      <c r="BB176">
        <v>211.13</v>
      </c>
      <c r="BC176">
        <v>0.84373944999999995</v>
      </c>
      <c r="BD176">
        <v>178.1387100785</v>
      </c>
      <c r="BE176">
        <v>28896003183.201</v>
      </c>
      <c r="BF176">
        <v>175</v>
      </c>
      <c r="BG176" t="b">
        <f>ISNUMBER(MATCH(D176,'[1]USCLE+'!$W$11:$W$35,0))</f>
        <v>0</v>
      </c>
    </row>
    <row r="177" spans="1:59" x14ac:dyDescent="0.25">
      <c r="A177">
        <v>486</v>
      </c>
      <c r="B177" t="s">
        <v>536</v>
      </c>
      <c r="C177" t="s">
        <v>994</v>
      </c>
      <c r="D177" t="s">
        <v>1423</v>
      </c>
      <c r="E177" t="s">
        <v>61</v>
      </c>
      <c r="F177">
        <v>167.04220000000001</v>
      </c>
      <c r="G177">
        <v>170953170</v>
      </c>
      <c r="H177" t="s">
        <v>1436</v>
      </c>
      <c r="I177">
        <v>28556.39</v>
      </c>
      <c r="J177">
        <v>180805315.67286301</v>
      </c>
      <c r="K177">
        <v>181896702.48201299</v>
      </c>
      <c r="L177">
        <v>184017476.39416701</v>
      </c>
      <c r="M177">
        <v>213367092.279322</v>
      </c>
      <c r="N177">
        <v>184014670.15812099</v>
      </c>
      <c r="O177" t="s">
        <v>59</v>
      </c>
      <c r="P177">
        <v>1</v>
      </c>
      <c r="Q177">
        <v>1.02</v>
      </c>
      <c r="R177">
        <v>44.88</v>
      </c>
      <c r="S177">
        <v>0.73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0.73</v>
      </c>
      <c r="AG177">
        <v>0</v>
      </c>
      <c r="AH177">
        <v>0</v>
      </c>
      <c r="AI177">
        <v>114</v>
      </c>
      <c r="AX177" t="s">
        <v>1460</v>
      </c>
      <c r="AY177" t="s">
        <v>1480</v>
      </c>
      <c r="AZ177">
        <v>218</v>
      </c>
      <c r="BA177" t="s">
        <v>1663</v>
      </c>
      <c r="BB177">
        <v>187.65</v>
      </c>
      <c r="BC177">
        <v>0.84373944999999995</v>
      </c>
      <c r="BD177">
        <v>158.32770779250001</v>
      </c>
      <c r="BE177">
        <v>28556393613.773998</v>
      </c>
      <c r="BF177">
        <v>176</v>
      </c>
      <c r="BG177" t="b">
        <f>ISNUMBER(MATCH(D177,'[1]USCLE+'!$W$11:$W$35,0))</f>
        <v>0</v>
      </c>
    </row>
    <row r="178" spans="1:59" x14ac:dyDescent="0.25">
      <c r="A178">
        <v>353</v>
      </c>
      <c r="B178" t="s">
        <v>421</v>
      </c>
      <c r="C178" t="s">
        <v>872</v>
      </c>
      <c r="D178" t="s">
        <v>1308</v>
      </c>
      <c r="E178" t="s">
        <v>61</v>
      </c>
      <c r="F178">
        <v>12.962960000000001</v>
      </c>
      <c r="G178">
        <v>2197837400</v>
      </c>
      <c r="H178" t="s">
        <v>1436</v>
      </c>
      <c r="I178">
        <v>28490.49</v>
      </c>
      <c r="J178">
        <v>375123331.23014599</v>
      </c>
      <c r="K178">
        <v>305729682.06187099</v>
      </c>
      <c r="L178">
        <v>357328586.94257897</v>
      </c>
      <c r="M178">
        <v>413792206.37575603</v>
      </c>
      <c r="N178">
        <v>315674645.90851003</v>
      </c>
      <c r="O178" t="s">
        <v>59</v>
      </c>
      <c r="P178">
        <v>1</v>
      </c>
      <c r="Q178">
        <v>0.48</v>
      </c>
      <c r="R178">
        <v>49.8</v>
      </c>
      <c r="S178">
        <v>0.93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8.8400000000000006E-2</v>
      </c>
      <c r="AF178">
        <v>0.93</v>
      </c>
      <c r="AG178">
        <v>0</v>
      </c>
      <c r="AH178">
        <v>8.8400000000000006E-2</v>
      </c>
      <c r="AI178">
        <v>31</v>
      </c>
      <c r="AX178" t="s">
        <v>1460</v>
      </c>
      <c r="AY178" t="s">
        <v>1480</v>
      </c>
      <c r="AZ178">
        <v>173</v>
      </c>
      <c r="BA178" t="s">
        <v>1664</v>
      </c>
      <c r="BB178">
        <v>14.95</v>
      </c>
      <c r="BC178">
        <v>0.84373944999999995</v>
      </c>
      <c r="BD178">
        <v>12.6139047775</v>
      </c>
      <c r="BE178">
        <v>28490478302.703999</v>
      </c>
      <c r="BF178">
        <v>177</v>
      </c>
      <c r="BG178" t="b">
        <f>ISNUMBER(MATCH(D178,'[1]USCLE+'!$W$11:$W$35,0))</f>
        <v>0</v>
      </c>
    </row>
    <row r="179" spans="1:59" x14ac:dyDescent="0.25">
      <c r="A179">
        <v>491</v>
      </c>
      <c r="B179" t="s">
        <v>540</v>
      </c>
      <c r="C179" t="s">
        <v>998</v>
      </c>
      <c r="D179" t="s">
        <v>1427</v>
      </c>
      <c r="E179" t="s">
        <v>61</v>
      </c>
      <c r="F179">
        <v>289.51190000000003</v>
      </c>
      <c r="G179">
        <v>97547990</v>
      </c>
      <c r="H179" t="s">
        <v>1437</v>
      </c>
      <c r="I179">
        <v>28241.3</v>
      </c>
      <c r="J179">
        <v>176024610.199269</v>
      </c>
      <c r="K179">
        <v>189681174.51865199</v>
      </c>
      <c r="L179">
        <v>181145376.82472101</v>
      </c>
      <c r="M179">
        <v>210084859.47727501</v>
      </c>
      <c r="N179">
        <v>183379455.29987699</v>
      </c>
      <c r="O179" t="s">
        <v>58</v>
      </c>
      <c r="P179">
        <v>1</v>
      </c>
      <c r="Q179">
        <v>0.49</v>
      </c>
      <c r="R179">
        <v>43.88</v>
      </c>
      <c r="S179">
        <v>0.62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0.62</v>
      </c>
      <c r="AG179">
        <v>0</v>
      </c>
      <c r="AH179">
        <v>0</v>
      </c>
      <c r="AI179">
        <v>34</v>
      </c>
      <c r="AX179" t="s">
        <v>1460</v>
      </c>
      <c r="AY179" t="s">
        <v>1480</v>
      </c>
      <c r="AZ179">
        <v>229</v>
      </c>
      <c r="BA179" t="s">
        <v>1665</v>
      </c>
      <c r="BB179">
        <v>330.72</v>
      </c>
      <c r="BC179">
        <v>0.84373944999999995</v>
      </c>
      <c r="BD179">
        <v>279.04151090400001</v>
      </c>
      <c r="BE179">
        <v>28241303926.081001</v>
      </c>
      <c r="BF179">
        <v>178</v>
      </c>
      <c r="BG179" t="b">
        <f>ISNUMBER(MATCH(D179,'[1]USCLE+'!$W$11:$W$35,0))</f>
        <v>0</v>
      </c>
    </row>
    <row r="180" spans="1:59" x14ac:dyDescent="0.25">
      <c r="A180">
        <v>83</v>
      </c>
      <c r="B180" t="s">
        <v>184</v>
      </c>
      <c r="C180" t="s">
        <v>619</v>
      </c>
      <c r="D180" t="s">
        <v>1071</v>
      </c>
      <c r="E180" t="s">
        <v>61</v>
      </c>
      <c r="F180">
        <v>26.711040000000001</v>
      </c>
      <c r="G180">
        <v>1167404000</v>
      </c>
      <c r="H180" t="s">
        <v>1436</v>
      </c>
      <c r="I180">
        <v>31182.58</v>
      </c>
      <c r="J180">
        <v>394495030.29011202</v>
      </c>
      <c r="K180">
        <v>501070171.793019</v>
      </c>
      <c r="L180">
        <v>520923713.40616298</v>
      </c>
      <c r="M180">
        <v>604574220.26011705</v>
      </c>
      <c r="N180">
        <v>499500736.62302101</v>
      </c>
      <c r="O180" t="s">
        <v>59</v>
      </c>
      <c r="P180">
        <v>0.9</v>
      </c>
      <c r="Q180">
        <v>1.97</v>
      </c>
      <c r="R180">
        <v>51.99</v>
      </c>
      <c r="S180">
        <v>0.98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0.98</v>
      </c>
      <c r="AG180">
        <v>0</v>
      </c>
      <c r="AH180">
        <v>0</v>
      </c>
      <c r="AI180">
        <v>228</v>
      </c>
      <c r="AX180" t="s">
        <v>1460</v>
      </c>
      <c r="AY180" t="s">
        <v>1480</v>
      </c>
      <c r="AZ180">
        <v>151</v>
      </c>
      <c r="BA180" t="s">
        <v>1666</v>
      </c>
      <c r="BB180">
        <v>31.2</v>
      </c>
      <c r="BC180">
        <v>0.84373944999999995</v>
      </c>
      <c r="BD180">
        <v>26.32467084</v>
      </c>
      <c r="BE180">
        <v>28064317446.144001</v>
      </c>
      <c r="BF180">
        <v>179</v>
      </c>
      <c r="BG180" t="b">
        <f>ISNUMBER(MATCH(D180,'[1]USCLE+'!$W$11:$W$35,0))</f>
        <v>0</v>
      </c>
    </row>
    <row r="181" spans="1:59" x14ac:dyDescent="0.25">
      <c r="A181">
        <v>412</v>
      </c>
      <c r="B181" t="s">
        <v>473</v>
      </c>
      <c r="C181" t="s">
        <v>927</v>
      </c>
      <c r="D181" t="s">
        <v>1360</v>
      </c>
      <c r="E181" t="s">
        <v>61</v>
      </c>
      <c r="F181">
        <v>98.549239999999998</v>
      </c>
      <c r="G181">
        <v>283695340</v>
      </c>
      <c r="H181" t="s">
        <v>1436</v>
      </c>
      <c r="I181">
        <v>27957.96</v>
      </c>
      <c r="J181">
        <v>143890374.821136</v>
      </c>
      <c r="K181">
        <v>179041122.81118</v>
      </c>
      <c r="L181">
        <v>178639796.68801799</v>
      </c>
      <c r="M181">
        <v>207279250.12796301</v>
      </c>
      <c r="N181">
        <v>182679640.46636701</v>
      </c>
      <c r="O181" t="s">
        <v>59</v>
      </c>
      <c r="P181">
        <v>1</v>
      </c>
      <c r="Q181">
        <v>0.89</v>
      </c>
      <c r="R181">
        <v>57.46</v>
      </c>
      <c r="S181">
        <v>0.96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0.96</v>
      </c>
      <c r="AG181">
        <v>0</v>
      </c>
      <c r="AH181">
        <v>0</v>
      </c>
      <c r="AI181">
        <v>100</v>
      </c>
      <c r="AX181" t="s">
        <v>1460</v>
      </c>
      <c r="AY181" t="s">
        <v>1480</v>
      </c>
      <c r="AZ181">
        <v>74</v>
      </c>
      <c r="BA181" t="s">
        <v>1667</v>
      </c>
      <c r="BB181">
        <v>110.49</v>
      </c>
      <c r="BC181">
        <v>0.84373944999999995</v>
      </c>
      <c r="BD181">
        <v>93.224771830499989</v>
      </c>
      <c r="BE181">
        <v>27957960148.541599</v>
      </c>
      <c r="BF181">
        <v>180</v>
      </c>
      <c r="BG181" t="b">
        <f>ISNUMBER(MATCH(D181,'[1]USCLE+'!$W$11:$W$35,0))</f>
        <v>0</v>
      </c>
    </row>
    <row r="182" spans="1:59" x14ac:dyDescent="0.25">
      <c r="A182">
        <v>252</v>
      </c>
      <c r="B182" t="s">
        <v>335</v>
      </c>
      <c r="C182" t="s">
        <v>777</v>
      </c>
      <c r="D182" t="s">
        <v>1222</v>
      </c>
      <c r="E182" t="s">
        <v>61</v>
      </c>
      <c r="F182">
        <v>163.1251</v>
      </c>
      <c r="G182">
        <v>170000000</v>
      </c>
      <c r="H182" t="s">
        <v>1436</v>
      </c>
      <c r="I182">
        <v>27731.27</v>
      </c>
      <c r="J182">
        <v>206330644.22713599</v>
      </c>
      <c r="K182">
        <v>305876533.38463199</v>
      </c>
      <c r="L182">
        <v>302860502.23228902</v>
      </c>
      <c r="M182">
        <v>351115643.87542403</v>
      </c>
      <c r="N182">
        <v>293345276.233006</v>
      </c>
      <c r="O182" t="s">
        <v>59</v>
      </c>
      <c r="P182">
        <v>1</v>
      </c>
      <c r="Q182">
        <v>2.61</v>
      </c>
      <c r="R182">
        <v>43.3</v>
      </c>
      <c r="S182">
        <v>0.9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F182">
        <v>0.9</v>
      </c>
      <c r="AG182">
        <v>0</v>
      </c>
      <c r="AH182">
        <v>0</v>
      </c>
      <c r="AI182">
        <v>315</v>
      </c>
      <c r="AX182" t="s">
        <v>1460</v>
      </c>
      <c r="AY182" t="s">
        <v>1480</v>
      </c>
      <c r="AZ182">
        <v>233</v>
      </c>
      <c r="BA182" t="s">
        <v>1668</v>
      </c>
      <c r="BB182">
        <v>186.81</v>
      </c>
      <c r="BC182">
        <v>0.84373944999999995</v>
      </c>
      <c r="BD182">
        <v>157.61896665450001</v>
      </c>
      <c r="BE182">
        <v>27731267000</v>
      </c>
      <c r="BF182">
        <v>181</v>
      </c>
      <c r="BG182" t="b">
        <f>ISNUMBER(MATCH(D182,'[1]USCLE+'!$W$11:$W$35,0))</f>
        <v>0</v>
      </c>
    </row>
    <row r="183" spans="1:59" x14ac:dyDescent="0.25">
      <c r="A183">
        <v>164</v>
      </c>
      <c r="B183" t="s">
        <v>256</v>
      </c>
      <c r="C183" t="s">
        <v>694</v>
      </c>
      <c r="D183" t="s">
        <v>1143</v>
      </c>
      <c r="E183" t="s">
        <v>61</v>
      </c>
      <c r="F183">
        <v>65.983959999999996</v>
      </c>
      <c r="G183">
        <v>418716670</v>
      </c>
      <c r="H183" t="s">
        <v>1436</v>
      </c>
      <c r="I183">
        <v>27628.58</v>
      </c>
      <c r="J183">
        <v>203138002.51407099</v>
      </c>
      <c r="K183">
        <v>187483800.761078</v>
      </c>
      <c r="L183">
        <v>172176707.23421299</v>
      </c>
      <c r="M183">
        <v>199476641.268287</v>
      </c>
      <c r="N183">
        <v>174388037.88642401</v>
      </c>
      <c r="O183" t="s">
        <v>59</v>
      </c>
      <c r="P183">
        <v>1</v>
      </c>
      <c r="Q183">
        <v>1.79</v>
      </c>
      <c r="R183">
        <v>48.54</v>
      </c>
      <c r="S183">
        <v>0.86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0.86</v>
      </c>
      <c r="AG183">
        <v>0</v>
      </c>
      <c r="AH183">
        <v>0</v>
      </c>
      <c r="AI183">
        <v>200</v>
      </c>
      <c r="AX183" t="s">
        <v>1460</v>
      </c>
      <c r="AY183" t="s">
        <v>1480</v>
      </c>
      <c r="AZ183">
        <v>187</v>
      </c>
      <c r="BA183" t="s">
        <v>1669</v>
      </c>
      <c r="BB183">
        <v>77.17</v>
      </c>
      <c r="BC183">
        <v>0.84373944999999995</v>
      </c>
      <c r="BD183">
        <v>65.111373356499996</v>
      </c>
      <c r="BE183">
        <v>27628584004.613201</v>
      </c>
      <c r="BF183">
        <v>182</v>
      </c>
      <c r="BG183" t="b">
        <f>ISNUMBER(MATCH(D183,'[1]USCLE+'!$W$11:$W$35,0))</f>
        <v>0</v>
      </c>
    </row>
    <row r="184" spans="1:59" x14ac:dyDescent="0.25">
      <c r="A184">
        <v>242</v>
      </c>
      <c r="B184" t="s">
        <v>326</v>
      </c>
      <c r="C184" t="s">
        <v>768</v>
      </c>
      <c r="D184" t="s">
        <v>1213</v>
      </c>
      <c r="E184" t="s">
        <v>61</v>
      </c>
      <c r="F184">
        <v>68.808670000000006</v>
      </c>
      <c r="G184">
        <v>397452500</v>
      </c>
      <c r="H184" t="s">
        <v>1436</v>
      </c>
      <c r="I184">
        <v>27348.18</v>
      </c>
      <c r="J184">
        <v>201427970.89816499</v>
      </c>
      <c r="K184">
        <v>217401464.52621901</v>
      </c>
      <c r="L184">
        <v>199576325.16361901</v>
      </c>
      <c r="M184">
        <v>231243773.30972001</v>
      </c>
      <c r="N184">
        <v>208366850.54877499</v>
      </c>
      <c r="O184" t="s">
        <v>59</v>
      </c>
      <c r="P184">
        <v>1</v>
      </c>
      <c r="Q184">
        <v>0.37</v>
      </c>
      <c r="R184">
        <v>61.67</v>
      </c>
      <c r="S184">
        <v>0.92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E184" t="s">
        <v>1444</v>
      </c>
      <c r="AF184">
        <v>0.92</v>
      </c>
      <c r="AG184">
        <v>0</v>
      </c>
      <c r="AH184">
        <v>0</v>
      </c>
      <c r="AI184">
        <v>18</v>
      </c>
      <c r="AX184" t="s">
        <v>1460</v>
      </c>
      <c r="AY184" t="s">
        <v>1480</v>
      </c>
      <c r="AZ184">
        <v>36</v>
      </c>
      <c r="BA184" t="s">
        <v>1670</v>
      </c>
      <c r="BB184">
        <v>77.7</v>
      </c>
      <c r="BC184">
        <v>0.84373944999999995</v>
      </c>
      <c r="BD184">
        <v>65.558555264999995</v>
      </c>
      <c r="BE184">
        <v>27348177913.174999</v>
      </c>
      <c r="BF184">
        <v>183</v>
      </c>
      <c r="BG184" t="b">
        <f>ISNUMBER(MATCH(D184,'[1]USCLE+'!$W$11:$W$35,0))</f>
        <v>0</v>
      </c>
    </row>
    <row r="185" spans="1:59" x14ac:dyDescent="0.25">
      <c r="A185">
        <v>181</v>
      </c>
      <c r="B185" t="s">
        <v>271</v>
      </c>
      <c r="C185" t="s">
        <v>710</v>
      </c>
      <c r="D185" t="s">
        <v>1158</v>
      </c>
      <c r="E185" t="s">
        <v>61</v>
      </c>
      <c r="F185">
        <v>217.6139</v>
      </c>
      <c r="G185">
        <v>123797380</v>
      </c>
      <c r="H185" t="s">
        <v>1436</v>
      </c>
      <c r="I185">
        <v>26940.03</v>
      </c>
      <c r="J185">
        <v>216804075.45745501</v>
      </c>
      <c r="K185">
        <v>231267479.064123</v>
      </c>
      <c r="L185">
        <v>218247508.58441901</v>
      </c>
      <c r="M185">
        <v>253217575.11235899</v>
      </c>
      <c r="N185">
        <v>241683572.69095501</v>
      </c>
      <c r="O185" t="s">
        <v>59</v>
      </c>
      <c r="P185">
        <v>1</v>
      </c>
      <c r="Q185">
        <v>2.63</v>
      </c>
      <c r="R185">
        <v>54.48</v>
      </c>
      <c r="S185">
        <v>0.67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0.67</v>
      </c>
      <c r="AG185">
        <v>0</v>
      </c>
      <c r="AH185">
        <v>0</v>
      </c>
      <c r="AI185">
        <v>318</v>
      </c>
      <c r="AX185" t="s">
        <v>1460</v>
      </c>
      <c r="AY185" t="s">
        <v>1480</v>
      </c>
      <c r="AZ185">
        <v>112</v>
      </c>
      <c r="BA185" t="s">
        <v>1671</v>
      </c>
      <c r="BB185">
        <v>260.58</v>
      </c>
      <c r="BC185">
        <v>0.84373944999999995</v>
      </c>
      <c r="BD185">
        <v>219.86162588100001</v>
      </c>
      <c r="BE185">
        <v>26940030671.582001</v>
      </c>
      <c r="BF185">
        <v>184</v>
      </c>
      <c r="BG185" t="b">
        <f>ISNUMBER(MATCH(D185,'[1]USCLE+'!$W$11:$W$35,0))</f>
        <v>0</v>
      </c>
    </row>
    <row r="186" spans="1:59" x14ac:dyDescent="0.25">
      <c r="A186">
        <v>71</v>
      </c>
      <c r="B186" t="s">
        <v>178</v>
      </c>
      <c r="C186" t="s">
        <v>613</v>
      </c>
      <c r="D186" t="s">
        <v>1065</v>
      </c>
      <c r="E186" t="s">
        <v>61</v>
      </c>
      <c r="F186">
        <v>223.74119999999999</v>
      </c>
      <c r="G186">
        <v>117129320</v>
      </c>
      <c r="H186" t="s">
        <v>1436</v>
      </c>
      <c r="I186">
        <v>26206.66</v>
      </c>
      <c r="J186">
        <v>181691919.15489399</v>
      </c>
      <c r="K186">
        <v>133936784.61857</v>
      </c>
      <c r="L186">
        <v>142113384.74255601</v>
      </c>
      <c r="M186">
        <v>164908788.59826899</v>
      </c>
      <c r="N186">
        <v>118031399.41577899</v>
      </c>
      <c r="O186" t="s">
        <v>59</v>
      </c>
      <c r="P186">
        <v>1</v>
      </c>
      <c r="Q186">
        <v>0.17</v>
      </c>
      <c r="R186">
        <v>53.57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1</v>
      </c>
      <c r="AX186" t="s">
        <v>1460</v>
      </c>
      <c r="AY186" t="s">
        <v>1480</v>
      </c>
      <c r="AZ186">
        <v>126</v>
      </c>
      <c r="BA186" t="s">
        <v>1672</v>
      </c>
      <c r="BB186">
        <v>245.61</v>
      </c>
      <c r="BC186">
        <v>0.84373944999999995</v>
      </c>
      <c r="BD186">
        <v>207.23084631450001</v>
      </c>
      <c r="BE186">
        <v>26206654611.984001</v>
      </c>
      <c r="BF186">
        <v>185</v>
      </c>
      <c r="BG186" t="b">
        <f>ISNUMBER(MATCH(D186,'[1]USCLE+'!$W$11:$W$35,0))</f>
        <v>0</v>
      </c>
    </row>
    <row r="187" spans="1:59" x14ac:dyDescent="0.25">
      <c r="A187">
        <v>40</v>
      </c>
      <c r="B187" t="s">
        <v>153</v>
      </c>
      <c r="C187" t="s">
        <v>586</v>
      </c>
      <c r="D187" t="s">
        <v>1040</v>
      </c>
      <c r="E187" t="s">
        <v>61</v>
      </c>
      <c r="F187">
        <v>53.695169999999997</v>
      </c>
      <c r="G187">
        <v>480464480</v>
      </c>
      <c r="H187" t="s">
        <v>1436</v>
      </c>
      <c r="I187">
        <v>25798.62</v>
      </c>
      <c r="J187">
        <v>197566938.461575</v>
      </c>
      <c r="K187">
        <v>181625808.86897901</v>
      </c>
      <c r="L187">
        <v>168414301.31849799</v>
      </c>
      <c r="M187">
        <v>195364487.807648</v>
      </c>
      <c r="N187">
        <v>168368185.90020201</v>
      </c>
      <c r="O187" t="s">
        <v>59</v>
      </c>
      <c r="P187">
        <v>1</v>
      </c>
      <c r="Q187">
        <v>2.7</v>
      </c>
      <c r="R187">
        <v>52.37</v>
      </c>
      <c r="S187">
        <v>0.94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0.94</v>
      </c>
      <c r="AG187">
        <v>0</v>
      </c>
      <c r="AH187">
        <v>0</v>
      </c>
      <c r="AI187">
        <v>331</v>
      </c>
      <c r="AX187" t="s">
        <v>1460</v>
      </c>
      <c r="AY187" t="s">
        <v>1480</v>
      </c>
      <c r="AZ187">
        <v>145</v>
      </c>
      <c r="BA187" t="s">
        <v>1673</v>
      </c>
      <c r="BB187">
        <v>62.35</v>
      </c>
      <c r="BC187">
        <v>0.84373944999999995</v>
      </c>
      <c r="BD187">
        <v>52.607154707500001</v>
      </c>
      <c r="BE187">
        <v>25798621932.5616</v>
      </c>
      <c r="BF187">
        <v>186</v>
      </c>
      <c r="BG187" t="b">
        <f>ISNUMBER(MATCH(D187,'[1]USCLE+'!$W$11:$W$35,0))</f>
        <v>0</v>
      </c>
    </row>
    <row r="188" spans="1:59" x14ac:dyDescent="0.25">
      <c r="A188">
        <v>198</v>
      </c>
      <c r="B188" t="s">
        <v>287</v>
      </c>
      <c r="C188" t="s">
        <v>726</v>
      </c>
      <c r="D188" t="s">
        <v>1174</v>
      </c>
      <c r="E188" t="s">
        <v>61</v>
      </c>
      <c r="F188">
        <v>38.22325</v>
      </c>
      <c r="G188">
        <v>661887270</v>
      </c>
      <c r="H188" t="s">
        <v>1437</v>
      </c>
      <c r="I188">
        <v>25299.48</v>
      </c>
      <c r="J188">
        <v>121783109.04463699</v>
      </c>
      <c r="K188">
        <v>175394129.99827999</v>
      </c>
      <c r="L188">
        <v>177805561.21396399</v>
      </c>
      <c r="M188">
        <v>206353987.082618</v>
      </c>
      <c r="N188">
        <v>175494424.02287599</v>
      </c>
      <c r="O188" t="s">
        <v>58</v>
      </c>
      <c r="P188">
        <v>1</v>
      </c>
      <c r="Q188">
        <v>2.41</v>
      </c>
      <c r="R188">
        <v>43.16</v>
      </c>
      <c r="S188">
        <v>0.85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0.85</v>
      </c>
      <c r="AG188">
        <v>0</v>
      </c>
      <c r="AH188">
        <v>0</v>
      </c>
      <c r="AI188">
        <v>288</v>
      </c>
      <c r="AX188" t="s">
        <v>1460</v>
      </c>
      <c r="AY188" t="s">
        <v>1480</v>
      </c>
      <c r="AZ188">
        <v>238</v>
      </c>
      <c r="BA188" t="s">
        <v>1674</v>
      </c>
      <c r="BB188">
        <v>45</v>
      </c>
      <c r="BC188">
        <v>0.84373944999999995</v>
      </c>
      <c r="BD188">
        <v>37.968275249999998</v>
      </c>
      <c r="BE188">
        <v>25299482593.0275</v>
      </c>
      <c r="BF188">
        <v>187</v>
      </c>
      <c r="BG188" t="b">
        <f>ISNUMBER(MATCH(D188,'[1]USCLE+'!$W$11:$W$35,0))</f>
        <v>0</v>
      </c>
    </row>
    <row r="189" spans="1:59" x14ac:dyDescent="0.25">
      <c r="A189">
        <v>26</v>
      </c>
      <c r="B189" t="s">
        <v>140</v>
      </c>
      <c r="C189" t="s">
        <v>572</v>
      </c>
      <c r="D189" t="s">
        <v>1027</v>
      </c>
      <c r="E189" t="s">
        <v>61</v>
      </c>
      <c r="F189">
        <v>124.7653</v>
      </c>
      <c r="G189">
        <v>202140820</v>
      </c>
      <c r="H189" t="s">
        <v>1436</v>
      </c>
      <c r="I189">
        <v>25220.16</v>
      </c>
      <c r="J189">
        <v>202836164.32253301</v>
      </c>
      <c r="K189">
        <v>185887782.99063101</v>
      </c>
      <c r="L189">
        <v>159087260.06987801</v>
      </c>
      <c r="M189">
        <v>184297759.80728301</v>
      </c>
      <c r="N189">
        <v>165403374.65572399</v>
      </c>
      <c r="O189" t="s">
        <v>59</v>
      </c>
      <c r="P189">
        <v>1</v>
      </c>
      <c r="Q189">
        <v>2.16</v>
      </c>
      <c r="R189">
        <v>69.08</v>
      </c>
      <c r="S189">
        <v>0.96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0.96</v>
      </c>
      <c r="AG189">
        <v>0</v>
      </c>
      <c r="AH189">
        <v>0</v>
      </c>
      <c r="AI189">
        <v>252</v>
      </c>
      <c r="AX189" t="s">
        <v>1460</v>
      </c>
      <c r="AY189" t="s">
        <v>1480</v>
      </c>
      <c r="AZ189">
        <v>7</v>
      </c>
      <c r="BA189" t="s">
        <v>1675</v>
      </c>
      <c r="BB189">
        <v>136.25</v>
      </c>
      <c r="BC189">
        <v>0.84373944999999995</v>
      </c>
      <c r="BD189">
        <v>114.9595000625</v>
      </c>
      <c r="BE189">
        <v>25220160049.546001</v>
      </c>
      <c r="BF189">
        <v>188</v>
      </c>
      <c r="BG189" t="b">
        <f>ISNUMBER(MATCH(D189,'[1]USCLE+'!$W$11:$W$35,0))</f>
        <v>0</v>
      </c>
    </row>
    <row r="190" spans="1:59" x14ac:dyDescent="0.25">
      <c r="A190">
        <v>229</v>
      </c>
      <c r="B190" t="s">
        <v>315</v>
      </c>
      <c r="C190" t="s">
        <v>755</v>
      </c>
      <c r="D190" t="s">
        <v>1202</v>
      </c>
      <c r="E190" t="s">
        <v>61</v>
      </c>
      <c r="F190">
        <v>19.158560000000001</v>
      </c>
      <c r="G190">
        <v>1312215600</v>
      </c>
      <c r="H190" t="s">
        <v>1436</v>
      </c>
      <c r="I190">
        <v>25140.16</v>
      </c>
      <c r="J190">
        <v>275134033.41604102</v>
      </c>
      <c r="K190">
        <v>311729114.05841601</v>
      </c>
      <c r="L190">
        <v>304641433.156645</v>
      </c>
      <c r="M190">
        <v>353450752.85403597</v>
      </c>
      <c r="N190">
        <v>300638970.31788301</v>
      </c>
      <c r="O190" t="s">
        <v>59</v>
      </c>
      <c r="P190">
        <v>1</v>
      </c>
      <c r="Q190">
        <v>1.2</v>
      </c>
      <c r="R190">
        <v>72.05</v>
      </c>
      <c r="S190">
        <v>0.91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0.91</v>
      </c>
      <c r="AG190">
        <v>0</v>
      </c>
      <c r="AH190">
        <v>0</v>
      </c>
      <c r="AI190">
        <v>131</v>
      </c>
      <c r="AX190" t="s">
        <v>1460</v>
      </c>
      <c r="AY190" t="s">
        <v>1480</v>
      </c>
      <c r="AZ190">
        <v>3</v>
      </c>
      <c r="BA190" t="s">
        <v>1676</v>
      </c>
      <c r="BB190">
        <v>24.43</v>
      </c>
      <c r="BC190">
        <v>0.84373944999999995</v>
      </c>
      <c r="BD190">
        <v>20.6125547635</v>
      </c>
      <c r="BE190">
        <v>25140161305.535999</v>
      </c>
      <c r="BF190">
        <v>189</v>
      </c>
      <c r="BG190" t="b">
        <f>ISNUMBER(MATCH(D190,'[1]USCLE+'!$W$11:$W$35,0))</f>
        <v>0</v>
      </c>
    </row>
    <row r="191" spans="1:59" x14ac:dyDescent="0.25">
      <c r="A191">
        <v>263</v>
      </c>
      <c r="B191" t="s">
        <v>344</v>
      </c>
      <c r="C191" t="s">
        <v>788</v>
      </c>
      <c r="D191" t="s">
        <v>1231</v>
      </c>
      <c r="E191" t="s">
        <v>61</v>
      </c>
      <c r="F191">
        <v>142.40479999999999</v>
      </c>
      <c r="G191">
        <v>172108860</v>
      </c>
      <c r="H191" t="s">
        <v>1436</v>
      </c>
      <c r="I191">
        <v>24509.14</v>
      </c>
      <c r="J191">
        <v>153330653.37020901</v>
      </c>
      <c r="K191">
        <v>139887838.04483199</v>
      </c>
      <c r="L191">
        <v>125861042.15158001</v>
      </c>
      <c r="M191">
        <v>145847862.97188401</v>
      </c>
      <c r="N191">
        <v>150634702.239737</v>
      </c>
      <c r="O191" t="s">
        <v>59</v>
      </c>
      <c r="P191">
        <v>1</v>
      </c>
      <c r="Q191">
        <v>2.17</v>
      </c>
      <c r="R191">
        <v>56.63</v>
      </c>
      <c r="S191">
        <v>0.94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0.94</v>
      </c>
      <c r="AG191">
        <v>0</v>
      </c>
      <c r="AH191">
        <v>0</v>
      </c>
      <c r="AI191">
        <v>254</v>
      </c>
      <c r="AX191" t="s">
        <v>1460</v>
      </c>
      <c r="AY191" t="s">
        <v>1480</v>
      </c>
      <c r="AZ191">
        <v>88</v>
      </c>
      <c r="BA191" t="s">
        <v>1677</v>
      </c>
      <c r="BB191">
        <v>172.07</v>
      </c>
      <c r="BC191">
        <v>0.84373944999999995</v>
      </c>
      <c r="BD191">
        <v>145.18224716149999</v>
      </c>
      <c r="BE191">
        <v>24509127786.528</v>
      </c>
      <c r="BF191">
        <v>190</v>
      </c>
      <c r="BG191" t="b">
        <f>ISNUMBER(MATCH(D191,'[1]USCLE+'!$W$11:$W$35,0))</f>
        <v>0</v>
      </c>
    </row>
    <row r="192" spans="1:59" x14ac:dyDescent="0.25">
      <c r="A192">
        <v>46</v>
      </c>
      <c r="B192" t="s">
        <v>159</v>
      </c>
      <c r="C192" t="s">
        <v>592</v>
      </c>
      <c r="D192" t="s">
        <v>1046</v>
      </c>
      <c r="E192" t="s">
        <v>61</v>
      </c>
      <c r="F192">
        <v>145.7501</v>
      </c>
      <c r="G192">
        <v>166284670</v>
      </c>
      <c r="H192" t="s">
        <v>1437</v>
      </c>
      <c r="I192">
        <v>24236.01</v>
      </c>
      <c r="J192">
        <v>493633418.86045402</v>
      </c>
      <c r="K192">
        <v>453098859.46151799</v>
      </c>
      <c r="L192">
        <v>408658431.41985297</v>
      </c>
      <c r="M192">
        <v>473608275.90673202</v>
      </c>
      <c r="N192">
        <v>446981585.45138597</v>
      </c>
      <c r="O192" t="s">
        <v>58</v>
      </c>
      <c r="P192">
        <v>1</v>
      </c>
      <c r="Q192">
        <v>0.55000000000000004</v>
      </c>
      <c r="R192">
        <v>61.07</v>
      </c>
      <c r="S192">
        <v>0.86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0.86</v>
      </c>
      <c r="AG192">
        <v>0</v>
      </c>
      <c r="AH192">
        <v>0</v>
      </c>
      <c r="AI192">
        <v>42</v>
      </c>
      <c r="AX192" t="s">
        <v>1460</v>
      </c>
      <c r="AY192" t="s">
        <v>1480</v>
      </c>
      <c r="AZ192">
        <v>39</v>
      </c>
      <c r="BA192" t="s">
        <v>1678</v>
      </c>
      <c r="BB192">
        <v>172.04</v>
      </c>
      <c r="BC192">
        <v>0.84373944999999995</v>
      </c>
      <c r="BD192">
        <v>145.15693497800001</v>
      </c>
      <c r="BE192">
        <v>24236007280.966999</v>
      </c>
      <c r="BF192">
        <v>191</v>
      </c>
      <c r="BG192" t="b">
        <f>ISNUMBER(MATCH(D192,'[1]USCLE+'!$W$11:$W$35,0))</f>
        <v>0</v>
      </c>
    </row>
    <row r="193" spans="1:59" x14ac:dyDescent="0.25">
      <c r="A193">
        <v>253</v>
      </c>
      <c r="B193" t="s">
        <v>336</v>
      </c>
      <c r="C193" t="s">
        <v>778</v>
      </c>
      <c r="D193" t="s">
        <v>1223</v>
      </c>
      <c r="E193" t="s">
        <v>61</v>
      </c>
      <c r="F193">
        <v>80.098990000000001</v>
      </c>
      <c r="G193">
        <v>295348240</v>
      </c>
      <c r="H193" t="s">
        <v>1436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149898817.39849699</v>
      </c>
      <c r="N193">
        <v>159378349.285777</v>
      </c>
      <c r="O193" t="s">
        <v>59</v>
      </c>
      <c r="P193">
        <v>1</v>
      </c>
      <c r="Q193">
        <v>1.2</v>
      </c>
      <c r="R193">
        <v>60.85</v>
      </c>
      <c r="S193">
        <v>0.96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0.96</v>
      </c>
      <c r="AG193">
        <v>0</v>
      </c>
      <c r="AH193">
        <v>0</v>
      </c>
      <c r="AI193">
        <v>131</v>
      </c>
      <c r="AX193" t="s">
        <v>1460</v>
      </c>
      <c r="AY193" t="s">
        <v>1480</v>
      </c>
      <c r="AZ193">
        <v>42</v>
      </c>
      <c r="BA193" t="s">
        <v>1679</v>
      </c>
      <c r="BB193">
        <v>100.35</v>
      </c>
      <c r="BC193">
        <v>0.84373944999999995</v>
      </c>
      <c r="BD193">
        <v>84.669253807499985</v>
      </c>
      <c r="BE193">
        <v>23657095722.277599</v>
      </c>
      <c r="BF193">
        <v>192</v>
      </c>
      <c r="BG193" t="b">
        <f>ISNUMBER(MATCH(D193,'[1]USCLE+'!$W$11:$W$35,0))</f>
        <v>0</v>
      </c>
    </row>
    <row r="194" spans="1:59" x14ac:dyDescent="0.25">
      <c r="A194">
        <v>500</v>
      </c>
      <c r="B194" t="s">
        <v>548</v>
      </c>
      <c r="C194" t="s">
        <v>1006</v>
      </c>
      <c r="D194" t="s">
        <v>1435</v>
      </c>
      <c r="E194" t="s">
        <v>61</v>
      </c>
      <c r="F194">
        <v>232.56100000000001</v>
      </c>
      <c r="G194">
        <v>155695680</v>
      </c>
      <c r="H194" t="s">
        <v>1437</v>
      </c>
      <c r="I194">
        <v>36208.75</v>
      </c>
      <c r="J194">
        <v>309011240.82537401</v>
      </c>
      <c r="K194">
        <v>505702813.22492999</v>
      </c>
      <c r="L194">
        <v>541991930.91077697</v>
      </c>
      <c r="M194">
        <v>626370464.20833194</v>
      </c>
      <c r="N194">
        <v>414952601.32539099</v>
      </c>
      <c r="O194" t="s">
        <v>58</v>
      </c>
      <c r="P194">
        <v>0.65</v>
      </c>
      <c r="Q194">
        <v>0.73</v>
      </c>
      <c r="R194">
        <v>62.99</v>
      </c>
      <c r="S194">
        <v>0.86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0.86</v>
      </c>
      <c r="AG194">
        <v>0</v>
      </c>
      <c r="AH194">
        <v>0</v>
      </c>
      <c r="AI194">
        <v>75</v>
      </c>
      <c r="AX194" t="s">
        <v>1460</v>
      </c>
      <c r="AY194" t="s">
        <v>1480</v>
      </c>
      <c r="AZ194">
        <v>31</v>
      </c>
      <c r="BA194" t="s">
        <v>1680</v>
      </c>
      <c r="BB194">
        <v>281.95999999999998</v>
      </c>
      <c r="BC194">
        <v>0.84373944999999995</v>
      </c>
      <c r="BD194">
        <v>237.90077532199999</v>
      </c>
      <c r="BE194">
        <v>23535682973.712002</v>
      </c>
      <c r="BF194">
        <v>193</v>
      </c>
      <c r="BG194" t="b">
        <f>ISNUMBER(MATCH(D194,'[1]USCLE+'!$W$11:$W$35,0))</f>
        <v>0</v>
      </c>
    </row>
    <row r="195" spans="1:59" x14ac:dyDescent="0.25">
      <c r="A195">
        <v>51</v>
      </c>
      <c r="B195" t="s">
        <v>164</v>
      </c>
      <c r="C195" t="s">
        <v>597</v>
      </c>
      <c r="D195" t="s">
        <v>1051</v>
      </c>
      <c r="E195" t="s">
        <v>61</v>
      </c>
      <c r="F195">
        <v>165.233</v>
      </c>
      <c r="G195">
        <v>142383030</v>
      </c>
      <c r="H195" t="s">
        <v>1436</v>
      </c>
      <c r="I195">
        <v>23526.37</v>
      </c>
      <c r="J195">
        <v>164575996.424734</v>
      </c>
      <c r="K195">
        <v>157030063.94252399</v>
      </c>
      <c r="L195">
        <v>157214741.98396</v>
      </c>
      <c r="M195">
        <v>182035633.39842001</v>
      </c>
      <c r="N195">
        <v>149173884.56963101</v>
      </c>
      <c r="O195" t="s">
        <v>59</v>
      </c>
      <c r="P195">
        <v>1</v>
      </c>
      <c r="Q195">
        <v>1.18</v>
      </c>
      <c r="R195">
        <v>59.07</v>
      </c>
      <c r="S195">
        <v>0.97</v>
      </c>
      <c r="T195" t="s">
        <v>1440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0.97</v>
      </c>
      <c r="AG195">
        <v>0</v>
      </c>
      <c r="AH195">
        <v>0</v>
      </c>
      <c r="AI195">
        <v>129</v>
      </c>
      <c r="AX195" t="s">
        <v>1460</v>
      </c>
      <c r="AY195" t="s">
        <v>1480</v>
      </c>
      <c r="AZ195">
        <v>56</v>
      </c>
      <c r="BA195" t="s">
        <v>1681</v>
      </c>
      <c r="BB195">
        <v>192.28</v>
      </c>
      <c r="BC195">
        <v>0.84373944999999995</v>
      </c>
      <c r="BD195">
        <v>162.23422144599999</v>
      </c>
      <c r="BE195">
        <v>23526375195.990002</v>
      </c>
      <c r="BF195">
        <v>194</v>
      </c>
      <c r="BG195" t="b">
        <f>ISNUMBER(MATCH(D195,'[1]USCLE+'!$W$11:$W$35,0))</f>
        <v>0</v>
      </c>
    </row>
    <row r="196" spans="1:59" x14ac:dyDescent="0.25">
      <c r="A196">
        <v>33</v>
      </c>
      <c r="B196" t="s">
        <v>147</v>
      </c>
      <c r="C196" t="s">
        <v>579</v>
      </c>
      <c r="D196" t="s">
        <v>1034</v>
      </c>
      <c r="E196" t="s">
        <v>61</v>
      </c>
      <c r="F196">
        <v>46.603520000000003</v>
      </c>
      <c r="G196">
        <v>503527040</v>
      </c>
      <c r="H196" t="s">
        <v>1436</v>
      </c>
      <c r="I196">
        <v>23466.13</v>
      </c>
      <c r="J196">
        <v>125270378.42552</v>
      </c>
      <c r="K196">
        <v>124874290.2157</v>
      </c>
      <c r="L196">
        <v>140079549.08656099</v>
      </c>
      <c r="M196">
        <v>162561999.78452301</v>
      </c>
      <c r="N196">
        <v>97503699.034223706</v>
      </c>
      <c r="O196" t="s">
        <v>59</v>
      </c>
      <c r="P196">
        <v>1</v>
      </c>
      <c r="Q196">
        <v>0.98</v>
      </c>
      <c r="R196">
        <v>49.63</v>
      </c>
      <c r="S196">
        <v>0.98</v>
      </c>
      <c r="T196" t="s">
        <v>1441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110</v>
      </c>
      <c r="AX196" t="s">
        <v>1460</v>
      </c>
      <c r="AY196" t="s">
        <v>1480</v>
      </c>
      <c r="AZ196">
        <v>175</v>
      </c>
      <c r="BA196" t="s">
        <v>1682</v>
      </c>
      <c r="BB196">
        <v>65.599999999999994</v>
      </c>
      <c r="BC196">
        <v>0.84373944999999995</v>
      </c>
      <c r="BD196">
        <v>55.349307919999987</v>
      </c>
      <c r="BE196">
        <v>23466132479.180801</v>
      </c>
      <c r="BF196">
        <v>195</v>
      </c>
      <c r="BG196" t="b">
        <f>ISNUMBER(MATCH(D196,'[1]USCLE+'!$W$11:$W$35,0))</f>
        <v>0</v>
      </c>
    </row>
    <row r="197" spans="1:59" x14ac:dyDescent="0.25">
      <c r="A197">
        <v>302</v>
      </c>
      <c r="B197" t="s">
        <v>378</v>
      </c>
      <c r="C197" t="s">
        <v>824</v>
      </c>
      <c r="D197" t="s">
        <v>1265</v>
      </c>
      <c r="E197" t="s">
        <v>61</v>
      </c>
      <c r="F197">
        <v>1127.7090000000001</v>
      </c>
      <c r="G197">
        <v>20599040</v>
      </c>
      <c r="H197" t="s">
        <v>1436</v>
      </c>
      <c r="I197">
        <v>23229.73</v>
      </c>
      <c r="J197">
        <v>158613584.37547901</v>
      </c>
      <c r="K197">
        <v>188886398.94444901</v>
      </c>
      <c r="L197">
        <v>169412684.22620401</v>
      </c>
      <c r="M197">
        <v>196099572.20854101</v>
      </c>
      <c r="N197">
        <v>172432916.47183901</v>
      </c>
      <c r="O197" t="s">
        <v>59</v>
      </c>
      <c r="P197">
        <v>1</v>
      </c>
      <c r="Q197">
        <v>0.86</v>
      </c>
      <c r="R197">
        <v>55.07</v>
      </c>
      <c r="S197">
        <v>0.96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0.96</v>
      </c>
      <c r="AG197">
        <v>0</v>
      </c>
      <c r="AH197">
        <v>0</v>
      </c>
      <c r="AI197">
        <v>95</v>
      </c>
      <c r="AX197" t="s">
        <v>1460</v>
      </c>
      <c r="AY197" t="s">
        <v>1480</v>
      </c>
      <c r="AZ197">
        <v>103</v>
      </c>
      <c r="BA197" t="s">
        <v>1683</v>
      </c>
      <c r="BB197">
        <v>1276.0999999999999</v>
      </c>
      <c r="BC197">
        <v>0.84373944999999995</v>
      </c>
      <c r="BD197">
        <v>1076.695912145</v>
      </c>
      <c r="BE197">
        <v>23229722799.360001</v>
      </c>
      <c r="BF197">
        <v>196</v>
      </c>
      <c r="BG197" t="b">
        <f>ISNUMBER(MATCH(D197,'[1]USCLE+'!$W$11:$W$35,0))</f>
        <v>0</v>
      </c>
    </row>
    <row r="198" spans="1:59" x14ac:dyDescent="0.25">
      <c r="A198">
        <v>217</v>
      </c>
      <c r="B198" t="s">
        <v>303</v>
      </c>
      <c r="C198" t="s">
        <v>743</v>
      </c>
      <c r="D198" t="s">
        <v>1190</v>
      </c>
      <c r="E198" t="s">
        <v>61</v>
      </c>
      <c r="F198">
        <v>42.823009999999996</v>
      </c>
      <c r="G198">
        <v>542427500</v>
      </c>
      <c r="H198" t="s">
        <v>1436</v>
      </c>
      <c r="I198">
        <v>22896.86</v>
      </c>
      <c r="J198">
        <v>222409337.542968</v>
      </c>
      <c r="K198">
        <v>285693271.42615598</v>
      </c>
      <c r="L198">
        <v>250947180.20159701</v>
      </c>
      <c r="M198">
        <v>291147584.76946598</v>
      </c>
      <c r="N198">
        <v>268348975.927872</v>
      </c>
      <c r="O198" t="s">
        <v>59</v>
      </c>
      <c r="P198">
        <v>1</v>
      </c>
      <c r="Q198">
        <v>1.31</v>
      </c>
      <c r="R198">
        <v>57.79</v>
      </c>
      <c r="S198">
        <v>0.99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0.99</v>
      </c>
      <c r="AG198">
        <v>0</v>
      </c>
      <c r="AH198">
        <v>0</v>
      </c>
      <c r="AI198">
        <v>146</v>
      </c>
      <c r="AX198" t="s">
        <v>1460</v>
      </c>
      <c r="AY198" t="s">
        <v>1480</v>
      </c>
      <c r="AZ198">
        <v>73</v>
      </c>
      <c r="BA198" t="s">
        <v>1684</v>
      </c>
      <c r="BB198">
        <v>49.56</v>
      </c>
      <c r="BC198">
        <v>0.84373944999999995</v>
      </c>
      <c r="BD198">
        <v>41.815727142</v>
      </c>
      <c r="BE198">
        <v>23228378256.775002</v>
      </c>
      <c r="BF198">
        <v>197</v>
      </c>
      <c r="BG198" t="b">
        <f>ISNUMBER(MATCH(D198,'[1]USCLE+'!$W$11:$W$35,0))</f>
        <v>0</v>
      </c>
    </row>
    <row r="199" spans="1:59" x14ac:dyDescent="0.25">
      <c r="A199">
        <v>228</v>
      </c>
      <c r="B199" t="s">
        <v>314</v>
      </c>
      <c r="C199" t="s">
        <v>754</v>
      </c>
      <c r="D199" t="s">
        <v>1201</v>
      </c>
      <c r="E199" t="s">
        <v>61</v>
      </c>
      <c r="F199">
        <v>154.83019999999999</v>
      </c>
      <c r="G199">
        <v>148110720</v>
      </c>
      <c r="H199" t="s">
        <v>1436</v>
      </c>
      <c r="I199">
        <v>22932.01</v>
      </c>
      <c r="J199">
        <v>227139502.34775701</v>
      </c>
      <c r="K199">
        <v>269101690.83102399</v>
      </c>
      <c r="L199">
        <v>264514011.841115</v>
      </c>
      <c r="M199">
        <v>306634314.76737899</v>
      </c>
      <c r="N199">
        <v>288375112.82173902</v>
      </c>
      <c r="O199" t="s">
        <v>59</v>
      </c>
      <c r="P199">
        <v>1</v>
      </c>
      <c r="Q199">
        <v>0.78</v>
      </c>
      <c r="R199">
        <v>52.65</v>
      </c>
      <c r="S199">
        <v>0.98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79</v>
      </c>
      <c r="AX199" t="s">
        <v>1460</v>
      </c>
      <c r="AY199" t="s">
        <v>1480</v>
      </c>
      <c r="AZ199">
        <v>140</v>
      </c>
      <c r="BA199" t="s">
        <v>1685</v>
      </c>
      <c r="BB199">
        <v>193.45</v>
      </c>
      <c r="BC199">
        <v>0.84373944999999995</v>
      </c>
      <c r="BD199">
        <v>163.22139660249999</v>
      </c>
      <c r="BE199">
        <v>22932012399.743999</v>
      </c>
      <c r="BF199">
        <v>198</v>
      </c>
      <c r="BG199" t="b">
        <f>ISNUMBER(MATCH(D199,'[1]USCLE+'!$W$11:$W$35,0))</f>
        <v>0</v>
      </c>
    </row>
    <row r="200" spans="1:59" x14ac:dyDescent="0.25">
      <c r="A200">
        <v>485</v>
      </c>
      <c r="B200" t="s">
        <v>535</v>
      </c>
      <c r="C200" t="s">
        <v>993</v>
      </c>
      <c r="D200" t="s">
        <v>1422</v>
      </c>
      <c r="E200" t="s">
        <v>61</v>
      </c>
      <c r="F200">
        <v>65.685270000000003</v>
      </c>
      <c r="G200">
        <v>346922120</v>
      </c>
      <c r="H200" t="s">
        <v>1437</v>
      </c>
      <c r="I200">
        <v>22787.67</v>
      </c>
      <c r="J200">
        <v>380832524.90968299</v>
      </c>
      <c r="K200">
        <v>350953677.20243901</v>
      </c>
      <c r="L200">
        <v>376130558.344814</v>
      </c>
      <c r="M200">
        <v>435813177.874753</v>
      </c>
      <c r="N200">
        <v>346432690.51381302</v>
      </c>
      <c r="O200" t="s">
        <v>58</v>
      </c>
      <c r="P200">
        <v>1</v>
      </c>
      <c r="Q200">
        <v>1.63</v>
      </c>
      <c r="R200">
        <v>53.25</v>
      </c>
      <c r="S200">
        <v>0.65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0.65</v>
      </c>
      <c r="AG200">
        <v>0</v>
      </c>
      <c r="AH200">
        <v>0</v>
      </c>
      <c r="AI200">
        <v>177</v>
      </c>
      <c r="AX200" t="s">
        <v>1460</v>
      </c>
      <c r="AY200" t="s">
        <v>1480</v>
      </c>
      <c r="AZ200">
        <v>131</v>
      </c>
      <c r="BA200" t="s">
        <v>1686</v>
      </c>
      <c r="BB200">
        <v>103.09</v>
      </c>
      <c r="BC200">
        <v>0.84373944999999995</v>
      </c>
      <c r="BD200">
        <v>86.981099900499999</v>
      </c>
      <c r="BE200">
        <v>22787673121.172401</v>
      </c>
      <c r="BF200">
        <v>199</v>
      </c>
      <c r="BG200" t="b">
        <f>ISNUMBER(MATCH(D200,'[1]USCLE+'!$W$11:$W$35,0))</f>
        <v>0</v>
      </c>
    </row>
    <row r="201" spans="1:59" x14ac:dyDescent="0.25">
      <c r="A201">
        <v>96</v>
      </c>
      <c r="B201" t="s">
        <v>194</v>
      </c>
      <c r="C201" t="s">
        <v>629</v>
      </c>
      <c r="D201" t="s">
        <v>1081</v>
      </c>
      <c r="E201" t="s">
        <v>61</v>
      </c>
      <c r="F201">
        <v>236.88339999999999</v>
      </c>
      <c r="G201">
        <v>136627990</v>
      </c>
      <c r="H201" t="s">
        <v>1437</v>
      </c>
      <c r="I201">
        <v>32364.91</v>
      </c>
      <c r="J201">
        <v>453645452.57608998</v>
      </c>
      <c r="K201">
        <v>494507282.736889</v>
      </c>
      <c r="L201">
        <v>501489560.65073401</v>
      </c>
      <c r="M201">
        <v>581585320.46619594</v>
      </c>
      <c r="N201">
        <v>443485710.05580699</v>
      </c>
      <c r="O201" t="s">
        <v>58</v>
      </c>
      <c r="P201">
        <v>0.7</v>
      </c>
      <c r="Q201">
        <v>3.01</v>
      </c>
      <c r="R201">
        <v>45.81</v>
      </c>
      <c r="S201">
        <v>0.66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0.66</v>
      </c>
      <c r="AG201">
        <v>0</v>
      </c>
      <c r="AH201">
        <v>0</v>
      </c>
      <c r="AI201">
        <v>359</v>
      </c>
      <c r="AX201" t="s">
        <v>1460</v>
      </c>
      <c r="AY201" t="s">
        <v>1480</v>
      </c>
      <c r="AZ201">
        <v>211</v>
      </c>
      <c r="BA201" t="s">
        <v>1687</v>
      </c>
      <c r="BB201">
        <v>261.08</v>
      </c>
      <c r="BC201">
        <v>0.84373944999999995</v>
      </c>
      <c r="BD201">
        <v>220.283495606</v>
      </c>
      <c r="BE201">
        <v>22655431964.4562</v>
      </c>
      <c r="BF201">
        <v>200</v>
      </c>
      <c r="BG201" t="b">
        <f>ISNUMBER(MATCH(D201,'[1]USCLE+'!$W$11:$W$35,0))</f>
        <v>0</v>
      </c>
    </row>
    <row r="202" spans="1:59" x14ac:dyDescent="0.25">
      <c r="A202">
        <v>234</v>
      </c>
      <c r="B202" t="s">
        <v>319</v>
      </c>
      <c r="C202" t="s">
        <v>760</v>
      </c>
      <c r="D202" t="s">
        <v>1206</v>
      </c>
      <c r="E202" t="s">
        <v>61</v>
      </c>
      <c r="F202">
        <v>23.672979999999999</v>
      </c>
      <c r="G202">
        <v>939272900</v>
      </c>
      <c r="H202" t="s">
        <v>1436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59</v>
      </c>
      <c r="P202">
        <v>1</v>
      </c>
      <c r="Q202">
        <v>0.37</v>
      </c>
      <c r="R202">
        <v>72.44</v>
      </c>
      <c r="S202">
        <v>1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1</v>
      </c>
      <c r="AG202">
        <v>0</v>
      </c>
      <c r="AH202">
        <v>0</v>
      </c>
      <c r="AI202">
        <v>18</v>
      </c>
      <c r="AX202" t="s">
        <v>1460</v>
      </c>
      <c r="AY202" t="s">
        <v>1480</v>
      </c>
      <c r="AZ202">
        <v>2</v>
      </c>
      <c r="BA202" t="s">
        <v>1688</v>
      </c>
      <c r="BB202">
        <v>27.72</v>
      </c>
      <c r="BC202">
        <v>0.84373944999999995</v>
      </c>
      <c r="BD202">
        <v>23.388457553999999</v>
      </c>
      <c r="BE202">
        <v>22235388576.242001</v>
      </c>
      <c r="BF202">
        <v>201</v>
      </c>
      <c r="BG202" t="b">
        <f>ISNUMBER(MATCH(D202,'[1]USCLE+'!$W$11:$W$35,0))</f>
        <v>0</v>
      </c>
    </row>
    <row r="203" spans="1:59" x14ac:dyDescent="0.25">
      <c r="A203">
        <v>249</v>
      </c>
      <c r="B203" t="s">
        <v>332</v>
      </c>
      <c r="C203" t="s">
        <v>774</v>
      </c>
      <c r="D203" t="s">
        <v>1219</v>
      </c>
      <c r="E203" t="s">
        <v>61</v>
      </c>
      <c r="F203">
        <v>41.722140000000003</v>
      </c>
      <c r="G203">
        <v>527982100</v>
      </c>
      <c r="H203" t="s">
        <v>1436</v>
      </c>
      <c r="I203">
        <v>22028.54</v>
      </c>
      <c r="J203">
        <v>161484654.82560101</v>
      </c>
      <c r="K203">
        <v>223565131.706985</v>
      </c>
      <c r="L203">
        <v>178700934.042757</v>
      </c>
      <c r="M203">
        <v>207023331.94847801</v>
      </c>
      <c r="N203">
        <v>269918102.24226999</v>
      </c>
      <c r="O203" t="s">
        <v>59</v>
      </c>
      <c r="P203">
        <v>1</v>
      </c>
      <c r="Q203">
        <v>1.31</v>
      </c>
      <c r="R203">
        <v>53.15</v>
      </c>
      <c r="S203">
        <v>0.73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146</v>
      </c>
      <c r="AX203" t="s">
        <v>1460</v>
      </c>
      <c r="AY203" t="s">
        <v>1480</v>
      </c>
      <c r="AZ203">
        <v>134</v>
      </c>
      <c r="BA203" t="s">
        <v>1689</v>
      </c>
      <c r="BB203">
        <v>46.24</v>
      </c>
      <c r="BC203">
        <v>0.84373944999999995</v>
      </c>
      <c r="BD203">
        <v>39.014512168000003</v>
      </c>
      <c r="BE203">
        <v>22028543093.694</v>
      </c>
      <c r="BF203">
        <v>202</v>
      </c>
      <c r="BG203" t="b">
        <f>ISNUMBER(MATCH(D203,'[1]USCLE+'!$W$11:$W$35,0))</f>
        <v>0</v>
      </c>
    </row>
    <row r="204" spans="1:59" x14ac:dyDescent="0.25">
      <c r="A204">
        <v>366</v>
      </c>
      <c r="B204" t="s">
        <v>431</v>
      </c>
      <c r="C204" t="s">
        <v>884</v>
      </c>
      <c r="D204" t="s">
        <v>1318</v>
      </c>
      <c r="E204" t="s">
        <v>61</v>
      </c>
      <c r="F204">
        <v>183.52109999999999</v>
      </c>
      <c r="G204">
        <v>119792700</v>
      </c>
      <c r="H204" t="s">
        <v>1437</v>
      </c>
      <c r="I204">
        <v>21984.49</v>
      </c>
      <c r="J204">
        <v>151571595.16845399</v>
      </c>
      <c r="K204">
        <v>161900247.33246201</v>
      </c>
      <c r="L204">
        <v>181847612.74171299</v>
      </c>
      <c r="M204">
        <v>211079908.49316499</v>
      </c>
      <c r="N204">
        <v>154495967.693129</v>
      </c>
      <c r="O204" t="s">
        <v>58</v>
      </c>
      <c r="P204">
        <v>1</v>
      </c>
      <c r="Q204">
        <v>1.63</v>
      </c>
      <c r="R204">
        <v>59.17</v>
      </c>
      <c r="S204">
        <v>0.66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0.66</v>
      </c>
      <c r="AG204">
        <v>0</v>
      </c>
      <c r="AH204">
        <v>0</v>
      </c>
      <c r="AI204">
        <v>177</v>
      </c>
      <c r="AX204" t="s">
        <v>1460</v>
      </c>
      <c r="AY204" t="s">
        <v>1480</v>
      </c>
      <c r="AZ204">
        <v>55</v>
      </c>
      <c r="BA204" t="s">
        <v>1690</v>
      </c>
      <c r="BB204">
        <v>204.95</v>
      </c>
      <c r="BC204">
        <v>0.84373944999999995</v>
      </c>
      <c r="BD204">
        <v>172.92440027750001</v>
      </c>
      <c r="BE204">
        <v>21984488075.970001</v>
      </c>
      <c r="BF204">
        <v>203</v>
      </c>
      <c r="BG204" t="b">
        <f>ISNUMBER(MATCH(D204,'[1]USCLE+'!$W$11:$W$35,0))</f>
        <v>0</v>
      </c>
    </row>
    <row r="205" spans="1:59" x14ac:dyDescent="0.25">
      <c r="A205">
        <v>188</v>
      </c>
      <c r="B205" t="s">
        <v>278</v>
      </c>
      <c r="C205" t="s">
        <v>717</v>
      </c>
      <c r="D205" t="s">
        <v>1165</v>
      </c>
      <c r="E205" t="s">
        <v>61</v>
      </c>
      <c r="F205">
        <v>183.31630000000001</v>
      </c>
      <c r="G205">
        <v>118192130</v>
      </c>
      <c r="H205" t="s">
        <v>1437</v>
      </c>
      <c r="I205">
        <v>21666.54</v>
      </c>
      <c r="J205">
        <v>401988498.38300598</v>
      </c>
      <c r="K205">
        <v>323773370.22210199</v>
      </c>
      <c r="L205">
        <v>276760619.444933</v>
      </c>
      <c r="M205">
        <v>321050958.97119498</v>
      </c>
      <c r="N205">
        <v>291683384.97455698</v>
      </c>
      <c r="O205" t="s">
        <v>58</v>
      </c>
      <c r="P205">
        <v>1</v>
      </c>
      <c r="Q205">
        <v>2.68</v>
      </c>
      <c r="R205">
        <v>43.96</v>
      </c>
      <c r="S205">
        <v>0.82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0.82</v>
      </c>
      <c r="AG205">
        <v>0</v>
      </c>
      <c r="AH205">
        <v>0</v>
      </c>
      <c r="AI205">
        <v>327</v>
      </c>
      <c r="AX205" t="s">
        <v>1460</v>
      </c>
      <c r="AY205" t="s">
        <v>1480</v>
      </c>
      <c r="AZ205">
        <v>228</v>
      </c>
      <c r="BA205" t="s">
        <v>1691</v>
      </c>
      <c r="BB205">
        <v>224.98</v>
      </c>
      <c r="BC205">
        <v>0.84373944999999995</v>
      </c>
      <c r="BD205">
        <v>189.82450146100001</v>
      </c>
      <c r="BE205">
        <v>21666543960.719002</v>
      </c>
      <c r="BF205">
        <v>204</v>
      </c>
      <c r="BG205" t="b">
        <f>ISNUMBER(MATCH(D205,'[1]USCLE+'!$W$11:$W$35,0))</f>
        <v>0</v>
      </c>
    </row>
    <row r="206" spans="1:59" x14ac:dyDescent="0.25">
      <c r="A206">
        <v>159</v>
      </c>
      <c r="B206" t="s">
        <v>251</v>
      </c>
      <c r="C206" t="s">
        <v>689</v>
      </c>
      <c r="D206" t="s">
        <v>1138</v>
      </c>
      <c r="E206" t="s">
        <v>61</v>
      </c>
      <c r="F206">
        <v>156.22970000000001</v>
      </c>
      <c r="G206">
        <v>137134460</v>
      </c>
      <c r="H206" t="s">
        <v>1436</v>
      </c>
      <c r="I206">
        <v>21424.48</v>
      </c>
      <c r="J206">
        <v>144401633.80793101</v>
      </c>
      <c r="K206">
        <v>175622945.31374899</v>
      </c>
      <c r="L206">
        <v>160873056.97637299</v>
      </c>
      <c r="M206">
        <v>186581666.80803499</v>
      </c>
      <c r="N206">
        <v>164010977.32528901</v>
      </c>
      <c r="O206" t="s">
        <v>59</v>
      </c>
      <c r="P206">
        <v>1</v>
      </c>
      <c r="Q206">
        <v>0.56000000000000005</v>
      </c>
      <c r="R206">
        <v>46.18</v>
      </c>
      <c r="S206">
        <v>0.86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0.86</v>
      </c>
      <c r="AG206">
        <v>0</v>
      </c>
      <c r="AH206">
        <v>0</v>
      </c>
      <c r="AI206">
        <v>44</v>
      </c>
      <c r="AX206" t="s">
        <v>1460</v>
      </c>
      <c r="AY206" t="s">
        <v>1480</v>
      </c>
      <c r="AZ206">
        <v>208</v>
      </c>
      <c r="BA206" t="s">
        <v>1692</v>
      </c>
      <c r="BB206">
        <v>172.57</v>
      </c>
      <c r="BC206">
        <v>0.84373944999999995</v>
      </c>
      <c r="BD206">
        <v>145.60411688650001</v>
      </c>
      <c r="BE206">
        <v>21424475545.462002</v>
      </c>
      <c r="BF206">
        <v>205</v>
      </c>
      <c r="BG206" t="b">
        <f>ISNUMBER(MATCH(D206,'[1]USCLE+'!$W$11:$W$35,0))</f>
        <v>0</v>
      </c>
    </row>
    <row r="207" spans="1:59" x14ac:dyDescent="0.25">
      <c r="A207">
        <v>236</v>
      </c>
      <c r="B207" t="s">
        <v>321</v>
      </c>
      <c r="C207" t="s">
        <v>762</v>
      </c>
      <c r="D207" t="s">
        <v>1208</v>
      </c>
      <c r="E207" t="s">
        <v>61</v>
      </c>
      <c r="F207">
        <v>404.76190000000003</v>
      </c>
      <c r="G207">
        <v>52693110</v>
      </c>
      <c r="H207" t="s">
        <v>1436</v>
      </c>
      <c r="I207">
        <v>21328.16</v>
      </c>
      <c r="J207">
        <v>475858097.80474001</v>
      </c>
      <c r="K207">
        <v>395948317.89871299</v>
      </c>
      <c r="L207">
        <v>399359442.55773503</v>
      </c>
      <c r="M207">
        <v>462807289.37766802</v>
      </c>
      <c r="N207">
        <v>343205717.68730402</v>
      </c>
      <c r="O207" t="s">
        <v>59</v>
      </c>
      <c r="P207">
        <v>1</v>
      </c>
      <c r="Q207">
        <v>1.24</v>
      </c>
      <c r="R207">
        <v>58.47</v>
      </c>
      <c r="S207">
        <v>0.84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0.84</v>
      </c>
      <c r="AG207">
        <v>0</v>
      </c>
      <c r="AH207">
        <v>0</v>
      </c>
      <c r="AI207">
        <v>138</v>
      </c>
      <c r="AX207" t="s">
        <v>1460</v>
      </c>
      <c r="AY207" t="s">
        <v>1480</v>
      </c>
      <c r="AZ207">
        <v>64</v>
      </c>
      <c r="BA207" t="s">
        <v>1693</v>
      </c>
      <c r="BB207">
        <v>502.55</v>
      </c>
      <c r="BC207">
        <v>0.84373944999999995</v>
      </c>
      <c r="BD207">
        <v>424.02126059749997</v>
      </c>
      <c r="BE207">
        <v>21328163320.508999</v>
      </c>
      <c r="BF207">
        <v>206</v>
      </c>
      <c r="BG207" t="b">
        <f>ISNUMBER(MATCH(D207,'[1]USCLE+'!$W$11:$W$35,0))</f>
        <v>0</v>
      </c>
    </row>
    <row r="208" spans="1:59" x14ac:dyDescent="0.25">
      <c r="A208">
        <v>325</v>
      </c>
      <c r="B208" t="s">
        <v>398</v>
      </c>
      <c r="C208" t="s">
        <v>846</v>
      </c>
      <c r="D208" t="s">
        <v>1285</v>
      </c>
      <c r="E208" t="s">
        <v>61</v>
      </c>
      <c r="F208">
        <v>110.99160000000001</v>
      </c>
      <c r="G208">
        <v>191233300</v>
      </c>
      <c r="H208" t="s">
        <v>1437</v>
      </c>
      <c r="I208">
        <v>21225.3</v>
      </c>
      <c r="J208">
        <v>112615102.433245</v>
      </c>
      <c r="K208">
        <v>163903694.813647</v>
      </c>
      <c r="L208">
        <v>197355908.91684401</v>
      </c>
      <c r="M208">
        <v>228766457.99423599</v>
      </c>
      <c r="N208">
        <v>140235440.45392299</v>
      </c>
      <c r="O208" t="s">
        <v>58</v>
      </c>
      <c r="P208">
        <v>1</v>
      </c>
      <c r="Q208">
        <v>0.72</v>
      </c>
      <c r="R208">
        <v>55.2</v>
      </c>
      <c r="S208">
        <v>0.89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0.89</v>
      </c>
      <c r="AG208">
        <v>0</v>
      </c>
      <c r="AH208">
        <v>0</v>
      </c>
      <c r="AI208">
        <v>72</v>
      </c>
      <c r="AX208" t="s">
        <v>1460</v>
      </c>
      <c r="AY208" t="s">
        <v>1480</v>
      </c>
      <c r="AZ208">
        <v>100</v>
      </c>
      <c r="BA208" t="s">
        <v>1694</v>
      </c>
      <c r="BB208">
        <v>129.25</v>
      </c>
      <c r="BC208">
        <v>0.84373944999999995</v>
      </c>
      <c r="BD208">
        <v>109.05332391250001</v>
      </c>
      <c r="BE208">
        <v>21225289940.279999</v>
      </c>
      <c r="BF208">
        <v>207</v>
      </c>
      <c r="BG208" t="b">
        <f>ISNUMBER(MATCH(D208,'[1]USCLE+'!$W$11:$W$35,0))</f>
        <v>0</v>
      </c>
    </row>
    <row r="209" spans="1:59" x14ac:dyDescent="0.25">
      <c r="A209">
        <v>93</v>
      </c>
      <c r="B209" t="s">
        <v>192</v>
      </c>
      <c r="C209" t="s">
        <v>627</v>
      </c>
      <c r="D209" t="s">
        <v>1079</v>
      </c>
      <c r="E209" t="s">
        <v>61</v>
      </c>
      <c r="F209">
        <v>32.471409999999999</v>
      </c>
      <c r="G209">
        <v>652864870</v>
      </c>
      <c r="H209" t="s">
        <v>1436</v>
      </c>
      <c r="I209">
        <v>21199.439999999999</v>
      </c>
      <c r="J209">
        <v>136112004.36421099</v>
      </c>
      <c r="K209">
        <v>180645698.51698101</v>
      </c>
      <c r="L209">
        <v>173795785.30269599</v>
      </c>
      <c r="M209">
        <v>201241200.97720101</v>
      </c>
      <c r="N209">
        <v>161970560.64626601</v>
      </c>
      <c r="O209" t="s">
        <v>59</v>
      </c>
      <c r="P209">
        <v>1</v>
      </c>
      <c r="Q209">
        <v>2.23</v>
      </c>
      <c r="R209">
        <v>49.18</v>
      </c>
      <c r="S209">
        <v>0.87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6.0999999999999999E-2</v>
      </c>
      <c r="AF209">
        <v>0.87</v>
      </c>
      <c r="AG209">
        <v>0</v>
      </c>
      <c r="AH209">
        <v>6.0999999999999999E-2</v>
      </c>
      <c r="AI209">
        <v>261</v>
      </c>
      <c r="AX209" t="s">
        <v>1460</v>
      </c>
      <c r="AY209" t="s">
        <v>1480</v>
      </c>
      <c r="AZ209">
        <v>181</v>
      </c>
      <c r="BA209" t="s">
        <v>1695</v>
      </c>
      <c r="BB209">
        <v>37.65</v>
      </c>
      <c r="BC209">
        <v>0.84373944999999995</v>
      </c>
      <c r="BD209">
        <v>31.766790292500001</v>
      </c>
      <c r="BE209">
        <v>21199442868.366699</v>
      </c>
      <c r="BF209">
        <v>208</v>
      </c>
      <c r="BG209" t="b">
        <f>ISNUMBER(MATCH(D209,'[1]USCLE+'!$W$11:$W$35,0))</f>
        <v>0</v>
      </c>
    </row>
    <row r="210" spans="1:59" x14ac:dyDescent="0.25">
      <c r="A210">
        <v>395</v>
      </c>
      <c r="B210" t="s">
        <v>456</v>
      </c>
      <c r="C210" t="s">
        <v>910</v>
      </c>
      <c r="D210" t="s">
        <v>1343</v>
      </c>
      <c r="E210" t="s">
        <v>61</v>
      </c>
      <c r="F210">
        <v>190.19460000000001</v>
      </c>
      <c r="G210">
        <v>107379010</v>
      </c>
      <c r="H210" t="s">
        <v>1437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58</v>
      </c>
      <c r="P210">
        <v>1</v>
      </c>
      <c r="Q210">
        <v>1.4</v>
      </c>
      <c r="R210">
        <v>48.83</v>
      </c>
      <c r="S210">
        <v>0.67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0.67</v>
      </c>
      <c r="AG210">
        <v>0</v>
      </c>
      <c r="AH210">
        <v>0</v>
      </c>
      <c r="AI210">
        <v>155</v>
      </c>
      <c r="AX210" t="s">
        <v>1460</v>
      </c>
      <c r="AY210" t="s">
        <v>1480</v>
      </c>
      <c r="AZ210">
        <v>184</v>
      </c>
      <c r="BA210" t="s">
        <v>1696</v>
      </c>
      <c r="BB210">
        <v>199.18</v>
      </c>
      <c r="BC210">
        <v>0.84373944999999995</v>
      </c>
      <c r="BD210">
        <v>168.056023651</v>
      </c>
      <c r="BE210">
        <v>20422907855.346001</v>
      </c>
      <c r="BF210">
        <v>209</v>
      </c>
      <c r="BG210" t="b">
        <f>ISNUMBER(MATCH(D210,'[1]USCLE+'!$W$11:$W$35,0))</f>
        <v>0</v>
      </c>
    </row>
    <row r="211" spans="1:59" x14ac:dyDescent="0.25">
      <c r="A211">
        <v>379</v>
      </c>
      <c r="B211" t="s">
        <v>443</v>
      </c>
      <c r="C211" t="s">
        <v>896</v>
      </c>
      <c r="D211" t="s">
        <v>1330</v>
      </c>
      <c r="E211" t="s">
        <v>61</v>
      </c>
      <c r="F211">
        <v>22.836659999999998</v>
      </c>
      <c r="G211">
        <v>892308350</v>
      </c>
      <c r="H211" t="s">
        <v>1436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59</v>
      </c>
      <c r="P211">
        <v>1</v>
      </c>
      <c r="Q211">
        <v>2.65</v>
      </c>
      <c r="R211">
        <v>41.92</v>
      </c>
      <c r="S211">
        <v>0.93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</v>
      </c>
      <c r="AG211">
        <v>0</v>
      </c>
      <c r="AH211">
        <v>0</v>
      </c>
      <c r="AI211">
        <v>321</v>
      </c>
      <c r="AX211" t="s">
        <v>1460</v>
      </c>
      <c r="AY211" t="s">
        <v>1480</v>
      </c>
      <c r="AZ211">
        <v>246</v>
      </c>
      <c r="BA211" t="s">
        <v>1697</v>
      </c>
      <c r="BB211">
        <v>26.56</v>
      </c>
      <c r="BC211">
        <v>0.84373944999999995</v>
      </c>
      <c r="BD211">
        <v>22.409719792000001</v>
      </c>
      <c r="BE211">
        <v>20377342404.111</v>
      </c>
      <c r="BF211">
        <v>210</v>
      </c>
      <c r="BG211" t="b">
        <f>ISNUMBER(MATCH(D211,'[1]USCLE+'!$W$11:$W$35,0))</f>
        <v>0</v>
      </c>
    </row>
    <row r="212" spans="1:59" x14ac:dyDescent="0.25">
      <c r="A212">
        <v>423</v>
      </c>
      <c r="B212" t="s">
        <v>482</v>
      </c>
      <c r="C212" t="s">
        <v>936</v>
      </c>
      <c r="D212" t="s">
        <v>1369</v>
      </c>
      <c r="E212" t="s">
        <v>61</v>
      </c>
      <c r="F212">
        <v>92.413380000000004</v>
      </c>
      <c r="G212">
        <v>219715240</v>
      </c>
      <c r="H212" t="s">
        <v>1437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58</v>
      </c>
      <c r="P212">
        <v>1</v>
      </c>
      <c r="Q212">
        <v>1.2</v>
      </c>
      <c r="R212">
        <v>47.36</v>
      </c>
      <c r="S212">
        <v>0.94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0.94</v>
      </c>
      <c r="AG212">
        <v>0</v>
      </c>
      <c r="AH212">
        <v>0</v>
      </c>
      <c r="AI212">
        <v>131</v>
      </c>
      <c r="AX212" t="s">
        <v>1460</v>
      </c>
      <c r="AY212" t="s">
        <v>1480</v>
      </c>
      <c r="AZ212">
        <v>198</v>
      </c>
      <c r="BA212" t="s">
        <v>1698</v>
      </c>
      <c r="BB212">
        <v>103.69</v>
      </c>
      <c r="BC212">
        <v>0.84373944999999995</v>
      </c>
      <c r="BD212">
        <v>87.487343570499988</v>
      </c>
      <c r="BE212">
        <v>20304627965.911201</v>
      </c>
      <c r="BF212">
        <v>211</v>
      </c>
      <c r="BG212" t="b">
        <f>ISNUMBER(MATCH(D212,'[1]USCLE+'!$W$11:$W$35,0))</f>
        <v>0</v>
      </c>
    </row>
    <row r="213" spans="1:59" x14ac:dyDescent="0.25">
      <c r="A213">
        <v>490</v>
      </c>
      <c r="B213" t="s">
        <v>539</v>
      </c>
      <c r="C213" t="s">
        <v>997</v>
      </c>
      <c r="D213" t="s">
        <v>1426</v>
      </c>
      <c r="E213" t="s">
        <v>61</v>
      </c>
      <c r="F213">
        <v>173.59620000000001</v>
      </c>
      <c r="G213">
        <v>122998060</v>
      </c>
      <c r="H213" t="s">
        <v>1436</v>
      </c>
      <c r="I213">
        <v>21351.99</v>
      </c>
      <c r="J213">
        <v>233330863.05727199</v>
      </c>
      <c r="K213">
        <v>308855072.81317502</v>
      </c>
      <c r="L213">
        <v>223550067.172243</v>
      </c>
      <c r="M213">
        <v>258756896.96623299</v>
      </c>
      <c r="N213">
        <v>290690982.533373</v>
      </c>
      <c r="O213" t="s">
        <v>59</v>
      </c>
      <c r="P213">
        <v>0.95</v>
      </c>
      <c r="Q213">
        <v>0.55000000000000004</v>
      </c>
      <c r="R213">
        <v>48.56</v>
      </c>
      <c r="S213">
        <v>0.92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0.92</v>
      </c>
      <c r="AG213">
        <v>0</v>
      </c>
      <c r="AH213">
        <v>0</v>
      </c>
      <c r="AI213">
        <v>42</v>
      </c>
      <c r="AX213" t="s">
        <v>1460</v>
      </c>
      <c r="AY213" t="s">
        <v>1480</v>
      </c>
      <c r="AZ213">
        <v>186</v>
      </c>
      <c r="BA213" t="s">
        <v>1699</v>
      </c>
      <c r="BB213">
        <v>196.06</v>
      </c>
      <c r="BC213">
        <v>0.84373944999999995</v>
      </c>
      <c r="BD213">
        <v>165.42355656699999</v>
      </c>
      <c r="BE213">
        <v>20284396032.2034</v>
      </c>
      <c r="BF213">
        <v>212</v>
      </c>
      <c r="BG213" t="b">
        <f>ISNUMBER(MATCH(D213,'[1]USCLE+'!$W$11:$W$35,0))</f>
        <v>0</v>
      </c>
    </row>
    <row r="214" spans="1:59" x14ac:dyDescent="0.25">
      <c r="A214">
        <v>259</v>
      </c>
      <c r="B214" t="s">
        <v>340</v>
      </c>
      <c r="C214" t="s">
        <v>784</v>
      </c>
      <c r="D214" t="s">
        <v>1227</v>
      </c>
      <c r="E214" t="s">
        <v>61</v>
      </c>
      <c r="F214">
        <v>68.399050000000003</v>
      </c>
      <c r="G214">
        <v>347669200</v>
      </c>
      <c r="H214" t="s">
        <v>1436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59</v>
      </c>
      <c r="P214">
        <v>0.85</v>
      </c>
      <c r="Q214">
        <v>0.88</v>
      </c>
      <c r="R214">
        <v>50.11</v>
      </c>
      <c r="S214">
        <v>0.98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98</v>
      </c>
      <c r="AX214" t="s">
        <v>1460</v>
      </c>
      <c r="AY214" t="s">
        <v>1480</v>
      </c>
      <c r="AZ214">
        <v>171</v>
      </c>
      <c r="BA214" t="s">
        <v>1700</v>
      </c>
      <c r="BB214">
        <v>79.42</v>
      </c>
      <c r="BC214">
        <v>0.84373944999999995</v>
      </c>
      <c r="BD214">
        <v>67.009787118999995</v>
      </c>
      <c r="BE214">
        <v>20213206545.120998</v>
      </c>
      <c r="BF214">
        <v>213</v>
      </c>
      <c r="BG214" t="b">
        <f>ISNUMBER(MATCH(D214,'[1]USCLE+'!$W$11:$W$35,0))</f>
        <v>0</v>
      </c>
    </row>
    <row r="215" spans="1:59" x14ac:dyDescent="0.25">
      <c r="A215">
        <v>235</v>
      </c>
      <c r="B215" t="s">
        <v>320</v>
      </c>
      <c r="C215" t="s">
        <v>761</v>
      </c>
      <c r="D215" t="s">
        <v>1207</v>
      </c>
      <c r="E215" t="s">
        <v>61</v>
      </c>
      <c r="F215">
        <v>376.21609999999998</v>
      </c>
      <c r="G215">
        <v>53140010</v>
      </c>
      <c r="H215" t="s">
        <v>1436</v>
      </c>
      <c r="I215">
        <v>19992.13</v>
      </c>
      <c r="J215">
        <v>162133380.69778201</v>
      </c>
      <c r="K215">
        <v>211389533.698055</v>
      </c>
      <c r="L215">
        <v>194501746.813503</v>
      </c>
      <c r="M215">
        <v>225241399.33933401</v>
      </c>
      <c r="N215">
        <v>196695252.661441</v>
      </c>
      <c r="O215" t="s">
        <v>59</v>
      </c>
      <c r="P215">
        <v>1</v>
      </c>
      <c r="Q215">
        <v>1.75</v>
      </c>
      <c r="R215">
        <v>48.4</v>
      </c>
      <c r="S215">
        <v>0.91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0.91</v>
      </c>
      <c r="AG215">
        <v>0</v>
      </c>
      <c r="AH215">
        <v>0</v>
      </c>
      <c r="AI215">
        <v>194</v>
      </c>
      <c r="AX215" t="s">
        <v>1460</v>
      </c>
      <c r="AY215" t="s">
        <v>1480</v>
      </c>
      <c r="AZ215">
        <v>188</v>
      </c>
      <c r="BA215" t="s">
        <v>1701</v>
      </c>
      <c r="BB215">
        <v>435.44</v>
      </c>
      <c r="BC215">
        <v>0.84373944999999995</v>
      </c>
      <c r="BD215">
        <v>367.39790610799997</v>
      </c>
      <c r="BE215">
        <v>19992127316.160999</v>
      </c>
      <c r="BF215">
        <v>214</v>
      </c>
      <c r="BG215" t="b">
        <f>ISNUMBER(MATCH(D215,'[1]USCLE+'!$W$11:$W$35,0))</f>
        <v>0</v>
      </c>
    </row>
    <row r="216" spans="1:59" x14ac:dyDescent="0.25">
      <c r="A216">
        <v>274</v>
      </c>
      <c r="B216" t="s">
        <v>354</v>
      </c>
      <c r="C216" t="s">
        <v>798</v>
      </c>
      <c r="D216" t="s">
        <v>1241</v>
      </c>
      <c r="E216" t="s">
        <v>61</v>
      </c>
      <c r="F216">
        <v>155.09469999999999</v>
      </c>
      <c r="G216">
        <v>128297330</v>
      </c>
      <c r="H216" t="s">
        <v>1436</v>
      </c>
      <c r="I216">
        <v>19898.240000000002</v>
      </c>
      <c r="J216">
        <v>148746277.27362001</v>
      </c>
      <c r="K216">
        <v>172768602.111047</v>
      </c>
      <c r="L216">
        <v>144765612.90722901</v>
      </c>
      <c r="M216">
        <v>167468293.18359801</v>
      </c>
      <c r="N216">
        <v>176442130.64753601</v>
      </c>
      <c r="O216" t="s">
        <v>59</v>
      </c>
      <c r="P216">
        <v>1</v>
      </c>
      <c r="Q216">
        <v>2.37</v>
      </c>
      <c r="R216">
        <v>56.89</v>
      </c>
      <c r="S216">
        <v>0.87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0.87</v>
      </c>
      <c r="AG216">
        <v>0</v>
      </c>
      <c r="AH216">
        <v>0</v>
      </c>
      <c r="AI216">
        <v>281</v>
      </c>
      <c r="AX216" t="s">
        <v>1460</v>
      </c>
      <c r="AY216" t="s">
        <v>1480</v>
      </c>
      <c r="AZ216">
        <v>84</v>
      </c>
      <c r="BA216" t="s">
        <v>1702</v>
      </c>
      <c r="BB216">
        <v>182.58</v>
      </c>
      <c r="BC216">
        <v>0.84373944999999995</v>
      </c>
      <c r="BD216">
        <v>154.04994878100001</v>
      </c>
      <c r="BE216">
        <v>19898235907.151001</v>
      </c>
      <c r="BF216">
        <v>215</v>
      </c>
      <c r="BG216" t="b">
        <f>ISNUMBER(MATCH(D216,'[1]USCLE+'!$W$11:$W$35,0))</f>
        <v>0</v>
      </c>
    </row>
    <row r="217" spans="1:59" x14ac:dyDescent="0.25">
      <c r="A217">
        <v>269</v>
      </c>
      <c r="B217" t="s">
        <v>349</v>
      </c>
      <c r="C217" t="s">
        <v>793</v>
      </c>
      <c r="D217" t="s">
        <v>1236</v>
      </c>
      <c r="E217" t="s">
        <v>61</v>
      </c>
      <c r="F217">
        <v>23.946069999999999</v>
      </c>
      <c r="G217">
        <v>1183599200</v>
      </c>
      <c r="H217" t="s">
        <v>1437</v>
      </c>
      <c r="I217">
        <v>28342.55</v>
      </c>
      <c r="J217">
        <v>248024959.74380401</v>
      </c>
      <c r="K217">
        <v>321514648.44335902</v>
      </c>
      <c r="L217">
        <v>339601934.055085</v>
      </c>
      <c r="M217">
        <v>394050568.934497</v>
      </c>
      <c r="N217">
        <v>296396205.90447199</v>
      </c>
      <c r="O217" t="s">
        <v>58</v>
      </c>
      <c r="P217">
        <v>0.7</v>
      </c>
      <c r="Q217">
        <v>1.01</v>
      </c>
      <c r="R217">
        <v>53.23</v>
      </c>
      <c r="S217">
        <v>0.94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0.94</v>
      </c>
      <c r="AG217">
        <v>0</v>
      </c>
      <c r="AH217">
        <v>0</v>
      </c>
      <c r="AI217">
        <v>113</v>
      </c>
      <c r="AX217" t="s">
        <v>1460</v>
      </c>
      <c r="AY217" t="s">
        <v>1480</v>
      </c>
      <c r="AZ217">
        <v>133</v>
      </c>
      <c r="BA217" t="s">
        <v>1703</v>
      </c>
      <c r="BB217">
        <v>25.93</v>
      </c>
      <c r="BC217">
        <v>0.84373944999999995</v>
      </c>
      <c r="BD217">
        <v>21.878163938499998</v>
      </c>
      <c r="BE217">
        <v>19839784506.6008</v>
      </c>
      <c r="BF217">
        <v>216</v>
      </c>
      <c r="BG217" t="b">
        <f>ISNUMBER(MATCH(D217,'[1]USCLE+'!$W$11:$W$35,0))</f>
        <v>0</v>
      </c>
    </row>
    <row r="218" spans="1:59" x14ac:dyDescent="0.25">
      <c r="A218">
        <v>101</v>
      </c>
      <c r="B218" t="s">
        <v>199</v>
      </c>
      <c r="C218" t="s">
        <v>634</v>
      </c>
      <c r="D218" t="s">
        <v>1086</v>
      </c>
      <c r="E218" t="s">
        <v>61</v>
      </c>
      <c r="F218">
        <v>81.088920000000002</v>
      </c>
      <c r="G218">
        <v>243608690</v>
      </c>
      <c r="H218" t="s">
        <v>1436</v>
      </c>
      <c r="I218">
        <v>19753.97</v>
      </c>
      <c r="J218">
        <v>168736479.517203</v>
      </c>
      <c r="K218">
        <v>192738846.98353299</v>
      </c>
      <c r="L218">
        <v>190567487.614977</v>
      </c>
      <c r="M218">
        <v>220590919.22888601</v>
      </c>
      <c r="N218">
        <v>169753859.68758401</v>
      </c>
      <c r="O218" t="s">
        <v>59</v>
      </c>
      <c r="P218">
        <v>1</v>
      </c>
      <c r="Q218">
        <v>2.2000000000000002</v>
      </c>
      <c r="R218">
        <v>52.75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257</v>
      </c>
      <c r="AX218" t="s">
        <v>1460</v>
      </c>
      <c r="AY218" t="s">
        <v>1480</v>
      </c>
      <c r="AZ218">
        <v>139</v>
      </c>
      <c r="BA218" t="s">
        <v>1704</v>
      </c>
      <c r="BB218">
        <v>91.52</v>
      </c>
      <c r="BC218">
        <v>0.84373944999999995</v>
      </c>
      <c r="BD218">
        <v>77.219034463999989</v>
      </c>
      <c r="BE218">
        <v>19753965574.714802</v>
      </c>
      <c r="BF218">
        <v>217</v>
      </c>
      <c r="BG218" t="b">
        <f>ISNUMBER(MATCH(D218,'[1]USCLE+'!$W$11:$W$35,0))</f>
        <v>0</v>
      </c>
    </row>
    <row r="219" spans="1:59" x14ac:dyDescent="0.25">
      <c r="A219">
        <v>317</v>
      </c>
      <c r="B219" t="s">
        <v>391</v>
      </c>
      <c r="C219" t="s">
        <v>838</v>
      </c>
      <c r="D219" t="s">
        <v>1278</v>
      </c>
      <c r="E219" t="s">
        <v>61</v>
      </c>
      <c r="F219">
        <v>141.321</v>
      </c>
      <c r="G219">
        <v>137248110</v>
      </c>
      <c r="H219" t="s">
        <v>1437</v>
      </c>
      <c r="I219">
        <v>19396.05</v>
      </c>
      <c r="J219">
        <v>225709548.33144099</v>
      </c>
      <c r="K219">
        <v>210969772.13308299</v>
      </c>
      <c r="L219">
        <v>187367242.72490099</v>
      </c>
      <c r="M219">
        <v>217151876.37745199</v>
      </c>
      <c r="N219">
        <v>191438896.613383</v>
      </c>
      <c r="O219" t="s">
        <v>58</v>
      </c>
      <c r="P219">
        <v>1</v>
      </c>
      <c r="Q219">
        <v>2.58</v>
      </c>
      <c r="R219">
        <v>60.33</v>
      </c>
      <c r="S219">
        <v>0.6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</v>
      </c>
      <c r="AG219">
        <v>0</v>
      </c>
      <c r="AH219">
        <v>0</v>
      </c>
      <c r="AI219">
        <v>312</v>
      </c>
      <c r="AX219" t="s">
        <v>1460</v>
      </c>
      <c r="AY219" t="s">
        <v>1480</v>
      </c>
      <c r="AZ219">
        <v>48</v>
      </c>
      <c r="BA219" t="s">
        <v>1705</v>
      </c>
      <c r="BB219">
        <v>175.01</v>
      </c>
      <c r="BC219">
        <v>0.84373944999999995</v>
      </c>
      <c r="BD219">
        <v>147.66284114449999</v>
      </c>
      <c r="BE219">
        <v>19396040153.310001</v>
      </c>
      <c r="BF219">
        <v>218</v>
      </c>
      <c r="BG219" t="b">
        <f>ISNUMBER(MATCH(D219,'[1]USCLE+'!$W$11:$W$35,0))</f>
        <v>0</v>
      </c>
    </row>
    <row r="220" spans="1:59" x14ac:dyDescent="0.25">
      <c r="A220">
        <v>465</v>
      </c>
      <c r="B220" t="s">
        <v>518</v>
      </c>
      <c r="C220" t="s">
        <v>974</v>
      </c>
      <c r="D220" t="s">
        <v>1405</v>
      </c>
      <c r="E220" t="s">
        <v>61</v>
      </c>
      <c r="F220">
        <v>230.0307</v>
      </c>
      <c r="G220">
        <v>93408590</v>
      </c>
      <c r="H220" t="s">
        <v>1437</v>
      </c>
      <c r="I220">
        <v>21486.85</v>
      </c>
      <c r="J220">
        <v>201567955.54979801</v>
      </c>
      <c r="K220">
        <v>212940578.56982499</v>
      </c>
      <c r="L220">
        <v>204446633.527778</v>
      </c>
      <c r="M220">
        <v>236628346.67031899</v>
      </c>
      <c r="N220">
        <v>168300258.517629</v>
      </c>
      <c r="O220" t="s">
        <v>58</v>
      </c>
      <c r="P220">
        <v>0.9</v>
      </c>
      <c r="Q220">
        <v>2.65</v>
      </c>
      <c r="R220">
        <v>51.41</v>
      </c>
      <c r="S220" t="s">
        <v>1439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G220">
        <v>0</v>
      </c>
      <c r="AH220">
        <v>0</v>
      </c>
      <c r="AI220">
        <v>321</v>
      </c>
      <c r="AX220" t="s">
        <v>1460</v>
      </c>
      <c r="AY220" t="s">
        <v>1480</v>
      </c>
      <c r="AZ220">
        <v>159</v>
      </c>
      <c r="BA220" t="s">
        <v>1706</v>
      </c>
      <c r="BB220">
        <v>287.47000000000003</v>
      </c>
      <c r="BC220">
        <v>0.84373944999999995</v>
      </c>
      <c r="BD220">
        <v>242.54977969149999</v>
      </c>
      <c r="BE220">
        <v>19338159009.341702</v>
      </c>
      <c r="BF220">
        <v>219</v>
      </c>
      <c r="BG220" t="b">
        <f>ISNUMBER(MATCH(D220,'[1]USCLE+'!$W$11:$W$35,0))</f>
        <v>0</v>
      </c>
    </row>
    <row r="221" spans="1:59" x14ac:dyDescent="0.25">
      <c r="A221">
        <v>183</v>
      </c>
      <c r="B221" t="s">
        <v>273</v>
      </c>
      <c r="C221" t="s">
        <v>712</v>
      </c>
      <c r="D221" t="s">
        <v>1160</v>
      </c>
      <c r="E221" t="s">
        <v>61</v>
      </c>
      <c r="F221">
        <v>55.692100000000003</v>
      </c>
      <c r="G221">
        <v>381898070</v>
      </c>
      <c r="H221" t="s">
        <v>1436</v>
      </c>
      <c r="I221">
        <v>21268.7</v>
      </c>
      <c r="J221">
        <v>115551052.297969</v>
      </c>
      <c r="K221">
        <v>121467112.54985499</v>
      </c>
      <c r="L221">
        <v>117760447.85456499</v>
      </c>
      <c r="M221">
        <v>136445862.46103799</v>
      </c>
      <c r="N221">
        <v>113902617.456264</v>
      </c>
      <c r="O221" t="s">
        <v>59</v>
      </c>
      <c r="P221">
        <v>0.9</v>
      </c>
      <c r="Q221">
        <v>2.92</v>
      </c>
      <c r="R221">
        <v>55.09</v>
      </c>
      <c r="S221">
        <v>0.93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0.93</v>
      </c>
      <c r="AG221">
        <v>0</v>
      </c>
      <c r="AH221">
        <v>0</v>
      </c>
      <c r="AI221">
        <v>352</v>
      </c>
      <c r="AX221" t="s">
        <v>1460</v>
      </c>
      <c r="AY221" t="s">
        <v>1480</v>
      </c>
      <c r="AZ221">
        <v>101</v>
      </c>
      <c r="BA221" t="s">
        <v>1707</v>
      </c>
      <c r="BB221">
        <v>64.75</v>
      </c>
      <c r="BC221">
        <v>0.84373944999999995</v>
      </c>
      <c r="BD221">
        <v>54.632129387499987</v>
      </c>
      <c r="BE221">
        <v>19141834953.8223</v>
      </c>
      <c r="BF221">
        <v>220</v>
      </c>
      <c r="BG221" t="b">
        <f>ISNUMBER(MATCH(D221,'[1]USCLE+'!$W$11:$W$35,0))</f>
        <v>0</v>
      </c>
    </row>
    <row r="222" spans="1:59" x14ac:dyDescent="0.25">
      <c r="A222">
        <v>318</v>
      </c>
      <c r="B222" t="s">
        <v>392</v>
      </c>
      <c r="C222" t="s">
        <v>839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231</v>
      </c>
      <c r="AX222" t="s">
        <v>1460</v>
      </c>
      <c r="AY222" t="s">
        <v>1480</v>
      </c>
      <c r="AZ222">
        <v>122</v>
      </c>
      <c r="BA222" t="s">
        <v>1708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  <c r="BG222" t="b">
        <f>ISNUMBER(MATCH(D222,'[1]USCLE+'!$W$11:$W$35,0))</f>
        <v>0</v>
      </c>
    </row>
    <row r="223" spans="1:59" x14ac:dyDescent="0.25">
      <c r="A223">
        <v>89</v>
      </c>
      <c r="B223" t="s">
        <v>190</v>
      </c>
      <c r="C223" t="s">
        <v>625</v>
      </c>
      <c r="D223" t="s">
        <v>1077</v>
      </c>
      <c r="E223" t="s">
        <v>61</v>
      </c>
      <c r="F223">
        <v>142.51580000000001</v>
      </c>
      <c r="G223">
        <v>131060750</v>
      </c>
      <c r="H223" t="s">
        <v>1437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170</v>
      </c>
      <c r="AX223" t="s">
        <v>1460</v>
      </c>
      <c r="AY223" t="s">
        <v>1480</v>
      </c>
      <c r="AZ223">
        <v>127</v>
      </c>
      <c r="BA223" t="s">
        <v>1709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  <c r="BG223" t="b">
        <f>ISNUMBER(MATCH(D223,'[1]USCLE+'!$W$11:$W$35,0))</f>
        <v>0</v>
      </c>
    </row>
    <row r="224" spans="1:59" x14ac:dyDescent="0.25">
      <c r="A224">
        <v>284</v>
      </c>
      <c r="B224" t="s">
        <v>363</v>
      </c>
      <c r="C224" t="s">
        <v>807</v>
      </c>
      <c r="D224" t="s">
        <v>1250</v>
      </c>
      <c r="E224" t="s">
        <v>61</v>
      </c>
      <c r="F224">
        <v>177.15479999999999</v>
      </c>
      <c r="G224">
        <v>114729430</v>
      </c>
      <c r="H224" t="s">
        <v>1437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342</v>
      </c>
      <c r="AX224" t="s">
        <v>1460</v>
      </c>
      <c r="AY224" t="s">
        <v>1480</v>
      </c>
      <c r="AZ224">
        <v>97</v>
      </c>
      <c r="BA224" t="s">
        <v>1710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  <c r="BG224" t="b">
        <f>ISNUMBER(MATCH(D224,'[1]USCLE+'!$W$11:$W$35,0))</f>
        <v>0</v>
      </c>
    </row>
    <row r="225" spans="1:59" x14ac:dyDescent="0.25">
      <c r="A225">
        <v>254</v>
      </c>
      <c r="B225" t="s">
        <v>337</v>
      </c>
      <c r="C225" t="s">
        <v>779</v>
      </c>
      <c r="D225" t="s">
        <v>1224</v>
      </c>
      <c r="E225" t="s">
        <v>61</v>
      </c>
      <c r="F225">
        <v>179.07490000000001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355</v>
      </c>
      <c r="AX225" t="s">
        <v>1460</v>
      </c>
      <c r="AY225" t="s">
        <v>1480</v>
      </c>
      <c r="AZ225">
        <v>136</v>
      </c>
      <c r="BA225" t="s">
        <v>1711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  <c r="BG225" t="b">
        <f>ISNUMBER(MATCH(D225,'[1]USCLE+'!$W$11:$W$35,0))</f>
        <v>0</v>
      </c>
    </row>
    <row r="226" spans="1:59" x14ac:dyDescent="0.25">
      <c r="A226">
        <v>184</v>
      </c>
      <c r="B226" t="s">
        <v>274</v>
      </c>
      <c r="C226" t="s">
        <v>713</v>
      </c>
      <c r="D226" t="s">
        <v>1161</v>
      </c>
      <c r="E226" t="s">
        <v>61</v>
      </c>
      <c r="F226">
        <v>77.854579999999999</v>
      </c>
      <c r="G226">
        <v>234347410</v>
      </c>
      <c r="H226" t="s">
        <v>1436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190</v>
      </c>
      <c r="AX226" t="s">
        <v>1460</v>
      </c>
      <c r="AY226" t="s">
        <v>1480</v>
      </c>
      <c r="AZ226">
        <v>163</v>
      </c>
      <c r="BA226" t="s">
        <v>1712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  <c r="BG226" t="b">
        <f>ISNUMBER(MATCH(D226,'[1]USCLE+'!$W$11:$W$35,0))</f>
        <v>0</v>
      </c>
    </row>
    <row r="227" spans="1:59" x14ac:dyDescent="0.25">
      <c r="A227">
        <v>356</v>
      </c>
      <c r="B227" t="s">
        <v>423</v>
      </c>
      <c r="C227" t="s">
        <v>875</v>
      </c>
      <c r="D227" t="s">
        <v>1310</v>
      </c>
      <c r="E227" t="s">
        <v>61</v>
      </c>
      <c r="F227">
        <v>30.389140000000001</v>
      </c>
      <c r="G227">
        <v>599264160</v>
      </c>
      <c r="H227" t="s">
        <v>1436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219</v>
      </c>
      <c r="AX227" t="s">
        <v>1460</v>
      </c>
      <c r="AY227" t="s">
        <v>1480</v>
      </c>
      <c r="AZ227">
        <v>201</v>
      </c>
      <c r="BA227" t="s">
        <v>1713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  <c r="BG227" t="b">
        <f>ISNUMBER(MATCH(D227,'[1]USCLE+'!$W$11:$W$35,0))</f>
        <v>0</v>
      </c>
    </row>
    <row r="228" spans="1:59" x14ac:dyDescent="0.25">
      <c r="A228">
        <v>497</v>
      </c>
      <c r="B228" t="s">
        <v>545</v>
      </c>
      <c r="C228" t="s">
        <v>1003</v>
      </c>
      <c r="D228" t="s">
        <v>1432</v>
      </c>
      <c r="E228" t="s">
        <v>61</v>
      </c>
      <c r="F228">
        <v>91.918419999999998</v>
      </c>
      <c r="G228">
        <v>198095980</v>
      </c>
      <c r="H228" t="s">
        <v>1436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97</v>
      </c>
      <c r="AX228" t="s">
        <v>1460</v>
      </c>
      <c r="AY228" t="s">
        <v>1480</v>
      </c>
      <c r="AZ228">
        <v>154</v>
      </c>
      <c r="BA228" t="s">
        <v>1714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  <c r="BG228" t="b">
        <f>ISNUMBER(MATCH(D228,'[1]USCLE+'!$W$11:$W$35,0))</f>
        <v>0</v>
      </c>
    </row>
    <row r="229" spans="1:59" x14ac:dyDescent="0.25">
      <c r="A229">
        <v>337</v>
      </c>
      <c r="B229" t="s">
        <v>408</v>
      </c>
      <c r="C229" t="s">
        <v>857</v>
      </c>
      <c r="D229" t="s">
        <v>1295</v>
      </c>
      <c r="E229" t="s">
        <v>61</v>
      </c>
      <c r="F229">
        <v>44.248170000000002</v>
      </c>
      <c r="G229">
        <v>408974000</v>
      </c>
      <c r="H229" t="s">
        <v>1437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215</v>
      </c>
      <c r="AX229" t="s">
        <v>1460</v>
      </c>
      <c r="AY229" t="s">
        <v>1480</v>
      </c>
      <c r="AZ229">
        <v>98</v>
      </c>
      <c r="BA229" t="s">
        <v>1715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  <c r="BG229" t="b">
        <f>ISNUMBER(MATCH(D229,'[1]USCLE+'!$W$11:$W$35,0))</f>
        <v>0</v>
      </c>
    </row>
    <row r="230" spans="1:59" x14ac:dyDescent="0.25">
      <c r="A230">
        <v>425</v>
      </c>
      <c r="B230" t="s">
        <v>484</v>
      </c>
      <c r="C230" t="s">
        <v>938</v>
      </c>
      <c r="D230" t="s">
        <v>1371</v>
      </c>
      <c r="E230" t="s">
        <v>61</v>
      </c>
      <c r="F230">
        <v>85.048649999999995</v>
      </c>
      <c r="G230">
        <v>208123630</v>
      </c>
      <c r="H230" t="s">
        <v>1436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350</v>
      </c>
      <c r="AX230" t="s">
        <v>1460</v>
      </c>
      <c r="AY230" t="s">
        <v>1480</v>
      </c>
      <c r="AZ230">
        <v>164</v>
      </c>
      <c r="BA230" t="s">
        <v>1716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  <c r="BG230" t="b">
        <f>ISNUMBER(MATCH(D230,'[1]USCLE+'!$W$11:$W$35,0))</f>
        <v>0</v>
      </c>
    </row>
    <row r="231" spans="1:59" x14ac:dyDescent="0.25">
      <c r="A231">
        <v>62</v>
      </c>
      <c r="B231" t="s">
        <v>170</v>
      </c>
      <c r="C231" t="s">
        <v>604</v>
      </c>
      <c r="D231" t="s">
        <v>1057</v>
      </c>
      <c r="E231" t="s">
        <v>61</v>
      </c>
      <c r="F231">
        <v>118.88549999999999</v>
      </c>
      <c r="G231">
        <v>146614600</v>
      </c>
      <c r="H231" t="s">
        <v>1437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168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  <c r="BG231" t="b">
        <f>ISNUMBER(MATCH(D231,'[1]USCLE+'!$W$11:$W$35,0))</f>
        <v>0</v>
      </c>
    </row>
    <row r="232" spans="1:59" x14ac:dyDescent="0.25">
      <c r="A232">
        <v>373</v>
      </c>
      <c r="B232" t="s">
        <v>438</v>
      </c>
      <c r="C232" t="s">
        <v>891</v>
      </c>
      <c r="D232" t="s">
        <v>1325</v>
      </c>
      <c r="E232" t="s">
        <v>61</v>
      </c>
      <c r="F232">
        <v>153.80609999999999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230</v>
      </c>
      <c r="AX232" t="s">
        <v>1460</v>
      </c>
      <c r="AY232" t="s">
        <v>1480</v>
      </c>
      <c r="AZ232">
        <v>108</v>
      </c>
      <c r="BA232" t="s">
        <v>1718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  <c r="BG232" t="b">
        <f>ISNUMBER(MATCH(D232,'[1]USCLE+'!$W$11:$W$35,0))</f>
        <v>0</v>
      </c>
    </row>
    <row r="233" spans="1:59" x14ac:dyDescent="0.25">
      <c r="A233">
        <v>20</v>
      </c>
      <c r="B233" t="s">
        <v>134</v>
      </c>
      <c r="C233" t="s">
        <v>566</v>
      </c>
      <c r="D233" t="s">
        <v>1021</v>
      </c>
      <c r="E233" t="s">
        <v>61</v>
      </c>
      <c r="F233">
        <v>7.4330090000000002</v>
      </c>
      <c r="G233">
        <v>2305359900</v>
      </c>
      <c r="H233" t="s">
        <v>1436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159</v>
      </c>
      <c r="AX233" t="s">
        <v>1460</v>
      </c>
      <c r="AY233" t="s">
        <v>1480</v>
      </c>
      <c r="AZ233">
        <v>67</v>
      </c>
      <c r="BA233" t="s">
        <v>1719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  <c r="BG233" t="b">
        <f>ISNUMBER(MATCH(D233,'[1]USCLE+'!$W$11:$W$35,0))</f>
        <v>0</v>
      </c>
    </row>
    <row r="234" spans="1:59" x14ac:dyDescent="0.25">
      <c r="A234">
        <v>487</v>
      </c>
      <c r="B234" t="s">
        <v>537</v>
      </c>
      <c r="C234" t="s">
        <v>995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127</v>
      </c>
      <c r="AX234" t="s">
        <v>1460</v>
      </c>
      <c r="AY234" t="s">
        <v>1480</v>
      </c>
      <c r="AZ234">
        <v>125</v>
      </c>
      <c r="BA234" t="s">
        <v>1720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  <c r="BG234" t="b">
        <f>ISNUMBER(MATCH(D234,'[1]USCLE+'!$W$11:$W$35,0))</f>
        <v>0</v>
      </c>
    </row>
    <row r="235" spans="1:59" x14ac:dyDescent="0.25">
      <c r="A235">
        <v>343</v>
      </c>
      <c r="B235" t="s">
        <v>413</v>
      </c>
      <c r="C235" t="s">
        <v>863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271</v>
      </c>
      <c r="AX235" t="s">
        <v>1460</v>
      </c>
      <c r="AY235" t="s">
        <v>1480</v>
      </c>
      <c r="AZ235">
        <v>155</v>
      </c>
      <c r="BA235" t="s">
        <v>1721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  <c r="BG235" t="b">
        <f>ISNUMBER(MATCH(D235,'[1]USCLE+'!$W$11:$W$35,0))</f>
        <v>0</v>
      </c>
    </row>
    <row r="236" spans="1:59" x14ac:dyDescent="0.25">
      <c r="A236">
        <v>211</v>
      </c>
      <c r="B236" t="s">
        <v>298</v>
      </c>
      <c r="C236" t="s">
        <v>737</v>
      </c>
      <c r="D236" t="s">
        <v>1185</v>
      </c>
      <c r="E236" t="s">
        <v>61</v>
      </c>
      <c r="F236">
        <v>213.26159999999999</v>
      </c>
      <c r="G236">
        <v>75735794</v>
      </c>
      <c r="H236" t="s">
        <v>1436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143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  <c r="BG236" t="b">
        <f>ISNUMBER(MATCH(D236,'[1]USCLE+'!$W$11:$W$35,0))</f>
        <v>0</v>
      </c>
    </row>
    <row r="237" spans="1:59" x14ac:dyDescent="0.25">
      <c r="A237">
        <v>114</v>
      </c>
      <c r="B237" t="s">
        <v>209</v>
      </c>
      <c r="C237" t="s">
        <v>646</v>
      </c>
      <c r="D237" t="s">
        <v>1096</v>
      </c>
      <c r="E237" t="s">
        <v>61</v>
      </c>
      <c r="F237">
        <v>77.095060000000004</v>
      </c>
      <c r="G237">
        <v>460780980</v>
      </c>
      <c r="H237" t="s">
        <v>1437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0.94</v>
      </c>
      <c r="AG237">
        <v>0</v>
      </c>
      <c r="AH237">
        <v>0</v>
      </c>
      <c r="AI237">
        <v>65</v>
      </c>
      <c r="AX237" t="s">
        <v>1460</v>
      </c>
      <c r="AY237" t="s">
        <v>1480</v>
      </c>
      <c r="AZ237">
        <v>96</v>
      </c>
      <c r="BA237" t="s">
        <v>1723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  <c r="BG237" t="b">
        <f>ISNUMBER(MATCH(D237,'[1]USCLE+'!$W$11:$W$35,0))</f>
        <v>0</v>
      </c>
    </row>
    <row r="238" spans="1:59" x14ac:dyDescent="0.25">
      <c r="A238">
        <v>410</v>
      </c>
      <c r="B238" t="s">
        <v>471</v>
      </c>
      <c r="C238" t="s">
        <v>925</v>
      </c>
      <c r="D238" t="s">
        <v>1358</v>
      </c>
      <c r="E238" t="s">
        <v>61</v>
      </c>
      <c r="F238">
        <v>76.975589999999997</v>
      </c>
      <c r="G238">
        <v>244220640</v>
      </c>
      <c r="H238" t="s">
        <v>1437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300</v>
      </c>
      <c r="AX238" t="s">
        <v>1460</v>
      </c>
      <c r="AY238" t="s">
        <v>1480</v>
      </c>
      <c r="AZ238">
        <v>192</v>
      </c>
      <c r="BA238" t="s">
        <v>1724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  <c r="BG238" t="b">
        <f>ISNUMBER(MATCH(D238,'[1]USCLE+'!$W$11:$W$35,0))</f>
        <v>0</v>
      </c>
    </row>
    <row r="239" spans="1:59" x14ac:dyDescent="0.25">
      <c r="A239">
        <v>276</v>
      </c>
      <c r="B239" t="s">
        <v>356</v>
      </c>
      <c r="C239" t="s">
        <v>800</v>
      </c>
      <c r="D239" t="s">
        <v>1243</v>
      </c>
      <c r="E239" t="s">
        <v>61</v>
      </c>
      <c r="F239">
        <v>505.13740000000001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306</v>
      </c>
      <c r="AX239" t="s">
        <v>1460</v>
      </c>
      <c r="AY239" t="s">
        <v>1480</v>
      </c>
      <c r="AZ239">
        <v>149</v>
      </c>
      <c r="BA239" t="s">
        <v>1725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  <c r="BG239" t="b">
        <f>ISNUMBER(MATCH(D239,'[1]USCLE+'!$W$11:$W$35,0))</f>
        <v>0</v>
      </c>
    </row>
    <row r="240" spans="1:59" x14ac:dyDescent="0.25">
      <c r="A240">
        <v>413</v>
      </c>
      <c r="B240" t="s">
        <v>474</v>
      </c>
      <c r="C240" t="s">
        <v>928</v>
      </c>
      <c r="D240" t="s">
        <v>1361</v>
      </c>
      <c r="E240" t="s">
        <v>61</v>
      </c>
      <c r="F240">
        <v>113.22750000000001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281</v>
      </c>
      <c r="AX240" t="s">
        <v>1460</v>
      </c>
      <c r="AY240" t="s">
        <v>1480</v>
      </c>
      <c r="AZ240">
        <v>235</v>
      </c>
      <c r="BA240" t="s">
        <v>1726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  <c r="BG240" t="b">
        <f>ISNUMBER(MATCH(D240,'[1]USCLE+'!$W$11:$W$35,0))</f>
        <v>0</v>
      </c>
    </row>
    <row r="241" spans="1:59" x14ac:dyDescent="0.25">
      <c r="A241">
        <v>330</v>
      </c>
      <c r="B241" t="s">
        <v>403</v>
      </c>
      <c r="C241" t="s">
        <v>851</v>
      </c>
      <c r="D241" t="s">
        <v>1290</v>
      </c>
      <c r="E241" t="s">
        <v>61</v>
      </c>
      <c r="F241">
        <v>58.704560000000001</v>
      </c>
      <c r="G241">
        <v>268077450</v>
      </c>
      <c r="H241" t="s">
        <v>1437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175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  <c r="BG241" t="b">
        <f>ISNUMBER(MATCH(D241,'[1]USCLE+'!$W$11:$W$35,0))</f>
        <v>0</v>
      </c>
    </row>
    <row r="242" spans="1:59" x14ac:dyDescent="0.25">
      <c r="A242">
        <v>432</v>
      </c>
      <c r="B242" t="s">
        <v>489</v>
      </c>
      <c r="C242" t="s">
        <v>943</v>
      </c>
      <c r="D242" t="s">
        <v>1376</v>
      </c>
      <c r="E242" t="s">
        <v>61</v>
      </c>
      <c r="F242">
        <v>98.395629999999997</v>
      </c>
      <c r="G242">
        <v>159073530</v>
      </c>
      <c r="H242" t="s">
        <v>1437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0.69</v>
      </c>
      <c r="AG242">
        <v>0</v>
      </c>
      <c r="AH242">
        <v>0</v>
      </c>
      <c r="AI242">
        <v>161</v>
      </c>
      <c r="AX242" t="s">
        <v>1460</v>
      </c>
      <c r="AY242" t="s">
        <v>1480</v>
      </c>
      <c r="AZ242">
        <v>207</v>
      </c>
      <c r="BA242" t="s">
        <v>1728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  <c r="BG242" t="b">
        <f>ISNUMBER(MATCH(D242,'[1]USCLE+'!$W$11:$W$35,0))</f>
        <v>0</v>
      </c>
    </row>
    <row r="243" spans="1:59" x14ac:dyDescent="0.25">
      <c r="A243">
        <v>294</v>
      </c>
      <c r="B243" t="s">
        <v>371</v>
      </c>
      <c r="C243" t="s">
        <v>816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123</v>
      </c>
      <c r="AX243" t="s">
        <v>1460</v>
      </c>
      <c r="AY243" t="s">
        <v>1480</v>
      </c>
      <c r="AZ243">
        <v>202</v>
      </c>
      <c r="BA243" t="s">
        <v>1729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  <c r="BG243" t="b">
        <f>ISNUMBER(MATCH(D243,'[1]USCLE+'!$W$11:$W$35,0))</f>
        <v>0</v>
      </c>
    </row>
    <row r="244" spans="1:59" x14ac:dyDescent="0.25">
      <c r="A244">
        <v>224</v>
      </c>
      <c r="B244" t="s">
        <v>310</v>
      </c>
      <c r="C244" t="s">
        <v>750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168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  <c r="BG244" t="b">
        <f>ISNUMBER(MATCH(D244,'[1]USCLE+'!$W$11:$W$35,0))</f>
        <v>0</v>
      </c>
    </row>
    <row r="245" spans="1:59" x14ac:dyDescent="0.25">
      <c r="A245">
        <v>480</v>
      </c>
      <c r="B245" t="s">
        <v>530</v>
      </c>
      <c r="C245" t="s">
        <v>988</v>
      </c>
      <c r="D245" t="s">
        <v>1417</v>
      </c>
      <c r="E245" t="s">
        <v>61</v>
      </c>
      <c r="F245">
        <v>257.88529999999997</v>
      </c>
      <c r="G245">
        <v>59524130</v>
      </c>
      <c r="H245" t="s">
        <v>1436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310</v>
      </c>
      <c r="AX245" t="s">
        <v>1460</v>
      </c>
      <c r="AY245" t="s">
        <v>1480</v>
      </c>
      <c r="AZ245">
        <v>132</v>
      </c>
      <c r="BA245" t="s">
        <v>1731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  <c r="BG245" t="b">
        <f>ISNUMBER(MATCH(D245,'[1]USCLE+'!$W$11:$W$35,0))</f>
        <v>0</v>
      </c>
    </row>
    <row r="246" spans="1:59" x14ac:dyDescent="0.25">
      <c r="A246">
        <v>361</v>
      </c>
      <c r="B246" t="s">
        <v>427</v>
      </c>
      <c r="C246" t="s">
        <v>879</v>
      </c>
      <c r="D246" t="s">
        <v>1314</v>
      </c>
      <c r="E246" t="s">
        <v>61</v>
      </c>
      <c r="F246">
        <v>68.885480000000001</v>
      </c>
      <c r="G246">
        <v>222768450</v>
      </c>
      <c r="H246" t="s">
        <v>1437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9</v>
      </c>
      <c r="AX246" t="s">
        <v>1460</v>
      </c>
      <c r="AY246" t="s">
        <v>1480</v>
      </c>
      <c r="AZ246">
        <v>179</v>
      </c>
      <c r="BA246" t="s">
        <v>1732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  <c r="BG246" t="b">
        <f>ISNUMBER(MATCH(D246,'[1]USCLE+'!$W$11:$W$35,0))</f>
        <v>0</v>
      </c>
    </row>
    <row r="247" spans="1:59" x14ac:dyDescent="0.25">
      <c r="A247">
        <v>307</v>
      </c>
      <c r="B247" t="s">
        <v>382</v>
      </c>
      <c r="C247" t="s">
        <v>829</v>
      </c>
      <c r="D247" t="s">
        <v>1269</v>
      </c>
      <c r="E247" t="s">
        <v>61</v>
      </c>
      <c r="F247">
        <v>186.94319999999999</v>
      </c>
      <c r="G247">
        <v>81714310</v>
      </c>
      <c r="H247" t="s">
        <v>1437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68</v>
      </c>
      <c r="AX247" t="s">
        <v>1460</v>
      </c>
      <c r="AY247" t="s">
        <v>1480</v>
      </c>
      <c r="AZ247">
        <v>92</v>
      </c>
      <c r="BE247">
        <v>15275934597.191999</v>
      </c>
      <c r="BF247">
        <v>246</v>
      </c>
      <c r="BG247" t="b">
        <f>ISNUMBER(MATCH(D247,'[1]USCLE+'!$W$11:$W$35,0))</f>
        <v>0</v>
      </c>
    </row>
    <row r="248" spans="1:59" x14ac:dyDescent="0.25">
      <c r="A248">
        <v>350</v>
      </c>
      <c r="B248" t="s">
        <v>418</v>
      </c>
      <c r="C248" t="s">
        <v>869</v>
      </c>
      <c r="D248" t="s">
        <v>1305</v>
      </c>
      <c r="E248" t="s">
        <v>61</v>
      </c>
      <c r="F248">
        <v>92.677930000000003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315</v>
      </c>
      <c r="AX248" t="s">
        <v>1460</v>
      </c>
      <c r="AY248" t="s">
        <v>1480</v>
      </c>
      <c r="AZ248">
        <v>141</v>
      </c>
      <c r="BA248" t="s">
        <v>1733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  <c r="BG248" t="b">
        <f>ISNUMBER(MATCH(D248,'[1]USCLE+'!$W$11:$W$35,0))</f>
        <v>0</v>
      </c>
    </row>
    <row r="249" spans="1:59" x14ac:dyDescent="0.25">
      <c r="A249">
        <v>160</v>
      </c>
      <c r="B249" t="s">
        <v>252</v>
      </c>
      <c r="C249" t="s">
        <v>690</v>
      </c>
      <c r="D249" t="s">
        <v>1139</v>
      </c>
      <c r="E249" t="s">
        <v>61</v>
      </c>
      <c r="F249">
        <v>21.428570000000001</v>
      </c>
      <c r="G249">
        <v>708844200</v>
      </c>
      <c r="H249" t="s">
        <v>1436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154</v>
      </c>
      <c r="AX249" t="s">
        <v>1460</v>
      </c>
      <c r="AY249" t="s">
        <v>1480</v>
      </c>
      <c r="AZ249">
        <v>158</v>
      </c>
      <c r="BA249" t="s">
        <v>1734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  <c r="BG249" t="b">
        <f>ISNUMBER(MATCH(D249,'[1]USCLE+'!$W$11:$W$35,0))</f>
        <v>0</v>
      </c>
    </row>
    <row r="250" spans="1:59" x14ac:dyDescent="0.25">
      <c r="A250">
        <v>215</v>
      </c>
      <c r="B250" t="s">
        <v>301</v>
      </c>
      <c r="C250" t="s">
        <v>741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0.94</v>
      </c>
      <c r="AG250">
        <v>0</v>
      </c>
      <c r="AH250">
        <v>0</v>
      </c>
      <c r="AI250">
        <v>221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  <c r="BG250" t="b">
        <f>ISNUMBER(MATCH(D250,'[1]USCLE+'!$W$11:$W$35,0))</f>
        <v>0</v>
      </c>
    </row>
    <row r="251" spans="1:59" x14ac:dyDescent="0.25">
      <c r="A251">
        <v>404</v>
      </c>
      <c r="B251" t="s">
        <v>465</v>
      </c>
      <c r="C251" t="s">
        <v>919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205</v>
      </c>
      <c r="AX251" t="s">
        <v>1460</v>
      </c>
      <c r="AY251" t="s">
        <v>1480</v>
      </c>
      <c r="AZ251">
        <v>244</v>
      </c>
      <c r="BA251" t="s">
        <v>1736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  <c r="BG251" t="b">
        <f>ISNUMBER(MATCH(D251,'[1]USCLE+'!$W$11:$W$35,0))</f>
        <v>0</v>
      </c>
    </row>
  </sheetData>
  <autoFilter ref="A1:BF251" xr:uid="{00000000-0001-0000-04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>
      <selection activeCell="B26" sqref="B26"/>
    </sheetView>
  </sheetViews>
  <sheetFormatPr defaultRowHeight="15" x14ac:dyDescent="0.25"/>
  <sheetData>
    <row r="1" spans="1:6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 x14ac:dyDescent="0.25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887393.32237545378</v>
      </c>
      <c r="BH3">
        <v>887393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902938.34532670071</v>
      </c>
      <c r="BH4">
        <v>902938</v>
      </c>
      <c r="BI4">
        <v>1</v>
      </c>
      <c r="BJ4" t="s">
        <v>60</v>
      </c>
    </row>
    <row r="5" spans="1:62" x14ac:dyDescent="0.25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587035.33256587316</v>
      </c>
      <c r="BH6">
        <v>587035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841426.65919618704</v>
      </c>
      <c r="BH7">
        <v>841427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501239.78872850991</v>
      </c>
      <c r="BH8">
        <v>501240</v>
      </c>
      <c r="BI8">
        <v>1</v>
      </c>
      <c r="BJ8" t="s">
        <v>60</v>
      </c>
    </row>
    <row r="9" spans="1:62" x14ac:dyDescent="0.25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683504.38152499858</v>
      </c>
      <c r="BH9">
        <v>683504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 x14ac:dyDescent="0.25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276356.68387194403</v>
      </c>
      <c r="BH11">
        <v>276357</v>
      </c>
      <c r="BI11">
        <v>1</v>
      </c>
      <c r="BJ11" t="s">
        <v>60</v>
      </c>
    </row>
    <row r="12" spans="1:62" x14ac:dyDescent="0.25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176035.78456132341</v>
      </c>
      <c r="BH12">
        <v>176036</v>
      </c>
      <c r="BI12">
        <v>1</v>
      </c>
      <c r="BJ12" t="s">
        <v>60</v>
      </c>
    </row>
    <row r="13" spans="1:62" x14ac:dyDescent="0.25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360377.74926454481</v>
      </c>
      <c r="BH13">
        <v>360378</v>
      </c>
      <c r="BI13">
        <v>1</v>
      </c>
      <c r="BJ13" t="s">
        <v>60</v>
      </c>
    </row>
    <row r="14" spans="1:62" x14ac:dyDescent="0.25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1197623.9358705331</v>
      </c>
      <c r="BH14">
        <v>1197624</v>
      </c>
      <c r="BI14">
        <v>1</v>
      </c>
      <c r="BJ14" t="s">
        <v>60</v>
      </c>
    </row>
    <row r="15" spans="1:62" x14ac:dyDescent="0.25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818.00649999999996</v>
      </c>
      <c r="G15">
        <v>443477080</v>
      </c>
      <c r="H15" t="s">
        <v>1437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>
        <v>221971.8295122358</v>
      </c>
      <c r="BH15">
        <v>221972</v>
      </c>
      <c r="BI15">
        <v>1</v>
      </c>
      <c r="BJ15" t="s">
        <v>60</v>
      </c>
    </row>
    <row r="16" spans="1:62" x14ac:dyDescent="0.25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82.633560000000003</v>
      </c>
      <c r="G16">
        <v>7980418000</v>
      </c>
      <c r="H16" t="s">
        <v>1436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1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>
        <v>2043441.4980053599</v>
      </c>
      <c r="BH16">
        <v>2043441</v>
      </c>
      <c r="BI16">
        <v>1</v>
      </c>
      <c r="BJ16" t="s">
        <v>60</v>
      </c>
    </row>
    <row r="17" spans="1:62" x14ac:dyDescent="0.25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>
        <v>501441.97348134848</v>
      </c>
      <c r="BH17">
        <v>501442</v>
      </c>
      <c r="BI17">
        <v>1</v>
      </c>
      <c r="BJ17" t="s">
        <v>60</v>
      </c>
    </row>
    <row r="18" spans="1:62" x14ac:dyDescent="0.25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201.71530000000001</v>
      </c>
      <c r="G18">
        <v>2808833000</v>
      </c>
      <c r="H18" t="s">
        <v>1436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1</v>
      </c>
      <c r="Q18">
        <v>0.84</v>
      </c>
      <c r="R18">
        <v>65.099999999999994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>
        <v>689165.88854953321</v>
      </c>
      <c r="BH18">
        <v>689166</v>
      </c>
      <c r="BI18">
        <v>1</v>
      </c>
      <c r="BJ18" t="s">
        <v>60</v>
      </c>
    </row>
    <row r="19" spans="1:62" x14ac:dyDescent="0.25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135.40710000000001</v>
      </c>
      <c r="G19">
        <v>2342371600</v>
      </c>
      <c r="H19" t="s">
        <v>1436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>
        <v>1337125.7179608629</v>
      </c>
      <c r="BH19">
        <v>1337126</v>
      </c>
      <c r="BI19">
        <v>1</v>
      </c>
      <c r="BJ19" t="s">
        <v>60</v>
      </c>
    </row>
    <row r="20" spans="1:62" x14ac:dyDescent="0.25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135.46680000000001</v>
      </c>
      <c r="G20">
        <v>2274261500</v>
      </c>
      <c r="H20" t="s">
        <v>1437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>
        <v>1241235.2855850719</v>
      </c>
      <c r="BH20">
        <v>1241235</v>
      </c>
      <c r="BI20">
        <v>1</v>
      </c>
      <c r="BJ20" t="s">
        <v>60</v>
      </c>
    </row>
    <row r="21" spans="1:62" x14ac:dyDescent="0.25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42.225639999999999</v>
      </c>
      <c r="G21">
        <v>7406947300</v>
      </c>
      <c r="H21" t="s">
        <v>1436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1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>
        <v>4171589.4142067581</v>
      </c>
      <c r="BH21">
        <v>4171589</v>
      </c>
      <c r="BI21">
        <v>1</v>
      </c>
      <c r="BJ21" t="s">
        <v>60</v>
      </c>
    </row>
    <row r="22" spans="1:62" x14ac:dyDescent="0.25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227.45349999999999</v>
      </c>
      <c r="G22">
        <v>1060439300</v>
      </c>
      <c r="H22" t="s">
        <v>1436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>
        <v>721345.93891427224</v>
      </c>
      <c r="BH22">
        <v>721346</v>
      </c>
      <c r="BI22">
        <v>1</v>
      </c>
      <c r="BJ22" t="s">
        <v>60</v>
      </c>
    </row>
    <row r="23" spans="1:62" x14ac:dyDescent="0.25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>
        <v>621969.27342313959</v>
      </c>
      <c r="BH23">
        <v>621969</v>
      </c>
      <c r="BI23">
        <v>1</v>
      </c>
      <c r="BJ23" t="s">
        <v>60</v>
      </c>
    </row>
    <row r="24" spans="1:62" x14ac:dyDescent="0.25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59.848089999999999</v>
      </c>
      <c r="G24">
        <v>4303667500</v>
      </c>
      <c r="H24" t="s">
        <v>1436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1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60</v>
      </c>
    </row>
    <row r="25" spans="1:62" x14ac:dyDescent="0.25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>
        <v>1296837.995359072</v>
      </c>
      <c r="BH25">
        <v>1296838</v>
      </c>
      <c r="BI25">
        <v>1</v>
      </c>
      <c r="BJ25" t="s">
        <v>60</v>
      </c>
    </row>
    <row r="26" spans="1:62" x14ac:dyDescent="0.25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>
        <v>3157518.5973960012</v>
      </c>
      <c r="BH26">
        <v>3157519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2025-12-10T12:22:25Z</dcterms:created>
  <dcterms:modified xsi:type="dcterms:W3CDTF">2025-12-10T12:25:11Z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2025-12-10T12:23:00Z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8ce6f939-d908-440c-8632-1fd7222fc295</vt:lpwstr>
  </property>
  <property fmtid="{D5CDD505-2E9C-101B-9397-08002B2CF9AE}" pid="8" name="MSIP_Label_ac0b9ce6-6e99-42a1-af95-429494370cbc_ContentBits">
    <vt:lpwstr>2</vt:lpwstr>
  </property>
</Properties>
</file>