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3" documentId="11_8403D38730B476FC72A66D5C171F74D07360787F" xr6:coauthVersionLast="47" xr6:coauthVersionMax="47" xr10:uidLastSave="{207E066C-7C0F-4DCA-A68B-23A099658CEC}"/>
  <bookViews>
    <workbookView xWindow="-29115" yWindow="-16005" windowWidth="29040" windowHeight="15720" firstSheet="3" activeTab="9" xr2:uid="{00000000-000D-0000-FFFF-FFFF00000000}"/>
  </bookViews>
  <sheets>
    <sheet name="Index Composition" sheetId="1" r:id="rId1"/>
    <sheet name="Inclusion" sheetId="2" r:id="rId2"/>
    <sheet name="Exclusion" sheetId="3" r:id="rId3"/>
    <sheet name="Top 40 Selection" sheetId="4" r:id="rId4"/>
    <sheet name="Sheet1" sheetId="11" r:id="rId5"/>
    <sheet name="ESG Ranked Eligible 60" sheetId="5" r:id="rId6"/>
    <sheet name="FFMC Eligible 60" sheetId="6" r:id="rId7"/>
    <sheet name="Excluded Companies" sheetId="7" r:id="rId8"/>
    <sheet name="Post Exclusion Universe" sheetId="8" r:id="rId9"/>
    <sheet name="Full Universe" sheetId="9" r:id="rId10"/>
    <sheet name="Index Market Cap" sheetId="10" r:id="rId11"/>
  </sheets>
  <externalReferences>
    <externalReference r:id="rId12"/>
    <externalReference r:id="rId13"/>
  </externalReferences>
  <definedNames>
    <definedName name="_xlnm._FilterDatabase" localSheetId="9" hidden="1">'Full Universe'!$A$1:$BE$301</definedName>
    <definedName name="_xlnm._FilterDatabase" localSheetId="8" hidden="1">'Post Exclusion Universe'!$A$1:$BB$273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1" i="11" l="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2" i="11"/>
  <c r="BD72" i="8"/>
  <c r="BD71" i="8"/>
  <c r="BD70" i="8"/>
  <c r="BD69" i="8"/>
  <c r="BD68" i="8"/>
  <c r="BD67" i="8"/>
  <c r="BD66" i="8"/>
  <c r="BD65" i="8"/>
  <c r="BD64" i="8"/>
  <c r="BD63" i="8"/>
  <c r="BD62" i="8"/>
  <c r="BD61" i="8"/>
  <c r="BD60" i="8"/>
  <c r="BD59" i="8"/>
  <c r="BD58" i="8"/>
  <c r="BD57" i="8"/>
  <c r="BD56" i="8"/>
  <c r="BD55" i="8"/>
  <c r="BD54" i="8"/>
  <c r="BD53" i="8"/>
  <c r="BD52" i="8"/>
  <c r="BD51" i="8"/>
  <c r="BD50" i="8"/>
  <c r="BD49" i="8"/>
  <c r="BD48" i="8"/>
  <c r="BD47" i="8"/>
  <c r="BD46" i="8"/>
  <c r="BD45" i="8"/>
  <c r="BD44" i="8"/>
  <c r="BD43" i="8"/>
  <c r="BD42" i="8"/>
  <c r="BD41" i="8"/>
  <c r="BD40" i="8"/>
  <c r="BD39" i="8"/>
  <c r="BD38" i="8"/>
  <c r="BD37" i="8"/>
  <c r="BD36" i="8"/>
  <c r="BD35" i="8"/>
  <c r="BD34" i="8"/>
  <c r="BD33" i="8"/>
  <c r="BD32" i="8"/>
  <c r="BD31" i="8"/>
  <c r="BD30" i="8"/>
  <c r="BD29" i="8"/>
  <c r="BD28" i="8"/>
  <c r="BD27" i="8"/>
  <c r="BD26" i="8"/>
  <c r="BD25" i="8"/>
  <c r="BD24" i="8"/>
  <c r="BD23" i="8"/>
  <c r="BD22" i="8"/>
  <c r="BD21" i="8"/>
  <c r="BD20" i="8"/>
  <c r="BD19" i="8"/>
  <c r="BD18" i="8"/>
  <c r="BD17" i="8"/>
  <c r="BD16" i="8"/>
  <c r="BD15" i="8"/>
  <c r="BD14" i="8"/>
  <c r="BD13" i="8"/>
  <c r="BD12" i="8"/>
  <c r="BD11" i="8"/>
  <c r="BD10" i="8"/>
  <c r="BD9" i="8"/>
  <c r="BD8" i="8"/>
  <c r="BD7" i="8"/>
  <c r="BD6" i="8"/>
  <c r="BD5" i="8"/>
  <c r="BD4" i="8"/>
  <c r="BD3" i="8"/>
  <c r="BD2" i="8"/>
  <c r="BF72" i="8"/>
  <c r="BF71" i="8"/>
  <c r="BF70" i="8"/>
  <c r="BF69" i="8"/>
  <c r="BF68" i="8"/>
  <c r="BF67" i="8"/>
  <c r="BF66" i="8"/>
  <c r="BF65" i="8"/>
  <c r="BF64" i="8"/>
  <c r="BF63" i="8"/>
  <c r="BF62" i="8"/>
  <c r="BF61" i="8"/>
  <c r="BF60" i="8"/>
  <c r="BF59" i="8"/>
  <c r="BF58" i="8"/>
  <c r="BF57" i="8"/>
  <c r="BF56" i="8"/>
  <c r="BF55" i="8"/>
  <c r="BF54" i="8"/>
  <c r="BF53" i="8"/>
  <c r="BF52" i="8"/>
  <c r="BF51" i="8"/>
  <c r="BF50" i="8"/>
  <c r="BF49" i="8"/>
  <c r="BF48" i="8"/>
  <c r="BF47" i="8"/>
  <c r="BF46" i="8"/>
  <c r="BF45" i="8"/>
  <c r="BF44" i="8"/>
  <c r="BF43" i="8"/>
  <c r="BF42" i="8"/>
  <c r="BF41" i="8"/>
  <c r="BF40" i="8"/>
  <c r="BF39" i="8"/>
  <c r="BF38" i="8"/>
  <c r="BF37" i="8"/>
  <c r="BF36" i="8"/>
  <c r="BF35" i="8"/>
  <c r="BF34" i="8"/>
  <c r="BF33" i="8"/>
  <c r="BF32" i="8"/>
  <c r="BF31" i="8"/>
  <c r="BF30" i="8"/>
  <c r="BF29" i="8"/>
  <c r="BF28" i="8"/>
  <c r="BF27" i="8"/>
  <c r="BF26" i="8"/>
  <c r="BF25" i="8"/>
  <c r="BF24" i="8"/>
  <c r="BF23" i="8"/>
  <c r="BF22" i="8"/>
  <c r="BF21" i="8"/>
  <c r="BF20" i="8"/>
  <c r="BF19" i="8"/>
  <c r="BF18" i="8"/>
  <c r="BF17" i="8"/>
  <c r="BF16" i="8"/>
  <c r="BF15" i="8"/>
  <c r="BF14" i="8"/>
  <c r="BF13" i="8"/>
  <c r="BF12" i="8"/>
  <c r="BF11" i="8"/>
  <c r="BF10" i="8"/>
  <c r="BF9" i="8"/>
  <c r="BF8" i="8"/>
  <c r="BF7" i="8"/>
  <c r="BF6" i="8"/>
  <c r="BF5" i="8"/>
  <c r="BF4" i="8"/>
  <c r="BF3" i="8"/>
  <c r="BF2" i="8"/>
  <c r="AB299" i="9"/>
  <c r="AB298" i="9"/>
  <c r="AB297" i="9"/>
  <c r="AB296" i="9"/>
  <c r="AB295" i="9"/>
  <c r="AB294" i="9"/>
  <c r="AB293" i="9"/>
  <c r="AB292" i="9"/>
  <c r="AB291" i="9"/>
  <c r="AB290" i="9"/>
  <c r="AB289" i="9"/>
  <c r="AB288" i="9"/>
  <c r="AB287" i="9"/>
  <c r="AB286" i="9"/>
  <c r="AB285" i="9"/>
  <c r="AB284" i="9"/>
  <c r="AB283" i="9"/>
  <c r="AB282" i="9"/>
  <c r="AB281" i="9"/>
  <c r="AB280" i="9"/>
  <c r="AB279" i="9"/>
  <c r="AB278" i="9"/>
  <c r="AB277" i="9"/>
  <c r="AB276" i="9"/>
  <c r="AB275" i="9"/>
  <c r="AB274" i="9"/>
  <c r="AB273" i="9"/>
  <c r="AB272" i="9"/>
  <c r="AB271" i="9"/>
  <c r="AB270" i="9"/>
  <c r="AB269" i="9"/>
  <c r="AB268" i="9"/>
  <c r="AB267" i="9"/>
  <c r="AB266" i="9"/>
  <c r="AB265" i="9"/>
  <c r="AB264" i="9"/>
  <c r="AB263" i="9"/>
  <c r="AB262" i="9"/>
  <c r="AB261" i="9"/>
  <c r="AB260" i="9"/>
  <c r="AB259" i="9"/>
  <c r="AB258" i="9"/>
  <c r="AB257" i="9"/>
  <c r="AB256" i="9"/>
  <c r="AB255" i="9"/>
  <c r="AB254" i="9"/>
  <c r="AB253" i="9"/>
  <c r="AB252" i="9"/>
  <c r="AB251" i="9"/>
  <c r="AB250" i="9"/>
  <c r="AB249" i="9"/>
  <c r="AB248" i="9"/>
  <c r="AB247" i="9"/>
  <c r="AB246" i="9"/>
  <c r="AB245" i="9"/>
  <c r="AB244" i="9"/>
  <c r="AB243" i="9"/>
  <c r="AB242" i="9"/>
  <c r="AB241" i="9"/>
  <c r="AB240" i="9"/>
  <c r="AB239" i="9"/>
  <c r="AB238" i="9"/>
  <c r="AB237" i="9"/>
  <c r="AB236" i="9"/>
  <c r="AB235" i="9"/>
  <c r="AB234" i="9"/>
  <c r="AB233" i="9"/>
  <c r="AB232" i="9"/>
  <c r="AB231" i="9"/>
  <c r="AB230" i="9"/>
  <c r="AB229" i="9"/>
  <c r="AB228" i="9"/>
  <c r="AB227" i="9"/>
  <c r="AB226" i="9"/>
  <c r="AB225" i="9"/>
  <c r="AB224" i="9"/>
  <c r="AB223" i="9"/>
  <c r="AB222" i="9"/>
  <c r="AB221" i="9"/>
  <c r="AB220" i="9"/>
  <c r="AB219" i="9"/>
  <c r="AB218" i="9"/>
  <c r="AB217" i="9"/>
  <c r="AB216" i="9"/>
  <c r="AB215" i="9"/>
  <c r="AB214" i="9"/>
  <c r="AB213" i="9"/>
  <c r="AB212" i="9"/>
  <c r="AB211" i="9"/>
  <c r="AB210" i="9"/>
  <c r="AB209" i="9"/>
  <c r="AB208" i="9"/>
  <c r="AB207" i="9"/>
  <c r="AB206" i="9"/>
  <c r="AB205" i="9"/>
  <c r="AB204" i="9"/>
  <c r="AB203" i="9"/>
  <c r="AB202" i="9"/>
  <c r="AB201" i="9"/>
  <c r="AB200" i="9"/>
  <c r="AB199" i="9"/>
  <c r="AB198" i="9"/>
  <c r="AB197" i="9"/>
  <c r="AB196" i="9"/>
  <c r="AB195" i="9"/>
  <c r="AB194" i="9"/>
  <c r="AB193" i="9"/>
  <c r="AB192" i="9"/>
  <c r="AB191" i="9"/>
  <c r="AB190" i="9"/>
  <c r="AB189" i="9"/>
  <c r="AB188" i="9"/>
  <c r="AB187" i="9"/>
  <c r="AB186" i="9"/>
  <c r="AB185" i="9"/>
  <c r="AB184" i="9"/>
  <c r="AB183" i="9"/>
  <c r="AB182" i="9"/>
  <c r="AB181" i="9"/>
  <c r="AB180" i="9"/>
  <c r="AB179" i="9"/>
  <c r="AB178" i="9"/>
  <c r="AB177" i="9"/>
  <c r="AB176" i="9"/>
  <c r="AB175" i="9"/>
  <c r="AB174" i="9"/>
  <c r="AB173" i="9"/>
  <c r="AB172" i="9"/>
  <c r="AB171" i="9"/>
  <c r="AB170" i="9"/>
  <c r="AB169" i="9"/>
  <c r="AB168" i="9"/>
  <c r="AB167" i="9"/>
  <c r="AB166" i="9"/>
  <c r="AB165" i="9"/>
  <c r="AB164" i="9"/>
  <c r="AB163" i="9"/>
  <c r="AB162" i="9"/>
  <c r="AB161" i="9"/>
  <c r="AB160" i="9"/>
  <c r="AB159" i="9"/>
  <c r="AB158" i="9"/>
  <c r="AB157" i="9"/>
  <c r="AB156" i="9"/>
  <c r="AB155" i="9"/>
  <c r="AB154" i="9"/>
  <c r="AB153" i="9"/>
  <c r="AB152" i="9"/>
  <c r="AB151" i="9"/>
  <c r="AB150" i="9"/>
  <c r="AB149" i="9"/>
  <c r="AB148" i="9"/>
  <c r="AB147" i="9"/>
  <c r="AB146" i="9"/>
  <c r="AB145" i="9"/>
  <c r="AB144" i="9"/>
  <c r="AB143" i="9"/>
  <c r="AB142" i="9"/>
  <c r="AB141" i="9"/>
  <c r="AB140" i="9"/>
  <c r="AB139" i="9"/>
  <c r="AB138" i="9"/>
  <c r="AB137" i="9"/>
  <c r="AB136" i="9"/>
  <c r="AB135" i="9"/>
  <c r="AB134" i="9"/>
  <c r="AB133" i="9"/>
  <c r="AB132" i="9"/>
  <c r="AB131" i="9"/>
  <c r="AB130" i="9"/>
  <c r="AB129" i="9"/>
  <c r="AB128" i="9"/>
  <c r="AB127" i="9"/>
  <c r="AB126" i="9"/>
  <c r="AB125" i="9"/>
  <c r="AB124" i="9"/>
  <c r="AB123" i="9"/>
  <c r="AB122" i="9"/>
  <c r="AB121" i="9"/>
  <c r="AB120" i="9"/>
  <c r="AB119" i="9"/>
  <c r="AB118" i="9"/>
  <c r="AB117" i="9"/>
  <c r="AB116" i="9"/>
  <c r="AB115" i="9"/>
  <c r="AB114" i="9"/>
  <c r="AB113" i="9"/>
  <c r="AB112" i="9"/>
  <c r="AB111" i="9"/>
  <c r="AB110" i="9"/>
  <c r="AB109" i="9"/>
  <c r="AB108" i="9"/>
  <c r="AB107" i="9"/>
  <c r="AB106" i="9"/>
  <c r="AB105" i="9"/>
  <c r="AB104" i="9"/>
  <c r="AB103" i="9"/>
  <c r="AB102" i="9"/>
  <c r="AB101" i="9"/>
  <c r="AB100" i="9"/>
  <c r="AB99" i="9"/>
  <c r="AB98" i="9"/>
  <c r="AB97" i="9"/>
  <c r="AB96" i="9"/>
  <c r="AB95" i="9"/>
  <c r="AB94" i="9"/>
  <c r="AB93" i="9"/>
  <c r="AB92" i="9"/>
  <c r="AB91" i="9"/>
  <c r="AB90" i="9"/>
  <c r="AB89" i="9"/>
  <c r="AB88" i="9"/>
  <c r="AB87" i="9"/>
  <c r="AB86" i="9"/>
  <c r="AB85" i="9"/>
  <c r="AB84" i="9"/>
  <c r="AB83" i="9"/>
  <c r="AB82" i="9"/>
  <c r="AB81" i="9"/>
  <c r="AB80" i="9"/>
  <c r="AB79" i="9"/>
  <c r="AB78" i="9"/>
  <c r="AB77" i="9"/>
  <c r="AB76" i="9"/>
  <c r="AB75" i="9"/>
  <c r="AB74" i="9"/>
  <c r="AB73" i="9"/>
  <c r="AB72" i="9"/>
  <c r="AB71" i="9"/>
  <c r="AB70" i="9"/>
  <c r="AB69" i="9"/>
  <c r="AB68" i="9"/>
  <c r="AB67" i="9"/>
  <c r="AB66" i="9"/>
  <c r="AB65" i="9"/>
  <c r="AB64" i="9"/>
  <c r="AB63" i="9"/>
  <c r="AB62" i="9"/>
  <c r="AB61" i="9"/>
  <c r="AB60" i="9"/>
  <c r="AB59" i="9"/>
  <c r="AB58" i="9"/>
  <c r="AB57" i="9"/>
  <c r="AB56" i="9"/>
  <c r="AB55" i="9"/>
  <c r="AB54" i="9"/>
  <c r="AB53" i="9"/>
  <c r="AB52" i="9"/>
  <c r="AB51" i="9"/>
  <c r="AB50" i="9"/>
  <c r="AB49" i="9"/>
  <c r="AB48" i="9"/>
  <c r="AB47" i="9"/>
  <c r="AB46" i="9"/>
  <c r="AB45" i="9"/>
  <c r="AB44" i="9"/>
  <c r="AB43" i="9"/>
  <c r="AB42" i="9"/>
  <c r="AB41" i="9"/>
  <c r="AB40" i="9"/>
  <c r="AB39" i="9"/>
  <c r="AB38" i="9"/>
  <c r="AB37" i="9"/>
  <c r="AB36" i="9"/>
  <c r="AB35" i="9"/>
  <c r="AB34" i="9"/>
  <c r="AB33" i="9"/>
  <c r="AB32" i="9"/>
  <c r="AB31" i="9"/>
  <c r="AB30" i="9"/>
  <c r="AB29" i="9"/>
  <c r="AB28" i="9"/>
  <c r="AB27" i="9"/>
  <c r="AB26" i="9"/>
  <c r="AB25" i="9"/>
  <c r="AB24" i="9"/>
  <c r="AB23" i="9"/>
  <c r="AB22" i="9"/>
  <c r="AB21" i="9"/>
  <c r="AB20" i="9"/>
  <c r="AB19" i="9"/>
  <c r="AB18" i="9"/>
  <c r="AB17" i="9"/>
  <c r="AB16" i="9"/>
  <c r="AB15" i="9"/>
  <c r="AB14" i="9"/>
  <c r="AB13" i="9"/>
  <c r="AB12" i="9"/>
  <c r="AB11" i="9"/>
  <c r="AB10" i="9"/>
  <c r="AB9" i="9"/>
  <c r="AB8" i="9"/>
  <c r="AB7" i="9"/>
  <c r="AB6" i="9"/>
  <c r="AB5" i="9"/>
  <c r="AB4" i="9"/>
  <c r="AB3" i="9"/>
  <c r="AB2" i="9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<sst xmlns="http://schemas.openxmlformats.org/spreadsheetml/2006/main" count="6481" uniqueCount="1278">
  <si>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</si>
  <si>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</si>
  <si>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</si>
  <si>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</si>
  <si>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</si>
  <si>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</si>
  <si>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</si>
  <si>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</si>
  <si>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</si>
  <si>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</si>
  <si>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</si>
  <si>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</si>
  <si>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</si>
  <si>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</si>
  <si>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</si>
  <si>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BBVA</t>
  </si>
  <si>
    <t>BNP PARIBAS ACT.A</t>
  </si>
  <si>
    <t>CAIXABANK</t>
  </si>
  <si>
    <t>DANONE</t>
  </si>
  <si>
    <t>DEUTSCHE BANK</t>
  </si>
  <si>
    <t>DEUTSCHE BOERSE AG</t>
  </si>
  <si>
    <t>DEUTSCHE TELEKOM AG</t>
  </si>
  <si>
    <t>ERSTE GROUP BANK</t>
  </si>
  <si>
    <t>ESSILORLUXOTTICA</t>
  </si>
  <si>
    <t>GENERALI</t>
  </si>
  <si>
    <t>HERMES INTL</t>
  </si>
  <si>
    <t>INDITEX</t>
  </si>
  <si>
    <t>INFINEON TECHNOLOGIE</t>
  </si>
  <si>
    <t>ING GROEP N.V.</t>
  </si>
  <si>
    <t>INTESA SANPAOLO</t>
  </si>
  <si>
    <t>KBC</t>
  </si>
  <si>
    <t>LEGRAND</t>
  </si>
  <si>
    <t>LVMH</t>
  </si>
  <si>
    <t>MERCEDES-BENZ GROUP</t>
  </si>
  <si>
    <t>MUNICH RE</t>
  </si>
  <si>
    <t>NOKIA</t>
  </si>
  <si>
    <t>NORDEA BANK ABP</t>
  </si>
  <si>
    <t>PROSUS</t>
  </si>
  <si>
    <t>RELX</t>
  </si>
  <si>
    <t>SAMPO OYJ</t>
  </si>
  <si>
    <t>SANOFI</t>
  </si>
  <si>
    <t>SAP</t>
  </si>
  <si>
    <t>SCHNEIDER ELECTRIC</t>
  </si>
  <si>
    <t>SOCIETE GENERALE</t>
  </si>
  <si>
    <t>UCB</t>
  </si>
  <si>
    <t>UMG</t>
  </si>
  <si>
    <t>UNICREDIT</t>
  </si>
  <si>
    <t>UNILEVER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</si>
  <si>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</si>
  <si>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</si>
  <si>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</si>
  <si>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</si>
  <si>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</si>
  <si>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</si>
  <si>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</si>
  <si>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ES0113211835</t>
  </si>
  <si>
    <t>FR0000131104</t>
  </si>
  <si>
    <t>ES0140609019</t>
  </si>
  <si>
    <t>FR0000120644</t>
  </si>
  <si>
    <t>DE0005140008</t>
  </si>
  <si>
    <t>DE0005810055</t>
  </si>
  <si>
    <t>DE0005557508</t>
  </si>
  <si>
    <t>AT0000652011</t>
  </si>
  <si>
    <t>FR0000121667</t>
  </si>
  <si>
    <t>IT0000062072</t>
  </si>
  <si>
    <t>FR0000052292</t>
  </si>
  <si>
    <t>ES0148396007</t>
  </si>
  <si>
    <t>DE0006231004</t>
  </si>
  <si>
    <t>NL0011821202</t>
  </si>
  <si>
    <t>IT0000072618</t>
  </si>
  <si>
    <t>BE0003565737</t>
  </si>
  <si>
    <t>FR0010307819</t>
  </si>
  <si>
    <t>FR0000121014</t>
  </si>
  <si>
    <t>DE0007100000</t>
  </si>
  <si>
    <t>DE0008430026</t>
  </si>
  <si>
    <t>FI0009000681</t>
  </si>
  <si>
    <t>FI4000297767</t>
  </si>
  <si>
    <t>NL0013654783</t>
  </si>
  <si>
    <t>GB00B2B0DG97</t>
  </si>
  <si>
    <t>FI4000552500</t>
  </si>
  <si>
    <t>FR0000120578</t>
  </si>
  <si>
    <t>DE0007164600</t>
  </si>
  <si>
    <t>FR0000121972</t>
  </si>
  <si>
    <t>FR0000130809</t>
  </si>
  <si>
    <t>BE0003739530</t>
  </si>
  <si>
    <t>NL0015000IY2</t>
  </si>
  <si>
    <t>IT0005239360</t>
  </si>
  <si>
    <t>GB00BVZK7T90</t>
  </si>
  <si>
    <t>XETR</t>
  </si>
  <si>
    <t>XPAR</t>
  </si>
  <si>
    <t>XMAD</t>
  </si>
  <si>
    <t>XAMS</t>
  </si>
  <si>
    <t>WBAH</t>
  </si>
  <si>
    <t>MTAA</t>
  </si>
  <si>
    <t>XBRU</t>
  </si>
  <si>
    <t>XHEL</t>
  </si>
  <si>
    <t>22-Dec-25</t>
  </si>
  <si>
    <t>EUR</t>
  </si>
  <si>
    <t>ISIN code</t>
  </si>
  <si>
    <t>COMMERZBANK AG</t>
  </si>
  <si>
    <t>DEUTSCHE POST</t>
  </si>
  <si>
    <t>FERROVIAL</t>
  </si>
  <si>
    <t>L'OREAL</t>
  </si>
  <si>
    <t>MICHELIN</t>
  </si>
  <si>
    <t>WOLTERS KLUWER</t>
  </si>
  <si>
    <t>DE000CBK1001</t>
  </si>
  <si>
    <t>DE0005552004</t>
  </si>
  <si>
    <t>NL0015001FS8</t>
  </si>
  <si>
    <t>FR0000120321</t>
  </si>
  <si>
    <t>FR001400AJ45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</si>
  <si>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</si>
  <si>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</si>
  <si>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</si>
  <si>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</si>
  <si>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</si>
  <si>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</si>
  <si>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</si>
  <si>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</si>
  <si>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</si>
  <si>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</si>
  <si>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</si>
  <si>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</si>
  <si>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</si>
  <si>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</si>
  <si>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</si>
  <si>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</si>
  <si>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</si>
  <si>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</si>
  <si>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</si>
  <si>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</si>
  <si>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FFMC_CO</t>
  </si>
  <si>
    <t>171613102999 - Controversial Weapons Non tailor-made or non essential-Category of Involvement Id</t>
  </si>
  <si>
    <t>171611102999 - Controversial Weapons Tailor-made and essential-Category of Involvement Id</t>
  </si>
  <si>
    <t>181110112399 - ESG Risk Score</t>
  </si>
  <si>
    <t>121010112599 - Highest Controversy Level-Answer Category</t>
  </si>
  <si>
    <t>172113112999 - Military Contracting Weapon-related products and/or services-Level of Involvement Id</t>
  </si>
  <si>
    <t>172111112999 - Military Contracting Weapons-Level of Involvement Id</t>
  </si>
  <si>
    <t>173011102999 - Oil Sands Extraction-Category of Involvement Id</t>
  </si>
  <si>
    <t>173211102999 - Shale Energy Extraction-Category of Involvement Id</t>
  </si>
  <si>
    <t>171711112999 - Small Arms Civilian customers (Assault weapons)-Level of Involvement Id</t>
  </si>
  <si>
    <t>171721112999 - Small Arms Civilian customers (Non-assault weapons)-Level of Involvement Id</t>
  </si>
  <si>
    <t>171025111199 - Thermal Coal Extraction-Revenue Percentage</t>
  </si>
  <si>
    <t>172813112999 - Thermal Coal Power Generation-Level of Involvement Id</t>
  </si>
  <si>
    <t>172911112999 - Tobacco Products Production-Level of Involvement Id</t>
  </si>
  <si>
    <t>172915112999 - Tobacco Products Retail-Level of Involvement Id</t>
  </si>
  <si>
    <t>excl_controversy</t>
  </si>
  <si>
    <t>excl_tobacco_production</t>
  </si>
  <si>
    <t>excl_tobacco_retail</t>
  </si>
  <si>
    <t>excl_military_weapons</t>
  </si>
  <si>
    <t>excl_military_related</t>
  </si>
  <si>
    <t>excl_controv_weapons_essential</t>
  </si>
  <si>
    <t>excl_controv_weapons_non_essential</t>
  </si>
  <si>
    <t>excl_small_arms_assault</t>
  </si>
  <si>
    <t>excl_small_arms_non_assault</t>
  </si>
  <si>
    <t>excl_oil_sands</t>
  </si>
  <si>
    <t>excl_shale_energy</t>
  </si>
  <si>
    <t>excl_thermal_coal_extraction</t>
  </si>
  <si>
    <t>excl_thermal_coal_power</t>
  </si>
  <si>
    <t>excluded</t>
  </si>
  <si>
    <t>FFMC_Rank</t>
  </si>
  <si>
    <t>ESG_Risk_Score</t>
  </si>
  <si>
    <t>ESG_Risk_Rank</t>
  </si>
  <si>
    <t>Unrounded NOSH</t>
  </si>
  <si>
    <t>Rounded NOSH</t>
  </si>
  <si>
    <t>SU-FR</t>
  </si>
  <si>
    <t>ISP-IT</t>
  </si>
  <si>
    <t>REN-NL</t>
  </si>
  <si>
    <t>ASML-NL</t>
  </si>
  <si>
    <t>DBK-DE</t>
  </si>
  <si>
    <t>CABK-ES</t>
  </si>
  <si>
    <t>BBVA-ES</t>
  </si>
  <si>
    <t>NOKIA-FI</t>
  </si>
  <si>
    <t>UMG-NL</t>
  </si>
  <si>
    <t>SAN-ES</t>
  </si>
  <si>
    <t>KBC-BE</t>
  </si>
  <si>
    <t>UCG-IT</t>
  </si>
  <si>
    <t>ITX-ES</t>
  </si>
  <si>
    <t>SAP-DE</t>
  </si>
  <si>
    <t>MUV2-DE</t>
  </si>
  <si>
    <t>ADS-DE</t>
  </si>
  <si>
    <t>BNP-FR</t>
  </si>
  <si>
    <t>RMS-FR</t>
  </si>
  <si>
    <t>BN-FR</t>
  </si>
  <si>
    <t>EL-FR</t>
  </si>
  <si>
    <t>DB1-DE</t>
  </si>
  <si>
    <t>NDA.FI-FI</t>
  </si>
  <si>
    <t>ALV-DE</t>
  </si>
  <si>
    <t>SAN-FR</t>
  </si>
  <si>
    <t>GLE-FR</t>
  </si>
  <si>
    <t>AI-FR</t>
  </si>
  <si>
    <t>MC-FR</t>
  </si>
  <si>
    <t>LR-FR</t>
  </si>
  <si>
    <t>SAMPO-FI</t>
  </si>
  <si>
    <t>UCB-BE</t>
  </si>
  <si>
    <t>CS-FR</t>
  </si>
  <si>
    <t>EBS-AT</t>
  </si>
  <si>
    <t>G-IT</t>
  </si>
  <si>
    <t>PRX-NL</t>
  </si>
  <si>
    <t>AMS-ES</t>
  </si>
  <si>
    <t>MBG-DE</t>
  </si>
  <si>
    <t>INGA-NL</t>
  </si>
  <si>
    <t>UNA-NL</t>
  </si>
  <si>
    <t>DTE-DE</t>
  </si>
  <si>
    <t>IFX-DE</t>
  </si>
  <si>
    <t>SCHN.PA</t>
  </si>
  <si>
    <t>ISP.MI</t>
  </si>
  <si>
    <t>REL.AS</t>
  </si>
  <si>
    <t>ASML.AS</t>
  </si>
  <si>
    <t>DBKGn.DE</t>
  </si>
  <si>
    <t>CABK.MC</t>
  </si>
  <si>
    <t>BBVA.MC</t>
  </si>
  <si>
    <t>NOKIA.HE</t>
  </si>
  <si>
    <t>UMG.AS</t>
  </si>
  <si>
    <t>SAN.MC</t>
  </si>
  <si>
    <t>KBC.BR</t>
  </si>
  <si>
    <t>CRDI.MI</t>
  </si>
  <si>
    <t>ITX.MC</t>
  </si>
  <si>
    <t>SAPG.DE</t>
  </si>
  <si>
    <t>MUVGn.DE</t>
  </si>
  <si>
    <t>ADSGn.DE</t>
  </si>
  <si>
    <t>BNPP.PA</t>
  </si>
  <si>
    <t>HRMS.PA</t>
  </si>
  <si>
    <t>DANO.PA</t>
  </si>
  <si>
    <t>ESLX.PA</t>
  </si>
  <si>
    <t>DB1Gn.DE</t>
  </si>
  <si>
    <t>NDAFI.HE</t>
  </si>
  <si>
    <t>ALVG.DE</t>
  </si>
  <si>
    <t>SASY.PA</t>
  </si>
  <si>
    <t>SOGN.PA</t>
  </si>
  <si>
    <t>AIRP.PA</t>
  </si>
  <si>
    <t>LVMH.PA</t>
  </si>
  <si>
    <t>LEGD.PA</t>
  </si>
  <si>
    <t>SAMPO.HE</t>
  </si>
  <si>
    <t>UCB.BR</t>
  </si>
  <si>
    <t>AXAF.PA</t>
  </si>
  <si>
    <t>ERST.VI</t>
  </si>
  <si>
    <t>GASI.MI</t>
  </si>
  <si>
    <t>PRX.AS</t>
  </si>
  <si>
    <t>AMA.MC</t>
  </si>
  <si>
    <t>MBGn.DE</t>
  </si>
  <si>
    <t>INGA.AS</t>
  </si>
  <si>
    <t>ULVR.AS</t>
  </si>
  <si>
    <t>DTEGn.DE</t>
  </si>
  <si>
    <t>IFXGn.DE</t>
  </si>
  <si>
    <t>OR-FR</t>
  </si>
  <si>
    <t>PRY-IT</t>
  </si>
  <si>
    <t>DHL-DE</t>
  </si>
  <si>
    <t>ORA-FR</t>
  </si>
  <si>
    <t>AD-NL</t>
  </si>
  <si>
    <t>FER-ES</t>
  </si>
  <si>
    <t>SGO-FR</t>
  </si>
  <si>
    <t>RYA-IE</t>
  </si>
  <si>
    <t>BMW-DE</t>
  </si>
  <si>
    <t>ADYEN-NL</t>
  </si>
  <si>
    <t>IBE-ES</t>
  </si>
  <si>
    <t>RACE-IT</t>
  </si>
  <si>
    <t>ABI-BE</t>
  </si>
  <si>
    <t>SIE-DE</t>
  </si>
  <si>
    <t>HEI-DE</t>
  </si>
  <si>
    <t>DG-FR</t>
  </si>
  <si>
    <t>TTE-FR</t>
  </si>
  <si>
    <t>ARGX-BE</t>
  </si>
  <si>
    <t>ENI-IT</t>
  </si>
  <si>
    <t>BAS-DE</t>
  </si>
  <si>
    <t>PRYSMIAN</t>
  </si>
  <si>
    <t>ORANGE</t>
  </si>
  <si>
    <t>AHOLD DEL</t>
  </si>
  <si>
    <t>SAINT GOBAIN</t>
  </si>
  <si>
    <t>RYANAIR HOLD. PLC</t>
  </si>
  <si>
    <t>BMW</t>
  </si>
  <si>
    <t>ADYEN</t>
  </si>
  <si>
    <t>IBERDROLA</t>
  </si>
  <si>
    <t>FERRARI</t>
  </si>
  <si>
    <t>AB INBEV</t>
  </si>
  <si>
    <t>SIEMENS AG</t>
  </si>
  <si>
    <t>HEIDELBERG MAT</t>
  </si>
  <si>
    <t>VINCI</t>
  </si>
  <si>
    <t>TOTALENERGIES</t>
  </si>
  <si>
    <t>ARGENX SE</t>
  </si>
  <si>
    <t>ENI</t>
  </si>
  <si>
    <t>BASF</t>
  </si>
  <si>
    <t>IT0004176001</t>
  </si>
  <si>
    <t>FR0000133308</t>
  </si>
  <si>
    <t>NL0011794037</t>
  </si>
  <si>
    <t>FR0000125007</t>
  </si>
  <si>
    <t>IE00BYTBXV33</t>
  </si>
  <si>
    <t>DE0005190003</t>
  </si>
  <si>
    <t>NL0012969182</t>
  </si>
  <si>
    <t>ES0144580Y14</t>
  </si>
  <si>
    <t>NL0011585146</t>
  </si>
  <si>
    <t>BE0974293251</t>
  </si>
  <si>
    <t>DE0007236101</t>
  </si>
  <si>
    <t>DE0006047004</t>
  </si>
  <si>
    <t>FR0000125486</t>
  </si>
  <si>
    <t>FR0000120271</t>
  </si>
  <si>
    <t>NL0010832176</t>
  </si>
  <si>
    <t>IT0003132476</t>
  </si>
  <si>
    <t>DE000BASF111</t>
  </si>
  <si>
    <t>XMSM</t>
  </si>
  <si>
    <t>OREP.PA</t>
  </si>
  <si>
    <t>PRY.MI</t>
  </si>
  <si>
    <t>DHLn.DE</t>
  </si>
  <si>
    <t>ORAN.PA</t>
  </si>
  <si>
    <t>AD.AS</t>
  </si>
  <si>
    <t>FER.MC</t>
  </si>
  <si>
    <t>SGOB.PA</t>
  </si>
  <si>
    <t>RYA.I</t>
  </si>
  <si>
    <t>BMWG.DE</t>
  </si>
  <si>
    <t>ADYEN.AS</t>
  </si>
  <si>
    <t>IBE.MC</t>
  </si>
  <si>
    <t>RACE.MI</t>
  </si>
  <si>
    <t>ABI.BR</t>
  </si>
  <si>
    <t>SIEGn.DE</t>
  </si>
  <si>
    <t>HEIG.DE</t>
  </si>
  <si>
    <t>SGEF.PA</t>
  </si>
  <si>
    <t>TTEF.PA</t>
  </si>
  <si>
    <t>ARGX.BR</t>
  </si>
  <si>
    <t>ENI.MI</t>
  </si>
  <si>
    <t>BASFn.DE</t>
  </si>
  <si>
    <t>SE1</t>
  </si>
  <si>
    <t>A2A-IT</t>
  </si>
  <si>
    <t>AIR-FR</t>
  </si>
  <si>
    <t>BAYN-DE</t>
  </si>
  <si>
    <t>AM-FR</t>
  </si>
  <si>
    <t>EOAN-DE</t>
  </si>
  <si>
    <t>EDP-PT</t>
  </si>
  <si>
    <t>ELE-ES</t>
  </si>
  <si>
    <t>ENEL-IT</t>
  </si>
  <si>
    <t>ENGI-FR</t>
  </si>
  <si>
    <t>FORTUM-FI</t>
  </si>
  <si>
    <t>HAG-DE</t>
  </si>
  <si>
    <t>IDR-ES</t>
  </si>
  <si>
    <t>IVG-IT</t>
  </si>
  <si>
    <t>LDO-IT</t>
  </si>
  <si>
    <t>MTX-DE</t>
  </si>
  <si>
    <t>PHIA-NL</t>
  </si>
  <si>
    <t>R3NK-DE</t>
  </si>
  <si>
    <t>RHM-DE</t>
  </si>
  <si>
    <t>RWE-DE</t>
  </si>
  <si>
    <t>SAF-FR</t>
  </si>
  <si>
    <t>SHELL-NL</t>
  </si>
  <si>
    <t>ENR-DE</t>
  </si>
  <si>
    <t>HO-FR</t>
  </si>
  <si>
    <t>TKA-DE</t>
  </si>
  <si>
    <t>UPM-FI</t>
  </si>
  <si>
    <t>VIE-FR</t>
  </si>
  <si>
    <t>VOW3-DE</t>
  </si>
  <si>
    <t>WRT1V-FI</t>
  </si>
  <si>
    <t>A2A</t>
  </si>
  <si>
    <t>AIRBUS</t>
  </si>
  <si>
    <t>BAYER AG</t>
  </si>
  <si>
    <t>DASSAULT AVIATION</t>
  </si>
  <si>
    <t>E.ON SE</t>
  </si>
  <si>
    <t>EDP</t>
  </si>
  <si>
    <t>ENDESA</t>
  </si>
  <si>
    <t>ENEL</t>
  </si>
  <si>
    <t>ENGIE</t>
  </si>
  <si>
    <t>FORTUM OYJ</t>
  </si>
  <si>
    <t>HENSOLDT AG</t>
  </si>
  <si>
    <t>INDRA SISTEMAS SA</t>
  </si>
  <si>
    <t>IVECO GROUP</t>
  </si>
  <si>
    <t>LEONARDO</t>
  </si>
  <si>
    <t>MTU AERO ENGINES AG</t>
  </si>
  <si>
    <t>PHILIPS KON</t>
  </si>
  <si>
    <t>RENK GROUP</t>
  </si>
  <si>
    <t>RHEINMETALL</t>
  </si>
  <si>
    <t>RWE AG</t>
  </si>
  <si>
    <t>SAFRAN</t>
  </si>
  <si>
    <t>SHELL PLC</t>
  </si>
  <si>
    <t>SIEMENS ENERGY AG</t>
  </si>
  <si>
    <t>THALES</t>
  </si>
  <si>
    <t>THYSSENKRUPP AG</t>
  </si>
  <si>
    <t>UPM-KYMMENE OYJ</t>
  </si>
  <si>
    <t>VEOLIA ENVIRON.</t>
  </si>
  <si>
    <t>VOLKSWAGEN PREF</t>
  </si>
  <si>
    <t>WARTSILA OYJ ABP</t>
  </si>
  <si>
    <t>IT0001233417</t>
  </si>
  <si>
    <t>NL0000235190</t>
  </si>
  <si>
    <t>DE000BAY0017</t>
  </si>
  <si>
    <t>FR0014004L86</t>
  </si>
  <si>
    <t>DE000ENAG999</t>
  </si>
  <si>
    <t>PTEDP0AM0009</t>
  </si>
  <si>
    <t>ES0130670112</t>
  </si>
  <si>
    <t>IT0003128367</t>
  </si>
  <si>
    <t>FR0010208488</t>
  </si>
  <si>
    <t>FI0009007132</t>
  </si>
  <si>
    <t>DE000HAG0005</t>
  </si>
  <si>
    <t>ES0118594417</t>
  </si>
  <si>
    <t>NL0015000LU4</t>
  </si>
  <si>
    <t>IT0003856405</t>
  </si>
  <si>
    <t>DE000A0D9PT0</t>
  </si>
  <si>
    <t>NL0000009538</t>
  </si>
  <si>
    <t>DE000RENK730</t>
  </si>
  <si>
    <t>DE0007030009</t>
  </si>
  <si>
    <t>DE0007037129</t>
  </si>
  <si>
    <t>FR0000073272</t>
  </si>
  <si>
    <t>GB00BP6MXD84</t>
  </si>
  <si>
    <t>DE000ENER6Y0</t>
  </si>
  <si>
    <t>FR0000121329</t>
  </si>
  <si>
    <t>DE0007500001</t>
  </si>
  <si>
    <t>FI0009005987</t>
  </si>
  <si>
    <t>FR0000124141</t>
  </si>
  <si>
    <t>DE0007664039</t>
  </si>
  <si>
    <t>FI0009003727</t>
  </si>
  <si>
    <t>XLIS</t>
  </si>
  <si>
    <t>A2.MI</t>
  </si>
  <si>
    <t>AIR.PA</t>
  </si>
  <si>
    <t>BAYGn.DE</t>
  </si>
  <si>
    <t>AM.PA</t>
  </si>
  <si>
    <t>EONGn.DE</t>
  </si>
  <si>
    <t>EDP.LS</t>
  </si>
  <si>
    <t>ELE.MC</t>
  </si>
  <si>
    <t>ENEI.MI</t>
  </si>
  <si>
    <t>ENGIE.PA</t>
  </si>
  <si>
    <t>FORTUM.HE</t>
  </si>
  <si>
    <t>HAGG.DE</t>
  </si>
  <si>
    <t>IDR.MC</t>
  </si>
  <si>
    <t>IVG.MI</t>
  </si>
  <si>
    <t>LDOF.MI</t>
  </si>
  <si>
    <t>MTXGn.DE</t>
  </si>
  <si>
    <t>PHG.AS</t>
  </si>
  <si>
    <t>R3NK.DE</t>
  </si>
  <si>
    <t>RHMG.DE</t>
  </si>
  <si>
    <t>RWEG.DE</t>
  </si>
  <si>
    <t>SAF.PA</t>
  </si>
  <si>
    <t>SHEL.AS</t>
  </si>
  <si>
    <t>ENR1n.DE</t>
  </si>
  <si>
    <t>TCFP.PA</t>
  </si>
  <si>
    <t>TKAG.DE</t>
  </si>
  <si>
    <t>UPM.HE</t>
  </si>
  <si>
    <t>VIE.PA</t>
  </si>
  <si>
    <t>VOWG_p.DE</t>
  </si>
  <si>
    <t>WRT1V.HE</t>
  </si>
  <si>
    <t>CW1</t>
  </si>
  <si>
    <t>OS1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</si>
  <si>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</si>
  <si>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</si>
  <si>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</si>
  <si>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</si>
  <si>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</si>
  <si>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</si>
  <si>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</si>
  <si>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</si>
  <si>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ADP-FR</t>
  </si>
  <si>
    <t>AED-BE</t>
  </si>
  <si>
    <t>AGN-NL</t>
  </si>
  <si>
    <t>AENA-ES</t>
  </si>
  <si>
    <t>AGS-BE</t>
  </si>
  <si>
    <t>A5G-IE</t>
  </si>
  <si>
    <t>AKZA-NL</t>
  </si>
  <si>
    <t>ALLFG-NL</t>
  </si>
  <si>
    <t>ALO-FR</t>
  </si>
  <si>
    <t>ATE-FR</t>
  </si>
  <si>
    <t>AMUN-FR</t>
  </si>
  <si>
    <t>ANDR-AT</t>
  </si>
  <si>
    <t>ARCAD-NL</t>
  </si>
  <si>
    <t>MT-NL</t>
  </si>
  <si>
    <t>AKE-FR</t>
  </si>
  <si>
    <t>AT1-DE</t>
  </si>
  <si>
    <t>ASM-NL</t>
  </si>
  <si>
    <t>ASRNL-NL</t>
  </si>
  <si>
    <t>AMV0-DE</t>
  </si>
  <si>
    <t>NDA-DE</t>
  </si>
  <si>
    <t>AG1-DE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</si>
  <si>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</si>
  <si>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</si>
  <si>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</si>
  <si>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</si>
  <si>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</si>
  <si>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</si>
  <si>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</si>
  <si>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</si>
  <si>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</si>
  <si>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BIRG-IE</t>
  </si>
  <si>
    <t>BKT-ES</t>
  </si>
  <si>
    <t>BG-AT</t>
  </si>
  <si>
    <t>BESI-NL</t>
  </si>
  <si>
    <t>BC8-DE</t>
  </si>
  <si>
    <t>BEI-DE</t>
  </si>
  <si>
    <t>GBF-DE</t>
  </si>
  <si>
    <t>BIM-FR</t>
  </si>
  <si>
    <t>BOL-FR</t>
  </si>
  <si>
    <t>EN-FR</t>
  </si>
  <si>
    <t>BPE-IT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</si>
  <si>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</si>
  <si>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</si>
  <si>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</si>
  <si>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</si>
  <si>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</si>
  <si>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</si>
  <si>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</si>
  <si>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</si>
  <si>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</si>
  <si>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</si>
  <si>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</si>
  <si>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</si>
  <si>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</si>
  <si>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</si>
  <si>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</si>
  <si>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</si>
  <si>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</si>
  <si>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</si>
  <si>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DSY-FR</t>
  </si>
  <si>
    <t>DHER-DE</t>
  </si>
  <si>
    <t>DLG-IT</t>
  </si>
  <si>
    <t>DIE-BE</t>
  </si>
  <si>
    <t>DSFIR-NL</t>
  </si>
  <si>
    <t>EDEN-FR</t>
  </si>
  <si>
    <t>EDPR-PT</t>
  </si>
  <si>
    <t>FGR-FR</t>
  </si>
  <si>
    <t>ELI-BE</t>
  </si>
  <si>
    <t>ELIS-FR</t>
  </si>
  <si>
    <t>ELISA-FI</t>
  </si>
  <si>
    <t>ENG-ES</t>
  </si>
  <si>
    <t>RF-FR</t>
  </si>
  <si>
    <t>ERF-FR</t>
  </si>
  <si>
    <t>ENX-FR</t>
  </si>
  <si>
    <t>EVK-DE</t>
  </si>
  <si>
    <t>EXO-NL</t>
  </si>
  <si>
    <t>FDJU-FR</t>
  </si>
  <si>
    <t>FBK-IT</t>
  </si>
  <si>
    <t>FTK-DE</t>
  </si>
  <si>
    <t>FLU-AT</t>
  </si>
  <si>
    <t>FDR-ES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</si>
  <si>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</si>
  <si>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</si>
  <si>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</si>
  <si>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</si>
  <si>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</si>
  <si>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</si>
  <si>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</si>
  <si>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</si>
  <si>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</si>
  <si>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GET-FR</t>
  </si>
  <si>
    <t>GL9-IE</t>
  </si>
  <si>
    <t>GRF-ES</t>
  </si>
  <si>
    <t>GTT-FR</t>
  </si>
  <si>
    <t>HAL-NL</t>
  </si>
  <si>
    <t>HNR1-DE</t>
  </si>
  <si>
    <t>HEIA-NL</t>
  </si>
  <si>
    <t>HEN3-DE</t>
  </si>
  <si>
    <t>HER-IT</t>
  </si>
  <si>
    <t>HOT-DE</t>
  </si>
  <si>
    <t>HUH1V-FI</t>
  </si>
  <si>
    <t>IMCD-NL</t>
  </si>
  <si>
    <t>INPST-NL</t>
  </si>
  <si>
    <t>IP-IT</t>
  </si>
  <si>
    <t>INW-IT</t>
  </si>
  <si>
    <t>IPN-FR</t>
  </si>
  <si>
    <t>IG-IT</t>
  </si>
  <si>
    <t>JMT-PT</t>
  </si>
  <si>
    <t>JDEP-NL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</si>
  <si>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</si>
  <si>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</si>
  <si>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</si>
  <si>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</si>
  <si>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</si>
  <si>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</si>
  <si>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</si>
  <si>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</si>
  <si>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</si>
  <si>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</si>
  <si>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</si>
  <si>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</si>
  <si>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LTMC-IT</t>
  </si>
  <si>
    <t>LOTB-BE</t>
  </si>
  <si>
    <t>LHA-DE</t>
  </si>
  <si>
    <t>MICC-NL</t>
  </si>
  <si>
    <t>MAIRE-IT</t>
  </si>
  <si>
    <t>MANTA-FI</t>
  </si>
  <si>
    <t>MB-IT</t>
  </si>
  <si>
    <t>MRK-DE</t>
  </si>
  <si>
    <t>MRL-ES</t>
  </si>
  <si>
    <t>METSO-FI</t>
  </si>
  <si>
    <t>ML-FR</t>
  </si>
  <si>
    <t>MONC-IT</t>
  </si>
  <si>
    <t>NTGY-ES</t>
  </si>
  <si>
    <t>NEM-DE</t>
  </si>
  <si>
    <t>NESTE-FI</t>
  </si>
  <si>
    <t>NEX-FR</t>
  </si>
  <si>
    <t>NEXI-IT</t>
  </si>
  <si>
    <t>NN-NL</t>
  </si>
  <si>
    <t>NDX1-DE</t>
  </si>
  <si>
    <t>OBS-AT</t>
  </si>
  <si>
    <t>OMV-AT</t>
  </si>
  <si>
    <t>ORNBV-FI</t>
  </si>
  <si>
    <t>RI-FR</t>
  </si>
  <si>
    <t>PIRC-IT</t>
  </si>
  <si>
    <t>P911-DE</t>
  </si>
  <si>
    <t>PAH3-DE</t>
  </si>
  <si>
    <t>PST-IT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</si>
  <si>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</si>
  <si>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</si>
  <si>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</si>
  <si>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</si>
  <si>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</si>
  <si>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</si>
  <si>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</si>
  <si>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</si>
  <si>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REY-IT</t>
  </si>
  <si>
    <t>REP-ES</t>
  </si>
  <si>
    <t>RXL-FR</t>
  </si>
  <si>
    <t>RUI-FR</t>
  </si>
  <si>
    <t>SPM-IT</t>
  </si>
  <si>
    <t>SRT3-DE</t>
  </si>
  <si>
    <t>DIM-FR</t>
  </si>
  <si>
    <t>SBMO-NL</t>
  </si>
  <si>
    <t>SHA0-DE</t>
  </si>
  <si>
    <t>SCR-FR</t>
  </si>
  <si>
    <t>G24-DE</t>
  </si>
  <si>
    <t>SESG-FR</t>
  </si>
  <si>
    <t>SHL-DE</t>
  </si>
  <si>
    <t>LIGHT-NL</t>
  </si>
  <si>
    <t>SRG-IT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</si>
  <si>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</si>
  <si>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</si>
  <si>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</si>
  <si>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</si>
  <si>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</si>
  <si>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</si>
  <si>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</si>
  <si>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</si>
  <si>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</si>
  <si>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</si>
  <si>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</si>
  <si>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</si>
  <si>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</si>
  <si>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</si>
  <si>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</si>
  <si>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</si>
  <si>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TKMS-DE</t>
  </si>
  <si>
    <t>TUB-BE</t>
  </si>
  <si>
    <t>TUI1-DE</t>
  </si>
  <si>
    <t>UMI-BE</t>
  </si>
  <si>
    <t>URW-FR</t>
  </si>
  <si>
    <t>UNI-IT</t>
  </si>
  <si>
    <t>FR-FR</t>
  </si>
  <si>
    <t>VK-FR</t>
  </si>
  <si>
    <t>VALMT-FI</t>
  </si>
  <si>
    <t>VER-AT</t>
  </si>
  <si>
    <t>VOE-AT</t>
  </si>
  <si>
    <t>VNA-DE</t>
  </si>
  <si>
    <t>WDP-BE</t>
  </si>
  <si>
    <t>MF-FR</t>
  </si>
  <si>
    <t>WIE-AT</t>
  </si>
  <si>
    <t>WKL-NL</t>
  </si>
  <si>
    <t>ZAL-DE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</si>
  <si>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</si>
  <si>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</si>
  <si>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</si>
  <si>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</si>
  <si>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</si>
  <si>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</si>
  <si>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</si>
  <si>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</si>
  <si>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</si>
  <si>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</si>
  <si>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</si>
  <si>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</si>
  <si>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</si>
  <si>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</si>
  <si>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</si>
  <si>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</si>
  <si>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</si>
  <si>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</si>
  <si>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</si>
  <si>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</si>
  <si>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</si>
  <si>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</si>
  <si>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</si>
  <si>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</si>
  <si>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</si>
  <si>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</si>
  <si>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</si>
  <si>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</si>
  <si>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</si>
  <si>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</si>
  <si>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</si>
  <si>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</si>
  <si>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</si>
  <si>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</si>
  <si>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</si>
  <si>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</si>
  <si>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</si>
  <si>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</si>
  <si>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</si>
  <si>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</si>
  <si>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</si>
  <si>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</si>
  <si>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</si>
  <si>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</si>
  <si>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</si>
  <si>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</si>
  <si>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</si>
  <si>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</si>
  <si>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</si>
  <si>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</si>
  <si>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</si>
  <si>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</si>
  <si>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</si>
  <si>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</si>
  <si>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</si>
  <si>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</si>
  <si>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</si>
  <si>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</si>
  <si>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</si>
  <si>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</si>
  <si>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</si>
  <si>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</si>
  <si>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</si>
  <si>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</si>
  <si>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</si>
  <si>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</si>
  <si>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SYSTEMES</t>
  </si>
  <si>
    <t>DELIVERY HERO SE</t>
  </si>
  <si>
    <t>DE'LONGHI</t>
  </si>
  <si>
    <t>D'IETEREN GROUP</t>
  </si>
  <si>
    <t>DSM FIRMENICH AG</t>
  </si>
  <si>
    <t>EDENRED</t>
  </si>
  <si>
    <t>EDP RENOVAVEIS</t>
  </si>
  <si>
    <t>EIFFAGE</t>
  </si>
  <si>
    <t>ELIA GROUP</t>
  </si>
  <si>
    <t>ELIS</t>
  </si>
  <si>
    <t>ELISA OYJ</t>
  </si>
  <si>
    <t>ENAGAS</t>
  </si>
  <si>
    <t>EURAZEO</t>
  </si>
  <si>
    <t>EUROFINS SCIENT.</t>
  </si>
  <si>
    <t>EURONEXT</t>
  </si>
  <si>
    <t>EVONIK INDUSTRIES AG</t>
  </si>
  <si>
    <t>EXOR NV</t>
  </si>
  <si>
    <t>FDJ UNITED</t>
  </si>
  <si>
    <t>FINECOBANK</t>
  </si>
  <si>
    <t>FLATEXDEGIRO AG</t>
  </si>
  <si>
    <t>Flughafen Wien AG</t>
  </si>
  <si>
    <t>FLUIDRA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</si>
  <si>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</si>
  <si>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</si>
  <si>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</si>
  <si>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</si>
  <si>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</si>
  <si>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</si>
  <si>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</si>
  <si>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</si>
  <si>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</si>
  <si>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</si>
  <si>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</si>
  <si>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</si>
  <si>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</si>
  <si>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</si>
  <si>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</si>
  <si>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HEINEKEN</t>
  </si>
  <si>
    <t>HENKEL AG &amp; CO PREF</t>
  </si>
  <si>
    <t>HERA</t>
  </si>
  <si>
    <t>HOCHTIEF</t>
  </si>
  <si>
    <t>HUHTAMAKI OYJ</t>
  </si>
  <si>
    <t>IMCD</t>
  </si>
  <si>
    <t>INPOST</t>
  </si>
  <si>
    <t>INTERPUMP GROUP</t>
  </si>
  <si>
    <t>INWIT</t>
  </si>
  <si>
    <t>IPSEN</t>
  </si>
  <si>
    <t>ITALGAS</t>
  </si>
  <si>
    <t>J.MARTINS,SGPS</t>
  </si>
  <si>
    <t>JDE PEET'S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</si>
  <si>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</si>
  <si>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</si>
  <si>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</si>
  <si>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</si>
  <si>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</si>
  <si>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</si>
  <si>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</si>
  <si>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</si>
  <si>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</si>
  <si>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</si>
  <si>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</si>
  <si>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</si>
  <si>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LOTTOMATICA GROUP</t>
  </si>
  <si>
    <t>LOTUS BAKERIES</t>
  </si>
  <si>
    <t>LUFTHANSA</t>
  </si>
  <si>
    <t>MAGNUM</t>
  </si>
  <si>
    <t>MAIRE</t>
  </si>
  <si>
    <t>MANDATUM</t>
  </si>
  <si>
    <t>MEDIOBANCA</t>
  </si>
  <si>
    <t>MERCK KGA</t>
  </si>
  <si>
    <t>MERLIN PROPERTIES</t>
  </si>
  <si>
    <t>METSO CORPORATION</t>
  </si>
  <si>
    <t>MONCLER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</si>
  <si>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</si>
  <si>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</si>
  <si>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</si>
  <si>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</si>
  <si>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</si>
  <si>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</si>
  <si>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</si>
  <si>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</si>
  <si>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</si>
  <si>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ORION OYJ CLASS B</t>
  </si>
  <si>
    <t>PERNOD RICARD</t>
  </si>
  <si>
    <t>PIRELLI &amp; C</t>
  </si>
  <si>
    <t>PORSCHE AG</t>
  </si>
  <si>
    <t>PORSCHE PREF</t>
  </si>
  <si>
    <t>POSTE ITALIANE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</si>
  <si>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</si>
  <si>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</si>
  <si>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</si>
  <si>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</si>
  <si>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</si>
  <si>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</si>
  <si>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</si>
  <si>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</si>
  <si>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REPLY</t>
  </si>
  <si>
    <t>REPSOL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</si>
  <si>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</si>
  <si>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</si>
  <si>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</si>
  <si>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</si>
  <si>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</si>
  <si>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</si>
  <si>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</si>
  <si>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</si>
  <si>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</si>
  <si>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</si>
  <si>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</si>
  <si>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</si>
  <si>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</si>
  <si>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</si>
  <si>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</si>
  <si>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</si>
  <si>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</si>
  <si>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</si>
  <si>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</si>
  <si>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</si>
  <si>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</si>
  <si>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</si>
  <si>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</si>
  <si>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</si>
  <si>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</si>
  <si>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</si>
  <si>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</si>
  <si>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</si>
  <si>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</si>
  <si>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TKMS AG &amp; CO</t>
  </si>
  <si>
    <t>TUBIZE-FIN</t>
  </si>
  <si>
    <t>TUI AG</t>
  </si>
  <si>
    <t>UMICORE</t>
  </si>
  <si>
    <t>UNIBAIL-RODAMCO-WE</t>
  </si>
  <si>
    <t>UNIPOL</t>
  </si>
  <si>
    <t>VALEO</t>
  </si>
  <si>
    <t>VALLOUREC</t>
  </si>
  <si>
    <t>VALMET</t>
  </si>
  <si>
    <t>VERBUND AG</t>
  </si>
  <si>
    <t>VOESTALPINE AG</t>
  </si>
  <si>
    <t>VONOVIA SE</t>
  </si>
  <si>
    <t>WDP</t>
  </si>
  <si>
    <t>WENDEL</t>
  </si>
  <si>
    <t>WIENERBERGER AG</t>
  </si>
  <si>
    <t>ZALANDO SE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</si>
  <si>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</si>
  <si>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</si>
  <si>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</si>
  <si>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</si>
  <si>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</si>
  <si>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</si>
  <si>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</si>
  <si>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</si>
  <si>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</si>
  <si>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</si>
  <si>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</si>
  <si>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</si>
  <si>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</si>
  <si>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</si>
  <si>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</si>
  <si>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</si>
  <si>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</si>
  <si>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</si>
  <si>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</si>
  <si>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</si>
  <si>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</si>
  <si>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</si>
  <si>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</si>
  <si>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</si>
  <si>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</si>
  <si>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</si>
  <si>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</si>
  <si>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</si>
  <si>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</si>
  <si>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</si>
  <si>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</si>
  <si>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</si>
  <si>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</si>
  <si>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</si>
  <si>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</si>
  <si>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</si>
  <si>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</si>
  <si>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</si>
  <si>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</si>
  <si>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</si>
  <si>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</si>
  <si>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</si>
  <si>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</si>
  <si>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</si>
  <si>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</si>
  <si>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</si>
  <si>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</si>
  <si>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</si>
  <si>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</si>
  <si>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</si>
  <si>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</si>
  <si>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</si>
  <si>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</si>
  <si>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</si>
  <si>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</si>
  <si>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</si>
  <si>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</si>
  <si>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</si>
  <si>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</si>
  <si>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</si>
  <si>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</si>
  <si>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</si>
  <si>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</si>
  <si>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</si>
  <si>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</si>
  <si>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</si>
  <si>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FR0014003TT8</t>
  </si>
  <si>
    <t>DE000A2E4K43</t>
  </si>
  <si>
    <t>IT0003115950</t>
  </si>
  <si>
    <t>BE0974259880</t>
  </si>
  <si>
    <t>CH1216478797</t>
  </si>
  <si>
    <t>FR0010908533</t>
  </si>
  <si>
    <t>ES0127797019</t>
  </si>
  <si>
    <t>FR0000130452</t>
  </si>
  <si>
    <t>BE0003822393</t>
  </si>
  <si>
    <t>FR0012435121</t>
  </si>
  <si>
    <t>FI0009007884</t>
  </si>
  <si>
    <t>ES0130960018</t>
  </si>
  <si>
    <t>FR0000121121</t>
  </si>
  <si>
    <t>FR0014000MR3</t>
  </si>
  <si>
    <t>NL0006294274</t>
  </si>
  <si>
    <t>DE000EVNK013</t>
  </si>
  <si>
    <t>NL0012059018</t>
  </si>
  <si>
    <t>FR0013451333</t>
  </si>
  <si>
    <t>IT0000072170</t>
  </si>
  <si>
    <t>DE000FTG1111</t>
  </si>
  <si>
    <t>AT00000VIE62</t>
  </si>
  <si>
    <t>ES0137650018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</si>
  <si>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</si>
  <si>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</si>
  <si>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</si>
  <si>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</si>
  <si>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</si>
  <si>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</si>
  <si>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</si>
  <si>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</si>
  <si>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</si>
  <si>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</si>
  <si>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</si>
  <si>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</si>
  <si>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</si>
  <si>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</si>
  <si>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</si>
  <si>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NL0000009165</t>
  </si>
  <si>
    <t>DE0006048432</t>
  </si>
  <si>
    <t>IT0001250932</t>
  </si>
  <si>
    <t>DE0006070006</t>
  </si>
  <si>
    <t>FI0009000459</t>
  </si>
  <si>
    <t>NL0010801007</t>
  </si>
  <si>
    <t>LU2290522684</t>
  </si>
  <si>
    <t>IT0001078911</t>
  </si>
  <si>
    <t>IT0005090300</t>
  </si>
  <si>
    <t>FR0010259150</t>
  </si>
  <si>
    <t>IT0005211237</t>
  </si>
  <si>
    <t>PTJMT0AE0001</t>
  </si>
  <si>
    <t>NL0014332678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</si>
  <si>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</si>
  <si>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</si>
  <si>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</si>
  <si>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</si>
  <si>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</si>
  <si>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</si>
  <si>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</si>
  <si>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</si>
  <si>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</si>
  <si>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</si>
  <si>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</si>
  <si>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</si>
  <si>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IT0005541336</t>
  </si>
  <si>
    <t>BE0003604155</t>
  </si>
  <si>
    <t>DE0008232125</t>
  </si>
  <si>
    <t>NL0015002MS2</t>
  </si>
  <si>
    <t>IT0004931058</t>
  </si>
  <si>
    <t>FI4000552526</t>
  </si>
  <si>
    <t>IT0000062957</t>
  </si>
  <si>
    <t>DE0006599905</t>
  </si>
  <si>
    <t>ES0105025003</t>
  </si>
  <si>
    <t>FI0009014575</t>
  </si>
  <si>
    <t>IT0004965148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</si>
  <si>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</si>
  <si>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</si>
  <si>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</si>
  <si>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</si>
  <si>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</si>
  <si>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</si>
  <si>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</si>
  <si>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</si>
  <si>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</si>
  <si>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FI0009014377</t>
  </si>
  <si>
    <t>FR0000120693</t>
  </si>
  <si>
    <t>IT0005278236</t>
  </si>
  <si>
    <t>DE000PAG9113</t>
  </si>
  <si>
    <t>DE000PAH0038</t>
  </si>
  <si>
    <t>IT0003796171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</si>
  <si>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</si>
  <si>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</si>
  <si>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</si>
  <si>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</si>
  <si>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</si>
  <si>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</si>
  <si>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</si>
  <si>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</si>
  <si>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IT0005282865</t>
  </si>
  <si>
    <t>ES0173516115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</si>
  <si>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</si>
  <si>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</si>
  <si>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</si>
  <si>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</si>
  <si>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</si>
  <si>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</si>
  <si>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</si>
  <si>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</si>
  <si>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</si>
  <si>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</si>
  <si>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</si>
  <si>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</si>
  <si>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</si>
  <si>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</si>
  <si>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</si>
  <si>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</si>
  <si>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</si>
  <si>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</si>
  <si>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</si>
  <si>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</si>
  <si>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</si>
  <si>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</si>
  <si>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</si>
  <si>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</si>
  <si>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</si>
  <si>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</si>
  <si>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</si>
  <si>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</si>
  <si>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</si>
  <si>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DE000TKMS001</t>
  </si>
  <si>
    <t>BE0003823409</t>
  </si>
  <si>
    <t>DE000TUAG505</t>
  </si>
  <si>
    <t>BE0974320526</t>
  </si>
  <si>
    <t>FR0013326246</t>
  </si>
  <si>
    <t>IT0004810054</t>
  </si>
  <si>
    <t>FR0013176526</t>
  </si>
  <si>
    <t>FR0013506730</t>
  </si>
  <si>
    <t>FI4000074984</t>
  </si>
  <si>
    <t>AT0000746409</t>
  </si>
  <si>
    <t>AT0000937503</t>
  </si>
  <si>
    <t>DE000A1ML7J1</t>
  </si>
  <si>
    <t>BE0974349814</t>
  </si>
  <si>
    <t>FR0000121204</t>
  </si>
  <si>
    <t>AT0000831706</t>
  </si>
  <si>
    <t>DE000ZAL1111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</si>
  <si>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</si>
  <si>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</si>
  <si>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</si>
  <si>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</si>
  <si>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</si>
  <si>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</si>
  <si>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</si>
  <si>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</si>
  <si>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ADP.PA</t>
  </si>
  <si>
    <t>AOO.BR</t>
  </si>
  <si>
    <t>AEGN.AS</t>
  </si>
  <si>
    <t>AENA.MC</t>
  </si>
  <si>
    <t>AGES.BR</t>
  </si>
  <si>
    <t>AIBG.I</t>
  </si>
  <si>
    <t>AKZO.AS</t>
  </si>
  <si>
    <t>ALLFG.AS</t>
  </si>
  <si>
    <t>ALSO.PA</t>
  </si>
  <si>
    <t>LTEN.PA</t>
  </si>
  <si>
    <t>AMUN.PA</t>
  </si>
  <si>
    <t>ANDR.VI</t>
  </si>
  <si>
    <t>ARDS.AS</t>
  </si>
  <si>
    <t>MT.AS</t>
  </si>
  <si>
    <t>AKE.PA</t>
  </si>
  <si>
    <t>AT1.DE</t>
  </si>
  <si>
    <t>ASMI.AS</t>
  </si>
  <si>
    <t>ASRNL.AS</t>
  </si>
  <si>
    <t>AMV0n.DE</t>
  </si>
  <si>
    <t>NAFG.DE</t>
  </si>
  <si>
    <t>AG1G.DE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</si>
  <si>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</si>
  <si>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</si>
  <si>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</si>
  <si>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</si>
  <si>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</si>
  <si>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</si>
  <si>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</si>
  <si>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</si>
  <si>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</si>
  <si>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BIRG.I</t>
  </si>
  <si>
    <t>BKT.MC</t>
  </si>
  <si>
    <t>BAWG.VI</t>
  </si>
  <si>
    <t>BESI.AS</t>
  </si>
  <si>
    <t>BC8G.DE</t>
  </si>
  <si>
    <t>BEIG.DE</t>
  </si>
  <si>
    <t>GBFG.DE</t>
  </si>
  <si>
    <t>BIOX.PA</t>
  </si>
  <si>
    <t>BOLL.PA</t>
  </si>
  <si>
    <t>BOUY.PA</t>
  </si>
  <si>
    <t>EMII.MI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</si>
  <si>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</si>
  <si>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</si>
  <si>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</si>
  <si>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</si>
  <si>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</si>
  <si>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</si>
  <si>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</si>
  <si>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</si>
  <si>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</si>
  <si>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</si>
  <si>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</si>
  <si>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</si>
  <si>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</si>
  <si>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</si>
  <si>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</si>
  <si>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</si>
  <si>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</si>
  <si>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</si>
  <si>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DAST.PA</t>
  </si>
  <si>
    <t>DHER.DE</t>
  </si>
  <si>
    <t>DLG.MI</t>
  </si>
  <si>
    <t>IETB.BR</t>
  </si>
  <si>
    <t>DSFIR.AS</t>
  </si>
  <si>
    <t>EDEN.PA</t>
  </si>
  <si>
    <t>EDPR.LS</t>
  </si>
  <si>
    <t>FOUG.PA</t>
  </si>
  <si>
    <t>ELI.BR</t>
  </si>
  <si>
    <t>ELIS.PA</t>
  </si>
  <si>
    <t>ELISA.HE</t>
  </si>
  <si>
    <t>ENAG.MC</t>
  </si>
  <si>
    <t>EURA.PA</t>
  </si>
  <si>
    <t>EUFI.PA</t>
  </si>
  <si>
    <t>ENX.PA</t>
  </si>
  <si>
    <t>EVKn.DE</t>
  </si>
  <si>
    <t>EXOR.AS</t>
  </si>
  <si>
    <t>FDJU.PA</t>
  </si>
  <si>
    <t>FBK.MI</t>
  </si>
  <si>
    <t>FTKn.DE</t>
  </si>
  <si>
    <t>VIEV.VI</t>
  </si>
  <si>
    <t>FLUI.MC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</si>
  <si>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</si>
  <si>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</si>
  <si>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</si>
  <si>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</si>
  <si>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</si>
  <si>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</si>
  <si>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</si>
  <si>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</si>
  <si>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</si>
  <si>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GETP.PA</t>
  </si>
  <si>
    <t>GL9.I</t>
  </si>
  <si>
    <t>GRLS.MC</t>
  </si>
  <si>
    <t>GTT.PA</t>
  </si>
  <si>
    <t>HLAN.AS</t>
  </si>
  <si>
    <t>HNRGn.DE</t>
  </si>
  <si>
    <t>HEIN.AS</t>
  </si>
  <si>
    <t>HNKG_p.DE</t>
  </si>
  <si>
    <t>HRA.MI</t>
  </si>
  <si>
    <t>HOTG.DE</t>
  </si>
  <si>
    <t>HUH1V.HE</t>
  </si>
  <si>
    <t>IMCD.AS</t>
  </si>
  <si>
    <t>INPST.AS</t>
  </si>
  <si>
    <t>ITPG.MI</t>
  </si>
  <si>
    <t>INWT.MI</t>
  </si>
  <si>
    <t>IPN.PA</t>
  </si>
  <si>
    <t>IG.MI</t>
  </si>
  <si>
    <t>JMT.LS</t>
  </si>
  <si>
    <t>JDEP.AS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</si>
  <si>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</si>
  <si>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</si>
  <si>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</si>
  <si>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</si>
  <si>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</si>
  <si>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</si>
  <si>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</si>
  <si>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</si>
  <si>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</si>
  <si>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</si>
  <si>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</si>
  <si>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</si>
  <si>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LTMC.MI</t>
  </si>
  <si>
    <t>LOTB.BR</t>
  </si>
  <si>
    <t>LHAG.DE</t>
  </si>
  <si>
    <t>MICCT.AS</t>
  </si>
  <si>
    <t>MTCM.MI</t>
  </si>
  <si>
    <t>MANTA.HE</t>
  </si>
  <si>
    <t>MDBI.MI</t>
  </si>
  <si>
    <t>MRCG.DE</t>
  </si>
  <si>
    <t>MRL.MC</t>
  </si>
  <si>
    <t>METSO.HE</t>
  </si>
  <si>
    <t>MICP.PA</t>
  </si>
  <si>
    <t>MONC.MI</t>
  </si>
  <si>
    <t>NTGY.MC</t>
  </si>
  <si>
    <t>NEKG.DE</t>
  </si>
  <si>
    <t>NESTE.HE</t>
  </si>
  <si>
    <t>NEXS.PA</t>
  </si>
  <si>
    <t>NEXII.MI</t>
  </si>
  <si>
    <t>NN.AS</t>
  </si>
  <si>
    <t>NDXG.DE</t>
  </si>
  <si>
    <t>OBER.VI</t>
  </si>
  <si>
    <t>OMVV.VI</t>
  </si>
  <si>
    <t>ORNBV.HE</t>
  </si>
  <si>
    <t>PERP.PA</t>
  </si>
  <si>
    <t>PIRC.MI</t>
  </si>
  <si>
    <t>P911_p.DE</t>
  </si>
  <si>
    <t>PSHG_p.DE</t>
  </si>
  <si>
    <t>PST.MI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</si>
  <si>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</si>
  <si>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</si>
  <si>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</si>
  <si>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</si>
  <si>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</si>
  <si>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</si>
  <si>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</si>
  <si>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</si>
  <si>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REY.MI</t>
  </si>
  <si>
    <t>REP.MC</t>
  </si>
  <si>
    <t>RXL.PA</t>
  </si>
  <si>
    <t>RUBF.PA</t>
  </si>
  <si>
    <t>SPMI.MI</t>
  </si>
  <si>
    <t>SATG_p.DE</t>
  </si>
  <si>
    <t>STDM.PA</t>
  </si>
  <si>
    <t>SBMO.AS</t>
  </si>
  <si>
    <t>SHA0n.DE</t>
  </si>
  <si>
    <t>SCOR.PA</t>
  </si>
  <si>
    <t>G24n.DE</t>
  </si>
  <si>
    <t>SESFd.PA</t>
  </si>
  <si>
    <t>SHLG.DE</t>
  </si>
  <si>
    <t>LIGHT.AS</t>
  </si>
  <si>
    <t>SRG.MI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</si>
  <si>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</si>
  <si>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</si>
  <si>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</si>
  <si>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</si>
  <si>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</si>
  <si>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</si>
  <si>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</si>
  <si>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</si>
  <si>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</si>
  <si>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</si>
  <si>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</si>
  <si>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</si>
  <si>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</si>
  <si>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</si>
  <si>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</si>
  <si>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</si>
  <si>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TKMS.DE</t>
  </si>
  <si>
    <t>TUB.BR</t>
  </si>
  <si>
    <t>TUI1n.DE</t>
  </si>
  <si>
    <t>UMI.BR</t>
  </si>
  <si>
    <t>URW.PA</t>
  </si>
  <si>
    <t>UNPI.MI</t>
  </si>
  <si>
    <t>VLOF.PA</t>
  </si>
  <si>
    <t>VLLP.PA</t>
  </si>
  <si>
    <t>VALMT.HE</t>
  </si>
  <si>
    <t>VERB.VI</t>
  </si>
  <si>
    <t>VOES.VI</t>
  </si>
  <si>
    <t>VNAn.DE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</si>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</sst>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EEEPR_EMS_2025-12-16%2023_59_59_2025-12-16-18-48-18.xlsx" TargetMode="External"/><Relationship Id="rId1" Type="http://schemas.openxmlformats.org/officeDocument/2006/relationships/externalLinkPath" Target="file:///C:\Users\CSonneveld\Downloads\EEEPR_EMS_2025-12-16%2023_59_59_2025-12-16-18-48-1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EEEPR_EMS_2025-12-16%2023_59_59_2025-12-16-18-48-18.xlsx" TargetMode="External"/><Relationship Id="rId1" Type="http://schemas.openxmlformats.org/officeDocument/2006/relationships/externalLinkPath" Target="file:///C:\Users\CSonneveld\Downloads\details_EEEPR_EMS_2025-12-16%2023_59_59_2025-12-16-18-48-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DE000A1EWWW0</v>
          </cell>
        </row>
        <row r="3">
          <cell r="B3" t="str">
            <v>FR0000120073</v>
          </cell>
        </row>
        <row r="4">
          <cell r="B4" t="str">
            <v>DE0008404005</v>
          </cell>
        </row>
        <row r="5">
          <cell r="B5" t="str">
            <v>ES0109067019</v>
          </cell>
        </row>
        <row r="6">
          <cell r="B6" t="str">
            <v>NL0000334118</v>
          </cell>
        </row>
        <row r="7">
          <cell r="B7" t="str">
            <v>NL0010273215</v>
          </cell>
        </row>
        <row r="8">
          <cell r="B8" t="str">
            <v>FR0000120628</v>
          </cell>
        </row>
        <row r="9">
          <cell r="B9" t="str">
            <v>ES0113900J37</v>
          </cell>
        </row>
        <row r="10">
          <cell r="B10" t="str">
            <v>ES0113211835</v>
          </cell>
        </row>
        <row r="11">
          <cell r="B11" t="str">
            <v>FR0000131104</v>
          </cell>
        </row>
        <row r="12">
          <cell r="B12" t="str">
            <v>ES0140609019</v>
          </cell>
        </row>
        <row r="13">
          <cell r="B13" t="str">
            <v>FR0000120644</v>
          </cell>
        </row>
        <row r="14">
          <cell r="B14" t="str">
            <v>DE0005140008</v>
          </cell>
        </row>
        <row r="15">
          <cell r="B15" t="str">
            <v>DE0005810055</v>
          </cell>
        </row>
        <row r="16">
          <cell r="B16" t="str">
            <v>DE0005557508</v>
          </cell>
        </row>
        <row r="17">
          <cell r="B17" t="str">
            <v>AT0000652011</v>
          </cell>
        </row>
        <row r="18">
          <cell r="B18" t="str">
            <v>FR0000121667</v>
          </cell>
        </row>
        <row r="19">
          <cell r="B19" t="str">
            <v>IT0000062072</v>
          </cell>
        </row>
        <row r="20">
          <cell r="B20" t="str">
            <v>FR0000052292</v>
          </cell>
        </row>
        <row r="21">
          <cell r="B21" t="str">
            <v>ES0148396007</v>
          </cell>
        </row>
        <row r="22">
          <cell r="B22" t="str">
            <v>NL0011821202</v>
          </cell>
        </row>
        <row r="23">
          <cell r="B23" t="str">
            <v>IT0000072618</v>
          </cell>
        </row>
        <row r="24">
          <cell r="B24" t="str">
            <v>BE0003565737</v>
          </cell>
        </row>
        <row r="25">
          <cell r="B25" t="str">
            <v>FR0010307819</v>
          </cell>
        </row>
        <row r="26">
          <cell r="B26" t="str">
            <v>FR0000121014</v>
          </cell>
        </row>
        <row r="27">
          <cell r="B27" t="str">
            <v>DE0007100000</v>
          </cell>
        </row>
        <row r="28">
          <cell r="B28" t="str">
            <v>DE0008430026</v>
          </cell>
        </row>
        <row r="29">
          <cell r="B29" t="str">
            <v>FI0009000681</v>
          </cell>
        </row>
        <row r="30">
          <cell r="B30" t="str">
            <v>FI4000297767</v>
          </cell>
        </row>
        <row r="31">
          <cell r="B31" t="str">
            <v>NL0013654783</v>
          </cell>
        </row>
        <row r="32">
          <cell r="B32" t="str">
            <v>GB00B2B0DG97</v>
          </cell>
        </row>
        <row r="33">
          <cell r="B33" t="str">
            <v>FI4000552500</v>
          </cell>
        </row>
        <row r="34">
          <cell r="B34" t="str">
            <v>FR0000120578</v>
          </cell>
        </row>
        <row r="35">
          <cell r="B35" t="str">
            <v>DE0007164600</v>
          </cell>
        </row>
        <row r="36">
          <cell r="B36" t="str">
            <v>FR0000121972</v>
          </cell>
        </row>
        <row r="37">
          <cell r="B37" t="str">
            <v>FR0000130809</v>
          </cell>
        </row>
        <row r="38">
          <cell r="B38" t="str">
            <v>BE0003739530</v>
          </cell>
        </row>
        <row r="39">
          <cell r="B39" t="str">
            <v>NL0015000IY2</v>
          </cell>
        </row>
        <row r="40">
          <cell r="B40" t="str">
            <v>IT0005239360</v>
          </cell>
        </row>
        <row r="41">
          <cell r="B41" t="str">
            <v>GB00BVZK7T90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>
        <row r="2">
          <cell r="C2" t="str">
            <v>NL0010273215</v>
          </cell>
          <cell r="G2">
            <v>323715160116</v>
          </cell>
        </row>
        <row r="3">
          <cell r="C3" t="str">
            <v>NL0010273215</v>
          </cell>
          <cell r="G3">
            <v>323715160116</v>
          </cell>
        </row>
        <row r="4">
          <cell r="C4" t="str">
            <v>NL0010273215</v>
          </cell>
          <cell r="G4">
            <v>323715160116</v>
          </cell>
        </row>
        <row r="5">
          <cell r="C5" t="str">
            <v>DE0007164600</v>
          </cell>
          <cell r="G5">
            <v>226659043350</v>
          </cell>
        </row>
        <row r="6">
          <cell r="C6" t="str">
            <v>DE0007164600</v>
          </cell>
          <cell r="G6">
            <v>226659043350</v>
          </cell>
        </row>
        <row r="7">
          <cell r="C7" t="str">
            <v>DE0007164600</v>
          </cell>
          <cell r="G7">
            <v>226659043350</v>
          </cell>
        </row>
        <row r="8">
          <cell r="C8" t="str">
            <v>DE0007236101</v>
          </cell>
          <cell r="G8">
            <v>166554000000</v>
          </cell>
        </row>
        <row r="9">
          <cell r="C9" t="str">
            <v>DE0007236101</v>
          </cell>
          <cell r="G9">
            <v>166554000000</v>
          </cell>
        </row>
        <row r="10">
          <cell r="C10" t="str">
            <v>DE0007236101</v>
          </cell>
          <cell r="G10">
            <v>166554000000</v>
          </cell>
        </row>
        <row r="11">
          <cell r="C11" t="str">
            <v>FR0000121014</v>
          </cell>
          <cell r="G11">
            <v>155029481810</v>
          </cell>
        </row>
        <row r="12">
          <cell r="C12" t="str">
            <v>FR0000121014</v>
          </cell>
          <cell r="G12">
            <v>155029481810</v>
          </cell>
        </row>
        <row r="13">
          <cell r="C13" t="str">
            <v>FR0000121014</v>
          </cell>
          <cell r="G13">
            <v>155029481810</v>
          </cell>
        </row>
        <row r="14">
          <cell r="C14" t="str">
            <v>DE0008404005</v>
          </cell>
          <cell r="G14">
            <v>140217128770</v>
          </cell>
        </row>
        <row r="15">
          <cell r="C15" t="str">
            <v>DE0008404005</v>
          </cell>
          <cell r="G15">
            <v>140217128770</v>
          </cell>
        </row>
        <row r="16">
          <cell r="C16" t="str">
            <v>DE0008404005</v>
          </cell>
          <cell r="G16">
            <v>140217128770</v>
          </cell>
        </row>
        <row r="17">
          <cell r="C17" t="str">
            <v>ES0113900J37</v>
          </cell>
          <cell r="G17">
            <v>131065286625</v>
          </cell>
        </row>
        <row r="18">
          <cell r="C18" t="str">
            <v>ES0113900J37</v>
          </cell>
          <cell r="G18">
            <v>131065286625</v>
          </cell>
        </row>
        <row r="19">
          <cell r="C19" t="str">
            <v>ES0113900J37</v>
          </cell>
          <cell r="G19">
            <v>131065286625</v>
          </cell>
        </row>
        <row r="20">
          <cell r="C20" t="str">
            <v>GB00BVZK7T90</v>
          </cell>
          <cell r="G20">
            <v>129878787701.27</v>
          </cell>
        </row>
        <row r="21">
          <cell r="C21" t="str">
            <v>GB00BVZK7T90</v>
          </cell>
          <cell r="G21">
            <v>129878787701.27</v>
          </cell>
        </row>
        <row r="22">
          <cell r="C22" t="str">
            <v>GB00BVZK7T90</v>
          </cell>
          <cell r="G22">
            <v>129878787701.27</v>
          </cell>
        </row>
        <row r="23">
          <cell r="C23" t="str">
            <v>FR0000121972</v>
          </cell>
          <cell r="G23">
            <v>128294334417.60001</v>
          </cell>
        </row>
        <row r="24">
          <cell r="C24" t="str">
            <v>FR0000121972</v>
          </cell>
          <cell r="G24">
            <v>128294334417.60001</v>
          </cell>
        </row>
        <row r="25">
          <cell r="C25" t="str">
            <v>FR0000121972</v>
          </cell>
          <cell r="G25">
            <v>128294334417.60001</v>
          </cell>
        </row>
        <row r="26">
          <cell r="C26" t="str">
            <v>ES0144580Y14</v>
          </cell>
          <cell r="G26">
            <v>107845033691.25</v>
          </cell>
        </row>
        <row r="27">
          <cell r="C27" t="str">
            <v>ES0144580Y14</v>
          </cell>
          <cell r="G27">
            <v>107845033691.25</v>
          </cell>
        </row>
        <row r="28">
          <cell r="C28" t="str">
            <v>ES0144580Y14</v>
          </cell>
          <cell r="G28">
            <v>107845033691.25</v>
          </cell>
        </row>
        <row r="29">
          <cell r="C29" t="str">
            <v>ES0113211835</v>
          </cell>
          <cell r="G29">
            <v>102038971548</v>
          </cell>
        </row>
        <row r="30">
          <cell r="C30" t="str">
            <v>ES0113211835</v>
          </cell>
          <cell r="G30">
            <v>102038971548</v>
          </cell>
        </row>
        <row r="31">
          <cell r="C31" t="str">
            <v>ES0113211835</v>
          </cell>
          <cell r="G31">
            <v>102038971548</v>
          </cell>
        </row>
        <row r="32">
          <cell r="C32" t="str">
            <v>FR0000120578</v>
          </cell>
          <cell r="G32">
            <v>100657365661.892</v>
          </cell>
        </row>
        <row r="33">
          <cell r="C33" t="str">
            <v>FR0000120578</v>
          </cell>
          <cell r="G33">
            <v>100657365661.892</v>
          </cell>
        </row>
        <row r="34">
          <cell r="C34" t="str">
            <v>FR0000120578</v>
          </cell>
          <cell r="G34">
            <v>100657365661.892</v>
          </cell>
        </row>
        <row r="35">
          <cell r="C35" t="str">
            <v>FR0000121667</v>
          </cell>
          <cell r="G35">
            <v>99205772311.800003</v>
          </cell>
        </row>
        <row r="36">
          <cell r="C36" t="str">
            <v>FR0000121667</v>
          </cell>
          <cell r="G36">
            <v>99205772311.800003</v>
          </cell>
        </row>
        <row r="37">
          <cell r="C37" t="str">
            <v>FR0000121667</v>
          </cell>
          <cell r="G37">
            <v>99205772311.800003</v>
          </cell>
        </row>
        <row r="38">
          <cell r="C38" t="str">
            <v>IT0005239360</v>
          </cell>
          <cell r="G38">
            <v>97899884811.600006</v>
          </cell>
        </row>
        <row r="39">
          <cell r="C39" t="str">
            <v>IT0005239360</v>
          </cell>
          <cell r="G39">
            <v>97899884811.600006</v>
          </cell>
        </row>
        <row r="40">
          <cell r="C40" t="str">
            <v>IT0005239360</v>
          </cell>
          <cell r="G40">
            <v>97899884811.600006</v>
          </cell>
        </row>
        <row r="41">
          <cell r="C41" t="str">
            <v>FR0000120073</v>
          </cell>
          <cell r="G41">
            <v>96001977593.5</v>
          </cell>
        </row>
        <row r="42">
          <cell r="C42" t="str">
            <v>FR0000120073</v>
          </cell>
          <cell r="G42">
            <v>96001977593.5</v>
          </cell>
        </row>
        <row r="43">
          <cell r="C43" t="str">
            <v>FR0000120073</v>
          </cell>
          <cell r="G43">
            <v>96001977593.5</v>
          </cell>
        </row>
        <row r="44">
          <cell r="C44" t="str">
            <v>DE0005557508</v>
          </cell>
          <cell r="G44">
            <v>94836951193.600006</v>
          </cell>
        </row>
        <row r="45">
          <cell r="C45" t="str">
            <v>DE0005557508</v>
          </cell>
          <cell r="G45">
            <v>94836951193.600006</v>
          </cell>
        </row>
        <row r="46">
          <cell r="C46" t="str">
            <v>DE0005557508</v>
          </cell>
          <cell r="G46">
            <v>94836951193.600006</v>
          </cell>
        </row>
        <row r="47">
          <cell r="C47" t="str">
            <v>FR0000120321</v>
          </cell>
          <cell r="G47">
            <v>86833153429.199997</v>
          </cell>
        </row>
        <row r="48">
          <cell r="C48" t="str">
            <v>FR0000120321</v>
          </cell>
          <cell r="G48">
            <v>86833153429.199997</v>
          </cell>
        </row>
        <row r="49">
          <cell r="C49" t="str">
            <v>FR0000120321</v>
          </cell>
          <cell r="G49">
            <v>86833153429.199997</v>
          </cell>
        </row>
        <row r="50">
          <cell r="C50" t="str">
            <v>IT0000072618</v>
          </cell>
          <cell r="G50">
            <v>78276668988.35759</v>
          </cell>
        </row>
        <row r="51">
          <cell r="C51" t="str">
            <v>IT0000072618</v>
          </cell>
          <cell r="G51">
            <v>78276668988.35759</v>
          </cell>
        </row>
        <row r="52">
          <cell r="C52" t="str">
            <v>IT0000072618</v>
          </cell>
          <cell r="G52">
            <v>78276668988.35759</v>
          </cell>
        </row>
        <row r="53">
          <cell r="C53" t="str">
            <v>FR0000131104</v>
          </cell>
          <cell r="G53">
            <v>74764830734.500488</v>
          </cell>
        </row>
        <row r="54">
          <cell r="C54" t="str">
            <v>FR0000131104</v>
          </cell>
          <cell r="G54">
            <v>74764830734.500488</v>
          </cell>
        </row>
        <row r="55">
          <cell r="C55" t="str">
            <v>FR0000131104</v>
          </cell>
          <cell r="G55">
            <v>74764830734.500488</v>
          </cell>
        </row>
        <row r="56">
          <cell r="C56" t="str">
            <v>DE0008430026</v>
          </cell>
          <cell r="G56">
            <v>69555435268</v>
          </cell>
        </row>
        <row r="57">
          <cell r="C57" t="str">
            <v>DE0008430026</v>
          </cell>
          <cell r="G57">
            <v>69555435268</v>
          </cell>
        </row>
        <row r="58">
          <cell r="C58" t="str">
            <v>DE0008430026</v>
          </cell>
          <cell r="G58">
            <v>69555435268</v>
          </cell>
        </row>
        <row r="59">
          <cell r="C59" t="str">
            <v>FR0000120628</v>
          </cell>
          <cell r="G59">
            <v>68844802995.738998</v>
          </cell>
        </row>
        <row r="60">
          <cell r="C60" t="str">
            <v>FR0000120628</v>
          </cell>
          <cell r="G60">
            <v>68844802995.738998</v>
          </cell>
        </row>
        <row r="61">
          <cell r="C61" t="str">
            <v>FR0000120628</v>
          </cell>
          <cell r="G61">
            <v>68844802995.738998</v>
          </cell>
        </row>
        <row r="62">
          <cell r="C62" t="str">
            <v>NL0013654783</v>
          </cell>
          <cell r="G62">
            <v>67348013237.160004</v>
          </cell>
        </row>
        <row r="63">
          <cell r="C63" t="str">
            <v>NL0013654783</v>
          </cell>
          <cell r="G63">
            <v>67348013237.160004</v>
          </cell>
        </row>
        <row r="64">
          <cell r="C64" t="str">
            <v>NL0013654783</v>
          </cell>
          <cell r="G64">
            <v>67348013237.160004</v>
          </cell>
        </row>
        <row r="65">
          <cell r="C65" t="str">
            <v>GB00B2B0DG97</v>
          </cell>
          <cell r="G65">
            <v>67281463362.959999</v>
          </cell>
        </row>
        <row r="66">
          <cell r="C66" t="str">
            <v>GB00B2B0DG97</v>
          </cell>
          <cell r="G66">
            <v>67281463362.959999</v>
          </cell>
        </row>
        <row r="67">
          <cell r="C67" t="str">
            <v>GB00B2B0DG97</v>
          </cell>
          <cell r="G67">
            <v>67281463362.959999</v>
          </cell>
        </row>
        <row r="68">
          <cell r="C68" t="str">
            <v>FR0000052292</v>
          </cell>
          <cell r="G68">
            <v>67268829326.400002</v>
          </cell>
        </row>
        <row r="69">
          <cell r="C69" t="str">
            <v>FR0000052292</v>
          </cell>
          <cell r="G69">
            <v>67268829326.400002</v>
          </cell>
        </row>
        <row r="70">
          <cell r="C70" t="str">
            <v>FR0000052292</v>
          </cell>
          <cell r="G70">
            <v>67268829326.400002</v>
          </cell>
        </row>
        <row r="71">
          <cell r="C71" t="str">
            <v>NL0011821202</v>
          </cell>
          <cell r="G71">
            <v>65008494805.019997</v>
          </cell>
        </row>
        <row r="72">
          <cell r="C72" t="str">
            <v>NL0011821202</v>
          </cell>
          <cell r="G72">
            <v>65008494805.019997</v>
          </cell>
        </row>
        <row r="73">
          <cell r="C73" t="str">
            <v>NL0011821202</v>
          </cell>
          <cell r="G73">
            <v>65008494805.019997</v>
          </cell>
        </row>
        <row r="74">
          <cell r="C74" t="str">
            <v>FR0000125486</v>
          </cell>
          <cell r="G74">
            <v>62966255382</v>
          </cell>
        </row>
        <row r="75">
          <cell r="C75" t="str">
            <v>FR0000125486</v>
          </cell>
          <cell r="G75">
            <v>62966255382</v>
          </cell>
        </row>
        <row r="76">
          <cell r="C76" t="str">
            <v>FR0000125486</v>
          </cell>
          <cell r="G76">
            <v>62966255382</v>
          </cell>
        </row>
        <row r="77">
          <cell r="C77" t="str">
            <v>DE0005140008</v>
          </cell>
          <cell r="G77">
            <v>57249411466.5</v>
          </cell>
        </row>
        <row r="78">
          <cell r="C78" t="str">
            <v>DE0005140008</v>
          </cell>
          <cell r="G78">
            <v>57249411466.5</v>
          </cell>
        </row>
        <row r="79">
          <cell r="C79" t="str">
            <v>DE0005140008</v>
          </cell>
          <cell r="G79">
            <v>57249411466.5</v>
          </cell>
        </row>
        <row r="80">
          <cell r="C80" t="str">
            <v>BE0974293251</v>
          </cell>
          <cell r="G80">
            <v>53772223192.160004</v>
          </cell>
        </row>
        <row r="81">
          <cell r="C81" t="str">
            <v>BE0974293251</v>
          </cell>
          <cell r="G81">
            <v>53772223192.160004</v>
          </cell>
        </row>
        <row r="82">
          <cell r="C82" t="str">
            <v>BE0974293251</v>
          </cell>
          <cell r="G82">
            <v>53772223192.160004</v>
          </cell>
        </row>
        <row r="83">
          <cell r="C83" t="str">
            <v>FR0000120644</v>
          </cell>
          <cell r="G83">
            <v>50789100579.370987</v>
          </cell>
        </row>
        <row r="84">
          <cell r="C84" t="str">
            <v>FR0000120644</v>
          </cell>
          <cell r="G84">
            <v>50789100579.370987</v>
          </cell>
        </row>
        <row r="85">
          <cell r="C85" t="str">
            <v>FR0000120644</v>
          </cell>
          <cell r="G85">
            <v>50789100579.370987</v>
          </cell>
        </row>
        <row r="86">
          <cell r="C86" t="str">
            <v>ES0148396007</v>
          </cell>
          <cell r="G86">
            <v>50767144428</v>
          </cell>
        </row>
        <row r="87">
          <cell r="C87" t="str">
            <v>ES0148396007</v>
          </cell>
          <cell r="G87">
            <v>50767144428</v>
          </cell>
        </row>
        <row r="88">
          <cell r="C88" t="str">
            <v>ES0148396007</v>
          </cell>
          <cell r="G88">
            <v>50767144428</v>
          </cell>
        </row>
        <row r="89">
          <cell r="C89" t="str">
            <v>NL0010832176</v>
          </cell>
          <cell r="G89">
            <v>49279768370.400002</v>
          </cell>
        </row>
        <row r="90">
          <cell r="C90" t="str">
            <v>NL0010832176</v>
          </cell>
          <cell r="G90">
            <v>49279768370.400002</v>
          </cell>
        </row>
        <row r="91">
          <cell r="C91" t="str">
            <v>NL0010832176</v>
          </cell>
          <cell r="G91">
            <v>49279768370.400002</v>
          </cell>
        </row>
        <row r="92">
          <cell r="C92" t="str">
            <v>FI4000297767</v>
          </cell>
          <cell r="G92">
            <v>48042012500.300003</v>
          </cell>
        </row>
        <row r="93">
          <cell r="C93" t="str">
            <v>FI4000297767</v>
          </cell>
          <cell r="G93">
            <v>48042012500.300003</v>
          </cell>
        </row>
        <row r="94">
          <cell r="C94" t="str">
            <v>FI4000297767</v>
          </cell>
          <cell r="G94">
            <v>48042012500.300003</v>
          </cell>
        </row>
        <row r="95">
          <cell r="C95" t="str">
            <v>DE0005552004</v>
          </cell>
          <cell r="G95">
            <v>43860000000</v>
          </cell>
        </row>
        <row r="96">
          <cell r="C96" t="str">
            <v>DE0005552004</v>
          </cell>
          <cell r="G96">
            <v>43860000000</v>
          </cell>
        </row>
        <row r="97">
          <cell r="C97" t="str">
            <v>DE0005552004</v>
          </cell>
          <cell r="G97">
            <v>43860000000</v>
          </cell>
        </row>
        <row r="98">
          <cell r="C98" t="str">
            <v>DE0006231004</v>
          </cell>
          <cell r="G98">
            <v>41391169264.5</v>
          </cell>
        </row>
        <row r="99">
          <cell r="C99" t="str">
            <v>DE0006231004</v>
          </cell>
          <cell r="G99">
            <v>41391169264.5</v>
          </cell>
        </row>
        <row r="100">
          <cell r="C100" t="str">
            <v>DE0006231004</v>
          </cell>
          <cell r="G100">
            <v>41391169264.5</v>
          </cell>
        </row>
        <row r="101">
          <cell r="C101" t="str">
            <v>DE0005810055</v>
          </cell>
          <cell r="G101">
            <v>41218870000</v>
          </cell>
        </row>
        <row r="102">
          <cell r="C102" t="str">
            <v>DE0005810055</v>
          </cell>
          <cell r="G102">
            <v>41218870000</v>
          </cell>
        </row>
        <row r="103">
          <cell r="C103" t="str">
            <v>DE0005810055</v>
          </cell>
          <cell r="G103">
            <v>41218870000</v>
          </cell>
        </row>
        <row r="104">
          <cell r="C104" t="str">
            <v>DE0007100000</v>
          </cell>
          <cell r="G104">
            <v>41178576730.5</v>
          </cell>
        </row>
        <row r="105">
          <cell r="C105" t="str">
            <v>DE0007100000</v>
          </cell>
          <cell r="G105">
            <v>41178576730.5</v>
          </cell>
        </row>
        <row r="106">
          <cell r="C106" t="str">
            <v>DE0007100000</v>
          </cell>
          <cell r="G106">
            <v>41178576730.5</v>
          </cell>
        </row>
        <row r="107">
          <cell r="C107" t="str">
            <v>NL0012969182</v>
          </cell>
          <cell r="G107">
            <v>41012255640</v>
          </cell>
        </row>
        <row r="108">
          <cell r="C108" t="str">
            <v>NL0012969182</v>
          </cell>
          <cell r="G108">
            <v>41012255640</v>
          </cell>
        </row>
        <row r="109">
          <cell r="C109" t="str">
            <v>NL0012969182</v>
          </cell>
          <cell r="G109">
            <v>41012255640</v>
          </cell>
        </row>
        <row r="110">
          <cell r="C110" t="str">
            <v>NL0011585146</v>
          </cell>
          <cell r="G110">
            <v>39234602317.68</v>
          </cell>
        </row>
        <row r="111">
          <cell r="C111" t="str">
            <v>NL0011585146</v>
          </cell>
          <cell r="G111">
            <v>39234602317.68</v>
          </cell>
        </row>
        <row r="112">
          <cell r="C112" t="str">
            <v>NL0011585146</v>
          </cell>
          <cell r="G112">
            <v>39234602317.68</v>
          </cell>
        </row>
        <row r="113">
          <cell r="C113" t="str">
            <v>DE000BASF111</v>
          </cell>
          <cell r="G113">
            <v>39141906071</v>
          </cell>
        </row>
        <row r="114">
          <cell r="C114" t="str">
            <v>DE000BASF111</v>
          </cell>
          <cell r="G114">
            <v>39141906071</v>
          </cell>
        </row>
        <row r="115">
          <cell r="C115" t="str">
            <v>DE000BASF111</v>
          </cell>
          <cell r="G115">
            <v>39141906071</v>
          </cell>
        </row>
        <row r="116">
          <cell r="C116" t="str">
            <v>FR0000130809</v>
          </cell>
          <cell r="G116">
            <v>39024208080.396004</v>
          </cell>
        </row>
        <row r="117">
          <cell r="C117" t="str">
            <v>FR0000130809</v>
          </cell>
          <cell r="G117">
            <v>39024208080.396004</v>
          </cell>
        </row>
        <row r="118">
          <cell r="C118" t="str">
            <v>FR0000130809</v>
          </cell>
          <cell r="G118">
            <v>39024208080.396004</v>
          </cell>
        </row>
        <row r="119">
          <cell r="C119" t="str">
            <v>FR0000125007</v>
          </cell>
          <cell r="G119">
            <v>36516762901.889999</v>
          </cell>
        </row>
        <row r="120">
          <cell r="C120" t="str">
            <v>FR0000125007</v>
          </cell>
          <cell r="G120">
            <v>36516762901.889999</v>
          </cell>
        </row>
        <row r="121">
          <cell r="C121" t="str">
            <v>FR0000125007</v>
          </cell>
          <cell r="G121">
            <v>36516762901.889999</v>
          </cell>
        </row>
        <row r="122">
          <cell r="C122" t="str">
            <v>FR0010307819</v>
          </cell>
          <cell r="G122">
            <v>33265871231.049999</v>
          </cell>
        </row>
        <row r="123">
          <cell r="C123" t="str">
            <v>FR0010307819</v>
          </cell>
          <cell r="G123">
            <v>33265871231.049999</v>
          </cell>
        </row>
        <row r="124">
          <cell r="C124" t="str">
            <v>FR0010307819</v>
          </cell>
          <cell r="G124">
            <v>33265871231.049999</v>
          </cell>
        </row>
        <row r="125">
          <cell r="C125" t="str">
            <v>IT0000062072</v>
          </cell>
          <cell r="G125">
            <v>33252960200.349499</v>
          </cell>
        </row>
        <row r="126">
          <cell r="C126" t="str">
            <v>IT0000062072</v>
          </cell>
          <cell r="G126">
            <v>33252960200.349499</v>
          </cell>
        </row>
        <row r="127">
          <cell r="C127" t="str">
            <v>IT0000062072</v>
          </cell>
          <cell r="G127">
            <v>33252960200.349499</v>
          </cell>
        </row>
        <row r="128">
          <cell r="C128" t="str">
            <v>IT0003132476</v>
          </cell>
          <cell r="G128">
            <v>32922715328.7136</v>
          </cell>
        </row>
        <row r="129">
          <cell r="C129" t="str">
            <v>IT0003132476</v>
          </cell>
          <cell r="G129">
            <v>32922715328.7136</v>
          </cell>
        </row>
        <row r="130">
          <cell r="C130" t="str">
            <v>IT0003132476</v>
          </cell>
          <cell r="G130">
            <v>32922715328.7136</v>
          </cell>
        </row>
        <row r="131">
          <cell r="C131" t="str">
            <v>ES0140609019</v>
          </cell>
          <cell r="G131">
            <v>32784911105.799999</v>
          </cell>
        </row>
        <row r="132">
          <cell r="C132" t="str">
            <v>ES0140609019</v>
          </cell>
          <cell r="G132">
            <v>32784911105.799999</v>
          </cell>
        </row>
        <row r="133">
          <cell r="C133" t="str">
            <v>ES0140609019</v>
          </cell>
          <cell r="G133">
            <v>32784911105.799999</v>
          </cell>
        </row>
        <row r="134">
          <cell r="C134" t="str">
            <v>NL0011794037</v>
          </cell>
          <cell r="G134">
            <v>31679902009.759998</v>
          </cell>
        </row>
        <row r="135">
          <cell r="C135" t="str">
            <v>NL0011794037</v>
          </cell>
          <cell r="G135">
            <v>31679902009.759998</v>
          </cell>
        </row>
        <row r="136">
          <cell r="C136" t="str">
            <v>NL0011794037</v>
          </cell>
          <cell r="G136">
            <v>31679902009.759998</v>
          </cell>
        </row>
        <row r="137">
          <cell r="C137" t="str">
            <v>BE0003739530</v>
          </cell>
          <cell r="G137">
            <v>29457881904.099998</v>
          </cell>
        </row>
        <row r="138">
          <cell r="C138" t="str">
            <v>BE0003739530</v>
          </cell>
          <cell r="G138">
            <v>29457881904.099998</v>
          </cell>
        </row>
        <row r="139">
          <cell r="C139" t="str">
            <v>BE0003739530</v>
          </cell>
          <cell r="G139">
            <v>29457881904.099998</v>
          </cell>
        </row>
        <row r="140">
          <cell r="C140" t="str">
            <v>AT0000652011</v>
          </cell>
          <cell r="G140">
            <v>29261464293.599998</v>
          </cell>
        </row>
        <row r="141">
          <cell r="C141" t="str">
            <v>AT0000652011</v>
          </cell>
          <cell r="G141">
            <v>29261464293.599998</v>
          </cell>
        </row>
        <row r="142">
          <cell r="C142" t="str">
            <v>AT0000652011</v>
          </cell>
          <cell r="G142">
            <v>29261464293.599998</v>
          </cell>
        </row>
        <row r="143">
          <cell r="C143" t="str">
            <v>FI0009000681</v>
          </cell>
          <cell r="G143">
            <v>27984805177.950001</v>
          </cell>
        </row>
        <row r="144">
          <cell r="C144" t="str">
            <v>FI0009000681</v>
          </cell>
          <cell r="G144">
            <v>27984805177.950001</v>
          </cell>
        </row>
        <row r="145">
          <cell r="C145" t="str">
            <v>FI0009000681</v>
          </cell>
          <cell r="G145">
            <v>27984805177.950001</v>
          </cell>
        </row>
        <row r="146">
          <cell r="C146" t="str">
            <v>IE00BYTBXV33</v>
          </cell>
          <cell r="G146">
            <v>27923605785.919998</v>
          </cell>
        </row>
        <row r="147">
          <cell r="C147" t="str">
            <v>IE00BYTBXV33</v>
          </cell>
          <cell r="G147">
            <v>27923605785.919998</v>
          </cell>
        </row>
        <row r="148">
          <cell r="C148" t="str">
            <v>IE00BYTBXV33</v>
          </cell>
          <cell r="G148">
            <v>27923605785.919998</v>
          </cell>
        </row>
        <row r="149">
          <cell r="C149" t="str">
            <v>ES0109067019</v>
          </cell>
          <cell r="G149">
            <v>27858870528</v>
          </cell>
        </row>
        <row r="150">
          <cell r="C150" t="str">
            <v>ES0109067019</v>
          </cell>
          <cell r="G150">
            <v>27858870528</v>
          </cell>
        </row>
        <row r="151">
          <cell r="C151" t="str">
            <v>ES0109067019</v>
          </cell>
          <cell r="G151">
            <v>27858870528</v>
          </cell>
        </row>
        <row r="152">
          <cell r="C152" t="str">
            <v>DE000A1EWWW0</v>
          </cell>
          <cell r="G152">
            <v>25923600000</v>
          </cell>
        </row>
        <row r="153">
          <cell r="C153" t="str">
            <v>DE000A1EWWW0</v>
          </cell>
          <cell r="G153">
            <v>25923600000</v>
          </cell>
        </row>
        <row r="154">
          <cell r="C154" t="str">
            <v>DE000A1EWWW0</v>
          </cell>
          <cell r="G154">
            <v>25923600000</v>
          </cell>
        </row>
        <row r="155">
          <cell r="C155" t="str">
            <v>NL0015001FS8</v>
          </cell>
          <cell r="G155">
            <v>25812047461.200001</v>
          </cell>
        </row>
        <row r="156">
          <cell r="C156" t="str">
            <v>NL0015001FS8</v>
          </cell>
          <cell r="G156">
            <v>25812047461.200001</v>
          </cell>
        </row>
        <row r="157">
          <cell r="C157" t="str">
            <v>NL0015001FS8</v>
          </cell>
          <cell r="G157">
            <v>25812047461.200001</v>
          </cell>
        </row>
        <row r="158">
          <cell r="C158" t="str">
            <v>DE0006047004</v>
          </cell>
          <cell r="G158">
            <v>25767186051.599998</v>
          </cell>
        </row>
        <row r="159">
          <cell r="C159" t="str">
            <v>DE0006047004</v>
          </cell>
          <cell r="G159">
            <v>25767186051.599998</v>
          </cell>
        </row>
        <row r="160">
          <cell r="C160" t="str">
            <v>DE0006047004</v>
          </cell>
          <cell r="G160">
            <v>25767186051.599998</v>
          </cell>
        </row>
        <row r="161">
          <cell r="C161" t="str">
            <v>FI4000552500</v>
          </cell>
          <cell r="G161">
            <v>25245994750.200001</v>
          </cell>
        </row>
        <row r="162">
          <cell r="C162" t="str">
            <v>FI4000552500</v>
          </cell>
          <cell r="G162">
            <v>25245994750.200001</v>
          </cell>
        </row>
        <row r="163">
          <cell r="C163" t="str">
            <v>FI4000552500</v>
          </cell>
          <cell r="G163">
            <v>25245994750.200001</v>
          </cell>
        </row>
        <row r="164">
          <cell r="C164" t="str">
            <v>NL0015000IY2</v>
          </cell>
          <cell r="G164">
            <v>24882506961.564011</v>
          </cell>
        </row>
        <row r="165">
          <cell r="C165" t="str">
            <v>NL0015000IY2</v>
          </cell>
          <cell r="G165">
            <v>24882506961.564011</v>
          </cell>
        </row>
        <row r="166">
          <cell r="C166" t="str">
            <v>NL0015000IY2</v>
          </cell>
          <cell r="G166">
            <v>24882506961.564011</v>
          </cell>
        </row>
        <row r="167">
          <cell r="C167" t="str">
            <v>BE0003565737</v>
          </cell>
          <cell r="G167">
            <v>24193551969.317501</v>
          </cell>
        </row>
        <row r="168">
          <cell r="C168" t="str">
            <v>BE0003565737</v>
          </cell>
          <cell r="G168">
            <v>24193551969.317501</v>
          </cell>
        </row>
        <row r="169">
          <cell r="C169" t="str">
            <v>BE0003565737</v>
          </cell>
          <cell r="G169">
            <v>24193551969.317501</v>
          </cell>
        </row>
        <row r="170">
          <cell r="C170" t="str">
            <v>FR0000133308</v>
          </cell>
          <cell r="G170">
            <v>24111418027.485748</v>
          </cell>
        </row>
        <row r="171">
          <cell r="C171" t="str">
            <v>FR0000133308</v>
          </cell>
          <cell r="G171">
            <v>24111418027.485748</v>
          </cell>
        </row>
        <row r="172">
          <cell r="C172" t="str">
            <v>FR0000133308</v>
          </cell>
          <cell r="G172">
            <v>24111418027.485748</v>
          </cell>
        </row>
        <row r="173">
          <cell r="C173" t="str">
            <v>IT0004176001</v>
          </cell>
          <cell r="G173">
            <v>23949228918.400002</v>
          </cell>
        </row>
        <row r="174">
          <cell r="C174" t="str">
            <v>IT0004176001</v>
          </cell>
          <cell r="G174">
            <v>23949228918.400002</v>
          </cell>
        </row>
        <row r="175">
          <cell r="C175" t="str">
            <v>IT0004176001</v>
          </cell>
          <cell r="G175">
            <v>23949228918.400002</v>
          </cell>
        </row>
        <row r="176">
          <cell r="C176" t="str">
            <v>DE0005190003</v>
          </cell>
          <cell r="G176">
            <v>23870680773</v>
          </cell>
        </row>
        <row r="177">
          <cell r="C177" t="str">
            <v>DE0005190003</v>
          </cell>
          <cell r="G177">
            <v>23870680773</v>
          </cell>
        </row>
        <row r="178">
          <cell r="C178" t="str">
            <v>DE0005190003</v>
          </cell>
          <cell r="G178">
            <v>23870680773</v>
          </cell>
        </row>
        <row r="179">
          <cell r="C179" t="str">
            <v>NL0000334118</v>
          </cell>
          <cell r="G179">
            <v>23445858864.400002</v>
          </cell>
        </row>
        <row r="180">
          <cell r="C180" t="str">
            <v>NL0000334118</v>
          </cell>
          <cell r="G180">
            <v>23445858864.400002</v>
          </cell>
        </row>
        <row r="181">
          <cell r="C181" t="str">
            <v>NL0000334118</v>
          </cell>
          <cell r="G181">
            <v>23445858864.400002</v>
          </cell>
        </row>
        <row r="182">
          <cell r="C182" t="str">
            <v>FI0009013403</v>
          </cell>
          <cell r="G182">
            <v>22134112616.330002</v>
          </cell>
        </row>
        <row r="183">
          <cell r="C183" t="str">
            <v>FI0009013403</v>
          </cell>
          <cell r="G183">
            <v>22134112616.330002</v>
          </cell>
        </row>
        <row r="184">
          <cell r="C184" t="str">
            <v>FI0009013403</v>
          </cell>
          <cell r="G184">
            <v>22134112616.330002</v>
          </cell>
        </row>
        <row r="185">
          <cell r="C185" t="str">
            <v>FR0000121485</v>
          </cell>
          <cell r="G185">
            <v>21934340666.16</v>
          </cell>
        </row>
        <row r="186">
          <cell r="C186" t="str">
            <v>FR0000121485</v>
          </cell>
          <cell r="G186">
            <v>21934340666.16</v>
          </cell>
        </row>
        <row r="187">
          <cell r="C187" t="str">
            <v>FR0000121485</v>
          </cell>
          <cell r="G187">
            <v>21934340666.16</v>
          </cell>
        </row>
        <row r="188">
          <cell r="C188" t="str">
            <v>NL0000395903</v>
          </cell>
          <cell r="G188">
            <v>21568198352.279999</v>
          </cell>
        </row>
        <row r="189">
          <cell r="C189" t="str">
            <v>NL0000395903</v>
          </cell>
          <cell r="G189">
            <v>21568198352.279999</v>
          </cell>
        </row>
        <row r="190">
          <cell r="C190" t="str">
            <v>NL0000395903</v>
          </cell>
          <cell r="G190">
            <v>21568198352.279999</v>
          </cell>
        </row>
        <row r="191">
          <cell r="C191" t="str">
            <v>DE000CBK1001</v>
          </cell>
          <cell r="G191">
            <v>21539687404.799999</v>
          </cell>
        </row>
        <row r="192">
          <cell r="C192" t="str">
            <v>DE000CBK1001</v>
          </cell>
          <cell r="G192">
            <v>21539687404.799999</v>
          </cell>
        </row>
        <row r="193">
          <cell r="C193" t="str">
            <v>DE000CBK1001</v>
          </cell>
          <cell r="G193">
            <v>21539687404.799999</v>
          </cell>
        </row>
        <row r="194">
          <cell r="C194" t="str">
            <v>NL0000009165</v>
          </cell>
          <cell r="G194">
            <v>20355932343.419998</v>
          </cell>
        </row>
        <row r="195">
          <cell r="C195" t="str">
            <v>NL0000009165</v>
          </cell>
          <cell r="G195">
            <v>20355932343.419998</v>
          </cell>
        </row>
        <row r="196">
          <cell r="C196" t="str">
            <v>NL0000009165</v>
          </cell>
          <cell r="G196">
            <v>20355932343.419998</v>
          </cell>
        </row>
        <row r="197">
          <cell r="C197" t="str">
            <v>FR0000130577</v>
          </cell>
          <cell r="G197">
            <v>20318246054.700001</v>
          </cell>
        </row>
        <row r="198">
          <cell r="C198" t="str">
            <v>FR0000130577</v>
          </cell>
          <cell r="G198">
            <v>20318246054.700001</v>
          </cell>
        </row>
        <row r="199">
          <cell r="C199" t="str">
            <v>FR0000130577</v>
          </cell>
          <cell r="G199">
            <v>20318246054.700001</v>
          </cell>
        </row>
        <row r="200">
          <cell r="C200" t="str">
            <v>DE0005785604</v>
          </cell>
          <cell r="G200">
            <v>19828769146.5</v>
          </cell>
        </row>
        <row r="201">
          <cell r="C201" t="str">
            <v>DE0005785604</v>
          </cell>
          <cell r="G201">
            <v>19828769146.5</v>
          </cell>
        </row>
        <row r="202">
          <cell r="C202" t="str">
            <v>DE0005785604</v>
          </cell>
          <cell r="G202">
            <v>19828769146.5</v>
          </cell>
        </row>
        <row r="203">
          <cell r="C203" t="str">
            <v>FR001400AJ45</v>
          </cell>
          <cell r="G203">
            <v>19652832093.419998</v>
          </cell>
        </row>
        <row r="204">
          <cell r="C204" t="str">
            <v>FR001400AJ45</v>
          </cell>
          <cell r="G204">
            <v>19652832093.419998</v>
          </cell>
        </row>
        <row r="205">
          <cell r="C205" t="str">
            <v>FR001400AJ45</v>
          </cell>
          <cell r="G205">
            <v>19652832093.419998</v>
          </cell>
        </row>
        <row r="206">
          <cell r="C206" t="str">
            <v>FR0000125338</v>
          </cell>
          <cell r="G206">
            <v>19152363571.025002</v>
          </cell>
        </row>
        <row r="207">
          <cell r="C207" t="str">
            <v>FR0000125338</v>
          </cell>
          <cell r="G207">
            <v>19152363571.025002</v>
          </cell>
        </row>
        <row r="208">
          <cell r="C208" t="str">
            <v>FR0000125338</v>
          </cell>
          <cell r="G208">
            <v>19152363571.025002</v>
          </cell>
        </row>
        <row r="209">
          <cell r="C209" t="str">
            <v>DE000A1ML7J1</v>
          </cell>
          <cell r="G209">
            <v>18772080026.775002</v>
          </cell>
        </row>
        <row r="210">
          <cell r="C210" t="str">
            <v>DE000A1ML7J1</v>
          </cell>
          <cell r="G210">
            <v>18772080026.775002</v>
          </cell>
        </row>
        <row r="211">
          <cell r="C211" t="str">
            <v>DE000A1ML7J1</v>
          </cell>
          <cell r="G211">
            <v>18772080026.775002</v>
          </cell>
        </row>
        <row r="212">
          <cell r="C212" t="str">
            <v>IE00BF0L3536</v>
          </cell>
          <cell r="G212">
            <v>17916788930.43</v>
          </cell>
        </row>
        <row r="213">
          <cell r="C213" t="str">
            <v>IE00BF0L3536</v>
          </cell>
          <cell r="G213">
            <v>17916788930.43</v>
          </cell>
        </row>
        <row r="214">
          <cell r="C214" t="str">
            <v>IE00BF0L3536</v>
          </cell>
          <cell r="G214">
            <v>17916788930.43</v>
          </cell>
        </row>
        <row r="215">
          <cell r="C215" t="str">
            <v>ES0105046017</v>
          </cell>
          <cell r="G215">
            <v>17340000000</v>
          </cell>
        </row>
        <row r="216">
          <cell r="C216" t="str">
            <v>ES0105046017</v>
          </cell>
          <cell r="G216">
            <v>17340000000</v>
          </cell>
        </row>
        <row r="217">
          <cell r="C217" t="str">
            <v>ES0105046017</v>
          </cell>
          <cell r="G217">
            <v>17340000000</v>
          </cell>
        </row>
        <row r="218">
          <cell r="C218" t="str">
            <v>NL00150001Q9</v>
          </cell>
          <cell r="G218">
            <v>17136356903.2957</v>
          </cell>
        </row>
        <row r="219">
          <cell r="C219" t="str">
            <v>NL00150001Q9</v>
          </cell>
          <cell r="G219">
            <v>17136356903.2957</v>
          </cell>
        </row>
        <row r="220">
          <cell r="C220" t="str">
            <v>NL00150001Q9</v>
          </cell>
          <cell r="G220">
            <v>17136356903.2957</v>
          </cell>
        </row>
        <row r="221">
          <cell r="C221" t="str">
            <v>IT0005508921</v>
          </cell>
          <cell r="G221">
            <v>16615437912.826349</v>
          </cell>
        </row>
        <row r="222">
          <cell r="C222" t="str">
            <v>IT0005508921</v>
          </cell>
          <cell r="G222">
            <v>16615437912.826349</v>
          </cell>
        </row>
        <row r="223">
          <cell r="C223" t="str">
            <v>IT0005508921</v>
          </cell>
          <cell r="G223">
            <v>16615437912.826349</v>
          </cell>
        </row>
        <row r="224">
          <cell r="C224" t="str">
            <v>FR0000120693</v>
          </cell>
          <cell r="G224">
            <v>16391443214.32</v>
          </cell>
        </row>
        <row r="225">
          <cell r="C225" t="str">
            <v>FR0000120693</v>
          </cell>
          <cell r="G225">
            <v>16391443214.32</v>
          </cell>
        </row>
        <row r="226">
          <cell r="C226" t="str">
            <v>FR0000120693</v>
          </cell>
          <cell r="G226">
            <v>16391443214.32</v>
          </cell>
        </row>
        <row r="227">
          <cell r="C227" t="str">
            <v>DE000DTR0CK8</v>
          </cell>
          <cell r="G227">
            <v>16330256532</v>
          </cell>
        </row>
        <row r="228">
          <cell r="C228" t="str">
            <v>DE000DTR0CK8</v>
          </cell>
          <cell r="G228">
            <v>16330256532</v>
          </cell>
        </row>
        <row r="229">
          <cell r="C229" t="str">
            <v>DE000DTR0CK8</v>
          </cell>
          <cell r="G229">
            <v>16330256532</v>
          </cell>
        </row>
        <row r="230">
          <cell r="C230" t="str">
            <v>NL0011540547</v>
          </cell>
          <cell r="G230">
            <v>16056458059.92</v>
          </cell>
        </row>
        <row r="231">
          <cell r="C231" t="str">
            <v>NL0011540547</v>
          </cell>
          <cell r="G231">
            <v>16056458059.92</v>
          </cell>
        </row>
        <row r="232">
          <cell r="C232" t="str">
            <v>NL0011540547</v>
          </cell>
          <cell r="G232">
            <v>16056458059.92</v>
          </cell>
        </row>
        <row r="233">
          <cell r="C233" t="str">
            <v>FR0014003TT8</v>
          </cell>
          <cell r="G233">
            <v>15755401483.424999</v>
          </cell>
        </row>
        <row r="234">
          <cell r="C234" t="str">
            <v>FR0014003TT8</v>
          </cell>
          <cell r="G234">
            <v>15755401483.424999</v>
          </cell>
        </row>
        <row r="235">
          <cell r="C235" t="str">
            <v>FR0014003TT8</v>
          </cell>
          <cell r="G235">
            <v>15755401483.424999</v>
          </cell>
        </row>
        <row r="236">
          <cell r="C236" t="str">
            <v>ES0113860A34</v>
          </cell>
          <cell r="G236">
            <v>15543258803.799999</v>
          </cell>
        </row>
        <row r="237">
          <cell r="C237" t="str">
            <v>ES0113860A34</v>
          </cell>
          <cell r="G237">
            <v>15543258803.799999</v>
          </cell>
        </row>
        <row r="238">
          <cell r="C238" t="str">
            <v>ES0113860A34</v>
          </cell>
          <cell r="G238">
            <v>15543258803.799999</v>
          </cell>
        </row>
        <row r="239">
          <cell r="C239" t="str">
            <v>NL0010773842</v>
          </cell>
          <cell r="G239">
            <v>15491441000</v>
          </cell>
        </row>
        <row r="240">
          <cell r="C240" t="str">
            <v>NL0010773842</v>
          </cell>
          <cell r="G240">
            <v>15491441000</v>
          </cell>
        </row>
        <row r="241">
          <cell r="C241" t="str">
            <v>NL0010773842</v>
          </cell>
          <cell r="G241">
            <v>15491441000</v>
          </cell>
        </row>
        <row r="242">
          <cell r="C242" t="str">
            <v>ES0105066007</v>
          </cell>
          <cell r="G242">
            <v>15390919826.700001</v>
          </cell>
        </row>
        <row r="243">
          <cell r="C243" t="str">
            <v>ES0105066007</v>
          </cell>
          <cell r="G243">
            <v>15390919826.700001</v>
          </cell>
        </row>
        <row r="244">
          <cell r="C244" t="str">
            <v>ES0105066007</v>
          </cell>
          <cell r="G244">
            <v>15390919826.700001</v>
          </cell>
        </row>
        <row r="245">
          <cell r="C245" t="str">
            <v>DE0008402215</v>
          </cell>
          <cell r="G245">
            <v>15352015922</v>
          </cell>
        </row>
        <row r="246">
          <cell r="C246" t="str">
            <v>DE0008402215</v>
          </cell>
          <cell r="G246">
            <v>15352015922</v>
          </cell>
        </row>
        <row r="247">
          <cell r="C247" t="str">
            <v>DE0008402215</v>
          </cell>
          <cell r="G247">
            <v>15352015922</v>
          </cell>
        </row>
        <row r="248">
          <cell r="C248" t="str">
            <v>NL0000009082</v>
          </cell>
          <cell r="G248">
            <v>15283496558.459999</v>
          </cell>
        </row>
        <row r="249">
          <cell r="C249" t="str">
            <v>NL0000009082</v>
          </cell>
          <cell r="G249">
            <v>15283496558.459999</v>
          </cell>
        </row>
        <row r="250">
          <cell r="C250" t="str">
            <v>NL0000009082</v>
          </cell>
          <cell r="G250">
            <v>15283496558.459999</v>
          </cell>
        </row>
        <row r="251">
          <cell r="C251" t="str">
            <v>IT0000066123</v>
          </cell>
          <cell r="G251">
            <v>15004977250.8825</v>
          </cell>
        </row>
        <row r="252">
          <cell r="C252" t="str">
            <v>IT0000066123</v>
          </cell>
          <cell r="G252">
            <v>15004977250.8825</v>
          </cell>
        </row>
        <row r="253">
          <cell r="C253" t="str">
            <v>IT0000066123</v>
          </cell>
          <cell r="G253">
            <v>15004977250.8825</v>
          </cell>
        </row>
        <row r="254">
          <cell r="C254" t="str">
            <v>ES0167050915</v>
          </cell>
          <cell r="G254">
            <v>14731011850.5</v>
          </cell>
        </row>
        <row r="255">
          <cell r="C255" t="str">
            <v>ES0167050915</v>
          </cell>
          <cell r="G255">
            <v>14731011850.5</v>
          </cell>
        </row>
        <row r="256">
          <cell r="C256" t="str">
            <v>ES0167050915</v>
          </cell>
          <cell r="G256">
            <v>14731011850.5</v>
          </cell>
        </row>
        <row r="257">
          <cell r="C257" t="str">
            <v>FR0000045072</v>
          </cell>
          <cell r="G257">
            <v>14615108350.5</v>
          </cell>
        </row>
        <row r="258">
          <cell r="C258" t="str">
            <v>FR0000045072</v>
          </cell>
          <cell r="G258">
            <v>14615108350.5</v>
          </cell>
        </row>
        <row r="259">
          <cell r="C259" t="str">
            <v>FR0000045072</v>
          </cell>
          <cell r="G259">
            <v>14615108350.5</v>
          </cell>
        </row>
        <row r="260">
          <cell r="C260" t="str">
            <v>LU1598757687</v>
          </cell>
          <cell r="G260">
            <v>14519086368.299999</v>
          </cell>
        </row>
        <row r="261">
          <cell r="C261" t="str">
            <v>LU1598757687</v>
          </cell>
          <cell r="G261">
            <v>14519086368.299999</v>
          </cell>
        </row>
        <row r="262">
          <cell r="C262" t="str">
            <v>LU1598757687</v>
          </cell>
          <cell r="G262">
            <v>14519086368.299999</v>
          </cell>
        </row>
        <row r="263">
          <cell r="C263" t="str">
            <v>DE0006599905</v>
          </cell>
          <cell r="G263">
            <v>14513904675</v>
          </cell>
        </row>
        <row r="264">
          <cell r="C264" t="str">
            <v>DE0006599905</v>
          </cell>
          <cell r="G264">
            <v>14513904675</v>
          </cell>
        </row>
        <row r="265">
          <cell r="C265" t="str">
            <v>DE0006599905</v>
          </cell>
          <cell r="G265">
            <v>14513904675</v>
          </cell>
        </row>
        <row r="266">
          <cell r="C266" t="str">
            <v>IT0005218380</v>
          </cell>
          <cell r="G266">
            <v>14193468565.305</v>
          </cell>
        </row>
        <row r="267">
          <cell r="C267" t="str">
            <v>IT0005218380</v>
          </cell>
          <cell r="G267">
            <v>14193468565.305</v>
          </cell>
        </row>
        <row r="268">
          <cell r="C268" t="str">
            <v>IT0005218380</v>
          </cell>
          <cell r="G268">
            <v>14193468565.305</v>
          </cell>
        </row>
        <row r="269">
          <cell r="C269" t="str">
            <v>CH1216478797</v>
          </cell>
          <cell r="G269">
            <v>14175163681.74</v>
          </cell>
        </row>
        <row r="270">
          <cell r="C270" t="str">
            <v>CH1216478797</v>
          </cell>
          <cell r="G270">
            <v>14175163681.74</v>
          </cell>
        </row>
        <row r="271">
          <cell r="C271" t="str">
            <v>CH1216478797</v>
          </cell>
          <cell r="G271">
            <v>14175163681.74</v>
          </cell>
        </row>
        <row r="272">
          <cell r="C272" t="str">
            <v>DE000SHL1006</v>
          </cell>
          <cell r="G272">
            <v>14134968000</v>
          </cell>
        </row>
        <row r="273">
          <cell r="C273" t="str">
            <v>DE000SHL1006</v>
          </cell>
          <cell r="G273">
            <v>14134968000</v>
          </cell>
        </row>
        <row r="274">
          <cell r="C274" t="str">
            <v>DE000SHL1006</v>
          </cell>
          <cell r="G274">
            <v>14134968000</v>
          </cell>
        </row>
        <row r="275">
          <cell r="C275" t="str">
            <v>IE00BD1RP616</v>
          </cell>
          <cell r="G275">
            <v>13833440240.536501</v>
          </cell>
        </row>
        <row r="276">
          <cell r="C276" t="str">
            <v>IE00BD1RP616</v>
          </cell>
          <cell r="G276">
            <v>13833440240.536501</v>
          </cell>
        </row>
        <row r="277">
          <cell r="C277" t="str">
            <v>IE00BD1RP616</v>
          </cell>
          <cell r="G277">
            <v>13833440240.536501</v>
          </cell>
        </row>
        <row r="278">
          <cell r="C278" t="str">
            <v>ES0178430E18</v>
          </cell>
          <cell r="G278">
            <v>13540912916.959999</v>
          </cell>
        </row>
        <row r="279">
          <cell r="C279" t="str">
            <v>ES0178430E18</v>
          </cell>
          <cell r="G279">
            <v>13540912916.959999</v>
          </cell>
        </row>
        <row r="280">
          <cell r="C280" t="str">
            <v>ES0178430E18</v>
          </cell>
          <cell r="G280">
            <v>13540912916.959999</v>
          </cell>
        </row>
        <row r="281">
          <cell r="C281" t="str">
            <v>IT0003242622</v>
          </cell>
          <cell r="G281">
            <v>12910580614.4</v>
          </cell>
        </row>
        <row r="282">
          <cell r="C282" t="str">
            <v>IT0003242622</v>
          </cell>
          <cell r="G282">
            <v>12910580614.4</v>
          </cell>
        </row>
        <row r="283">
          <cell r="C283" t="str">
            <v>IT0003242622</v>
          </cell>
          <cell r="G283">
            <v>12910580614.4</v>
          </cell>
        </row>
        <row r="284">
          <cell r="C284" t="str">
            <v>IE0004906560</v>
          </cell>
          <cell r="G284">
            <v>12645207433.75</v>
          </cell>
        </row>
        <row r="285">
          <cell r="C285" t="str">
            <v>IE0004906560</v>
          </cell>
          <cell r="G285">
            <v>12645207433.75</v>
          </cell>
        </row>
        <row r="286">
          <cell r="C286" t="str">
            <v>IE0004906560</v>
          </cell>
          <cell r="G286">
            <v>12645207433.75</v>
          </cell>
        </row>
        <row r="287">
          <cell r="C287" t="str">
            <v>IT0000072170</v>
          </cell>
          <cell r="G287">
            <v>12604567365.809999</v>
          </cell>
        </row>
        <row r="288">
          <cell r="C288" t="str">
            <v>IT0000072170</v>
          </cell>
          <cell r="G288">
            <v>12604567365.809999</v>
          </cell>
        </row>
        <row r="289">
          <cell r="C289" t="str">
            <v>IT0000072170</v>
          </cell>
          <cell r="G289">
            <v>12604567365.809999</v>
          </cell>
        </row>
        <row r="290">
          <cell r="C290" t="str">
            <v>IT0004965148</v>
          </cell>
          <cell r="G290">
            <v>12359672587.104</v>
          </cell>
        </row>
        <row r="291">
          <cell r="C291" t="str">
            <v>IT0004965148</v>
          </cell>
          <cell r="G291">
            <v>12359672587.104</v>
          </cell>
        </row>
        <row r="292">
          <cell r="C292" t="str">
            <v>IT0004965148</v>
          </cell>
          <cell r="G292">
            <v>12359672587.104</v>
          </cell>
        </row>
        <row r="293">
          <cell r="C293" t="str">
            <v>NL0000226223</v>
          </cell>
          <cell r="G293">
            <v>11998849040.639999</v>
          </cell>
        </row>
        <row r="294">
          <cell r="C294" t="str">
            <v>NL0000226223</v>
          </cell>
          <cell r="G294">
            <v>11998849040.639999</v>
          </cell>
        </row>
        <row r="295">
          <cell r="C295" t="str">
            <v>NL0000226223</v>
          </cell>
          <cell r="G295">
            <v>11998849040.639999</v>
          </cell>
        </row>
        <row r="296">
          <cell r="C296" t="str">
            <v>IT0003153415</v>
          </cell>
          <cell r="G296">
            <v>11538497029.858801</v>
          </cell>
        </row>
        <row r="297">
          <cell r="C297" t="str">
            <v>IT0003153415</v>
          </cell>
          <cell r="G297">
            <v>11538497029.858801</v>
          </cell>
        </row>
        <row r="298">
          <cell r="C298" t="str">
            <v>IT0003153415</v>
          </cell>
          <cell r="G298">
            <v>11538497029.858801</v>
          </cell>
        </row>
        <row r="299">
          <cell r="C299" t="str">
            <v>DE0006048432</v>
          </cell>
          <cell r="G299">
            <v>11259537058.26</v>
          </cell>
        </row>
        <row r="300">
          <cell r="C300" t="str">
            <v>DE0006048432</v>
          </cell>
          <cell r="G300">
            <v>11259537058.26</v>
          </cell>
        </row>
        <row r="301">
          <cell r="C301" t="str">
            <v>DE0006048432</v>
          </cell>
          <cell r="G301">
            <v>11259537058.26</v>
          </cell>
        </row>
        <row r="302">
          <cell r="C302" t="str">
            <v>FR0013326246</v>
          </cell>
          <cell r="G302">
            <v>10885166804.73</v>
          </cell>
        </row>
        <row r="303">
          <cell r="C303" t="str">
            <v>FR0013326246</v>
          </cell>
          <cell r="G303">
            <v>10885166804.73</v>
          </cell>
        </row>
        <row r="304">
          <cell r="C304" t="str">
            <v>FR0013326246</v>
          </cell>
          <cell r="G304">
            <v>10885166804.73</v>
          </cell>
        </row>
        <row r="305">
          <cell r="C305" t="str">
            <v>IE0004927939</v>
          </cell>
          <cell r="G305">
            <v>10219887392.5825</v>
          </cell>
        </row>
        <row r="306">
          <cell r="C306" t="str">
            <v>IE0004927939</v>
          </cell>
          <cell r="G306">
            <v>10219887392.5825</v>
          </cell>
        </row>
        <row r="307">
          <cell r="C307" t="str">
            <v>IE0004927939</v>
          </cell>
          <cell r="G307">
            <v>10219887392.5825</v>
          </cell>
        </row>
        <row r="308">
          <cell r="C308" t="str">
            <v>NL0006294274</v>
          </cell>
          <cell r="G308">
            <v>9809008204.7999992</v>
          </cell>
        </row>
        <row r="309">
          <cell r="C309" t="str">
            <v>NL0006294274</v>
          </cell>
          <cell r="G309">
            <v>9809008204.7999992</v>
          </cell>
        </row>
        <row r="310">
          <cell r="C310" t="str">
            <v>NL0006294274</v>
          </cell>
          <cell r="G310">
            <v>9809008204.7999992</v>
          </cell>
        </row>
        <row r="311">
          <cell r="C311" t="str">
            <v>IT0003796171</v>
          </cell>
          <cell r="G311">
            <v>9535909110</v>
          </cell>
        </row>
        <row r="312">
          <cell r="C312" t="str">
            <v>IT0003796171</v>
          </cell>
          <cell r="G312">
            <v>9535909110</v>
          </cell>
        </row>
        <row r="313">
          <cell r="C313" t="str">
            <v>IT0003796171</v>
          </cell>
          <cell r="G313">
            <v>9535909110</v>
          </cell>
        </row>
        <row r="314">
          <cell r="C314" t="str">
            <v>DE000SYM9999</v>
          </cell>
          <cell r="G314">
            <v>9406379420.8999996</v>
          </cell>
        </row>
        <row r="315">
          <cell r="C315" t="str">
            <v>DE000SYM9999</v>
          </cell>
          <cell r="G315">
            <v>9406379420.8999996</v>
          </cell>
        </row>
        <row r="316">
          <cell r="C316" t="str">
            <v>DE000SYM9999</v>
          </cell>
          <cell r="G316">
            <v>9406379420.8999996</v>
          </cell>
        </row>
        <row r="317">
          <cell r="C317" t="str">
            <v>BE0974264930</v>
          </cell>
          <cell r="G317">
            <v>9262566596.1600018</v>
          </cell>
        </row>
        <row r="318">
          <cell r="C318" t="str">
            <v>BE0974264930</v>
          </cell>
          <cell r="G318">
            <v>9262566596.1600018</v>
          </cell>
        </row>
        <row r="319">
          <cell r="C319" t="str">
            <v>BE0974264930</v>
          </cell>
          <cell r="G319">
            <v>9262566596.1600018</v>
          </cell>
        </row>
        <row r="320">
          <cell r="C320" t="str">
            <v>FR0006174348</v>
          </cell>
          <cell r="G320">
            <v>9218130571.2000008</v>
          </cell>
        </row>
        <row r="321">
          <cell r="C321" t="str">
            <v>FR0006174348</v>
          </cell>
          <cell r="G321">
            <v>9218130571.2000008</v>
          </cell>
        </row>
        <row r="322">
          <cell r="C322" t="str">
            <v>FR0006174348</v>
          </cell>
          <cell r="G322">
            <v>9218130571.2000008</v>
          </cell>
        </row>
        <row r="323">
          <cell r="C323" t="str">
            <v>FR0000120172</v>
          </cell>
          <cell r="G323">
            <v>9082995158.4067478</v>
          </cell>
        </row>
        <row r="324">
          <cell r="C324" t="str">
            <v>FR0000120172</v>
          </cell>
          <cell r="G324">
            <v>9082995158.4067478</v>
          </cell>
        </row>
        <row r="325">
          <cell r="C325" t="str">
            <v>FR0000120172</v>
          </cell>
          <cell r="G325">
            <v>9082995158.4067478</v>
          </cell>
        </row>
        <row r="326">
          <cell r="C326" t="str">
            <v>NL0012866412</v>
          </cell>
          <cell r="G326">
            <v>8968337483.7600002</v>
          </cell>
        </row>
        <row r="327">
          <cell r="C327" t="str">
            <v>NL0012866412</v>
          </cell>
          <cell r="G327">
            <v>8968337483.7600002</v>
          </cell>
        </row>
        <row r="328">
          <cell r="C328" t="str">
            <v>NL0012866412</v>
          </cell>
          <cell r="G328">
            <v>8968337483.7600002</v>
          </cell>
        </row>
        <row r="329">
          <cell r="C329" t="str">
            <v>NL0015002CX3</v>
          </cell>
          <cell r="G329">
            <v>8756039580</v>
          </cell>
        </row>
        <row r="330">
          <cell r="C330" t="str">
            <v>NL0015002CX3</v>
          </cell>
          <cell r="G330">
            <v>8756039580</v>
          </cell>
        </row>
        <row r="331">
          <cell r="C331" t="str">
            <v>NL0015002CX3</v>
          </cell>
          <cell r="G331">
            <v>8756039580</v>
          </cell>
        </row>
        <row r="332">
          <cell r="C332" t="str">
            <v>NL0013267909</v>
          </cell>
          <cell r="G332">
            <v>8752233443.4359989</v>
          </cell>
        </row>
        <row r="333">
          <cell r="C333" t="str">
            <v>NL0013267909</v>
          </cell>
          <cell r="G333">
            <v>8752233443.4359989</v>
          </cell>
        </row>
        <row r="334">
          <cell r="C334" t="str">
            <v>NL0013267909</v>
          </cell>
          <cell r="G334">
            <v>8752233443.4359989</v>
          </cell>
        </row>
        <row r="335">
          <cell r="C335" t="str">
            <v>AT0000BAWAG2</v>
          </cell>
          <cell r="G335">
            <v>8547000000</v>
          </cell>
        </row>
        <row r="336">
          <cell r="C336" t="str">
            <v>AT0000BAWAG2</v>
          </cell>
          <cell r="G336">
            <v>8547000000</v>
          </cell>
        </row>
        <row r="337">
          <cell r="C337" t="str">
            <v>AT0000BAWAG2</v>
          </cell>
          <cell r="G337">
            <v>8547000000</v>
          </cell>
        </row>
        <row r="338">
          <cell r="C338" t="str">
            <v>DE0006602006</v>
          </cell>
          <cell r="G338">
            <v>8403008197.0500002</v>
          </cell>
        </row>
        <row r="339">
          <cell r="C339" t="str">
            <v>DE0006602006</v>
          </cell>
          <cell r="G339">
            <v>8403008197.0500002</v>
          </cell>
        </row>
        <row r="340">
          <cell r="C340" t="str">
            <v>DE0006602006</v>
          </cell>
          <cell r="G340">
            <v>8403008197.0500002</v>
          </cell>
        </row>
        <row r="341">
          <cell r="C341" t="str">
            <v>NL0011872643</v>
          </cell>
          <cell r="G341">
            <v>8402183041.7000008</v>
          </cell>
        </row>
        <row r="342">
          <cell r="C342" t="str">
            <v>NL0011872643</v>
          </cell>
          <cell r="G342">
            <v>8402183041.7000008</v>
          </cell>
        </row>
        <row r="343">
          <cell r="C343" t="str">
            <v>NL0011872643</v>
          </cell>
          <cell r="G343">
            <v>8402183041.7000008</v>
          </cell>
        </row>
        <row r="344">
          <cell r="C344" t="str">
            <v>ES0113679I37</v>
          </cell>
          <cell r="G344">
            <v>8399904171.749999</v>
          </cell>
        </row>
        <row r="345">
          <cell r="C345" t="str">
            <v>ES0113679I37</v>
          </cell>
          <cell r="G345">
            <v>8399904171.749999</v>
          </cell>
        </row>
        <row r="346">
          <cell r="C346" t="str">
            <v>ES0113679I37</v>
          </cell>
          <cell r="G346">
            <v>8399904171.749999</v>
          </cell>
        </row>
        <row r="347">
          <cell r="C347" t="str">
            <v>FR0000120404</v>
          </cell>
          <cell r="G347">
            <v>8375329888.4549999</v>
          </cell>
        </row>
        <row r="348">
          <cell r="C348" t="str">
            <v>FR0000120404</v>
          </cell>
          <cell r="G348">
            <v>8375329888.4549999</v>
          </cell>
        </row>
        <row r="349">
          <cell r="C349" t="str">
            <v>FR0000120404</v>
          </cell>
          <cell r="G349">
            <v>8375329888.4549999</v>
          </cell>
        </row>
        <row r="350">
          <cell r="C350" t="str">
            <v>FI0009014575</v>
          </cell>
          <cell r="G350">
            <v>8362259085</v>
          </cell>
        </row>
        <row r="351">
          <cell r="C351" t="str">
            <v>FI0009014575</v>
          </cell>
          <cell r="G351">
            <v>8362259085</v>
          </cell>
        </row>
        <row r="352">
          <cell r="C352" t="str">
            <v>FI0009014575</v>
          </cell>
          <cell r="G352">
            <v>8362259085</v>
          </cell>
        </row>
        <row r="353">
          <cell r="C353" t="str">
            <v>DE0005785802</v>
          </cell>
          <cell r="G353">
            <v>8326486884.0999994</v>
          </cell>
        </row>
        <row r="354">
          <cell r="C354" t="str">
            <v>DE0005785802</v>
          </cell>
          <cell r="G354">
            <v>8326486884.0999994</v>
          </cell>
        </row>
        <row r="355">
          <cell r="C355" t="str">
            <v>DE0005785802</v>
          </cell>
          <cell r="G355">
            <v>8326486884.0999994</v>
          </cell>
        </row>
        <row r="356">
          <cell r="C356" t="str">
            <v>FR0000130452</v>
          </cell>
          <cell r="G356">
            <v>8265075000</v>
          </cell>
        </row>
        <row r="357">
          <cell r="C357" t="str">
            <v>FR0000130452</v>
          </cell>
          <cell r="G357">
            <v>8265075000</v>
          </cell>
        </row>
        <row r="358">
          <cell r="C358" t="str">
            <v>FR0000130452</v>
          </cell>
          <cell r="G358">
            <v>8265075000</v>
          </cell>
        </row>
        <row r="359">
          <cell r="C359" t="str">
            <v>DE0008232125</v>
          </cell>
          <cell r="G359">
            <v>8102521599.3700008</v>
          </cell>
        </row>
        <row r="360">
          <cell r="C360" t="str">
            <v>DE0008232125</v>
          </cell>
          <cell r="G360">
            <v>8102521599.3700008</v>
          </cell>
        </row>
        <row r="361">
          <cell r="C361" t="str">
            <v>DE0008232125</v>
          </cell>
          <cell r="G361">
            <v>8102521599.3700008</v>
          </cell>
        </row>
        <row r="362">
          <cell r="C362" t="str">
            <v>BMG0112X1056</v>
          </cell>
          <cell r="G362">
            <v>8082179442.4799995</v>
          </cell>
        </row>
        <row r="363">
          <cell r="C363" t="str">
            <v>BMG0112X1056</v>
          </cell>
          <cell r="G363">
            <v>8082179442.4799995</v>
          </cell>
        </row>
        <row r="364">
          <cell r="C364" t="str">
            <v>BMG0112X1056</v>
          </cell>
          <cell r="G364">
            <v>8082179442.4799995</v>
          </cell>
        </row>
        <row r="365">
          <cell r="C365" t="str">
            <v>FR0000120503</v>
          </cell>
          <cell r="G365">
            <v>8008071424.5</v>
          </cell>
        </row>
        <row r="366">
          <cell r="C366" t="str">
            <v>FR0000120503</v>
          </cell>
          <cell r="G366">
            <v>8008071424.5</v>
          </cell>
        </row>
        <row r="367">
          <cell r="C367" t="str">
            <v>FR0000120503</v>
          </cell>
          <cell r="G367">
            <v>8008071424.5</v>
          </cell>
        </row>
        <row r="368">
          <cell r="C368" t="str">
            <v>FR0010220475</v>
          </cell>
          <cell r="G368">
            <v>7789825226.7600002</v>
          </cell>
        </row>
        <row r="369">
          <cell r="C369" t="str">
            <v>FR0010220475</v>
          </cell>
          <cell r="G369">
            <v>7789825226.7600002</v>
          </cell>
        </row>
        <row r="370">
          <cell r="C370" t="str">
            <v>FR0010220475</v>
          </cell>
          <cell r="G370">
            <v>7789825226.7600002</v>
          </cell>
        </row>
        <row r="371">
          <cell r="C371" t="str">
            <v>DE0005200000</v>
          </cell>
          <cell r="G371">
            <v>7573971999.999999</v>
          </cell>
        </row>
        <row r="372">
          <cell r="C372" t="str">
            <v>DE0005200000</v>
          </cell>
          <cell r="G372">
            <v>7573971999.999999</v>
          </cell>
        </row>
        <row r="373">
          <cell r="C373" t="str">
            <v>DE0005200000</v>
          </cell>
          <cell r="G373">
            <v>7573971999.999999</v>
          </cell>
        </row>
        <row r="374">
          <cell r="C374" t="str">
            <v>FR0000121964</v>
          </cell>
          <cell r="G374">
            <v>7536416710.7840014</v>
          </cell>
        </row>
        <row r="375">
          <cell r="C375" t="str">
            <v>FR0000121964</v>
          </cell>
          <cell r="G375">
            <v>7536416710.7840014</v>
          </cell>
        </row>
        <row r="376">
          <cell r="C376" t="str">
            <v>FR0000121964</v>
          </cell>
          <cell r="G376">
            <v>7536416710.7840014</v>
          </cell>
        </row>
        <row r="377">
          <cell r="C377" t="str">
            <v>IT0004810054</v>
          </cell>
          <cell r="G377">
            <v>7446298802.7780008</v>
          </cell>
        </row>
        <row r="378">
          <cell r="C378" t="str">
            <v>IT0004810054</v>
          </cell>
          <cell r="G378">
            <v>7446298802.7780008</v>
          </cell>
        </row>
        <row r="379">
          <cell r="C379" t="str">
            <v>IT0004810054</v>
          </cell>
          <cell r="G379">
            <v>7446298802.7780008</v>
          </cell>
        </row>
        <row r="380">
          <cell r="C380" t="str">
            <v>PTGAL0AM0009</v>
          </cell>
          <cell r="G380">
            <v>7299778025.5650024</v>
          </cell>
        </row>
        <row r="381">
          <cell r="C381" t="str">
            <v>PTGAL0AM0009</v>
          </cell>
          <cell r="G381">
            <v>7299778025.5650024</v>
          </cell>
        </row>
        <row r="382">
          <cell r="C382" t="str">
            <v>PTGAL0AM0009</v>
          </cell>
          <cell r="G382">
            <v>7299778025.5650024</v>
          </cell>
        </row>
        <row r="383">
          <cell r="C383" t="str">
            <v>PTBCP0AM0015</v>
          </cell>
          <cell r="G383">
            <v>7095111443.0668812</v>
          </cell>
        </row>
        <row r="384">
          <cell r="C384" t="str">
            <v>PTBCP0AM0015</v>
          </cell>
          <cell r="G384">
            <v>7095111443.0668812</v>
          </cell>
        </row>
        <row r="385">
          <cell r="C385" t="str">
            <v>PTBCP0AM0015</v>
          </cell>
          <cell r="G385">
            <v>7095111443.0668812</v>
          </cell>
        </row>
        <row r="386">
          <cell r="C386" t="str">
            <v>FI0009013296</v>
          </cell>
          <cell r="G386">
            <v>7075780238.1750011</v>
          </cell>
        </row>
        <row r="387">
          <cell r="C387" t="str">
            <v>FI0009013296</v>
          </cell>
          <cell r="G387">
            <v>7075780238.1750011</v>
          </cell>
        </row>
        <row r="388">
          <cell r="C388" t="str">
            <v>FI0009013296</v>
          </cell>
          <cell r="G388">
            <v>7075780238.1750011</v>
          </cell>
        </row>
        <row r="389">
          <cell r="C389" t="str">
            <v>DE000TLX1005</v>
          </cell>
          <cell r="G389">
            <v>6998005900</v>
          </cell>
        </row>
        <row r="390">
          <cell r="C390" t="str">
            <v>DE000TLX1005</v>
          </cell>
          <cell r="G390">
            <v>6998005900</v>
          </cell>
        </row>
        <row r="391">
          <cell r="C391" t="str">
            <v>DE000TLX1005</v>
          </cell>
          <cell r="G391">
            <v>6998005900</v>
          </cell>
        </row>
        <row r="392">
          <cell r="C392" t="str">
            <v>FR0010451203</v>
          </cell>
          <cell r="G392">
            <v>6909988673.5424995</v>
          </cell>
        </row>
        <row r="393">
          <cell r="C393" t="str">
            <v>FR0010451203</v>
          </cell>
          <cell r="G393">
            <v>6909988673.5424995</v>
          </cell>
        </row>
        <row r="394">
          <cell r="C394" t="str">
            <v>FR0010451203</v>
          </cell>
          <cell r="G394">
            <v>6909988673.5424995</v>
          </cell>
        </row>
        <row r="395">
          <cell r="C395" t="str">
            <v>DE0005439004</v>
          </cell>
          <cell r="G395">
            <v>6901606351.8600006</v>
          </cell>
        </row>
        <row r="396">
          <cell r="C396" t="str">
            <v>DE0005439004</v>
          </cell>
          <cell r="G396">
            <v>6901606351.8600006</v>
          </cell>
        </row>
        <row r="397">
          <cell r="C397" t="str">
            <v>DE0005439004</v>
          </cell>
          <cell r="G397">
            <v>6901606351.8600006</v>
          </cell>
        </row>
        <row r="398">
          <cell r="C398" t="str">
            <v>FR0014000MR3</v>
          </cell>
          <cell r="G398">
            <v>6841495791</v>
          </cell>
        </row>
        <row r="399">
          <cell r="C399" t="str">
            <v>FR0014000MR3</v>
          </cell>
          <cell r="G399">
            <v>6841495791</v>
          </cell>
        </row>
        <row r="400">
          <cell r="C400" t="str">
            <v>FR0014000MR3</v>
          </cell>
          <cell r="G400">
            <v>6841495791</v>
          </cell>
        </row>
        <row r="401">
          <cell r="C401" t="str">
            <v>FR0012757854</v>
          </cell>
          <cell r="G401">
            <v>6637559214.8879995</v>
          </cell>
        </row>
        <row r="402">
          <cell r="C402" t="str">
            <v>FR0012757854</v>
          </cell>
          <cell r="G402">
            <v>6637559214.8879995</v>
          </cell>
        </row>
        <row r="403">
          <cell r="C403" t="str">
            <v>FR0012757854</v>
          </cell>
          <cell r="G403">
            <v>6637559214.8879995</v>
          </cell>
        </row>
        <row r="404">
          <cell r="C404" t="str">
            <v>FR0000131906</v>
          </cell>
          <cell r="G404">
            <v>6596972711.4720001</v>
          </cell>
        </row>
        <row r="405">
          <cell r="C405" t="str">
            <v>FR0000131906</v>
          </cell>
          <cell r="G405">
            <v>6596972711.4720001</v>
          </cell>
        </row>
        <row r="406">
          <cell r="C406" t="str">
            <v>FR0000131906</v>
          </cell>
          <cell r="G406">
            <v>6596972711.4720001</v>
          </cell>
        </row>
        <row r="407">
          <cell r="C407" t="str">
            <v>NL0012059018</v>
          </cell>
          <cell r="G407">
            <v>6587137587.7800007</v>
          </cell>
        </row>
        <row r="408">
          <cell r="C408" t="str">
            <v>NL0012059018</v>
          </cell>
          <cell r="G408">
            <v>6587137587.7800007</v>
          </cell>
        </row>
        <row r="409">
          <cell r="C409" t="str">
            <v>NL0012059018</v>
          </cell>
          <cell r="G409">
            <v>6587137587.7800007</v>
          </cell>
        </row>
        <row r="410">
          <cell r="C410" t="str">
            <v>NL0015002MS2</v>
          </cell>
          <cell r="G410">
            <v>6586780960.0745411</v>
          </cell>
        </row>
        <row r="411">
          <cell r="C411" t="str">
            <v>NL0015002MS2</v>
          </cell>
          <cell r="G411">
            <v>6586780960.0745411</v>
          </cell>
        </row>
        <row r="412">
          <cell r="C412" t="str">
            <v>NL0015002MS2</v>
          </cell>
          <cell r="G412">
            <v>6586780960.0745411</v>
          </cell>
        </row>
        <row r="413">
          <cell r="C413" t="str">
            <v>FI0009014377</v>
          </cell>
          <cell r="G413">
            <v>6552082977</v>
          </cell>
        </row>
        <row r="414">
          <cell r="C414" t="str">
            <v>FI0009014377</v>
          </cell>
          <cell r="G414">
            <v>6552082977</v>
          </cell>
        </row>
        <row r="415">
          <cell r="C415" t="str">
            <v>FI0009014377</v>
          </cell>
          <cell r="G415">
            <v>6552082977</v>
          </cell>
        </row>
        <row r="416">
          <cell r="C416" t="str">
            <v>LU2598331598</v>
          </cell>
          <cell r="G416">
            <v>6444029522.9624996</v>
          </cell>
        </row>
        <row r="417">
          <cell r="C417" t="str">
            <v>LU2598331598</v>
          </cell>
          <cell r="G417">
            <v>6444029522.9624996</v>
          </cell>
        </row>
        <row r="418">
          <cell r="C418" t="str">
            <v>LU2598331598</v>
          </cell>
          <cell r="G418">
            <v>6444029522.9624996</v>
          </cell>
        </row>
        <row r="419">
          <cell r="C419" t="str">
            <v>ES0116870314</v>
          </cell>
          <cell r="G419">
            <v>6404299347.1500006</v>
          </cell>
        </row>
        <row r="420">
          <cell r="C420" t="str">
            <v>ES0116870314</v>
          </cell>
          <cell r="G420">
            <v>6404299347.1500006</v>
          </cell>
        </row>
        <row r="421">
          <cell r="C421" t="str">
            <v>ES0116870314</v>
          </cell>
          <cell r="G421">
            <v>6404299347.1500006</v>
          </cell>
        </row>
        <row r="422">
          <cell r="C422" t="str">
            <v>FR0011726835</v>
          </cell>
          <cell r="G422">
            <v>6365697898</v>
          </cell>
        </row>
        <row r="423">
          <cell r="C423" t="str">
            <v>FR0011726835</v>
          </cell>
          <cell r="G423">
            <v>6365697898</v>
          </cell>
        </row>
        <row r="424">
          <cell r="C424" t="str">
            <v>FR0011726835</v>
          </cell>
          <cell r="G424">
            <v>6365697898</v>
          </cell>
        </row>
        <row r="425">
          <cell r="C425" t="str">
            <v>DE000A12DM80</v>
          </cell>
          <cell r="G425">
            <v>6316312500</v>
          </cell>
        </row>
        <row r="426">
          <cell r="C426" t="str">
            <v>DE000A12DM80</v>
          </cell>
          <cell r="G426">
            <v>6316312500</v>
          </cell>
        </row>
        <row r="427">
          <cell r="C427" t="str">
            <v>DE000A12DM80</v>
          </cell>
          <cell r="G427">
            <v>6316312500</v>
          </cell>
        </row>
        <row r="428">
          <cell r="C428" t="str">
            <v>IT0005211237</v>
          </cell>
          <cell r="G428">
            <v>6293926951.0032511</v>
          </cell>
        </row>
        <row r="429">
          <cell r="C429" t="str">
            <v>IT0005211237</v>
          </cell>
          <cell r="G429">
            <v>6293926951.0032511</v>
          </cell>
        </row>
        <row r="430">
          <cell r="C430" t="str">
            <v>IT0005211237</v>
          </cell>
          <cell r="G430">
            <v>6293926951.0032511</v>
          </cell>
        </row>
        <row r="431">
          <cell r="C431" t="str">
            <v>DE0006452907</v>
          </cell>
          <cell r="G431">
            <v>6216210000</v>
          </cell>
        </row>
        <row r="432">
          <cell r="C432" t="str">
            <v>DE0006452907</v>
          </cell>
          <cell r="G432">
            <v>6216210000</v>
          </cell>
        </row>
        <row r="433">
          <cell r="C433" t="str">
            <v>DE0006452907</v>
          </cell>
          <cell r="G433">
            <v>6216210000</v>
          </cell>
        </row>
        <row r="434">
          <cell r="C434" t="str">
            <v>PTJMT0AE0001</v>
          </cell>
          <cell r="G434">
            <v>6105402820.4399996</v>
          </cell>
        </row>
        <row r="435">
          <cell r="C435" t="str">
            <v>PTJMT0AE0001</v>
          </cell>
          <cell r="G435">
            <v>6105402820.4399996</v>
          </cell>
        </row>
        <row r="436">
          <cell r="C436" t="str">
            <v>PTJMT0AE0001</v>
          </cell>
          <cell r="G436">
            <v>6105402820.4399996</v>
          </cell>
        </row>
        <row r="437">
          <cell r="C437" t="str">
            <v>ES0173093024</v>
          </cell>
          <cell r="G437">
            <v>6103382400</v>
          </cell>
        </row>
        <row r="438">
          <cell r="C438" t="str">
            <v>ES0173093024</v>
          </cell>
          <cell r="G438">
            <v>6103382400</v>
          </cell>
        </row>
        <row r="439">
          <cell r="C439" t="str">
            <v>ES0173093024</v>
          </cell>
          <cell r="G439">
            <v>6103382400</v>
          </cell>
        </row>
        <row r="440">
          <cell r="C440" t="str">
            <v>DE000A1DAHH0</v>
          </cell>
          <cell r="G440">
            <v>5990332838.1300001</v>
          </cell>
        </row>
        <row r="441">
          <cell r="C441" t="str">
            <v>DE000A1DAHH0</v>
          </cell>
          <cell r="G441">
            <v>5990332838.1300001</v>
          </cell>
        </row>
        <row r="442">
          <cell r="C442" t="str">
            <v>DE000A1DAHH0</v>
          </cell>
          <cell r="G442">
            <v>5990332838.1300001</v>
          </cell>
        </row>
        <row r="443">
          <cell r="C443" t="str">
            <v>FR0012333284</v>
          </cell>
          <cell r="G443">
            <v>5988935240.0999994</v>
          </cell>
        </row>
        <row r="444">
          <cell r="C444" t="str">
            <v>FR0012333284</v>
          </cell>
          <cell r="G444">
            <v>5988935240.0999994</v>
          </cell>
        </row>
        <row r="445">
          <cell r="C445" t="str">
            <v>FR0012333284</v>
          </cell>
          <cell r="G445">
            <v>5988935240.0999994</v>
          </cell>
        </row>
        <row r="446">
          <cell r="C446" t="str">
            <v>FI0009005961</v>
          </cell>
          <cell r="G446">
            <v>5918649219.6000004</v>
          </cell>
        </row>
        <row r="447">
          <cell r="C447" t="str">
            <v>FI0009005961</v>
          </cell>
          <cell r="G447">
            <v>5918649219.6000004</v>
          </cell>
        </row>
        <row r="448">
          <cell r="C448" t="str">
            <v>FI0009005961</v>
          </cell>
          <cell r="G448">
            <v>5918649219.6000004</v>
          </cell>
        </row>
        <row r="449">
          <cell r="C449" t="str">
            <v>DE000SHA0100</v>
          </cell>
          <cell r="G449">
            <v>5891355730.4000006</v>
          </cell>
        </row>
        <row r="450">
          <cell r="C450" t="str">
            <v>DE000SHA0100</v>
          </cell>
          <cell r="G450">
            <v>5891355730.4000006</v>
          </cell>
        </row>
        <row r="451">
          <cell r="C451" t="str">
            <v>DE000SHA0100</v>
          </cell>
          <cell r="G451">
            <v>5891355730.4000006</v>
          </cell>
        </row>
        <row r="452">
          <cell r="C452" t="str">
            <v>IT0003828271</v>
          </cell>
          <cell r="G452">
            <v>5837205916.8500004</v>
          </cell>
        </row>
        <row r="453">
          <cell r="C453" t="str">
            <v>IT0003828271</v>
          </cell>
          <cell r="G453">
            <v>5837205916.8500004</v>
          </cell>
        </row>
        <row r="454">
          <cell r="C454" t="str">
            <v>IT0003828271</v>
          </cell>
          <cell r="G454">
            <v>5837205916.8500004</v>
          </cell>
        </row>
        <row r="455">
          <cell r="C455" t="str">
            <v>FI0009005870</v>
          </cell>
          <cell r="G455">
            <v>5828751292.5</v>
          </cell>
        </row>
        <row r="456">
          <cell r="C456" t="str">
            <v>FI0009005870</v>
          </cell>
          <cell r="G456">
            <v>5828751292.5</v>
          </cell>
        </row>
        <row r="457">
          <cell r="C457" t="str">
            <v>FI0009005870</v>
          </cell>
          <cell r="G457">
            <v>5828751292.5</v>
          </cell>
        </row>
        <row r="458">
          <cell r="C458" t="str">
            <v>FI0009007884</v>
          </cell>
          <cell r="G458">
            <v>5774063925.4200001</v>
          </cell>
        </row>
        <row r="459">
          <cell r="C459" t="str">
            <v>FI0009007884</v>
          </cell>
          <cell r="G459">
            <v>5774063925.4200001</v>
          </cell>
        </row>
        <row r="460">
          <cell r="C460" t="str">
            <v>FI0009007884</v>
          </cell>
          <cell r="G460">
            <v>5774063925.4200001</v>
          </cell>
        </row>
        <row r="461">
          <cell r="C461" t="str">
            <v>IT0003497168</v>
          </cell>
          <cell r="G461">
            <v>5595638507.7024002</v>
          </cell>
        </row>
        <row r="462">
          <cell r="C462" t="str">
            <v>IT0003497168</v>
          </cell>
          <cell r="G462">
            <v>5595638507.7024002</v>
          </cell>
        </row>
        <row r="463">
          <cell r="C463" t="str">
            <v>IT0003497168</v>
          </cell>
          <cell r="G463">
            <v>5595638507.7024002</v>
          </cell>
        </row>
        <row r="464">
          <cell r="C464" t="str">
            <v>FR0013154002</v>
          </cell>
          <cell r="G464">
            <v>5547833085</v>
          </cell>
        </row>
        <row r="465">
          <cell r="C465" t="str">
            <v>FR0013154002</v>
          </cell>
          <cell r="G465">
            <v>5547833085</v>
          </cell>
        </row>
        <row r="466">
          <cell r="C466" t="str">
            <v>FR0013154002</v>
          </cell>
          <cell r="G466">
            <v>5547833085</v>
          </cell>
        </row>
        <row r="467">
          <cell r="C467" t="str">
            <v>DE0007165631</v>
          </cell>
          <cell r="G467">
            <v>5482900800</v>
          </cell>
        </row>
        <row r="468">
          <cell r="C468" t="str">
            <v>DE0007165631</v>
          </cell>
          <cell r="G468">
            <v>5482900800</v>
          </cell>
        </row>
        <row r="469">
          <cell r="C469" t="str">
            <v>DE0007165631</v>
          </cell>
          <cell r="G469">
            <v>5482900800</v>
          </cell>
        </row>
        <row r="470">
          <cell r="C470" t="str">
            <v>DE000PAH0038</v>
          </cell>
          <cell r="G470">
            <v>5478811784.4000006</v>
          </cell>
        </row>
        <row r="471">
          <cell r="C471" t="str">
            <v>DE000PAH0038</v>
          </cell>
          <cell r="G471">
            <v>5478811784.4000006</v>
          </cell>
        </row>
        <row r="472">
          <cell r="C472" t="str">
            <v>DE000PAH0038</v>
          </cell>
          <cell r="G472">
            <v>5478811784.4000006</v>
          </cell>
        </row>
        <row r="473">
          <cell r="C473" t="str">
            <v>DE000KBX1006</v>
          </cell>
          <cell r="G473">
            <v>5390528000</v>
          </cell>
        </row>
        <row r="474">
          <cell r="C474" t="str">
            <v>DE000KBX1006</v>
          </cell>
          <cell r="G474">
            <v>5390528000</v>
          </cell>
        </row>
        <row r="475">
          <cell r="C475" t="str">
            <v>DE000KBX1006</v>
          </cell>
          <cell r="G475">
            <v>5390528000</v>
          </cell>
        </row>
        <row r="476">
          <cell r="C476" t="str">
            <v>BE0003797140</v>
          </cell>
          <cell r="G476">
            <v>5333328000</v>
          </cell>
        </row>
        <row r="477">
          <cell r="C477" t="str">
            <v>BE0003797140</v>
          </cell>
          <cell r="G477">
            <v>5333328000</v>
          </cell>
        </row>
        <row r="478">
          <cell r="C478" t="str">
            <v>BE0003797140</v>
          </cell>
          <cell r="G478">
            <v>5333328000</v>
          </cell>
        </row>
        <row r="479">
          <cell r="C479" t="str">
            <v>DE000ZAL1111</v>
          </cell>
          <cell r="G479">
            <v>5263851021.4799995</v>
          </cell>
        </row>
        <row r="480">
          <cell r="C480" t="str">
            <v>DE000ZAL1111</v>
          </cell>
          <cell r="G480">
            <v>5263851021.4799995</v>
          </cell>
        </row>
        <row r="481">
          <cell r="C481" t="str">
            <v>DE000ZAL1111</v>
          </cell>
          <cell r="G481">
            <v>5263851021.4799995</v>
          </cell>
        </row>
        <row r="482">
          <cell r="C482" t="str">
            <v>IT0005541336</v>
          </cell>
          <cell r="G482">
            <v>5193651703.6800003</v>
          </cell>
        </row>
        <row r="483">
          <cell r="C483" t="str">
            <v>IT0005541336</v>
          </cell>
          <cell r="G483">
            <v>5193651703.6800003</v>
          </cell>
        </row>
        <row r="484">
          <cell r="C484" t="str">
            <v>IT0005541336</v>
          </cell>
          <cell r="G484">
            <v>5193651703.6800003</v>
          </cell>
        </row>
        <row r="485">
          <cell r="C485" t="str">
            <v>BE0003822393</v>
          </cell>
          <cell r="G485">
            <v>5099689740.2850008</v>
          </cell>
        </row>
        <row r="486">
          <cell r="C486" t="str">
            <v>BE0003822393</v>
          </cell>
          <cell r="G486">
            <v>5099689740.2850008</v>
          </cell>
        </row>
        <row r="487">
          <cell r="C487" t="str">
            <v>BE0003822393</v>
          </cell>
          <cell r="G487">
            <v>5099689740.2850008</v>
          </cell>
        </row>
        <row r="488">
          <cell r="C488" t="str">
            <v>FR0013280286</v>
          </cell>
          <cell r="G488">
            <v>5099001357.6000004</v>
          </cell>
        </row>
        <row r="489">
          <cell r="C489" t="str">
            <v>FR0013280286</v>
          </cell>
          <cell r="G489">
            <v>5099001357.6000004</v>
          </cell>
        </row>
        <row r="490">
          <cell r="C490" t="str">
            <v>FR0013280286</v>
          </cell>
          <cell r="G490">
            <v>5099001357.6000004</v>
          </cell>
        </row>
        <row r="491">
          <cell r="C491" t="str">
            <v>BE0974464977</v>
          </cell>
          <cell r="G491">
            <v>4985934835.9940014</v>
          </cell>
        </row>
        <row r="492">
          <cell r="C492" t="str">
            <v>BE0974464977</v>
          </cell>
          <cell r="G492">
            <v>4985934835.9940014</v>
          </cell>
        </row>
        <row r="493">
          <cell r="C493" t="str">
            <v>BE0974464977</v>
          </cell>
          <cell r="G493">
            <v>4985934835.9940014</v>
          </cell>
        </row>
        <row r="494">
          <cell r="C494" t="str">
            <v>FI0009000202</v>
          </cell>
          <cell r="G494">
            <v>4940939428.1999998</v>
          </cell>
        </row>
        <row r="495">
          <cell r="C495" t="str">
            <v>FI0009000202</v>
          </cell>
          <cell r="G495">
            <v>4940939428.1999998</v>
          </cell>
        </row>
        <row r="496">
          <cell r="C496" t="str">
            <v>FI0009000202</v>
          </cell>
          <cell r="G496">
            <v>4940939428.1999998</v>
          </cell>
        </row>
        <row r="497">
          <cell r="C497" t="str">
            <v>DE000PAG9113</v>
          </cell>
          <cell r="G497">
            <v>4920538750</v>
          </cell>
        </row>
        <row r="498">
          <cell r="C498" t="str">
            <v>DE000PAG9113</v>
          </cell>
          <cell r="G498">
            <v>4920538750</v>
          </cell>
        </row>
        <row r="499">
          <cell r="C499" t="str">
            <v>DE000PAG9113</v>
          </cell>
          <cell r="G499">
            <v>4920538750</v>
          </cell>
        </row>
        <row r="500">
          <cell r="C500" t="str">
            <v>DE000LEG1110</v>
          </cell>
          <cell r="G500">
            <v>4881873680</v>
          </cell>
        </row>
        <row r="501">
          <cell r="C501" t="str">
            <v>DE000LEG1110</v>
          </cell>
          <cell r="G501">
            <v>4881873680</v>
          </cell>
        </row>
        <row r="502">
          <cell r="C502" t="str">
            <v>DE000LEG1110</v>
          </cell>
          <cell r="G502">
            <v>4881873680</v>
          </cell>
        </row>
        <row r="503">
          <cell r="C503" t="str">
            <v>DE0005470306</v>
          </cell>
          <cell r="G503">
            <v>4875840000</v>
          </cell>
        </row>
        <row r="504">
          <cell r="C504" t="str">
            <v>DE0005470306</v>
          </cell>
          <cell r="G504">
            <v>4875840000</v>
          </cell>
        </row>
        <row r="505">
          <cell r="C505" t="str">
            <v>DE0005470306</v>
          </cell>
          <cell r="G505">
            <v>4875840000</v>
          </cell>
        </row>
        <row r="506">
          <cell r="C506" t="str">
            <v>NL0014332678</v>
          </cell>
          <cell r="G506">
            <v>4610359095.0479994</v>
          </cell>
        </row>
        <row r="507">
          <cell r="C507" t="str">
            <v>NL0014332678</v>
          </cell>
          <cell r="G507">
            <v>4610359095.0479994</v>
          </cell>
        </row>
        <row r="508">
          <cell r="C508" t="str">
            <v>NL0014332678</v>
          </cell>
          <cell r="G508">
            <v>4610359095.0479994</v>
          </cell>
        </row>
        <row r="509">
          <cell r="C509" t="str">
            <v>FR0010533075</v>
          </cell>
          <cell r="G509">
            <v>4607075000</v>
          </cell>
        </row>
        <row r="510">
          <cell r="C510" t="str">
            <v>FR0010533075</v>
          </cell>
          <cell r="G510">
            <v>4607075000</v>
          </cell>
        </row>
        <row r="511">
          <cell r="C511" t="str">
            <v>FR0010533075</v>
          </cell>
          <cell r="G511">
            <v>4607075000</v>
          </cell>
        </row>
        <row r="512">
          <cell r="C512" t="str">
            <v>BE0003764785</v>
          </cell>
          <cell r="G512">
            <v>4582069472.5</v>
          </cell>
        </row>
        <row r="513">
          <cell r="C513" t="str">
            <v>BE0003764785</v>
          </cell>
          <cell r="G513">
            <v>4582069472.5</v>
          </cell>
        </row>
        <row r="514">
          <cell r="C514" t="str">
            <v>BE0003764785</v>
          </cell>
          <cell r="G514">
            <v>4582069472.5</v>
          </cell>
        </row>
        <row r="515">
          <cell r="C515" t="str">
            <v>ES0105025003</v>
          </cell>
          <cell r="G515">
            <v>4532630058.4499998</v>
          </cell>
        </row>
        <row r="516">
          <cell r="C516" t="str">
            <v>ES0105025003</v>
          </cell>
          <cell r="G516">
            <v>4532630058.4499998</v>
          </cell>
        </row>
        <row r="517">
          <cell r="C517" t="str">
            <v>ES0105025003</v>
          </cell>
          <cell r="G517">
            <v>4532630058.4499998</v>
          </cell>
        </row>
        <row r="518">
          <cell r="C518" t="str">
            <v>NL0014559478</v>
          </cell>
          <cell r="G518">
            <v>4489792080.3600006</v>
          </cell>
        </row>
        <row r="519">
          <cell r="C519" t="str">
            <v>NL0014559478</v>
          </cell>
          <cell r="G519">
            <v>4489792080.3600006</v>
          </cell>
        </row>
        <row r="520">
          <cell r="C520" t="str">
            <v>NL0014559478</v>
          </cell>
          <cell r="G520">
            <v>4489792080.3600006</v>
          </cell>
        </row>
        <row r="521">
          <cell r="C521" t="str">
            <v>AT00000VIE62</v>
          </cell>
          <cell r="G521">
            <v>4452000000</v>
          </cell>
        </row>
        <row r="522">
          <cell r="C522" t="str">
            <v>AT00000VIE62</v>
          </cell>
          <cell r="G522">
            <v>4452000000</v>
          </cell>
        </row>
        <row r="523">
          <cell r="C523" t="str">
            <v>AT00000VIE62</v>
          </cell>
          <cell r="G523">
            <v>4452000000</v>
          </cell>
        </row>
        <row r="524">
          <cell r="C524" t="str">
            <v>FR0000044448</v>
          </cell>
          <cell r="G524">
            <v>4447094233.1400003</v>
          </cell>
        </row>
        <row r="525">
          <cell r="C525" t="str">
            <v>FR0000044448</v>
          </cell>
          <cell r="G525">
            <v>4447094233.1400003</v>
          </cell>
        </row>
        <row r="526">
          <cell r="C526" t="str">
            <v>FR0000044448</v>
          </cell>
          <cell r="G526">
            <v>4447094233.1400003</v>
          </cell>
        </row>
        <row r="527">
          <cell r="C527" t="str">
            <v>FR0010908533</v>
          </cell>
          <cell r="G527">
            <v>4419992854.1999998</v>
          </cell>
        </row>
        <row r="528">
          <cell r="C528" t="str">
            <v>FR0010908533</v>
          </cell>
          <cell r="G528">
            <v>4419992854.1999998</v>
          </cell>
        </row>
        <row r="529">
          <cell r="C529" t="str">
            <v>FR0010908533</v>
          </cell>
          <cell r="G529">
            <v>4419992854.1999998</v>
          </cell>
        </row>
        <row r="530">
          <cell r="C530" t="str">
            <v>NL0010801007</v>
          </cell>
          <cell r="G530">
            <v>4351826426.375</v>
          </cell>
        </row>
        <row r="531">
          <cell r="C531" t="str">
            <v>NL0010801007</v>
          </cell>
          <cell r="G531">
            <v>4351826426.375</v>
          </cell>
        </row>
        <row r="532">
          <cell r="C532" t="str">
            <v>NL0010801007</v>
          </cell>
          <cell r="G532">
            <v>4351826426.375</v>
          </cell>
        </row>
        <row r="533">
          <cell r="C533" t="str">
            <v>AT0000606306</v>
          </cell>
          <cell r="G533">
            <v>4342003248</v>
          </cell>
        </row>
        <row r="534">
          <cell r="C534" t="str">
            <v>AT0000606306</v>
          </cell>
          <cell r="G534">
            <v>4342003248</v>
          </cell>
        </row>
        <row r="535">
          <cell r="C535" t="str">
            <v>AT0000606306</v>
          </cell>
          <cell r="G535">
            <v>4342003248</v>
          </cell>
        </row>
        <row r="536">
          <cell r="C536" t="str">
            <v>DE000KGX8881</v>
          </cell>
          <cell r="G536">
            <v>4279043969.750001</v>
          </cell>
        </row>
        <row r="537">
          <cell r="C537" t="str">
            <v>DE000KGX8881</v>
          </cell>
          <cell r="G537">
            <v>4279043969.750001</v>
          </cell>
        </row>
        <row r="538">
          <cell r="C538" t="str">
            <v>DE000KGX8881</v>
          </cell>
          <cell r="G538">
            <v>4279043969.750001</v>
          </cell>
        </row>
        <row r="539">
          <cell r="C539" t="str">
            <v>FR0010259150</v>
          </cell>
          <cell r="G539">
            <v>4261130501.8400002</v>
          </cell>
        </row>
        <row r="540">
          <cell r="C540" t="str">
            <v>FR0010259150</v>
          </cell>
          <cell r="G540">
            <v>4261130501.8400002</v>
          </cell>
        </row>
        <row r="541">
          <cell r="C541" t="str">
            <v>FR0010259150</v>
          </cell>
          <cell r="G541">
            <v>4261130501.8400002</v>
          </cell>
        </row>
        <row r="542">
          <cell r="C542" t="str">
            <v>AT0000746409</v>
          </cell>
          <cell r="G542">
            <v>4249032802.5599999</v>
          </cell>
        </row>
        <row r="543">
          <cell r="C543" t="str">
            <v>AT0000746409</v>
          </cell>
          <cell r="G543">
            <v>4249032802.5599999</v>
          </cell>
        </row>
        <row r="544">
          <cell r="C544" t="str">
            <v>AT0000746409</v>
          </cell>
          <cell r="G544">
            <v>4249032802.5599999</v>
          </cell>
        </row>
        <row r="545">
          <cell r="C545" t="str">
            <v>DE0006070006</v>
          </cell>
          <cell r="G545">
            <v>4196410200</v>
          </cell>
        </row>
        <row r="546">
          <cell r="C546" t="str">
            <v>DE0006070006</v>
          </cell>
          <cell r="G546">
            <v>4196410200</v>
          </cell>
        </row>
        <row r="547">
          <cell r="C547" t="str">
            <v>DE0006070006</v>
          </cell>
          <cell r="G547">
            <v>4196410200</v>
          </cell>
        </row>
        <row r="548">
          <cell r="C548" t="str">
            <v>ES0125220311</v>
          </cell>
          <cell r="G548">
            <v>4174316781.75</v>
          </cell>
        </row>
        <row r="549">
          <cell r="C549" t="str">
            <v>ES0125220311</v>
          </cell>
          <cell r="G549">
            <v>4174316781.75</v>
          </cell>
        </row>
        <row r="550">
          <cell r="C550" t="str">
            <v>ES0125220311</v>
          </cell>
          <cell r="G550">
            <v>4174316781.75</v>
          </cell>
        </row>
        <row r="551">
          <cell r="C551" t="str">
            <v>IT0004776628</v>
          </cell>
          <cell r="G551">
            <v>4130197074.5309992</v>
          </cell>
        </row>
        <row r="552">
          <cell r="C552" t="str">
            <v>IT0004776628</v>
          </cell>
          <cell r="G552">
            <v>4130197074.5309992</v>
          </cell>
        </row>
        <row r="553">
          <cell r="C553" t="str">
            <v>IT0004776628</v>
          </cell>
          <cell r="G553">
            <v>4130197074.5309992</v>
          </cell>
        </row>
        <row r="554">
          <cell r="C554" t="str">
            <v>BE0974349814</v>
          </cell>
          <cell r="G554">
            <v>4115883365.8559999</v>
          </cell>
        </row>
        <row r="555">
          <cell r="C555" t="str">
            <v>BE0974349814</v>
          </cell>
          <cell r="G555">
            <v>4115883365.8559999</v>
          </cell>
        </row>
        <row r="556">
          <cell r="C556" t="str">
            <v>BE0974349814</v>
          </cell>
          <cell r="G556">
            <v>4115883365.8559999</v>
          </cell>
        </row>
        <row r="557">
          <cell r="C557" t="str">
            <v>FR0010411983</v>
          </cell>
          <cell r="G557">
            <v>4110298434.6199999</v>
          </cell>
        </row>
        <row r="558">
          <cell r="C558" t="str">
            <v>FR0010411983</v>
          </cell>
          <cell r="G558">
            <v>4110298434.6199999</v>
          </cell>
        </row>
        <row r="559">
          <cell r="C559" t="str">
            <v>FR0010411983</v>
          </cell>
          <cell r="G559">
            <v>4110298434.6199999</v>
          </cell>
        </row>
        <row r="560">
          <cell r="C560" t="str">
            <v>FR0004125920</v>
          </cell>
          <cell r="G560">
            <v>4101928229.25</v>
          </cell>
        </row>
        <row r="561">
          <cell r="C561" t="str">
            <v>FR0004125920</v>
          </cell>
          <cell r="G561">
            <v>4101928229.25</v>
          </cell>
        </row>
        <row r="562">
          <cell r="C562" t="str">
            <v>FR0004125920</v>
          </cell>
          <cell r="G562">
            <v>4101928229.25</v>
          </cell>
        </row>
        <row r="563">
          <cell r="C563" t="str">
            <v>FR0012435121</v>
          </cell>
          <cell r="G563">
            <v>4097326131.3600011</v>
          </cell>
        </row>
        <row r="564">
          <cell r="C564" t="str">
            <v>FR0012435121</v>
          </cell>
          <cell r="G564">
            <v>4097326131.3600011</v>
          </cell>
        </row>
        <row r="565">
          <cell r="C565" t="str">
            <v>FR0012435121</v>
          </cell>
          <cell r="G565">
            <v>4097326131.3600011</v>
          </cell>
        </row>
        <row r="566">
          <cell r="C566" t="str">
            <v>FI4000074984</v>
          </cell>
          <cell r="G566">
            <v>4067032494.1999998</v>
          </cell>
        </row>
        <row r="567">
          <cell r="C567" t="str">
            <v>FI4000074984</v>
          </cell>
          <cell r="G567">
            <v>4067032494.1999998</v>
          </cell>
        </row>
        <row r="568">
          <cell r="C568" t="str">
            <v>FI4000074984</v>
          </cell>
          <cell r="G568">
            <v>4067032494.1999998</v>
          </cell>
        </row>
        <row r="569">
          <cell r="C569" t="str">
            <v>BE0003823409</v>
          </cell>
          <cell r="G569">
            <v>4026164489.0999999</v>
          </cell>
        </row>
        <row r="570">
          <cell r="C570" t="str">
            <v>BE0003823409</v>
          </cell>
          <cell r="G570">
            <v>4026164489.0999999</v>
          </cell>
        </row>
        <row r="571">
          <cell r="C571" t="str">
            <v>BE0003823409</v>
          </cell>
          <cell r="G571">
            <v>4026164489.0999999</v>
          </cell>
        </row>
        <row r="572">
          <cell r="C572" t="str">
            <v>FR0013258662</v>
          </cell>
          <cell r="G572">
            <v>3915282851.190001</v>
          </cell>
        </row>
        <row r="573">
          <cell r="C573" t="str">
            <v>FR0013258662</v>
          </cell>
          <cell r="G573">
            <v>3915282851.190001</v>
          </cell>
        </row>
        <row r="574">
          <cell r="C574" t="str">
            <v>FR0013258662</v>
          </cell>
          <cell r="G574">
            <v>3915282851.190001</v>
          </cell>
        </row>
        <row r="575">
          <cell r="C575" t="str">
            <v>DE000TKMS001</v>
          </cell>
          <cell r="G575">
            <v>3874942467</v>
          </cell>
        </row>
        <row r="576">
          <cell r="C576" t="str">
            <v>DE000TKMS001</v>
          </cell>
          <cell r="G576">
            <v>3874942467</v>
          </cell>
        </row>
        <row r="577">
          <cell r="C577" t="str">
            <v>DE000TKMS001</v>
          </cell>
          <cell r="G577">
            <v>3874942467</v>
          </cell>
        </row>
        <row r="578">
          <cell r="C578" t="str">
            <v>IT0001347308</v>
          </cell>
          <cell r="G578">
            <v>3849441061.5359998</v>
          </cell>
        </row>
        <row r="579">
          <cell r="C579" t="str">
            <v>IT0001347308</v>
          </cell>
          <cell r="G579">
            <v>3849441061.5359998</v>
          </cell>
        </row>
        <row r="580">
          <cell r="C580" t="str">
            <v>IT0001347308</v>
          </cell>
          <cell r="G580">
            <v>3849441061.5359998</v>
          </cell>
        </row>
        <row r="581">
          <cell r="C581" t="str">
            <v>FR0000121220</v>
          </cell>
          <cell r="G581">
            <v>3831172874.0339999</v>
          </cell>
        </row>
        <row r="582">
          <cell r="C582" t="str">
            <v>FR0000121220</v>
          </cell>
          <cell r="G582">
            <v>3831172874.0339999</v>
          </cell>
        </row>
        <row r="583">
          <cell r="C583" t="str">
            <v>FR0000121220</v>
          </cell>
          <cell r="G583">
            <v>3831172874.0339999</v>
          </cell>
        </row>
        <row r="584">
          <cell r="C584" t="str">
            <v>AT0000730007</v>
          </cell>
          <cell r="G584">
            <v>3828240000</v>
          </cell>
        </row>
        <row r="585">
          <cell r="C585" t="str">
            <v>AT0000730007</v>
          </cell>
          <cell r="G585">
            <v>3828240000</v>
          </cell>
        </row>
        <row r="586">
          <cell r="C586" t="str">
            <v>AT0000730007</v>
          </cell>
          <cell r="G586">
            <v>3828240000</v>
          </cell>
        </row>
        <row r="587">
          <cell r="C587" t="str">
            <v>JE00BRX98089</v>
          </cell>
          <cell r="G587">
            <v>3683241264.7800002</v>
          </cell>
        </row>
        <row r="588">
          <cell r="C588" t="str">
            <v>JE00BRX98089</v>
          </cell>
          <cell r="G588">
            <v>3683241264.7800002</v>
          </cell>
        </row>
        <row r="589">
          <cell r="C589" t="str">
            <v>JE00BRX98089</v>
          </cell>
          <cell r="G589">
            <v>3683241264.7800002</v>
          </cell>
        </row>
        <row r="590">
          <cell r="C590" t="str">
            <v>AT0000937503</v>
          </cell>
          <cell r="G590">
            <v>3672399122.8800001</v>
          </cell>
        </row>
        <row r="591">
          <cell r="C591" t="str">
            <v>AT0000937503</v>
          </cell>
          <cell r="G591">
            <v>3672399122.8800001</v>
          </cell>
        </row>
        <row r="592">
          <cell r="C592" t="str">
            <v>AT0000937503</v>
          </cell>
          <cell r="G592">
            <v>3672399122.8800001</v>
          </cell>
        </row>
        <row r="593">
          <cell r="C593" t="str">
            <v>ES0124244E34</v>
          </cell>
          <cell r="G593">
            <v>3638184150.48</v>
          </cell>
        </row>
        <row r="594">
          <cell r="C594" t="str">
            <v>ES0124244E34</v>
          </cell>
          <cell r="G594">
            <v>3638184150.48</v>
          </cell>
        </row>
        <row r="595">
          <cell r="C595" t="str">
            <v>ES0124244E34</v>
          </cell>
          <cell r="G595">
            <v>3638184150.48</v>
          </cell>
        </row>
        <row r="596">
          <cell r="C596" t="str">
            <v>FR0010040865</v>
          </cell>
          <cell r="G596">
            <v>3630741693.3600001</v>
          </cell>
        </row>
        <row r="597">
          <cell r="C597" t="str">
            <v>FR0010040865</v>
          </cell>
          <cell r="G597">
            <v>3630741693.3600001</v>
          </cell>
        </row>
        <row r="598">
          <cell r="C598" t="str">
            <v>FR0010040865</v>
          </cell>
          <cell r="G598">
            <v>3630741693.3600001</v>
          </cell>
        </row>
        <row r="599">
          <cell r="C599" t="str">
            <v>IT0003261697</v>
          </cell>
          <cell r="G599">
            <v>3615385368.0375009</v>
          </cell>
        </row>
        <row r="600">
          <cell r="C600" t="str">
            <v>IT0003261697</v>
          </cell>
          <cell r="G600">
            <v>3615385368.0375009</v>
          </cell>
        </row>
        <row r="601">
          <cell r="C601" t="str">
            <v>IT0003261697</v>
          </cell>
          <cell r="G601">
            <v>3615385368.0375009</v>
          </cell>
        </row>
        <row r="602">
          <cell r="C602" t="str">
            <v>DE000A2E4K43</v>
          </cell>
          <cell r="G602">
            <v>3583244623.9499998</v>
          </cell>
        </row>
        <row r="603">
          <cell r="C603" t="str">
            <v>DE000A2E4K43</v>
          </cell>
          <cell r="G603">
            <v>3583244623.9499998</v>
          </cell>
        </row>
        <row r="604">
          <cell r="C604" t="str">
            <v>DE000A2E4K43</v>
          </cell>
          <cell r="G604">
            <v>3583244623.9499998</v>
          </cell>
        </row>
        <row r="605">
          <cell r="C605" t="str">
            <v>FR0000051807</v>
          </cell>
          <cell r="G605">
            <v>3580487027</v>
          </cell>
        </row>
        <row r="606">
          <cell r="C606" t="str">
            <v>FR0000051807</v>
          </cell>
          <cell r="G606">
            <v>3580487027</v>
          </cell>
        </row>
        <row r="607">
          <cell r="C607" t="str">
            <v>FR0000051807</v>
          </cell>
          <cell r="G607">
            <v>3580487027</v>
          </cell>
        </row>
        <row r="608">
          <cell r="C608" t="str">
            <v>FR0010340141</v>
          </cell>
          <cell r="G608">
            <v>3577425762.3000002</v>
          </cell>
        </row>
        <row r="609">
          <cell r="C609" t="str">
            <v>FR0010340141</v>
          </cell>
          <cell r="G609">
            <v>3577425762.3000002</v>
          </cell>
        </row>
        <row r="610">
          <cell r="C610" t="str">
            <v>FR0010340141</v>
          </cell>
          <cell r="G610">
            <v>3577425762.3000002</v>
          </cell>
        </row>
        <row r="611">
          <cell r="C611" t="str">
            <v>ES0127797019</v>
          </cell>
          <cell r="G611">
            <v>3559849163.8920002</v>
          </cell>
        </row>
        <row r="612">
          <cell r="C612" t="str">
            <v>ES0127797019</v>
          </cell>
          <cell r="G612">
            <v>3559849163.8920002</v>
          </cell>
        </row>
        <row r="613">
          <cell r="C613" t="str">
            <v>ES0127797019</v>
          </cell>
          <cell r="G613">
            <v>3559849163.8920002</v>
          </cell>
        </row>
        <row r="614">
          <cell r="C614" t="str">
            <v>BE0003717312</v>
          </cell>
          <cell r="G614">
            <v>3514049945.2800012</v>
          </cell>
        </row>
        <row r="615">
          <cell r="C615" t="str">
            <v>BE0003717312</v>
          </cell>
          <cell r="G615">
            <v>3514049945.2800012</v>
          </cell>
        </row>
        <row r="616">
          <cell r="C616" t="str">
            <v>BE0003717312</v>
          </cell>
          <cell r="G616">
            <v>3514049945.2800012</v>
          </cell>
        </row>
        <row r="617">
          <cell r="C617" t="str">
            <v>DE000EVNK013</v>
          </cell>
          <cell r="G617">
            <v>3439546000</v>
          </cell>
        </row>
        <row r="618">
          <cell r="C618" t="str">
            <v>DE000EVNK013</v>
          </cell>
          <cell r="G618">
            <v>3439546000</v>
          </cell>
        </row>
        <row r="619">
          <cell r="C619" t="str">
            <v>DE000EVNK013</v>
          </cell>
          <cell r="G619">
            <v>3439546000</v>
          </cell>
        </row>
        <row r="620">
          <cell r="C620" t="str">
            <v>DE000TUAG505</v>
          </cell>
          <cell r="G620">
            <v>3435206607.2034001</v>
          </cell>
        </row>
        <row r="621">
          <cell r="C621" t="str">
            <v>DE000TUAG505</v>
          </cell>
          <cell r="G621">
            <v>3435206607.2034001</v>
          </cell>
        </row>
        <row r="622">
          <cell r="C622" t="str">
            <v>DE000TUAG505</v>
          </cell>
          <cell r="G622">
            <v>3435206607.2034001</v>
          </cell>
        </row>
        <row r="623">
          <cell r="C623" t="str">
            <v>IT0001078911</v>
          </cell>
          <cell r="G623">
            <v>3408466298.6700001</v>
          </cell>
        </row>
        <row r="624">
          <cell r="C624" t="str">
            <v>IT0001078911</v>
          </cell>
          <cell r="G624">
            <v>3408466298.6700001</v>
          </cell>
        </row>
        <row r="625">
          <cell r="C625" t="str">
            <v>IT0001078911</v>
          </cell>
          <cell r="G625">
            <v>3408466298.6700001</v>
          </cell>
        </row>
        <row r="626">
          <cell r="C626" t="str">
            <v>NL0015435975</v>
          </cell>
          <cell r="G626">
            <v>3403224027.8319998</v>
          </cell>
        </row>
        <row r="627">
          <cell r="C627" t="str">
            <v>NL0015435975</v>
          </cell>
          <cell r="G627">
            <v>3403224027.8319998</v>
          </cell>
        </row>
        <row r="628">
          <cell r="C628" t="str">
            <v>NL0015435975</v>
          </cell>
          <cell r="G628">
            <v>3403224027.8319998</v>
          </cell>
        </row>
        <row r="629">
          <cell r="C629" t="str">
            <v>IT0001250932</v>
          </cell>
          <cell r="G629">
            <v>3373656303.5505009</v>
          </cell>
        </row>
        <row r="630">
          <cell r="C630" t="str">
            <v>IT0001250932</v>
          </cell>
          <cell r="G630">
            <v>3373656303.5505009</v>
          </cell>
        </row>
        <row r="631">
          <cell r="C631" t="str">
            <v>IT0001250932</v>
          </cell>
          <cell r="G631">
            <v>3373656303.5505009</v>
          </cell>
        </row>
        <row r="632">
          <cell r="C632" t="str">
            <v>DE000A2LQ884</v>
          </cell>
          <cell r="G632">
            <v>3351339763.1999998</v>
          </cell>
        </row>
        <row r="633">
          <cell r="C633" t="str">
            <v>DE000A2LQ884</v>
          </cell>
          <cell r="G633">
            <v>3351339763.1999998</v>
          </cell>
        </row>
        <row r="634">
          <cell r="C634" t="str">
            <v>DE000A2LQ884</v>
          </cell>
          <cell r="G634">
            <v>3351339763.1999998</v>
          </cell>
        </row>
        <row r="635">
          <cell r="C635" t="str">
            <v>ES0130960018</v>
          </cell>
          <cell r="G635">
            <v>3315222472.3200002</v>
          </cell>
        </row>
        <row r="636">
          <cell r="C636" t="str">
            <v>ES0130960018</v>
          </cell>
          <cell r="G636">
            <v>3315222472.3200002</v>
          </cell>
        </row>
        <row r="637">
          <cell r="C637" t="str">
            <v>ES0130960018</v>
          </cell>
          <cell r="G637">
            <v>3315222472.3200002</v>
          </cell>
        </row>
        <row r="638">
          <cell r="C638" t="str">
            <v>DE000A0D6554</v>
          </cell>
          <cell r="G638">
            <v>3313615345.04</v>
          </cell>
        </row>
        <row r="639">
          <cell r="C639" t="str">
            <v>DE000A0D6554</v>
          </cell>
          <cell r="G639">
            <v>3313615345.04</v>
          </cell>
        </row>
        <row r="640">
          <cell r="C640" t="str">
            <v>DE000A0D6554</v>
          </cell>
          <cell r="G640">
            <v>3313615345.04</v>
          </cell>
        </row>
        <row r="641">
          <cell r="C641" t="str">
            <v>DE000A0Z2ZZ5</v>
          </cell>
          <cell r="G641">
            <v>3260254452</v>
          </cell>
        </row>
        <row r="642">
          <cell r="C642" t="str">
            <v>DE000A0Z2ZZ5</v>
          </cell>
          <cell r="G642">
            <v>3260254452</v>
          </cell>
        </row>
        <row r="643">
          <cell r="C643" t="str">
            <v>DE000A0Z2ZZ5</v>
          </cell>
          <cell r="G643">
            <v>3260254452</v>
          </cell>
        </row>
        <row r="644">
          <cell r="C644" t="str">
            <v>NL0000379121</v>
          </cell>
          <cell r="G644">
            <v>3249159168.0240011</v>
          </cell>
        </row>
        <row r="645">
          <cell r="C645" t="str">
            <v>NL0000379121</v>
          </cell>
          <cell r="G645">
            <v>3249159168.0240011</v>
          </cell>
        </row>
        <row r="646">
          <cell r="C646" t="str">
            <v>NL0000379121</v>
          </cell>
          <cell r="G646">
            <v>3249159168.0240011</v>
          </cell>
        </row>
        <row r="647">
          <cell r="C647" t="str">
            <v>DE0007010803</v>
          </cell>
          <cell r="G647">
            <v>3172230000</v>
          </cell>
        </row>
        <row r="648">
          <cell r="C648" t="str">
            <v>DE0007010803</v>
          </cell>
          <cell r="G648">
            <v>3172230000</v>
          </cell>
        </row>
        <row r="649">
          <cell r="C649" t="str">
            <v>DE0007010803</v>
          </cell>
          <cell r="G649">
            <v>3172230000</v>
          </cell>
        </row>
        <row r="650">
          <cell r="C650" t="str">
            <v>BE0974259880</v>
          </cell>
          <cell r="G650">
            <v>3156976821.5999999</v>
          </cell>
        </row>
        <row r="651">
          <cell r="C651" t="str">
            <v>BE0974259880</v>
          </cell>
          <cell r="G651">
            <v>3156976821.5999999</v>
          </cell>
        </row>
        <row r="652">
          <cell r="C652" t="str">
            <v>BE0974259880</v>
          </cell>
          <cell r="G652">
            <v>3156976821.5999999</v>
          </cell>
        </row>
        <row r="653">
          <cell r="C653" t="str">
            <v>BE0003604155</v>
          </cell>
          <cell r="G653">
            <v>3145730115</v>
          </cell>
        </row>
        <row r="654">
          <cell r="C654" t="str">
            <v>BE0003604155</v>
          </cell>
          <cell r="G654">
            <v>3145730115</v>
          </cell>
        </row>
        <row r="655">
          <cell r="C655" t="str">
            <v>BE0003604155</v>
          </cell>
          <cell r="G655">
            <v>3145730115</v>
          </cell>
        </row>
        <row r="656">
          <cell r="C656" t="str">
            <v>DE0005158703</v>
          </cell>
          <cell r="G656">
            <v>3143322000</v>
          </cell>
        </row>
        <row r="657">
          <cell r="C657" t="str">
            <v>DE0005158703</v>
          </cell>
          <cell r="G657">
            <v>3143322000</v>
          </cell>
        </row>
        <row r="658">
          <cell r="C658" t="str">
            <v>DE0005158703</v>
          </cell>
          <cell r="G658">
            <v>3143322000</v>
          </cell>
        </row>
        <row r="659">
          <cell r="C659" t="str">
            <v>DE0005909006</v>
          </cell>
          <cell r="G659">
            <v>3120576831.54</v>
          </cell>
        </row>
        <row r="660">
          <cell r="C660" t="str">
            <v>DE0005909006</v>
          </cell>
          <cell r="G660">
            <v>3120576831.54</v>
          </cell>
        </row>
        <row r="661">
          <cell r="C661" t="str">
            <v>DE0005909006</v>
          </cell>
          <cell r="G661">
            <v>3120576831.54</v>
          </cell>
        </row>
        <row r="662">
          <cell r="C662" t="str">
            <v>BE0003851681</v>
          </cell>
          <cell r="G662">
            <v>3114532794.5</v>
          </cell>
        </row>
        <row r="663">
          <cell r="C663" t="str">
            <v>BE0003851681</v>
          </cell>
          <cell r="G663">
            <v>3114532794.5</v>
          </cell>
        </row>
        <row r="664">
          <cell r="C664" t="str">
            <v>BE0003851681</v>
          </cell>
          <cell r="G664">
            <v>3114532794.5</v>
          </cell>
        </row>
        <row r="665">
          <cell r="C665" t="str">
            <v>FR0000064578</v>
          </cell>
          <cell r="G665">
            <v>3066854783.3000002</v>
          </cell>
        </row>
        <row r="666">
          <cell r="C666" t="str">
            <v>FR0000064578</v>
          </cell>
          <cell r="G666">
            <v>3066854783.3000002</v>
          </cell>
        </row>
        <row r="667">
          <cell r="C667" t="str">
            <v>FR0000064578</v>
          </cell>
          <cell r="G667">
            <v>3066854783.3000002</v>
          </cell>
        </row>
        <row r="668">
          <cell r="C668" t="str">
            <v>IT0004764699</v>
          </cell>
          <cell r="G668">
            <v>3012400000</v>
          </cell>
        </row>
        <row r="669">
          <cell r="C669" t="str">
            <v>IT0004764699</v>
          </cell>
          <cell r="G669">
            <v>3012400000</v>
          </cell>
        </row>
        <row r="670">
          <cell r="C670" t="str">
            <v>IT0004764699</v>
          </cell>
          <cell r="G670">
            <v>3012400000</v>
          </cell>
        </row>
        <row r="671">
          <cell r="C671" t="str">
            <v>AT0000831706</v>
          </cell>
          <cell r="G671">
            <v>3011186640</v>
          </cell>
        </row>
        <row r="672">
          <cell r="C672" t="str">
            <v>AT0000831706</v>
          </cell>
          <cell r="G672">
            <v>3011186640</v>
          </cell>
        </row>
        <row r="673">
          <cell r="C673" t="str">
            <v>AT0000831706</v>
          </cell>
          <cell r="G673">
            <v>3011186640</v>
          </cell>
        </row>
        <row r="674">
          <cell r="C674" t="str">
            <v>IT0005495657</v>
          </cell>
          <cell r="G674">
            <v>2932880365.9882998</v>
          </cell>
        </row>
        <row r="675">
          <cell r="C675" t="str">
            <v>IT0005495657</v>
          </cell>
          <cell r="G675">
            <v>2932880365.9882998</v>
          </cell>
        </row>
        <row r="676">
          <cell r="C676" t="str">
            <v>IT0005495657</v>
          </cell>
          <cell r="G676">
            <v>2932880365.9882998</v>
          </cell>
        </row>
        <row r="677">
          <cell r="C677" t="str">
            <v>BE0003593044</v>
          </cell>
          <cell r="G677">
            <v>2931503898.1500001</v>
          </cell>
        </row>
        <row r="678">
          <cell r="C678" t="str">
            <v>BE0003593044</v>
          </cell>
          <cell r="G678">
            <v>2931503898.1500001</v>
          </cell>
        </row>
        <row r="679">
          <cell r="C679" t="str">
            <v>BE0003593044</v>
          </cell>
          <cell r="G679">
            <v>2931503898.1500001</v>
          </cell>
        </row>
        <row r="680">
          <cell r="C680" t="str">
            <v>FR0013451333</v>
          </cell>
          <cell r="G680">
            <v>2909480080</v>
          </cell>
        </row>
        <row r="681">
          <cell r="C681" t="str">
            <v>FR0013451333</v>
          </cell>
          <cell r="G681">
            <v>2909480080</v>
          </cell>
        </row>
        <row r="682">
          <cell r="C682" t="str">
            <v>FR0013451333</v>
          </cell>
          <cell r="G682">
            <v>2909480080</v>
          </cell>
        </row>
        <row r="683">
          <cell r="C683" t="str">
            <v>NL0000360618</v>
          </cell>
          <cell r="G683">
            <v>2886068109.3299999</v>
          </cell>
        </row>
        <row r="684">
          <cell r="C684" t="str">
            <v>NL0000360618</v>
          </cell>
          <cell r="G684">
            <v>2886068109.3299999</v>
          </cell>
        </row>
        <row r="685">
          <cell r="C685" t="str">
            <v>NL0000360618</v>
          </cell>
          <cell r="G685">
            <v>2886068109.3299999</v>
          </cell>
        </row>
        <row r="686">
          <cell r="C686" t="str">
            <v>DE0006766504</v>
          </cell>
          <cell r="G686">
            <v>2859247519.1999998</v>
          </cell>
        </row>
        <row r="687">
          <cell r="C687" t="str">
            <v>DE0006766504</v>
          </cell>
          <cell r="G687">
            <v>2859247519.1999998</v>
          </cell>
        </row>
        <row r="688">
          <cell r="C688" t="str">
            <v>DE0006766504</v>
          </cell>
          <cell r="G688">
            <v>2859247519.1999998</v>
          </cell>
        </row>
        <row r="689">
          <cell r="C689" t="str">
            <v>FI4000552526</v>
          </cell>
          <cell r="G689">
            <v>2853909989.0999999</v>
          </cell>
        </row>
        <row r="690">
          <cell r="C690" t="str">
            <v>FI4000552526</v>
          </cell>
          <cell r="G690">
            <v>2853909989.0999999</v>
          </cell>
        </row>
        <row r="691">
          <cell r="C691" t="str">
            <v>FI4000552526</v>
          </cell>
          <cell r="G691">
            <v>2853909989.0999999</v>
          </cell>
        </row>
        <row r="692">
          <cell r="C692" t="str">
            <v>DE000FTG1111</v>
          </cell>
          <cell r="G692">
            <v>2832770606.224</v>
          </cell>
        </row>
        <row r="693">
          <cell r="C693" t="str">
            <v>DE000FTG1111</v>
          </cell>
          <cell r="G693">
            <v>2832770606.224</v>
          </cell>
        </row>
        <row r="694">
          <cell r="C694" t="str">
            <v>DE000FTG1111</v>
          </cell>
          <cell r="G694">
            <v>2832770606.224</v>
          </cell>
        </row>
        <row r="695">
          <cell r="C695" t="str">
            <v>ES0171996087</v>
          </cell>
          <cell r="G695">
            <v>2810006433.6500001</v>
          </cell>
        </row>
        <row r="696">
          <cell r="C696" t="str">
            <v>ES0171996087</v>
          </cell>
          <cell r="G696">
            <v>2810006433.6500001</v>
          </cell>
        </row>
        <row r="697">
          <cell r="C697" t="str">
            <v>ES0171996087</v>
          </cell>
          <cell r="G697">
            <v>2810006433.6500001</v>
          </cell>
        </row>
        <row r="698">
          <cell r="C698" t="str">
            <v>IE0000669501</v>
          </cell>
          <cell r="G698">
            <v>2804603921.2160001</v>
          </cell>
        </row>
        <row r="699">
          <cell r="C699" t="str">
            <v>IE0000669501</v>
          </cell>
          <cell r="G699">
            <v>2804603921.2160001</v>
          </cell>
        </row>
        <row r="700">
          <cell r="C700" t="str">
            <v>IE0000669501</v>
          </cell>
          <cell r="G700">
            <v>2804603921.2160001</v>
          </cell>
        </row>
        <row r="701">
          <cell r="C701" t="str">
            <v>FI0009000459</v>
          </cell>
          <cell r="G701">
            <v>2789269675.9200001</v>
          </cell>
        </row>
        <row r="702">
          <cell r="C702" t="str">
            <v>FI0009000459</v>
          </cell>
          <cell r="G702">
            <v>2789269675.9200001</v>
          </cell>
        </row>
        <row r="703">
          <cell r="C703" t="str">
            <v>FI0009000459</v>
          </cell>
          <cell r="G703">
            <v>2789269675.9200001</v>
          </cell>
        </row>
        <row r="704">
          <cell r="C704" t="str">
            <v>IT0005282865</v>
          </cell>
          <cell r="G704">
            <v>2774618557.6199999</v>
          </cell>
        </row>
        <row r="705">
          <cell r="C705" t="str">
            <v>IT0005282865</v>
          </cell>
          <cell r="G705">
            <v>2774618557.6199999</v>
          </cell>
        </row>
        <row r="706">
          <cell r="C706" t="str">
            <v>IT0005282865</v>
          </cell>
          <cell r="G706">
            <v>2774618557.6199999</v>
          </cell>
        </row>
        <row r="707">
          <cell r="C707" t="str">
            <v>IT0001031084</v>
          </cell>
          <cell r="G707">
            <v>2768507409.6224999</v>
          </cell>
        </row>
        <row r="708">
          <cell r="C708" t="str">
            <v>IT0001031084</v>
          </cell>
          <cell r="G708">
            <v>2768507409.6224999</v>
          </cell>
        </row>
        <row r="709">
          <cell r="C709" t="str">
            <v>IT0001031084</v>
          </cell>
          <cell r="G709">
            <v>2768507409.6224999</v>
          </cell>
        </row>
        <row r="710">
          <cell r="C710" t="str">
            <v>FR0010313833</v>
          </cell>
          <cell r="G710">
            <v>2707385279.4450002</v>
          </cell>
        </row>
        <row r="711">
          <cell r="C711" t="str">
            <v>FR0010313833</v>
          </cell>
          <cell r="G711">
            <v>2707385279.4450002</v>
          </cell>
        </row>
        <row r="712">
          <cell r="C712" t="str">
            <v>FR0010313833</v>
          </cell>
          <cell r="G712">
            <v>2707385279.4450002</v>
          </cell>
        </row>
        <row r="713">
          <cell r="C713" t="str">
            <v>DE0008303504</v>
          </cell>
          <cell r="G713">
            <v>2701309292.5999999</v>
          </cell>
        </row>
        <row r="714">
          <cell r="C714" t="str">
            <v>DE0008303504</v>
          </cell>
          <cell r="G714">
            <v>2701309292.5999999</v>
          </cell>
        </row>
        <row r="715">
          <cell r="C715" t="str">
            <v>DE0008303504</v>
          </cell>
          <cell r="G715">
            <v>2701309292.5999999</v>
          </cell>
        </row>
        <row r="716">
          <cell r="C716" t="str">
            <v>BE0974320526</v>
          </cell>
          <cell r="G716">
            <v>2683296000</v>
          </cell>
        </row>
        <row r="717">
          <cell r="C717" t="str">
            <v>BE0974320526</v>
          </cell>
          <cell r="G717">
            <v>2683296000</v>
          </cell>
        </row>
        <row r="718">
          <cell r="C718" t="str">
            <v>BE0974320526</v>
          </cell>
          <cell r="G718">
            <v>2683296000</v>
          </cell>
        </row>
        <row r="719">
          <cell r="C719" t="str">
            <v>FR0000121121</v>
          </cell>
          <cell r="G719">
            <v>2660893491.1999998</v>
          </cell>
        </row>
        <row r="720">
          <cell r="C720" t="str">
            <v>FR0000121121</v>
          </cell>
          <cell r="G720">
            <v>2660893491.1999998</v>
          </cell>
        </row>
        <row r="721">
          <cell r="C721" t="str">
            <v>FR0000121121</v>
          </cell>
          <cell r="G721">
            <v>2660893491.1999998</v>
          </cell>
        </row>
        <row r="722">
          <cell r="C722" t="str">
            <v>FR0013269123</v>
          </cell>
          <cell r="G722">
            <v>2641100023.6960011</v>
          </cell>
        </row>
        <row r="723">
          <cell r="C723" t="str">
            <v>FR0013269123</v>
          </cell>
          <cell r="G723">
            <v>2641100023.6960011</v>
          </cell>
        </row>
        <row r="724">
          <cell r="C724" t="str">
            <v>FR0013269123</v>
          </cell>
          <cell r="G724">
            <v>2641100023.6960011</v>
          </cell>
        </row>
        <row r="725">
          <cell r="C725" t="str">
            <v>DE0005773303</v>
          </cell>
          <cell r="G725">
            <v>2626111193.5999999</v>
          </cell>
        </row>
        <row r="726">
          <cell r="C726" t="str">
            <v>DE0005773303</v>
          </cell>
          <cell r="G726">
            <v>2626111193.5999999</v>
          </cell>
        </row>
        <row r="727">
          <cell r="C727" t="str">
            <v>DE0005773303</v>
          </cell>
          <cell r="G727">
            <v>2626111193.5999999</v>
          </cell>
        </row>
        <row r="728">
          <cell r="C728" t="str">
            <v>FR0000039299</v>
          </cell>
          <cell r="G728">
            <v>2594459639.9271998</v>
          </cell>
        </row>
        <row r="729">
          <cell r="C729" t="str">
            <v>FR0000039299</v>
          </cell>
          <cell r="G729">
            <v>2594459639.9271998</v>
          </cell>
        </row>
        <row r="730">
          <cell r="C730" t="str">
            <v>FR0000039299</v>
          </cell>
          <cell r="G730">
            <v>2594459639.9271998</v>
          </cell>
        </row>
        <row r="731">
          <cell r="C731" t="str">
            <v>NL0006237562</v>
          </cell>
          <cell r="G731">
            <v>2574343678.224</v>
          </cell>
        </row>
        <row r="732">
          <cell r="C732" t="str">
            <v>NL0006237562</v>
          </cell>
          <cell r="G732">
            <v>2574343678.224</v>
          </cell>
        </row>
        <row r="733">
          <cell r="C733" t="str">
            <v>NL0006237562</v>
          </cell>
          <cell r="G733">
            <v>2574343678.224</v>
          </cell>
        </row>
        <row r="734">
          <cell r="C734" t="str">
            <v>FR0013506730</v>
          </cell>
          <cell r="G734">
            <v>2568224701.441</v>
          </cell>
        </row>
        <row r="735">
          <cell r="C735" t="str">
            <v>FR0013506730</v>
          </cell>
          <cell r="G735">
            <v>2568224701.441</v>
          </cell>
        </row>
        <row r="736">
          <cell r="C736" t="str">
            <v>FR0013506730</v>
          </cell>
          <cell r="G736">
            <v>2568224701.441</v>
          </cell>
        </row>
        <row r="737">
          <cell r="C737" t="str">
            <v>DE000A3E5D64</v>
          </cell>
          <cell r="G737">
            <v>2521750000</v>
          </cell>
        </row>
        <row r="738">
          <cell r="C738" t="str">
            <v>DE000A3E5D64</v>
          </cell>
          <cell r="G738">
            <v>2521750000</v>
          </cell>
        </row>
        <row r="739">
          <cell r="C739" t="str">
            <v>DE000A3E5D64</v>
          </cell>
          <cell r="G739">
            <v>2521750000</v>
          </cell>
        </row>
        <row r="740">
          <cell r="C740" t="str">
            <v>BMG455841020</v>
          </cell>
          <cell r="G740">
            <v>2494235846.4000001</v>
          </cell>
        </row>
        <row r="741">
          <cell r="C741" t="str">
            <v>BMG455841020</v>
          </cell>
          <cell r="G741">
            <v>2494235846.4000001</v>
          </cell>
        </row>
        <row r="742">
          <cell r="C742" t="str">
            <v>BMG455841020</v>
          </cell>
          <cell r="G742">
            <v>2494235846.4000001</v>
          </cell>
        </row>
        <row r="743">
          <cell r="C743" t="str">
            <v>NL0000852564</v>
          </cell>
          <cell r="G743">
            <v>2473898041.9439998</v>
          </cell>
        </row>
        <row r="744">
          <cell r="C744" t="str">
            <v>NL0000852564</v>
          </cell>
          <cell r="G744">
            <v>2473898041.9439998</v>
          </cell>
        </row>
        <row r="745">
          <cell r="C745" t="str">
            <v>NL0000852564</v>
          </cell>
          <cell r="G745">
            <v>2473898041.9439998</v>
          </cell>
        </row>
        <row r="746">
          <cell r="C746" t="str">
            <v>IT0003115950</v>
          </cell>
          <cell r="G746">
            <v>2380168802.4840002</v>
          </cell>
        </row>
        <row r="747">
          <cell r="C747" t="str">
            <v>IT0003115950</v>
          </cell>
          <cell r="G747">
            <v>2380168802.4840002</v>
          </cell>
        </row>
        <row r="748">
          <cell r="C748" t="str">
            <v>IT0003115950</v>
          </cell>
          <cell r="G748">
            <v>2380168802.4840002</v>
          </cell>
        </row>
        <row r="749">
          <cell r="C749" t="str">
            <v>LU2290522684</v>
          </cell>
          <cell r="G749">
            <v>2362500000</v>
          </cell>
        </row>
        <row r="750">
          <cell r="C750" t="str">
            <v>LU2290522684</v>
          </cell>
          <cell r="G750">
            <v>2362500000</v>
          </cell>
        </row>
        <row r="751">
          <cell r="C751" t="str">
            <v>LU2290522684</v>
          </cell>
          <cell r="G751">
            <v>2362500000</v>
          </cell>
        </row>
        <row r="752">
          <cell r="C752" t="str">
            <v>FR0013176526</v>
          </cell>
          <cell r="G752">
            <v>2322097281.1079998</v>
          </cell>
        </row>
        <row r="753">
          <cell r="C753" t="str">
            <v>FR0013176526</v>
          </cell>
          <cell r="G753">
            <v>2322097281.1079998</v>
          </cell>
        </row>
        <row r="754">
          <cell r="C754" t="str">
            <v>FR0013176526</v>
          </cell>
          <cell r="G754">
            <v>2322097281.1079998</v>
          </cell>
        </row>
        <row r="755">
          <cell r="C755" t="str">
            <v>GB00BNTJ3546</v>
          </cell>
          <cell r="G755">
            <v>2300923907.5500002</v>
          </cell>
        </row>
        <row r="756">
          <cell r="C756" t="str">
            <v>GB00BNTJ3546</v>
          </cell>
          <cell r="G756">
            <v>2300923907.5500002</v>
          </cell>
        </row>
        <row r="757">
          <cell r="C757" t="str">
            <v>GB00BNTJ3546</v>
          </cell>
          <cell r="G757">
            <v>2300923907.5500002</v>
          </cell>
        </row>
        <row r="758">
          <cell r="C758" t="str">
            <v>IT0005090300</v>
          </cell>
          <cell r="G758">
            <v>2207181488.6849999</v>
          </cell>
        </row>
        <row r="759">
          <cell r="C759" t="str">
            <v>IT0005090300</v>
          </cell>
          <cell r="G759">
            <v>2207181488.6849999</v>
          </cell>
        </row>
        <row r="760">
          <cell r="C760" t="str">
            <v>IT0005090300</v>
          </cell>
          <cell r="G760">
            <v>2207181488.6849999</v>
          </cell>
        </row>
        <row r="761">
          <cell r="C761" t="str">
            <v>FI0009004824</v>
          </cell>
          <cell r="G761">
            <v>2206641064.8000002</v>
          </cell>
        </row>
        <row r="762">
          <cell r="C762" t="str">
            <v>FI0009004824</v>
          </cell>
          <cell r="G762">
            <v>2206641064.8000002</v>
          </cell>
        </row>
        <row r="763">
          <cell r="C763" t="str">
            <v>FI0009004824</v>
          </cell>
          <cell r="G763">
            <v>2206641064.8000002</v>
          </cell>
        </row>
        <row r="764">
          <cell r="C764" t="str">
            <v>ES0132105018</v>
          </cell>
          <cell r="G764">
            <v>2156127612.0749998</v>
          </cell>
        </row>
        <row r="765">
          <cell r="C765" t="str">
            <v>ES0132105018</v>
          </cell>
          <cell r="G765">
            <v>2156127612.0749998</v>
          </cell>
        </row>
        <row r="766">
          <cell r="C766" t="str">
            <v>ES0132105018</v>
          </cell>
          <cell r="G766">
            <v>2156127612.0749998</v>
          </cell>
        </row>
        <row r="767">
          <cell r="C767" t="str">
            <v>AT0000625108</v>
          </cell>
          <cell r="G767">
            <v>2152333008</v>
          </cell>
        </row>
        <row r="768">
          <cell r="C768" t="str">
            <v>AT0000625108</v>
          </cell>
          <cell r="G768">
            <v>2152333008</v>
          </cell>
        </row>
        <row r="769">
          <cell r="C769" t="str">
            <v>AT0000625108</v>
          </cell>
          <cell r="G769">
            <v>2152333008</v>
          </cell>
        </row>
        <row r="770">
          <cell r="C770" t="str">
            <v>NL00150006R6</v>
          </cell>
          <cell r="G770">
            <v>2146352834.4000001</v>
          </cell>
        </row>
        <row r="771">
          <cell r="C771" t="str">
            <v>NL00150006R6</v>
          </cell>
          <cell r="G771">
            <v>2146352834.4000001</v>
          </cell>
        </row>
        <row r="772">
          <cell r="C772" t="str">
            <v>NL00150006R6</v>
          </cell>
          <cell r="G772">
            <v>2146352834.4000001</v>
          </cell>
        </row>
        <row r="773">
          <cell r="C773" t="str">
            <v>IT0000062957</v>
          </cell>
          <cell r="G773">
            <v>2125709787.12375</v>
          </cell>
        </row>
        <row r="774">
          <cell r="C774" t="str">
            <v>IT0000062957</v>
          </cell>
          <cell r="G774">
            <v>2125709787.12375</v>
          </cell>
        </row>
        <row r="775">
          <cell r="C775" t="str">
            <v>IT0000062957</v>
          </cell>
          <cell r="G775">
            <v>2125709787.12375</v>
          </cell>
        </row>
        <row r="776">
          <cell r="C776" t="str">
            <v>LU1673108939</v>
          </cell>
          <cell r="G776">
            <v>2124784189.4400001</v>
          </cell>
        </row>
        <row r="777">
          <cell r="C777" t="str">
            <v>LU1673108939</v>
          </cell>
          <cell r="G777">
            <v>2124784189.4400001</v>
          </cell>
        </row>
        <row r="778">
          <cell r="C778" t="str">
            <v>LU1673108939</v>
          </cell>
          <cell r="G778">
            <v>2124784189.4400001</v>
          </cell>
        </row>
        <row r="779">
          <cell r="C779" t="str">
            <v>NL0011821392</v>
          </cell>
          <cell r="G779">
            <v>2124032966.7809999</v>
          </cell>
        </row>
        <row r="780">
          <cell r="C780" t="str">
            <v>NL0011821392</v>
          </cell>
          <cell r="G780">
            <v>2124032966.7809999</v>
          </cell>
        </row>
        <row r="781">
          <cell r="C781" t="str">
            <v>NL0011821392</v>
          </cell>
          <cell r="G781">
            <v>2124032966.7809999</v>
          </cell>
        </row>
        <row r="782">
          <cell r="C782" t="str">
            <v>NL0000337319</v>
          </cell>
          <cell r="G782">
            <v>2079440000</v>
          </cell>
        </row>
        <row r="783">
          <cell r="C783" t="str">
            <v>NL0000337319</v>
          </cell>
          <cell r="G783">
            <v>2079440000</v>
          </cell>
        </row>
        <row r="784">
          <cell r="C784" t="str">
            <v>NL0000337319</v>
          </cell>
          <cell r="G784">
            <v>2079440000</v>
          </cell>
        </row>
        <row r="785">
          <cell r="C785" t="str">
            <v>IT0005278236</v>
          </cell>
          <cell r="G785">
            <v>2076200000</v>
          </cell>
        </row>
        <row r="786">
          <cell r="C786" t="str">
            <v>IT0005278236</v>
          </cell>
          <cell r="G786">
            <v>2076200000</v>
          </cell>
        </row>
        <row r="787">
          <cell r="C787" t="str">
            <v>IT0005278236</v>
          </cell>
          <cell r="G787">
            <v>2076200000</v>
          </cell>
        </row>
        <row r="788">
          <cell r="C788" t="str">
            <v>FR0000121204</v>
          </cell>
          <cell r="G788">
            <v>2064468322.4400001</v>
          </cell>
        </row>
        <row r="789">
          <cell r="C789" t="str">
            <v>FR0000121204</v>
          </cell>
          <cell r="G789">
            <v>2064468322.4400001</v>
          </cell>
        </row>
        <row r="790">
          <cell r="C790" t="str">
            <v>FR0000121204</v>
          </cell>
          <cell r="G790">
            <v>2064468322.4400001</v>
          </cell>
        </row>
        <row r="791">
          <cell r="C791" t="str">
            <v>IT0004931058</v>
          </cell>
          <cell r="G791">
            <v>2063861912.96</v>
          </cell>
        </row>
        <row r="792">
          <cell r="C792" t="str">
            <v>IT0004931058</v>
          </cell>
          <cell r="G792">
            <v>2063861912.96</v>
          </cell>
        </row>
        <row r="793">
          <cell r="C793" t="str">
            <v>IT0004931058</v>
          </cell>
          <cell r="G793">
            <v>2063861912.96</v>
          </cell>
        </row>
        <row r="794">
          <cell r="C794" t="str">
            <v>LU0088087324</v>
          </cell>
          <cell r="G794">
            <v>2060030091.5999999</v>
          </cell>
        </row>
        <row r="795">
          <cell r="C795" t="str">
            <v>LU0088087324</v>
          </cell>
          <cell r="G795">
            <v>2060030091.5999999</v>
          </cell>
        </row>
        <row r="796">
          <cell r="C796" t="str">
            <v>LU0088087324</v>
          </cell>
          <cell r="G796">
            <v>2060030091.5999999</v>
          </cell>
        </row>
        <row r="797">
          <cell r="C797" t="str">
            <v>DE000AUM0V10</v>
          </cell>
          <cell r="G797">
            <v>2030534842.05</v>
          </cell>
        </row>
        <row r="798">
          <cell r="C798" t="str">
            <v>DE000AUM0V10</v>
          </cell>
          <cell r="G798">
            <v>2030534842.05</v>
          </cell>
        </row>
        <row r="799">
          <cell r="C799" t="str">
            <v>DE000AUM0V10</v>
          </cell>
          <cell r="G799">
            <v>2030534842.05</v>
          </cell>
        </row>
        <row r="800">
          <cell r="C800" t="str">
            <v>IT0005366767</v>
          </cell>
          <cell r="G800">
            <v>2000831494.4496</v>
          </cell>
        </row>
        <row r="801">
          <cell r="C801" t="str">
            <v>IT0005366767</v>
          </cell>
          <cell r="G801">
            <v>2000831494.4496</v>
          </cell>
        </row>
        <row r="802">
          <cell r="C802" t="str">
            <v>IT0005366767</v>
          </cell>
          <cell r="G802">
            <v>2000831494.4496</v>
          </cell>
        </row>
        <row r="803">
          <cell r="C803" t="str">
            <v>ES0137650018</v>
          </cell>
          <cell r="G803">
            <v>1995452521.02</v>
          </cell>
        </row>
        <row r="804">
          <cell r="C804" t="str">
            <v>ES0137650018</v>
          </cell>
          <cell r="G804">
            <v>1995452521.02</v>
          </cell>
        </row>
        <row r="805">
          <cell r="C805" t="str">
            <v>ES0137650018</v>
          </cell>
          <cell r="G805">
            <v>1995452521.02</v>
          </cell>
        </row>
        <row r="806">
          <cell r="C806" t="str">
            <v>FR0000071946</v>
          </cell>
          <cell r="G806">
            <v>1946710396.0799999</v>
          </cell>
        </row>
        <row r="807">
          <cell r="C807" t="str">
            <v>FR0000071946</v>
          </cell>
          <cell r="G807">
            <v>1946710396.0799999</v>
          </cell>
        </row>
        <row r="808">
          <cell r="C808" t="str">
            <v>FR0000071946</v>
          </cell>
          <cell r="G808">
            <v>1946710396.0799999</v>
          </cell>
        </row>
        <row r="809">
          <cell r="C809" t="str">
            <v>NL0010273215</v>
          </cell>
          <cell r="G809">
            <v>323715160116</v>
          </cell>
        </row>
        <row r="810">
          <cell r="C810" t="str">
            <v>NL0010273215</v>
          </cell>
          <cell r="G810">
            <v>323715160116</v>
          </cell>
        </row>
        <row r="811">
          <cell r="C811" t="str">
            <v>NL0010273215</v>
          </cell>
          <cell r="G811">
            <v>323715160116</v>
          </cell>
        </row>
        <row r="812">
          <cell r="C812" t="str">
            <v>NL0010273215</v>
          </cell>
          <cell r="G812">
            <v>323715160116</v>
          </cell>
        </row>
        <row r="813">
          <cell r="C813" t="str">
            <v>NL0010273215</v>
          </cell>
          <cell r="G813">
            <v>323715160116</v>
          </cell>
        </row>
        <row r="814">
          <cell r="C814" t="str">
            <v>NL0010273215</v>
          </cell>
          <cell r="G814">
            <v>323715160116</v>
          </cell>
        </row>
        <row r="815">
          <cell r="C815" t="str">
            <v>NL0010273215</v>
          </cell>
          <cell r="G815">
            <v>323715160116</v>
          </cell>
        </row>
        <row r="816">
          <cell r="C816" t="str">
            <v>NL0010273215</v>
          </cell>
          <cell r="G816">
            <v>323715160116</v>
          </cell>
        </row>
        <row r="817">
          <cell r="C817" t="str">
            <v>NL0010273215</v>
          </cell>
          <cell r="G817">
            <v>323715160116</v>
          </cell>
        </row>
        <row r="818">
          <cell r="C818" t="str">
            <v>NL0010273215</v>
          </cell>
          <cell r="G818">
            <v>323715160116</v>
          </cell>
        </row>
        <row r="819">
          <cell r="C819" t="str">
            <v>NL0010273215</v>
          </cell>
          <cell r="G819">
            <v>323715160116</v>
          </cell>
        </row>
        <row r="820">
          <cell r="C820" t="str">
            <v>NL0010273215</v>
          </cell>
          <cell r="G820">
            <v>323715160116</v>
          </cell>
        </row>
        <row r="821">
          <cell r="C821" t="str">
            <v>NL0010273215</v>
          </cell>
          <cell r="G821">
            <v>323715160116</v>
          </cell>
        </row>
        <row r="822">
          <cell r="C822" t="str">
            <v>NL0010273215</v>
          </cell>
          <cell r="G822">
            <v>323715160116</v>
          </cell>
        </row>
        <row r="823">
          <cell r="C823" t="str">
            <v>DE0007164600</v>
          </cell>
          <cell r="G823">
            <v>226659043350</v>
          </cell>
        </row>
        <row r="824">
          <cell r="C824" t="str">
            <v>DE0007164600</v>
          </cell>
          <cell r="G824">
            <v>226659043350</v>
          </cell>
        </row>
        <row r="825">
          <cell r="C825" t="str">
            <v>DE0007164600</v>
          </cell>
          <cell r="G825">
            <v>226659043350</v>
          </cell>
        </row>
        <row r="826">
          <cell r="C826" t="str">
            <v>DE0007164600</v>
          </cell>
          <cell r="G826">
            <v>226659043350</v>
          </cell>
        </row>
        <row r="827">
          <cell r="C827" t="str">
            <v>DE0007164600</v>
          </cell>
          <cell r="G827">
            <v>226659043350</v>
          </cell>
        </row>
        <row r="828">
          <cell r="C828" t="str">
            <v>DE0007164600</v>
          </cell>
          <cell r="G828">
            <v>226659043350</v>
          </cell>
        </row>
        <row r="829">
          <cell r="C829" t="str">
            <v>DE0007164600</v>
          </cell>
          <cell r="G829">
            <v>226659043350</v>
          </cell>
        </row>
        <row r="830">
          <cell r="C830" t="str">
            <v>DE0007164600</v>
          </cell>
          <cell r="G830">
            <v>226659043350</v>
          </cell>
        </row>
        <row r="831">
          <cell r="C831" t="str">
            <v>DE0007164600</v>
          </cell>
          <cell r="G831">
            <v>226659043350</v>
          </cell>
        </row>
        <row r="832">
          <cell r="C832" t="str">
            <v>DE0007164600</v>
          </cell>
          <cell r="G832">
            <v>226659043350</v>
          </cell>
        </row>
        <row r="833">
          <cell r="C833" t="str">
            <v>DE0007164600</v>
          </cell>
          <cell r="G833">
            <v>226659043350</v>
          </cell>
        </row>
        <row r="834">
          <cell r="C834" t="str">
            <v>DE0007164600</v>
          </cell>
          <cell r="G834">
            <v>226659043350</v>
          </cell>
        </row>
        <row r="835">
          <cell r="C835" t="str">
            <v>DE0007164600</v>
          </cell>
          <cell r="G835">
            <v>226659043350</v>
          </cell>
        </row>
        <row r="836">
          <cell r="C836" t="str">
            <v>DE0007164600</v>
          </cell>
          <cell r="G836">
            <v>226659043350</v>
          </cell>
        </row>
        <row r="837">
          <cell r="C837" t="str">
            <v>GB00BP6MXD84</v>
          </cell>
          <cell r="G837">
            <v>189942155601.47501</v>
          </cell>
        </row>
        <row r="838">
          <cell r="C838" t="str">
            <v>GB00BP6MXD84</v>
          </cell>
          <cell r="G838">
            <v>189942155601.47501</v>
          </cell>
        </row>
        <row r="839">
          <cell r="C839" t="str">
            <v>GB00BP6MXD84</v>
          </cell>
          <cell r="G839">
            <v>189942155601.47501</v>
          </cell>
        </row>
        <row r="840">
          <cell r="C840" t="str">
            <v>GB00BP6MXD84</v>
          </cell>
          <cell r="G840">
            <v>189942155601.47501</v>
          </cell>
        </row>
        <row r="841">
          <cell r="C841" t="str">
            <v>GB00BP6MXD84</v>
          </cell>
          <cell r="G841">
            <v>189942155601.47501</v>
          </cell>
        </row>
        <row r="842">
          <cell r="C842" t="str">
            <v>GB00BP6MXD84</v>
          </cell>
          <cell r="G842">
            <v>189942155601.47501</v>
          </cell>
        </row>
        <row r="843">
          <cell r="C843" t="str">
            <v>GB00BP6MXD84</v>
          </cell>
          <cell r="G843">
            <v>189942155601.47501</v>
          </cell>
        </row>
        <row r="844">
          <cell r="C844" t="str">
            <v>GB00BP6MXD84</v>
          </cell>
          <cell r="G844">
            <v>189942155601.47501</v>
          </cell>
        </row>
        <row r="845">
          <cell r="C845" t="str">
            <v>GB00BP6MXD84</v>
          </cell>
          <cell r="G845">
            <v>189942155601.47501</v>
          </cell>
        </row>
        <row r="846">
          <cell r="C846" t="str">
            <v>GB00BP6MXD84</v>
          </cell>
          <cell r="G846">
            <v>189942155601.47501</v>
          </cell>
        </row>
        <row r="847">
          <cell r="C847" t="str">
            <v>GB00BP6MXD84</v>
          </cell>
          <cell r="G847">
            <v>189942155601.47501</v>
          </cell>
        </row>
        <row r="848">
          <cell r="C848" t="str">
            <v>GB00BP6MXD84</v>
          </cell>
          <cell r="G848">
            <v>189942155601.47501</v>
          </cell>
        </row>
        <row r="849">
          <cell r="C849" t="str">
            <v>GB00BP6MXD84</v>
          </cell>
          <cell r="G849">
            <v>189942155601.47501</v>
          </cell>
        </row>
        <row r="850">
          <cell r="C850" t="str">
            <v>GB00BP6MXD84</v>
          </cell>
          <cell r="G850">
            <v>189942155601.47501</v>
          </cell>
        </row>
        <row r="851">
          <cell r="C851" t="str">
            <v>GB00BP6MXD84</v>
          </cell>
          <cell r="G851">
            <v>189942155601.47501</v>
          </cell>
        </row>
        <row r="852">
          <cell r="C852" t="str">
            <v>GB00BP6MXD84</v>
          </cell>
          <cell r="G852">
            <v>189942155601.47501</v>
          </cell>
        </row>
        <row r="853">
          <cell r="C853" t="str">
            <v>GB00BP6MXD84</v>
          </cell>
          <cell r="G853">
            <v>189942155601.47501</v>
          </cell>
        </row>
        <row r="854">
          <cell r="C854" t="str">
            <v>DE0007236101</v>
          </cell>
          <cell r="G854">
            <v>166554000000</v>
          </cell>
        </row>
        <row r="855">
          <cell r="C855" t="str">
            <v>DE0007236101</v>
          </cell>
          <cell r="G855">
            <v>166554000000</v>
          </cell>
        </row>
        <row r="856">
          <cell r="C856" t="str">
            <v>DE0007236101</v>
          </cell>
          <cell r="G856">
            <v>166554000000</v>
          </cell>
        </row>
        <row r="857">
          <cell r="C857" t="str">
            <v>DE0007236101</v>
          </cell>
          <cell r="G857">
            <v>166554000000</v>
          </cell>
        </row>
        <row r="858">
          <cell r="C858" t="str">
            <v>DE0007236101</v>
          </cell>
          <cell r="G858">
            <v>166554000000</v>
          </cell>
        </row>
        <row r="859">
          <cell r="C859" t="str">
            <v>DE0007236101</v>
          </cell>
          <cell r="G859">
            <v>166554000000</v>
          </cell>
        </row>
        <row r="860">
          <cell r="C860" t="str">
            <v>DE0007236101</v>
          </cell>
          <cell r="G860">
            <v>166554000000</v>
          </cell>
        </row>
        <row r="861">
          <cell r="C861" t="str">
            <v>DE0007236101</v>
          </cell>
          <cell r="G861">
            <v>166554000000</v>
          </cell>
        </row>
        <row r="862">
          <cell r="C862" t="str">
            <v>DE0007236101</v>
          </cell>
          <cell r="G862">
            <v>166554000000</v>
          </cell>
        </row>
        <row r="863">
          <cell r="C863" t="str">
            <v>DE0007236101</v>
          </cell>
          <cell r="G863">
            <v>166554000000</v>
          </cell>
        </row>
        <row r="864">
          <cell r="C864" t="str">
            <v>DE0007236101</v>
          </cell>
          <cell r="G864">
            <v>166554000000</v>
          </cell>
        </row>
        <row r="865">
          <cell r="C865" t="str">
            <v>DE0007236101</v>
          </cell>
          <cell r="G865">
            <v>166554000000</v>
          </cell>
        </row>
        <row r="866">
          <cell r="C866" t="str">
            <v>DE0007236101</v>
          </cell>
          <cell r="G866">
            <v>166554000000</v>
          </cell>
        </row>
        <row r="867">
          <cell r="C867" t="str">
            <v>DE0007236101</v>
          </cell>
          <cell r="G867">
            <v>166554000000</v>
          </cell>
        </row>
        <row r="868">
          <cell r="C868" t="str">
            <v>FR0000121014</v>
          </cell>
          <cell r="G868">
            <v>155029481810</v>
          </cell>
        </row>
        <row r="869">
          <cell r="C869" t="str">
            <v>FR0000121014</v>
          </cell>
          <cell r="G869">
            <v>155029481810</v>
          </cell>
        </row>
        <row r="870">
          <cell r="C870" t="str">
            <v>FR0000121014</v>
          </cell>
          <cell r="G870">
            <v>155029481810</v>
          </cell>
        </row>
        <row r="871">
          <cell r="C871" t="str">
            <v>FR0000121014</v>
          </cell>
          <cell r="G871">
            <v>155029481810</v>
          </cell>
        </row>
        <row r="872">
          <cell r="C872" t="str">
            <v>FR0000121014</v>
          </cell>
          <cell r="G872">
            <v>155029481810</v>
          </cell>
        </row>
        <row r="873">
          <cell r="C873" t="str">
            <v>FR0000121014</v>
          </cell>
          <cell r="G873">
            <v>155029481810</v>
          </cell>
        </row>
        <row r="874">
          <cell r="C874" t="str">
            <v>FR0000121014</v>
          </cell>
          <cell r="G874">
            <v>155029481810</v>
          </cell>
        </row>
        <row r="875">
          <cell r="C875" t="str">
            <v>FR0000121014</v>
          </cell>
          <cell r="G875">
            <v>155029481810</v>
          </cell>
        </row>
        <row r="876">
          <cell r="C876" t="str">
            <v>FR0000121014</v>
          </cell>
          <cell r="G876">
            <v>155029481810</v>
          </cell>
        </row>
        <row r="877">
          <cell r="C877" t="str">
            <v>FR0000121014</v>
          </cell>
          <cell r="G877">
            <v>155029481810</v>
          </cell>
        </row>
        <row r="878">
          <cell r="C878" t="str">
            <v>FR0000121014</v>
          </cell>
          <cell r="G878">
            <v>155029481810</v>
          </cell>
        </row>
        <row r="879">
          <cell r="C879" t="str">
            <v>FR0000121014</v>
          </cell>
          <cell r="G879">
            <v>155029481810</v>
          </cell>
        </row>
        <row r="880">
          <cell r="C880" t="str">
            <v>FR0000121014</v>
          </cell>
          <cell r="G880">
            <v>155029481810</v>
          </cell>
        </row>
        <row r="881">
          <cell r="C881" t="str">
            <v>FR0000121014</v>
          </cell>
          <cell r="G881">
            <v>155029481810</v>
          </cell>
        </row>
        <row r="882">
          <cell r="C882" t="str">
            <v>DE0008404005</v>
          </cell>
          <cell r="G882">
            <v>140217128770</v>
          </cell>
        </row>
        <row r="883">
          <cell r="C883" t="str">
            <v>DE0008404005</v>
          </cell>
          <cell r="G883">
            <v>140217128770</v>
          </cell>
        </row>
        <row r="884">
          <cell r="C884" t="str">
            <v>DE0008404005</v>
          </cell>
          <cell r="G884">
            <v>140217128770</v>
          </cell>
        </row>
        <row r="885">
          <cell r="C885" t="str">
            <v>DE0008404005</v>
          </cell>
          <cell r="G885">
            <v>140217128770</v>
          </cell>
        </row>
        <row r="886">
          <cell r="C886" t="str">
            <v>DE0008404005</v>
          </cell>
          <cell r="G886">
            <v>140217128770</v>
          </cell>
        </row>
        <row r="887">
          <cell r="C887" t="str">
            <v>DE0008404005</v>
          </cell>
          <cell r="G887">
            <v>140217128770</v>
          </cell>
        </row>
        <row r="888">
          <cell r="C888" t="str">
            <v>DE0008404005</v>
          </cell>
          <cell r="G888">
            <v>140217128770</v>
          </cell>
        </row>
        <row r="889">
          <cell r="C889" t="str">
            <v>DE0008404005</v>
          </cell>
          <cell r="G889">
            <v>140217128770</v>
          </cell>
        </row>
        <row r="890">
          <cell r="C890" t="str">
            <v>DE0008404005</v>
          </cell>
          <cell r="G890">
            <v>140217128770</v>
          </cell>
        </row>
        <row r="891">
          <cell r="C891" t="str">
            <v>DE0008404005</v>
          </cell>
          <cell r="G891">
            <v>140217128770</v>
          </cell>
        </row>
        <row r="892">
          <cell r="C892" t="str">
            <v>DE0008404005</v>
          </cell>
          <cell r="G892">
            <v>140217128770</v>
          </cell>
        </row>
        <row r="893">
          <cell r="C893" t="str">
            <v>DE0008404005</v>
          </cell>
          <cell r="G893">
            <v>140217128770</v>
          </cell>
        </row>
        <row r="894">
          <cell r="C894" t="str">
            <v>DE0008404005</v>
          </cell>
          <cell r="G894">
            <v>140217128770</v>
          </cell>
        </row>
        <row r="895">
          <cell r="C895" t="str">
            <v>DE0008404005</v>
          </cell>
          <cell r="G895">
            <v>140217128770</v>
          </cell>
        </row>
        <row r="896">
          <cell r="C896" t="str">
            <v>ES0113900J37</v>
          </cell>
          <cell r="G896">
            <v>131065286625</v>
          </cell>
        </row>
        <row r="897">
          <cell r="C897" t="str">
            <v>ES0113900J37</v>
          </cell>
          <cell r="G897">
            <v>131065286625</v>
          </cell>
        </row>
        <row r="898">
          <cell r="C898" t="str">
            <v>ES0113900J37</v>
          </cell>
          <cell r="G898">
            <v>131065286625</v>
          </cell>
        </row>
        <row r="899">
          <cell r="C899" t="str">
            <v>ES0113900J37</v>
          </cell>
          <cell r="G899">
            <v>131065286625</v>
          </cell>
        </row>
        <row r="900">
          <cell r="C900" t="str">
            <v>ES0113900J37</v>
          </cell>
          <cell r="G900">
            <v>131065286625</v>
          </cell>
        </row>
        <row r="901">
          <cell r="C901" t="str">
            <v>ES0113900J37</v>
          </cell>
          <cell r="G901">
            <v>131065286625</v>
          </cell>
        </row>
        <row r="902">
          <cell r="C902" t="str">
            <v>ES0113900J37</v>
          </cell>
          <cell r="G902">
            <v>131065286625</v>
          </cell>
        </row>
        <row r="903">
          <cell r="C903" t="str">
            <v>ES0113900J37</v>
          </cell>
          <cell r="G903">
            <v>131065286625</v>
          </cell>
        </row>
        <row r="904">
          <cell r="C904" t="str">
            <v>ES0113900J37</v>
          </cell>
          <cell r="G904">
            <v>131065286625</v>
          </cell>
        </row>
        <row r="905">
          <cell r="C905" t="str">
            <v>ES0113900J37</v>
          </cell>
          <cell r="G905">
            <v>131065286625</v>
          </cell>
        </row>
        <row r="906">
          <cell r="C906" t="str">
            <v>ES0113900J37</v>
          </cell>
          <cell r="G906">
            <v>131065286625</v>
          </cell>
        </row>
        <row r="907">
          <cell r="C907" t="str">
            <v>ES0113900J37</v>
          </cell>
          <cell r="G907">
            <v>131065286625</v>
          </cell>
        </row>
        <row r="908">
          <cell r="C908" t="str">
            <v>ES0113900J37</v>
          </cell>
          <cell r="G908">
            <v>131065286625</v>
          </cell>
        </row>
        <row r="909">
          <cell r="C909" t="str">
            <v>ES0113900J37</v>
          </cell>
          <cell r="G909">
            <v>131065286625</v>
          </cell>
        </row>
        <row r="910">
          <cell r="C910" t="str">
            <v>GB00BVZK7T90</v>
          </cell>
          <cell r="G910">
            <v>129878787701.27</v>
          </cell>
        </row>
        <row r="911">
          <cell r="C911" t="str">
            <v>GB00BVZK7T90</v>
          </cell>
          <cell r="G911">
            <v>129878787701.27</v>
          </cell>
        </row>
        <row r="912">
          <cell r="C912" t="str">
            <v>GB00BVZK7T90</v>
          </cell>
          <cell r="G912">
            <v>129878787701.27</v>
          </cell>
        </row>
        <row r="913">
          <cell r="C913" t="str">
            <v>GB00BVZK7T90</v>
          </cell>
          <cell r="G913">
            <v>129878787701.27</v>
          </cell>
        </row>
        <row r="914">
          <cell r="C914" t="str">
            <v>GB00BVZK7T90</v>
          </cell>
          <cell r="G914">
            <v>129878787701.27</v>
          </cell>
        </row>
        <row r="915">
          <cell r="C915" t="str">
            <v>GB00BVZK7T90</v>
          </cell>
          <cell r="G915">
            <v>129878787701.27</v>
          </cell>
        </row>
        <row r="916">
          <cell r="C916" t="str">
            <v>GB00BVZK7T90</v>
          </cell>
          <cell r="G916">
            <v>129878787701.27</v>
          </cell>
        </row>
        <row r="917">
          <cell r="C917" t="str">
            <v>GB00BVZK7T90</v>
          </cell>
          <cell r="G917">
            <v>129878787701.27</v>
          </cell>
        </row>
        <row r="918">
          <cell r="C918" t="str">
            <v>GB00BVZK7T90</v>
          </cell>
          <cell r="G918">
            <v>129878787701.27</v>
          </cell>
        </row>
        <row r="919">
          <cell r="C919" t="str">
            <v>GB00BVZK7T90</v>
          </cell>
          <cell r="G919">
            <v>129878787701.27</v>
          </cell>
        </row>
        <row r="920">
          <cell r="C920" t="str">
            <v>GB00BVZK7T90</v>
          </cell>
          <cell r="G920">
            <v>129878787701.27</v>
          </cell>
        </row>
        <row r="921">
          <cell r="C921" t="str">
            <v>GB00BVZK7T90</v>
          </cell>
          <cell r="G921">
            <v>129878787701.27</v>
          </cell>
        </row>
        <row r="922">
          <cell r="C922" t="str">
            <v>GB00BVZK7T90</v>
          </cell>
          <cell r="G922">
            <v>129878787701.27</v>
          </cell>
        </row>
        <row r="923">
          <cell r="C923" t="str">
            <v>GB00BVZK7T90</v>
          </cell>
          <cell r="G923">
            <v>129878787701.27</v>
          </cell>
        </row>
        <row r="924">
          <cell r="C924" t="str">
            <v>FR0000121972</v>
          </cell>
          <cell r="G924">
            <v>128294334417.60001</v>
          </cell>
        </row>
        <row r="925">
          <cell r="C925" t="str">
            <v>FR0000121972</v>
          </cell>
          <cell r="G925">
            <v>128294334417.60001</v>
          </cell>
        </row>
        <row r="926">
          <cell r="C926" t="str">
            <v>FR0000121972</v>
          </cell>
          <cell r="G926">
            <v>128294334417.60001</v>
          </cell>
        </row>
        <row r="927">
          <cell r="C927" t="str">
            <v>FR0000121972</v>
          </cell>
          <cell r="G927">
            <v>128294334417.60001</v>
          </cell>
        </row>
        <row r="928">
          <cell r="C928" t="str">
            <v>FR0000121972</v>
          </cell>
          <cell r="G928">
            <v>128294334417.60001</v>
          </cell>
        </row>
        <row r="929">
          <cell r="C929" t="str">
            <v>FR0000121972</v>
          </cell>
          <cell r="G929">
            <v>128294334417.60001</v>
          </cell>
        </row>
        <row r="930">
          <cell r="C930" t="str">
            <v>FR0000121972</v>
          </cell>
          <cell r="G930">
            <v>128294334417.60001</v>
          </cell>
        </row>
        <row r="931">
          <cell r="C931" t="str">
            <v>FR0000121972</v>
          </cell>
          <cell r="G931">
            <v>128294334417.60001</v>
          </cell>
        </row>
        <row r="932">
          <cell r="C932" t="str">
            <v>FR0000121972</v>
          </cell>
          <cell r="G932">
            <v>128294334417.60001</v>
          </cell>
        </row>
        <row r="933">
          <cell r="C933" t="str">
            <v>FR0000121972</v>
          </cell>
          <cell r="G933">
            <v>128294334417.60001</v>
          </cell>
        </row>
        <row r="934">
          <cell r="C934" t="str">
            <v>FR0000121972</v>
          </cell>
          <cell r="G934">
            <v>128294334417.60001</v>
          </cell>
        </row>
        <row r="935">
          <cell r="C935" t="str">
            <v>FR0000121972</v>
          </cell>
          <cell r="G935">
            <v>128294334417.60001</v>
          </cell>
        </row>
        <row r="936">
          <cell r="C936" t="str">
            <v>FR0000121972</v>
          </cell>
          <cell r="G936">
            <v>128294334417.60001</v>
          </cell>
        </row>
        <row r="937">
          <cell r="C937" t="str">
            <v>FR0000121972</v>
          </cell>
          <cell r="G937">
            <v>128294334417.60001</v>
          </cell>
        </row>
        <row r="938">
          <cell r="C938" t="str">
            <v>NL0000235190</v>
          </cell>
          <cell r="G938">
            <v>120476637546.1875</v>
          </cell>
        </row>
        <row r="939">
          <cell r="C939" t="str">
            <v>NL0000235190</v>
          </cell>
          <cell r="G939">
            <v>120476637546.1875</v>
          </cell>
        </row>
        <row r="940">
          <cell r="C940" t="str">
            <v>NL0000235190</v>
          </cell>
          <cell r="G940">
            <v>120476637546.1875</v>
          </cell>
        </row>
        <row r="941">
          <cell r="C941" t="str">
            <v>NL0000235190</v>
          </cell>
          <cell r="G941">
            <v>120476637546.1875</v>
          </cell>
        </row>
        <row r="942">
          <cell r="C942" t="str">
            <v>NL0000235190</v>
          </cell>
          <cell r="G942">
            <v>120476637546.1875</v>
          </cell>
        </row>
        <row r="943">
          <cell r="C943" t="str">
            <v>NL0000235190</v>
          </cell>
          <cell r="G943">
            <v>120476637546.1875</v>
          </cell>
        </row>
        <row r="944">
          <cell r="C944" t="str">
            <v>NL0000235190</v>
          </cell>
          <cell r="G944">
            <v>120476637546.1875</v>
          </cell>
        </row>
        <row r="945">
          <cell r="C945" t="str">
            <v>NL0000235190</v>
          </cell>
          <cell r="G945">
            <v>120476637546.1875</v>
          </cell>
        </row>
        <row r="946">
          <cell r="C946" t="str">
            <v>NL0000235190</v>
          </cell>
          <cell r="G946">
            <v>120476637546.1875</v>
          </cell>
        </row>
        <row r="947">
          <cell r="C947" t="str">
            <v>NL0000235190</v>
          </cell>
          <cell r="G947">
            <v>120476637546.1875</v>
          </cell>
        </row>
        <row r="948">
          <cell r="C948" t="str">
            <v>NL0000235190</v>
          </cell>
          <cell r="G948">
            <v>120476637546.1875</v>
          </cell>
        </row>
        <row r="949">
          <cell r="C949" t="str">
            <v>NL0000235190</v>
          </cell>
          <cell r="G949">
            <v>120476637546.1875</v>
          </cell>
        </row>
        <row r="950">
          <cell r="C950" t="str">
            <v>NL0000235190</v>
          </cell>
          <cell r="G950">
            <v>120476637546.1875</v>
          </cell>
        </row>
        <row r="951">
          <cell r="C951" t="str">
            <v>NL0000235190</v>
          </cell>
          <cell r="G951">
            <v>120476637546.1875</v>
          </cell>
        </row>
        <row r="952">
          <cell r="C952" t="str">
            <v>NL0000235190</v>
          </cell>
          <cell r="G952">
            <v>120476637546.1875</v>
          </cell>
        </row>
        <row r="953">
          <cell r="C953" t="str">
            <v>NL0000235190</v>
          </cell>
          <cell r="G953">
            <v>120476637546.1875</v>
          </cell>
        </row>
        <row r="954">
          <cell r="C954" t="str">
            <v>NL0000235190</v>
          </cell>
          <cell r="G954">
            <v>120476637546.1875</v>
          </cell>
        </row>
        <row r="955">
          <cell r="C955" t="str">
            <v>FR0000120271</v>
          </cell>
          <cell r="G955">
            <v>111152333557.539</v>
          </cell>
        </row>
        <row r="956">
          <cell r="C956" t="str">
            <v>FR0000120271</v>
          </cell>
          <cell r="G956">
            <v>111152333557.539</v>
          </cell>
        </row>
        <row r="957">
          <cell r="C957" t="str">
            <v>FR0000120271</v>
          </cell>
          <cell r="G957">
            <v>111152333557.539</v>
          </cell>
        </row>
        <row r="958">
          <cell r="C958" t="str">
            <v>FR0000120271</v>
          </cell>
          <cell r="G958">
            <v>111152333557.539</v>
          </cell>
        </row>
        <row r="959">
          <cell r="C959" t="str">
            <v>FR0000120271</v>
          </cell>
          <cell r="G959">
            <v>111152333557.539</v>
          </cell>
        </row>
        <row r="960">
          <cell r="C960" t="str">
            <v>FR0000120271</v>
          </cell>
          <cell r="G960">
            <v>111152333557.539</v>
          </cell>
        </row>
        <row r="961">
          <cell r="C961" t="str">
            <v>FR0000120271</v>
          </cell>
          <cell r="G961">
            <v>111152333557.539</v>
          </cell>
        </row>
        <row r="962">
          <cell r="C962" t="str">
            <v>FR0000120271</v>
          </cell>
          <cell r="G962">
            <v>111152333557.539</v>
          </cell>
        </row>
        <row r="963">
          <cell r="C963" t="str">
            <v>FR0000120271</v>
          </cell>
          <cell r="G963">
            <v>111152333557.539</v>
          </cell>
        </row>
        <row r="964">
          <cell r="C964" t="str">
            <v>FR0000120271</v>
          </cell>
          <cell r="G964">
            <v>111152333557.539</v>
          </cell>
        </row>
        <row r="965">
          <cell r="C965" t="str">
            <v>FR0000120271</v>
          </cell>
          <cell r="G965">
            <v>111152333557.539</v>
          </cell>
        </row>
        <row r="966">
          <cell r="C966" t="str">
            <v>FR0000120271</v>
          </cell>
          <cell r="G966">
            <v>111152333557.539</v>
          </cell>
        </row>
        <row r="967">
          <cell r="C967" t="str">
            <v>FR0000120271</v>
          </cell>
          <cell r="G967">
            <v>111152333557.539</v>
          </cell>
        </row>
        <row r="968">
          <cell r="C968" t="str">
            <v>FR0000120271</v>
          </cell>
          <cell r="G968">
            <v>111152333557.539</v>
          </cell>
        </row>
        <row r="969">
          <cell r="C969" t="str">
            <v>FR0000120271</v>
          </cell>
          <cell r="G969">
            <v>111152333557.539</v>
          </cell>
        </row>
        <row r="970">
          <cell r="C970" t="str">
            <v>FR0000120271</v>
          </cell>
          <cell r="G970">
            <v>111152333557.539</v>
          </cell>
        </row>
        <row r="971">
          <cell r="C971" t="str">
            <v>FR0000120271</v>
          </cell>
          <cell r="G971">
            <v>111152333557.539</v>
          </cell>
        </row>
        <row r="972">
          <cell r="C972" t="str">
            <v>ES0144580Y14</v>
          </cell>
          <cell r="G972">
            <v>107845033691.25</v>
          </cell>
        </row>
        <row r="973">
          <cell r="C973" t="str">
            <v>ES0144580Y14</v>
          </cell>
          <cell r="G973">
            <v>107845033691.25</v>
          </cell>
        </row>
        <row r="974">
          <cell r="C974" t="str">
            <v>ES0144580Y14</v>
          </cell>
          <cell r="G974">
            <v>107845033691.25</v>
          </cell>
        </row>
        <row r="975">
          <cell r="C975" t="str">
            <v>ES0144580Y14</v>
          </cell>
          <cell r="G975">
            <v>107845033691.25</v>
          </cell>
        </row>
        <row r="976">
          <cell r="C976" t="str">
            <v>ES0144580Y14</v>
          </cell>
          <cell r="G976">
            <v>107845033691.25</v>
          </cell>
        </row>
        <row r="977">
          <cell r="C977" t="str">
            <v>ES0144580Y14</v>
          </cell>
          <cell r="G977">
            <v>107845033691.25</v>
          </cell>
        </row>
        <row r="978">
          <cell r="C978" t="str">
            <v>ES0144580Y14</v>
          </cell>
          <cell r="G978">
            <v>107845033691.25</v>
          </cell>
        </row>
        <row r="979">
          <cell r="C979" t="str">
            <v>ES0144580Y14</v>
          </cell>
          <cell r="G979">
            <v>107845033691.25</v>
          </cell>
        </row>
        <row r="980">
          <cell r="C980" t="str">
            <v>ES0144580Y14</v>
          </cell>
          <cell r="G980">
            <v>107845033691.25</v>
          </cell>
        </row>
        <row r="981">
          <cell r="C981" t="str">
            <v>ES0144580Y14</v>
          </cell>
          <cell r="G981">
            <v>107845033691.25</v>
          </cell>
        </row>
        <row r="982">
          <cell r="C982" t="str">
            <v>ES0144580Y14</v>
          </cell>
          <cell r="G982">
            <v>107845033691.25</v>
          </cell>
        </row>
        <row r="983">
          <cell r="C983" t="str">
            <v>ES0144580Y14</v>
          </cell>
          <cell r="G983">
            <v>107845033691.25</v>
          </cell>
        </row>
        <row r="984">
          <cell r="C984" t="str">
            <v>ES0144580Y14</v>
          </cell>
          <cell r="G984">
            <v>107845033691.25</v>
          </cell>
        </row>
        <row r="985">
          <cell r="C985" t="str">
            <v>ES0144580Y14</v>
          </cell>
          <cell r="G985">
            <v>107845033691.25</v>
          </cell>
        </row>
        <row r="986">
          <cell r="C986" t="str">
            <v>ES0113211835</v>
          </cell>
          <cell r="G986">
            <v>102038971548</v>
          </cell>
        </row>
        <row r="987">
          <cell r="C987" t="str">
            <v>ES0113211835</v>
          </cell>
          <cell r="G987">
            <v>102038971548</v>
          </cell>
        </row>
        <row r="988">
          <cell r="C988" t="str">
            <v>ES0113211835</v>
          </cell>
          <cell r="G988">
            <v>102038971548</v>
          </cell>
        </row>
        <row r="989">
          <cell r="C989" t="str">
            <v>ES0113211835</v>
          </cell>
          <cell r="G989">
            <v>102038971548</v>
          </cell>
        </row>
        <row r="990">
          <cell r="C990" t="str">
            <v>ES0113211835</v>
          </cell>
          <cell r="G990">
            <v>102038971548</v>
          </cell>
        </row>
        <row r="991">
          <cell r="C991" t="str">
            <v>ES0113211835</v>
          </cell>
          <cell r="G991">
            <v>102038971548</v>
          </cell>
        </row>
        <row r="992">
          <cell r="C992" t="str">
            <v>ES0113211835</v>
          </cell>
          <cell r="G992">
            <v>102038971548</v>
          </cell>
        </row>
        <row r="993">
          <cell r="C993" t="str">
            <v>ES0113211835</v>
          </cell>
          <cell r="G993">
            <v>102038971548</v>
          </cell>
        </row>
        <row r="994">
          <cell r="C994" t="str">
            <v>ES0113211835</v>
          </cell>
          <cell r="G994">
            <v>102038971548</v>
          </cell>
        </row>
        <row r="995">
          <cell r="C995" t="str">
            <v>ES0113211835</v>
          </cell>
          <cell r="G995">
            <v>102038971548</v>
          </cell>
        </row>
        <row r="996">
          <cell r="C996" t="str">
            <v>ES0113211835</v>
          </cell>
          <cell r="G996">
            <v>102038971548</v>
          </cell>
        </row>
        <row r="997">
          <cell r="C997" t="str">
            <v>ES0113211835</v>
          </cell>
          <cell r="G997">
            <v>102038971548</v>
          </cell>
        </row>
        <row r="998">
          <cell r="C998" t="str">
            <v>ES0113211835</v>
          </cell>
          <cell r="G998">
            <v>102038971548</v>
          </cell>
        </row>
        <row r="999">
          <cell r="C999" t="str">
            <v>ES0113211835</v>
          </cell>
          <cell r="G999">
            <v>102038971548</v>
          </cell>
        </row>
        <row r="1000">
          <cell r="C1000" t="str">
            <v>FR0000120578</v>
          </cell>
          <cell r="G1000">
            <v>100657365661.892</v>
          </cell>
        </row>
        <row r="1001">
          <cell r="C1001" t="str">
            <v>FR0000120578</v>
          </cell>
          <cell r="G1001">
            <v>100657365661.892</v>
          </cell>
        </row>
        <row r="1002">
          <cell r="C1002" t="str">
            <v>FR0000120578</v>
          </cell>
          <cell r="G1002">
            <v>100657365661.892</v>
          </cell>
        </row>
        <row r="1003">
          <cell r="C1003" t="str">
            <v>FR0000120578</v>
          </cell>
          <cell r="G1003">
            <v>100657365661.892</v>
          </cell>
        </row>
        <row r="1004">
          <cell r="C1004" t="str">
            <v>FR0000120578</v>
          </cell>
          <cell r="G1004">
            <v>100657365661.892</v>
          </cell>
        </row>
        <row r="1005">
          <cell r="C1005" t="str">
            <v>FR0000120578</v>
          </cell>
          <cell r="G1005">
            <v>100657365661.892</v>
          </cell>
        </row>
        <row r="1006">
          <cell r="C1006" t="str">
            <v>FR0000120578</v>
          </cell>
          <cell r="G1006">
            <v>100657365661.892</v>
          </cell>
        </row>
        <row r="1007">
          <cell r="C1007" t="str">
            <v>FR0000120578</v>
          </cell>
          <cell r="G1007">
            <v>100657365661.892</v>
          </cell>
        </row>
        <row r="1008">
          <cell r="C1008" t="str">
            <v>FR0000120578</v>
          </cell>
          <cell r="G1008">
            <v>100657365661.892</v>
          </cell>
        </row>
        <row r="1009">
          <cell r="C1009" t="str">
            <v>FR0000120578</v>
          </cell>
          <cell r="G1009">
            <v>100657365661.892</v>
          </cell>
        </row>
        <row r="1010">
          <cell r="C1010" t="str">
            <v>FR0000120578</v>
          </cell>
          <cell r="G1010">
            <v>100657365661.892</v>
          </cell>
        </row>
        <row r="1011">
          <cell r="C1011" t="str">
            <v>FR0000120578</v>
          </cell>
          <cell r="G1011">
            <v>100657365661.892</v>
          </cell>
        </row>
        <row r="1012">
          <cell r="C1012" t="str">
            <v>FR0000120578</v>
          </cell>
          <cell r="G1012">
            <v>100657365661.892</v>
          </cell>
        </row>
        <row r="1013">
          <cell r="C1013" t="str">
            <v>FR0000120578</v>
          </cell>
          <cell r="G1013">
            <v>100657365661.892</v>
          </cell>
        </row>
        <row r="1014">
          <cell r="C1014" t="str">
            <v>FR0000121667</v>
          </cell>
          <cell r="G1014">
            <v>99205772311.800003</v>
          </cell>
        </row>
        <row r="1015">
          <cell r="C1015" t="str">
            <v>FR0000121667</v>
          </cell>
          <cell r="G1015">
            <v>99205772311.800003</v>
          </cell>
        </row>
        <row r="1016">
          <cell r="C1016" t="str">
            <v>FR0000121667</v>
          </cell>
          <cell r="G1016">
            <v>99205772311.800003</v>
          </cell>
        </row>
        <row r="1017">
          <cell r="C1017" t="str">
            <v>FR0000121667</v>
          </cell>
          <cell r="G1017">
            <v>99205772311.800003</v>
          </cell>
        </row>
        <row r="1018">
          <cell r="C1018" t="str">
            <v>FR0000121667</v>
          </cell>
          <cell r="G1018">
            <v>99205772311.800003</v>
          </cell>
        </row>
        <row r="1019">
          <cell r="C1019" t="str">
            <v>FR0000121667</v>
          </cell>
          <cell r="G1019">
            <v>99205772311.800003</v>
          </cell>
        </row>
        <row r="1020">
          <cell r="C1020" t="str">
            <v>FR0000121667</v>
          </cell>
          <cell r="G1020">
            <v>99205772311.800003</v>
          </cell>
        </row>
        <row r="1021">
          <cell r="C1021" t="str">
            <v>FR0000121667</v>
          </cell>
          <cell r="G1021">
            <v>99205772311.800003</v>
          </cell>
        </row>
        <row r="1022">
          <cell r="C1022" t="str">
            <v>FR0000121667</v>
          </cell>
          <cell r="G1022">
            <v>99205772311.800003</v>
          </cell>
        </row>
        <row r="1023">
          <cell r="C1023" t="str">
            <v>FR0000121667</v>
          </cell>
          <cell r="G1023">
            <v>99205772311.800003</v>
          </cell>
        </row>
        <row r="1024">
          <cell r="C1024" t="str">
            <v>FR0000121667</v>
          </cell>
          <cell r="G1024">
            <v>99205772311.800003</v>
          </cell>
        </row>
        <row r="1025">
          <cell r="C1025" t="str">
            <v>FR0000121667</v>
          </cell>
          <cell r="G1025">
            <v>99205772311.800003</v>
          </cell>
        </row>
        <row r="1026">
          <cell r="C1026" t="str">
            <v>FR0000121667</v>
          </cell>
          <cell r="G1026">
            <v>99205772311.800003</v>
          </cell>
        </row>
        <row r="1027">
          <cell r="C1027" t="str">
            <v>FR0000121667</v>
          </cell>
          <cell r="G1027">
            <v>99205772311.800003</v>
          </cell>
        </row>
        <row r="1028">
          <cell r="C1028" t="str">
            <v>IT0005239360</v>
          </cell>
          <cell r="G1028">
            <v>97899884811.600006</v>
          </cell>
        </row>
        <row r="1029">
          <cell r="C1029" t="str">
            <v>IT0005239360</v>
          </cell>
          <cell r="G1029">
            <v>97899884811.600006</v>
          </cell>
        </row>
        <row r="1030">
          <cell r="C1030" t="str">
            <v>IT0005239360</v>
          </cell>
          <cell r="G1030">
            <v>97899884811.600006</v>
          </cell>
        </row>
        <row r="1031">
          <cell r="C1031" t="str">
            <v>IT0005239360</v>
          </cell>
          <cell r="G1031">
            <v>97899884811.600006</v>
          </cell>
        </row>
        <row r="1032">
          <cell r="C1032" t="str">
            <v>IT0005239360</v>
          </cell>
          <cell r="G1032">
            <v>97899884811.600006</v>
          </cell>
        </row>
        <row r="1033">
          <cell r="C1033" t="str">
            <v>IT0005239360</v>
          </cell>
          <cell r="G1033">
            <v>97899884811.600006</v>
          </cell>
        </row>
        <row r="1034">
          <cell r="C1034" t="str">
            <v>IT0005239360</v>
          </cell>
          <cell r="G1034">
            <v>97899884811.600006</v>
          </cell>
        </row>
        <row r="1035">
          <cell r="C1035" t="str">
            <v>IT0005239360</v>
          </cell>
          <cell r="G1035">
            <v>97899884811.600006</v>
          </cell>
        </row>
        <row r="1036">
          <cell r="C1036" t="str">
            <v>IT0005239360</v>
          </cell>
          <cell r="G1036">
            <v>97899884811.600006</v>
          </cell>
        </row>
        <row r="1037">
          <cell r="C1037" t="str">
            <v>IT0005239360</v>
          </cell>
          <cell r="G1037">
            <v>97899884811.600006</v>
          </cell>
        </row>
        <row r="1038">
          <cell r="C1038" t="str">
            <v>IT0005239360</v>
          </cell>
          <cell r="G1038">
            <v>97899884811.600006</v>
          </cell>
        </row>
        <row r="1039">
          <cell r="C1039" t="str">
            <v>IT0005239360</v>
          </cell>
          <cell r="G1039">
            <v>97899884811.600006</v>
          </cell>
        </row>
        <row r="1040">
          <cell r="C1040" t="str">
            <v>IT0005239360</v>
          </cell>
          <cell r="G1040">
            <v>97899884811.600006</v>
          </cell>
        </row>
        <row r="1041">
          <cell r="C1041" t="str">
            <v>IT0005239360</v>
          </cell>
          <cell r="G1041">
            <v>97899884811.600006</v>
          </cell>
        </row>
        <row r="1042">
          <cell r="C1042" t="str">
            <v>FR0000120073</v>
          </cell>
          <cell r="G1042">
            <v>96001977593.5</v>
          </cell>
        </row>
        <row r="1043">
          <cell r="C1043" t="str">
            <v>FR0000120073</v>
          </cell>
          <cell r="G1043">
            <v>96001977593.5</v>
          </cell>
        </row>
        <row r="1044">
          <cell r="C1044" t="str">
            <v>FR0000120073</v>
          </cell>
          <cell r="G1044">
            <v>96001977593.5</v>
          </cell>
        </row>
        <row r="1045">
          <cell r="C1045" t="str">
            <v>FR0000120073</v>
          </cell>
          <cell r="G1045">
            <v>96001977593.5</v>
          </cell>
        </row>
        <row r="1046">
          <cell r="C1046" t="str">
            <v>FR0000120073</v>
          </cell>
          <cell r="G1046">
            <v>96001977593.5</v>
          </cell>
        </row>
        <row r="1047">
          <cell r="C1047" t="str">
            <v>FR0000120073</v>
          </cell>
          <cell r="G1047">
            <v>96001977593.5</v>
          </cell>
        </row>
        <row r="1048">
          <cell r="C1048" t="str">
            <v>FR0000120073</v>
          </cell>
          <cell r="G1048">
            <v>96001977593.5</v>
          </cell>
        </row>
        <row r="1049">
          <cell r="C1049" t="str">
            <v>FR0000120073</v>
          </cell>
          <cell r="G1049">
            <v>96001977593.5</v>
          </cell>
        </row>
        <row r="1050">
          <cell r="C1050" t="str">
            <v>FR0000120073</v>
          </cell>
          <cell r="G1050">
            <v>96001977593.5</v>
          </cell>
        </row>
        <row r="1051">
          <cell r="C1051" t="str">
            <v>FR0000120073</v>
          </cell>
          <cell r="G1051">
            <v>96001977593.5</v>
          </cell>
        </row>
        <row r="1052">
          <cell r="C1052" t="str">
            <v>FR0000120073</v>
          </cell>
          <cell r="G1052">
            <v>96001977593.5</v>
          </cell>
        </row>
        <row r="1053">
          <cell r="C1053" t="str">
            <v>FR0000120073</v>
          </cell>
          <cell r="G1053">
            <v>96001977593.5</v>
          </cell>
        </row>
        <row r="1054">
          <cell r="C1054" t="str">
            <v>FR0000120073</v>
          </cell>
          <cell r="G1054">
            <v>96001977593.5</v>
          </cell>
        </row>
        <row r="1055">
          <cell r="C1055" t="str">
            <v>FR0000120073</v>
          </cell>
          <cell r="G1055">
            <v>96001977593.5</v>
          </cell>
        </row>
        <row r="1056">
          <cell r="C1056" t="str">
            <v>DE0005557508</v>
          </cell>
          <cell r="G1056">
            <v>94836951193.600006</v>
          </cell>
        </row>
        <row r="1057">
          <cell r="C1057" t="str">
            <v>DE0005557508</v>
          </cell>
          <cell r="G1057">
            <v>94836951193.600006</v>
          </cell>
        </row>
        <row r="1058">
          <cell r="C1058" t="str">
            <v>DE0005557508</v>
          </cell>
          <cell r="G1058">
            <v>94836951193.600006</v>
          </cell>
        </row>
        <row r="1059">
          <cell r="C1059" t="str">
            <v>DE0005557508</v>
          </cell>
          <cell r="G1059">
            <v>94836951193.600006</v>
          </cell>
        </row>
        <row r="1060">
          <cell r="C1060" t="str">
            <v>DE0005557508</v>
          </cell>
          <cell r="G1060">
            <v>94836951193.600006</v>
          </cell>
        </row>
        <row r="1061">
          <cell r="C1061" t="str">
            <v>DE0005557508</v>
          </cell>
          <cell r="G1061">
            <v>94836951193.600006</v>
          </cell>
        </row>
        <row r="1062">
          <cell r="C1062" t="str">
            <v>DE0005557508</v>
          </cell>
          <cell r="G1062">
            <v>94836951193.600006</v>
          </cell>
        </row>
        <row r="1063">
          <cell r="C1063" t="str">
            <v>DE0005557508</v>
          </cell>
          <cell r="G1063">
            <v>94836951193.600006</v>
          </cell>
        </row>
        <row r="1064">
          <cell r="C1064" t="str">
            <v>DE0005557508</v>
          </cell>
          <cell r="G1064">
            <v>94836951193.600006</v>
          </cell>
        </row>
        <row r="1065">
          <cell r="C1065" t="str">
            <v>DE0005557508</v>
          </cell>
          <cell r="G1065">
            <v>94836951193.600006</v>
          </cell>
        </row>
        <row r="1066">
          <cell r="C1066" t="str">
            <v>DE0005557508</v>
          </cell>
          <cell r="G1066">
            <v>94836951193.600006</v>
          </cell>
        </row>
        <row r="1067">
          <cell r="C1067" t="str">
            <v>DE0005557508</v>
          </cell>
          <cell r="G1067">
            <v>94836951193.600006</v>
          </cell>
        </row>
        <row r="1068">
          <cell r="C1068" t="str">
            <v>DE0005557508</v>
          </cell>
          <cell r="G1068">
            <v>94836951193.600006</v>
          </cell>
        </row>
        <row r="1069">
          <cell r="C1069" t="str">
            <v>DE0005557508</v>
          </cell>
          <cell r="G1069">
            <v>94836951193.600006</v>
          </cell>
        </row>
        <row r="1070">
          <cell r="C1070" t="str">
            <v>FR0000073272</v>
          </cell>
          <cell r="G1070">
            <v>91949453008.350006</v>
          </cell>
        </row>
        <row r="1071">
          <cell r="C1071" t="str">
            <v>FR0000073272</v>
          </cell>
          <cell r="G1071">
            <v>91949453008.350006</v>
          </cell>
        </row>
        <row r="1072">
          <cell r="C1072" t="str">
            <v>FR0000073272</v>
          </cell>
          <cell r="G1072">
            <v>91949453008.350006</v>
          </cell>
        </row>
        <row r="1073">
          <cell r="C1073" t="str">
            <v>FR0000073272</v>
          </cell>
          <cell r="G1073">
            <v>91949453008.350006</v>
          </cell>
        </row>
        <row r="1074">
          <cell r="C1074" t="str">
            <v>FR0000073272</v>
          </cell>
          <cell r="G1074">
            <v>91949453008.350006</v>
          </cell>
        </row>
        <row r="1075">
          <cell r="C1075" t="str">
            <v>FR0000073272</v>
          </cell>
          <cell r="G1075">
            <v>91949453008.350006</v>
          </cell>
        </row>
        <row r="1076">
          <cell r="C1076" t="str">
            <v>FR0000073272</v>
          </cell>
          <cell r="G1076">
            <v>91949453008.350006</v>
          </cell>
        </row>
        <row r="1077">
          <cell r="C1077" t="str">
            <v>FR0000073272</v>
          </cell>
          <cell r="G1077">
            <v>91949453008.350006</v>
          </cell>
        </row>
        <row r="1078">
          <cell r="C1078" t="str">
            <v>FR0000073272</v>
          </cell>
          <cell r="G1078">
            <v>91949453008.350006</v>
          </cell>
        </row>
        <row r="1079">
          <cell r="C1079" t="str">
            <v>FR0000073272</v>
          </cell>
          <cell r="G1079">
            <v>91949453008.350006</v>
          </cell>
        </row>
        <row r="1080">
          <cell r="C1080" t="str">
            <v>FR0000073272</v>
          </cell>
          <cell r="G1080">
            <v>91949453008.350006</v>
          </cell>
        </row>
        <row r="1081">
          <cell r="C1081" t="str">
            <v>FR0000073272</v>
          </cell>
          <cell r="G1081">
            <v>91949453008.350006</v>
          </cell>
        </row>
        <row r="1082">
          <cell r="C1082" t="str">
            <v>FR0000073272</v>
          </cell>
          <cell r="G1082">
            <v>91949453008.350006</v>
          </cell>
        </row>
        <row r="1083">
          <cell r="C1083" t="str">
            <v>FR0000073272</v>
          </cell>
          <cell r="G1083">
            <v>91949453008.350006</v>
          </cell>
        </row>
        <row r="1084">
          <cell r="C1084" t="str">
            <v>FR0000073272</v>
          </cell>
          <cell r="G1084">
            <v>91949453008.350006</v>
          </cell>
        </row>
        <row r="1085">
          <cell r="C1085" t="str">
            <v>FR0000073272</v>
          </cell>
          <cell r="G1085">
            <v>91949453008.350006</v>
          </cell>
        </row>
        <row r="1086">
          <cell r="C1086" t="str">
            <v>FR0000073272</v>
          </cell>
          <cell r="G1086">
            <v>91949453008.350006</v>
          </cell>
        </row>
        <row r="1087">
          <cell r="C1087" t="str">
            <v>FR0000120321</v>
          </cell>
          <cell r="G1087">
            <v>86833153429.199997</v>
          </cell>
        </row>
        <row r="1088">
          <cell r="C1088" t="str">
            <v>FR0000120321</v>
          </cell>
          <cell r="G1088">
            <v>86833153429.199997</v>
          </cell>
        </row>
        <row r="1089">
          <cell r="C1089" t="str">
            <v>FR0000120321</v>
          </cell>
          <cell r="G1089">
            <v>86833153429.199997</v>
          </cell>
        </row>
        <row r="1090">
          <cell r="C1090" t="str">
            <v>FR0000120321</v>
          </cell>
          <cell r="G1090">
            <v>86833153429.199997</v>
          </cell>
        </row>
        <row r="1091">
          <cell r="C1091" t="str">
            <v>FR0000120321</v>
          </cell>
          <cell r="G1091">
            <v>86833153429.199997</v>
          </cell>
        </row>
        <row r="1092">
          <cell r="C1092" t="str">
            <v>FR0000120321</v>
          </cell>
          <cell r="G1092">
            <v>86833153429.199997</v>
          </cell>
        </row>
        <row r="1093">
          <cell r="C1093" t="str">
            <v>FR0000120321</v>
          </cell>
          <cell r="G1093">
            <v>86833153429.199997</v>
          </cell>
        </row>
        <row r="1094">
          <cell r="C1094" t="str">
            <v>FR0000120321</v>
          </cell>
          <cell r="G1094">
            <v>86833153429.199997</v>
          </cell>
        </row>
        <row r="1095">
          <cell r="C1095" t="str">
            <v>FR0000120321</v>
          </cell>
          <cell r="G1095">
            <v>86833153429.199997</v>
          </cell>
        </row>
        <row r="1096">
          <cell r="C1096" t="str">
            <v>FR0000120321</v>
          </cell>
          <cell r="G1096">
            <v>86833153429.199997</v>
          </cell>
        </row>
        <row r="1097">
          <cell r="C1097" t="str">
            <v>FR0000120321</v>
          </cell>
          <cell r="G1097">
            <v>86833153429.199997</v>
          </cell>
        </row>
        <row r="1098">
          <cell r="C1098" t="str">
            <v>FR0000120321</v>
          </cell>
          <cell r="G1098">
            <v>86833153429.199997</v>
          </cell>
        </row>
        <row r="1099">
          <cell r="C1099" t="str">
            <v>FR0000120321</v>
          </cell>
          <cell r="G1099">
            <v>86833153429.199997</v>
          </cell>
        </row>
        <row r="1100">
          <cell r="C1100" t="str">
            <v>FR0000120321</v>
          </cell>
          <cell r="G1100">
            <v>86833153429.199997</v>
          </cell>
        </row>
        <row r="1101">
          <cell r="C1101" t="str">
            <v>IT0000072618</v>
          </cell>
          <cell r="G1101">
            <v>78276668988.35759</v>
          </cell>
        </row>
        <row r="1102">
          <cell r="C1102" t="str">
            <v>IT0000072618</v>
          </cell>
          <cell r="G1102">
            <v>78276668988.35759</v>
          </cell>
        </row>
        <row r="1103">
          <cell r="C1103" t="str">
            <v>IT0000072618</v>
          </cell>
          <cell r="G1103">
            <v>78276668988.35759</v>
          </cell>
        </row>
        <row r="1104">
          <cell r="C1104" t="str">
            <v>IT0000072618</v>
          </cell>
          <cell r="G1104">
            <v>78276668988.35759</v>
          </cell>
        </row>
        <row r="1105">
          <cell r="C1105" t="str">
            <v>IT0000072618</v>
          </cell>
          <cell r="G1105">
            <v>78276668988.35759</v>
          </cell>
        </row>
        <row r="1106">
          <cell r="C1106" t="str">
            <v>IT0000072618</v>
          </cell>
          <cell r="G1106">
            <v>78276668988.35759</v>
          </cell>
        </row>
        <row r="1107">
          <cell r="C1107" t="str">
            <v>IT0000072618</v>
          </cell>
          <cell r="G1107">
            <v>78276668988.35759</v>
          </cell>
        </row>
        <row r="1108">
          <cell r="C1108" t="str">
            <v>IT0000072618</v>
          </cell>
          <cell r="G1108">
            <v>78276668988.35759</v>
          </cell>
        </row>
        <row r="1109">
          <cell r="C1109" t="str">
            <v>IT0000072618</v>
          </cell>
          <cell r="G1109">
            <v>78276668988.35759</v>
          </cell>
        </row>
        <row r="1110">
          <cell r="C1110" t="str">
            <v>IT0000072618</v>
          </cell>
          <cell r="G1110">
            <v>78276668988.35759</v>
          </cell>
        </row>
        <row r="1111">
          <cell r="C1111" t="str">
            <v>IT0000072618</v>
          </cell>
          <cell r="G1111">
            <v>78276668988.35759</v>
          </cell>
        </row>
        <row r="1112">
          <cell r="C1112" t="str">
            <v>IT0000072618</v>
          </cell>
          <cell r="G1112">
            <v>78276668988.35759</v>
          </cell>
        </row>
        <row r="1113">
          <cell r="C1113" t="str">
            <v>IT0000072618</v>
          </cell>
          <cell r="G1113">
            <v>78276668988.35759</v>
          </cell>
        </row>
        <row r="1114">
          <cell r="C1114" t="str">
            <v>IT0000072618</v>
          </cell>
          <cell r="G1114">
            <v>78276668988.35759</v>
          </cell>
        </row>
        <row r="1115">
          <cell r="C1115" t="str">
            <v>DE000ENER6Y0</v>
          </cell>
          <cell r="G1115">
            <v>78119436528</v>
          </cell>
        </row>
        <row r="1116">
          <cell r="C1116" t="str">
            <v>DE000ENER6Y0</v>
          </cell>
          <cell r="G1116">
            <v>78119436528</v>
          </cell>
        </row>
        <row r="1117">
          <cell r="C1117" t="str">
            <v>DE000ENER6Y0</v>
          </cell>
          <cell r="G1117">
            <v>78119436528</v>
          </cell>
        </row>
        <row r="1118">
          <cell r="C1118" t="str">
            <v>DE000ENER6Y0</v>
          </cell>
          <cell r="G1118">
            <v>78119436528</v>
          </cell>
        </row>
        <row r="1119">
          <cell r="C1119" t="str">
            <v>DE000ENER6Y0</v>
          </cell>
          <cell r="G1119">
            <v>78119436528</v>
          </cell>
        </row>
        <row r="1120">
          <cell r="C1120" t="str">
            <v>DE000ENER6Y0</v>
          </cell>
          <cell r="G1120">
            <v>78119436528</v>
          </cell>
        </row>
        <row r="1121">
          <cell r="C1121" t="str">
            <v>DE000ENER6Y0</v>
          </cell>
          <cell r="G1121">
            <v>78119436528</v>
          </cell>
        </row>
        <row r="1122">
          <cell r="C1122" t="str">
            <v>DE000ENER6Y0</v>
          </cell>
          <cell r="G1122">
            <v>78119436528</v>
          </cell>
        </row>
        <row r="1123">
          <cell r="C1123" t="str">
            <v>DE000ENER6Y0</v>
          </cell>
          <cell r="G1123">
            <v>78119436528</v>
          </cell>
        </row>
        <row r="1124">
          <cell r="C1124" t="str">
            <v>DE000ENER6Y0</v>
          </cell>
          <cell r="G1124">
            <v>78119436528</v>
          </cell>
        </row>
        <row r="1125">
          <cell r="C1125" t="str">
            <v>DE000ENER6Y0</v>
          </cell>
          <cell r="G1125">
            <v>78119436528</v>
          </cell>
        </row>
        <row r="1126">
          <cell r="C1126" t="str">
            <v>DE000ENER6Y0</v>
          </cell>
          <cell r="G1126">
            <v>78119436528</v>
          </cell>
        </row>
        <row r="1127">
          <cell r="C1127" t="str">
            <v>DE000ENER6Y0</v>
          </cell>
          <cell r="G1127">
            <v>78119436528</v>
          </cell>
        </row>
        <row r="1128">
          <cell r="C1128" t="str">
            <v>DE000ENER6Y0</v>
          </cell>
          <cell r="G1128">
            <v>78119436528</v>
          </cell>
        </row>
        <row r="1129">
          <cell r="C1129" t="str">
            <v>DE000ENER6Y0</v>
          </cell>
          <cell r="G1129">
            <v>78119436528</v>
          </cell>
        </row>
        <row r="1130">
          <cell r="C1130" t="str">
            <v>DE000ENER6Y0</v>
          </cell>
          <cell r="G1130">
            <v>78119436528</v>
          </cell>
        </row>
        <row r="1131">
          <cell r="C1131" t="str">
            <v>DE000ENER6Y0</v>
          </cell>
          <cell r="G1131">
            <v>78119436528</v>
          </cell>
        </row>
        <row r="1132">
          <cell r="C1132" t="str">
            <v>FR0000131104</v>
          </cell>
          <cell r="G1132">
            <v>74764830734.500488</v>
          </cell>
        </row>
        <row r="1133">
          <cell r="C1133" t="str">
            <v>FR0000131104</v>
          </cell>
          <cell r="G1133">
            <v>74764830734.500488</v>
          </cell>
        </row>
        <row r="1134">
          <cell r="C1134" t="str">
            <v>FR0000131104</v>
          </cell>
          <cell r="G1134">
            <v>74764830734.500488</v>
          </cell>
        </row>
        <row r="1135">
          <cell r="C1135" t="str">
            <v>FR0000131104</v>
          </cell>
          <cell r="G1135">
            <v>74764830734.500488</v>
          </cell>
        </row>
        <row r="1136">
          <cell r="C1136" t="str">
            <v>FR0000131104</v>
          </cell>
          <cell r="G1136">
            <v>74764830734.500488</v>
          </cell>
        </row>
        <row r="1137">
          <cell r="C1137" t="str">
            <v>FR0000131104</v>
          </cell>
          <cell r="G1137">
            <v>74764830734.500488</v>
          </cell>
        </row>
        <row r="1138">
          <cell r="C1138" t="str">
            <v>FR0000131104</v>
          </cell>
          <cell r="G1138">
            <v>74764830734.500488</v>
          </cell>
        </row>
        <row r="1139">
          <cell r="C1139" t="str">
            <v>FR0000131104</v>
          </cell>
          <cell r="G1139">
            <v>74764830734.500488</v>
          </cell>
        </row>
        <row r="1140">
          <cell r="C1140" t="str">
            <v>FR0000131104</v>
          </cell>
          <cell r="G1140">
            <v>74764830734.500488</v>
          </cell>
        </row>
        <row r="1141">
          <cell r="C1141" t="str">
            <v>FR0000131104</v>
          </cell>
          <cell r="G1141">
            <v>74764830734.500488</v>
          </cell>
        </row>
        <row r="1142">
          <cell r="C1142" t="str">
            <v>FR0000131104</v>
          </cell>
          <cell r="G1142">
            <v>74764830734.500488</v>
          </cell>
        </row>
        <row r="1143">
          <cell r="C1143" t="str">
            <v>FR0000131104</v>
          </cell>
          <cell r="G1143">
            <v>74764830734.500488</v>
          </cell>
        </row>
        <row r="1144">
          <cell r="C1144" t="str">
            <v>FR0000131104</v>
          </cell>
          <cell r="G1144">
            <v>74764830734.500488</v>
          </cell>
        </row>
        <row r="1145">
          <cell r="C1145" t="str">
            <v>FR0000131104</v>
          </cell>
          <cell r="G1145">
            <v>74764830734.500488</v>
          </cell>
        </row>
        <row r="1146">
          <cell r="C1146" t="str">
            <v>DE0007030009</v>
          </cell>
          <cell r="G1146">
            <v>69900848893.5</v>
          </cell>
        </row>
        <row r="1147">
          <cell r="C1147" t="str">
            <v>DE0007030009</v>
          </cell>
          <cell r="G1147">
            <v>69900848893.5</v>
          </cell>
        </row>
        <row r="1148">
          <cell r="C1148" t="str">
            <v>DE0007030009</v>
          </cell>
          <cell r="G1148">
            <v>69900848893.5</v>
          </cell>
        </row>
        <row r="1149">
          <cell r="C1149" t="str">
            <v>DE0007030009</v>
          </cell>
          <cell r="G1149">
            <v>69900848893.5</v>
          </cell>
        </row>
        <row r="1150">
          <cell r="C1150" t="str">
            <v>DE0007030009</v>
          </cell>
          <cell r="G1150">
            <v>69900848893.5</v>
          </cell>
        </row>
        <row r="1151">
          <cell r="C1151" t="str">
            <v>DE0007030009</v>
          </cell>
          <cell r="G1151">
            <v>69900848893.5</v>
          </cell>
        </row>
        <row r="1152">
          <cell r="C1152" t="str">
            <v>DE0007030009</v>
          </cell>
          <cell r="G1152">
            <v>69900848893.5</v>
          </cell>
        </row>
        <row r="1153">
          <cell r="C1153" t="str">
            <v>DE0007030009</v>
          </cell>
          <cell r="G1153">
            <v>69900848893.5</v>
          </cell>
        </row>
        <row r="1154">
          <cell r="C1154" t="str">
            <v>DE0007030009</v>
          </cell>
          <cell r="G1154">
            <v>69900848893.5</v>
          </cell>
        </row>
        <row r="1155">
          <cell r="C1155" t="str">
            <v>DE0007030009</v>
          </cell>
          <cell r="G1155">
            <v>69900848893.5</v>
          </cell>
        </row>
        <row r="1156">
          <cell r="C1156" t="str">
            <v>DE0007030009</v>
          </cell>
          <cell r="G1156">
            <v>69900848893.5</v>
          </cell>
        </row>
        <row r="1157">
          <cell r="C1157" t="str">
            <v>DE0007030009</v>
          </cell>
          <cell r="G1157">
            <v>69900848893.5</v>
          </cell>
        </row>
        <row r="1158">
          <cell r="C1158" t="str">
            <v>DE0007030009</v>
          </cell>
          <cell r="G1158">
            <v>69900848893.5</v>
          </cell>
        </row>
        <row r="1159">
          <cell r="C1159" t="str">
            <v>DE0007030009</v>
          </cell>
          <cell r="G1159">
            <v>69900848893.5</v>
          </cell>
        </row>
        <row r="1160">
          <cell r="C1160" t="str">
            <v>DE0007030009</v>
          </cell>
          <cell r="G1160">
            <v>69900848893.5</v>
          </cell>
        </row>
        <row r="1161">
          <cell r="C1161" t="str">
            <v>DE0007030009</v>
          </cell>
          <cell r="G1161">
            <v>69900848893.5</v>
          </cell>
        </row>
        <row r="1162">
          <cell r="C1162" t="str">
            <v>DE0007030009</v>
          </cell>
          <cell r="G1162">
            <v>69900848893.5</v>
          </cell>
        </row>
        <row r="1163">
          <cell r="C1163" t="str">
            <v>DE0008430026</v>
          </cell>
          <cell r="G1163">
            <v>69555435268</v>
          </cell>
        </row>
        <row r="1164">
          <cell r="C1164" t="str">
            <v>DE0008430026</v>
          </cell>
          <cell r="G1164">
            <v>69555435268</v>
          </cell>
        </row>
        <row r="1165">
          <cell r="C1165" t="str">
            <v>DE0008430026</v>
          </cell>
          <cell r="G1165">
            <v>69555435268</v>
          </cell>
        </row>
        <row r="1166">
          <cell r="C1166" t="str">
            <v>DE0008430026</v>
          </cell>
          <cell r="G1166">
            <v>69555435268</v>
          </cell>
        </row>
        <row r="1167">
          <cell r="C1167" t="str">
            <v>DE0008430026</v>
          </cell>
          <cell r="G1167">
            <v>69555435268</v>
          </cell>
        </row>
        <row r="1168">
          <cell r="C1168" t="str">
            <v>DE0008430026</v>
          </cell>
          <cell r="G1168">
            <v>69555435268</v>
          </cell>
        </row>
        <row r="1169">
          <cell r="C1169" t="str">
            <v>DE0008430026</v>
          </cell>
          <cell r="G1169">
            <v>69555435268</v>
          </cell>
        </row>
        <row r="1170">
          <cell r="C1170" t="str">
            <v>DE0008430026</v>
          </cell>
          <cell r="G1170">
            <v>69555435268</v>
          </cell>
        </row>
        <row r="1171">
          <cell r="C1171" t="str">
            <v>DE0008430026</v>
          </cell>
          <cell r="G1171">
            <v>69555435268</v>
          </cell>
        </row>
        <row r="1172">
          <cell r="C1172" t="str">
            <v>DE0008430026</v>
          </cell>
          <cell r="G1172">
            <v>69555435268</v>
          </cell>
        </row>
        <row r="1173">
          <cell r="C1173" t="str">
            <v>DE0008430026</v>
          </cell>
          <cell r="G1173">
            <v>69555435268</v>
          </cell>
        </row>
        <row r="1174">
          <cell r="C1174" t="str">
            <v>DE0008430026</v>
          </cell>
          <cell r="G1174">
            <v>69555435268</v>
          </cell>
        </row>
        <row r="1175">
          <cell r="C1175" t="str">
            <v>DE0008430026</v>
          </cell>
          <cell r="G1175">
            <v>69555435268</v>
          </cell>
        </row>
        <row r="1176">
          <cell r="C1176" t="str">
            <v>DE0008430026</v>
          </cell>
          <cell r="G1176">
            <v>69555435268</v>
          </cell>
        </row>
        <row r="1177">
          <cell r="C1177" t="str">
            <v>FR0000120628</v>
          </cell>
          <cell r="G1177">
            <v>68844802995.738998</v>
          </cell>
        </row>
        <row r="1178">
          <cell r="C1178" t="str">
            <v>FR0000120628</v>
          </cell>
          <cell r="G1178">
            <v>68844802995.738998</v>
          </cell>
        </row>
        <row r="1179">
          <cell r="C1179" t="str">
            <v>FR0000120628</v>
          </cell>
          <cell r="G1179">
            <v>68844802995.738998</v>
          </cell>
        </row>
        <row r="1180">
          <cell r="C1180" t="str">
            <v>FR0000120628</v>
          </cell>
          <cell r="G1180">
            <v>68844802995.738998</v>
          </cell>
        </row>
        <row r="1181">
          <cell r="C1181" t="str">
            <v>FR0000120628</v>
          </cell>
          <cell r="G1181">
            <v>68844802995.738998</v>
          </cell>
        </row>
        <row r="1182">
          <cell r="C1182" t="str">
            <v>FR0000120628</v>
          </cell>
          <cell r="G1182">
            <v>68844802995.738998</v>
          </cell>
        </row>
        <row r="1183">
          <cell r="C1183" t="str">
            <v>FR0000120628</v>
          </cell>
          <cell r="G1183">
            <v>68844802995.738998</v>
          </cell>
        </row>
        <row r="1184">
          <cell r="C1184" t="str">
            <v>FR0000120628</v>
          </cell>
          <cell r="G1184">
            <v>68844802995.738998</v>
          </cell>
        </row>
        <row r="1185">
          <cell r="C1185" t="str">
            <v>FR0000120628</v>
          </cell>
          <cell r="G1185">
            <v>68844802995.738998</v>
          </cell>
        </row>
        <row r="1186">
          <cell r="C1186" t="str">
            <v>FR0000120628</v>
          </cell>
          <cell r="G1186">
            <v>68844802995.738998</v>
          </cell>
        </row>
        <row r="1187">
          <cell r="C1187" t="str">
            <v>FR0000120628</v>
          </cell>
          <cell r="G1187">
            <v>68844802995.738998</v>
          </cell>
        </row>
        <row r="1188">
          <cell r="C1188" t="str">
            <v>FR0000120628</v>
          </cell>
          <cell r="G1188">
            <v>68844802995.738998</v>
          </cell>
        </row>
        <row r="1189">
          <cell r="C1189" t="str">
            <v>FR0000120628</v>
          </cell>
          <cell r="G1189">
            <v>68844802995.738998</v>
          </cell>
        </row>
        <row r="1190">
          <cell r="C1190" t="str">
            <v>FR0000120628</v>
          </cell>
          <cell r="G1190">
            <v>68844802995.738998</v>
          </cell>
        </row>
        <row r="1191">
          <cell r="C1191" t="str">
            <v>NL0013654783</v>
          </cell>
          <cell r="G1191">
            <v>67348013237.160004</v>
          </cell>
        </row>
        <row r="1192">
          <cell r="C1192" t="str">
            <v>NL0013654783</v>
          </cell>
          <cell r="G1192">
            <v>67348013237.160004</v>
          </cell>
        </row>
        <row r="1193">
          <cell r="C1193" t="str">
            <v>NL0013654783</v>
          </cell>
          <cell r="G1193">
            <v>67348013237.160004</v>
          </cell>
        </row>
        <row r="1194">
          <cell r="C1194" t="str">
            <v>NL0013654783</v>
          </cell>
          <cell r="G1194">
            <v>67348013237.160004</v>
          </cell>
        </row>
        <row r="1195">
          <cell r="C1195" t="str">
            <v>NL0013654783</v>
          </cell>
          <cell r="G1195">
            <v>67348013237.160004</v>
          </cell>
        </row>
        <row r="1196">
          <cell r="C1196" t="str">
            <v>NL0013654783</v>
          </cell>
          <cell r="G1196">
            <v>67348013237.160004</v>
          </cell>
        </row>
        <row r="1197">
          <cell r="C1197" t="str">
            <v>NL0013654783</v>
          </cell>
          <cell r="G1197">
            <v>67348013237.160004</v>
          </cell>
        </row>
        <row r="1198">
          <cell r="C1198" t="str">
            <v>NL0013654783</v>
          </cell>
          <cell r="G1198">
            <v>67348013237.160004</v>
          </cell>
        </row>
        <row r="1199">
          <cell r="C1199" t="str">
            <v>NL0013654783</v>
          </cell>
          <cell r="G1199">
            <v>67348013237.160004</v>
          </cell>
        </row>
        <row r="1200">
          <cell r="C1200" t="str">
            <v>NL0013654783</v>
          </cell>
          <cell r="G1200">
            <v>67348013237.160004</v>
          </cell>
        </row>
        <row r="1201">
          <cell r="C1201" t="str">
            <v>NL0013654783</v>
          </cell>
          <cell r="G1201">
            <v>67348013237.160004</v>
          </cell>
        </row>
        <row r="1202">
          <cell r="C1202" t="str">
            <v>NL0013654783</v>
          </cell>
          <cell r="G1202">
            <v>67348013237.160004</v>
          </cell>
        </row>
        <row r="1203">
          <cell r="C1203" t="str">
            <v>NL0013654783</v>
          </cell>
          <cell r="G1203">
            <v>67348013237.160004</v>
          </cell>
        </row>
        <row r="1204">
          <cell r="C1204" t="str">
            <v>NL0013654783</v>
          </cell>
          <cell r="G1204">
            <v>67348013237.160004</v>
          </cell>
        </row>
        <row r="1205">
          <cell r="C1205" t="str">
            <v>GB00B2B0DG97</v>
          </cell>
          <cell r="G1205">
            <v>67281463362.959999</v>
          </cell>
        </row>
        <row r="1206">
          <cell r="C1206" t="str">
            <v>GB00B2B0DG97</v>
          </cell>
          <cell r="G1206">
            <v>67281463362.959999</v>
          </cell>
        </row>
        <row r="1207">
          <cell r="C1207" t="str">
            <v>GB00B2B0DG97</v>
          </cell>
          <cell r="G1207">
            <v>67281463362.959999</v>
          </cell>
        </row>
        <row r="1208">
          <cell r="C1208" t="str">
            <v>GB00B2B0DG97</v>
          </cell>
          <cell r="G1208">
            <v>67281463362.959999</v>
          </cell>
        </row>
        <row r="1209">
          <cell r="C1209" t="str">
            <v>GB00B2B0DG97</v>
          </cell>
          <cell r="G1209">
            <v>67281463362.959999</v>
          </cell>
        </row>
        <row r="1210">
          <cell r="C1210" t="str">
            <v>GB00B2B0DG97</v>
          </cell>
          <cell r="G1210">
            <v>67281463362.959999</v>
          </cell>
        </row>
        <row r="1211">
          <cell r="C1211" t="str">
            <v>GB00B2B0DG97</v>
          </cell>
          <cell r="G1211">
            <v>67281463362.959999</v>
          </cell>
        </row>
        <row r="1212">
          <cell r="C1212" t="str">
            <v>GB00B2B0DG97</v>
          </cell>
          <cell r="G1212">
            <v>67281463362.959999</v>
          </cell>
        </row>
        <row r="1213">
          <cell r="C1213" t="str">
            <v>GB00B2B0DG97</v>
          </cell>
          <cell r="G1213">
            <v>67281463362.959999</v>
          </cell>
        </row>
        <row r="1214">
          <cell r="C1214" t="str">
            <v>GB00B2B0DG97</v>
          </cell>
          <cell r="G1214">
            <v>67281463362.959999</v>
          </cell>
        </row>
        <row r="1215">
          <cell r="C1215" t="str">
            <v>GB00B2B0DG97</v>
          </cell>
          <cell r="G1215">
            <v>67281463362.959999</v>
          </cell>
        </row>
        <row r="1216">
          <cell r="C1216" t="str">
            <v>GB00B2B0DG97</v>
          </cell>
          <cell r="G1216">
            <v>67281463362.959999</v>
          </cell>
        </row>
        <row r="1217">
          <cell r="C1217" t="str">
            <v>GB00B2B0DG97</v>
          </cell>
          <cell r="G1217">
            <v>67281463362.959999</v>
          </cell>
        </row>
        <row r="1218">
          <cell r="C1218" t="str">
            <v>GB00B2B0DG97</v>
          </cell>
          <cell r="G1218">
            <v>67281463362.959999</v>
          </cell>
        </row>
        <row r="1219">
          <cell r="C1219" t="str">
            <v>FR0000052292</v>
          </cell>
          <cell r="G1219">
            <v>67268829326.400002</v>
          </cell>
        </row>
        <row r="1220">
          <cell r="C1220" t="str">
            <v>FR0000052292</v>
          </cell>
          <cell r="G1220">
            <v>67268829326.400002</v>
          </cell>
        </row>
        <row r="1221">
          <cell r="C1221" t="str">
            <v>FR0000052292</v>
          </cell>
          <cell r="G1221">
            <v>67268829326.400002</v>
          </cell>
        </row>
        <row r="1222">
          <cell r="C1222" t="str">
            <v>FR0000052292</v>
          </cell>
          <cell r="G1222">
            <v>67268829326.400002</v>
          </cell>
        </row>
        <row r="1223">
          <cell r="C1223" t="str">
            <v>FR0000052292</v>
          </cell>
          <cell r="G1223">
            <v>67268829326.400002</v>
          </cell>
        </row>
        <row r="1224">
          <cell r="C1224" t="str">
            <v>FR0000052292</v>
          </cell>
          <cell r="G1224">
            <v>67268829326.400002</v>
          </cell>
        </row>
        <row r="1225">
          <cell r="C1225" t="str">
            <v>FR0000052292</v>
          </cell>
          <cell r="G1225">
            <v>67268829326.400002</v>
          </cell>
        </row>
        <row r="1226">
          <cell r="C1226" t="str">
            <v>FR0000052292</v>
          </cell>
          <cell r="G1226">
            <v>67268829326.400002</v>
          </cell>
        </row>
        <row r="1227">
          <cell r="C1227" t="str">
            <v>FR0000052292</v>
          </cell>
          <cell r="G1227">
            <v>67268829326.400002</v>
          </cell>
        </row>
        <row r="1228">
          <cell r="C1228" t="str">
            <v>FR0000052292</v>
          </cell>
          <cell r="G1228">
            <v>67268829326.400002</v>
          </cell>
        </row>
        <row r="1229">
          <cell r="C1229" t="str">
            <v>FR0000052292</v>
          </cell>
          <cell r="G1229">
            <v>67268829326.400002</v>
          </cell>
        </row>
        <row r="1230">
          <cell r="C1230" t="str">
            <v>FR0000052292</v>
          </cell>
          <cell r="G1230">
            <v>67268829326.400002</v>
          </cell>
        </row>
        <row r="1231">
          <cell r="C1231" t="str">
            <v>FR0000052292</v>
          </cell>
          <cell r="G1231">
            <v>67268829326.400002</v>
          </cell>
        </row>
        <row r="1232">
          <cell r="C1232" t="str">
            <v>FR0000052292</v>
          </cell>
          <cell r="G1232">
            <v>67268829326.400002</v>
          </cell>
        </row>
        <row r="1233">
          <cell r="C1233" t="str">
            <v>IT0003128367</v>
          </cell>
          <cell r="G1233">
            <v>66978087484.248001</v>
          </cell>
        </row>
        <row r="1234">
          <cell r="C1234" t="str">
            <v>IT0003128367</v>
          </cell>
          <cell r="G1234">
            <v>66978087484.248001</v>
          </cell>
        </row>
        <row r="1235">
          <cell r="C1235" t="str">
            <v>IT0003128367</v>
          </cell>
          <cell r="G1235">
            <v>66978087484.248001</v>
          </cell>
        </row>
        <row r="1236">
          <cell r="C1236" t="str">
            <v>IT0003128367</v>
          </cell>
          <cell r="G1236">
            <v>66978087484.248001</v>
          </cell>
        </row>
        <row r="1237">
          <cell r="C1237" t="str">
            <v>IT0003128367</v>
          </cell>
          <cell r="G1237">
            <v>66978087484.248001</v>
          </cell>
        </row>
        <row r="1238">
          <cell r="C1238" t="str">
            <v>IT0003128367</v>
          </cell>
          <cell r="G1238">
            <v>66978087484.248001</v>
          </cell>
        </row>
        <row r="1239">
          <cell r="C1239" t="str">
            <v>IT0003128367</v>
          </cell>
          <cell r="G1239">
            <v>66978087484.248001</v>
          </cell>
        </row>
        <row r="1240">
          <cell r="C1240" t="str">
            <v>IT0003128367</v>
          </cell>
          <cell r="G1240">
            <v>66978087484.248001</v>
          </cell>
        </row>
        <row r="1241">
          <cell r="C1241" t="str">
            <v>IT0003128367</v>
          </cell>
          <cell r="G1241">
            <v>66978087484.248001</v>
          </cell>
        </row>
        <row r="1242">
          <cell r="C1242" t="str">
            <v>IT0003128367</v>
          </cell>
          <cell r="G1242">
            <v>66978087484.248001</v>
          </cell>
        </row>
        <row r="1243">
          <cell r="C1243" t="str">
            <v>IT0003128367</v>
          </cell>
          <cell r="G1243">
            <v>66978087484.248001</v>
          </cell>
        </row>
        <row r="1244">
          <cell r="C1244" t="str">
            <v>IT0003128367</v>
          </cell>
          <cell r="G1244">
            <v>66978087484.248001</v>
          </cell>
        </row>
        <row r="1245">
          <cell r="C1245" t="str">
            <v>IT0003128367</v>
          </cell>
          <cell r="G1245">
            <v>66978087484.248001</v>
          </cell>
        </row>
        <row r="1246">
          <cell r="C1246" t="str">
            <v>IT0003128367</v>
          </cell>
          <cell r="G1246">
            <v>66978087484.248001</v>
          </cell>
        </row>
        <row r="1247">
          <cell r="C1247" t="str">
            <v>IT0003128367</v>
          </cell>
          <cell r="G1247">
            <v>66978087484.248001</v>
          </cell>
        </row>
        <row r="1248">
          <cell r="C1248" t="str">
            <v>IT0003128367</v>
          </cell>
          <cell r="G1248">
            <v>66978087484.248001</v>
          </cell>
        </row>
        <row r="1249">
          <cell r="C1249" t="str">
            <v>IT0003128367</v>
          </cell>
          <cell r="G1249">
            <v>66978087484.248001</v>
          </cell>
        </row>
        <row r="1250">
          <cell r="C1250" t="str">
            <v>NL0011821202</v>
          </cell>
          <cell r="G1250">
            <v>65008494805.019997</v>
          </cell>
        </row>
        <row r="1251">
          <cell r="C1251" t="str">
            <v>NL0011821202</v>
          </cell>
          <cell r="G1251">
            <v>65008494805.019997</v>
          </cell>
        </row>
        <row r="1252">
          <cell r="C1252" t="str">
            <v>NL0011821202</v>
          </cell>
          <cell r="G1252">
            <v>65008494805.019997</v>
          </cell>
        </row>
        <row r="1253">
          <cell r="C1253" t="str">
            <v>NL0011821202</v>
          </cell>
          <cell r="G1253">
            <v>65008494805.019997</v>
          </cell>
        </row>
        <row r="1254">
          <cell r="C1254" t="str">
            <v>NL0011821202</v>
          </cell>
          <cell r="G1254">
            <v>65008494805.019997</v>
          </cell>
        </row>
        <row r="1255">
          <cell r="C1255" t="str">
            <v>NL0011821202</v>
          </cell>
          <cell r="G1255">
            <v>65008494805.019997</v>
          </cell>
        </row>
        <row r="1256">
          <cell r="C1256" t="str">
            <v>NL0011821202</v>
          </cell>
          <cell r="G1256">
            <v>65008494805.019997</v>
          </cell>
        </row>
        <row r="1257">
          <cell r="C1257" t="str">
            <v>NL0011821202</v>
          </cell>
          <cell r="G1257">
            <v>65008494805.019997</v>
          </cell>
        </row>
        <row r="1258">
          <cell r="C1258" t="str">
            <v>NL0011821202</v>
          </cell>
          <cell r="G1258">
            <v>65008494805.019997</v>
          </cell>
        </row>
        <row r="1259">
          <cell r="C1259" t="str">
            <v>NL0011821202</v>
          </cell>
          <cell r="G1259">
            <v>65008494805.019997</v>
          </cell>
        </row>
        <row r="1260">
          <cell r="C1260" t="str">
            <v>NL0011821202</v>
          </cell>
          <cell r="G1260">
            <v>65008494805.019997</v>
          </cell>
        </row>
        <row r="1261">
          <cell r="C1261" t="str">
            <v>NL0011821202</v>
          </cell>
          <cell r="G1261">
            <v>65008494805.019997</v>
          </cell>
        </row>
        <row r="1262">
          <cell r="C1262" t="str">
            <v>NL0011821202</v>
          </cell>
          <cell r="G1262">
            <v>65008494805.019997</v>
          </cell>
        </row>
        <row r="1263">
          <cell r="C1263" t="str">
            <v>NL0011821202</v>
          </cell>
          <cell r="G1263">
            <v>65008494805.019997</v>
          </cell>
        </row>
        <row r="1264">
          <cell r="C1264" t="str">
            <v>FR0000125486</v>
          </cell>
          <cell r="G1264">
            <v>62966255382</v>
          </cell>
        </row>
        <row r="1265">
          <cell r="C1265" t="str">
            <v>FR0000125486</v>
          </cell>
          <cell r="G1265">
            <v>62966255382</v>
          </cell>
        </row>
        <row r="1266">
          <cell r="C1266" t="str">
            <v>FR0000125486</v>
          </cell>
          <cell r="G1266">
            <v>62966255382</v>
          </cell>
        </row>
        <row r="1267">
          <cell r="C1267" t="str">
            <v>FR0000125486</v>
          </cell>
          <cell r="G1267">
            <v>62966255382</v>
          </cell>
        </row>
        <row r="1268">
          <cell r="C1268" t="str">
            <v>FR0000125486</v>
          </cell>
          <cell r="G1268">
            <v>62966255382</v>
          </cell>
        </row>
        <row r="1269">
          <cell r="C1269" t="str">
            <v>FR0000125486</v>
          </cell>
          <cell r="G1269">
            <v>62966255382</v>
          </cell>
        </row>
        <row r="1270">
          <cell r="C1270" t="str">
            <v>FR0000125486</v>
          </cell>
          <cell r="G1270">
            <v>62966255382</v>
          </cell>
        </row>
        <row r="1271">
          <cell r="C1271" t="str">
            <v>FR0000125486</v>
          </cell>
          <cell r="G1271">
            <v>62966255382</v>
          </cell>
        </row>
        <row r="1272">
          <cell r="C1272" t="str">
            <v>FR0000125486</v>
          </cell>
          <cell r="G1272">
            <v>62966255382</v>
          </cell>
        </row>
        <row r="1273">
          <cell r="C1273" t="str">
            <v>FR0000125486</v>
          </cell>
          <cell r="G1273">
            <v>62966255382</v>
          </cell>
        </row>
        <row r="1274">
          <cell r="C1274" t="str">
            <v>FR0000125486</v>
          </cell>
          <cell r="G1274">
            <v>62966255382</v>
          </cell>
        </row>
        <row r="1275">
          <cell r="C1275" t="str">
            <v>FR0000125486</v>
          </cell>
          <cell r="G1275">
            <v>62966255382</v>
          </cell>
        </row>
        <row r="1276">
          <cell r="C1276" t="str">
            <v>FR0000125486</v>
          </cell>
          <cell r="G1276">
            <v>62966255382</v>
          </cell>
        </row>
        <row r="1277">
          <cell r="C1277" t="str">
            <v>FR0000125486</v>
          </cell>
          <cell r="G1277">
            <v>62966255382</v>
          </cell>
        </row>
        <row r="1278">
          <cell r="C1278" t="str">
            <v>DE0005140008</v>
          </cell>
          <cell r="G1278">
            <v>57249411466.5</v>
          </cell>
        </row>
        <row r="1279">
          <cell r="C1279" t="str">
            <v>DE0005140008</v>
          </cell>
          <cell r="G1279">
            <v>57249411466.5</v>
          </cell>
        </row>
        <row r="1280">
          <cell r="C1280" t="str">
            <v>DE0005140008</v>
          </cell>
          <cell r="G1280">
            <v>57249411466.5</v>
          </cell>
        </row>
        <row r="1281">
          <cell r="C1281" t="str">
            <v>DE0005140008</v>
          </cell>
          <cell r="G1281">
            <v>57249411466.5</v>
          </cell>
        </row>
        <row r="1282">
          <cell r="C1282" t="str">
            <v>DE0005140008</v>
          </cell>
          <cell r="G1282">
            <v>57249411466.5</v>
          </cell>
        </row>
        <row r="1283">
          <cell r="C1283" t="str">
            <v>DE0005140008</v>
          </cell>
          <cell r="G1283">
            <v>57249411466.5</v>
          </cell>
        </row>
        <row r="1284">
          <cell r="C1284" t="str">
            <v>DE0005140008</v>
          </cell>
          <cell r="G1284">
            <v>57249411466.5</v>
          </cell>
        </row>
        <row r="1285">
          <cell r="C1285" t="str">
            <v>DE0005140008</v>
          </cell>
          <cell r="G1285">
            <v>57249411466.5</v>
          </cell>
        </row>
        <row r="1286">
          <cell r="C1286" t="str">
            <v>DE0005140008</v>
          </cell>
          <cell r="G1286">
            <v>57249411466.5</v>
          </cell>
        </row>
        <row r="1287">
          <cell r="C1287" t="str">
            <v>DE0005140008</v>
          </cell>
          <cell r="G1287">
            <v>57249411466.5</v>
          </cell>
        </row>
        <row r="1288">
          <cell r="C1288" t="str">
            <v>DE0005140008</v>
          </cell>
          <cell r="G1288">
            <v>57249411466.5</v>
          </cell>
        </row>
        <row r="1289">
          <cell r="C1289" t="str">
            <v>DE0005140008</v>
          </cell>
          <cell r="G1289">
            <v>57249411466.5</v>
          </cell>
        </row>
        <row r="1290">
          <cell r="C1290" t="str">
            <v>DE0005140008</v>
          </cell>
          <cell r="G1290">
            <v>57249411466.5</v>
          </cell>
        </row>
        <row r="1291">
          <cell r="C1291" t="str">
            <v>DE0005140008</v>
          </cell>
          <cell r="G1291">
            <v>57249411466.5</v>
          </cell>
        </row>
        <row r="1292">
          <cell r="C1292" t="str">
            <v>BE0974293251</v>
          </cell>
          <cell r="G1292">
            <v>53772223192.160004</v>
          </cell>
        </row>
        <row r="1293">
          <cell r="C1293" t="str">
            <v>BE0974293251</v>
          </cell>
          <cell r="G1293">
            <v>53772223192.160004</v>
          </cell>
        </row>
        <row r="1294">
          <cell r="C1294" t="str">
            <v>BE0974293251</v>
          </cell>
          <cell r="G1294">
            <v>53772223192.160004</v>
          </cell>
        </row>
        <row r="1295">
          <cell r="C1295" t="str">
            <v>BE0974293251</v>
          </cell>
          <cell r="G1295">
            <v>53772223192.160004</v>
          </cell>
        </row>
        <row r="1296">
          <cell r="C1296" t="str">
            <v>BE0974293251</v>
          </cell>
          <cell r="G1296">
            <v>53772223192.160004</v>
          </cell>
        </row>
        <row r="1297">
          <cell r="C1297" t="str">
            <v>BE0974293251</v>
          </cell>
          <cell r="G1297">
            <v>53772223192.160004</v>
          </cell>
        </row>
        <row r="1298">
          <cell r="C1298" t="str">
            <v>BE0974293251</v>
          </cell>
          <cell r="G1298">
            <v>53772223192.160004</v>
          </cell>
        </row>
        <row r="1299">
          <cell r="C1299" t="str">
            <v>BE0974293251</v>
          </cell>
          <cell r="G1299">
            <v>53772223192.160004</v>
          </cell>
        </row>
        <row r="1300">
          <cell r="C1300" t="str">
            <v>BE0974293251</v>
          </cell>
          <cell r="G1300">
            <v>53772223192.160004</v>
          </cell>
        </row>
        <row r="1301">
          <cell r="C1301" t="str">
            <v>BE0974293251</v>
          </cell>
          <cell r="G1301">
            <v>53772223192.160004</v>
          </cell>
        </row>
        <row r="1302">
          <cell r="C1302" t="str">
            <v>BE0974293251</v>
          </cell>
          <cell r="G1302">
            <v>53772223192.160004</v>
          </cell>
        </row>
        <row r="1303">
          <cell r="C1303" t="str">
            <v>BE0974293251</v>
          </cell>
          <cell r="G1303">
            <v>53772223192.160004</v>
          </cell>
        </row>
        <row r="1304">
          <cell r="C1304" t="str">
            <v>BE0974293251</v>
          </cell>
          <cell r="G1304">
            <v>53772223192.160004</v>
          </cell>
        </row>
        <row r="1305">
          <cell r="C1305" t="str">
            <v>BE0974293251</v>
          </cell>
          <cell r="G1305">
            <v>53772223192.160004</v>
          </cell>
        </row>
        <row r="1306">
          <cell r="C1306" t="str">
            <v>FR0000120644</v>
          </cell>
          <cell r="G1306">
            <v>50789100579.370987</v>
          </cell>
        </row>
        <row r="1307">
          <cell r="C1307" t="str">
            <v>FR0000120644</v>
          </cell>
          <cell r="G1307">
            <v>50789100579.370987</v>
          </cell>
        </row>
        <row r="1308">
          <cell r="C1308" t="str">
            <v>FR0000120644</v>
          </cell>
          <cell r="G1308">
            <v>50789100579.370987</v>
          </cell>
        </row>
        <row r="1309">
          <cell r="C1309" t="str">
            <v>FR0000120644</v>
          </cell>
          <cell r="G1309">
            <v>50789100579.370987</v>
          </cell>
        </row>
        <row r="1310">
          <cell r="C1310" t="str">
            <v>FR0000120644</v>
          </cell>
          <cell r="G1310">
            <v>50789100579.370987</v>
          </cell>
        </row>
        <row r="1311">
          <cell r="C1311" t="str">
            <v>FR0000120644</v>
          </cell>
          <cell r="G1311">
            <v>50789100579.370987</v>
          </cell>
        </row>
        <row r="1312">
          <cell r="C1312" t="str">
            <v>FR0000120644</v>
          </cell>
          <cell r="G1312">
            <v>50789100579.370987</v>
          </cell>
        </row>
        <row r="1313">
          <cell r="C1313" t="str">
            <v>FR0000120644</v>
          </cell>
          <cell r="G1313">
            <v>50789100579.370987</v>
          </cell>
        </row>
        <row r="1314">
          <cell r="C1314" t="str">
            <v>FR0000120644</v>
          </cell>
          <cell r="G1314">
            <v>50789100579.370987</v>
          </cell>
        </row>
        <row r="1315">
          <cell r="C1315" t="str">
            <v>FR0000120644</v>
          </cell>
          <cell r="G1315">
            <v>50789100579.370987</v>
          </cell>
        </row>
        <row r="1316">
          <cell r="C1316" t="str">
            <v>FR0000120644</v>
          </cell>
          <cell r="G1316">
            <v>50789100579.370987</v>
          </cell>
        </row>
        <row r="1317">
          <cell r="C1317" t="str">
            <v>FR0000120644</v>
          </cell>
          <cell r="G1317">
            <v>50789100579.370987</v>
          </cell>
        </row>
        <row r="1318">
          <cell r="C1318" t="str">
            <v>FR0000120644</v>
          </cell>
          <cell r="G1318">
            <v>50789100579.370987</v>
          </cell>
        </row>
        <row r="1319">
          <cell r="C1319" t="str">
            <v>FR0000120644</v>
          </cell>
          <cell r="G1319">
            <v>50789100579.370987</v>
          </cell>
        </row>
        <row r="1320">
          <cell r="C1320" t="str">
            <v>ES0148396007</v>
          </cell>
          <cell r="G1320">
            <v>50767144428</v>
          </cell>
        </row>
        <row r="1321">
          <cell r="C1321" t="str">
            <v>ES0148396007</v>
          </cell>
          <cell r="G1321">
            <v>50767144428</v>
          </cell>
        </row>
        <row r="1322">
          <cell r="C1322" t="str">
            <v>ES0148396007</v>
          </cell>
          <cell r="G1322">
            <v>50767144428</v>
          </cell>
        </row>
        <row r="1323">
          <cell r="C1323" t="str">
            <v>ES0148396007</v>
          </cell>
          <cell r="G1323">
            <v>50767144428</v>
          </cell>
        </row>
        <row r="1324">
          <cell r="C1324" t="str">
            <v>ES0148396007</v>
          </cell>
          <cell r="G1324">
            <v>50767144428</v>
          </cell>
        </row>
        <row r="1325">
          <cell r="C1325" t="str">
            <v>ES0148396007</v>
          </cell>
          <cell r="G1325">
            <v>50767144428</v>
          </cell>
        </row>
        <row r="1326">
          <cell r="C1326" t="str">
            <v>ES0148396007</v>
          </cell>
          <cell r="G1326">
            <v>50767144428</v>
          </cell>
        </row>
        <row r="1327">
          <cell r="C1327" t="str">
            <v>ES0148396007</v>
          </cell>
          <cell r="G1327">
            <v>50767144428</v>
          </cell>
        </row>
        <row r="1328">
          <cell r="C1328" t="str">
            <v>ES0148396007</v>
          </cell>
          <cell r="G1328">
            <v>50767144428</v>
          </cell>
        </row>
        <row r="1329">
          <cell r="C1329" t="str">
            <v>ES0148396007</v>
          </cell>
          <cell r="G1329">
            <v>50767144428</v>
          </cell>
        </row>
        <row r="1330">
          <cell r="C1330" t="str">
            <v>ES0148396007</v>
          </cell>
          <cell r="G1330">
            <v>50767144428</v>
          </cell>
        </row>
        <row r="1331">
          <cell r="C1331" t="str">
            <v>ES0148396007</v>
          </cell>
          <cell r="G1331">
            <v>50767144428</v>
          </cell>
        </row>
        <row r="1332">
          <cell r="C1332" t="str">
            <v>ES0148396007</v>
          </cell>
          <cell r="G1332">
            <v>50767144428</v>
          </cell>
        </row>
        <row r="1333">
          <cell r="C1333" t="str">
            <v>ES0148396007</v>
          </cell>
          <cell r="G1333">
            <v>50767144428</v>
          </cell>
        </row>
        <row r="1334">
          <cell r="C1334" t="str">
            <v>NL0010832176</v>
          </cell>
          <cell r="G1334">
            <v>49279768370.400002</v>
          </cell>
        </row>
        <row r="1335">
          <cell r="C1335" t="str">
            <v>NL0010832176</v>
          </cell>
          <cell r="G1335">
            <v>49279768370.400002</v>
          </cell>
        </row>
        <row r="1336">
          <cell r="C1336" t="str">
            <v>NL0010832176</v>
          </cell>
          <cell r="G1336">
            <v>49279768370.400002</v>
          </cell>
        </row>
        <row r="1337">
          <cell r="C1337" t="str">
            <v>NL0010832176</v>
          </cell>
          <cell r="G1337">
            <v>49279768370.400002</v>
          </cell>
        </row>
        <row r="1338">
          <cell r="C1338" t="str">
            <v>NL0010832176</v>
          </cell>
          <cell r="G1338">
            <v>49279768370.400002</v>
          </cell>
        </row>
        <row r="1339">
          <cell r="C1339" t="str">
            <v>NL0010832176</v>
          </cell>
          <cell r="G1339">
            <v>49279768370.400002</v>
          </cell>
        </row>
        <row r="1340">
          <cell r="C1340" t="str">
            <v>NL0010832176</v>
          </cell>
          <cell r="G1340">
            <v>49279768370.400002</v>
          </cell>
        </row>
        <row r="1341">
          <cell r="C1341" t="str">
            <v>NL0010832176</v>
          </cell>
          <cell r="G1341">
            <v>49279768370.400002</v>
          </cell>
        </row>
        <row r="1342">
          <cell r="C1342" t="str">
            <v>NL0010832176</v>
          </cell>
          <cell r="G1342">
            <v>49279768370.400002</v>
          </cell>
        </row>
        <row r="1343">
          <cell r="C1343" t="str">
            <v>NL0010832176</v>
          </cell>
          <cell r="G1343">
            <v>49279768370.400002</v>
          </cell>
        </row>
        <row r="1344">
          <cell r="C1344" t="str">
            <v>NL0010832176</v>
          </cell>
          <cell r="G1344">
            <v>49279768370.400002</v>
          </cell>
        </row>
        <row r="1345">
          <cell r="C1345" t="str">
            <v>NL0010832176</v>
          </cell>
          <cell r="G1345">
            <v>49279768370.400002</v>
          </cell>
        </row>
        <row r="1346">
          <cell r="C1346" t="str">
            <v>NL0010832176</v>
          </cell>
          <cell r="G1346">
            <v>49279768370.400002</v>
          </cell>
        </row>
        <row r="1347">
          <cell r="C1347" t="str">
            <v>NL0010832176</v>
          </cell>
          <cell r="G1347">
            <v>49279768370.400002</v>
          </cell>
        </row>
        <row r="1348">
          <cell r="C1348" t="str">
            <v>FI4000297767</v>
          </cell>
          <cell r="G1348">
            <v>48042012500.300003</v>
          </cell>
        </row>
        <row r="1349">
          <cell r="C1349" t="str">
            <v>FI4000297767</v>
          </cell>
          <cell r="G1349">
            <v>48042012500.300003</v>
          </cell>
        </row>
        <row r="1350">
          <cell r="C1350" t="str">
            <v>FI4000297767</v>
          </cell>
          <cell r="G1350">
            <v>48042012500.300003</v>
          </cell>
        </row>
        <row r="1351">
          <cell r="C1351" t="str">
            <v>FI4000297767</v>
          </cell>
          <cell r="G1351">
            <v>48042012500.300003</v>
          </cell>
        </row>
        <row r="1352">
          <cell r="C1352" t="str">
            <v>FI4000297767</v>
          </cell>
          <cell r="G1352">
            <v>48042012500.300003</v>
          </cell>
        </row>
        <row r="1353">
          <cell r="C1353" t="str">
            <v>FI4000297767</v>
          </cell>
          <cell r="G1353">
            <v>48042012500.300003</v>
          </cell>
        </row>
        <row r="1354">
          <cell r="C1354" t="str">
            <v>FI4000297767</v>
          </cell>
          <cell r="G1354">
            <v>48042012500.300003</v>
          </cell>
        </row>
        <row r="1355">
          <cell r="C1355" t="str">
            <v>FI4000297767</v>
          </cell>
          <cell r="G1355">
            <v>48042012500.300003</v>
          </cell>
        </row>
        <row r="1356">
          <cell r="C1356" t="str">
            <v>FI4000297767</v>
          </cell>
          <cell r="G1356">
            <v>48042012500.300003</v>
          </cell>
        </row>
        <row r="1357">
          <cell r="C1357" t="str">
            <v>FI4000297767</v>
          </cell>
          <cell r="G1357">
            <v>48042012500.300003</v>
          </cell>
        </row>
        <row r="1358">
          <cell r="C1358" t="str">
            <v>FI4000297767</v>
          </cell>
          <cell r="G1358">
            <v>48042012500.300003</v>
          </cell>
        </row>
        <row r="1359">
          <cell r="C1359" t="str">
            <v>FI4000297767</v>
          </cell>
          <cell r="G1359">
            <v>48042012500.300003</v>
          </cell>
        </row>
        <row r="1360">
          <cell r="C1360" t="str">
            <v>FI4000297767</v>
          </cell>
          <cell r="G1360">
            <v>48042012500.300003</v>
          </cell>
        </row>
        <row r="1361">
          <cell r="C1361" t="str">
            <v>FI4000297767</v>
          </cell>
          <cell r="G1361">
            <v>48042012500.300003</v>
          </cell>
        </row>
        <row r="1362">
          <cell r="C1362" t="str">
            <v>DE0005552004</v>
          </cell>
          <cell r="G1362">
            <v>43860000000</v>
          </cell>
        </row>
        <row r="1363">
          <cell r="C1363" t="str">
            <v>DE0005552004</v>
          </cell>
          <cell r="G1363">
            <v>43860000000</v>
          </cell>
        </row>
        <row r="1364">
          <cell r="C1364" t="str">
            <v>DE0005552004</v>
          </cell>
          <cell r="G1364">
            <v>43860000000</v>
          </cell>
        </row>
        <row r="1365">
          <cell r="C1365" t="str">
            <v>DE0005552004</v>
          </cell>
          <cell r="G1365">
            <v>43860000000</v>
          </cell>
        </row>
        <row r="1366">
          <cell r="C1366" t="str">
            <v>DE0005552004</v>
          </cell>
          <cell r="G1366">
            <v>43860000000</v>
          </cell>
        </row>
        <row r="1367">
          <cell r="C1367" t="str">
            <v>DE0005552004</v>
          </cell>
          <cell r="G1367">
            <v>43860000000</v>
          </cell>
        </row>
        <row r="1368">
          <cell r="C1368" t="str">
            <v>DE0005552004</v>
          </cell>
          <cell r="G1368">
            <v>43860000000</v>
          </cell>
        </row>
        <row r="1369">
          <cell r="C1369" t="str">
            <v>DE0005552004</v>
          </cell>
          <cell r="G1369">
            <v>43860000000</v>
          </cell>
        </row>
        <row r="1370">
          <cell r="C1370" t="str">
            <v>DE0005552004</v>
          </cell>
          <cell r="G1370">
            <v>43860000000</v>
          </cell>
        </row>
        <row r="1371">
          <cell r="C1371" t="str">
            <v>DE0005552004</v>
          </cell>
          <cell r="G1371">
            <v>43860000000</v>
          </cell>
        </row>
        <row r="1372">
          <cell r="C1372" t="str">
            <v>DE0005552004</v>
          </cell>
          <cell r="G1372">
            <v>43860000000</v>
          </cell>
        </row>
        <row r="1373">
          <cell r="C1373" t="str">
            <v>DE0005552004</v>
          </cell>
          <cell r="G1373">
            <v>43860000000</v>
          </cell>
        </row>
        <row r="1374">
          <cell r="C1374" t="str">
            <v>DE0005552004</v>
          </cell>
          <cell r="G1374">
            <v>43860000000</v>
          </cell>
        </row>
        <row r="1375">
          <cell r="C1375" t="str">
            <v>DE0005552004</v>
          </cell>
          <cell r="G1375">
            <v>43860000000</v>
          </cell>
        </row>
        <row r="1376">
          <cell r="C1376" t="str">
            <v>DE0006231004</v>
          </cell>
          <cell r="G1376">
            <v>41391169264.5</v>
          </cell>
        </row>
        <row r="1377">
          <cell r="C1377" t="str">
            <v>DE0006231004</v>
          </cell>
          <cell r="G1377">
            <v>41391169264.5</v>
          </cell>
        </row>
        <row r="1378">
          <cell r="C1378" t="str">
            <v>DE0006231004</v>
          </cell>
          <cell r="G1378">
            <v>41391169264.5</v>
          </cell>
        </row>
        <row r="1379">
          <cell r="C1379" t="str">
            <v>DE0006231004</v>
          </cell>
          <cell r="G1379">
            <v>41391169264.5</v>
          </cell>
        </row>
        <row r="1380">
          <cell r="C1380" t="str">
            <v>DE0006231004</v>
          </cell>
          <cell r="G1380">
            <v>41391169264.5</v>
          </cell>
        </row>
        <row r="1381">
          <cell r="C1381" t="str">
            <v>DE0006231004</v>
          </cell>
          <cell r="G1381">
            <v>41391169264.5</v>
          </cell>
        </row>
        <row r="1382">
          <cell r="C1382" t="str">
            <v>DE0006231004</v>
          </cell>
          <cell r="G1382">
            <v>41391169264.5</v>
          </cell>
        </row>
        <row r="1383">
          <cell r="C1383" t="str">
            <v>DE0006231004</v>
          </cell>
          <cell r="G1383">
            <v>41391169264.5</v>
          </cell>
        </row>
        <row r="1384">
          <cell r="C1384" t="str">
            <v>DE0006231004</v>
          </cell>
          <cell r="G1384">
            <v>41391169264.5</v>
          </cell>
        </row>
        <row r="1385">
          <cell r="C1385" t="str">
            <v>DE0006231004</v>
          </cell>
          <cell r="G1385">
            <v>41391169264.5</v>
          </cell>
        </row>
        <row r="1386">
          <cell r="C1386" t="str">
            <v>DE0006231004</v>
          </cell>
          <cell r="G1386">
            <v>41391169264.5</v>
          </cell>
        </row>
        <row r="1387">
          <cell r="C1387" t="str">
            <v>DE0006231004</v>
          </cell>
          <cell r="G1387">
            <v>41391169264.5</v>
          </cell>
        </row>
        <row r="1388">
          <cell r="C1388" t="str">
            <v>DE0006231004</v>
          </cell>
          <cell r="G1388">
            <v>41391169264.5</v>
          </cell>
        </row>
        <row r="1389">
          <cell r="C1389" t="str">
            <v>DE0006231004</v>
          </cell>
          <cell r="G1389">
            <v>41391169264.5</v>
          </cell>
        </row>
        <row r="1390">
          <cell r="C1390" t="str">
            <v>DE0005810055</v>
          </cell>
          <cell r="G1390">
            <v>41218870000</v>
          </cell>
        </row>
        <row r="1391">
          <cell r="C1391" t="str">
            <v>DE0005810055</v>
          </cell>
          <cell r="G1391">
            <v>41218870000</v>
          </cell>
        </row>
        <row r="1392">
          <cell r="C1392" t="str">
            <v>DE0005810055</v>
          </cell>
          <cell r="G1392">
            <v>41218870000</v>
          </cell>
        </row>
        <row r="1393">
          <cell r="C1393" t="str">
            <v>DE0005810055</v>
          </cell>
          <cell r="G1393">
            <v>41218870000</v>
          </cell>
        </row>
        <row r="1394">
          <cell r="C1394" t="str">
            <v>DE0005810055</v>
          </cell>
          <cell r="G1394">
            <v>41218870000</v>
          </cell>
        </row>
        <row r="1395">
          <cell r="C1395" t="str">
            <v>DE0005810055</v>
          </cell>
          <cell r="G1395">
            <v>41218870000</v>
          </cell>
        </row>
        <row r="1396">
          <cell r="C1396" t="str">
            <v>DE0005810055</v>
          </cell>
          <cell r="G1396">
            <v>41218870000</v>
          </cell>
        </row>
        <row r="1397">
          <cell r="C1397" t="str">
            <v>DE0005810055</v>
          </cell>
          <cell r="G1397">
            <v>41218870000</v>
          </cell>
        </row>
        <row r="1398">
          <cell r="C1398" t="str">
            <v>DE0005810055</v>
          </cell>
          <cell r="G1398">
            <v>41218870000</v>
          </cell>
        </row>
        <row r="1399">
          <cell r="C1399" t="str">
            <v>DE0005810055</v>
          </cell>
          <cell r="G1399">
            <v>41218870000</v>
          </cell>
        </row>
        <row r="1400">
          <cell r="C1400" t="str">
            <v>DE0005810055</v>
          </cell>
          <cell r="G1400">
            <v>41218870000</v>
          </cell>
        </row>
        <row r="1401">
          <cell r="C1401" t="str">
            <v>DE0005810055</v>
          </cell>
          <cell r="G1401">
            <v>41218870000</v>
          </cell>
        </row>
        <row r="1402">
          <cell r="C1402" t="str">
            <v>DE0005810055</v>
          </cell>
          <cell r="G1402">
            <v>41218870000</v>
          </cell>
        </row>
        <row r="1403">
          <cell r="C1403" t="str">
            <v>DE0005810055</v>
          </cell>
          <cell r="G1403">
            <v>41218870000</v>
          </cell>
        </row>
        <row r="1404">
          <cell r="C1404" t="str">
            <v>DE0007100000</v>
          </cell>
          <cell r="G1404">
            <v>41178576730.5</v>
          </cell>
        </row>
        <row r="1405">
          <cell r="C1405" t="str">
            <v>DE0007100000</v>
          </cell>
          <cell r="G1405">
            <v>41178576730.5</v>
          </cell>
        </row>
        <row r="1406">
          <cell r="C1406" t="str">
            <v>DE0007100000</v>
          </cell>
          <cell r="G1406">
            <v>41178576730.5</v>
          </cell>
        </row>
        <row r="1407">
          <cell r="C1407" t="str">
            <v>DE0007100000</v>
          </cell>
          <cell r="G1407">
            <v>41178576730.5</v>
          </cell>
        </row>
        <row r="1408">
          <cell r="C1408" t="str">
            <v>DE0007100000</v>
          </cell>
          <cell r="G1408">
            <v>41178576730.5</v>
          </cell>
        </row>
        <row r="1409">
          <cell r="C1409" t="str">
            <v>DE0007100000</v>
          </cell>
          <cell r="G1409">
            <v>41178576730.5</v>
          </cell>
        </row>
        <row r="1410">
          <cell r="C1410" t="str">
            <v>DE0007100000</v>
          </cell>
          <cell r="G1410">
            <v>41178576730.5</v>
          </cell>
        </row>
        <row r="1411">
          <cell r="C1411" t="str">
            <v>DE0007100000</v>
          </cell>
          <cell r="G1411">
            <v>41178576730.5</v>
          </cell>
        </row>
        <row r="1412">
          <cell r="C1412" t="str">
            <v>DE0007100000</v>
          </cell>
          <cell r="G1412">
            <v>41178576730.5</v>
          </cell>
        </row>
        <row r="1413">
          <cell r="C1413" t="str">
            <v>DE0007100000</v>
          </cell>
          <cell r="G1413">
            <v>41178576730.5</v>
          </cell>
        </row>
        <row r="1414">
          <cell r="C1414" t="str">
            <v>DE0007100000</v>
          </cell>
          <cell r="G1414">
            <v>41178576730.5</v>
          </cell>
        </row>
        <row r="1415">
          <cell r="C1415" t="str">
            <v>DE0007100000</v>
          </cell>
          <cell r="G1415">
            <v>41178576730.5</v>
          </cell>
        </row>
        <row r="1416">
          <cell r="C1416" t="str">
            <v>DE0007100000</v>
          </cell>
          <cell r="G1416">
            <v>41178576730.5</v>
          </cell>
        </row>
        <row r="1417">
          <cell r="C1417" t="str">
            <v>DE0007100000</v>
          </cell>
          <cell r="G1417">
            <v>41178576730.5</v>
          </cell>
        </row>
        <row r="1418">
          <cell r="C1418" t="str">
            <v>NL0012969182</v>
          </cell>
          <cell r="G1418">
            <v>41012255640</v>
          </cell>
        </row>
        <row r="1419">
          <cell r="C1419" t="str">
            <v>NL0012969182</v>
          </cell>
          <cell r="G1419">
            <v>41012255640</v>
          </cell>
        </row>
        <row r="1420">
          <cell r="C1420" t="str">
            <v>NL0012969182</v>
          </cell>
          <cell r="G1420">
            <v>41012255640</v>
          </cell>
        </row>
        <row r="1421">
          <cell r="C1421" t="str">
            <v>NL0012969182</v>
          </cell>
          <cell r="G1421">
            <v>41012255640</v>
          </cell>
        </row>
        <row r="1422">
          <cell r="C1422" t="str">
            <v>NL0012969182</v>
          </cell>
          <cell r="G1422">
            <v>41012255640</v>
          </cell>
        </row>
        <row r="1423">
          <cell r="C1423" t="str">
            <v>NL0012969182</v>
          </cell>
          <cell r="G1423">
            <v>41012255640</v>
          </cell>
        </row>
        <row r="1424">
          <cell r="C1424" t="str">
            <v>NL0012969182</v>
          </cell>
          <cell r="G1424">
            <v>41012255640</v>
          </cell>
        </row>
        <row r="1425">
          <cell r="C1425" t="str">
            <v>NL0012969182</v>
          </cell>
          <cell r="G1425">
            <v>41012255640</v>
          </cell>
        </row>
        <row r="1426">
          <cell r="C1426" t="str">
            <v>NL0012969182</v>
          </cell>
          <cell r="G1426">
            <v>41012255640</v>
          </cell>
        </row>
        <row r="1427">
          <cell r="C1427" t="str">
            <v>NL0012969182</v>
          </cell>
          <cell r="G1427">
            <v>41012255640</v>
          </cell>
        </row>
        <row r="1428">
          <cell r="C1428" t="str">
            <v>NL0012969182</v>
          </cell>
          <cell r="G1428">
            <v>41012255640</v>
          </cell>
        </row>
        <row r="1429">
          <cell r="C1429" t="str">
            <v>NL0012969182</v>
          </cell>
          <cell r="G1429">
            <v>41012255640</v>
          </cell>
        </row>
        <row r="1430">
          <cell r="C1430" t="str">
            <v>NL0012969182</v>
          </cell>
          <cell r="G1430">
            <v>41012255640</v>
          </cell>
        </row>
        <row r="1431">
          <cell r="C1431" t="str">
            <v>NL0012969182</v>
          </cell>
          <cell r="G1431">
            <v>41012255640</v>
          </cell>
        </row>
        <row r="1432">
          <cell r="C1432" t="str">
            <v>FR0010208488</v>
          </cell>
          <cell r="G1432">
            <v>39488146453.364998</v>
          </cell>
        </row>
        <row r="1433">
          <cell r="C1433" t="str">
            <v>FR0010208488</v>
          </cell>
          <cell r="G1433">
            <v>39488146453.364998</v>
          </cell>
        </row>
        <row r="1434">
          <cell r="C1434" t="str">
            <v>FR0010208488</v>
          </cell>
          <cell r="G1434">
            <v>39488146453.364998</v>
          </cell>
        </row>
        <row r="1435">
          <cell r="C1435" t="str">
            <v>FR0010208488</v>
          </cell>
          <cell r="G1435">
            <v>39488146453.364998</v>
          </cell>
        </row>
        <row r="1436">
          <cell r="C1436" t="str">
            <v>FR0010208488</v>
          </cell>
          <cell r="G1436">
            <v>39488146453.364998</v>
          </cell>
        </row>
        <row r="1437">
          <cell r="C1437" t="str">
            <v>FR0010208488</v>
          </cell>
          <cell r="G1437">
            <v>39488146453.364998</v>
          </cell>
        </row>
        <row r="1438">
          <cell r="C1438" t="str">
            <v>FR0010208488</v>
          </cell>
          <cell r="G1438">
            <v>39488146453.364998</v>
          </cell>
        </row>
        <row r="1439">
          <cell r="C1439" t="str">
            <v>FR0010208488</v>
          </cell>
          <cell r="G1439">
            <v>39488146453.364998</v>
          </cell>
        </row>
        <row r="1440">
          <cell r="C1440" t="str">
            <v>FR0010208488</v>
          </cell>
          <cell r="G1440">
            <v>39488146453.364998</v>
          </cell>
        </row>
        <row r="1441">
          <cell r="C1441" t="str">
            <v>FR0010208488</v>
          </cell>
          <cell r="G1441">
            <v>39488146453.364998</v>
          </cell>
        </row>
        <row r="1442">
          <cell r="C1442" t="str">
            <v>FR0010208488</v>
          </cell>
          <cell r="G1442">
            <v>39488146453.364998</v>
          </cell>
        </row>
        <row r="1443">
          <cell r="C1443" t="str">
            <v>FR0010208488</v>
          </cell>
          <cell r="G1443">
            <v>39488146453.364998</v>
          </cell>
        </row>
        <row r="1444">
          <cell r="C1444" t="str">
            <v>FR0010208488</v>
          </cell>
          <cell r="G1444">
            <v>39488146453.364998</v>
          </cell>
        </row>
        <row r="1445">
          <cell r="C1445" t="str">
            <v>FR0010208488</v>
          </cell>
          <cell r="G1445">
            <v>39488146453.364998</v>
          </cell>
        </row>
        <row r="1446">
          <cell r="C1446" t="str">
            <v>FR0010208488</v>
          </cell>
          <cell r="G1446">
            <v>39488146453.364998</v>
          </cell>
        </row>
        <row r="1447">
          <cell r="C1447" t="str">
            <v>FR0010208488</v>
          </cell>
          <cell r="G1447">
            <v>39488146453.364998</v>
          </cell>
        </row>
        <row r="1448">
          <cell r="C1448" t="str">
            <v>FR0010208488</v>
          </cell>
          <cell r="G1448">
            <v>39488146453.364998</v>
          </cell>
        </row>
        <row r="1449">
          <cell r="C1449" t="str">
            <v>NL0011585146</v>
          </cell>
          <cell r="G1449">
            <v>39234602317.68</v>
          </cell>
        </row>
        <row r="1450">
          <cell r="C1450" t="str">
            <v>NL0011585146</v>
          </cell>
          <cell r="G1450">
            <v>39234602317.68</v>
          </cell>
        </row>
        <row r="1451">
          <cell r="C1451" t="str">
            <v>NL0011585146</v>
          </cell>
          <cell r="G1451">
            <v>39234602317.68</v>
          </cell>
        </row>
        <row r="1452">
          <cell r="C1452" t="str">
            <v>NL0011585146</v>
          </cell>
          <cell r="G1452">
            <v>39234602317.68</v>
          </cell>
        </row>
        <row r="1453">
          <cell r="C1453" t="str">
            <v>NL0011585146</v>
          </cell>
          <cell r="G1453">
            <v>39234602317.68</v>
          </cell>
        </row>
        <row r="1454">
          <cell r="C1454" t="str">
            <v>NL0011585146</v>
          </cell>
          <cell r="G1454">
            <v>39234602317.68</v>
          </cell>
        </row>
        <row r="1455">
          <cell r="C1455" t="str">
            <v>NL0011585146</v>
          </cell>
          <cell r="G1455">
            <v>39234602317.68</v>
          </cell>
        </row>
        <row r="1456">
          <cell r="C1456" t="str">
            <v>NL0011585146</v>
          </cell>
          <cell r="G1456">
            <v>39234602317.68</v>
          </cell>
        </row>
        <row r="1457">
          <cell r="C1457" t="str">
            <v>NL0011585146</v>
          </cell>
          <cell r="G1457">
            <v>39234602317.68</v>
          </cell>
        </row>
        <row r="1458">
          <cell r="C1458" t="str">
            <v>NL0011585146</v>
          </cell>
          <cell r="G1458">
            <v>39234602317.68</v>
          </cell>
        </row>
        <row r="1459">
          <cell r="C1459" t="str">
            <v>NL0011585146</v>
          </cell>
          <cell r="G1459">
            <v>39234602317.68</v>
          </cell>
        </row>
        <row r="1460">
          <cell r="C1460" t="str">
            <v>NL0011585146</v>
          </cell>
          <cell r="G1460">
            <v>39234602317.68</v>
          </cell>
        </row>
        <row r="1461">
          <cell r="C1461" t="str">
            <v>NL0011585146</v>
          </cell>
          <cell r="G1461">
            <v>39234602317.68</v>
          </cell>
        </row>
        <row r="1462">
          <cell r="C1462" t="str">
            <v>NL0011585146</v>
          </cell>
          <cell r="G1462">
            <v>39234602317.68</v>
          </cell>
        </row>
        <row r="1463">
          <cell r="C1463" t="str">
            <v>DE000BASF111</v>
          </cell>
          <cell r="G1463">
            <v>39141906071</v>
          </cell>
        </row>
        <row r="1464">
          <cell r="C1464" t="str">
            <v>DE000BASF111</v>
          </cell>
          <cell r="G1464">
            <v>39141906071</v>
          </cell>
        </row>
        <row r="1465">
          <cell r="C1465" t="str">
            <v>DE000BASF111</v>
          </cell>
          <cell r="G1465">
            <v>39141906071</v>
          </cell>
        </row>
        <row r="1466">
          <cell r="C1466" t="str">
            <v>DE000BASF111</v>
          </cell>
          <cell r="G1466">
            <v>39141906071</v>
          </cell>
        </row>
        <row r="1467">
          <cell r="C1467" t="str">
            <v>DE000BASF111</v>
          </cell>
          <cell r="G1467">
            <v>39141906071</v>
          </cell>
        </row>
        <row r="1468">
          <cell r="C1468" t="str">
            <v>DE000BASF111</v>
          </cell>
          <cell r="G1468">
            <v>39141906071</v>
          </cell>
        </row>
        <row r="1469">
          <cell r="C1469" t="str">
            <v>DE000BASF111</v>
          </cell>
          <cell r="G1469">
            <v>39141906071</v>
          </cell>
        </row>
        <row r="1470">
          <cell r="C1470" t="str">
            <v>DE000BASF111</v>
          </cell>
          <cell r="G1470">
            <v>39141906071</v>
          </cell>
        </row>
        <row r="1471">
          <cell r="C1471" t="str">
            <v>DE000BASF111</v>
          </cell>
          <cell r="G1471">
            <v>39141906071</v>
          </cell>
        </row>
        <row r="1472">
          <cell r="C1472" t="str">
            <v>DE000BASF111</v>
          </cell>
          <cell r="G1472">
            <v>39141906071</v>
          </cell>
        </row>
        <row r="1473">
          <cell r="C1473" t="str">
            <v>DE000BASF111</v>
          </cell>
          <cell r="G1473">
            <v>39141906071</v>
          </cell>
        </row>
        <row r="1474">
          <cell r="C1474" t="str">
            <v>DE000BASF111</v>
          </cell>
          <cell r="G1474">
            <v>39141906071</v>
          </cell>
        </row>
        <row r="1475">
          <cell r="C1475" t="str">
            <v>DE000BASF111</v>
          </cell>
          <cell r="G1475">
            <v>39141906071</v>
          </cell>
        </row>
        <row r="1476">
          <cell r="C1476" t="str">
            <v>DE000BASF111</v>
          </cell>
          <cell r="G1476">
            <v>39141906071</v>
          </cell>
        </row>
        <row r="1477">
          <cell r="C1477" t="str">
            <v>FR0000130809</v>
          </cell>
          <cell r="G1477">
            <v>39024208080.396004</v>
          </cell>
        </row>
        <row r="1478">
          <cell r="C1478" t="str">
            <v>FR0000130809</v>
          </cell>
          <cell r="G1478">
            <v>39024208080.396004</v>
          </cell>
        </row>
        <row r="1479">
          <cell r="C1479" t="str">
            <v>FR0000130809</v>
          </cell>
          <cell r="G1479">
            <v>39024208080.396004</v>
          </cell>
        </row>
        <row r="1480">
          <cell r="C1480" t="str">
            <v>FR0000130809</v>
          </cell>
          <cell r="G1480">
            <v>39024208080.396004</v>
          </cell>
        </row>
        <row r="1481">
          <cell r="C1481" t="str">
            <v>FR0000130809</v>
          </cell>
          <cell r="G1481">
            <v>39024208080.396004</v>
          </cell>
        </row>
        <row r="1482">
          <cell r="C1482" t="str">
            <v>FR0000130809</v>
          </cell>
          <cell r="G1482">
            <v>39024208080.396004</v>
          </cell>
        </row>
        <row r="1483">
          <cell r="C1483" t="str">
            <v>FR0000130809</v>
          </cell>
          <cell r="G1483">
            <v>39024208080.396004</v>
          </cell>
        </row>
        <row r="1484">
          <cell r="C1484" t="str">
            <v>FR0000130809</v>
          </cell>
          <cell r="G1484">
            <v>39024208080.396004</v>
          </cell>
        </row>
        <row r="1485">
          <cell r="C1485" t="str">
            <v>FR0000130809</v>
          </cell>
          <cell r="G1485">
            <v>39024208080.396004</v>
          </cell>
        </row>
        <row r="1486">
          <cell r="C1486" t="str">
            <v>FR0000130809</v>
          </cell>
          <cell r="G1486">
            <v>39024208080.396004</v>
          </cell>
        </row>
        <row r="1487">
          <cell r="C1487" t="str">
            <v>FR0000130809</v>
          </cell>
          <cell r="G1487">
            <v>39024208080.396004</v>
          </cell>
        </row>
        <row r="1488">
          <cell r="C1488" t="str">
            <v>FR0000130809</v>
          </cell>
          <cell r="G1488">
            <v>39024208080.396004</v>
          </cell>
        </row>
        <row r="1489">
          <cell r="C1489" t="str">
            <v>FR0000130809</v>
          </cell>
          <cell r="G1489">
            <v>39024208080.396004</v>
          </cell>
        </row>
        <row r="1490">
          <cell r="C1490" t="str">
            <v>FR0000130809</v>
          </cell>
          <cell r="G1490">
            <v>39024208080.396004</v>
          </cell>
        </row>
        <row r="1491">
          <cell r="C1491" t="str">
            <v>FR0000125007</v>
          </cell>
          <cell r="G1491">
            <v>36516762901.889999</v>
          </cell>
        </row>
        <row r="1492">
          <cell r="C1492" t="str">
            <v>FR0000125007</v>
          </cell>
          <cell r="G1492">
            <v>36516762901.889999</v>
          </cell>
        </row>
        <row r="1493">
          <cell r="C1493" t="str">
            <v>FR0000125007</v>
          </cell>
          <cell r="G1493">
            <v>36516762901.889999</v>
          </cell>
        </row>
        <row r="1494">
          <cell r="C1494" t="str">
            <v>FR0000125007</v>
          </cell>
          <cell r="G1494">
            <v>36516762901.889999</v>
          </cell>
        </row>
        <row r="1495">
          <cell r="C1495" t="str">
            <v>FR0000125007</v>
          </cell>
          <cell r="G1495">
            <v>36516762901.889999</v>
          </cell>
        </row>
        <row r="1496">
          <cell r="C1496" t="str">
            <v>FR0000125007</v>
          </cell>
          <cell r="G1496">
            <v>36516762901.889999</v>
          </cell>
        </row>
        <row r="1497">
          <cell r="C1497" t="str">
            <v>FR0000125007</v>
          </cell>
          <cell r="G1497">
            <v>36516762901.889999</v>
          </cell>
        </row>
        <row r="1498">
          <cell r="C1498" t="str">
            <v>FR0000125007</v>
          </cell>
          <cell r="G1498">
            <v>36516762901.889999</v>
          </cell>
        </row>
        <row r="1499">
          <cell r="C1499" t="str">
            <v>FR0000125007</v>
          </cell>
          <cell r="G1499">
            <v>36516762901.889999</v>
          </cell>
        </row>
        <row r="1500">
          <cell r="C1500" t="str">
            <v>FR0000125007</v>
          </cell>
          <cell r="G1500">
            <v>36516762901.889999</v>
          </cell>
        </row>
        <row r="1501">
          <cell r="C1501" t="str">
            <v>FR0000125007</v>
          </cell>
          <cell r="G1501">
            <v>36516762901.889999</v>
          </cell>
        </row>
        <row r="1502">
          <cell r="C1502" t="str">
            <v>FR0000125007</v>
          </cell>
          <cell r="G1502">
            <v>36516762901.889999</v>
          </cell>
        </row>
        <row r="1503">
          <cell r="C1503" t="str">
            <v>FR0000125007</v>
          </cell>
          <cell r="G1503">
            <v>36516762901.889999</v>
          </cell>
        </row>
        <row r="1504">
          <cell r="C1504" t="str">
            <v>FR0000125007</v>
          </cell>
          <cell r="G1504">
            <v>36516762901.889999</v>
          </cell>
        </row>
        <row r="1505">
          <cell r="C1505" t="str">
            <v>DE000ENAG999</v>
          </cell>
          <cell r="G1505">
            <v>34799375190</v>
          </cell>
        </row>
        <row r="1506">
          <cell r="C1506" t="str">
            <v>DE000ENAG999</v>
          </cell>
          <cell r="G1506">
            <v>34799375190</v>
          </cell>
        </row>
        <row r="1507">
          <cell r="C1507" t="str">
            <v>DE000ENAG999</v>
          </cell>
          <cell r="G1507">
            <v>34799375190</v>
          </cell>
        </row>
        <row r="1508">
          <cell r="C1508" t="str">
            <v>DE000ENAG999</v>
          </cell>
          <cell r="G1508">
            <v>34799375190</v>
          </cell>
        </row>
        <row r="1509">
          <cell r="C1509" t="str">
            <v>DE000ENAG999</v>
          </cell>
          <cell r="G1509">
            <v>34799375190</v>
          </cell>
        </row>
        <row r="1510">
          <cell r="C1510" t="str">
            <v>DE000ENAG999</v>
          </cell>
          <cell r="G1510">
            <v>34799375190</v>
          </cell>
        </row>
        <row r="1511">
          <cell r="C1511" t="str">
            <v>DE000ENAG999</v>
          </cell>
          <cell r="G1511">
            <v>34799375190</v>
          </cell>
        </row>
        <row r="1512">
          <cell r="C1512" t="str">
            <v>DE000ENAG999</v>
          </cell>
          <cell r="G1512">
            <v>34799375190</v>
          </cell>
        </row>
        <row r="1513">
          <cell r="C1513" t="str">
            <v>DE000ENAG999</v>
          </cell>
          <cell r="G1513">
            <v>34799375190</v>
          </cell>
        </row>
        <row r="1514">
          <cell r="C1514" t="str">
            <v>DE000ENAG999</v>
          </cell>
          <cell r="G1514">
            <v>34799375190</v>
          </cell>
        </row>
        <row r="1515">
          <cell r="C1515" t="str">
            <v>DE000ENAG999</v>
          </cell>
          <cell r="G1515">
            <v>34799375190</v>
          </cell>
        </row>
        <row r="1516">
          <cell r="C1516" t="str">
            <v>DE000ENAG999</v>
          </cell>
          <cell r="G1516">
            <v>34799375190</v>
          </cell>
        </row>
        <row r="1517">
          <cell r="C1517" t="str">
            <v>DE000ENAG999</v>
          </cell>
          <cell r="G1517">
            <v>34799375190</v>
          </cell>
        </row>
        <row r="1518">
          <cell r="C1518" t="str">
            <v>DE000ENAG999</v>
          </cell>
          <cell r="G1518">
            <v>34799375190</v>
          </cell>
        </row>
        <row r="1519">
          <cell r="C1519" t="str">
            <v>DE000ENAG999</v>
          </cell>
          <cell r="G1519">
            <v>34799375190</v>
          </cell>
        </row>
        <row r="1520">
          <cell r="C1520" t="str">
            <v>DE000ENAG999</v>
          </cell>
          <cell r="G1520">
            <v>34799375190</v>
          </cell>
        </row>
        <row r="1521">
          <cell r="C1521" t="str">
            <v>DE000ENAG999</v>
          </cell>
          <cell r="G1521">
            <v>34799375190</v>
          </cell>
        </row>
        <row r="1522">
          <cell r="C1522" t="str">
            <v>FR0010307819</v>
          </cell>
          <cell r="G1522">
            <v>33265871231.049999</v>
          </cell>
        </row>
        <row r="1523">
          <cell r="C1523" t="str">
            <v>FR0010307819</v>
          </cell>
          <cell r="G1523">
            <v>33265871231.049999</v>
          </cell>
        </row>
        <row r="1524">
          <cell r="C1524" t="str">
            <v>FR0010307819</v>
          </cell>
          <cell r="G1524">
            <v>33265871231.049999</v>
          </cell>
        </row>
        <row r="1525">
          <cell r="C1525" t="str">
            <v>FR0010307819</v>
          </cell>
          <cell r="G1525">
            <v>33265871231.049999</v>
          </cell>
        </row>
        <row r="1526">
          <cell r="C1526" t="str">
            <v>FR0010307819</v>
          </cell>
          <cell r="G1526">
            <v>33265871231.049999</v>
          </cell>
        </row>
        <row r="1527">
          <cell r="C1527" t="str">
            <v>FR0010307819</v>
          </cell>
          <cell r="G1527">
            <v>33265871231.049999</v>
          </cell>
        </row>
        <row r="1528">
          <cell r="C1528" t="str">
            <v>FR0010307819</v>
          </cell>
          <cell r="G1528">
            <v>33265871231.049999</v>
          </cell>
        </row>
        <row r="1529">
          <cell r="C1529" t="str">
            <v>FR0010307819</v>
          </cell>
          <cell r="G1529">
            <v>33265871231.049999</v>
          </cell>
        </row>
        <row r="1530">
          <cell r="C1530" t="str">
            <v>FR0010307819</v>
          </cell>
          <cell r="G1530">
            <v>33265871231.049999</v>
          </cell>
        </row>
        <row r="1531">
          <cell r="C1531" t="str">
            <v>FR0010307819</v>
          </cell>
          <cell r="G1531">
            <v>33265871231.049999</v>
          </cell>
        </row>
        <row r="1532">
          <cell r="C1532" t="str">
            <v>FR0010307819</v>
          </cell>
          <cell r="G1532">
            <v>33265871231.049999</v>
          </cell>
        </row>
        <row r="1533">
          <cell r="C1533" t="str">
            <v>FR0010307819</v>
          </cell>
          <cell r="G1533">
            <v>33265871231.049999</v>
          </cell>
        </row>
        <row r="1534">
          <cell r="C1534" t="str">
            <v>FR0010307819</v>
          </cell>
          <cell r="G1534">
            <v>33265871231.049999</v>
          </cell>
        </row>
        <row r="1535">
          <cell r="C1535" t="str">
            <v>FR0010307819</v>
          </cell>
          <cell r="G1535">
            <v>33265871231.049999</v>
          </cell>
        </row>
        <row r="1536">
          <cell r="C1536" t="str">
            <v>IT0000062072</v>
          </cell>
          <cell r="G1536">
            <v>33252960200.349499</v>
          </cell>
        </row>
        <row r="1537">
          <cell r="C1537" t="str">
            <v>IT0000062072</v>
          </cell>
          <cell r="G1537">
            <v>33252960200.349499</v>
          </cell>
        </row>
        <row r="1538">
          <cell r="C1538" t="str">
            <v>IT0000062072</v>
          </cell>
          <cell r="G1538">
            <v>33252960200.349499</v>
          </cell>
        </row>
        <row r="1539">
          <cell r="C1539" t="str">
            <v>IT0000062072</v>
          </cell>
          <cell r="G1539">
            <v>33252960200.349499</v>
          </cell>
        </row>
        <row r="1540">
          <cell r="C1540" t="str">
            <v>IT0000062072</v>
          </cell>
          <cell r="G1540">
            <v>33252960200.349499</v>
          </cell>
        </row>
        <row r="1541">
          <cell r="C1541" t="str">
            <v>IT0000062072</v>
          </cell>
          <cell r="G1541">
            <v>33252960200.349499</v>
          </cell>
        </row>
        <row r="1542">
          <cell r="C1542" t="str">
            <v>IT0000062072</v>
          </cell>
          <cell r="G1542">
            <v>33252960200.349499</v>
          </cell>
        </row>
        <row r="1543">
          <cell r="C1543" t="str">
            <v>IT0000062072</v>
          </cell>
          <cell r="G1543">
            <v>33252960200.349499</v>
          </cell>
        </row>
        <row r="1544">
          <cell r="C1544" t="str">
            <v>IT0000062072</v>
          </cell>
          <cell r="G1544">
            <v>33252960200.349499</v>
          </cell>
        </row>
        <row r="1545">
          <cell r="C1545" t="str">
            <v>IT0000062072</v>
          </cell>
          <cell r="G1545">
            <v>33252960200.349499</v>
          </cell>
        </row>
        <row r="1546">
          <cell r="C1546" t="str">
            <v>IT0000062072</v>
          </cell>
          <cell r="G1546">
            <v>33252960200.349499</v>
          </cell>
        </row>
        <row r="1547">
          <cell r="C1547" t="str">
            <v>IT0000062072</v>
          </cell>
          <cell r="G1547">
            <v>33252960200.349499</v>
          </cell>
        </row>
        <row r="1548">
          <cell r="C1548" t="str">
            <v>IT0000062072</v>
          </cell>
          <cell r="G1548">
            <v>33252960200.349499</v>
          </cell>
        </row>
        <row r="1549">
          <cell r="C1549" t="str">
            <v>IT0000062072</v>
          </cell>
          <cell r="G1549">
            <v>33252960200.349499</v>
          </cell>
        </row>
        <row r="1550">
          <cell r="C1550" t="str">
            <v>IT0003132476</v>
          </cell>
          <cell r="G1550">
            <v>32922715328.7136</v>
          </cell>
        </row>
        <row r="1551">
          <cell r="C1551" t="str">
            <v>IT0003132476</v>
          </cell>
          <cell r="G1551">
            <v>32922715328.7136</v>
          </cell>
        </row>
        <row r="1552">
          <cell r="C1552" t="str">
            <v>IT0003132476</v>
          </cell>
          <cell r="G1552">
            <v>32922715328.7136</v>
          </cell>
        </row>
        <row r="1553">
          <cell r="C1553" t="str">
            <v>IT0003132476</v>
          </cell>
          <cell r="G1553">
            <v>32922715328.7136</v>
          </cell>
        </row>
        <row r="1554">
          <cell r="C1554" t="str">
            <v>IT0003132476</v>
          </cell>
          <cell r="G1554">
            <v>32922715328.7136</v>
          </cell>
        </row>
        <row r="1555">
          <cell r="C1555" t="str">
            <v>IT0003132476</v>
          </cell>
          <cell r="G1555">
            <v>32922715328.7136</v>
          </cell>
        </row>
        <row r="1556">
          <cell r="C1556" t="str">
            <v>IT0003132476</v>
          </cell>
          <cell r="G1556">
            <v>32922715328.7136</v>
          </cell>
        </row>
        <row r="1557">
          <cell r="C1557" t="str">
            <v>IT0003132476</v>
          </cell>
          <cell r="G1557">
            <v>32922715328.7136</v>
          </cell>
        </row>
        <row r="1558">
          <cell r="C1558" t="str">
            <v>IT0003132476</v>
          </cell>
          <cell r="G1558">
            <v>32922715328.7136</v>
          </cell>
        </row>
        <row r="1559">
          <cell r="C1559" t="str">
            <v>IT0003132476</v>
          </cell>
          <cell r="G1559">
            <v>32922715328.7136</v>
          </cell>
        </row>
        <row r="1560">
          <cell r="C1560" t="str">
            <v>IT0003132476</v>
          </cell>
          <cell r="G1560">
            <v>32922715328.7136</v>
          </cell>
        </row>
        <row r="1561">
          <cell r="C1561" t="str">
            <v>IT0003132476</v>
          </cell>
          <cell r="G1561">
            <v>32922715328.7136</v>
          </cell>
        </row>
        <row r="1562">
          <cell r="C1562" t="str">
            <v>IT0003132476</v>
          </cell>
          <cell r="G1562">
            <v>32922715328.7136</v>
          </cell>
        </row>
        <row r="1563">
          <cell r="C1563" t="str">
            <v>IT0003132476</v>
          </cell>
          <cell r="G1563">
            <v>32922715328.7136</v>
          </cell>
        </row>
        <row r="1564">
          <cell r="C1564" t="str">
            <v>ES0140609019</v>
          </cell>
          <cell r="G1564">
            <v>32784911105.799999</v>
          </cell>
        </row>
        <row r="1565">
          <cell r="C1565" t="str">
            <v>ES0140609019</v>
          </cell>
          <cell r="G1565">
            <v>32784911105.799999</v>
          </cell>
        </row>
        <row r="1566">
          <cell r="C1566" t="str">
            <v>ES0140609019</v>
          </cell>
          <cell r="G1566">
            <v>32784911105.799999</v>
          </cell>
        </row>
        <row r="1567">
          <cell r="C1567" t="str">
            <v>ES0140609019</v>
          </cell>
          <cell r="G1567">
            <v>32784911105.799999</v>
          </cell>
        </row>
        <row r="1568">
          <cell r="C1568" t="str">
            <v>ES0140609019</v>
          </cell>
          <cell r="G1568">
            <v>32784911105.799999</v>
          </cell>
        </row>
        <row r="1569">
          <cell r="C1569" t="str">
            <v>ES0140609019</v>
          </cell>
          <cell r="G1569">
            <v>32784911105.799999</v>
          </cell>
        </row>
        <row r="1570">
          <cell r="C1570" t="str">
            <v>ES0140609019</v>
          </cell>
          <cell r="G1570">
            <v>32784911105.799999</v>
          </cell>
        </row>
        <row r="1571">
          <cell r="C1571" t="str">
            <v>ES0140609019</v>
          </cell>
          <cell r="G1571">
            <v>32784911105.799999</v>
          </cell>
        </row>
        <row r="1572">
          <cell r="C1572" t="str">
            <v>ES0140609019</v>
          </cell>
          <cell r="G1572">
            <v>32784911105.799999</v>
          </cell>
        </row>
        <row r="1573">
          <cell r="C1573" t="str">
            <v>ES0140609019</v>
          </cell>
          <cell r="G1573">
            <v>32784911105.799999</v>
          </cell>
        </row>
        <row r="1574">
          <cell r="C1574" t="str">
            <v>ES0140609019</v>
          </cell>
          <cell r="G1574">
            <v>32784911105.799999</v>
          </cell>
        </row>
        <row r="1575">
          <cell r="C1575" t="str">
            <v>ES0140609019</v>
          </cell>
          <cell r="G1575">
            <v>32784911105.799999</v>
          </cell>
        </row>
        <row r="1576">
          <cell r="C1576" t="str">
            <v>ES0140609019</v>
          </cell>
          <cell r="G1576">
            <v>32784911105.799999</v>
          </cell>
        </row>
        <row r="1577">
          <cell r="C1577" t="str">
            <v>ES0140609019</v>
          </cell>
          <cell r="G1577">
            <v>32784911105.799999</v>
          </cell>
        </row>
        <row r="1578">
          <cell r="C1578" t="str">
            <v>NL0011794037</v>
          </cell>
          <cell r="G1578">
            <v>31679902009.759998</v>
          </cell>
        </row>
        <row r="1579">
          <cell r="C1579" t="str">
            <v>NL0011794037</v>
          </cell>
          <cell r="G1579">
            <v>31679902009.759998</v>
          </cell>
        </row>
        <row r="1580">
          <cell r="C1580" t="str">
            <v>NL0011794037</v>
          </cell>
          <cell r="G1580">
            <v>31679902009.759998</v>
          </cell>
        </row>
        <row r="1581">
          <cell r="C1581" t="str">
            <v>NL0011794037</v>
          </cell>
          <cell r="G1581">
            <v>31679902009.759998</v>
          </cell>
        </row>
        <row r="1582">
          <cell r="C1582" t="str">
            <v>NL0011794037</v>
          </cell>
          <cell r="G1582">
            <v>31679902009.759998</v>
          </cell>
        </row>
        <row r="1583">
          <cell r="C1583" t="str">
            <v>NL0011794037</v>
          </cell>
          <cell r="G1583">
            <v>31679902009.759998</v>
          </cell>
        </row>
        <row r="1584">
          <cell r="C1584" t="str">
            <v>NL0011794037</v>
          </cell>
          <cell r="G1584">
            <v>31679902009.759998</v>
          </cell>
        </row>
        <row r="1585">
          <cell r="C1585" t="str">
            <v>NL0011794037</v>
          </cell>
          <cell r="G1585">
            <v>31679902009.759998</v>
          </cell>
        </row>
        <row r="1586">
          <cell r="C1586" t="str">
            <v>NL0011794037</v>
          </cell>
          <cell r="G1586">
            <v>31679902009.759998</v>
          </cell>
        </row>
        <row r="1587">
          <cell r="C1587" t="str">
            <v>NL0011794037</v>
          </cell>
          <cell r="G1587">
            <v>31679902009.759998</v>
          </cell>
        </row>
        <row r="1588">
          <cell r="C1588" t="str">
            <v>NL0011794037</v>
          </cell>
          <cell r="G1588">
            <v>31679902009.759998</v>
          </cell>
        </row>
        <row r="1589">
          <cell r="C1589" t="str">
            <v>NL0011794037</v>
          </cell>
          <cell r="G1589">
            <v>31679902009.759998</v>
          </cell>
        </row>
        <row r="1590">
          <cell r="C1590" t="str">
            <v>NL0011794037</v>
          </cell>
          <cell r="G1590">
            <v>31679902009.759998</v>
          </cell>
        </row>
        <row r="1591">
          <cell r="C1591" t="str">
            <v>NL0011794037</v>
          </cell>
          <cell r="G1591">
            <v>31679902009.759998</v>
          </cell>
        </row>
        <row r="1592">
          <cell r="C1592" t="str">
            <v>DE0007037129</v>
          </cell>
          <cell r="G1592">
            <v>29482889803.200001</v>
          </cell>
        </row>
        <row r="1593">
          <cell r="C1593" t="str">
            <v>DE0007037129</v>
          </cell>
          <cell r="G1593">
            <v>29482889803.200001</v>
          </cell>
        </row>
        <row r="1594">
          <cell r="C1594" t="str">
            <v>DE0007037129</v>
          </cell>
          <cell r="G1594">
            <v>29482889803.200001</v>
          </cell>
        </row>
        <row r="1595">
          <cell r="C1595" t="str">
            <v>DE0007037129</v>
          </cell>
          <cell r="G1595">
            <v>29482889803.200001</v>
          </cell>
        </row>
        <row r="1596">
          <cell r="C1596" t="str">
            <v>DE0007037129</v>
          </cell>
          <cell r="G1596">
            <v>29482889803.200001</v>
          </cell>
        </row>
        <row r="1597">
          <cell r="C1597" t="str">
            <v>DE0007037129</v>
          </cell>
          <cell r="G1597">
            <v>29482889803.200001</v>
          </cell>
        </row>
        <row r="1598">
          <cell r="C1598" t="str">
            <v>DE0007037129</v>
          </cell>
          <cell r="G1598">
            <v>29482889803.200001</v>
          </cell>
        </row>
        <row r="1599">
          <cell r="C1599" t="str">
            <v>DE0007037129</v>
          </cell>
          <cell r="G1599">
            <v>29482889803.200001</v>
          </cell>
        </row>
        <row r="1600">
          <cell r="C1600" t="str">
            <v>DE0007037129</v>
          </cell>
          <cell r="G1600">
            <v>29482889803.200001</v>
          </cell>
        </row>
        <row r="1601">
          <cell r="C1601" t="str">
            <v>DE0007037129</v>
          </cell>
          <cell r="G1601">
            <v>29482889803.200001</v>
          </cell>
        </row>
        <row r="1602">
          <cell r="C1602" t="str">
            <v>DE0007037129</v>
          </cell>
          <cell r="G1602">
            <v>29482889803.200001</v>
          </cell>
        </row>
        <row r="1603">
          <cell r="C1603" t="str">
            <v>DE0007037129</v>
          </cell>
          <cell r="G1603">
            <v>29482889803.200001</v>
          </cell>
        </row>
        <row r="1604">
          <cell r="C1604" t="str">
            <v>DE0007037129</v>
          </cell>
          <cell r="G1604">
            <v>29482889803.200001</v>
          </cell>
        </row>
        <row r="1605">
          <cell r="C1605" t="str">
            <v>DE0007037129</v>
          </cell>
          <cell r="G1605">
            <v>29482889803.200001</v>
          </cell>
        </row>
        <row r="1606">
          <cell r="C1606" t="str">
            <v>DE0007037129</v>
          </cell>
          <cell r="G1606">
            <v>29482889803.200001</v>
          </cell>
        </row>
        <row r="1607">
          <cell r="C1607" t="str">
            <v>DE0007037129</v>
          </cell>
          <cell r="G1607">
            <v>29482889803.200001</v>
          </cell>
        </row>
        <row r="1608">
          <cell r="C1608" t="str">
            <v>DE0007037129</v>
          </cell>
          <cell r="G1608">
            <v>29482889803.200001</v>
          </cell>
        </row>
        <row r="1609">
          <cell r="C1609" t="str">
            <v>BE0003739530</v>
          </cell>
          <cell r="G1609">
            <v>29457881904.099998</v>
          </cell>
        </row>
        <row r="1610">
          <cell r="C1610" t="str">
            <v>BE0003739530</v>
          </cell>
          <cell r="G1610">
            <v>29457881904.099998</v>
          </cell>
        </row>
        <row r="1611">
          <cell r="C1611" t="str">
            <v>BE0003739530</v>
          </cell>
          <cell r="G1611">
            <v>29457881904.099998</v>
          </cell>
        </row>
        <row r="1612">
          <cell r="C1612" t="str">
            <v>BE0003739530</v>
          </cell>
          <cell r="G1612">
            <v>29457881904.099998</v>
          </cell>
        </row>
        <row r="1613">
          <cell r="C1613" t="str">
            <v>BE0003739530</v>
          </cell>
          <cell r="G1613">
            <v>29457881904.099998</v>
          </cell>
        </row>
        <row r="1614">
          <cell r="C1614" t="str">
            <v>BE0003739530</v>
          </cell>
          <cell r="G1614">
            <v>29457881904.099998</v>
          </cell>
        </row>
        <row r="1615">
          <cell r="C1615" t="str">
            <v>BE0003739530</v>
          </cell>
          <cell r="G1615">
            <v>29457881904.099998</v>
          </cell>
        </row>
        <row r="1616">
          <cell r="C1616" t="str">
            <v>BE0003739530</v>
          </cell>
          <cell r="G1616">
            <v>29457881904.099998</v>
          </cell>
        </row>
        <row r="1617">
          <cell r="C1617" t="str">
            <v>BE0003739530</v>
          </cell>
          <cell r="G1617">
            <v>29457881904.099998</v>
          </cell>
        </row>
        <row r="1618">
          <cell r="C1618" t="str">
            <v>BE0003739530</v>
          </cell>
          <cell r="G1618">
            <v>29457881904.099998</v>
          </cell>
        </row>
        <row r="1619">
          <cell r="C1619" t="str">
            <v>BE0003739530</v>
          </cell>
          <cell r="G1619">
            <v>29457881904.099998</v>
          </cell>
        </row>
        <row r="1620">
          <cell r="C1620" t="str">
            <v>BE0003739530</v>
          </cell>
          <cell r="G1620">
            <v>29457881904.099998</v>
          </cell>
        </row>
        <row r="1621">
          <cell r="C1621" t="str">
            <v>BE0003739530</v>
          </cell>
          <cell r="G1621">
            <v>29457881904.099998</v>
          </cell>
        </row>
        <row r="1622">
          <cell r="C1622" t="str">
            <v>BE0003739530</v>
          </cell>
          <cell r="G1622">
            <v>29457881904.099998</v>
          </cell>
        </row>
        <row r="1623">
          <cell r="C1623" t="str">
            <v>AT0000652011</v>
          </cell>
          <cell r="G1623">
            <v>29261464293.599998</v>
          </cell>
        </row>
        <row r="1624">
          <cell r="C1624" t="str">
            <v>AT0000652011</v>
          </cell>
          <cell r="G1624">
            <v>29261464293.599998</v>
          </cell>
        </row>
        <row r="1625">
          <cell r="C1625" t="str">
            <v>AT0000652011</v>
          </cell>
          <cell r="G1625">
            <v>29261464293.599998</v>
          </cell>
        </row>
        <row r="1626">
          <cell r="C1626" t="str">
            <v>AT0000652011</v>
          </cell>
          <cell r="G1626">
            <v>29261464293.599998</v>
          </cell>
        </row>
        <row r="1627">
          <cell r="C1627" t="str">
            <v>AT0000652011</v>
          </cell>
          <cell r="G1627">
            <v>29261464293.599998</v>
          </cell>
        </row>
        <row r="1628">
          <cell r="C1628" t="str">
            <v>AT0000652011</v>
          </cell>
          <cell r="G1628">
            <v>29261464293.599998</v>
          </cell>
        </row>
        <row r="1629">
          <cell r="C1629" t="str">
            <v>AT0000652011</v>
          </cell>
          <cell r="G1629">
            <v>29261464293.599998</v>
          </cell>
        </row>
        <row r="1630">
          <cell r="C1630" t="str">
            <v>AT0000652011</v>
          </cell>
          <cell r="G1630">
            <v>29261464293.599998</v>
          </cell>
        </row>
        <row r="1631">
          <cell r="C1631" t="str">
            <v>AT0000652011</v>
          </cell>
          <cell r="G1631">
            <v>29261464293.599998</v>
          </cell>
        </row>
        <row r="1632">
          <cell r="C1632" t="str">
            <v>AT0000652011</v>
          </cell>
          <cell r="G1632">
            <v>29261464293.599998</v>
          </cell>
        </row>
        <row r="1633">
          <cell r="C1633" t="str">
            <v>AT0000652011</v>
          </cell>
          <cell r="G1633">
            <v>29261464293.599998</v>
          </cell>
        </row>
        <row r="1634">
          <cell r="C1634" t="str">
            <v>AT0000652011</v>
          </cell>
          <cell r="G1634">
            <v>29261464293.599998</v>
          </cell>
        </row>
        <row r="1635">
          <cell r="C1635" t="str">
            <v>AT0000652011</v>
          </cell>
          <cell r="G1635">
            <v>29261464293.599998</v>
          </cell>
        </row>
        <row r="1636">
          <cell r="C1636" t="str">
            <v>AT0000652011</v>
          </cell>
          <cell r="G1636">
            <v>29261464293.599998</v>
          </cell>
        </row>
        <row r="1637">
          <cell r="C1637" t="str">
            <v>FI0009000681</v>
          </cell>
          <cell r="G1637">
            <v>27984805177.950001</v>
          </cell>
        </row>
        <row r="1638">
          <cell r="C1638" t="str">
            <v>FI0009000681</v>
          </cell>
          <cell r="G1638">
            <v>27984805177.950001</v>
          </cell>
        </row>
        <row r="1639">
          <cell r="C1639" t="str">
            <v>FI0009000681</v>
          </cell>
          <cell r="G1639">
            <v>27984805177.950001</v>
          </cell>
        </row>
        <row r="1640">
          <cell r="C1640" t="str">
            <v>FI0009000681</v>
          </cell>
          <cell r="G1640">
            <v>27984805177.950001</v>
          </cell>
        </row>
        <row r="1641">
          <cell r="C1641" t="str">
            <v>FI0009000681</v>
          </cell>
          <cell r="G1641">
            <v>27984805177.950001</v>
          </cell>
        </row>
        <row r="1642">
          <cell r="C1642" t="str">
            <v>FI0009000681</v>
          </cell>
          <cell r="G1642">
            <v>27984805177.950001</v>
          </cell>
        </row>
        <row r="1643">
          <cell r="C1643" t="str">
            <v>FI0009000681</v>
          </cell>
          <cell r="G1643">
            <v>27984805177.950001</v>
          </cell>
        </row>
        <row r="1644">
          <cell r="C1644" t="str">
            <v>FI0009000681</v>
          </cell>
          <cell r="G1644">
            <v>27984805177.950001</v>
          </cell>
        </row>
        <row r="1645">
          <cell r="C1645" t="str">
            <v>FI0009000681</v>
          </cell>
          <cell r="G1645">
            <v>27984805177.950001</v>
          </cell>
        </row>
        <row r="1646">
          <cell r="C1646" t="str">
            <v>FI0009000681</v>
          </cell>
          <cell r="G1646">
            <v>27984805177.950001</v>
          </cell>
        </row>
        <row r="1647">
          <cell r="C1647" t="str">
            <v>FI0009000681</v>
          </cell>
          <cell r="G1647">
            <v>27984805177.950001</v>
          </cell>
        </row>
        <row r="1648">
          <cell r="C1648" t="str">
            <v>FI0009000681</v>
          </cell>
          <cell r="G1648">
            <v>27984805177.950001</v>
          </cell>
        </row>
        <row r="1649">
          <cell r="C1649" t="str">
            <v>FI0009000681</v>
          </cell>
          <cell r="G1649">
            <v>27984805177.950001</v>
          </cell>
        </row>
        <row r="1650">
          <cell r="C1650" t="str">
            <v>FI0009000681</v>
          </cell>
          <cell r="G1650">
            <v>27984805177.950001</v>
          </cell>
        </row>
        <row r="1651">
          <cell r="C1651" t="str">
            <v>IE00BYTBXV33</v>
          </cell>
          <cell r="G1651">
            <v>27923605785.919998</v>
          </cell>
        </row>
        <row r="1652">
          <cell r="C1652" t="str">
            <v>IE00BYTBXV33</v>
          </cell>
          <cell r="G1652">
            <v>27923605785.919998</v>
          </cell>
        </row>
        <row r="1653">
          <cell r="C1653" t="str">
            <v>IE00BYTBXV33</v>
          </cell>
          <cell r="G1653">
            <v>27923605785.919998</v>
          </cell>
        </row>
        <row r="1654">
          <cell r="C1654" t="str">
            <v>IE00BYTBXV33</v>
          </cell>
          <cell r="G1654">
            <v>27923605785.919998</v>
          </cell>
        </row>
        <row r="1655">
          <cell r="C1655" t="str">
            <v>IE00BYTBXV33</v>
          </cell>
          <cell r="G1655">
            <v>27923605785.919998</v>
          </cell>
        </row>
        <row r="1656">
          <cell r="C1656" t="str">
            <v>IE00BYTBXV33</v>
          </cell>
          <cell r="G1656">
            <v>27923605785.919998</v>
          </cell>
        </row>
        <row r="1657">
          <cell r="C1657" t="str">
            <v>IE00BYTBXV33</v>
          </cell>
          <cell r="G1657">
            <v>27923605785.919998</v>
          </cell>
        </row>
        <row r="1658">
          <cell r="C1658" t="str">
            <v>IE00BYTBXV33</v>
          </cell>
          <cell r="G1658">
            <v>27923605785.919998</v>
          </cell>
        </row>
        <row r="1659">
          <cell r="C1659" t="str">
            <v>IE00BYTBXV33</v>
          </cell>
          <cell r="G1659">
            <v>27923605785.919998</v>
          </cell>
        </row>
        <row r="1660">
          <cell r="C1660" t="str">
            <v>IE00BYTBXV33</v>
          </cell>
          <cell r="G1660">
            <v>27923605785.919998</v>
          </cell>
        </row>
        <row r="1661">
          <cell r="C1661" t="str">
            <v>IE00BYTBXV33</v>
          </cell>
          <cell r="G1661">
            <v>27923605785.919998</v>
          </cell>
        </row>
        <row r="1662">
          <cell r="C1662" t="str">
            <v>IE00BYTBXV33</v>
          </cell>
          <cell r="G1662">
            <v>27923605785.919998</v>
          </cell>
        </row>
        <row r="1663">
          <cell r="C1663" t="str">
            <v>IE00BYTBXV33</v>
          </cell>
          <cell r="G1663">
            <v>27923605785.919998</v>
          </cell>
        </row>
        <row r="1664">
          <cell r="C1664" t="str">
            <v>IE00BYTBXV33</v>
          </cell>
          <cell r="G1664">
            <v>27923605785.919998</v>
          </cell>
        </row>
        <row r="1665">
          <cell r="C1665" t="str">
            <v>ES0109067019</v>
          </cell>
          <cell r="G1665">
            <v>27858870528</v>
          </cell>
        </row>
        <row r="1666">
          <cell r="C1666" t="str">
            <v>ES0109067019</v>
          </cell>
          <cell r="G1666">
            <v>27858870528</v>
          </cell>
        </row>
        <row r="1667">
          <cell r="C1667" t="str">
            <v>ES0109067019</v>
          </cell>
          <cell r="G1667">
            <v>27858870528</v>
          </cell>
        </row>
        <row r="1668">
          <cell r="C1668" t="str">
            <v>ES0109067019</v>
          </cell>
          <cell r="G1668">
            <v>27858870528</v>
          </cell>
        </row>
        <row r="1669">
          <cell r="C1669" t="str">
            <v>ES0109067019</v>
          </cell>
          <cell r="G1669">
            <v>27858870528</v>
          </cell>
        </row>
        <row r="1670">
          <cell r="C1670" t="str">
            <v>ES0109067019</v>
          </cell>
          <cell r="G1670">
            <v>27858870528</v>
          </cell>
        </row>
        <row r="1671">
          <cell r="C1671" t="str">
            <v>ES0109067019</v>
          </cell>
          <cell r="G1671">
            <v>27858870528</v>
          </cell>
        </row>
        <row r="1672">
          <cell r="C1672" t="str">
            <v>ES0109067019</v>
          </cell>
          <cell r="G1672">
            <v>27858870528</v>
          </cell>
        </row>
        <row r="1673">
          <cell r="C1673" t="str">
            <v>ES0109067019</v>
          </cell>
          <cell r="G1673">
            <v>27858870528</v>
          </cell>
        </row>
        <row r="1674">
          <cell r="C1674" t="str">
            <v>ES0109067019</v>
          </cell>
          <cell r="G1674">
            <v>27858870528</v>
          </cell>
        </row>
        <row r="1675">
          <cell r="C1675" t="str">
            <v>ES0109067019</v>
          </cell>
          <cell r="G1675">
            <v>27858870528</v>
          </cell>
        </row>
        <row r="1676">
          <cell r="C1676" t="str">
            <v>ES0109067019</v>
          </cell>
          <cell r="G1676">
            <v>27858870528</v>
          </cell>
        </row>
        <row r="1677">
          <cell r="C1677" t="str">
            <v>ES0109067019</v>
          </cell>
          <cell r="G1677">
            <v>27858870528</v>
          </cell>
        </row>
        <row r="1678">
          <cell r="C1678" t="str">
            <v>ES0109067019</v>
          </cell>
          <cell r="G1678">
            <v>27858870528</v>
          </cell>
        </row>
        <row r="1679">
          <cell r="C1679" t="str">
            <v>DE000BAY0017</v>
          </cell>
          <cell r="G1679">
            <v>27100168798.5</v>
          </cell>
        </row>
        <row r="1680">
          <cell r="C1680" t="str">
            <v>DE000BAY0017</v>
          </cell>
          <cell r="G1680">
            <v>27100168798.5</v>
          </cell>
        </row>
        <row r="1681">
          <cell r="C1681" t="str">
            <v>DE000BAY0017</v>
          </cell>
          <cell r="G1681">
            <v>27100168798.5</v>
          </cell>
        </row>
        <row r="1682">
          <cell r="C1682" t="str">
            <v>DE000BAY0017</v>
          </cell>
          <cell r="G1682">
            <v>27100168798.5</v>
          </cell>
        </row>
        <row r="1683">
          <cell r="C1683" t="str">
            <v>DE000BAY0017</v>
          </cell>
          <cell r="G1683">
            <v>27100168798.5</v>
          </cell>
        </row>
        <row r="1684">
          <cell r="C1684" t="str">
            <v>DE000BAY0017</v>
          </cell>
          <cell r="G1684">
            <v>27100168798.5</v>
          </cell>
        </row>
        <row r="1685">
          <cell r="C1685" t="str">
            <v>DE000BAY0017</v>
          </cell>
          <cell r="G1685">
            <v>27100168798.5</v>
          </cell>
        </row>
        <row r="1686">
          <cell r="C1686" t="str">
            <v>DE000BAY0017</v>
          </cell>
          <cell r="G1686">
            <v>27100168798.5</v>
          </cell>
        </row>
        <row r="1687">
          <cell r="C1687" t="str">
            <v>DE000BAY0017</v>
          </cell>
          <cell r="G1687">
            <v>27100168798.5</v>
          </cell>
        </row>
        <row r="1688">
          <cell r="C1688" t="str">
            <v>DE000BAY0017</v>
          </cell>
          <cell r="G1688">
            <v>27100168798.5</v>
          </cell>
        </row>
        <row r="1689">
          <cell r="C1689" t="str">
            <v>DE000BAY0017</v>
          </cell>
          <cell r="G1689">
            <v>27100168798.5</v>
          </cell>
        </row>
        <row r="1690">
          <cell r="C1690" t="str">
            <v>DE000BAY0017</v>
          </cell>
          <cell r="G1690">
            <v>27100168798.5</v>
          </cell>
        </row>
        <row r="1691">
          <cell r="C1691" t="str">
            <v>DE000BAY0017</v>
          </cell>
          <cell r="G1691">
            <v>27100168798.5</v>
          </cell>
        </row>
        <row r="1692">
          <cell r="C1692" t="str">
            <v>DE000BAY0017</v>
          </cell>
          <cell r="G1692">
            <v>27100168798.5</v>
          </cell>
        </row>
        <row r="1693">
          <cell r="C1693" t="str">
            <v>DE000BAY0017</v>
          </cell>
          <cell r="G1693">
            <v>27100168798.5</v>
          </cell>
        </row>
        <row r="1694">
          <cell r="C1694" t="str">
            <v>DE000BAY0017</v>
          </cell>
          <cell r="G1694">
            <v>27100168798.5</v>
          </cell>
        </row>
        <row r="1695">
          <cell r="C1695" t="str">
            <v>DE000BAY0017</v>
          </cell>
          <cell r="G1695">
            <v>27100168798.5</v>
          </cell>
        </row>
        <row r="1696">
          <cell r="C1696" t="str">
            <v>DE000A1EWWW0</v>
          </cell>
          <cell r="G1696">
            <v>25923600000</v>
          </cell>
        </row>
        <row r="1697">
          <cell r="C1697" t="str">
            <v>DE000A1EWWW0</v>
          </cell>
          <cell r="G1697">
            <v>25923600000</v>
          </cell>
        </row>
        <row r="1698">
          <cell r="C1698" t="str">
            <v>DE000A1EWWW0</v>
          </cell>
          <cell r="G1698">
            <v>25923600000</v>
          </cell>
        </row>
        <row r="1699">
          <cell r="C1699" t="str">
            <v>DE000A1EWWW0</v>
          </cell>
          <cell r="G1699">
            <v>25923600000</v>
          </cell>
        </row>
        <row r="1700">
          <cell r="C1700" t="str">
            <v>DE000A1EWWW0</v>
          </cell>
          <cell r="G1700">
            <v>25923600000</v>
          </cell>
        </row>
        <row r="1701">
          <cell r="C1701" t="str">
            <v>DE000A1EWWW0</v>
          </cell>
          <cell r="G1701">
            <v>25923600000</v>
          </cell>
        </row>
        <row r="1702">
          <cell r="C1702" t="str">
            <v>DE000A1EWWW0</v>
          </cell>
          <cell r="G1702">
            <v>25923600000</v>
          </cell>
        </row>
        <row r="1703">
          <cell r="C1703" t="str">
            <v>DE000A1EWWW0</v>
          </cell>
          <cell r="G1703">
            <v>25923600000</v>
          </cell>
        </row>
        <row r="1704">
          <cell r="C1704" t="str">
            <v>DE000A1EWWW0</v>
          </cell>
          <cell r="G1704">
            <v>25923600000</v>
          </cell>
        </row>
        <row r="1705">
          <cell r="C1705" t="str">
            <v>DE000A1EWWW0</v>
          </cell>
          <cell r="G1705">
            <v>25923600000</v>
          </cell>
        </row>
        <row r="1706">
          <cell r="C1706" t="str">
            <v>DE000A1EWWW0</v>
          </cell>
          <cell r="G1706">
            <v>25923600000</v>
          </cell>
        </row>
        <row r="1707">
          <cell r="C1707" t="str">
            <v>DE000A1EWWW0</v>
          </cell>
          <cell r="G1707">
            <v>25923600000</v>
          </cell>
        </row>
        <row r="1708">
          <cell r="C1708" t="str">
            <v>DE000A1EWWW0</v>
          </cell>
          <cell r="G1708">
            <v>25923600000</v>
          </cell>
        </row>
        <row r="1709">
          <cell r="C1709" t="str">
            <v>DE000A1EWWW0</v>
          </cell>
          <cell r="G1709">
            <v>25923600000</v>
          </cell>
        </row>
        <row r="1710">
          <cell r="C1710" t="str">
            <v>NL0015001FS8</v>
          </cell>
          <cell r="G1710">
            <v>25812047461.200001</v>
          </cell>
        </row>
        <row r="1711">
          <cell r="C1711" t="str">
            <v>NL0015001FS8</v>
          </cell>
          <cell r="G1711">
            <v>25812047461.200001</v>
          </cell>
        </row>
        <row r="1712">
          <cell r="C1712" t="str">
            <v>NL0015001FS8</v>
          </cell>
          <cell r="G1712">
            <v>25812047461.200001</v>
          </cell>
        </row>
        <row r="1713">
          <cell r="C1713" t="str">
            <v>NL0015001FS8</v>
          </cell>
          <cell r="G1713">
            <v>25812047461.200001</v>
          </cell>
        </row>
        <row r="1714">
          <cell r="C1714" t="str">
            <v>NL0015001FS8</v>
          </cell>
          <cell r="G1714">
            <v>25812047461.200001</v>
          </cell>
        </row>
        <row r="1715">
          <cell r="C1715" t="str">
            <v>NL0015001FS8</v>
          </cell>
          <cell r="G1715">
            <v>25812047461.200001</v>
          </cell>
        </row>
        <row r="1716">
          <cell r="C1716" t="str">
            <v>NL0015001FS8</v>
          </cell>
          <cell r="G1716">
            <v>25812047461.200001</v>
          </cell>
        </row>
        <row r="1717">
          <cell r="C1717" t="str">
            <v>NL0015001FS8</v>
          </cell>
          <cell r="G1717">
            <v>25812047461.200001</v>
          </cell>
        </row>
        <row r="1718">
          <cell r="C1718" t="str">
            <v>NL0015001FS8</v>
          </cell>
          <cell r="G1718">
            <v>25812047461.200001</v>
          </cell>
        </row>
        <row r="1719">
          <cell r="C1719" t="str">
            <v>NL0015001FS8</v>
          </cell>
          <cell r="G1719">
            <v>25812047461.200001</v>
          </cell>
        </row>
        <row r="1720">
          <cell r="C1720" t="str">
            <v>NL0015001FS8</v>
          </cell>
          <cell r="G1720">
            <v>25812047461.200001</v>
          </cell>
        </row>
        <row r="1721">
          <cell r="C1721" t="str">
            <v>NL0015001FS8</v>
          </cell>
          <cell r="G1721">
            <v>25812047461.200001</v>
          </cell>
        </row>
        <row r="1722">
          <cell r="C1722" t="str">
            <v>NL0015001FS8</v>
          </cell>
          <cell r="G1722">
            <v>25812047461.200001</v>
          </cell>
        </row>
        <row r="1723">
          <cell r="C1723" t="str">
            <v>NL0015001FS8</v>
          </cell>
          <cell r="G1723">
            <v>25812047461.200001</v>
          </cell>
        </row>
        <row r="1724">
          <cell r="C1724" t="str">
            <v>DE0006047004</v>
          </cell>
          <cell r="G1724">
            <v>25767186051.599998</v>
          </cell>
        </row>
        <row r="1725">
          <cell r="C1725" t="str">
            <v>DE0006047004</v>
          </cell>
          <cell r="G1725">
            <v>25767186051.599998</v>
          </cell>
        </row>
        <row r="1726">
          <cell r="C1726" t="str">
            <v>DE0006047004</v>
          </cell>
          <cell r="G1726">
            <v>25767186051.599998</v>
          </cell>
        </row>
        <row r="1727">
          <cell r="C1727" t="str">
            <v>DE0006047004</v>
          </cell>
          <cell r="G1727">
            <v>25767186051.599998</v>
          </cell>
        </row>
        <row r="1728">
          <cell r="C1728" t="str">
            <v>DE0006047004</v>
          </cell>
          <cell r="G1728">
            <v>25767186051.599998</v>
          </cell>
        </row>
        <row r="1729">
          <cell r="C1729" t="str">
            <v>DE0006047004</v>
          </cell>
          <cell r="G1729">
            <v>25767186051.599998</v>
          </cell>
        </row>
        <row r="1730">
          <cell r="C1730" t="str">
            <v>DE0006047004</v>
          </cell>
          <cell r="G1730">
            <v>25767186051.599998</v>
          </cell>
        </row>
        <row r="1731">
          <cell r="C1731" t="str">
            <v>DE0006047004</v>
          </cell>
          <cell r="G1731">
            <v>25767186051.599998</v>
          </cell>
        </row>
        <row r="1732">
          <cell r="C1732" t="str">
            <v>DE0006047004</v>
          </cell>
          <cell r="G1732">
            <v>25767186051.599998</v>
          </cell>
        </row>
        <row r="1733">
          <cell r="C1733" t="str">
            <v>DE0006047004</v>
          </cell>
          <cell r="G1733">
            <v>25767186051.599998</v>
          </cell>
        </row>
        <row r="1734">
          <cell r="C1734" t="str">
            <v>DE0006047004</v>
          </cell>
          <cell r="G1734">
            <v>25767186051.599998</v>
          </cell>
        </row>
        <row r="1735">
          <cell r="C1735" t="str">
            <v>DE0006047004</v>
          </cell>
          <cell r="G1735">
            <v>25767186051.599998</v>
          </cell>
        </row>
        <row r="1736">
          <cell r="C1736" t="str">
            <v>DE0006047004</v>
          </cell>
          <cell r="G1736">
            <v>25767186051.599998</v>
          </cell>
        </row>
        <row r="1737">
          <cell r="C1737" t="str">
            <v>DE0006047004</v>
          </cell>
          <cell r="G1737">
            <v>25767186051.599998</v>
          </cell>
        </row>
        <row r="1738">
          <cell r="C1738" t="str">
            <v>FI4000552500</v>
          </cell>
          <cell r="G1738">
            <v>25245994750.200001</v>
          </cell>
        </row>
        <row r="1739">
          <cell r="C1739" t="str">
            <v>FI4000552500</v>
          </cell>
          <cell r="G1739">
            <v>25245994750.200001</v>
          </cell>
        </row>
        <row r="1740">
          <cell r="C1740" t="str">
            <v>FI4000552500</v>
          </cell>
          <cell r="G1740">
            <v>25245994750.200001</v>
          </cell>
        </row>
        <row r="1741">
          <cell r="C1741" t="str">
            <v>FI4000552500</v>
          </cell>
          <cell r="G1741">
            <v>25245994750.200001</v>
          </cell>
        </row>
        <row r="1742">
          <cell r="C1742" t="str">
            <v>FI4000552500</v>
          </cell>
          <cell r="G1742">
            <v>25245994750.200001</v>
          </cell>
        </row>
        <row r="1743">
          <cell r="C1743" t="str">
            <v>FI4000552500</v>
          </cell>
          <cell r="G1743">
            <v>25245994750.200001</v>
          </cell>
        </row>
        <row r="1744">
          <cell r="C1744" t="str">
            <v>FI4000552500</v>
          </cell>
          <cell r="G1744">
            <v>25245994750.200001</v>
          </cell>
        </row>
        <row r="1745">
          <cell r="C1745" t="str">
            <v>FI4000552500</v>
          </cell>
          <cell r="G1745">
            <v>25245994750.200001</v>
          </cell>
        </row>
        <row r="1746">
          <cell r="C1746" t="str">
            <v>FI4000552500</v>
          </cell>
          <cell r="G1746">
            <v>25245994750.200001</v>
          </cell>
        </row>
        <row r="1747">
          <cell r="C1747" t="str">
            <v>FI4000552500</v>
          </cell>
          <cell r="G1747">
            <v>25245994750.200001</v>
          </cell>
        </row>
        <row r="1748">
          <cell r="C1748" t="str">
            <v>FI4000552500</v>
          </cell>
          <cell r="G1748">
            <v>25245994750.200001</v>
          </cell>
        </row>
        <row r="1749">
          <cell r="C1749" t="str">
            <v>FI4000552500</v>
          </cell>
          <cell r="G1749">
            <v>25245994750.200001</v>
          </cell>
        </row>
        <row r="1750">
          <cell r="C1750" t="str">
            <v>FI4000552500</v>
          </cell>
          <cell r="G1750">
            <v>25245994750.200001</v>
          </cell>
        </row>
        <row r="1751">
          <cell r="C1751" t="str">
            <v>FI4000552500</v>
          </cell>
          <cell r="G1751">
            <v>25245994750.200001</v>
          </cell>
        </row>
        <row r="1752">
          <cell r="C1752" t="str">
            <v>NL0015000IY2</v>
          </cell>
          <cell r="G1752">
            <v>24882506961.564011</v>
          </cell>
        </row>
        <row r="1753">
          <cell r="C1753" t="str">
            <v>NL0015000IY2</v>
          </cell>
          <cell r="G1753">
            <v>24882506961.564011</v>
          </cell>
        </row>
        <row r="1754">
          <cell r="C1754" t="str">
            <v>NL0015000IY2</v>
          </cell>
          <cell r="G1754">
            <v>24882506961.564011</v>
          </cell>
        </row>
        <row r="1755">
          <cell r="C1755" t="str">
            <v>NL0015000IY2</v>
          </cell>
          <cell r="G1755">
            <v>24882506961.564011</v>
          </cell>
        </row>
        <row r="1756">
          <cell r="C1756" t="str">
            <v>NL0015000IY2</v>
          </cell>
          <cell r="G1756">
            <v>24882506961.564011</v>
          </cell>
        </row>
        <row r="1757">
          <cell r="C1757" t="str">
            <v>NL0015000IY2</v>
          </cell>
          <cell r="G1757">
            <v>24882506961.564011</v>
          </cell>
        </row>
        <row r="1758">
          <cell r="C1758" t="str">
            <v>NL0015000IY2</v>
          </cell>
          <cell r="G1758">
            <v>24882506961.564011</v>
          </cell>
        </row>
        <row r="1759">
          <cell r="C1759" t="str">
            <v>NL0015000IY2</v>
          </cell>
          <cell r="G1759">
            <v>24882506961.564011</v>
          </cell>
        </row>
        <row r="1760">
          <cell r="C1760" t="str">
            <v>NL0015000IY2</v>
          </cell>
          <cell r="G1760">
            <v>24882506961.564011</v>
          </cell>
        </row>
        <row r="1761">
          <cell r="C1761" t="str">
            <v>NL0015000IY2</v>
          </cell>
          <cell r="G1761">
            <v>24882506961.564011</v>
          </cell>
        </row>
        <row r="1762">
          <cell r="C1762" t="str">
            <v>NL0015000IY2</v>
          </cell>
          <cell r="G1762">
            <v>24882506961.564011</v>
          </cell>
        </row>
        <row r="1763">
          <cell r="C1763" t="str">
            <v>NL0015000IY2</v>
          </cell>
          <cell r="G1763">
            <v>24882506961.564011</v>
          </cell>
        </row>
        <row r="1764">
          <cell r="C1764" t="str">
            <v>NL0015000IY2</v>
          </cell>
          <cell r="G1764">
            <v>24882506961.564011</v>
          </cell>
        </row>
        <row r="1765">
          <cell r="C1765" t="str">
            <v>NL0015000IY2</v>
          </cell>
          <cell r="G1765">
            <v>24882506961.564011</v>
          </cell>
        </row>
        <row r="1766">
          <cell r="C1766" t="str">
            <v>BE0003565737</v>
          </cell>
          <cell r="G1766">
            <v>24193551969.317501</v>
          </cell>
        </row>
        <row r="1767">
          <cell r="C1767" t="str">
            <v>BE0003565737</v>
          </cell>
          <cell r="G1767">
            <v>24193551969.317501</v>
          </cell>
        </row>
        <row r="1768">
          <cell r="C1768" t="str">
            <v>BE0003565737</v>
          </cell>
          <cell r="G1768">
            <v>24193551969.317501</v>
          </cell>
        </row>
        <row r="1769">
          <cell r="C1769" t="str">
            <v>BE0003565737</v>
          </cell>
          <cell r="G1769">
            <v>24193551969.317501</v>
          </cell>
        </row>
        <row r="1770">
          <cell r="C1770" t="str">
            <v>BE0003565737</v>
          </cell>
          <cell r="G1770">
            <v>24193551969.317501</v>
          </cell>
        </row>
        <row r="1771">
          <cell r="C1771" t="str">
            <v>BE0003565737</v>
          </cell>
          <cell r="G1771">
            <v>24193551969.317501</v>
          </cell>
        </row>
        <row r="1772">
          <cell r="C1772" t="str">
            <v>BE0003565737</v>
          </cell>
          <cell r="G1772">
            <v>24193551969.317501</v>
          </cell>
        </row>
        <row r="1773">
          <cell r="C1773" t="str">
            <v>BE0003565737</v>
          </cell>
          <cell r="G1773">
            <v>24193551969.317501</v>
          </cell>
        </row>
        <row r="1774">
          <cell r="C1774" t="str">
            <v>BE0003565737</v>
          </cell>
          <cell r="G1774">
            <v>24193551969.317501</v>
          </cell>
        </row>
        <row r="1775">
          <cell r="C1775" t="str">
            <v>BE0003565737</v>
          </cell>
          <cell r="G1775">
            <v>24193551969.317501</v>
          </cell>
        </row>
        <row r="1776">
          <cell r="C1776" t="str">
            <v>BE0003565737</v>
          </cell>
          <cell r="G1776">
            <v>24193551969.317501</v>
          </cell>
        </row>
        <row r="1777">
          <cell r="C1777" t="str">
            <v>BE0003565737</v>
          </cell>
          <cell r="G1777">
            <v>24193551969.317501</v>
          </cell>
        </row>
        <row r="1778">
          <cell r="C1778" t="str">
            <v>BE0003565737</v>
          </cell>
          <cell r="G1778">
            <v>24193551969.317501</v>
          </cell>
        </row>
        <row r="1779">
          <cell r="C1779" t="str">
            <v>BE0003565737</v>
          </cell>
          <cell r="G1779">
            <v>24193551969.317501</v>
          </cell>
        </row>
        <row r="1780">
          <cell r="C1780" t="str">
            <v>FR0000133308</v>
          </cell>
          <cell r="G1780">
            <v>24111418027.485748</v>
          </cell>
        </row>
        <row r="1781">
          <cell r="C1781" t="str">
            <v>FR0000133308</v>
          </cell>
          <cell r="G1781">
            <v>24111418027.485748</v>
          </cell>
        </row>
        <row r="1782">
          <cell r="C1782" t="str">
            <v>FR0000133308</v>
          </cell>
          <cell r="G1782">
            <v>24111418027.485748</v>
          </cell>
        </row>
        <row r="1783">
          <cell r="C1783" t="str">
            <v>FR0000133308</v>
          </cell>
          <cell r="G1783">
            <v>24111418027.485748</v>
          </cell>
        </row>
        <row r="1784">
          <cell r="C1784" t="str">
            <v>FR0000133308</v>
          </cell>
          <cell r="G1784">
            <v>24111418027.485748</v>
          </cell>
        </row>
        <row r="1785">
          <cell r="C1785" t="str">
            <v>FR0000133308</v>
          </cell>
          <cell r="G1785">
            <v>24111418027.485748</v>
          </cell>
        </row>
        <row r="1786">
          <cell r="C1786" t="str">
            <v>FR0000133308</v>
          </cell>
          <cell r="G1786">
            <v>24111418027.485748</v>
          </cell>
        </row>
        <row r="1787">
          <cell r="C1787" t="str">
            <v>FR0000133308</v>
          </cell>
          <cell r="G1787">
            <v>24111418027.485748</v>
          </cell>
        </row>
        <row r="1788">
          <cell r="C1788" t="str">
            <v>FR0000133308</v>
          </cell>
          <cell r="G1788">
            <v>24111418027.485748</v>
          </cell>
        </row>
        <row r="1789">
          <cell r="C1789" t="str">
            <v>FR0000133308</v>
          </cell>
          <cell r="G1789">
            <v>24111418027.485748</v>
          </cell>
        </row>
        <row r="1790">
          <cell r="C1790" t="str">
            <v>FR0000133308</v>
          </cell>
          <cell r="G1790">
            <v>24111418027.485748</v>
          </cell>
        </row>
        <row r="1791">
          <cell r="C1791" t="str">
            <v>FR0000133308</v>
          </cell>
          <cell r="G1791">
            <v>24111418027.485748</v>
          </cell>
        </row>
        <row r="1792">
          <cell r="C1792" t="str">
            <v>FR0000133308</v>
          </cell>
          <cell r="G1792">
            <v>24111418027.485748</v>
          </cell>
        </row>
        <row r="1793">
          <cell r="C1793" t="str">
            <v>FR0000133308</v>
          </cell>
          <cell r="G1793">
            <v>24111418027.485748</v>
          </cell>
        </row>
        <row r="1794">
          <cell r="C1794" t="str">
            <v>IT0004176001</v>
          </cell>
          <cell r="G1794">
            <v>23949228918.400002</v>
          </cell>
        </row>
        <row r="1795">
          <cell r="C1795" t="str">
            <v>IT0004176001</v>
          </cell>
          <cell r="G1795">
            <v>23949228918.400002</v>
          </cell>
        </row>
        <row r="1796">
          <cell r="C1796" t="str">
            <v>IT0004176001</v>
          </cell>
          <cell r="G1796">
            <v>23949228918.400002</v>
          </cell>
        </row>
        <row r="1797">
          <cell r="C1797" t="str">
            <v>IT0004176001</v>
          </cell>
          <cell r="G1797">
            <v>23949228918.400002</v>
          </cell>
        </row>
        <row r="1798">
          <cell r="C1798" t="str">
            <v>IT0004176001</v>
          </cell>
          <cell r="G1798">
            <v>23949228918.400002</v>
          </cell>
        </row>
        <row r="1799">
          <cell r="C1799" t="str">
            <v>IT0004176001</v>
          </cell>
          <cell r="G1799">
            <v>23949228918.400002</v>
          </cell>
        </row>
        <row r="1800">
          <cell r="C1800" t="str">
            <v>IT0004176001</v>
          </cell>
          <cell r="G1800">
            <v>23949228918.400002</v>
          </cell>
        </row>
        <row r="1801">
          <cell r="C1801" t="str">
            <v>IT0004176001</v>
          </cell>
          <cell r="G1801">
            <v>23949228918.400002</v>
          </cell>
        </row>
        <row r="1802">
          <cell r="C1802" t="str">
            <v>IT0004176001</v>
          </cell>
          <cell r="G1802">
            <v>23949228918.400002</v>
          </cell>
        </row>
        <row r="1803">
          <cell r="C1803" t="str">
            <v>IT0004176001</v>
          </cell>
          <cell r="G1803">
            <v>23949228918.400002</v>
          </cell>
        </row>
        <row r="1804">
          <cell r="C1804" t="str">
            <v>IT0004176001</v>
          </cell>
          <cell r="G1804">
            <v>23949228918.400002</v>
          </cell>
        </row>
        <row r="1805">
          <cell r="C1805" t="str">
            <v>IT0004176001</v>
          </cell>
          <cell r="G1805">
            <v>23949228918.400002</v>
          </cell>
        </row>
        <row r="1806">
          <cell r="C1806" t="str">
            <v>IT0004176001</v>
          </cell>
          <cell r="G1806">
            <v>23949228918.400002</v>
          </cell>
        </row>
        <row r="1807">
          <cell r="C1807" t="str">
            <v>IT0004176001</v>
          </cell>
          <cell r="G1807">
            <v>23949228918.400002</v>
          </cell>
        </row>
        <row r="1808">
          <cell r="C1808" t="str">
            <v>DE0005190003</v>
          </cell>
          <cell r="G1808">
            <v>23870680773</v>
          </cell>
        </row>
        <row r="1809">
          <cell r="C1809" t="str">
            <v>DE0005190003</v>
          </cell>
          <cell r="G1809">
            <v>23870680773</v>
          </cell>
        </row>
        <row r="1810">
          <cell r="C1810" t="str">
            <v>DE0005190003</v>
          </cell>
          <cell r="G1810">
            <v>23870680773</v>
          </cell>
        </row>
        <row r="1811">
          <cell r="C1811" t="str">
            <v>DE0005190003</v>
          </cell>
          <cell r="G1811">
            <v>23870680773</v>
          </cell>
        </row>
        <row r="1812">
          <cell r="C1812" t="str">
            <v>DE0005190003</v>
          </cell>
          <cell r="G1812">
            <v>23870680773</v>
          </cell>
        </row>
        <row r="1813">
          <cell r="C1813" t="str">
            <v>DE0005190003</v>
          </cell>
          <cell r="G1813">
            <v>23870680773</v>
          </cell>
        </row>
        <row r="1814">
          <cell r="C1814" t="str">
            <v>DE0005190003</v>
          </cell>
          <cell r="G1814">
            <v>23870680773</v>
          </cell>
        </row>
        <row r="1815">
          <cell r="C1815" t="str">
            <v>DE0005190003</v>
          </cell>
          <cell r="G1815">
            <v>23870680773</v>
          </cell>
        </row>
        <row r="1816">
          <cell r="C1816" t="str">
            <v>DE0005190003</v>
          </cell>
          <cell r="G1816">
            <v>23870680773</v>
          </cell>
        </row>
        <row r="1817">
          <cell r="C1817" t="str">
            <v>DE0005190003</v>
          </cell>
          <cell r="G1817">
            <v>23870680773</v>
          </cell>
        </row>
        <row r="1818">
          <cell r="C1818" t="str">
            <v>DE0005190003</v>
          </cell>
          <cell r="G1818">
            <v>23870680773</v>
          </cell>
        </row>
        <row r="1819">
          <cell r="C1819" t="str">
            <v>DE0005190003</v>
          </cell>
          <cell r="G1819">
            <v>23870680773</v>
          </cell>
        </row>
        <row r="1820">
          <cell r="C1820" t="str">
            <v>DE0005190003</v>
          </cell>
          <cell r="G1820">
            <v>23870680773</v>
          </cell>
        </row>
        <row r="1821">
          <cell r="C1821" t="str">
            <v>DE0005190003</v>
          </cell>
          <cell r="G1821">
            <v>23870680773</v>
          </cell>
        </row>
        <row r="1822">
          <cell r="C1822" t="str">
            <v>NL0000334118</v>
          </cell>
          <cell r="G1822">
            <v>23445858864.400002</v>
          </cell>
        </row>
        <row r="1823">
          <cell r="C1823" t="str">
            <v>NL0000334118</v>
          </cell>
          <cell r="G1823">
            <v>23445858864.400002</v>
          </cell>
        </row>
        <row r="1824">
          <cell r="C1824" t="str">
            <v>NL0000334118</v>
          </cell>
          <cell r="G1824">
            <v>23445858864.400002</v>
          </cell>
        </row>
        <row r="1825">
          <cell r="C1825" t="str">
            <v>NL0000334118</v>
          </cell>
          <cell r="G1825">
            <v>23445858864.400002</v>
          </cell>
        </row>
        <row r="1826">
          <cell r="C1826" t="str">
            <v>NL0000334118</v>
          </cell>
          <cell r="G1826">
            <v>23445858864.400002</v>
          </cell>
        </row>
        <row r="1827">
          <cell r="C1827" t="str">
            <v>NL0000334118</v>
          </cell>
          <cell r="G1827">
            <v>23445858864.400002</v>
          </cell>
        </row>
        <row r="1828">
          <cell r="C1828" t="str">
            <v>NL0000334118</v>
          </cell>
          <cell r="G1828">
            <v>23445858864.400002</v>
          </cell>
        </row>
        <row r="1829">
          <cell r="C1829" t="str">
            <v>NL0000334118</v>
          </cell>
          <cell r="G1829">
            <v>23445858864.400002</v>
          </cell>
        </row>
        <row r="1830">
          <cell r="C1830" t="str">
            <v>NL0000334118</v>
          </cell>
          <cell r="G1830">
            <v>23445858864.400002</v>
          </cell>
        </row>
        <row r="1831">
          <cell r="C1831" t="str">
            <v>NL0000334118</v>
          </cell>
          <cell r="G1831">
            <v>23445858864.400002</v>
          </cell>
        </row>
        <row r="1832">
          <cell r="C1832" t="str">
            <v>NL0000334118</v>
          </cell>
          <cell r="G1832">
            <v>23445858864.400002</v>
          </cell>
        </row>
        <row r="1833">
          <cell r="C1833" t="str">
            <v>NL0000334118</v>
          </cell>
          <cell r="G1833">
            <v>23445858864.400002</v>
          </cell>
        </row>
        <row r="1834">
          <cell r="C1834" t="str">
            <v>NL0000334118</v>
          </cell>
          <cell r="G1834">
            <v>23445858864.400002</v>
          </cell>
        </row>
        <row r="1835">
          <cell r="C1835" t="str">
            <v>NL0000334118</v>
          </cell>
          <cell r="G1835">
            <v>23445858864.400002</v>
          </cell>
        </row>
        <row r="1836">
          <cell r="C1836" t="str">
            <v>FI0009013403</v>
          </cell>
          <cell r="G1836">
            <v>22134112616.330002</v>
          </cell>
        </row>
        <row r="1837">
          <cell r="C1837" t="str">
            <v>FI0009013403</v>
          </cell>
          <cell r="G1837">
            <v>22134112616.330002</v>
          </cell>
        </row>
        <row r="1838">
          <cell r="C1838" t="str">
            <v>FI0009013403</v>
          </cell>
          <cell r="G1838">
            <v>22134112616.330002</v>
          </cell>
        </row>
        <row r="1839">
          <cell r="C1839" t="str">
            <v>FI0009013403</v>
          </cell>
          <cell r="G1839">
            <v>22134112616.330002</v>
          </cell>
        </row>
        <row r="1840">
          <cell r="C1840" t="str">
            <v>FI0009013403</v>
          </cell>
          <cell r="G1840">
            <v>22134112616.330002</v>
          </cell>
        </row>
        <row r="1841">
          <cell r="C1841" t="str">
            <v>FI0009013403</v>
          </cell>
          <cell r="G1841">
            <v>22134112616.330002</v>
          </cell>
        </row>
        <row r="1842">
          <cell r="C1842" t="str">
            <v>FI0009013403</v>
          </cell>
          <cell r="G1842">
            <v>22134112616.330002</v>
          </cell>
        </row>
        <row r="1843">
          <cell r="C1843" t="str">
            <v>FI0009013403</v>
          </cell>
          <cell r="G1843">
            <v>22134112616.330002</v>
          </cell>
        </row>
        <row r="1844">
          <cell r="C1844" t="str">
            <v>FI0009013403</v>
          </cell>
          <cell r="G1844">
            <v>22134112616.330002</v>
          </cell>
        </row>
        <row r="1845">
          <cell r="C1845" t="str">
            <v>FI0009013403</v>
          </cell>
          <cell r="G1845">
            <v>22134112616.330002</v>
          </cell>
        </row>
        <row r="1846">
          <cell r="C1846" t="str">
            <v>FI0009013403</v>
          </cell>
          <cell r="G1846">
            <v>22134112616.330002</v>
          </cell>
        </row>
        <row r="1847">
          <cell r="C1847" t="str">
            <v>FI0009013403</v>
          </cell>
          <cell r="G1847">
            <v>22134112616.330002</v>
          </cell>
        </row>
        <row r="1848">
          <cell r="C1848" t="str">
            <v>FI0009013403</v>
          </cell>
          <cell r="G1848">
            <v>22134112616.330002</v>
          </cell>
        </row>
        <row r="1849">
          <cell r="C1849" t="str">
            <v>FI0009013403</v>
          </cell>
          <cell r="G1849">
            <v>22134112616.330002</v>
          </cell>
        </row>
        <row r="1850">
          <cell r="C1850" t="str">
            <v>FR0000121485</v>
          </cell>
          <cell r="G1850">
            <v>21934340666.16</v>
          </cell>
        </row>
        <row r="1851">
          <cell r="C1851" t="str">
            <v>FR0000121485</v>
          </cell>
          <cell r="G1851">
            <v>21934340666.16</v>
          </cell>
        </row>
        <row r="1852">
          <cell r="C1852" t="str">
            <v>FR0000121485</v>
          </cell>
          <cell r="G1852">
            <v>21934340666.16</v>
          </cell>
        </row>
        <row r="1853">
          <cell r="C1853" t="str">
            <v>FR0000121485</v>
          </cell>
          <cell r="G1853">
            <v>21934340666.16</v>
          </cell>
        </row>
        <row r="1854">
          <cell r="C1854" t="str">
            <v>FR0000121485</v>
          </cell>
          <cell r="G1854">
            <v>21934340666.16</v>
          </cell>
        </row>
        <row r="1855">
          <cell r="C1855" t="str">
            <v>FR0000121485</v>
          </cell>
          <cell r="G1855">
            <v>21934340666.16</v>
          </cell>
        </row>
        <row r="1856">
          <cell r="C1856" t="str">
            <v>FR0000121485</v>
          </cell>
          <cell r="G1856">
            <v>21934340666.16</v>
          </cell>
        </row>
        <row r="1857">
          <cell r="C1857" t="str">
            <v>FR0000121485</v>
          </cell>
          <cell r="G1857">
            <v>21934340666.16</v>
          </cell>
        </row>
        <row r="1858">
          <cell r="C1858" t="str">
            <v>FR0000121485</v>
          </cell>
          <cell r="G1858">
            <v>21934340666.16</v>
          </cell>
        </row>
        <row r="1859">
          <cell r="C1859" t="str">
            <v>FR0000121485</v>
          </cell>
          <cell r="G1859">
            <v>21934340666.16</v>
          </cell>
        </row>
        <row r="1860">
          <cell r="C1860" t="str">
            <v>FR0000121485</v>
          </cell>
          <cell r="G1860">
            <v>21934340666.16</v>
          </cell>
        </row>
        <row r="1861">
          <cell r="C1861" t="str">
            <v>FR0000121485</v>
          </cell>
          <cell r="G1861">
            <v>21934340666.16</v>
          </cell>
        </row>
        <row r="1862">
          <cell r="C1862" t="str">
            <v>FR0000121485</v>
          </cell>
          <cell r="G1862">
            <v>21934340666.16</v>
          </cell>
        </row>
        <row r="1863">
          <cell r="C1863" t="str">
            <v>FR0000121485</v>
          </cell>
          <cell r="G1863">
            <v>21934340666.16</v>
          </cell>
        </row>
        <row r="1864">
          <cell r="C1864" t="str">
            <v>NL0000395903</v>
          </cell>
          <cell r="G1864">
            <v>21568198352.279999</v>
          </cell>
        </row>
        <row r="1865">
          <cell r="C1865" t="str">
            <v>NL0000395903</v>
          </cell>
          <cell r="G1865">
            <v>21568198352.279999</v>
          </cell>
        </row>
        <row r="1866">
          <cell r="C1866" t="str">
            <v>NL0000395903</v>
          </cell>
          <cell r="G1866">
            <v>21568198352.279999</v>
          </cell>
        </row>
        <row r="1867">
          <cell r="C1867" t="str">
            <v>NL0000395903</v>
          </cell>
          <cell r="G1867">
            <v>21568198352.279999</v>
          </cell>
        </row>
        <row r="1868">
          <cell r="C1868" t="str">
            <v>NL0000395903</v>
          </cell>
          <cell r="G1868">
            <v>21568198352.279999</v>
          </cell>
        </row>
        <row r="1869">
          <cell r="C1869" t="str">
            <v>NL0000395903</v>
          </cell>
          <cell r="G1869">
            <v>21568198352.279999</v>
          </cell>
        </row>
        <row r="1870">
          <cell r="C1870" t="str">
            <v>NL0000395903</v>
          </cell>
          <cell r="G1870">
            <v>21568198352.279999</v>
          </cell>
        </row>
        <row r="1871">
          <cell r="C1871" t="str">
            <v>NL0000395903</v>
          </cell>
          <cell r="G1871">
            <v>21568198352.279999</v>
          </cell>
        </row>
        <row r="1872">
          <cell r="C1872" t="str">
            <v>NL0000395903</v>
          </cell>
          <cell r="G1872">
            <v>21568198352.279999</v>
          </cell>
        </row>
        <row r="1873">
          <cell r="C1873" t="str">
            <v>NL0000395903</v>
          </cell>
          <cell r="G1873">
            <v>21568198352.279999</v>
          </cell>
        </row>
        <row r="1874">
          <cell r="C1874" t="str">
            <v>NL0000395903</v>
          </cell>
          <cell r="G1874">
            <v>21568198352.279999</v>
          </cell>
        </row>
        <row r="1875">
          <cell r="C1875" t="str">
            <v>NL0000395903</v>
          </cell>
          <cell r="G1875">
            <v>21568198352.279999</v>
          </cell>
        </row>
        <row r="1876">
          <cell r="C1876" t="str">
            <v>NL0000395903</v>
          </cell>
          <cell r="G1876">
            <v>21568198352.279999</v>
          </cell>
        </row>
        <row r="1877">
          <cell r="C1877" t="str">
            <v>NL0000395903</v>
          </cell>
          <cell r="G1877">
            <v>21568198352.279999</v>
          </cell>
        </row>
        <row r="1878">
          <cell r="C1878" t="str">
            <v>DE000CBK1001</v>
          </cell>
          <cell r="G1878">
            <v>21539687404.799999</v>
          </cell>
        </row>
        <row r="1879">
          <cell r="C1879" t="str">
            <v>DE000CBK1001</v>
          </cell>
          <cell r="G1879">
            <v>21539687404.799999</v>
          </cell>
        </row>
        <row r="1880">
          <cell r="C1880" t="str">
            <v>DE000CBK1001</v>
          </cell>
          <cell r="G1880">
            <v>21539687404.799999</v>
          </cell>
        </row>
        <row r="1881">
          <cell r="C1881" t="str">
            <v>DE000CBK1001</v>
          </cell>
          <cell r="G1881">
            <v>21539687404.799999</v>
          </cell>
        </row>
        <row r="1882">
          <cell r="C1882" t="str">
            <v>DE000CBK1001</v>
          </cell>
          <cell r="G1882">
            <v>21539687404.799999</v>
          </cell>
        </row>
        <row r="1883">
          <cell r="C1883" t="str">
            <v>DE000CBK1001</v>
          </cell>
          <cell r="G1883">
            <v>21539687404.799999</v>
          </cell>
        </row>
        <row r="1884">
          <cell r="C1884" t="str">
            <v>DE000CBK1001</v>
          </cell>
          <cell r="G1884">
            <v>21539687404.799999</v>
          </cell>
        </row>
        <row r="1885">
          <cell r="C1885" t="str">
            <v>DE000CBK1001</v>
          </cell>
          <cell r="G1885">
            <v>21539687404.799999</v>
          </cell>
        </row>
        <row r="1886">
          <cell r="C1886" t="str">
            <v>DE000CBK1001</v>
          </cell>
          <cell r="G1886">
            <v>21539687404.799999</v>
          </cell>
        </row>
        <row r="1887">
          <cell r="C1887" t="str">
            <v>DE000CBK1001</v>
          </cell>
          <cell r="G1887">
            <v>21539687404.799999</v>
          </cell>
        </row>
        <row r="1888">
          <cell r="C1888" t="str">
            <v>DE000CBK1001</v>
          </cell>
          <cell r="G1888">
            <v>21539687404.799999</v>
          </cell>
        </row>
        <row r="1889">
          <cell r="C1889" t="str">
            <v>DE000CBK1001</v>
          </cell>
          <cell r="G1889">
            <v>21539687404.799999</v>
          </cell>
        </row>
        <row r="1890">
          <cell r="C1890" t="str">
            <v>DE000CBK1001</v>
          </cell>
          <cell r="G1890">
            <v>21539687404.799999</v>
          </cell>
        </row>
        <row r="1891">
          <cell r="C1891" t="str">
            <v>DE000CBK1001</v>
          </cell>
          <cell r="G1891">
            <v>21539687404.799999</v>
          </cell>
        </row>
        <row r="1892">
          <cell r="C1892" t="str">
            <v>FR0000121329</v>
          </cell>
          <cell r="G1892">
            <v>21027699026.865002</v>
          </cell>
        </row>
        <row r="1893">
          <cell r="C1893" t="str">
            <v>FR0000121329</v>
          </cell>
          <cell r="G1893">
            <v>21027699026.865002</v>
          </cell>
        </row>
        <row r="1894">
          <cell r="C1894" t="str">
            <v>FR0000121329</v>
          </cell>
          <cell r="G1894">
            <v>21027699026.865002</v>
          </cell>
        </row>
        <row r="1895">
          <cell r="C1895" t="str">
            <v>FR0000121329</v>
          </cell>
          <cell r="G1895">
            <v>21027699026.865002</v>
          </cell>
        </row>
        <row r="1896">
          <cell r="C1896" t="str">
            <v>FR0000121329</v>
          </cell>
          <cell r="G1896">
            <v>21027699026.865002</v>
          </cell>
        </row>
        <row r="1897">
          <cell r="C1897" t="str">
            <v>FR0000121329</v>
          </cell>
          <cell r="G1897">
            <v>21027699026.865002</v>
          </cell>
        </row>
        <row r="1898">
          <cell r="C1898" t="str">
            <v>FR0000121329</v>
          </cell>
          <cell r="G1898">
            <v>21027699026.865002</v>
          </cell>
        </row>
        <row r="1899">
          <cell r="C1899" t="str">
            <v>FR0000121329</v>
          </cell>
          <cell r="G1899">
            <v>21027699026.865002</v>
          </cell>
        </row>
        <row r="1900">
          <cell r="C1900" t="str">
            <v>FR0000121329</v>
          </cell>
          <cell r="G1900">
            <v>21027699026.865002</v>
          </cell>
        </row>
        <row r="1901">
          <cell r="C1901" t="str">
            <v>FR0000121329</v>
          </cell>
          <cell r="G1901">
            <v>21027699026.865002</v>
          </cell>
        </row>
        <row r="1902">
          <cell r="C1902" t="str">
            <v>FR0000121329</v>
          </cell>
          <cell r="G1902">
            <v>21027699026.865002</v>
          </cell>
        </row>
        <row r="1903">
          <cell r="C1903" t="str">
            <v>FR0000121329</v>
          </cell>
          <cell r="G1903">
            <v>21027699026.865002</v>
          </cell>
        </row>
        <row r="1904">
          <cell r="C1904" t="str">
            <v>FR0000121329</v>
          </cell>
          <cell r="G1904">
            <v>21027699026.865002</v>
          </cell>
        </row>
        <row r="1905">
          <cell r="C1905" t="str">
            <v>FR0000121329</v>
          </cell>
          <cell r="G1905">
            <v>21027699026.865002</v>
          </cell>
        </row>
        <row r="1906">
          <cell r="C1906" t="str">
            <v>FR0000121329</v>
          </cell>
          <cell r="G1906">
            <v>21027699026.865002</v>
          </cell>
        </row>
        <row r="1907">
          <cell r="C1907" t="str">
            <v>FR0000121329</v>
          </cell>
          <cell r="G1907">
            <v>21027699026.865002</v>
          </cell>
        </row>
        <row r="1908">
          <cell r="C1908" t="str">
            <v>FR0000121329</v>
          </cell>
          <cell r="G1908">
            <v>21027699026.865002</v>
          </cell>
        </row>
        <row r="1909">
          <cell r="C1909" t="str">
            <v>NL0000009165</v>
          </cell>
          <cell r="G1909">
            <v>20355932343.419998</v>
          </cell>
        </row>
        <row r="1910">
          <cell r="C1910" t="str">
            <v>NL0000009165</v>
          </cell>
          <cell r="G1910">
            <v>20355932343.419998</v>
          </cell>
        </row>
        <row r="1911">
          <cell r="C1911" t="str">
            <v>NL0000009165</v>
          </cell>
          <cell r="G1911">
            <v>20355932343.419998</v>
          </cell>
        </row>
        <row r="1912">
          <cell r="C1912" t="str">
            <v>NL0000009165</v>
          </cell>
          <cell r="G1912">
            <v>20355932343.419998</v>
          </cell>
        </row>
        <row r="1913">
          <cell r="C1913" t="str">
            <v>NL0000009165</v>
          </cell>
          <cell r="G1913">
            <v>20355932343.419998</v>
          </cell>
        </row>
        <row r="1914">
          <cell r="C1914" t="str">
            <v>NL0000009165</v>
          </cell>
          <cell r="G1914">
            <v>20355932343.419998</v>
          </cell>
        </row>
        <row r="1915">
          <cell r="C1915" t="str">
            <v>NL0000009165</v>
          </cell>
          <cell r="G1915">
            <v>20355932343.419998</v>
          </cell>
        </row>
        <row r="1916">
          <cell r="C1916" t="str">
            <v>NL0000009165</v>
          </cell>
          <cell r="G1916">
            <v>20355932343.419998</v>
          </cell>
        </row>
        <row r="1917">
          <cell r="C1917" t="str">
            <v>NL0000009165</v>
          </cell>
          <cell r="G1917">
            <v>20355932343.419998</v>
          </cell>
        </row>
        <row r="1918">
          <cell r="C1918" t="str">
            <v>NL0000009165</v>
          </cell>
          <cell r="G1918">
            <v>20355932343.419998</v>
          </cell>
        </row>
        <row r="1919">
          <cell r="C1919" t="str">
            <v>NL0000009165</v>
          </cell>
          <cell r="G1919">
            <v>20355932343.419998</v>
          </cell>
        </row>
        <row r="1920">
          <cell r="C1920" t="str">
            <v>NL0000009165</v>
          </cell>
          <cell r="G1920">
            <v>20355932343.419998</v>
          </cell>
        </row>
        <row r="1921">
          <cell r="C1921" t="str">
            <v>NL0000009165</v>
          </cell>
          <cell r="G1921">
            <v>20355932343.419998</v>
          </cell>
        </row>
        <row r="1922">
          <cell r="C1922" t="str">
            <v>NL0000009165</v>
          </cell>
          <cell r="G1922">
            <v>20355932343.419998</v>
          </cell>
        </row>
        <row r="1923">
          <cell r="C1923" t="str">
            <v>FR0000130577</v>
          </cell>
          <cell r="G1923">
            <v>20318246054.700001</v>
          </cell>
        </row>
        <row r="1924">
          <cell r="C1924" t="str">
            <v>FR0000130577</v>
          </cell>
          <cell r="G1924">
            <v>20318246054.700001</v>
          </cell>
        </row>
        <row r="1925">
          <cell r="C1925" t="str">
            <v>FR0000130577</v>
          </cell>
          <cell r="G1925">
            <v>20318246054.700001</v>
          </cell>
        </row>
        <row r="1926">
          <cell r="C1926" t="str">
            <v>FR0000130577</v>
          </cell>
          <cell r="G1926">
            <v>20318246054.700001</v>
          </cell>
        </row>
        <row r="1927">
          <cell r="C1927" t="str">
            <v>FR0000130577</v>
          </cell>
          <cell r="G1927">
            <v>20318246054.700001</v>
          </cell>
        </row>
        <row r="1928">
          <cell r="C1928" t="str">
            <v>FR0000130577</v>
          </cell>
          <cell r="G1928">
            <v>20318246054.700001</v>
          </cell>
        </row>
        <row r="1929">
          <cell r="C1929" t="str">
            <v>FR0000130577</v>
          </cell>
          <cell r="G1929">
            <v>20318246054.700001</v>
          </cell>
        </row>
        <row r="1930">
          <cell r="C1930" t="str">
            <v>FR0000130577</v>
          </cell>
          <cell r="G1930">
            <v>20318246054.700001</v>
          </cell>
        </row>
        <row r="1931">
          <cell r="C1931" t="str">
            <v>FR0000130577</v>
          </cell>
          <cell r="G1931">
            <v>20318246054.700001</v>
          </cell>
        </row>
        <row r="1932">
          <cell r="C1932" t="str">
            <v>FR0000130577</v>
          </cell>
          <cell r="G1932">
            <v>20318246054.700001</v>
          </cell>
        </row>
        <row r="1933">
          <cell r="C1933" t="str">
            <v>FR0000130577</v>
          </cell>
          <cell r="G1933">
            <v>20318246054.700001</v>
          </cell>
        </row>
        <row r="1934">
          <cell r="C1934" t="str">
            <v>FR0000130577</v>
          </cell>
          <cell r="G1934">
            <v>20318246054.700001</v>
          </cell>
        </row>
        <row r="1935">
          <cell r="C1935" t="str">
            <v>FR0000130577</v>
          </cell>
          <cell r="G1935">
            <v>20318246054.700001</v>
          </cell>
        </row>
        <row r="1936">
          <cell r="C1936" t="str">
            <v>FR0000130577</v>
          </cell>
          <cell r="G1936">
            <v>20318246054.700001</v>
          </cell>
        </row>
        <row r="1937">
          <cell r="C1937" t="str">
            <v>DE0005785604</v>
          </cell>
          <cell r="G1937">
            <v>19828769146.5</v>
          </cell>
        </row>
        <row r="1938">
          <cell r="C1938" t="str">
            <v>DE0005785604</v>
          </cell>
          <cell r="G1938">
            <v>19828769146.5</v>
          </cell>
        </row>
        <row r="1939">
          <cell r="C1939" t="str">
            <v>DE0005785604</v>
          </cell>
          <cell r="G1939">
            <v>19828769146.5</v>
          </cell>
        </row>
        <row r="1940">
          <cell r="C1940" t="str">
            <v>DE0005785604</v>
          </cell>
          <cell r="G1940">
            <v>19828769146.5</v>
          </cell>
        </row>
        <row r="1941">
          <cell r="C1941" t="str">
            <v>DE0005785604</v>
          </cell>
          <cell r="G1941">
            <v>19828769146.5</v>
          </cell>
        </row>
        <row r="1942">
          <cell r="C1942" t="str">
            <v>DE0005785604</v>
          </cell>
          <cell r="G1942">
            <v>19828769146.5</v>
          </cell>
        </row>
        <row r="1943">
          <cell r="C1943" t="str">
            <v>DE0005785604</v>
          </cell>
          <cell r="G1943">
            <v>19828769146.5</v>
          </cell>
        </row>
        <row r="1944">
          <cell r="C1944" t="str">
            <v>DE0005785604</v>
          </cell>
          <cell r="G1944">
            <v>19828769146.5</v>
          </cell>
        </row>
        <row r="1945">
          <cell r="C1945" t="str">
            <v>DE0005785604</v>
          </cell>
          <cell r="G1945">
            <v>19828769146.5</v>
          </cell>
        </row>
        <row r="1946">
          <cell r="C1946" t="str">
            <v>DE0005785604</v>
          </cell>
          <cell r="G1946">
            <v>19828769146.5</v>
          </cell>
        </row>
        <row r="1947">
          <cell r="C1947" t="str">
            <v>DE0005785604</v>
          </cell>
          <cell r="G1947">
            <v>19828769146.5</v>
          </cell>
        </row>
        <row r="1948">
          <cell r="C1948" t="str">
            <v>DE0005785604</v>
          </cell>
          <cell r="G1948">
            <v>19828769146.5</v>
          </cell>
        </row>
        <row r="1949">
          <cell r="C1949" t="str">
            <v>DE0005785604</v>
          </cell>
          <cell r="G1949">
            <v>19828769146.5</v>
          </cell>
        </row>
        <row r="1950">
          <cell r="C1950" t="str">
            <v>DE0005785604</v>
          </cell>
          <cell r="G1950">
            <v>19828769146.5</v>
          </cell>
        </row>
        <row r="1951">
          <cell r="C1951" t="str">
            <v>FR001400AJ45</v>
          </cell>
          <cell r="G1951">
            <v>19652832093.419998</v>
          </cell>
        </row>
        <row r="1952">
          <cell r="C1952" t="str">
            <v>FR001400AJ45</v>
          </cell>
          <cell r="G1952">
            <v>19652832093.419998</v>
          </cell>
        </row>
        <row r="1953">
          <cell r="C1953" t="str">
            <v>FR001400AJ45</v>
          </cell>
          <cell r="G1953">
            <v>19652832093.419998</v>
          </cell>
        </row>
        <row r="1954">
          <cell r="C1954" t="str">
            <v>FR001400AJ45</v>
          </cell>
          <cell r="G1954">
            <v>19652832093.419998</v>
          </cell>
        </row>
        <row r="1955">
          <cell r="C1955" t="str">
            <v>FR001400AJ45</v>
          </cell>
          <cell r="G1955">
            <v>19652832093.419998</v>
          </cell>
        </row>
        <row r="1956">
          <cell r="C1956" t="str">
            <v>FR001400AJ45</v>
          </cell>
          <cell r="G1956">
            <v>19652832093.419998</v>
          </cell>
        </row>
        <row r="1957">
          <cell r="C1957" t="str">
            <v>FR001400AJ45</v>
          </cell>
          <cell r="G1957">
            <v>19652832093.419998</v>
          </cell>
        </row>
        <row r="1958">
          <cell r="C1958" t="str">
            <v>FR001400AJ45</v>
          </cell>
          <cell r="G1958">
            <v>19652832093.419998</v>
          </cell>
        </row>
        <row r="1959">
          <cell r="C1959" t="str">
            <v>FR001400AJ45</v>
          </cell>
          <cell r="G1959">
            <v>19652832093.419998</v>
          </cell>
        </row>
        <row r="1960">
          <cell r="C1960" t="str">
            <v>FR001400AJ45</v>
          </cell>
          <cell r="G1960">
            <v>19652832093.419998</v>
          </cell>
        </row>
        <row r="1961">
          <cell r="C1961" t="str">
            <v>FR001400AJ45</v>
          </cell>
          <cell r="G1961">
            <v>19652832093.419998</v>
          </cell>
        </row>
        <row r="1962">
          <cell r="C1962" t="str">
            <v>FR001400AJ45</v>
          </cell>
          <cell r="G1962">
            <v>19652832093.419998</v>
          </cell>
        </row>
        <row r="1963">
          <cell r="C1963" t="str">
            <v>FR001400AJ45</v>
          </cell>
          <cell r="G1963">
            <v>19652832093.419998</v>
          </cell>
        </row>
        <row r="1964">
          <cell r="C1964" t="str">
            <v>FR001400AJ45</v>
          </cell>
          <cell r="G1964">
            <v>19652832093.419998</v>
          </cell>
        </row>
        <row r="1965">
          <cell r="C1965" t="str">
            <v>DE0007664039</v>
          </cell>
          <cell r="G1965">
            <v>19531779276.799999</v>
          </cell>
        </row>
        <row r="1966">
          <cell r="C1966" t="str">
            <v>DE0007664039</v>
          </cell>
          <cell r="G1966">
            <v>19531779276.799999</v>
          </cell>
        </row>
        <row r="1967">
          <cell r="C1967" t="str">
            <v>DE0007664039</v>
          </cell>
          <cell r="G1967">
            <v>19531779276.799999</v>
          </cell>
        </row>
        <row r="1968">
          <cell r="C1968" t="str">
            <v>DE0007664039</v>
          </cell>
          <cell r="G1968">
            <v>19531779276.799999</v>
          </cell>
        </row>
        <row r="1969">
          <cell r="C1969" t="str">
            <v>DE0007664039</v>
          </cell>
          <cell r="G1969">
            <v>19531779276.799999</v>
          </cell>
        </row>
        <row r="1970">
          <cell r="C1970" t="str">
            <v>DE0007664039</v>
          </cell>
          <cell r="G1970">
            <v>19531779276.799999</v>
          </cell>
        </row>
        <row r="1971">
          <cell r="C1971" t="str">
            <v>DE0007664039</v>
          </cell>
          <cell r="G1971">
            <v>19531779276.799999</v>
          </cell>
        </row>
        <row r="1972">
          <cell r="C1972" t="str">
            <v>DE0007664039</v>
          </cell>
          <cell r="G1972">
            <v>19531779276.799999</v>
          </cell>
        </row>
        <row r="1973">
          <cell r="C1973" t="str">
            <v>DE0007664039</v>
          </cell>
          <cell r="G1973">
            <v>19531779276.799999</v>
          </cell>
        </row>
        <row r="1974">
          <cell r="C1974" t="str">
            <v>DE0007664039</v>
          </cell>
          <cell r="G1974">
            <v>19531779276.799999</v>
          </cell>
        </row>
        <row r="1975">
          <cell r="C1975" t="str">
            <v>DE0007664039</v>
          </cell>
          <cell r="G1975">
            <v>19531779276.799999</v>
          </cell>
        </row>
        <row r="1976">
          <cell r="C1976" t="str">
            <v>DE0007664039</v>
          </cell>
          <cell r="G1976">
            <v>19531779276.799999</v>
          </cell>
        </row>
        <row r="1977">
          <cell r="C1977" t="str">
            <v>DE0007664039</v>
          </cell>
          <cell r="G1977">
            <v>19531779276.799999</v>
          </cell>
        </row>
        <row r="1978">
          <cell r="C1978" t="str">
            <v>DE0007664039</v>
          </cell>
          <cell r="G1978">
            <v>19531779276.799999</v>
          </cell>
        </row>
        <row r="1979">
          <cell r="C1979" t="str">
            <v>DE0007664039</v>
          </cell>
          <cell r="G1979">
            <v>19531779276.799999</v>
          </cell>
        </row>
        <row r="1980">
          <cell r="C1980" t="str">
            <v>DE0007664039</v>
          </cell>
          <cell r="G1980">
            <v>19531779276.799999</v>
          </cell>
        </row>
        <row r="1981">
          <cell r="C1981" t="str">
            <v>DE0007664039</v>
          </cell>
          <cell r="G1981">
            <v>19531779276.799999</v>
          </cell>
        </row>
        <row r="1982">
          <cell r="C1982" t="str">
            <v>FR0000125338</v>
          </cell>
          <cell r="G1982">
            <v>19152363571.025002</v>
          </cell>
        </row>
        <row r="1983">
          <cell r="C1983" t="str">
            <v>FR0000125338</v>
          </cell>
          <cell r="G1983">
            <v>19152363571.025002</v>
          </cell>
        </row>
        <row r="1984">
          <cell r="C1984" t="str">
            <v>FR0000125338</v>
          </cell>
          <cell r="G1984">
            <v>19152363571.025002</v>
          </cell>
        </row>
        <row r="1985">
          <cell r="C1985" t="str">
            <v>FR0000125338</v>
          </cell>
          <cell r="G1985">
            <v>19152363571.025002</v>
          </cell>
        </row>
        <row r="1986">
          <cell r="C1986" t="str">
            <v>FR0000125338</v>
          </cell>
          <cell r="G1986">
            <v>19152363571.025002</v>
          </cell>
        </row>
        <row r="1987">
          <cell r="C1987" t="str">
            <v>FR0000125338</v>
          </cell>
          <cell r="G1987">
            <v>19152363571.025002</v>
          </cell>
        </row>
        <row r="1988">
          <cell r="C1988" t="str">
            <v>FR0000125338</v>
          </cell>
          <cell r="G1988">
            <v>19152363571.025002</v>
          </cell>
        </row>
        <row r="1989">
          <cell r="C1989" t="str">
            <v>FR0000125338</v>
          </cell>
          <cell r="G1989">
            <v>19152363571.025002</v>
          </cell>
        </row>
        <row r="1990">
          <cell r="C1990" t="str">
            <v>FR0000125338</v>
          </cell>
          <cell r="G1990">
            <v>19152363571.025002</v>
          </cell>
        </row>
        <row r="1991">
          <cell r="C1991" t="str">
            <v>FR0000125338</v>
          </cell>
          <cell r="G1991">
            <v>19152363571.025002</v>
          </cell>
        </row>
        <row r="1992">
          <cell r="C1992" t="str">
            <v>FR0000125338</v>
          </cell>
          <cell r="G1992">
            <v>19152363571.025002</v>
          </cell>
        </row>
        <row r="1993">
          <cell r="C1993" t="str">
            <v>FR0000125338</v>
          </cell>
          <cell r="G1993">
            <v>19152363571.025002</v>
          </cell>
        </row>
        <row r="1994">
          <cell r="C1994" t="str">
            <v>FR0000125338</v>
          </cell>
          <cell r="G1994">
            <v>19152363571.025002</v>
          </cell>
        </row>
        <row r="1995">
          <cell r="C1995" t="str">
            <v>FR0000125338</v>
          </cell>
          <cell r="G1995">
            <v>19152363571.025002</v>
          </cell>
        </row>
        <row r="1996">
          <cell r="C1996" t="str">
            <v>DE000A1ML7J1</v>
          </cell>
          <cell r="G1996">
            <v>18772080026.775002</v>
          </cell>
        </row>
        <row r="1997">
          <cell r="C1997" t="str">
            <v>DE000A1ML7J1</v>
          </cell>
          <cell r="G1997">
            <v>18772080026.775002</v>
          </cell>
        </row>
        <row r="1998">
          <cell r="C1998" t="str">
            <v>DE000A1ML7J1</v>
          </cell>
          <cell r="G1998">
            <v>18772080026.775002</v>
          </cell>
        </row>
        <row r="1999">
          <cell r="C1999" t="str">
            <v>DE000A1ML7J1</v>
          </cell>
          <cell r="G1999">
            <v>18772080026.775002</v>
          </cell>
        </row>
        <row r="2000">
          <cell r="C2000" t="str">
            <v>DE000A1ML7J1</v>
          </cell>
          <cell r="G2000">
            <v>18772080026.775002</v>
          </cell>
        </row>
        <row r="2001">
          <cell r="C2001" t="str">
            <v>DE000A1ML7J1</v>
          </cell>
          <cell r="G2001">
            <v>18772080026.775002</v>
          </cell>
        </row>
        <row r="2002">
          <cell r="C2002" t="str">
            <v>DE000A1ML7J1</v>
          </cell>
          <cell r="G2002">
            <v>18772080026.775002</v>
          </cell>
        </row>
        <row r="2003">
          <cell r="C2003" t="str">
            <v>DE000A1ML7J1</v>
          </cell>
          <cell r="G2003">
            <v>18772080026.775002</v>
          </cell>
        </row>
        <row r="2004">
          <cell r="C2004" t="str">
            <v>DE000A1ML7J1</v>
          </cell>
          <cell r="G2004">
            <v>18772080026.775002</v>
          </cell>
        </row>
        <row r="2005">
          <cell r="C2005" t="str">
            <v>DE000A1ML7J1</v>
          </cell>
          <cell r="G2005">
            <v>18772080026.775002</v>
          </cell>
        </row>
        <row r="2006">
          <cell r="C2006" t="str">
            <v>DE000A1ML7J1</v>
          </cell>
          <cell r="G2006">
            <v>18772080026.775002</v>
          </cell>
        </row>
        <row r="2007">
          <cell r="C2007" t="str">
            <v>DE000A1ML7J1</v>
          </cell>
          <cell r="G2007">
            <v>18772080026.775002</v>
          </cell>
        </row>
        <row r="2008">
          <cell r="C2008" t="str">
            <v>DE000A1ML7J1</v>
          </cell>
          <cell r="G2008">
            <v>18772080026.775002</v>
          </cell>
        </row>
        <row r="2009">
          <cell r="C2009" t="str">
            <v>DE000A1ML7J1</v>
          </cell>
          <cell r="G2009">
            <v>18772080026.775002</v>
          </cell>
        </row>
        <row r="2010">
          <cell r="C2010" t="str">
            <v>DE000A0D9PT0</v>
          </cell>
          <cell r="G2010">
            <v>18763217214</v>
          </cell>
        </row>
        <row r="2011">
          <cell r="C2011" t="str">
            <v>DE000A0D9PT0</v>
          </cell>
          <cell r="G2011">
            <v>18763217214</v>
          </cell>
        </row>
        <row r="2012">
          <cell r="C2012" t="str">
            <v>DE000A0D9PT0</v>
          </cell>
          <cell r="G2012">
            <v>18763217214</v>
          </cell>
        </row>
        <row r="2013">
          <cell r="C2013" t="str">
            <v>DE000A0D9PT0</v>
          </cell>
          <cell r="G2013">
            <v>18763217214</v>
          </cell>
        </row>
        <row r="2014">
          <cell r="C2014" t="str">
            <v>DE000A0D9PT0</v>
          </cell>
          <cell r="G2014">
            <v>18763217214</v>
          </cell>
        </row>
        <row r="2015">
          <cell r="C2015" t="str">
            <v>DE000A0D9PT0</v>
          </cell>
          <cell r="G2015">
            <v>18763217214</v>
          </cell>
        </row>
        <row r="2016">
          <cell r="C2016" t="str">
            <v>DE000A0D9PT0</v>
          </cell>
          <cell r="G2016">
            <v>18763217214</v>
          </cell>
        </row>
        <row r="2017">
          <cell r="C2017" t="str">
            <v>DE000A0D9PT0</v>
          </cell>
          <cell r="G2017">
            <v>18763217214</v>
          </cell>
        </row>
        <row r="2018">
          <cell r="C2018" t="str">
            <v>DE000A0D9PT0</v>
          </cell>
          <cell r="G2018">
            <v>18763217214</v>
          </cell>
        </row>
        <row r="2019">
          <cell r="C2019" t="str">
            <v>DE000A0D9PT0</v>
          </cell>
          <cell r="G2019">
            <v>18763217214</v>
          </cell>
        </row>
        <row r="2020">
          <cell r="C2020" t="str">
            <v>DE000A0D9PT0</v>
          </cell>
          <cell r="G2020">
            <v>18763217214</v>
          </cell>
        </row>
        <row r="2021">
          <cell r="C2021" t="str">
            <v>DE000A0D9PT0</v>
          </cell>
          <cell r="G2021">
            <v>18763217214</v>
          </cell>
        </row>
        <row r="2022">
          <cell r="C2022" t="str">
            <v>DE000A0D9PT0</v>
          </cell>
          <cell r="G2022">
            <v>18763217214</v>
          </cell>
        </row>
        <row r="2023">
          <cell r="C2023" t="str">
            <v>DE000A0D9PT0</v>
          </cell>
          <cell r="G2023">
            <v>18763217214</v>
          </cell>
        </row>
        <row r="2024">
          <cell r="C2024" t="str">
            <v>DE000A0D9PT0</v>
          </cell>
          <cell r="G2024">
            <v>18763217214</v>
          </cell>
        </row>
        <row r="2025">
          <cell r="C2025" t="str">
            <v>DE000A0D9PT0</v>
          </cell>
          <cell r="G2025">
            <v>18763217214</v>
          </cell>
        </row>
        <row r="2026">
          <cell r="C2026" t="str">
            <v>DE000A0D9PT0</v>
          </cell>
          <cell r="G2026">
            <v>18763217214</v>
          </cell>
        </row>
        <row r="2027">
          <cell r="C2027" t="str">
            <v>IT0003856405</v>
          </cell>
          <cell r="G2027">
            <v>18632630930.060001</v>
          </cell>
        </row>
        <row r="2028">
          <cell r="C2028" t="str">
            <v>IT0003856405</v>
          </cell>
          <cell r="G2028">
            <v>18632630930.060001</v>
          </cell>
        </row>
        <row r="2029">
          <cell r="C2029" t="str">
            <v>IT0003856405</v>
          </cell>
          <cell r="G2029">
            <v>18632630930.060001</v>
          </cell>
        </row>
        <row r="2030">
          <cell r="C2030" t="str">
            <v>IT0003856405</v>
          </cell>
          <cell r="G2030">
            <v>18632630930.060001</v>
          </cell>
        </row>
        <row r="2031">
          <cell r="C2031" t="str">
            <v>IT0003856405</v>
          </cell>
          <cell r="G2031">
            <v>18632630930.060001</v>
          </cell>
        </row>
        <row r="2032">
          <cell r="C2032" t="str">
            <v>IT0003856405</v>
          </cell>
          <cell r="G2032">
            <v>18632630930.060001</v>
          </cell>
        </row>
        <row r="2033">
          <cell r="C2033" t="str">
            <v>IT0003856405</v>
          </cell>
          <cell r="G2033">
            <v>18632630930.060001</v>
          </cell>
        </row>
        <row r="2034">
          <cell r="C2034" t="str">
            <v>IT0003856405</v>
          </cell>
          <cell r="G2034">
            <v>18632630930.060001</v>
          </cell>
        </row>
        <row r="2035">
          <cell r="C2035" t="str">
            <v>IT0003856405</v>
          </cell>
          <cell r="G2035">
            <v>18632630930.060001</v>
          </cell>
        </row>
        <row r="2036">
          <cell r="C2036" t="str">
            <v>IT0003856405</v>
          </cell>
          <cell r="G2036">
            <v>18632630930.060001</v>
          </cell>
        </row>
        <row r="2037">
          <cell r="C2037" t="str">
            <v>IT0003856405</v>
          </cell>
          <cell r="G2037">
            <v>18632630930.060001</v>
          </cell>
        </row>
        <row r="2038">
          <cell r="C2038" t="str">
            <v>IT0003856405</v>
          </cell>
          <cell r="G2038">
            <v>18632630930.060001</v>
          </cell>
        </row>
        <row r="2039">
          <cell r="C2039" t="str">
            <v>IT0003856405</v>
          </cell>
          <cell r="G2039">
            <v>18632630930.060001</v>
          </cell>
        </row>
        <row r="2040">
          <cell r="C2040" t="str">
            <v>IT0003856405</v>
          </cell>
          <cell r="G2040">
            <v>18632630930.060001</v>
          </cell>
        </row>
        <row r="2041">
          <cell r="C2041" t="str">
            <v>IT0003856405</v>
          </cell>
          <cell r="G2041">
            <v>18632630930.060001</v>
          </cell>
        </row>
        <row r="2042">
          <cell r="C2042" t="str">
            <v>IT0003856405</v>
          </cell>
          <cell r="G2042">
            <v>18632630930.060001</v>
          </cell>
        </row>
        <row r="2043">
          <cell r="C2043" t="str">
            <v>IT0003856405</v>
          </cell>
          <cell r="G2043">
            <v>18632630930.060001</v>
          </cell>
        </row>
        <row r="2044">
          <cell r="C2044" t="str">
            <v>NL0000009538</v>
          </cell>
          <cell r="G2044">
            <v>18095195120.543999</v>
          </cell>
        </row>
        <row r="2045">
          <cell r="C2045" t="str">
            <v>NL0000009538</v>
          </cell>
          <cell r="G2045">
            <v>18095195120.543999</v>
          </cell>
        </row>
        <row r="2046">
          <cell r="C2046" t="str">
            <v>NL0000009538</v>
          </cell>
          <cell r="G2046">
            <v>18095195120.543999</v>
          </cell>
        </row>
        <row r="2047">
          <cell r="C2047" t="str">
            <v>NL0000009538</v>
          </cell>
          <cell r="G2047">
            <v>18095195120.543999</v>
          </cell>
        </row>
        <row r="2048">
          <cell r="C2048" t="str">
            <v>NL0000009538</v>
          </cell>
          <cell r="G2048">
            <v>18095195120.543999</v>
          </cell>
        </row>
        <row r="2049">
          <cell r="C2049" t="str">
            <v>NL0000009538</v>
          </cell>
          <cell r="G2049">
            <v>18095195120.543999</v>
          </cell>
        </row>
        <row r="2050">
          <cell r="C2050" t="str">
            <v>NL0000009538</v>
          </cell>
          <cell r="G2050">
            <v>18095195120.543999</v>
          </cell>
        </row>
        <row r="2051">
          <cell r="C2051" t="str">
            <v>NL0000009538</v>
          </cell>
          <cell r="G2051">
            <v>18095195120.543999</v>
          </cell>
        </row>
        <row r="2052">
          <cell r="C2052" t="str">
            <v>NL0000009538</v>
          </cell>
          <cell r="G2052">
            <v>18095195120.543999</v>
          </cell>
        </row>
        <row r="2053">
          <cell r="C2053" t="str">
            <v>NL0000009538</v>
          </cell>
          <cell r="G2053">
            <v>18095195120.543999</v>
          </cell>
        </row>
        <row r="2054">
          <cell r="C2054" t="str">
            <v>NL0000009538</v>
          </cell>
          <cell r="G2054">
            <v>18095195120.543999</v>
          </cell>
        </row>
        <row r="2055">
          <cell r="C2055" t="str">
            <v>NL0000009538</v>
          </cell>
          <cell r="G2055">
            <v>18095195120.543999</v>
          </cell>
        </row>
        <row r="2056">
          <cell r="C2056" t="str">
            <v>NL0000009538</v>
          </cell>
          <cell r="G2056">
            <v>18095195120.543999</v>
          </cell>
        </row>
        <row r="2057">
          <cell r="C2057" t="str">
            <v>NL0000009538</v>
          </cell>
          <cell r="G2057">
            <v>18095195120.543999</v>
          </cell>
        </row>
        <row r="2058">
          <cell r="C2058" t="str">
            <v>NL0000009538</v>
          </cell>
          <cell r="G2058">
            <v>18095195120.543999</v>
          </cell>
        </row>
        <row r="2059">
          <cell r="C2059" t="str">
            <v>NL0000009538</v>
          </cell>
          <cell r="G2059">
            <v>18095195120.543999</v>
          </cell>
        </row>
        <row r="2060">
          <cell r="C2060" t="str">
            <v>NL0000009538</v>
          </cell>
          <cell r="G2060">
            <v>18095195120.543999</v>
          </cell>
        </row>
        <row r="2061">
          <cell r="C2061" t="str">
            <v>FR0000124141</v>
          </cell>
          <cell r="G2061">
            <v>17968250261.325001</v>
          </cell>
        </row>
        <row r="2062">
          <cell r="C2062" t="str">
            <v>FR0000124141</v>
          </cell>
          <cell r="G2062">
            <v>17968250261.325001</v>
          </cell>
        </row>
        <row r="2063">
          <cell r="C2063" t="str">
            <v>FR0000124141</v>
          </cell>
          <cell r="G2063">
            <v>17968250261.325001</v>
          </cell>
        </row>
        <row r="2064">
          <cell r="C2064" t="str">
            <v>FR0000124141</v>
          </cell>
          <cell r="G2064">
            <v>17968250261.325001</v>
          </cell>
        </row>
        <row r="2065">
          <cell r="C2065" t="str">
            <v>FR0000124141</v>
          </cell>
          <cell r="G2065">
            <v>17968250261.325001</v>
          </cell>
        </row>
        <row r="2066">
          <cell r="C2066" t="str">
            <v>FR0000124141</v>
          </cell>
          <cell r="G2066">
            <v>17968250261.325001</v>
          </cell>
        </row>
        <row r="2067">
          <cell r="C2067" t="str">
            <v>FR0000124141</v>
          </cell>
          <cell r="G2067">
            <v>17968250261.325001</v>
          </cell>
        </row>
        <row r="2068">
          <cell r="C2068" t="str">
            <v>FR0000124141</v>
          </cell>
          <cell r="G2068">
            <v>17968250261.325001</v>
          </cell>
        </row>
        <row r="2069">
          <cell r="C2069" t="str">
            <v>FR0000124141</v>
          </cell>
          <cell r="G2069">
            <v>17968250261.325001</v>
          </cell>
        </row>
        <row r="2070">
          <cell r="C2070" t="str">
            <v>FR0000124141</v>
          </cell>
          <cell r="G2070">
            <v>17968250261.325001</v>
          </cell>
        </row>
        <row r="2071">
          <cell r="C2071" t="str">
            <v>FR0000124141</v>
          </cell>
          <cell r="G2071">
            <v>17968250261.325001</v>
          </cell>
        </row>
        <row r="2072">
          <cell r="C2072" t="str">
            <v>FR0000124141</v>
          </cell>
          <cell r="G2072">
            <v>17968250261.325001</v>
          </cell>
        </row>
        <row r="2073">
          <cell r="C2073" t="str">
            <v>FR0000124141</v>
          </cell>
          <cell r="G2073">
            <v>17968250261.325001</v>
          </cell>
        </row>
        <row r="2074">
          <cell r="C2074" t="str">
            <v>FR0000124141</v>
          </cell>
          <cell r="G2074">
            <v>17968250261.325001</v>
          </cell>
        </row>
        <row r="2075">
          <cell r="C2075" t="str">
            <v>FR0000124141</v>
          </cell>
          <cell r="G2075">
            <v>17968250261.325001</v>
          </cell>
        </row>
        <row r="2076">
          <cell r="C2076" t="str">
            <v>FR0000124141</v>
          </cell>
          <cell r="G2076">
            <v>17968250261.325001</v>
          </cell>
        </row>
        <row r="2077">
          <cell r="C2077" t="str">
            <v>FR0000124141</v>
          </cell>
          <cell r="G2077">
            <v>17968250261.325001</v>
          </cell>
        </row>
        <row r="2078">
          <cell r="C2078" t="str">
            <v>IE00BF0L3536</v>
          </cell>
          <cell r="G2078">
            <v>17916788930.43</v>
          </cell>
        </row>
        <row r="2079">
          <cell r="C2079" t="str">
            <v>IE00BF0L3536</v>
          </cell>
          <cell r="G2079">
            <v>17916788930.43</v>
          </cell>
        </row>
        <row r="2080">
          <cell r="C2080" t="str">
            <v>IE00BF0L3536</v>
          </cell>
          <cell r="G2080">
            <v>17916788930.43</v>
          </cell>
        </row>
        <row r="2081">
          <cell r="C2081" t="str">
            <v>IE00BF0L3536</v>
          </cell>
          <cell r="G2081">
            <v>17916788930.43</v>
          </cell>
        </row>
        <row r="2082">
          <cell r="C2082" t="str">
            <v>IE00BF0L3536</v>
          </cell>
          <cell r="G2082">
            <v>17916788930.43</v>
          </cell>
        </row>
        <row r="2083">
          <cell r="C2083" t="str">
            <v>IE00BF0L3536</v>
          </cell>
          <cell r="G2083">
            <v>17916788930.43</v>
          </cell>
        </row>
        <row r="2084">
          <cell r="C2084" t="str">
            <v>IE00BF0L3536</v>
          </cell>
          <cell r="G2084">
            <v>17916788930.43</v>
          </cell>
        </row>
        <row r="2085">
          <cell r="C2085" t="str">
            <v>IE00BF0L3536</v>
          </cell>
          <cell r="G2085">
            <v>17916788930.43</v>
          </cell>
        </row>
        <row r="2086">
          <cell r="C2086" t="str">
            <v>IE00BF0L3536</v>
          </cell>
          <cell r="G2086">
            <v>17916788930.43</v>
          </cell>
        </row>
        <row r="2087">
          <cell r="C2087" t="str">
            <v>IE00BF0L3536</v>
          </cell>
          <cell r="G2087">
            <v>17916788930.43</v>
          </cell>
        </row>
        <row r="2088">
          <cell r="C2088" t="str">
            <v>IE00BF0L3536</v>
          </cell>
          <cell r="G2088">
            <v>17916788930.43</v>
          </cell>
        </row>
        <row r="2089">
          <cell r="C2089" t="str">
            <v>IE00BF0L3536</v>
          </cell>
          <cell r="G2089">
            <v>17916788930.43</v>
          </cell>
        </row>
        <row r="2090">
          <cell r="C2090" t="str">
            <v>IE00BF0L3536</v>
          </cell>
          <cell r="G2090">
            <v>17916788930.43</v>
          </cell>
        </row>
        <row r="2091">
          <cell r="C2091" t="str">
            <v>IE00BF0L3536</v>
          </cell>
          <cell r="G2091">
            <v>17916788930.43</v>
          </cell>
        </row>
        <row r="2092">
          <cell r="C2092" t="str">
            <v>ES0173516115</v>
          </cell>
          <cell r="G2092">
            <v>17715445110</v>
          </cell>
        </row>
        <row r="2093">
          <cell r="C2093" t="str">
            <v>ES0173516115</v>
          </cell>
          <cell r="G2093">
            <v>17715445110</v>
          </cell>
        </row>
        <row r="2094">
          <cell r="C2094" t="str">
            <v>ES0173516115</v>
          </cell>
          <cell r="G2094">
            <v>17715445110</v>
          </cell>
        </row>
        <row r="2095">
          <cell r="C2095" t="str">
            <v>ES0173516115</v>
          </cell>
          <cell r="G2095">
            <v>17715445110</v>
          </cell>
        </row>
        <row r="2096">
          <cell r="C2096" t="str">
            <v>ES0173516115</v>
          </cell>
          <cell r="G2096">
            <v>17715445110</v>
          </cell>
        </row>
        <row r="2097">
          <cell r="C2097" t="str">
            <v>ES0173516115</v>
          </cell>
          <cell r="G2097">
            <v>17715445110</v>
          </cell>
        </row>
        <row r="2098">
          <cell r="C2098" t="str">
            <v>ES0173516115</v>
          </cell>
          <cell r="G2098">
            <v>17715445110</v>
          </cell>
        </row>
        <row r="2099">
          <cell r="C2099" t="str">
            <v>ES0173516115</v>
          </cell>
          <cell r="G2099">
            <v>17715445110</v>
          </cell>
        </row>
        <row r="2100">
          <cell r="C2100" t="str">
            <v>ES0173516115</v>
          </cell>
          <cell r="G2100">
            <v>17715445110</v>
          </cell>
        </row>
        <row r="2101">
          <cell r="C2101" t="str">
            <v>ES0173516115</v>
          </cell>
          <cell r="G2101">
            <v>17715445110</v>
          </cell>
        </row>
        <row r="2102">
          <cell r="C2102" t="str">
            <v>ES0173516115</v>
          </cell>
          <cell r="G2102">
            <v>17715445110</v>
          </cell>
        </row>
        <row r="2103">
          <cell r="C2103" t="str">
            <v>ES0173516115</v>
          </cell>
          <cell r="G2103">
            <v>17715445110</v>
          </cell>
        </row>
        <row r="2104">
          <cell r="C2104" t="str">
            <v>ES0173516115</v>
          </cell>
          <cell r="G2104">
            <v>17715445110</v>
          </cell>
        </row>
        <row r="2105">
          <cell r="C2105" t="str">
            <v>ES0173516115</v>
          </cell>
          <cell r="G2105">
            <v>17715445110</v>
          </cell>
        </row>
        <row r="2106">
          <cell r="C2106" t="str">
            <v>ES0173516115</v>
          </cell>
          <cell r="G2106">
            <v>17715445110</v>
          </cell>
        </row>
        <row r="2107">
          <cell r="C2107" t="str">
            <v>ES0173516115</v>
          </cell>
          <cell r="G2107">
            <v>17715445110</v>
          </cell>
        </row>
        <row r="2108">
          <cell r="C2108" t="str">
            <v>ES0173516115</v>
          </cell>
          <cell r="G2108">
            <v>17715445110</v>
          </cell>
        </row>
        <row r="2109">
          <cell r="C2109" t="str">
            <v>ES0105046017</v>
          </cell>
          <cell r="G2109">
            <v>17340000000</v>
          </cell>
        </row>
        <row r="2110">
          <cell r="C2110" t="str">
            <v>ES0105046017</v>
          </cell>
          <cell r="G2110">
            <v>17340000000</v>
          </cell>
        </row>
        <row r="2111">
          <cell r="C2111" t="str">
            <v>ES0105046017</v>
          </cell>
          <cell r="G2111">
            <v>17340000000</v>
          </cell>
        </row>
        <row r="2112">
          <cell r="C2112" t="str">
            <v>ES0105046017</v>
          </cell>
          <cell r="G2112">
            <v>17340000000</v>
          </cell>
        </row>
        <row r="2113">
          <cell r="C2113" t="str">
            <v>ES0105046017</v>
          </cell>
          <cell r="G2113">
            <v>17340000000</v>
          </cell>
        </row>
        <row r="2114">
          <cell r="C2114" t="str">
            <v>ES0105046017</v>
          </cell>
          <cell r="G2114">
            <v>17340000000</v>
          </cell>
        </row>
        <row r="2115">
          <cell r="C2115" t="str">
            <v>ES0105046017</v>
          </cell>
          <cell r="G2115">
            <v>17340000000</v>
          </cell>
        </row>
        <row r="2116">
          <cell r="C2116" t="str">
            <v>ES0105046017</v>
          </cell>
          <cell r="G2116">
            <v>17340000000</v>
          </cell>
        </row>
        <row r="2117">
          <cell r="C2117" t="str">
            <v>ES0105046017</v>
          </cell>
          <cell r="G2117">
            <v>17340000000</v>
          </cell>
        </row>
        <row r="2118">
          <cell r="C2118" t="str">
            <v>ES0105046017</v>
          </cell>
          <cell r="G2118">
            <v>17340000000</v>
          </cell>
        </row>
        <row r="2119">
          <cell r="C2119" t="str">
            <v>ES0105046017</v>
          </cell>
          <cell r="G2119">
            <v>17340000000</v>
          </cell>
        </row>
        <row r="2120">
          <cell r="C2120" t="str">
            <v>ES0105046017</v>
          </cell>
          <cell r="G2120">
            <v>17340000000</v>
          </cell>
        </row>
        <row r="2121">
          <cell r="C2121" t="str">
            <v>ES0105046017</v>
          </cell>
          <cell r="G2121">
            <v>17340000000</v>
          </cell>
        </row>
        <row r="2122">
          <cell r="C2122" t="str">
            <v>ES0105046017</v>
          </cell>
          <cell r="G2122">
            <v>17340000000</v>
          </cell>
        </row>
        <row r="2123">
          <cell r="C2123" t="str">
            <v>NL00150001Q9</v>
          </cell>
          <cell r="G2123">
            <v>17136356903.2957</v>
          </cell>
        </row>
        <row r="2124">
          <cell r="C2124" t="str">
            <v>NL00150001Q9</v>
          </cell>
          <cell r="G2124">
            <v>17136356903.2957</v>
          </cell>
        </row>
        <row r="2125">
          <cell r="C2125" t="str">
            <v>NL00150001Q9</v>
          </cell>
          <cell r="G2125">
            <v>17136356903.2957</v>
          </cell>
        </row>
        <row r="2126">
          <cell r="C2126" t="str">
            <v>NL00150001Q9</v>
          </cell>
          <cell r="G2126">
            <v>17136356903.2957</v>
          </cell>
        </row>
        <row r="2127">
          <cell r="C2127" t="str">
            <v>NL00150001Q9</v>
          </cell>
          <cell r="G2127">
            <v>17136356903.2957</v>
          </cell>
        </row>
        <row r="2128">
          <cell r="C2128" t="str">
            <v>NL00150001Q9</v>
          </cell>
          <cell r="G2128">
            <v>17136356903.2957</v>
          </cell>
        </row>
        <row r="2129">
          <cell r="C2129" t="str">
            <v>NL00150001Q9</v>
          </cell>
          <cell r="G2129">
            <v>17136356903.2957</v>
          </cell>
        </row>
        <row r="2130">
          <cell r="C2130" t="str">
            <v>NL00150001Q9</v>
          </cell>
          <cell r="G2130">
            <v>17136356903.2957</v>
          </cell>
        </row>
        <row r="2131">
          <cell r="C2131" t="str">
            <v>NL00150001Q9</v>
          </cell>
          <cell r="G2131">
            <v>17136356903.2957</v>
          </cell>
        </row>
        <row r="2132">
          <cell r="C2132" t="str">
            <v>NL00150001Q9</v>
          </cell>
          <cell r="G2132">
            <v>17136356903.2957</v>
          </cell>
        </row>
        <row r="2133">
          <cell r="C2133" t="str">
            <v>NL00150001Q9</v>
          </cell>
          <cell r="G2133">
            <v>17136356903.2957</v>
          </cell>
        </row>
        <row r="2134">
          <cell r="C2134" t="str">
            <v>NL00150001Q9</v>
          </cell>
          <cell r="G2134">
            <v>17136356903.2957</v>
          </cell>
        </row>
        <row r="2135">
          <cell r="C2135" t="str">
            <v>NL00150001Q9</v>
          </cell>
          <cell r="G2135">
            <v>17136356903.2957</v>
          </cell>
        </row>
        <row r="2136">
          <cell r="C2136" t="str">
            <v>NL00150001Q9</v>
          </cell>
          <cell r="G2136">
            <v>17136356903.2957</v>
          </cell>
        </row>
        <row r="2137">
          <cell r="C2137" t="str">
            <v>IT0005508921</v>
          </cell>
          <cell r="G2137">
            <v>16615437912.826349</v>
          </cell>
        </row>
        <row r="2138">
          <cell r="C2138" t="str">
            <v>IT0005508921</v>
          </cell>
          <cell r="G2138">
            <v>16615437912.826349</v>
          </cell>
        </row>
        <row r="2139">
          <cell r="C2139" t="str">
            <v>IT0005508921</v>
          </cell>
          <cell r="G2139">
            <v>16615437912.826349</v>
          </cell>
        </row>
        <row r="2140">
          <cell r="C2140" t="str">
            <v>IT0005508921</v>
          </cell>
          <cell r="G2140">
            <v>16615437912.826349</v>
          </cell>
        </row>
        <row r="2141">
          <cell r="C2141" t="str">
            <v>IT0005508921</v>
          </cell>
          <cell r="G2141">
            <v>16615437912.826349</v>
          </cell>
        </row>
        <row r="2142">
          <cell r="C2142" t="str">
            <v>IT0005508921</v>
          </cell>
          <cell r="G2142">
            <v>16615437912.826349</v>
          </cell>
        </row>
        <row r="2143">
          <cell r="C2143" t="str">
            <v>IT0005508921</v>
          </cell>
          <cell r="G2143">
            <v>16615437912.826349</v>
          </cell>
        </row>
        <row r="2144">
          <cell r="C2144" t="str">
            <v>IT0005508921</v>
          </cell>
          <cell r="G2144">
            <v>16615437912.826349</v>
          </cell>
        </row>
        <row r="2145">
          <cell r="C2145" t="str">
            <v>IT0005508921</v>
          </cell>
          <cell r="G2145">
            <v>16615437912.826349</v>
          </cell>
        </row>
        <row r="2146">
          <cell r="C2146" t="str">
            <v>IT0005508921</v>
          </cell>
          <cell r="G2146">
            <v>16615437912.826349</v>
          </cell>
        </row>
        <row r="2147">
          <cell r="C2147" t="str">
            <v>IT0005508921</v>
          </cell>
          <cell r="G2147">
            <v>16615437912.826349</v>
          </cell>
        </row>
        <row r="2148">
          <cell r="C2148" t="str">
            <v>IT0005508921</v>
          </cell>
          <cell r="G2148">
            <v>16615437912.826349</v>
          </cell>
        </row>
        <row r="2149">
          <cell r="C2149" t="str">
            <v>IT0005508921</v>
          </cell>
          <cell r="G2149">
            <v>16615437912.826349</v>
          </cell>
        </row>
        <row r="2150">
          <cell r="C2150" t="str">
            <v>IT0005508921</v>
          </cell>
          <cell r="G2150">
            <v>16615437912.826349</v>
          </cell>
        </row>
        <row r="2151">
          <cell r="C2151" t="str">
            <v>FR0000120693</v>
          </cell>
          <cell r="G2151">
            <v>16391443214.32</v>
          </cell>
        </row>
        <row r="2152">
          <cell r="C2152" t="str">
            <v>FR0000120693</v>
          </cell>
          <cell r="G2152">
            <v>16391443214.32</v>
          </cell>
        </row>
        <row r="2153">
          <cell r="C2153" t="str">
            <v>FR0000120693</v>
          </cell>
          <cell r="G2153">
            <v>16391443214.32</v>
          </cell>
        </row>
        <row r="2154">
          <cell r="C2154" t="str">
            <v>FR0000120693</v>
          </cell>
          <cell r="G2154">
            <v>16391443214.32</v>
          </cell>
        </row>
        <row r="2155">
          <cell r="C2155" t="str">
            <v>FR0000120693</v>
          </cell>
          <cell r="G2155">
            <v>16391443214.32</v>
          </cell>
        </row>
        <row r="2156">
          <cell r="C2156" t="str">
            <v>FR0000120693</v>
          </cell>
          <cell r="G2156">
            <v>16391443214.32</v>
          </cell>
        </row>
        <row r="2157">
          <cell r="C2157" t="str">
            <v>FR0000120693</v>
          </cell>
          <cell r="G2157">
            <v>16391443214.32</v>
          </cell>
        </row>
        <row r="2158">
          <cell r="C2158" t="str">
            <v>FR0000120693</v>
          </cell>
          <cell r="G2158">
            <v>16391443214.32</v>
          </cell>
        </row>
        <row r="2159">
          <cell r="C2159" t="str">
            <v>FR0000120693</v>
          </cell>
          <cell r="G2159">
            <v>16391443214.32</v>
          </cell>
        </row>
        <row r="2160">
          <cell r="C2160" t="str">
            <v>FR0000120693</v>
          </cell>
          <cell r="G2160">
            <v>16391443214.32</v>
          </cell>
        </row>
        <row r="2161">
          <cell r="C2161" t="str">
            <v>FR0000120693</v>
          </cell>
          <cell r="G2161">
            <v>16391443214.32</v>
          </cell>
        </row>
        <row r="2162">
          <cell r="C2162" t="str">
            <v>FR0000120693</v>
          </cell>
          <cell r="G2162">
            <v>16391443214.32</v>
          </cell>
        </row>
        <row r="2163">
          <cell r="C2163" t="str">
            <v>FR0000120693</v>
          </cell>
          <cell r="G2163">
            <v>16391443214.32</v>
          </cell>
        </row>
        <row r="2164">
          <cell r="C2164" t="str">
            <v>FR0000120693</v>
          </cell>
          <cell r="G2164">
            <v>16391443214.32</v>
          </cell>
        </row>
        <row r="2165">
          <cell r="C2165" t="str">
            <v>DE000DTR0CK8</v>
          </cell>
          <cell r="G2165">
            <v>16330256532</v>
          </cell>
        </row>
        <row r="2166">
          <cell r="C2166" t="str">
            <v>DE000DTR0CK8</v>
          </cell>
          <cell r="G2166">
            <v>16330256532</v>
          </cell>
        </row>
        <row r="2167">
          <cell r="C2167" t="str">
            <v>DE000DTR0CK8</v>
          </cell>
          <cell r="G2167">
            <v>16330256532</v>
          </cell>
        </row>
        <row r="2168">
          <cell r="C2168" t="str">
            <v>DE000DTR0CK8</v>
          </cell>
          <cell r="G2168">
            <v>16330256532</v>
          </cell>
        </row>
        <row r="2169">
          <cell r="C2169" t="str">
            <v>DE000DTR0CK8</v>
          </cell>
          <cell r="G2169">
            <v>16330256532</v>
          </cell>
        </row>
        <row r="2170">
          <cell r="C2170" t="str">
            <v>DE000DTR0CK8</v>
          </cell>
          <cell r="G2170">
            <v>16330256532</v>
          </cell>
        </row>
        <row r="2171">
          <cell r="C2171" t="str">
            <v>DE000DTR0CK8</v>
          </cell>
          <cell r="G2171">
            <v>16330256532</v>
          </cell>
        </row>
        <row r="2172">
          <cell r="C2172" t="str">
            <v>DE000DTR0CK8</v>
          </cell>
          <cell r="G2172">
            <v>16330256532</v>
          </cell>
        </row>
        <row r="2173">
          <cell r="C2173" t="str">
            <v>DE000DTR0CK8</v>
          </cell>
          <cell r="G2173">
            <v>16330256532</v>
          </cell>
        </row>
        <row r="2174">
          <cell r="C2174" t="str">
            <v>DE000DTR0CK8</v>
          </cell>
          <cell r="G2174">
            <v>16330256532</v>
          </cell>
        </row>
        <row r="2175">
          <cell r="C2175" t="str">
            <v>DE000DTR0CK8</v>
          </cell>
          <cell r="G2175">
            <v>16330256532</v>
          </cell>
        </row>
        <row r="2176">
          <cell r="C2176" t="str">
            <v>DE000DTR0CK8</v>
          </cell>
          <cell r="G2176">
            <v>16330256532</v>
          </cell>
        </row>
        <row r="2177">
          <cell r="C2177" t="str">
            <v>DE000DTR0CK8</v>
          </cell>
          <cell r="G2177">
            <v>16330256532</v>
          </cell>
        </row>
        <row r="2178">
          <cell r="C2178" t="str">
            <v>DE000DTR0CK8</v>
          </cell>
          <cell r="G2178">
            <v>16330256532</v>
          </cell>
        </row>
        <row r="2179">
          <cell r="C2179" t="str">
            <v>NL0011540547</v>
          </cell>
          <cell r="G2179">
            <v>16056458059.92</v>
          </cell>
        </row>
        <row r="2180">
          <cell r="C2180" t="str">
            <v>NL0011540547</v>
          </cell>
          <cell r="G2180">
            <v>16056458059.92</v>
          </cell>
        </row>
        <row r="2181">
          <cell r="C2181" t="str">
            <v>NL0011540547</v>
          </cell>
          <cell r="G2181">
            <v>16056458059.92</v>
          </cell>
        </row>
        <row r="2182">
          <cell r="C2182" t="str">
            <v>NL0011540547</v>
          </cell>
          <cell r="G2182">
            <v>16056458059.92</v>
          </cell>
        </row>
        <row r="2183">
          <cell r="C2183" t="str">
            <v>NL0011540547</v>
          </cell>
          <cell r="G2183">
            <v>16056458059.92</v>
          </cell>
        </row>
        <row r="2184">
          <cell r="C2184" t="str">
            <v>NL0011540547</v>
          </cell>
          <cell r="G2184">
            <v>16056458059.92</v>
          </cell>
        </row>
        <row r="2185">
          <cell r="C2185" t="str">
            <v>NL0011540547</v>
          </cell>
          <cell r="G2185">
            <v>16056458059.92</v>
          </cell>
        </row>
        <row r="2186">
          <cell r="C2186" t="str">
            <v>NL0011540547</v>
          </cell>
          <cell r="G2186">
            <v>16056458059.92</v>
          </cell>
        </row>
        <row r="2187">
          <cell r="C2187" t="str">
            <v>NL0011540547</v>
          </cell>
          <cell r="G2187">
            <v>16056458059.92</v>
          </cell>
        </row>
        <row r="2188">
          <cell r="C2188" t="str">
            <v>NL0011540547</v>
          </cell>
          <cell r="G2188">
            <v>16056458059.92</v>
          </cell>
        </row>
        <row r="2189">
          <cell r="C2189" t="str">
            <v>NL0011540547</v>
          </cell>
          <cell r="G2189">
            <v>16056458059.92</v>
          </cell>
        </row>
        <row r="2190">
          <cell r="C2190" t="str">
            <v>NL0011540547</v>
          </cell>
          <cell r="G2190">
            <v>16056458059.92</v>
          </cell>
        </row>
        <row r="2191">
          <cell r="C2191" t="str">
            <v>NL0011540547</v>
          </cell>
          <cell r="G2191">
            <v>16056458059.92</v>
          </cell>
        </row>
        <row r="2192">
          <cell r="C2192" t="str">
            <v>NL0011540547</v>
          </cell>
          <cell r="G2192">
            <v>16056458059.92</v>
          </cell>
        </row>
        <row r="2193">
          <cell r="C2193" t="str">
            <v>FR0014003TT8</v>
          </cell>
          <cell r="G2193">
            <v>15755401483.424999</v>
          </cell>
        </row>
        <row r="2194">
          <cell r="C2194" t="str">
            <v>FR0014003TT8</v>
          </cell>
          <cell r="G2194">
            <v>15755401483.424999</v>
          </cell>
        </row>
        <row r="2195">
          <cell r="C2195" t="str">
            <v>FR0014003TT8</v>
          </cell>
          <cell r="G2195">
            <v>15755401483.424999</v>
          </cell>
        </row>
        <row r="2196">
          <cell r="C2196" t="str">
            <v>FR0014003TT8</v>
          </cell>
          <cell r="G2196">
            <v>15755401483.424999</v>
          </cell>
        </row>
        <row r="2197">
          <cell r="C2197" t="str">
            <v>FR0014003TT8</v>
          </cell>
          <cell r="G2197">
            <v>15755401483.424999</v>
          </cell>
        </row>
        <row r="2198">
          <cell r="C2198" t="str">
            <v>FR0014003TT8</v>
          </cell>
          <cell r="G2198">
            <v>15755401483.424999</v>
          </cell>
        </row>
        <row r="2199">
          <cell r="C2199" t="str">
            <v>FR0014003TT8</v>
          </cell>
          <cell r="G2199">
            <v>15755401483.424999</v>
          </cell>
        </row>
        <row r="2200">
          <cell r="C2200" t="str">
            <v>FR0014003TT8</v>
          </cell>
          <cell r="G2200">
            <v>15755401483.424999</v>
          </cell>
        </row>
        <row r="2201">
          <cell r="C2201" t="str">
            <v>FR0014003TT8</v>
          </cell>
          <cell r="G2201">
            <v>15755401483.424999</v>
          </cell>
        </row>
        <row r="2202">
          <cell r="C2202" t="str">
            <v>FR0014003TT8</v>
          </cell>
          <cell r="G2202">
            <v>15755401483.424999</v>
          </cell>
        </row>
        <row r="2203">
          <cell r="C2203" t="str">
            <v>FR0014003TT8</v>
          </cell>
          <cell r="G2203">
            <v>15755401483.424999</v>
          </cell>
        </row>
        <row r="2204">
          <cell r="C2204" t="str">
            <v>FR0014003TT8</v>
          </cell>
          <cell r="G2204">
            <v>15755401483.424999</v>
          </cell>
        </row>
        <row r="2205">
          <cell r="C2205" t="str">
            <v>FR0014003TT8</v>
          </cell>
          <cell r="G2205">
            <v>15755401483.424999</v>
          </cell>
        </row>
        <row r="2206">
          <cell r="C2206" t="str">
            <v>FR0014003TT8</v>
          </cell>
          <cell r="G2206">
            <v>15755401483.424999</v>
          </cell>
        </row>
        <row r="2207">
          <cell r="C2207" t="str">
            <v>ES0113860A34</v>
          </cell>
          <cell r="G2207">
            <v>15543258803.799999</v>
          </cell>
        </row>
        <row r="2208">
          <cell r="C2208" t="str">
            <v>ES0113860A34</v>
          </cell>
          <cell r="G2208">
            <v>15543258803.799999</v>
          </cell>
        </row>
        <row r="2209">
          <cell r="C2209" t="str">
            <v>ES0113860A34</v>
          </cell>
          <cell r="G2209">
            <v>15543258803.799999</v>
          </cell>
        </row>
        <row r="2210">
          <cell r="C2210" t="str">
            <v>ES0113860A34</v>
          </cell>
          <cell r="G2210">
            <v>15543258803.799999</v>
          </cell>
        </row>
        <row r="2211">
          <cell r="C2211" t="str">
            <v>ES0113860A34</v>
          </cell>
          <cell r="G2211">
            <v>15543258803.799999</v>
          </cell>
        </row>
        <row r="2212">
          <cell r="C2212" t="str">
            <v>ES0113860A34</v>
          </cell>
          <cell r="G2212">
            <v>15543258803.799999</v>
          </cell>
        </row>
        <row r="2213">
          <cell r="C2213" t="str">
            <v>ES0113860A34</v>
          </cell>
          <cell r="G2213">
            <v>15543258803.799999</v>
          </cell>
        </row>
        <row r="2214">
          <cell r="C2214" t="str">
            <v>ES0113860A34</v>
          </cell>
          <cell r="G2214">
            <v>15543258803.799999</v>
          </cell>
        </row>
        <row r="2215">
          <cell r="C2215" t="str">
            <v>ES0113860A34</v>
          </cell>
          <cell r="G2215">
            <v>15543258803.799999</v>
          </cell>
        </row>
        <row r="2216">
          <cell r="C2216" t="str">
            <v>ES0113860A34</v>
          </cell>
          <cell r="G2216">
            <v>15543258803.799999</v>
          </cell>
        </row>
        <row r="2217">
          <cell r="C2217" t="str">
            <v>ES0113860A34</v>
          </cell>
          <cell r="G2217">
            <v>15543258803.799999</v>
          </cell>
        </row>
        <row r="2218">
          <cell r="C2218" t="str">
            <v>ES0113860A34</v>
          </cell>
          <cell r="G2218">
            <v>15543258803.799999</v>
          </cell>
        </row>
        <row r="2219">
          <cell r="C2219" t="str">
            <v>ES0113860A34</v>
          </cell>
          <cell r="G2219">
            <v>15543258803.799999</v>
          </cell>
        </row>
        <row r="2220">
          <cell r="C2220" t="str">
            <v>ES0113860A34</v>
          </cell>
          <cell r="G2220">
            <v>15543258803.799999</v>
          </cell>
        </row>
        <row r="2221">
          <cell r="C2221" t="str">
            <v>NL0010773842</v>
          </cell>
          <cell r="G2221">
            <v>15491441000</v>
          </cell>
        </row>
        <row r="2222">
          <cell r="C2222" t="str">
            <v>NL0010773842</v>
          </cell>
          <cell r="G2222">
            <v>15491441000</v>
          </cell>
        </row>
        <row r="2223">
          <cell r="C2223" t="str">
            <v>NL0010773842</v>
          </cell>
          <cell r="G2223">
            <v>15491441000</v>
          </cell>
        </row>
        <row r="2224">
          <cell r="C2224" t="str">
            <v>NL0010773842</v>
          </cell>
          <cell r="G2224">
            <v>15491441000</v>
          </cell>
        </row>
        <row r="2225">
          <cell r="C2225" t="str">
            <v>NL0010773842</v>
          </cell>
          <cell r="G2225">
            <v>15491441000</v>
          </cell>
        </row>
        <row r="2226">
          <cell r="C2226" t="str">
            <v>NL0010773842</v>
          </cell>
          <cell r="G2226">
            <v>15491441000</v>
          </cell>
        </row>
        <row r="2227">
          <cell r="C2227" t="str">
            <v>NL0010773842</v>
          </cell>
          <cell r="G2227">
            <v>15491441000</v>
          </cell>
        </row>
        <row r="2228">
          <cell r="C2228" t="str">
            <v>NL0010773842</v>
          </cell>
          <cell r="G2228">
            <v>15491441000</v>
          </cell>
        </row>
        <row r="2229">
          <cell r="C2229" t="str">
            <v>NL0010773842</v>
          </cell>
          <cell r="G2229">
            <v>15491441000</v>
          </cell>
        </row>
        <row r="2230">
          <cell r="C2230" t="str">
            <v>NL0010773842</v>
          </cell>
          <cell r="G2230">
            <v>15491441000</v>
          </cell>
        </row>
        <row r="2231">
          <cell r="C2231" t="str">
            <v>NL0010773842</v>
          </cell>
          <cell r="G2231">
            <v>15491441000</v>
          </cell>
        </row>
        <row r="2232">
          <cell r="C2232" t="str">
            <v>NL0010773842</v>
          </cell>
          <cell r="G2232">
            <v>15491441000</v>
          </cell>
        </row>
        <row r="2233">
          <cell r="C2233" t="str">
            <v>NL0010773842</v>
          </cell>
          <cell r="G2233">
            <v>15491441000</v>
          </cell>
        </row>
        <row r="2234">
          <cell r="C2234" t="str">
            <v>NL0010773842</v>
          </cell>
          <cell r="G2234">
            <v>15491441000</v>
          </cell>
        </row>
        <row r="2235">
          <cell r="C2235" t="str">
            <v>ES0105066007</v>
          </cell>
          <cell r="G2235">
            <v>15390919826.700001</v>
          </cell>
        </row>
        <row r="2236">
          <cell r="C2236" t="str">
            <v>ES0105066007</v>
          </cell>
          <cell r="G2236">
            <v>15390919826.700001</v>
          </cell>
        </row>
        <row r="2237">
          <cell r="C2237" t="str">
            <v>ES0105066007</v>
          </cell>
          <cell r="G2237">
            <v>15390919826.700001</v>
          </cell>
        </row>
        <row r="2238">
          <cell r="C2238" t="str">
            <v>ES0105066007</v>
          </cell>
          <cell r="G2238">
            <v>15390919826.700001</v>
          </cell>
        </row>
        <row r="2239">
          <cell r="C2239" t="str">
            <v>ES0105066007</v>
          </cell>
          <cell r="G2239">
            <v>15390919826.700001</v>
          </cell>
        </row>
        <row r="2240">
          <cell r="C2240" t="str">
            <v>ES0105066007</v>
          </cell>
          <cell r="G2240">
            <v>15390919826.700001</v>
          </cell>
        </row>
        <row r="2241">
          <cell r="C2241" t="str">
            <v>ES0105066007</v>
          </cell>
          <cell r="G2241">
            <v>15390919826.700001</v>
          </cell>
        </row>
        <row r="2242">
          <cell r="C2242" t="str">
            <v>ES0105066007</v>
          </cell>
          <cell r="G2242">
            <v>15390919826.700001</v>
          </cell>
        </row>
        <row r="2243">
          <cell r="C2243" t="str">
            <v>ES0105066007</v>
          </cell>
          <cell r="G2243">
            <v>15390919826.700001</v>
          </cell>
        </row>
        <row r="2244">
          <cell r="C2244" t="str">
            <v>ES0105066007</v>
          </cell>
          <cell r="G2244">
            <v>15390919826.700001</v>
          </cell>
        </row>
        <row r="2245">
          <cell r="C2245" t="str">
            <v>ES0105066007</v>
          </cell>
          <cell r="G2245">
            <v>15390919826.700001</v>
          </cell>
        </row>
        <row r="2246">
          <cell r="C2246" t="str">
            <v>ES0105066007</v>
          </cell>
          <cell r="G2246">
            <v>15390919826.700001</v>
          </cell>
        </row>
        <row r="2247">
          <cell r="C2247" t="str">
            <v>ES0105066007</v>
          </cell>
          <cell r="G2247">
            <v>15390919826.700001</v>
          </cell>
        </row>
        <row r="2248">
          <cell r="C2248" t="str">
            <v>ES0105066007</v>
          </cell>
          <cell r="G2248">
            <v>15390919826.700001</v>
          </cell>
        </row>
        <row r="2249">
          <cell r="C2249" t="str">
            <v>DE0008402215</v>
          </cell>
          <cell r="G2249">
            <v>15352015922</v>
          </cell>
        </row>
        <row r="2250">
          <cell r="C2250" t="str">
            <v>DE0008402215</v>
          </cell>
          <cell r="G2250">
            <v>15352015922</v>
          </cell>
        </row>
        <row r="2251">
          <cell r="C2251" t="str">
            <v>DE0008402215</v>
          </cell>
          <cell r="G2251">
            <v>15352015922</v>
          </cell>
        </row>
        <row r="2252">
          <cell r="C2252" t="str">
            <v>DE0008402215</v>
          </cell>
          <cell r="G2252">
            <v>15352015922</v>
          </cell>
        </row>
        <row r="2253">
          <cell r="C2253" t="str">
            <v>DE0008402215</v>
          </cell>
          <cell r="G2253">
            <v>15352015922</v>
          </cell>
        </row>
        <row r="2254">
          <cell r="C2254" t="str">
            <v>DE0008402215</v>
          </cell>
          <cell r="G2254">
            <v>15352015922</v>
          </cell>
        </row>
        <row r="2255">
          <cell r="C2255" t="str">
            <v>DE0008402215</v>
          </cell>
          <cell r="G2255">
            <v>15352015922</v>
          </cell>
        </row>
        <row r="2256">
          <cell r="C2256" t="str">
            <v>DE0008402215</v>
          </cell>
          <cell r="G2256">
            <v>15352015922</v>
          </cell>
        </row>
        <row r="2257">
          <cell r="C2257" t="str">
            <v>DE0008402215</v>
          </cell>
          <cell r="G2257">
            <v>15352015922</v>
          </cell>
        </row>
        <row r="2258">
          <cell r="C2258" t="str">
            <v>DE0008402215</v>
          </cell>
          <cell r="G2258">
            <v>15352015922</v>
          </cell>
        </row>
        <row r="2259">
          <cell r="C2259" t="str">
            <v>DE0008402215</v>
          </cell>
          <cell r="G2259">
            <v>15352015922</v>
          </cell>
        </row>
        <row r="2260">
          <cell r="C2260" t="str">
            <v>DE0008402215</v>
          </cell>
          <cell r="G2260">
            <v>15352015922</v>
          </cell>
        </row>
        <row r="2261">
          <cell r="C2261" t="str">
            <v>DE0008402215</v>
          </cell>
          <cell r="G2261">
            <v>15352015922</v>
          </cell>
        </row>
        <row r="2262">
          <cell r="C2262" t="str">
            <v>DE0008402215</v>
          </cell>
          <cell r="G2262">
            <v>15352015922</v>
          </cell>
        </row>
        <row r="2263">
          <cell r="C2263" t="str">
            <v>NL0000009082</v>
          </cell>
          <cell r="G2263">
            <v>15283496558.459999</v>
          </cell>
        </row>
        <row r="2264">
          <cell r="C2264" t="str">
            <v>NL0000009082</v>
          </cell>
          <cell r="G2264">
            <v>15283496558.459999</v>
          </cell>
        </row>
        <row r="2265">
          <cell r="C2265" t="str">
            <v>NL0000009082</v>
          </cell>
          <cell r="G2265">
            <v>15283496558.459999</v>
          </cell>
        </row>
        <row r="2266">
          <cell r="C2266" t="str">
            <v>NL0000009082</v>
          </cell>
          <cell r="G2266">
            <v>15283496558.459999</v>
          </cell>
        </row>
        <row r="2267">
          <cell r="C2267" t="str">
            <v>NL0000009082</v>
          </cell>
          <cell r="G2267">
            <v>15283496558.459999</v>
          </cell>
        </row>
        <row r="2268">
          <cell r="C2268" t="str">
            <v>NL0000009082</v>
          </cell>
          <cell r="G2268">
            <v>15283496558.459999</v>
          </cell>
        </row>
        <row r="2269">
          <cell r="C2269" t="str">
            <v>NL0000009082</v>
          </cell>
          <cell r="G2269">
            <v>15283496558.459999</v>
          </cell>
        </row>
        <row r="2270">
          <cell r="C2270" t="str">
            <v>NL0000009082</v>
          </cell>
          <cell r="G2270">
            <v>15283496558.459999</v>
          </cell>
        </row>
        <row r="2271">
          <cell r="C2271" t="str">
            <v>NL0000009082</v>
          </cell>
          <cell r="G2271">
            <v>15283496558.459999</v>
          </cell>
        </row>
        <row r="2272">
          <cell r="C2272" t="str">
            <v>NL0000009082</v>
          </cell>
          <cell r="G2272">
            <v>15283496558.459999</v>
          </cell>
        </row>
        <row r="2273">
          <cell r="C2273" t="str">
            <v>NL0000009082</v>
          </cell>
          <cell r="G2273">
            <v>15283496558.459999</v>
          </cell>
        </row>
        <row r="2274">
          <cell r="C2274" t="str">
            <v>NL0000009082</v>
          </cell>
          <cell r="G2274">
            <v>15283496558.459999</v>
          </cell>
        </row>
        <row r="2275">
          <cell r="C2275" t="str">
            <v>NL0000009082</v>
          </cell>
          <cell r="G2275">
            <v>15283496558.459999</v>
          </cell>
        </row>
        <row r="2276">
          <cell r="C2276" t="str">
            <v>NL0000009082</v>
          </cell>
          <cell r="G2276">
            <v>15283496558.459999</v>
          </cell>
        </row>
        <row r="2277">
          <cell r="C2277" t="str">
            <v>IT0000066123</v>
          </cell>
          <cell r="G2277">
            <v>15004977250.8825</v>
          </cell>
        </row>
        <row r="2278">
          <cell r="C2278" t="str">
            <v>IT0000066123</v>
          </cell>
          <cell r="G2278">
            <v>15004977250.8825</v>
          </cell>
        </row>
        <row r="2279">
          <cell r="C2279" t="str">
            <v>IT0000066123</v>
          </cell>
          <cell r="G2279">
            <v>15004977250.8825</v>
          </cell>
        </row>
        <row r="2280">
          <cell r="C2280" t="str">
            <v>IT0000066123</v>
          </cell>
          <cell r="G2280">
            <v>15004977250.8825</v>
          </cell>
        </row>
        <row r="2281">
          <cell r="C2281" t="str">
            <v>IT0000066123</v>
          </cell>
          <cell r="G2281">
            <v>15004977250.8825</v>
          </cell>
        </row>
        <row r="2282">
          <cell r="C2282" t="str">
            <v>IT0000066123</v>
          </cell>
          <cell r="G2282">
            <v>15004977250.8825</v>
          </cell>
        </row>
        <row r="2283">
          <cell r="C2283" t="str">
            <v>IT0000066123</v>
          </cell>
          <cell r="G2283">
            <v>15004977250.8825</v>
          </cell>
        </row>
        <row r="2284">
          <cell r="C2284" t="str">
            <v>IT0000066123</v>
          </cell>
          <cell r="G2284">
            <v>15004977250.8825</v>
          </cell>
        </row>
        <row r="2285">
          <cell r="C2285" t="str">
            <v>IT0000066123</v>
          </cell>
          <cell r="G2285">
            <v>15004977250.8825</v>
          </cell>
        </row>
        <row r="2286">
          <cell r="C2286" t="str">
            <v>IT0000066123</v>
          </cell>
          <cell r="G2286">
            <v>15004977250.8825</v>
          </cell>
        </row>
        <row r="2287">
          <cell r="C2287" t="str">
            <v>IT0000066123</v>
          </cell>
          <cell r="G2287">
            <v>15004977250.8825</v>
          </cell>
        </row>
        <row r="2288">
          <cell r="C2288" t="str">
            <v>IT0000066123</v>
          </cell>
          <cell r="G2288">
            <v>15004977250.8825</v>
          </cell>
        </row>
        <row r="2289">
          <cell r="C2289" t="str">
            <v>IT0000066123</v>
          </cell>
          <cell r="G2289">
            <v>15004977250.8825</v>
          </cell>
        </row>
        <row r="2290">
          <cell r="C2290" t="str">
            <v>IT0000066123</v>
          </cell>
          <cell r="G2290">
            <v>15004977250.8825</v>
          </cell>
        </row>
        <row r="2291">
          <cell r="C2291" t="str">
            <v>ES0167050915</v>
          </cell>
          <cell r="G2291">
            <v>14731011850.5</v>
          </cell>
        </row>
        <row r="2292">
          <cell r="C2292" t="str">
            <v>ES0167050915</v>
          </cell>
          <cell r="G2292">
            <v>14731011850.5</v>
          </cell>
        </row>
        <row r="2293">
          <cell r="C2293" t="str">
            <v>ES0167050915</v>
          </cell>
          <cell r="G2293">
            <v>14731011850.5</v>
          </cell>
        </row>
        <row r="2294">
          <cell r="C2294" t="str">
            <v>ES0167050915</v>
          </cell>
          <cell r="G2294">
            <v>14731011850.5</v>
          </cell>
        </row>
        <row r="2295">
          <cell r="C2295" t="str">
            <v>ES0167050915</v>
          </cell>
          <cell r="G2295">
            <v>14731011850.5</v>
          </cell>
        </row>
        <row r="2296">
          <cell r="C2296" t="str">
            <v>ES0167050915</v>
          </cell>
          <cell r="G2296">
            <v>14731011850.5</v>
          </cell>
        </row>
        <row r="2297">
          <cell r="C2297" t="str">
            <v>ES0167050915</v>
          </cell>
          <cell r="G2297">
            <v>14731011850.5</v>
          </cell>
        </row>
        <row r="2298">
          <cell r="C2298" t="str">
            <v>ES0167050915</v>
          </cell>
          <cell r="G2298">
            <v>14731011850.5</v>
          </cell>
        </row>
        <row r="2299">
          <cell r="C2299" t="str">
            <v>ES0167050915</v>
          </cell>
          <cell r="G2299">
            <v>14731011850.5</v>
          </cell>
        </row>
        <row r="2300">
          <cell r="C2300" t="str">
            <v>ES0167050915</v>
          </cell>
          <cell r="G2300">
            <v>14731011850.5</v>
          </cell>
        </row>
        <row r="2301">
          <cell r="C2301" t="str">
            <v>ES0167050915</v>
          </cell>
          <cell r="G2301">
            <v>14731011850.5</v>
          </cell>
        </row>
        <row r="2302">
          <cell r="C2302" t="str">
            <v>ES0167050915</v>
          </cell>
          <cell r="G2302">
            <v>14731011850.5</v>
          </cell>
        </row>
        <row r="2303">
          <cell r="C2303" t="str">
            <v>ES0167050915</v>
          </cell>
          <cell r="G2303">
            <v>14731011850.5</v>
          </cell>
        </row>
        <row r="2304">
          <cell r="C2304" t="str">
            <v>ES0167050915</v>
          </cell>
          <cell r="G2304">
            <v>14731011850.5</v>
          </cell>
        </row>
        <row r="2305">
          <cell r="C2305" t="str">
            <v>FR0000045072</v>
          </cell>
          <cell r="G2305">
            <v>14615108350.5</v>
          </cell>
        </row>
        <row r="2306">
          <cell r="C2306" t="str">
            <v>FR0000045072</v>
          </cell>
          <cell r="G2306">
            <v>14615108350.5</v>
          </cell>
        </row>
        <row r="2307">
          <cell r="C2307" t="str">
            <v>FR0000045072</v>
          </cell>
          <cell r="G2307">
            <v>14615108350.5</v>
          </cell>
        </row>
        <row r="2308">
          <cell r="C2308" t="str">
            <v>FR0000045072</v>
          </cell>
          <cell r="G2308">
            <v>14615108350.5</v>
          </cell>
        </row>
        <row r="2309">
          <cell r="C2309" t="str">
            <v>FR0000045072</v>
          </cell>
          <cell r="G2309">
            <v>14615108350.5</v>
          </cell>
        </row>
        <row r="2310">
          <cell r="C2310" t="str">
            <v>FR0000045072</v>
          </cell>
          <cell r="G2310">
            <v>14615108350.5</v>
          </cell>
        </row>
        <row r="2311">
          <cell r="C2311" t="str">
            <v>FR0000045072</v>
          </cell>
          <cell r="G2311">
            <v>14615108350.5</v>
          </cell>
        </row>
        <row r="2312">
          <cell r="C2312" t="str">
            <v>FR0000045072</v>
          </cell>
          <cell r="G2312">
            <v>14615108350.5</v>
          </cell>
        </row>
        <row r="2313">
          <cell r="C2313" t="str">
            <v>FR0000045072</v>
          </cell>
          <cell r="G2313">
            <v>14615108350.5</v>
          </cell>
        </row>
        <row r="2314">
          <cell r="C2314" t="str">
            <v>FR0000045072</v>
          </cell>
          <cell r="G2314">
            <v>14615108350.5</v>
          </cell>
        </row>
        <row r="2315">
          <cell r="C2315" t="str">
            <v>FR0000045072</v>
          </cell>
          <cell r="G2315">
            <v>14615108350.5</v>
          </cell>
        </row>
        <row r="2316">
          <cell r="C2316" t="str">
            <v>FR0000045072</v>
          </cell>
          <cell r="G2316">
            <v>14615108350.5</v>
          </cell>
        </row>
        <row r="2317">
          <cell r="C2317" t="str">
            <v>FR0000045072</v>
          </cell>
          <cell r="G2317">
            <v>14615108350.5</v>
          </cell>
        </row>
        <row r="2318">
          <cell r="C2318" t="str">
            <v>FR0000045072</v>
          </cell>
          <cell r="G2318">
            <v>14615108350.5</v>
          </cell>
        </row>
        <row r="2319">
          <cell r="C2319" t="str">
            <v>LU1598757687</v>
          </cell>
          <cell r="G2319">
            <v>14519086368.299999</v>
          </cell>
        </row>
        <row r="2320">
          <cell r="C2320" t="str">
            <v>LU1598757687</v>
          </cell>
          <cell r="G2320">
            <v>14519086368.299999</v>
          </cell>
        </row>
        <row r="2321">
          <cell r="C2321" t="str">
            <v>LU1598757687</v>
          </cell>
          <cell r="G2321">
            <v>14519086368.299999</v>
          </cell>
        </row>
        <row r="2322">
          <cell r="C2322" t="str">
            <v>LU1598757687</v>
          </cell>
          <cell r="G2322">
            <v>14519086368.299999</v>
          </cell>
        </row>
        <row r="2323">
          <cell r="C2323" t="str">
            <v>LU1598757687</v>
          </cell>
          <cell r="G2323">
            <v>14519086368.299999</v>
          </cell>
        </row>
        <row r="2324">
          <cell r="C2324" t="str">
            <v>LU1598757687</v>
          </cell>
          <cell r="G2324">
            <v>14519086368.299999</v>
          </cell>
        </row>
        <row r="2325">
          <cell r="C2325" t="str">
            <v>LU1598757687</v>
          </cell>
          <cell r="G2325">
            <v>14519086368.299999</v>
          </cell>
        </row>
        <row r="2326">
          <cell r="C2326" t="str">
            <v>LU1598757687</v>
          </cell>
          <cell r="G2326">
            <v>14519086368.299999</v>
          </cell>
        </row>
        <row r="2327">
          <cell r="C2327" t="str">
            <v>LU1598757687</v>
          </cell>
          <cell r="G2327">
            <v>14519086368.299999</v>
          </cell>
        </row>
        <row r="2328">
          <cell r="C2328" t="str">
            <v>LU1598757687</v>
          </cell>
          <cell r="G2328">
            <v>14519086368.299999</v>
          </cell>
        </row>
        <row r="2329">
          <cell r="C2329" t="str">
            <v>LU1598757687</v>
          </cell>
          <cell r="G2329">
            <v>14519086368.299999</v>
          </cell>
        </row>
        <row r="2330">
          <cell r="C2330" t="str">
            <v>LU1598757687</v>
          </cell>
          <cell r="G2330">
            <v>14519086368.299999</v>
          </cell>
        </row>
        <row r="2331">
          <cell r="C2331" t="str">
            <v>LU1598757687</v>
          </cell>
          <cell r="G2331">
            <v>14519086368.299999</v>
          </cell>
        </row>
        <row r="2332">
          <cell r="C2332" t="str">
            <v>LU1598757687</v>
          </cell>
          <cell r="G2332">
            <v>14519086368.299999</v>
          </cell>
        </row>
        <row r="2333">
          <cell r="C2333" t="str">
            <v>DE0006599905</v>
          </cell>
          <cell r="G2333">
            <v>14513904675</v>
          </cell>
        </row>
        <row r="2334">
          <cell r="C2334" t="str">
            <v>DE0006599905</v>
          </cell>
          <cell r="G2334">
            <v>14513904675</v>
          </cell>
        </row>
        <row r="2335">
          <cell r="C2335" t="str">
            <v>DE0006599905</v>
          </cell>
          <cell r="G2335">
            <v>14513904675</v>
          </cell>
        </row>
        <row r="2336">
          <cell r="C2336" t="str">
            <v>DE0006599905</v>
          </cell>
          <cell r="G2336">
            <v>14513904675</v>
          </cell>
        </row>
        <row r="2337">
          <cell r="C2337" t="str">
            <v>DE0006599905</v>
          </cell>
          <cell r="G2337">
            <v>14513904675</v>
          </cell>
        </row>
        <row r="2338">
          <cell r="C2338" t="str">
            <v>DE0006599905</v>
          </cell>
          <cell r="G2338">
            <v>14513904675</v>
          </cell>
        </row>
        <row r="2339">
          <cell r="C2339" t="str">
            <v>DE0006599905</v>
          </cell>
          <cell r="G2339">
            <v>14513904675</v>
          </cell>
        </row>
        <row r="2340">
          <cell r="C2340" t="str">
            <v>DE0006599905</v>
          </cell>
          <cell r="G2340">
            <v>14513904675</v>
          </cell>
        </row>
        <row r="2341">
          <cell r="C2341" t="str">
            <v>DE0006599905</v>
          </cell>
          <cell r="G2341">
            <v>14513904675</v>
          </cell>
        </row>
        <row r="2342">
          <cell r="C2342" t="str">
            <v>DE0006599905</v>
          </cell>
          <cell r="G2342">
            <v>14513904675</v>
          </cell>
        </row>
        <row r="2343">
          <cell r="C2343" t="str">
            <v>DE0006599905</v>
          </cell>
          <cell r="G2343">
            <v>14513904675</v>
          </cell>
        </row>
        <row r="2344">
          <cell r="C2344" t="str">
            <v>DE0006599905</v>
          </cell>
          <cell r="G2344">
            <v>14513904675</v>
          </cell>
        </row>
        <row r="2345">
          <cell r="C2345" t="str">
            <v>DE0006599905</v>
          </cell>
          <cell r="G2345">
            <v>14513904675</v>
          </cell>
        </row>
        <row r="2346">
          <cell r="C2346" t="str">
            <v>DE0006599905</v>
          </cell>
          <cell r="G2346">
            <v>14513904675</v>
          </cell>
        </row>
        <row r="2347">
          <cell r="C2347" t="str">
            <v>IT0005218380</v>
          </cell>
          <cell r="G2347">
            <v>14193468565.305</v>
          </cell>
        </row>
        <row r="2348">
          <cell r="C2348" t="str">
            <v>IT0005218380</v>
          </cell>
          <cell r="G2348">
            <v>14193468565.305</v>
          </cell>
        </row>
        <row r="2349">
          <cell r="C2349" t="str">
            <v>IT0005218380</v>
          </cell>
          <cell r="G2349">
            <v>14193468565.305</v>
          </cell>
        </row>
        <row r="2350">
          <cell r="C2350" t="str">
            <v>IT0005218380</v>
          </cell>
          <cell r="G2350">
            <v>14193468565.305</v>
          </cell>
        </row>
        <row r="2351">
          <cell r="C2351" t="str">
            <v>IT0005218380</v>
          </cell>
          <cell r="G2351">
            <v>14193468565.305</v>
          </cell>
        </row>
        <row r="2352">
          <cell r="C2352" t="str">
            <v>IT0005218380</v>
          </cell>
          <cell r="G2352">
            <v>14193468565.305</v>
          </cell>
        </row>
        <row r="2353">
          <cell r="C2353" t="str">
            <v>IT0005218380</v>
          </cell>
          <cell r="G2353">
            <v>14193468565.305</v>
          </cell>
        </row>
        <row r="2354">
          <cell r="C2354" t="str">
            <v>IT0005218380</v>
          </cell>
          <cell r="G2354">
            <v>14193468565.305</v>
          </cell>
        </row>
        <row r="2355">
          <cell r="C2355" t="str">
            <v>IT0005218380</v>
          </cell>
          <cell r="G2355">
            <v>14193468565.305</v>
          </cell>
        </row>
        <row r="2356">
          <cell r="C2356" t="str">
            <v>IT0005218380</v>
          </cell>
          <cell r="G2356">
            <v>14193468565.305</v>
          </cell>
        </row>
        <row r="2357">
          <cell r="C2357" t="str">
            <v>IT0005218380</v>
          </cell>
          <cell r="G2357">
            <v>14193468565.305</v>
          </cell>
        </row>
        <row r="2358">
          <cell r="C2358" t="str">
            <v>IT0005218380</v>
          </cell>
          <cell r="G2358">
            <v>14193468565.305</v>
          </cell>
        </row>
        <row r="2359">
          <cell r="C2359" t="str">
            <v>IT0005218380</v>
          </cell>
          <cell r="G2359">
            <v>14193468565.305</v>
          </cell>
        </row>
        <row r="2360">
          <cell r="C2360" t="str">
            <v>IT0005218380</v>
          </cell>
          <cell r="G2360">
            <v>14193468565.305</v>
          </cell>
        </row>
        <row r="2361">
          <cell r="C2361" t="str">
            <v>CH1216478797</v>
          </cell>
          <cell r="G2361">
            <v>14175163681.74</v>
          </cell>
        </row>
        <row r="2362">
          <cell r="C2362" t="str">
            <v>CH1216478797</v>
          </cell>
          <cell r="G2362">
            <v>14175163681.74</v>
          </cell>
        </row>
        <row r="2363">
          <cell r="C2363" t="str">
            <v>CH1216478797</v>
          </cell>
          <cell r="G2363">
            <v>14175163681.74</v>
          </cell>
        </row>
        <row r="2364">
          <cell r="C2364" t="str">
            <v>CH1216478797</v>
          </cell>
          <cell r="G2364">
            <v>14175163681.74</v>
          </cell>
        </row>
        <row r="2365">
          <cell r="C2365" t="str">
            <v>CH1216478797</v>
          </cell>
          <cell r="G2365">
            <v>14175163681.74</v>
          </cell>
        </row>
        <row r="2366">
          <cell r="C2366" t="str">
            <v>CH1216478797</v>
          </cell>
          <cell r="G2366">
            <v>14175163681.74</v>
          </cell>
        </row>
        <row r="2367">
          <cell r="C2367" t="str">
            <v>CH1216478797</v>
          </cell>
          <cell r="G2367">
            <v>14175163681.74</v>
          </cell>
        </row>
        <row r="2368">
          <cell r="C2368" t="str">
            <v>CH1216478797</v>
          </cell>
          <cell r="G2368">
            <v>14175163681.74</v>
          </cell>
        </row>
        <row r="2369">
          <cell r="C2369" t="str">
            <v>CH1216478797</v>
          </cell>
          <cell r="G2369">
            <v>14175163681.74</v>
          </cell>
        </row>
        <row r="2370">
          <cell r="C2370" t="str">
            <v>CH1216478797</v>
          </cell>
          <cell r="G2370">
            <v>14175163681.74</v>
          </cell>
        </row>
        <row r="2371">
          <cell r="C2371" t="str">
            <v>CH1216478797</v>
          </cell>
          <cell r="G2371">
            <v>14175163681.74</v>
          </cell>
        </row>
        <row r="2372">
          <cell r="C2372" t="str">
            <v>CH1216478797</v>
          </cell>
          <cell r="G2372">
            <v>14175163681.74</v>
          </cell>
        </row>
        <row r="2373">
          <cell r="C2373" t="str">
            <v>CH1216478797</v>
          </cell>
          <cell r="G2373">
            <v>14175163681.74</v>
          </cell>
        </row>
        <row r="2374">
          <cell r="C2374" t="str">
            <v>CH1216478797</v>
          </cell>
          <cell r="G2374">
            <v>14175163681.74</v>
          </cell>
        </row>
        <row r="2375">
          <cell r="C2375" t="str">
            <v>DE000SHL1006</v>
          </cell>
          <cell r="G2375">
            <v>14134968000</v>
          </cell>
        </row>
        <row r="2376">
          <cell r="C2376" t="str">
            <v>DE000SHL1006</v>
          </cell>
          <cell r="G2376">
            <v>14134968000</v>
          </cell>
        </row>
        <row r="2377">
          <cell r="C2377" t="str">
            <v>DE000SHL1006</v>
          </cell>
          <cell r="G2377">
            <v>14134968000</v>
          </cell>
        </row>
        <row r="2378">
          <cell r="C2378" t="str">
            <v>DE000SHL1006</v>
          </cell>
          <cell r="G2378">
            <v>14134968000</v>
          </cell>
        </row>
        <row r="2379">
          <cell r="C2379" t="str">
            <v>DE000SHL1006</v>
          </cell>
          <cell r="G2379">
            <v>14134968000</v>
          </cell>
        </row>
        <row r="2380">
          <cell r="C2380" t="str">
            <v>DE000SHL1006</v>
          </cell>
          <cell r="G2380">
            <v>14134968000</v>
          </cell>
        </row>
        <row r="2381">
          <cell r="C2381" t="str">
            <v>DE000SHL1006</v>
          </cell>
          <cell r="G2381">
            <v>14134968000</v>
          </cell>
        </row>
        <row r="2382">
          <cell r="C2382" t="str">
            <v>DE000SHL1006</v>
          </cell>
          <cell r="G2382">
            <v>14134968000</v>
          </cell>
        </row>
        <row r="2383">
          <cell r="C2383" t="str">
            <v>DE000SHL1006</v>
          </cell>
          <cell r="G2383">
            <v>14134968000</v>
          </cell>
        </row>
        <row r="2384">
          <cell r="C2384" t="str">
            <v>DE000SHL1006</v>
          </cell>
          <cell r="G2384">
            <v>14134968000</v>
          </cell>
        </row>
        <row r="2385">
          <cell r="C2385" t="str">
            <v>DE000SHL1006</v>
          </cell>
          <cell r="G2385">
            <v>14134968000</v>
          </cell>
        </row>
        <row r="2386">
          <cell r="C2386" t="str">
            <v>DE000SHL1006</v>
          </cell>
          <cell r="G2386">
            <v>14134968000</v>
          </cell>
        </row>
        <row r="2387">
          <cell r="C2387" t="str">
            <v>DE000SHL1006</v>
          </cell>
          <cell r="G2387">
            <v>14134968000</v>
          </cell>
        </row>
        <row r="2388">
          <cell r="C2388" t="str">
            <v>DE000SHL1006</v>
          </cell>
          <cell r="G2388">
            <v>14134968000</v>
          </cell>
        </row>
        <row r="2389">
          <cell r="C2389" t="str">
            <v>IE00BD1RP616</v>
          </cell>
          <cell r="G2389">
            <v>13833440240.536501</v>
          </cell>
        </row>
        <row r="2390">
          <cell r="C2390" t="str">
            <v>IE00BD1RP616</v>
          </cell>
          <cell r="G2390">
            <v>13833440240.536501</v>
          </cell>
        </row>
        <row r="2391">
          <cell r="C2391" t="str">
            <v>IE00BD1RP616</v>
          </cell>
          <cell r="G2391">
            <v>13833440240.536501</v>
          </cell>
        </row>
        <row r="2392">
          <cell r="C2392" t="str">
            <v>IE00BD1RP616</v>
          </cell>
          <cell r="G2392">
            <v>13833440240.536501</v>
          </cell>
        </row>
        <row r="2393">
          <cell r="C2393" t="str">
            <v>IE00BD1RP616</v>
          </cell>
          <cell r="G2393">
            <v>13833440240.536501</v>
          </cell>
        </row>
        <row r="2394">
          <cell r="C2394" t="str">
            <v>IE00BD1RP616</v>
          </cell>
          <cell r="G2394">
            <v>13833440240.536501</v>
          </cell>
        </row>
        <row r="2395">
          <cell r="C2395" t="str">
            <v>IE00BD1RP616</v>
          </cell>
          <cell r="G2395">
            <v>13833440240.536501</v>
          </cell>
        </row>
        <row r="2396">
          <cell r="C2396" t="str">
            <v>IE00BD1RP616</v>
          </cell>
          <cell r="G2396">
            <v>13833440240.536501</v>
          </cell>
        </row>
        <row r="2397">
          <cell r="C2397" t="str">
            <v>IE00BD1RP616</v>
          </cell>
          <cell r="G2397">
            <v>13833440240.536501</v>
          </cell>
        </row>
        <row r="2398">
          <cell r="C2398" t="str">
            <v>IE00BD1RP616</v>
          </cell>
          <cell r="G2398">
            <v>13833440240.536501</v>
          </cell>
        </row>
        <row r="2399">
          <cell r="C2399" t="str">
            <v>IE00BD1RP616</v>
          </cell>
          <cell r="G2399">
            <v>13833440240.536501</v>
          </cell>
        </row>
        <row r="2400">
          <cell r="C2400" t="str">
            <v>IE00BD1RP616</v>
          </cell>
          <cell r="G2400">
            <v>13833440240.536501</v>
          </cell>
        </row>
        <row r="2401">
          <cell r="C2401" t="str">
            <v>IE00BD1RP616</v>
          </cell>
          <cell r="G2401">
            <v>13833440240.536501</v>
          </cell>
        </row>
        <row r="2402">
          <cell r="C2402" t="str">
            <v>IE00BD1RP616</v>
          </cell>
          <cell r="G2402">
            <v>13833440240.536501</v>
          </cell>
        </row>
        <row r="2403">
          <cell r="C2403" t="str">
            <v>ES0178430E18</v>
          </cell>
          <cell r="G2403">
            <v>13540912916.959999</v>
          </cell>
        </row>
        <row r="2404">
          <cell r="C2404" t="str">
            <v>ES0178430E18</v>
          </cell>
          <cell r="G2404">
            <v>13540912916.959999</v>
          </cell>
        </row>
        <row r="2405">
          <cell r="C2405" t="str">
            <v>ES0178430E18</v>
          </cell>
          <cell r="G2405">
            <v>13540912916.959999</v>
          </cell>
        </row>
        <row r="2406">
          <cell r="C2406" t="str">
            <v>ES0178430E18</v>
          </cell>
          <cell r="G2406">
            <v>13540912916.959999</v>
          </cell>
        </row>
        <row r="2407">
          <cell r="C2407" t="str">
            <v>ES0178430E18</v>
          </cell>
          <cell r="G2407">
            <v>13540912916.959999</v>
          </cell>
        </row>
        <row r="2408">
          <cell r="C2408" t="str">
            <v>ES0178430E18</v>
          </cell>
          <cell r="G2408">
            <v>13540912916.959999</v>
          </cell>
        </row>
        <row r="2409">
          <cell r="C2409" t="str">
            <v>ES0178430E18</v>
          </cell>
          <cell r="G2409">
            <v>13540912916.959999</v>
          </cell>
        </row>
        <row r="2410">
          <cell r="C2410" t="str">
            <v>ES0178430E18</v>
          </cell>
          <cell r="G2410">
            <v>13540912916.959999</v>
          </cell>
        </row>
        <row r="2411">
          <cell r="C2411" t="str">
            <v>ES0178430E18</v>
          </cell>
          <cell r="G2411">
            <v>13540912916.959999</v>
          </cell>
        </row>
        <row r="2412">
          <cell r="C2412" t="str">
            <v>ES0178430E18</v>
          </cell>
          <cell r="G2412">
            <v>13540912916.959999</v>
          </cell>
        </row>
        <row r="2413">
          <cell r="C2413" t="str">
            <v>ES0178430E18</v>
          </cell>
          <cell r="G2413">
            <v>13540912916.959999</v>
          </cell>
        </row>
        <row r="2414">
          <cell r="C2414" t="str">
            <v>ES0178430E18</v>
          </cell>
          <cell r="G2414">
            <v>13540912916.959999</v>
          </cell>
        </row>
        <row r="2415">
          <cell r="C2415" t="str">
            <v>ES0178430E18</v>
          </cell>
          <cell r="G2415">
            <v>13540912916.959999</v>
          </cell>
        </row>
        <row r="2416">
          <cell r="C2416" t="str">
            <v>ES0178430E18</v>
          </cell>
          <cell r="G2416">
            <v>13540912916.959999</v>
          </cell>
        </row>
        <row r="2417">
          <cell r="C2417" t="str">
            <v>IT0003242622</v>
          </cell>
          <cell r="G2417">
            <v>12910580614.4</v>
          </cell>
        </row>
        <row r="2418">
          <cell r="C2418" t="str">
            <v>IT0003242622</v>
          </cell>
          <cell r="G2418">
            <v>12910580614.4</v>
          </cell>
        </row>
        <row r="2419">
          <cell r="C2419" t="str">
            <v>IT0003242622</v>
          </cell>
          <cell r="G2419">
            <v>12910580614.4</v>
          </cell>
        </row>
        <row r="2420">
          <cell r="C2420" t="str">
            <v>IT0003242622</v>
          </cell>
          <cell r="G2420">
            <v>12910580614.4</v>
          </cell>
        </row>
        <row r="2421">
          <cell r="C2421" t="str">
            <v>IT0003242622</v>
          </cell>
          <cell r="G2421">
            <v>12910580614.4</v>
          </cell>
        </row>
        <row r="2422">
          <cell r="C2422" t="str">
            <v>IT0003242622</v>
          </cell>
          <cell r="G2422">
            <v>12910580614.4</v>
          </cell>
        </row>
        <row r="2423">
          <cell r="C2423" t="str">
            <v>IT0003242622</v>
          </cell>
          <cell r="G2423">
            <v>12910580614.4</v>
          </cell>
        </row>
        <row r="2424">
          <cell r="C2424" t="str">
            <v>IT0003242622</v>
          </cell>
          <cell r="G2424">
            <v>12910580614.4</v>
          </cell>
        </row>
        <row r="2425">
          <cell r="C2425" t="str">
            <v>IT0003242622</v>
          </cell>
          <cell r="G2425">
            <v>12910580614.4</v>
          </cell>
        </row>
        <row r="2426">
          <cell r="C2426" t="str">
            <v>IT0003242622</v>
          </cell>
          <cell r="G2426">
            <v>12910580614.4</v>
          </cell>
        </row>
        <row r="2427">
          <cell r="C2427" t="str">
            <v>IT0003242622</v>
          </cell>
          <cell r="G2427">
            <v>12910580614.4</v>
          </cell>
        </row>
        <row r="2428">
          <cell r="C2428" t="str">
            <v>IT0003242622</v>
          </cell>
          <cell r="G2428">
            <v>12910580614.4</v>
          </cell>
        </row>
        <row r="2429">
          <cell r="C2429" t="str">
            <v>IT0003242622</v>
          </cell>
          <cell r="G2429">
            <v>12910580614.4</v>
          </cell>
        </row>
        <row r="2430">
          <cell r="C2430" t="str">
            <v>IT0003242622</v>
          </cell>
          <cell r="G2430">
            <v>12910580614.4</v>
          </cell>
        </row>
        <row r="2431">
          <cell r="C2431" t="str">
            <v>IE0004906560</v>
          </cell>
          <cell r="G2431">
            <v>12645207433.75</v>
          </cell>
        </row>
        <row r="2432">
          <cell r="C2432" t="str">
            <v>IE0004906560</v>
          </cell>
          <cell r="G2432">
            <v>12645207433.75</v>
          </cell>
        </row>
        <row r="2433">
          <cell r="C2433" t="str">
            <v>IE0004906560</v>
          </cell>
          <cell r="G2433">
            <v>12645207433.75</v>
          </cell>
        </row>
        <row r="2434">
          <cell r="C2434" t="str">
            <v>IE0004906560</v>
          </cell>
          <cell r="G2434">
            <v>12645207433.75</v>
          </cell>
        </row>
        <row r="2435">
          <cell r="C2435" t="str">
            <v>IE0004906560</v>
          </cell>
          <cell r="G2435">
            <v>12645207433.75</v>
          </cell>
        </row>
        <row r="2436">
          <cell r="C2436" t="str">
            <v>IE0004906560</v>
          </cell>
          <cell r="G2436">
            <v>12645207433.75</v>
          </cell>
        </row>
        <row r="2437">
          <cell r="C2437" t="str">
            <v>IE0004906560</v>
          </cell>
          <cell r="G2437">
            <v>12645207433.75</v>
          </cell>
        </row>
        <row r="2438">
          <cell r="C2438" t="str">
            <v>IE0004906560</v>
          </cell>
          <cell r="G2438">
            <v>12645207433.75</v>
          </cell>
        </row>
        <row r="2439">
          <cell r="C2439" t="str">
            <v>IE0004906560</v>
          </cell>
          <cell r="G2439">
            <v>12645207433.75</v>
          </cell>
        </row>
        <row r="2440">
          <cell r="C2440" t="str">
            <v>IE0004906560</v>
          </cell>
          <cell r="G2440">
            <v>12645207433.75</v>
          </cell>
        </row>
        <row r="2441">
          <cell r="C2441" t="str">
            <v>IE0004906560</v>
          </cell>
          <cell r="G2441">
            <v>12645207433.75</v>
          </cell>
        </row>
        <row r="2442">
          <cell r="C2442" t="str">
            <v>IE0004906560</v>
          </cell>
          <cell r="G2442">
            <v>12645207433.75</v>
          </cell>
        </row>
        <row r="2443">
          <cell r="C2443" t="str">
            <v>IE0004906560</v>
          </cell>
          <cell r="G2443">
            <v>12645207433.75</v>
          </cell>
        </row>
        <row r="2444">
          <cell r="C2444" t="str">
            <v>IE0004906560</v>
          </cell>
          <cell r="G2444">
            <v>12645207433.75</v>
          </cell>
        </row>
        <row r="2445">
          <cell r="C2445" t="str">
            <v>IT0000072170</v>
          </cell>
          <cell r="G2445">
            <v>12604567365.809999</v>
          </cell>
        </row>
        <row r="2446">
          <cell r="C2446" t="str">
            <v>IT0000072170</v>
          </cell>
          <cell r="G2446">
            <v>12604567365.809999</v>
          </cell>
        </row>
        <row r="2447">
          <cell r="C2447" t="str">
            <v>IT0000072170</v>
          </cell>
          <cell r="G2447">
            <v>12604567365.809999</v>
          </cell>
        </row>
        <row r="2448">
          <cell r="C2448" t="str">
            <v>IT0000072170</v>
          </cell>
          <cell r="G2448">
            <v>12604567365.809999</v>
          </cell>
        </row>
        <row r="2449">
          <cell r="C2449" t="str">
            <v>IT0000072170</v>
          </cell>
          <cell r="G2449">
            <v>12604567365.809999</v>
          </cell>
        </row>
        <row r="2450">
          <cell r="C2450" t="str">
            <v>IT0000072170</v>
          </cell>
          <cell r="G2450">
            <v>12604567365.809999</v>
          </cell>
        </row>
        <row r="2451">
          <cell r="C2451" t="str">
            <v>IT0000072170</v>
          </cell>
          <cell r="G2451">
            <v>12604567365.809999</v>
          </cell>
        </row>
        <row r="2452">
          <cell r="C2452" t="str">
            <v>IT0000072170</v>
          </cell>
          <cell r="G2452">
            <v>12604567365.809999</v>
          </cell>
        </row>
        <row r="2453">
          <cell r="C2453" t="str">
            <v>IT0000072170</v>
          </cell>
          <cell r="G2453">
            <v>12604567365.809999</v>
          </cell>
        </row>
        <row r="2454">
          <cell r="C2454" t="str">
            <v>IT0000072170</v>
          </cell>
          <cell r="G2454">
            <v>12604567365.809999</v>
          </cell>
        </row>
        <row r="2455">
          <cell r="C2455" t="str">
            <v>IT0000072170</v>
          </cell>
          <cell r="G2455">
            <v>12604567365.809999</v>
          </cell>
        </row>
        <row r="2456">
          <cell r="C2456" t="str">
            <v>IT0000072170</v>
          </cell>
          <cell r="G2456">
            <v>12604567365.809999</v>
          </cell>
        </row>
        <row r="2457">
          <cell r="C2457" t="str">
            <v>IT0000072170</v>
          </cell>
          <cell r="G2457">
            <v>12604567365.809999</v>
          </cell>
        </row>
        <row r="2458">
          <cell r="C2458" t="str">
            <v>IT0000072170</v>
          </cell>
          <cell r="G2458">
            <v>12604567365.809999</v>
          </cell>
        </row>
        <row r="2459">
          <cell r="C2459" t="str">
            <v>FI0009003727</v>
          </cell>
          <cell r="G2459">
            <v>12563471228.799999</v>
          </cell>
        </row>
        <row r="2460">
          <cell r="C2460" t="str">
            <v>FI0009003727</v>
          </cell>
          <cell r="G2460">
            <v>12563471228.799999</v>
          </cell>
        </row>
        <row r="2461">
          <cell r="C2461" t="str">
            <v>FI0009003727</v>
          </cell>
          <cell r="G2461">
            <v>12563471228.799999</v>
          </cell>
        </row>
        <row r="2462">
          <cell r="C2462" t="str">
            <v>FI0009003727</v>
          </cell>
          <cell r="G2462">
            <v>12563471228.799999</v>
          </cell>
        </row>
        <row r="2463">
          <cell r="C2463" t="str">
            <v>FI0009003727</v>
          </cell>
          <cell r="G2463">
            <v>12563471228.799999</v>
          </cell>
        </row>
        <row r="2464">
          <cell r="C2464" t="str">
            <v>FI0009003727</v>
          </cell>
          <cell r="G2464">
            <v>12563471228.799999</v>
          </cell>
        </row>
        <row r="2465">
          <cell r="C2465" t="str">
            <v>FI0009003727</v>
          </cell>
          <cell r="G2465">
            <v>12563471228.799999</v>
          </cell>
        </row>
        <row r="2466">
          <cell r="C2466" t="str">
            <v>FI0009003727</v>
          </cell>
          <cell r="G2466">
            <v>12563471228.799999</v>
          </cell>
        </row>
        <row r="2467">
          <cell r="C2467" t="str">
            <v>FI0009003727</v>
          </cell>
          <cell r="G2467">
            <v>12563471228.799999</v>
          </cell>
        </row>
        <row r="2468">
          <cell r="C2468" t="str">
            <v>FI0009003727</v>
          </cell>
          <cell r="G2468">
            <v>12563471228.799999</v>
          </cell>
        </row>
        <row r="2469">
          <cell r="C2469" t="str">
            <v>FI0009003727</v>
          </cell>
          <cell r="G2469">
            <v>12563471228.799999</v>
          </cell>
        </row>
        <row r="2470">
          <cell r="C2470" t="str">
            <v>FI0009003727</v>
          </cell>
          <cell r="G2470">
            <v>12563471228.799999</v>
          </cell>
        </row>
        <row r="2471">
          <cell r="C2471" t="str">
            <v>FI0009003727</v>
          </cell>
          <cell r="G2471">
            <v>12563471228.799999</v>
          </cell>
        </row>
        <row r="2472">
          <cell r="C2472" t="str">
            <v>FI0009003727</v>
          </cell>
          <cell r="G2472">
            <v>12563471228.799999</v>
          </cell>
        </row>
        <row r="2473">
          <cell r="C2473" t="str">
            <v>FI0009003727</v>
          </cell>
          <cell r="G2473">
            <v>12563471228.799999</v>
          </cell>
        </row>
        <row r="2474">
          <cell r="C2474" t="str">
            <v>FI0009003727</v>
          </cell>
          <cell r="G2474">
            <v>12563471228.799999</v>
          </cell>
        </row>
        <row r="2475">
          <cell r="C2475" t="str">
            <v>FI0009003727</v>
          </cell>
          <cell r="G2475">
            <v>12563471228.799999</v>
          </cell>
        </row>
        <row r="2476">
          <cell r="C2476" t="str">
            <v>IT0004965148</v>
          </cell>
          <cell r="G2476">
            <v>12359672587.104</v>
          </cell>
        </row>
        <row r="2477">
          <cell r="C2477" t="str">
            <v>IT0004965148</v>
          </cell>
          <cell r="G2477">
            <v>12359672587.104</v>
          </cell>
        </row>
        <row r="2478">
          <cell r="C2478" t="str">
            <v>IT0004965148</v>
          </cell>
          <cell r="G2478">
            <v>12359672587.104</v>
          </cell>
        </row>
        <row r="2479">
          <cell r="C2479" t="str">
            <v>IT0004965148</v>
          </cell>
          <cell r="G2479">
            <v>12359672587.104</v>
          </cell>
        </row>
        <row r="2480">
          <cell r="C2480" t="str">
            <v>IT0004965148</v>
          </cell>
          <cell r="G2480">
            <v>12359672587.104</v>
          </cell>
        </row>
        <row r="2481">
          <cell r="C2481" t="str">
            <v>IT0004965148</v>
          </cell>
          <cell r="G2481">
            <v>12359672587.104</v>
          </cell>
        </row>
        <row r="2482">
          <cell r="C2482" t="str">
            <v>IT0004965148</v>
          </cell>
          <cell r="G2482">
            <v>12359672587.104</v>
          </cell>
        </row>
        <row r="2483">
          <cell r="C2483" t="str">
            <v>IT0004965148</v>
          </cell>
          <cell r="G2483">
            <v>12359672587.104</v>
          </cell>
        </row>
        <row r="2484">
          <cell r="C2484" t="str">
            <v>IT0004965148</v>
          </cell>
          <cell r="G2484">
            <v>12359672587.104</v>
          </cell>
        </row>
        <row r="2485">
          <cell r="C2485" t="str">
            <v>IT0004965148</v>
          </cell>
          <cell r="G2485">
            <v>12359672587.104</v>
          </cell>
        </row>
        <row r="2486">
          <cell r="C2486" t="str">
            <v>IT0004965148</v>
          </cell>
          <cell r="G2486">
            <v>12359672587.104</v>
          </cell>
        </row>
        <row r="2487">
          <cell r="C2487" t="str">
            <v>IT0004965148</v>
          </cell>
          <cell r="G2487">
            <v>12359672587.104</v>
          </cell>
        </row>
        <row r="2488">
          <cell r="C2488" t="str">
            <v>IT0004965148</v>
          </cell>
          <cell r="G2488">
            <v>12359672587.104</v>
          </cell>
        </row>
        <row r="2489">
          <cell r="C2489" t="str">
            <v>IT0004965148</v>
          </cell>
          <cell r="G2489">
            <v>12359672587.104</v>
          </cell>
        </row>
        <row r="2490">
          <cell r="C2490" t="str">
            <v>FI0009005987</v>
          </cell>
          <cell r="G2490">
            <v>12090424864.09</v>
          </cell>
        </row>
        <row r="2491">
          <cell r="C2491" t="str">
            <v>FI0009005987</v>
          </cell>
          <cell r="G2491">
            <v>12090424864.09</v>
          </cell>
        </row>
        <row r="2492">
          <cell r="C2492" t="str">
            <v>FI0009005987</v>
          </cell>
          <cell r="G2492">
            <v>12090424864.09</v>
          </cell>
        </row>
        <row r="2493">
          <cell r="C2493" t="str">
            <v>FI0009005987</v>
          </cell>
          <cell r="G2493">
            <v>12090424864.09</v>
          </cell>
        </row>
        <row r="2494">
          <cell r="C2494" t="str">
            <v>FI0009005987</v>
          </cell>
          <cell r="G2494">
            <v>12090424864.09</v>
          </cell>
        </row>
        <row r="2495">
          <cell r="C2495" t="str">
            <v>FI0009005987</v>
          </cell>
          <cell r="G2495">
            <v>12090424864.09</v>
          </cell>
        </row>
        <row r="2496">
          <cell r="C2496" t="str">
            <v>FI0009005987</v>
          </cell>
          <cell r="G2496">
            <v>12090424864.09</v>
          </cell>
        </row>
        <row r="2497">
          <cell r="C2497" t="str">
            <v>FI0009005987</v>
          </cell>
          <cell r="G2497">
            <v>12090424864.09</v>
          </cell>
        </row>
        <row r="2498">
          <cell r="C2498" t="str">
            <v>FI0009005987</v>
          </cell>
          <cell r="G2498">
            <v>12090424864.09</v>
          </cell>
        </row>
        <row r="2499">
          <cell r="C2499" t="str">
            <v>FI0009005987</v>
          </cell>
          <cell r="G2499">
            <v>12090424864.09</v>
          </cell>
        </row>
        <row r="2500">
          <cell r="C2500" t="str">
            <v>FI0009005987</v>
          </cell>
          <cell r="G2500">
            <v>12090424864.09</v>
          </cell>
        </row>
        <row r="2501">
          <cell r="C2501" t="str">
            <v>FI0009005987</v>
          </cell>
          <cell r="G2501">
            <v>12090424864.09</v>
          </cell>
        </row>
        <row r="2502">
          <cell r="C2502" t="str">
            <v>FI0009005987</v>
          </cell>
          <cell r="G2502">
            <v>12090424864.09</v>
          </cell>
        </row>
        <row r="2503">
          <cell r="C2503" t="str">
            <v>FI0009005987</v>
          </cell>
          <cell r="G2503">
            <v>12090424864.09</v>
          </cell>
        </row>
        <row r="2504">
          <cell r="C2504" t="str">
            <v>FI0009005987</v>
          </cell>
          <cell r="G2504">
            <v>12090424864.09</v>
          </cell>
        </row>
        <row r="2505">
          <cell r="C2505" t="str">
            <v>FI0009005987</v>
          </cell>
          <cell r="G2505">
            <v>12090424864.09</v>
          </cell>
        </row>
        <row r="2506">
          <cell r="C2506" t="str">
            <v>FI0009005987</v>
          </cell>
          <cell r="G2506">
            <v>12090424864.09</v>
          </cell>
        </row>
        <row r="2507">
          <cell r="C2507" t="str">
            <v>NL0000226223</v>
          </cell>
          <cell r="G2507">
            <v>11998849040.639999</v>
          </cell>
        </row>
        <row r="2508">
          <cell r="C2508" t="str">
            <v>NL0000226223</v>
          </cell>
          <cell r="G2508">
            <v>11998849040.639999</v>
          </cell>
        </row>
        <row r="2509">
          <cell r="C2509" t="str">
            <v>NL0000226223</v>
          </cell>
          <cell r="G2509">
            <v>11998849040.639999</v>
          </cell>
        </row>
        <row r="2510">
          <cell r="C2510" t="str">
            <v>NL0000226223</v>
          </cell>
          <cell r="G2510">
            <v>11998849040.639999</v>
          </cell>
        </row>
        <row r="2511">
          <cell r="C2511" t="str">
            <v>NL0000226223</v>
          </cell>
          <cell r="G2511">
            <v>11998849040.639999</v>
          </cell>
        </row>
        <row r="2512">
          <cell r="C2512" t="str">
            <v>NL0000226223</v>
          </cell>
          <cell r="G2512">
            <v>11998849040.639999</v>
          </cell>
        </row>
        <row r="2513">
          <cell r="C2513" t="str">
            <v>NL0000226223</v>
          </cell>
          <cell r="G2513">
            <v>11998849040.639999</v>
          </cell>
        </row>
        <row r="2514">
          <cell r="C2514" t="str">
            <v>NL0000226223</v>
          </cell>
          <cell r="G2514">
            <v>11998849040.639999</v>
          </cell>
        </row>
        <row r="2515">
          <cell r="C2515" t="str">
            <v>NL0000226223</v>
          </cell>
          <cell r="G2515">
            <v>11998849040.639999</v>
          </cell>
        </row>
        <row r="2516">
          <cell r="C2516" t="str">
            <v>NL0000226223</v>
          </cell>
          <cell r="G2516">
            <v>11998849040.639999</v>
          </cell>
        </row>
        <row r="2517">
          <cell r="C2517" t="str">
            <v>NL0000226223</v>
          </cell>
          <cell r="G2517">
            <v>11998849040.639999</v>
          </cell>
        </row>
        <row r="2518">
          <cell r="C2518" t="str">
            <v>NL0000226223</v>
          </cell>
          <cell r="G2518">
            <v>11998849040.639999</v>
          </cell>
        </row>
        <row r="2519">
          <cell r="C2519" t="str">
            <v>NL0000226223</v>
          </cell>
          <cell r="G2519">
            <v>11998849040.639999</v>
          </cell>
        </row>
        <row r="2520">
          <cell r="C2520" t="str">
            <v>NL0000226223</v>
          </cell>
          <cell r="G2520">
            <v>11998849040.639999</v>
          </cell>
        </row>
        <row r="2521">
          <cell r="C2521" t="str">
            <v>IT0003153415</v>
          </cell>
          <cell r="G2521">
            <v>11538497029.858801</v>
          </cell>
        </row>
        <row r="2522">
          <cell r="C2522" t="str">
            <v>IT0003153415</v>
          </cell>
          <cell r="G2522">
            <v>11538497029.858801</v>
          </cell>
        </row>
        <row r="2523">
          <cell r="C2523" t="str">
            <v>IT0003153415</v>
          </cell>
          <cell r="G2523">
            <v>11538497029.858801</v>
          </cell>
        </row>
        <row r="2524">
          <cell r="C2524" t="str">
            <v>IT0003153415</v>
          </cell>
          <cell r="G2524">
            <v>11538497029.858801</v>
          </cell>
        </row>
        <row r="2525">
          <cell r="C2525" t="str">
            <v>IT0003153415</v>
          </cell>
          <cell r="G2525">
            <v>11538497029.858801</v>
          </cell>
        </row>
        <row r="2526">
          <cell r="C2526" t="str">
            <v>IT0003153415</v>
          </cell>
          <cell r="G2526">
            <v>11538497029.858801</v>
          </cell>
        </row>
        <row r="2527">
          <cell r="C2527" t="str">
            <v>IT0003153415</v>
          </cell>
          <cell r="G2527">
            <v>11538497029.858801</v>
          </cell>
        </row>
        <row r="2528">
          <cell r="C2528" t="str">
            <v>IT0003153415</v>
          </cell>
          <cell r="G2528">
            <v>11538497029.858801</v>
          </cell>
        </row>
        <row r="2529">
          <cell r="C2529" t="str">
            <v>IT0003153415</v>
          </cell>
          <cell r="G2529">
            <v>11538497029.858801</v>
          </cell>
        </row>
        <row r="2530">
          <cell r="C2530" t="str">
            <v>IT0003153415</v>
          </cell>
          <cell r="G2530">
            <v>11538497029.858801</v>
          </cell>
        </row>
        <row r="2531">
          <cell r="C2531" t="str">
            <v>IT0003153415</v>
          </cell>
          <cell r="G2531">
            <v>11538497029.858801</v>
          </cell>
        </row>
        <row r="2532">
          <cell r="C2532" t="str">
            <v>IT0003153415</v>
          </cell>
          <cell r="G2532">
            <v>11538497029.858801</v>
          </cell>
        </row>
        <row r="2533">
          <cell r="C2533" t="str">
            <v>IT0003153415</v>
          </cell>
          <cell r="G2533">
            <v>11538497029.858801</v>
          </cell>
        </row>
        <row r="2534">
          <cell r="C2534" t="str">
            <v>IT0003153415</v>
          </cell>
          <cell r="G2534">
            <v>11538497029.858801</v>
          </cell>
        </row>
        <row r="2535">
          <cell r="C2535" t="str">
            <v>DE0006048432</v>
          </cell>
          <cell r="G2535">
            <v>11259537058.26</v>
          </cell>
        </row>
        <row r="2536">
          <cell r="C2536" t="str">
            <v>DE0006048432</v>
          </cell>
          <cell r="G2536">
            <v>11259537058.26</v>
          </cell>
        </row>
        <row r="2537">
          <cell r="C2537" t="str">
            <v>DE0006048432</v>
          </cell>
          <cell r="G2537">
            <v>11259537058.26</v>
          </cell>
        </row>
        <row r="2538">
          <cell r="C2538" t="str">
            <v>DE0006048432</v>
          </cell>
          <cell r="G2538">
            <v>11259537058.26</v>
          </cell>
        </row>
        <row r="2539">
          <cell r="C2539" t="str">
            <v>DE0006048432</v>
          </cell>
          <cell r="G2539">
            <v>11259537058.26</v>
          </cell>
        </row>
        <row r="2540">
          <cell r="C2540" t="str">
            <v>DE0006048432</v>
          </cell>
          <cell r="G2540">
            <v>11259537058.26</v>
          </cell>
        </row>
        <row r="2541">
          <cell r="C2541" t="str">
            <v>DE0006048432</v>
          </cell>
          <cell r="G2541">
            <v>11259537058.26</v>
          </cell>
        </row>
        <row r="2542">
          <cell r="C2542" t="str">
            <v>DE0006048432</v>
          </cell>
          <cell r="G2542">
            <v>11259537058.26</v>
          </cell>
        </row>
        <row r="2543">
          <cell r="C2543" t="str">
            <v>DE0006048432</v>
          </cell>
          <cell r="G2543">
            <v>11259537058.26</v>
          </cell>
        </row>
        <row r="2544">
          <cell r="C2544" t="str">
            <v>DE0006048432</v>
          </cell>
          <cell r="G2544">
            <v>11259537058.26</v>
          </cell>
        </row>
        <row r="2545">
          <cell r="C2545" t="str">
            <v>DE0006048432</v>
          </cell>
          <cell r="G2545">
            <v>11259537058.26</v>
          </cell>
        </row>
        <row r="2546">
          <cell r="C2546" t="str">
            <v>DE0006048432</v>
          </cell>
          <cell r="G2546">
            <v>11259537058.26</v>
          </cell>
        </row>
        <row r="2547">
          <cell r="C2547" t="str">
            <v>DE0006048432</v>
          </cell>
          <cell r="G2547">
            <v>11259537058.26</v>
          </cell>
        </row>
        <row r="2548">
          <cell r="C2548" t="str">
            <v>DE0006048432</v>
          </cell>
          <cell r="G2548">
            <v>11259537058.26</v>
          </cell>
        </row>
        <row r="2549">
          <cell r="C2549" t="str">
            <v>PTEDP0AM0009</v>
          </cell>
          <cell r="G2549">
            <v>11012344914.368</v>
          </cell>
        </row>
        <row r="2550">
          <cell r="C2550" t="str">
            <v>PTEDP0AM0009</v>
          </cell>
          <cell r="G2550">
            <v>11012344914.368</v>
          </cell>
        </row>
        <row r="2551">
          <cell r="C2551" t="str">
            <v>PTEDP0AM0009</v>
          </cell>
          <cell r="G2551">
            <v>11012344914.368</v>
          </cell>
        </row>
        <row r="2552">
          <cell r="C2552" t="str">
            <v>PTEDP0AM0009</v>
          </cell>
          <cell r="G2552">
            <v>11012344914.368</v>
          </cell>
        </row>
        <row r="2553">
          <cell r="C2553" t="str">
            <v>PTEDP0AM0009</v>
          </cell>
          <cell r="G2553">
            <v>11012344914.368</v>
          </cell>
        </row>
        <row r="2554">
          <cell r="C2554" t="str">
            <v>PTEDP0AM0009</v>
          </cell>
          <cell r="G2554">
            <v>11012344914.368</v>
          </cell>
        </row>
        <row r="2555">
          <cell r="C2555" t="str">
            <v>PTEDP0AM0009</v>
          </cell>
          <cell r="G2555">
            <v>11012344914.368</v>
          </cell>
        </row>
        <row r="2556">
          <cell r="C2556" t="str">
            <v>PTEDP0AM0009</v>
          </cell>
          <cell r="G2556">
            <v>11012344914.368</v>
          </cell>
        </row>
        <row r="2557">
          <cell r="C2557" t="str">
            <v>PTEDP0AM0009</v>
          </cell>
          <cell r="G2557">
            <v>11012344914.368</v>
          </cell>
        </row>
        <row r="2558">
          <cell r="C2558" t="str">
            <v>PTEDP0AM0009</v>
          </cell>
          <cell r="G2558">
            <v>11012344914.368</v>
          </cell>
        </row>
        <row r="2559">
          <cell r="C2559" t="str">
            <v>PTEDP0AM0009</v>
          </cell>
          <cell r="G2559">
            <v>11012344914.368</v>
          </cell>
        </row>
        <row r="2560">
          <cell r="C2560" t="str">
            <v>PTEDP0AM0009</v>
          </cell>
          <cell r="G2560">
            <v>11012344914.368</v>
          </cell>
        </row>
        <row r="2561">
          <cell r="C2561" t="str">
            <v>PTEDP0AM0009</v>
          </cell>
          <cell r="G2561">
            <v>11012344914.368</v>
          </cell>
        </row>
        <row r="2562">
          <cell r="C2562" t="str">
            <v>PTEDP0AM0009</v>
          </cell>
          <cell r="G2562">
            <v>11012344914.368</v>
          </cell>
        </row>
        <row r="2563">
          <cell r="C2563" t="str">
            <v>PTEDP0AM0009</v>
          </cell>
          <cell r="G2563">
            <v>11012344914.368</v>
          </cell>
        </row>
        <row r="2564">
          <cell r="C2564" t="str">
            <v>PTEDP0AM0009</v>
          </cell>
          <cell r="G2564">
            <v>11012344914.368</v>
          </cell>
        </row>
        <row r="2565">
          <cell r="C2565" t="str">
            <v>PTEDP0AM0009</v>
          </cell>
          <cell r="G2565">
            <v>11012344914.368</v>
          </cell>
        </row>
        <row r="2566">
          <cell r="C2566" t="str">
            <v>FR0013326246</v>
          </cell>
          <cell r="G2566">
            <v>10885166804.73</v>
          </cell>
        </row>
        <row r="2567">
          <cell r="C2567" t="str">
            <v>FR0013326246</v>
          </cell>
          <cell r="G2567">
            <v>10885166804.73</v>
          </cell>
        </row>
        <row r="2568">
          <cell r="C2568" t="str">
            <v>FR0013326246</v>
          </cell>
          <cell r="G2568">
            <v>10885166804.73</v>
          </cell>
        </row>
        <row r="2569">
          <cell r="C2569" t="str">
            <v>FR0013326246</v>
          </cell>
          <cell r="G2569">
            <v>10885166804.73</v>
          </cell>
        </row>
        <row r="2570">
          <cell r="C2570" t="str">
            <v>FR0013326246</v>
          </cell>
          <cell r="G2570">
            <v>10885166804.73</v>
          </cell>
        </row>
        <row r="2571">
          <cell r="C2571" t="str">
            <v>FR0013326246</v>
          </cell>
          <cell r="G2571">
            <v>10885166804.73</v>
          </cell>
        </row>
        <row r="2572">
          <cell r="C2572" t="str">
            <v>FR0013326246</v>
          </cell>
          <cell r="G2572">
            <v>10885166804.73</v>
          </cell>
        </row>
        <row r="2573">
          <cell r="C2573" t="str">
            <v>FR0013326246</v>
          </cell>
          <cell r="G2573">
            <v>10885166804.73</v>
          </cell>
        </row>
        <row r="2574">
          <cell r="C2574" t="str">
            <v>FR0013326246</v>
          </cell>
          <cell r="G2574">
            <v>10885166804.73</v>
          </cell>
        </row>
        <row r="2575">
          <cell r="C2575" t="str">
            <v>FR0013326246</v>
          </cell>
          <cell r="G2575">
            <v>10885166804.73</v>
          </cell>
        </row>
        <row r="2576">
          <cell r="C2576" t="str">
            <v>FR0013326246</v>
          </cell>
          <cell r="G2576">
            <v>10885166804.73</v>
          </cell>
        </row>
        <row r="2577">
          <cell r="C2577" t="str">
            <v>FR0013326246</v>
          </cell>
          <cell r="G2577">
            <v>10885166804.73</v>
          </cell>
        </row>
        <row r="2578">
          <cell r="C2578" t="str">
            <v>FR0013326246</v>
          </cell>
          <cell r="G2578">
            <v>10885166804.73</v>
          </cell>
        </row>
        <row r="2579">
          <cell r="C2579" t="str">
            <v>FR0013326246</v>
          </cell>
          <cell r="G2579">
            <v>10885166804.73</v>
          </cell>
        </row>
        <row r="2580">
          <cell r="C2580" t="str">
            <v>IE0004927939</v>
          </cell>
          <cell r="G2580">
            <v>10219887392.5825</v>
          </cell>
        </row>
        <row r="2581">
          <cell r="C2581" t="str">
            <v>IE0004927939</v>
          </cell>
          <cell r="G2581">
            <v>10219887392.5825</v>
          </cell>
        </row>
        <row r="2582">
          <cell r="C2582" t="str">
            <v>IE0004927939</v>
          </cell>
          <cell r="G2582">
            <v>10219887392.5825</v>
          </cell>
        </row>
        <row r="2583">
          <cell r="C2583" t="str">
            <v>IE0004927939</v>
          </cell>
          <cell r="G2583">
            <v>10219887392.5825</v>
          </cell>
        </row>
        <row r="2584">
          <cell r="C2584" t="str">
            <v>IE0004927939</v>
          </cell>
          <cell r="G2584">
            <v>10219887392.5825</v>
          </cell>
        </row>
        <row r="2585">
          <cell r="C2585" t="str">
            <v>IE0004927939</v>
          </cell>
          <cell r="G2585">
            <v>10219887392.5825</v>
          </cell>
        </row>
        <row r="2586">
          <cell r="C2586" t="str">
            <v>IE0004927939</v>
          </cell>
          <cell r="G2586">
            <v>10219887392.5825</v>
          </cell>
        </row>
        <row r="2587">
          <cell r="C2587" t="str">
            <v>IE0004927939</v>
          </cell>
          <cell r="G2587">
            <v>10219887392.5825</v>
          </cell>
        </row>
        <row r="2588">
          <cell r="C2588" t="str">
            <v>IE0004927939</v>
          </cell>
          <cell r="G2588">
            <v>10219887392.5825</v>
          </cell>
        </row>
        <row r="2589">
          <cell r="C2589" t="str">
            <v>IE0004927939</v>
          </cell>
          <cell r="G2589">
            <v>10219887392.5825</v>
          </cell>
        </row>
        <row r="2590">
          <cell r="C2590" t="str">
            <v>IE0004927939</v>
          </cell>
          <cell r="G2590">
            <v>10219887392.5825</v>
          </cell>
        </row>
        <row r="2591">
          <cell r="C2591" t="str">
            <v>IE0004927939</v>
          </cell>
          <cell r="G2591">
            <v>10219887392.5825</v>
          </cell>
        </row>
        <row r="2592">
          <cell r="C2592" t="str">
            <v>IE0004927939</v>
          </cell>
          <cell r="G2592">
            <v>10219887392.5825</v>
          </cell>
        </row>
        <row r="2593">
          <cell r="C2593" t="str">
            <v>IE0004927939</v>
          </cell>
          <cell r="G2593">
            <v>10219887392.5825</v>
          </cell>
        </row>
        <row r="2594">
          <cell r="C2594" t="str">
            <v>NL0006294274</v>
          </cell>
          <cell r="G2594">
            <v>9809008204.7999992</v>
          </cell>
        </row>
        <row r="2595">
          <cell r="C2595" t="str">
            <v>NL0006294274</v>
          </cell>
          <cell r="G2595">
            <v>9809008204.7999992</v>
          </cell>
        </row>
        <row r="2596">
          <cell r="C2596" t="str">
            <v>NL0006294274</v>
          </cell>
          <cell r="G2596">
            <v>9809008204.7999992</v>
          </cell>
        </row>
        <row r="2597">
          <cell r="C2597" t="str">
            <v>NL0006294274</v>
          </cell>
          <cell r="G2597">
            <v>9809008204.7999992</v>
          </cell>
        </row>
        <row r="2598">
          <cell r="C2598" t="str">
            <v>NL0006294274</v>
          </cell>
          <cell r="G2598">
            <v>9809008204.7999992</v>
          </cell>
        </row>
        <row r="2599">
          <cell r="C2599" t="str">
            <v>NL0006294274</v>
          </cell>
          <cell r="G2599">
            <v>9809008204.7999992</v>
          </cell>
        </row>
        <row r="2600">
          <cell r="C2600" t="str">
            <v>NL0006294274</v>
          </cell>
          <cell r="G2600">
            <v>9809008204.7999992</v>
          </cell>
        </row>
        <row r="2601">
          <cell r="C2601" t="str">
            <v>NL0006294274</v>
          </cell>
          <cell r="G2601">
            <v>9809008204.7999992</v>
          </cell>
        </row>
        <row r="2602">
          <cell r="C2602" t="str">
            <v>NL0006294274</v>
          </cell>
          <cell r="G2602">
            <v>9809008204.7999992</v>
          </cell>
        </row>
        <row r="2603">
          <cell r="C2603" t="str">
            <v>NL0006294274</v>
          </cell>
          <cell r="G2603">
            <v>9809008204.7999992</v>
          </cell>
        </row>
        <row r="2604">
          <cell r="C2604" t="str">
            <v>NL0006294274</v>
          </cell>
          <cell r="G2604">
            <v>9809008204.7999992</v>
          </cell>
        </row>
        <row r="2605">
          <cell r="C2605" t="str">
            <v>NL0006294274</v>
          </cell>
          <cell r="G2605">
            <v>9809008204.7999992</v>
          </cell>
        </row>
        <row r="2606">
          <cell r="C2606" t="str">
            <v>NL0006294274</v>
          </cell>
          <cell r="G2606">
            <v>9809008204.7999992</v>
          </cell>
        </row>
        <row r="2607">
          <cell r="C2607" t="str">
            <v>NL0006294274</v>
          </cell>
          <cell r="G2607">
            <v>9809008204.7999992</v>
          </cell>
        </row>
        <row r="2608">
          <cell r="C2608" t="str">
            <v>ES0130670112</v>
          </cell>
          <cell r="G2608">
            <v>9808279454.3999996</v>
          </cell>
        </row>
        <row r="2609">
          <cell r="C2609" t="str">
            <v>ES0130670112</v>
          </cell>
          <cell r="G2609">
            <v>9808279454.3999996</v>
          </cell>
        </row>
        <row r="2610">
          <cell r="C2610" t="str">
            <v>ES0130670112</v>
          </cell>
          <cell r="G2610">
            <v>9808279454.3999996</v>
          </cell>
        </row>
        <row r="2611">
          <cell r="C2611" t="str">
            <v>ES0130670112</v>
          </cell>
          <cell r="G2611">
            <v>9808279454.3999996</v>
          </cell>
        </row>
        <row r="2612">
          <cell r="C2612" t="str">
            <v>ES0130670112</v>
          </cell>
          <cell r="G2612">
            <v>9808279454.3999996</v>
          </cell>
        </row>
        <row r="2613">
          <cell r="C2613" t="str">
            <v>ES0130670112</v>
          </cell>
          <cell r="G2613">
            <v>9808279454.3999996</v>
          </cell>
        </row>
        <row r="2614">
          <cell r="C2614" t="str">
            <v>ES0130670112</v>
          </cell>
          <cell r="G2614">
            <v>9808279454.3999996</v>
          </cell>
        </row>
        <row r="2615">
          <cell r="C2615" t="str">
            <v>ES0130670112</v>
          </cell>
          <cell r="G2615">
            <v>9808279454.3999996</v>
          </cell>
        </row>
        <row r="2616">
          <cell r="C2616" t="str">
            <v>ES0130670112</v>
          </cell>
          <cell r="G2616">
            <v>9808279454.3999996</v>
          </cell>
        </row>
        <row r="2617">
          <cell r="C2617" t="str">
            <v>ES0130670112</v>
          </cell>
          <cell r="G2617">
            <v>9808279454.3999996</v>
          </cell>
        </row>
        <row r="2618">
          <cell r="C2618" t="str">
            <v>ES0130670112</v>
          </cell>
          <cell r="G2618">
            <v>9808279454.3999996</v>
          </cell>
        </row>
        <row r="2619">
          <cell r="C2619" t="str">
            <v>ES0130670112</v>
          </cell>
          <cell r="G2619">
            <v>9808279454.3999996</v>
          </cell>
        </row>
        <row r="2620">
          <cell r="C2620" t="str">
            <v>ES0130670112</v>
          </cell>
          <cell r="G2620">
            <v>9808279454.3999996</v>
          </cell>
        </row>
        <row r="2621">
          <cell r="C2621" t="str">
            <v>ES0130670112</v>
          </cell>
          <cell r="G2621">
            <v>9808279454.3999996</v>
          </cell>
        </row>
        <row r="2622">
          <cell r="C2622" t="str">
            <v>ES0130670112</v>
          </cell>
          <cell r="G2622">
            <v>9808279454.3999996</v>
          </cell>
        </row>
        <row r="2623">
          <cell r="C2623" t="str">
            <v>ES0130670112</v>
          </cell>
          <cell r="G2623">
            <v>9808279454.3999996</v>
          </cell>
        </row>
        <row r="2624">
          <cell r="C2624" t="str">
            <v>ES0130670112</v>
          </cell>
          <cell r="G2624">
            <v>9808279454.3999996</v>
          </cell>
        </row>
        <row r="2625">
          <cell r="C2625" t="str">
            <v>IT0003796171</v>
          </cell>
          <cell r="G2625">
            <v>9535909110</v>
          </cell>
        </row>
        <row r="2626">
          <cell r="C2626" t="str">
            <v>IT0003796171</v>
          </cell>
          <cell r="G2626">
            <v>9535909110</v>
          </cell>
        </row>
        <row r="2627">
          <cell r="C2627" t="str">
            <v>IT0003796171</v>
          </cell>
          <cell r="G2627">
            <v>9535909110</v>
          </cell>
        </row>
        <row r="2628">
          <cell r="C2628" t="str">
            <v>IT0003796171</v>
          </cell>
          <cell r="G2628">
            <v>9535909110</v>
          </cell>
        </row>
        <row r="2629">
          <cell r="C2629" t="str">
            <v>IT0003796171</v>
          </cell>
          <cell r="G2629">
            <v>9535909110</v>
          </cell>
        </row>
        <row r="2630">
          <cell r="C2630" t="str">
            <v>IT0003796171</v>
          </cell>
          <cell r="G2630">
            <v>9535909110</v>
          </cell>
        </row>
        <row r="2631">
          <cell r="C2631" t="str">
            <v>IT0003796171</v>
          </cell>
          <cell r="G2631">
            <v>9535909110</v>
          </cell>
        </row>
        <row r="2632">
          <cell r="C2632" t="str">
            <v>IT0003796171</v>
          </cell>
          <cell r="G2632">
            <v>9535909110</v>
          </cell>
        </row>
        <row r="2633">
          <cell r="C2633" t="str">
            <v>IT0003796171</v>
          </cell>
          <cell r="G2633">
            <v>9535909110</v>
          </cell>
        </row>
        <row r="2634">
          <cell r="C2634" t="str">
            <v>IT0003796171</v>
          </cell>
          <cell r="G2634">
            <v>9535909110</v>
          </cell>
        </row>
        <row r="2635">
          <cell r="C2635" t="str">
            <v>IT0003796171</v>
          </cell>
          <cell r="G2635">
            <v>9535909110</v>
          </cell>
        </row>
        <row r="2636">
          <cell r="C2636" t="str">
            <v>IT0003796171</v>
          </cell>
          <cell r="G2636">
            <v>9535909110</v>
          </cell>
        </row>
        <row r="2637">
          <cell r="C2637" t="str">
            <v>IT0003796171</v>
          </cell>
          <cell r="G2637">
            <v>9535909110</v>
          </cell>
        </row>
        <row r="2638">
          <cell r="C2638" t="str">
            <v>IT0003796171</v>
          </cell>
          <cell r="G2638">
            <v>9535909110</v>
          </cell>
        </row>
        <row r="2639">
          <cell r="C2639" t="str">
            <v>DE000SYM9999</v>
          </cell>
          <cell r="G2639">
            <v>9406379420.8999996</v>
          </cell>
        </row>
        <row r="2640">
          <cell r="C2640" t="str">
            <v>DE000SYM9999</v>
          </cell>
          <cell r="G2640">
            <v>9406379420.8999996</v>
          </cell>
        </row>
        <row r="2641">
          <cell r="C2641" t="str">
            <v>DE000SYM9999</v>
          </cell>
          <cell r="G2641">
            <v>9406379420.8999996</v>
          </cell>
        </row>
        <row r="2642">
          <cell r="C2642" t="str">
            <v>DE000SYM9999</v>
          </cell>
          <cell r="G2642">
            <v>9406379420.8999996</v>
          </cell>
        </row>
        <row r="2643">
          <cell r="C2643" t="str">
            <v>DE000SYM9999</v>
          </cell>
          <cell r="G2643">
            <v>9406379420.8999996</v>
          </cell>
        </row>
        <row r="2644">
          <cell r="C2644" t="str">
            <v>DE000SYM9999</v>
          </cell>
          <cell r="G2644">
            <v>9406379420.8999996</v>
          </cell>
        </row>
        <row r="2645">
          <cell r="C2645" t="str">
            <v>DE000SYM9999</v>
          </cell>
          <cell r="G2645">
            <v>9406379420.8999996</v>
          </cell>
        </row>
        <row r="2646">
          <cell r="C2646" t="str">
            <v>DE000SYM9999</v>
          </cell>
          <cell r="G2646">
            <v>9406379420.8999996</v>
          </cell>
        </row>
        <row r="2647">
          <cell r="C2647" t="str">
            <v>DE000SYM9999</v>
          </cell>
          <cell r="G2647">
            <v>9406379420.8999996</v>
          </cell>
        </row>
        <row r="2648">
          <cell r="C2648" t="str">
            <v>DE000SYM9999</v>
          </cell>
          <cell r="G2648">
            <v>9406379420.8999996</v>
          </cell>
        </row>
        <row r="2649">
          <cell r="C2649" t="str">
            <v>DE000SYM9999</v>
          </cell>
          <cell r="G2649">
            <v>9406379420.8999996</v>
          </cell>
        </row>
        <row r="2650">
          <cell r="C2650" t="str">
            <v>DE000SYM9999</v>
          </cell>
          <cell r="G2650">
            <v>9406379420.8999996</v>
          </cell>
        </row>
        <row r="2651">
          <cell r="C2651" t="str">
            <v>DE000SYM9999</v>
          </cell>
          <cell r="G2651">
            <v>9406379420.8999996</v>
          </cell>
        </row>
        <row r="2652">
          <cell r="C2652" t="str">
            <v>DE000SYM9999</v>
          </cell>
          <cell r="G2652">
            <v>9406379420.8999996</v>
          </cell>
        </row>
        <row r="2653">
          <cell r="C2653" t="str">
            <v>BE0974264930</v>
          </cell>
          <cell r="G2653">
            <v>9262566596.1600018</v>
          </cell>
        </row>
        <row r="2654">
          <cell r="C2654" t="str">
            <v>BE0974264930</v>
          </cell>
          <cell r="G2654">
            <v>9262566596.1600018</v>
          </cell>
        </row>
        <row r="2655">
          <cell r="C2655" t="str">
            <v>BE0974264930</v>
          </cell>
          <cell r="G2655">
            <v>9262566596.1600018</v>
          </cell>
        </row>
        <row r="2656">
          <cell r="C2656" t="str">
            <v>BE0974264930</v>
          </cell>
          <cell r="G2656">
            <v>9262566596.1600018</v>
          </cell>
        </row>
        <row r="2657">
          <cell r="C2657" t="str">
            <v>BE0974264930</v>
          </cell>
          <cell r="G2657">
            <v>9262566596.1600018</v>
          </cell>
        </row>
        <row r="2658">
          <cell r="C2658" t="str">
            <v>BE0974264930</v>
          </cell>
          <cell r="G2658">
            <v>9262566596.1600018</v>
          </cell>
        </row>
        <row r="2659">
          <cell r="C2659" t="str">
            <v>BE0974264930</v>
          </cell>
          <cell r="G2659">
            <v>9262566596.1600018</v>
          </cell>
        </row>
        <row r="2660">
          <cell r="C2660" t="str">
            <v>BE0974264930</v>
          </cell>
          <cell r="G2660">
            <v>9262566596.1600018</v>
          </cell>
        </row>
        <row r="2661">
          <cell r="C2661" t="str">
            <v>BE0974264930</v>
          </cell>
          <cell r="G2661">
            <v>9262566596.1600018</v>
          </cell>
        </row>
        <row r="2662">
          <cell r="C2662" t="str">
            <v>BE0974264930</v>
          </cell>
          <cell r="G2662">
            <v>9262566596.1600018</v>
          </cell>
        </row>
        <row r="2663">
          <cell r="C2663" t="str">
            <v>BE0974264930</v>
          </cell>
          <cell r="G2663">
            <v>9262566596.1600018</v>
          </cell>
        </row>
        <row r="2664">
          <cell r="C2664" t="str">
            <v>BE0974264930</v>
          </cell>
          <cell r="G2664">
            <v>9262566596.1600018</v>
          </cell>
        </row>
        <row r="2665">
          <cell r="C2665" t="str">
            <v>BE0974264930</v>
          </cell>
          <cell r="G2665">
            <v>9262566596.1600018</v>
          </cell>
        </row>
        <row r="2666">
          <cell r="C2666" t="str">
            <v>BE0974264930</v>
          </cell>
          <cell r="G2666">
            <v>9262566596.1600018</v>
          </cell>
        </row>
        <row r="2667">
          <cell r="C2667" t="str">
            <v>FR0006174348</v>
          </cell>
          <cell r="G2667">
            <v>9218130571.2000008</v>
          </cell>
        </row>
        <row r="2668">
          <cell r="C2668" t="str">
            <v>FR0006174348</v>
          </cell>
          <cell r="G2668">
            <v>9218130571.2000008</v>
          </cell>
        </row>
        <row r="2669">
          <cell r="C2669" t="str">
            <v>FR0006174348</v>
          </cell>
          <cell r="G2669">
            <v>9218130571.2000008</v>
          </cell>
        </row>
        <row r="2670">
          <cell r="C2670" t="str">
            <v>FR0006174348</v>
          </cell>
          <cell r="G2670">
            <v>9218130571.2000008</v>
          </cell>
        </row>
        <row r="2671">
          <cell r="C2671" t="str">
            <v>FR0006174348</v>
          </cell>
          <cell r="G2671">
            <v>9218130571.2000008</v>
          </cell>
        </row>
        <row r="2672">
          <cell r="C2672" t="str">
            <v>FR0006174348</v>
          </cell>
          <cell r="G2672">
            <v>9218130571.2000008</v>
          </cell>
        </row>
        <row r="2673">
          <cell r="C2673" t="str">
            <v>FR0006174348</v>
          </cell>
          <cell r="G2673">
            <v>9218130571.2000008</v>
          </cell>
        </row>
        <row r="2674">
          <cell r="C2674" t="str">
            <v>FR0006174348</v>
          </cell>
          <cell r="G2674">
            <v>9218130571.2000008</v>
          </cell>
        </row>
        <row r="2675">
          <cell r="C2675" t="str">
            <v>FR0006174348</v>
          </cell>
          <cell r="G2675">
            <v>9218130571.2000008</v>
          </cell>
        </row>
        <row r="2676">
          <cell r="C2676" t="str">
            <v>FR0006174348</v>
          </cell>
          <cell r="G2676">
            <v>9218130571.2000008</v>
          </cell>
        </row>
        <row r="2677">
          <cell r="C2677" t="str">
            <v>FR0006174348</v>
          </cell>
          <cell r="G2677">
            <v>9218130571.2000008</v>
          </cell>
        </row>
        <row r="2678">
          <cell r="C2678" t="str">
            <v>FR0006174348</v>
          </cell>
          <cell r="G2678">
            <v>9218130571.2000008</v>
          </cell>
        </row>
        <row r="2679">
          <cell r="C2679" t="str">
            <v>FR0006174348</v>
          </cell>
          <cell r="G2679">
            <v>9218130571.2000008</v>
          </cell>
        </row>
        <row r="2680">
          <cell r="C2680" t="str">
            <v>FR0006174348</v>
          </cell>
          <cell r="G2680">
            <v>9218130571.2000008</v>
          </cell>
        </row>
        <row r="2681">
          <cell r="C2681" t="str">
            <v>FR0000120172</v>
          </cell>
          <cell r="G2681">
            <v>9082995158.4067478</v>
          </cell>
        </row>
        <row r="2682">
          <cell r="C2682" t="str">
            <v>FR0000120172</v>
          </cell>
          <cell r="G2682">
            <v>9082995158.4067478</v>
          </cell>
        </row>
        <row r="2683">
          <cell r="C2683" t="str">
            <v>FR0000120172</v>
          </cell>
          <cell r="G2683">
            <v>9082995158.4067478</v>
          </cell>
        </row>
        <row r="2684">
          <cell r="C2684" t="str">
            <v>FR0000120172</v>
          </cell>
          <cell r="G2684">
            <v>9082995158.4067478</v>
          </cell>
        </row>
        <row r="2685">
          <cell r="C2685" t="str">
            <v>FR0000120172</v>
          </cell>
          <cell r="G2685">
            <v>9082995158.4067478</v>
          </cell>
        </row>
        <row r="2686">
          <cell r="C2686" t="str">
            <v>FR0000120172</v>
          </cell>
          <cell r="G2686">
            <v>9082995158.4067478</v>
          </cell>
        </row>
        <row r="2687">
          <cell r="C2687" t="str">
            <v>FR0000120172</v>
          </cell>
          <cell r="G2687">
            <v>9082995158.4067478</v>
          </cell>
        </row>
        <row r="2688">
          <cell r="C2688" t="str">
            <v>FR0000120172</v>
          </cell>
          <cell r="G2688">
            <v>9082995158.4067478</v>
          </cell>
        </row>
        <row r="2689">
          <cell r="C2689" t="str">
            <v>FR0000120172</v>
          </cell>
          <cell r="G2689">
            <v>9082995158.4067478</v>
          </cell>
        </row>
        <row r="2690">
          <cell r="C2690" t="str">
            <v>FR0000120172</v>
          </cell>
          <cell r="G2690">
            <v>9082995158.4067478</v>
          </cell>
        </row>
        <row r="2691">
          <cell r="C2691" t="str">
            <v>FR0000120172</v>
          </cell>
          <cell r="G2691">
            <v>9082995158.4067478</v>
          </cell>
        </row>
        <row r="2692">
          <cell r="C2692" t="str">
            <v>FR0000120172</v>
          </cell>
          <cell r="G2692">
            <v>9082995158.4067478</v>
          </cell>
        </row>
        <row r="2693">
          <cell r="C2693" t="str">
            <v>FR0000120172</v>
          </cell>
          <cell r="G2693">
            <v>9082995158.4067478</v>
          </cell>
        </row>
        <row r="2694">
          <cell r="C2694" t="str">
            <v>FR0000120172</v>
          </cell>
          <cell r="G2694">
            <v>9082995158.4067478</v>
          </cell>
        </row>
        <row r="2695">
          <cell r="C2695" t="str">
            <v>NL0012866412</v>
          </cell>
          <cell r="G2695">
            <v>8968337483.7600002</v>
          </cell>
        </row>
        <row r="2696">
          <cell r="C2696" t="str">
            <v>NL0012866412</v>
          </cell>
          <cell r="G2696">
            <v>8968337483.7600002</v>
          </cell>
        </row>
        <row r="2697">
          <cell r="C2697" t="str">
            <v>NL0012866412</v>
          </cell>
          <cell r="G2697">
            <v>8968337483.7600002</v>
          </cell>
        </row>
        <row r="2698">
          <cell r="C2698" t="str">
            <v>NL0012866412</v>
          </cell>
          <cell r="G2698">
            <v>8968337483.7600002</v>
          </cell>
        </row>
        <row r="2699">
          <cell r="C2699" t="str">
            <v>NL0012866412</v>
          </cell>
          <cell r="G2699">
            <v>8968337483.7600002</v>
          </cell>
        </row>
        <row r="2700">
          <cell r="C2700" t="str">
            <v>NL0012866412</v>
          </cell>
          <cell r="G2700">
            <v>8968337483.7600002</v>
          </cell>
        </row>
        <row r="2701">
          <cell r="C2701" t="str">
            <v>NL0012866412</v>
          </cell>
          <cell r="G2701">
            <v>8968337483.7600002</v>
          </cell>
        </row>
        <row r="2702">
          <cell r="C2702" t="str">
            <v>NL0012866412</v>
          </cell>
          <cell r="G2702">
            <v>8968337483.7600002</v>
          </cell>
        </row>
        <row r="2703">
          <cell r="C2703" t="str">
            <v>NL0012866412</v>
          </cell>
          <cell r="G2703">
            <v>8968337483.7600002</v>
          </cell>
        </row>
        <row r="2704">
          <cell r="C2704" t="str">
            <v>NL0012866412</v>
          </cell>
          <cell r="G2704">
            <v>8968337483.7600002</v>
          </cell>
        </row>
        <row r="2705">
          <cell r="C2705" t="str">
            <v>NL0012866412</v>
          </cell>
          <cell r="G2705">
            <v>8968337483.7600002</v>
          </cell>
        </row>
        <row r="2706">
          <cell r="C2706" t="str">
            <v>NL0012866412</v>
          </cell>
          <cell r="G2706">
            <v>8968337483.7600002</v>
          </cell>
        </row>
        <row r="2707">
          <cell r="C2707" t="str">
            <v>NL0012866412</v>
          </cell>
          <cell r="G2707">
            <v>8968337483.7600002</v>
          </cell>
        </row>
        <row r="2708">
          <cell r="C2708" t="str">
            <v>NL0012866412</v>
          </cell>
          <cell r="G2708">
            <v>8968337483.7600002</v>
          </cell>
        </row>
        <row r="2709">
          <cell r="C2709" t="str">
            <v>NL0015002CX3</v>
          </cell>
          <cell r="G2709">
            <v>8756039580</v>
          </cell>
        </row>
        <row r="2710">
          <cell r="C2710" t="str">
            <v>NL0015002CX3</v>
          </cell>
          <cell r="G2710">
            <v>8756039580</v>
          </cell>
        </row>
        <row r="2711">
          <cell r="C2711" t="str">
            <v>NL0015002CX3</v>
          </cell>
          <cell r="G2711">
            <v>8756039580</v>
          </cell>
        </row>
        <row r="2712">
          <cell r="C2712" t="str">
            <v>NL0015002CX3</v>
          </cell>
          <cell r="G2712">
            <v>8756039580</v>
          </cell>
        </row>
        <row r="2713">
          <cell r="C2713" t="str">
            <v>NL0015002CX3</v>
          </cell>
          <cell r="G2713">
            <v>8756039580</v>
          </cell>
        </row>
        <row r="2714">
          <cell r="C2714" t="str">
            <v>NL0015002CX3</v>
          </cell>
          <cell r="G2714">
            <v>8756039580</v>
          </cell>
        </row>
        <row r="2715">
          <cell r="C2715" t="str">
            <v>NL0015002CX3</v>
          </cell>
          <cell r="G2715">
            <v>8756039580</v>
          </cell>
        </row>
        <row r="2716">
          <cell r="C2716" t="str">
            <v>NL0015002CX3</v>
          </cell>
          <cell r="G2716">
            <v>8756039580</v>
          </cell>
        </row>
        <row r="2717">
          <cell r="C2717" t="str">
            <v>NL0015002CX3</v>
          </cell>
          <cell r="G2717">
            <v>8756039580</v>
          </cell>
        </row>
        <row r="2718">
          <cell r="C2718" t="str">
            <v>NL0015002CX3</v>
          </cell>
          <cell r="G2718">
            <v>8756039580</v>
          </cell>
        </row>
        <row r="2719">
          <cell r="C2719" t="str">
            <v>NL0015002CX3</v>
          </cell>
          <cell r="G2719">
            <v>8756039580</v>
          </cell>
        </row>
        <row r="2720">
          <cell r="C2720" t="str">
            <v>NL0015002CX3</v>
          </cell>
          <cell r="G2720">
            <v>8756039580</v>
          </cell>
        </row>
        <row r="2721">
          <cell r="C2721" t="str">
            <v>NL0015002CX3</v>
          </cell>
          <cell r="G2721">
            <v>8756039580</v>
          </cell>
        </row>
        <row r="2722">
          <cell r="C2722" t="str">
            <v>NL0015002CX3</v>
          </cell>
          <cell r="G2722">
            <v>8756039580</v>
          </cell>
        </row>
        <row r="2723">
          <cell r="C2723" t="str">
            <v>NL0013267909</v>
          </cell>
          <cell r="G2723">
            <v>8752233443.4359989</v>
          </cell>
        </row>
        <row r="2724">
          <cell r="C2724" t="str">
            <v>NL0013267909</v>
          </cell>
          <cell r="G2724">
            <v>8752233443.4359989</v>
          </cell>
        </row>
        <row r="2725">
          <cell r="C2725" t="str">
            <v>NL0013267909</v>
          </cell>
          <cell r="G2725">
            <v>8752233443.4359989</v>
          </cell>
        </row>
        <row r="2726">
          <cell r="C2726" t="str">
            <v>NL0013267909</v>
          </cell>
          <cell r="G2726">
            <v>8752233443.4359989</v>
          </cell>
        </row>
        <row r="2727">
          <cell r="C2727" t="str">
            <v>NL0013267909</v>
          </cell>
          <cell r="G2727">
            <v>8752233443.4359989</v>
          </cell>
        </row>
        <row r="2728">
          <cell r="C2728" t="str">
            <v>NL0013267909</v>
          </cell>
          <cell r="G2728">
            <v>8752233443.4359989</v>
          </cell>
        </row>
        <row r="2729">
          <cell r="C2729" t="str">
            <v>NL0013267909</v>
          </cell>
          <cell r="G2729">
            <v>8752233443.4359989</v>
          </cell>
        </row>
        <row r="2730">
          <cell r="C2730" t="str">
            <v>NL0013267909</v>
          </cell>
          <cell r="G2730">
            <v>8752233443.4359989</v>
          </cell>
        </row>
        <row r="2731">
          <cell r="C2731" t="str">
            <v>NL0013267909</v>
          </cell>
          <cell r="G2731">
            <v>8752233443.4359989</v>
          </cell>
        </row>
        <row r="2732">
          <cell r="C2732" t="str">
            <v>NL0013267909</v>
          </cell>
          <cell r="G2732">
            <v>8752233443.4359989</v>
          </cell>
        </row>
        <row r="2733">
          <cell r="C2733" t="str">
            <v>NL0013267909</v>
          </cell>
          <cell r="G2733">
            <v>8752233443.4359989</v>
          </cell>
        </row>
        <row r="2734">
          <cell r="C2734" t="str">
            <v>NL0013267909</v>
          </cell>
          <cell r="G2734">
            <v>8752233443.4359989</v>
          </cell>
        </row>
        <row r="2735">
          <cell r="C2735" t="str">
            <v>NL0013267909</v>
          </cell>
          <cell r="G2735">
            <v>8752233443.4359989</v>
          </cell>
        </row>
        <row r="2736">
          <cell r="C2736" t="str">
            <v>NL0013267909</v>
          </cell>
          <cell r="G2736">
            <v>8752233443.4359989</v>
          </cell>
        </row>
        <row r="2737">
          <cell r="C2737" t="str">
            <v>AT0000BAWAG2</v>
          </cell>
          <cell r="G2737">
            <v>8547000000</v>
          </cell>
        </row>
        <row r="2738">
          <cell r="C2738" t="str">
            <v>AT0000BAWAG2</v>
          </cell>
          <cell r="G2738">
            <v>8547000000</v>
          </cell>
        </row>
        <row r="2739">
          <cell r="C2739" t="str">
            <v>AT0000BAWAG2</v>
          </cell>
          <cell r="G2739">
            <v>8547000000</v>
          </cell>
        </row>
        <row r="2740">
          <cell r="C2740" t="str">
            <v>AT0000BAWAG2</v>
          </cell>
          <cell r="G2740">
            <v>8547000000</v>
          </cell>
        </row>
        <row r="2741">
          <cell r="C2741" t="str">
            <v>AT0000BAWAG2</v>
          </cell>
          <cell r="G2741">
            <v>8547000000</v>
          </cell>
        </row>
        <row r="2742">
          <cell r="C2742" t="str">
            <v>AT0000BAWAG2</v>
          </cell>
          <cell r="G2742">
            <v>8547000000</v>
          </cell>
        </row>
        <row r="2743">
          <cell r="C2743" t="str">
            <v>AT0000BAWAG2</v>
          </cell>
          <cell r="G2743">
            <v>8547000000</v>
          </cell>
        </row>
        <row r="2744">
          <cell r="C2744" t="str">
            <v>AT0000BAWAG2</v>
          </cell>
          <cell r="G2744">
            <v>8547000000</v>
          </cell>
        </row>
        <row r="2745">
          <cell r="C2745" t="str">
            <v>AT0000BAWAG2</v>
          </cell>
          <cell r="G2745">
            <v>8547000000</v>
          </cell>
        </row>
        <row r="2746">
          <cell r="C2746" t="str">
            <v>AT0000BAWAG2</v>
          </cell>
          <cell r="G2746">
            <v>8547000000</v>
          </cell>
        </row>
        <row r="2747">
          <cell r="C2747" t="str">
            <v>AT0000BAWAG2</v>
          </cell>
          <cell r="G2747">
            <v>8547000000</v>
          </cell>
        </row>
        <row r="2748">
          <cell r="C2748" t="str">
            <v>AT0000BAWAG2</v>
          </cell>
          <cell r="G2748">
            <v>8547000000</v>
          </cell>
        </row>
        <row r="2749">
          <cell r="C2749" t="str">
            <v>AT0000BAWAG2</v>
          </cell>
          <cell r="G2749">
            <v>8547000000</v>
          </cell>
        </row>
        <row r="2750">
          <cell r="C2750" t="str">
            <v>AT0000BAWAG2</v>
          </cell>
          <cell r="G2750">
            <v>8547000000</v>
          </cell>
        </row>
        <row r="2751">
          <cell r="C2751" t="str">
            <v>DE0006602006</v>
          </cell>
          <cell r="G2751">
            <v>8403008197.0500002</v>
          </cell>
        </row>
        <row r="2752">
          <cell r="C2752" t="str">
            <v>DE0006602006</v>
          </cell>
          <cell r="G2752">
            <v>8403008197.0500002</v>
          </cell>
        </row>
        <row r="2753">
          <cell r="C2753" t="str">
            <v>DE0006602006</v>
          </cell>
          <cell r="G2753">
            <v>8403008197.0500002</v>
          </cell>
        </row>
        <row r="2754">
          <cell r="C2754" t="str">
            <v>DE0006602006</v>
          </cell>
          <cell r="G2754">
            <v>8403008197.0500002</v>
          </cell>
        </row>
        <row r="2755">
          <cell r="C2755" t="str">
            <v>DE0006602006</v>
          </cell>
          <cell r="G2755">
            <v>8403008197.0500002</v>
          </cell>
        </row>
        <row r="2756">
          <cell r="C2756" t="str">
            <v>DE0006602006</v>
          </cell>
          <cell r="G2756">
            <v>8403008197.0500002</v>
          </cell>
        </row>
        <row r="2757">
          <cell r="C2757" t="str">
            <v>DE0006602006</v>
          </cell>
          <cell r="G2757">
            <v>8403008197.0500002</v>
          </cell>
        </row>
        <row r="2758">
          <cell r="C2758" t="str">
            <v>DE0006602006</v>
          </cell>
          <cell r="G2758">
            <v>8403008197.0500002</v>
          </cell>
        </row>
        <row r="2759">
          <cell r="C2759" t="str">
            <v>DE0006602006</v>
          </cell>
          <cell r="G2759">
            <v>8403008197.0500002</v>
          </cell>
        </row>
        <row r="2760">
          <cell r="C2760" t="str">
            <v>DE0006602006</v>
          </cell>
          <cell r="G2760">
            <v>8403008197.0500002</v>
          </cell>
        </row>
        <row r="2761">
          <cell r="C2761" t="str">
            <v>DE0006602006</v>
          </cell>
          <cell r="G2761">
            <v>8403008197.0500002</v>
          </cell>
        </row>
        <row r="2762">
          <cell r="C2762" t="str">
            <v>DE0006602006</v>
          </cell>
          <cell r="G2762">
            <v>8403008197.0500002</v>
          </cell>
        </row>
        <row r="2763">
          <cell r="C2763" t="str">
            <v>DE0006602006</v>
          </cell>
          <cell r="G2763">
            <v>8403008197.0500002</v>
          </cell>
        </row>
        <row r="2764">
          <cell r="C2764" t="str">
            <v>DE0006602006</v>
          </cell>
          <cell r="G2764">
            <v>8403008197.0500002</v>
          </cell>
        </row>
        <row r="2765">
          <cell r="C2765" t="str">
            <v>NL0011872643</v>
          </cell>
          <cell r="G2765">
            <v>8402183041.7000008</v>
          </cell>
        </row>
        <row r="2766">
          <cell r="C2766" t="str">
            <v>NL0011872643</v>
          </cell>
          <cell r="G2766">
            <v>8402183041.7000008</v>
          </cell>
        </row>
        <row r="2767">
          <cell r="C2767" t="str">
            <v>NL0011872643</v>
          </cell>
          <cell r="G2767">
            <v>8402183041.7000008</v>
          </cell>
        </row>
        <row r="2768">
          <cell r="C2768" t="str">
            <v>NL0011872643</v>
          </cell>
          <cell r="G2768">
            <v>8402183041.7000008</v>
          </cell>
        </row>
        <row r="2769">
          <cell r="C2769" t="str">
            <v>NL0011872643</v>
          </cell>
          <cell r="G2769">
            <v>8402183041.7000008</v>
          </cell>
        </row>
        <row r="2770">
          <cell r="C2770" t="str">
            <v>NL0011872643</v>
          </cell>
          <cell r="G2770">
            <v>8402183041.7000008</v>
          </cell>
        </row>
        <row r="2771">
          <cell r="C2771" t="str">
            <v>NL0011872643</v>
          </cell>
          <cell r="G2771">
            <v>8402183041.7000008</v>
          </cell>
        </row>
        <row r="2772">
          <cell r="C2772" t="str">
            <v>NL0011872643</v>
          </cell>
          <cell r="G2772">
            <v>8402183041.7000008</v>
          </cell>
        </row>
        <row r="2773">
          <cell r="C2773" t="str">
            <v>NL0011872643</v>
          </cell>
          <cell r="G2773">
            <v>8402183041.7000008</v>
          </cell>
        </row>
        <row r="2774">
          <cell r="C2774" t="str">
            <v>NL0011872643</v>
          </cell>
          <cell r="G2774">
            <v>8402183041.7000008</v>
          </cell>
        </row>
        <row r="2775">
          <cell r="C2775" t="str">
            <v>NL0011872643</v>
          </cell>
          <cell r="G2775">
            <v>8402183041.7000008</v>
          </cell>
        </row>
        <row r="2776">
          <cell r="C2776" t="str">
            <v>NL0011872643</v>
          </cell>
          <cell r="G2776">
            <v>8402183041.7000008</v>
          </cell>
        </row>
        <row r="2777">
          <cell r="C2777" t="str">
            <v>NL0011872643</v>
          </cell>
          <cell r="G2777">
            <v>8402183041.7000008</v>
          </cell>
        </row>
        <row r="2778">
          <cell r="C2778" t="str">
            <v>NL0011872643</v>
          </cell>
          <cell r="G2778">
            <v>8402183041.7000008</v>
          </cell>
        </row>
        <row r="2779">
          <cell r="C2779" t="str">
            <v>ES0113679I37</v>
          </cell>
          <cell r="G2779">
            <v>8399904171.749999</v>
          </cell>
        </row>
        <row r="2780">
          <cell r="C2780" t="str">
            <v>ES0113679I37</v>
          </cell>
          <cell r="G2780">
            <v>8399904171.749999</v>
          </cell>
        </row>
        <row r="2781">
          <cell r="C2781" t="str">
            <v>ES0113679I37</v>
          </cell>
          <cell r="G2781">
            <v>8399904171.749999</v>
          </cell>
        </row>
        <row r="2782">
          <cell r="C2782" t="str">
            <v>ES0113679I37</v>
          </cell>
          <cell r="G2782">
            <v>8399904171.749999</v>
          </cell>
        </row>
        <row r="2783">
          <cell r="C2783" t="str">
            <v>ES0113679I37</v>
          </cell>
          <cell r="G2783">
            <v>8399904171.749999</v>
          </cell>
        </row>
        <row r="2784">
          <cell r="C2784" t="str">
            <v>ES0113679I37</v>
          </cell>
          <cell r="G2784">
            <v>8399904171.749999</v>
          </cell>
        </row>
        <row r="2785">
          <cell r="C2785" t="str">
            <v>ES0113679I37</v>
          </cell>
          <cell r="G2785">
            <v>8399904171.749999</v>
          </cell>
        </row>
        <row r="2786">
          <cell r="C2786" t="str">
            <v>ES0113679I37</v>
          </cell>
          <cell r="G2786">
            <v>8399904171.749999</v>
          </cell>
        </row>
        <row r="2787">
          <cell r="C2787" t="str">
            <v>ES0113679I37</v>
          </cell>
          <cell r="G2787">
            <v>8399904171.749999</v>
          </cell>
        </row>
        <row r="2788">
          <cell r="C2788" t="str">
            <v>ES0113679I37</v>
          </cell>
          <cell r="G2788">
            <v>8399904171.749999</v>
          </cell>
        </row>
        <row r="2789">
          <cell r="C2789" t="str">
            <v>ES0113679I37</v>
          </cell>
          <cell r="G2789">
            <v>8399904171.749999</v>
          </cell>
        </row>
        <row r="2790">
          <cell r="C2790" t="str">
            <v>ES0113679I37</v>
          </cell>
          <cell r="G2790">
            <v>8399904171.749999</v>
          </cell>
        </row>
        <row r="2791">
          <cell r="C2791" t="str">
            <v>ES0113679I37</v>
          </cell>
          <cell r="G2791">
            <v>8399904171.749999</v>
          </cell>
        </row>
        <row r="2792">
          <cell r="C2792" t="str">
            <v>ES0113679I37</v>
          </cell>
          <cell r="G2792">
            <v>8399904171.749999</v>
          </cell>
        </row>
        <row r="2793">
          <cell r="C2793" t="str">
            <v>FR0000120404</v>
          </cell>
          <cell r="G2793">
            <v>8375329888.4549999</v>
          </cell>
        </row>
        <row r="2794">
          <cell r="C2794" t="str">
            <v>FR0000120404</v>
          </cell>
          <cell r="G2794">
            <v>8375329888.4549999</v>
          </cell>
        </row>
        <row r="2795">
          <cell r="C2795" t="str">
            <v>FR0000120404</v>
          </cell>
          <cell r="G2795">
            <v>8375329888.4549999</v>
          </cell>
        </row>
        <row r="2796">
          <cell r="C2796" t="str">
            <v>FR0000120404</v>
          </cell>
          <cell r="G2796">
            <v>8375329888.4549999</v>
          </cell>
        </row>
        <row r="2797">
          <cell r="C2797" t="str">
            <v>FR0000120404</v>
          </cell>
          <cell r="G2797">
            <v>8375329888.4549999</v>
          </cell>
        </row>
        <row r="2798">
          <cell r="C2798" t="str">
            <v>FR0000120404</v>
          </cell>
          <cell r="G2798">
            <v>8375329888.4549999</v>
          </cell>
        </row>
        <row r="2799">
          <cell r="C2799" t="str">
            <v>FR0000120404</v>
          </cell>
          <cell r="G2799">
            <v>8375329888.4549999</v>
          </cell>
        </row>
        <row r="2800">
          <cell r="C2800" t="str">
            <v>FR0000120404</v>
          </cell>
          <cell r="G2800">
            <v>8375329888.4549999</v>
          </cell>
        </row>
        <row r="2801">
          <cell r="C2801" t="str">
            <v>FR0000120404</v>
          </cell>
          <cell r="G2801">
            <v>8375329888.4549999</v>
          </cell>
        </row>
        <row r="2802">
          <cell r="C2802" t="str">
            <v>FR0000120404</v>
          </cell>
          <cell r="G2802">
            <v>8375329888.4549999</v>
          </cell>
        </row>
        <row r="2803">
          <cell r="C2803" t="str">
            <v>FR0000120404</v>
          </cell>
          <cell r="G2803">
            <v>8375329888.4549999</v>
          </cell>
        </row>
        <row r="2804">
          <cell r="C2804" t="str">
            <v>FR0000120404</v>
          </cell>
          <cell r="G2804">
            <v>8375329888.4549999</v>
          </cell>
        </row>
        <row r="2805">
          <cell r="C2805" t="str">
            <v>FR0000120404</v>
          </cell>
          <cell r="G2805">
            <v>8375329888.4549999</v>
          </cell>
        </row>
        <row r="2806">
          <cell r="C2806" t="str">
            <v>FR0000120404</v>
          </cell>
          <cell r="G2806">
            <v>8375329888.4549999</v>
          </cell>
        </row>
        <row r="2807">
          <cell r="C2807" t="str">
            <v>FI0009014575</v>
          </cell>
          <cell r="G2807">
            <v>8362259085</v>
          </cell>
        </row>
        <row r="2808">
          <cell r="C2808" t="str">
            <v>FI0009014575</v>
          </cell>
          <cell r="G2808">
            <v>8362259085</v>
          </cell>
        </row>
        <row r="2809">
          <cell r="C2809" t="str">
            <v>FI0009014575</v>
          </cell>
          <cell r="G2809">
            <v>8362259085</v>
          </cell>
        </row>
        <row r="2810">
          <cell r="C2810" t="str">
            <v>FI0009014575</v>
          </cell>
          <cell r="G2810">
            <v>8362259085</v>
          </cell>
        </row>
        <row r="2811">
          <cell r="C2811" t="str">
            <v>FI0009014575</v>
          </cell>
          <cell r="G2811">
            <v>8362259085</v>
          </cell>
        </row>
        <row r="2812">
          <cell r="C2812" t="str">
            <v>FI0009014575</v>
          </cell>
          <cell r="G2812">
            <v>8362259085</v>
          </cell>
        </row>
        <row r="2813">
          <cell r="C2813" t="str">
            <v>FI0009014575</v>
          </cell>
          <cell r="G2813">
            <v>8362259085</v>
          </cell>
        </row>
        <row r="2814">
          <cell r="C2814" t="str">
            <v>FI0009014575</v>
          </cell>
          <cell r="G2814">
            <v>8362259085</v>
          </cell>
        </row>
        <row r="2815">
          <cell r="C2815" t="str">
            <v>FI0009014575</v>
          </cell>
          <cell r="G2815">
            <v>8362259085</v>
          </cell>
        </row>
        <row r="2816">
          <cell r="C2816" t="str">
            <v>FI0009014575</v>
          </cell>
          <cell r="G2816">
            <v>8362259085</v>
          </cell>
        </row>
        <row r="2817">
          <cell r="C2817" t="str">
            <v>FI0009014575</v>
          </cell>
          <cell r="G2817">
            <v>8362259085</v>
          </cell>
        </row>
        <row r="2818">
          <cell r="C2818" t="str">
            <v>FI0009014575</v>
          </cell>
          <cell r="G2818">
            <v>8362259085</v>
          </cell>
        </row>
        <row r="2819">
          <cell r="C2819" t="str">
            <v>FI0009014575</v>
          </cell>
          <cell r="G2819">
            <v>8362259085</v>
          </cell>
        </row>
        <row r="2820">
          <cell r="C2820" t="str">
            <v>FI0009014575</v>
          </cell>
          <cell r="G2820">
            <v>8362259085</v>
          </cell>
        </row>
        <row r="2821">
          <cell r="C2821" t="str">
            <v>DE0005785802</v>
          </cell>
          <cell r="G2821">
            <v>8326486884.0999994</v>
          </cell>
        </row>
        <row r="2822">
          <cell r="C2822" t="str">
            <v>DE0005785802</v>
          </cell>
          <cell r="G2822">
            <v>8326486884.0999994</v>
          </cell>
        </row>
        <row r="2823">
          <cell r="C2823" t="str">
            <v>DE0005785802</v>
          </cell>
          <cell r="G2823">
            <v>8326486884.0999994</v>
          </cell>
        </row>
        <row r="2824">
          <cell r="C2824" t="str">
            <v>DE0005785802</v>
          </cell>
          <cell r="G2824">
            <v>8326486884.0999994</v>
          </cell>
        </row>
        <row r="2825">
          <cell r="C2825" t="str">
            <v>DE0005785802</v>
          </cell>
          <cell r="G2825">
            <v>8326486884.0999994</v>
          </cell>
        </row>
        <row r="2826">
          <cell r="C2826" t="str">
            <v>DE0005785802</v>
          </cell>
          <cell r="G2826">
            <v>8326486884.0999994</v>
          </cell>
        </row>
        <row r="2827">
          <cell r="C2827" t="str">
            <v>DE0005785802</v>
          </cell>
          <cell r="G2827">
            <v>8326486884.0999994</v>
          </cell>
        </row>
        <row r="2828">
          <cell r="C2828" t="str">
            <v>DE0005785802</v>
          </cell>
          <cell r="G2828">
            <v>8326486884.0999994</v>
          </cell>
        </row>
        <row r="2829">
          <cell r="C2829" t="str">
            <v>DE0005785802</v>
          </cell>
          <cell r="G2829">
            <v>8326486884.0999994</v>
          </cell>
        </row>
        <row r="2830">
          <cell r="C2830" t="str">
            <v>DE0005785802</v>
          </cell>
          <cell r="G2830">
            <v>8326486884.0999994</v>
          </cell>
        </row>
        <row r="2831">
          <cell r="C2831" t="str">
            <v>DE0005785802</v>
          </cell>
          <cell r="G2831">
            <v>8326486884.0999994</v>
          </cell>
        </row>
        <row r="2832">
          <cell r="C2832" t="str">
            <v>DE0005785802</v>
          </cell>
          <cell r="G2832">
            <v>8326486884.0999994</v>
          </cell>
        </row>
        <row r="2833">
          <cell r="C2833" t="str">
            <v>DE0005785802</v>
          </cell>
          <cell r="G2833">
            <v>8326486884.0999994</v>
          </cell>
        </row>
        <row r="2834">
          <cell r="C2834" t="str">
            <v>DE0005785802</v>
          </cell>
          <cell r="G2834">
            <v>8326486884.0999994</v>
          </cell>
        </row>
        <row r="2835">
          <cell r="C2835" t="str">
            <v>FR0000130452</v>
          </cell>
          <cell r="G2835">
            <v>8265075000</v>
          </cell>
        </row>
        <row r="2836">
          <cell r="C2836" t="str">
            <v>FR0000130452</v>
          </cell>
          <cell r="G2836">
            <v>8265075000</v>
          </cell>
        </row>
        <row r="2837">
          <cell r="C2837" t="str">
            <v>FR0000130452</v>
          </cell>
          <cell r="G2837">
            <v>8265075000</v>
          </cell>
        </row>
        <row r="2838">
          <cell r="C2838" t="str">
            <v>FR0000130452</v>
          </cell>
          <cell r="G2838">
            <v>8265075000</v>
          </cell>
        </row>
        <row r="2839">
          <cell r="C2839" t="str">
            <v>FR0000130452</v>
          </cell>
          <cell r="G2839">
            <v>8265075000</v>
          </cell>
        </row>
        <row r="2840">
          <cell r="C2840" t="str">
            <v>FR0000130452</v>
          </cell>
          <cell r="G2840">
            <v>8265075000</v>
          </cell>
        </row>
        <row r="2841">
          <cell r="C2841" t="str">
            <v>FR0000130452</v>
          </cell>
          <cell r="G2841">
            <v>8265075000</v>
          </cell>
        </row>
        <row r="2842">
          <cell r="C2842" t="str">
            <v>FR0000130452</v>
          </cell>
          <cell r="G2842">
            <v>8265075000</v>
          </cell>
        </row>
        <row r="2843">
          <cell r="C2843" t="str">
            <v>FR0000130452</v>
          </cell>
          <cell r="G2843">
            <v>8265075000</v>
          </cell>
        </row>
        <row r="2844">
          <cell r="C2844" t="str">
            <v>FR0000130452</v>
          </cell>
          <cell r="G2844">
            <v>8265075000</v>
          </cell>
        </row>
        <row r="2845">
          <cell r="C2845" t="str">
            <v>FR0000130452</v>
          </cell>
          <cell r="G2845">
            <v>8265075000</v>
          </cell>
        </row>
        <row r="2846">
          <cell r="C2846" t="str">
            <v>FR0000130452</v>
          </cell>
          <cell r="G2846">
            <v>8265075000</v>
          </cell>
        </row>
        <row r="2847">
          <cell r="C2847" t="str">
            <v>FR0000130452</v>
          </cell>
          <cell r="G2847">
            <v>8265075000</v>
          </cell>
        </row>
        <row r="2848">
          <cell r="C2848" t="str">
            <v>FR0000130452</v>
          </cell>
          <cell r="G2848">
            <v>8265075000</v>
          </cell>
        </row>
        <row r="2849">
          <cell r="C2849" t="str">
            <v>FI0009007132</v>
          </cell>
          <cell r="G2849">
            <v>8162863515.8249998</v>
          </cell>
        </row>
        <row r="2850">
          <cell r="C2850" t="str">
            <v>FI0009007132</v>
          </cell>
          <cell r="G2850">
            <v>8162863515.8249998</v>
          </cell>
        </row>
        <row r="2851">
          <cell r="C2851" t="str">
            <v>FI0009007132</v>
          </cell>
          <cell r="G2851">
            <v>8162863515.8249998</v>
          </cell>
        </row>
        <row r="2852">
          <cell r="C2852" t="str">
            <v>FI0009007132</v>
          </cell>
          <cell r="G2852">
            <v>8162863515.8249998</v>
          </cell>
        </row>
        <row r="2853">
          <cell r="C2853" t="str">
            <v>FI0009007132</v>
          </cell>
          <cell r="G2853">
            <v>8162863515.8249998</v>
          </cell>
        </row>
        <row r="2854">
          <cell r="C2854" t="str">
            <v>FI0009007132</v>
          </cell>
          <cell r="G2854">
            <v>8162863515.8249998</v>
          </cell>
        </row>
        <row r="2855">
          <cell r="C2855" t="str">
            <v>FI0009007132</v>
          </cell>
          <cell r="G2855">
            <v>8162863515.8249998</v>
          </cell>
        </row>
        <row r="2856">
          <cell r="C2856" t="str">
            <v>FI0009007132</v>
          </cell>
          <cell r="G2856">
            <v>8162863515.8249998</v>
          </cell>
        </row>
        <row r="2857">
          <cell r="C2857" t="str">
            <v>FI0009007132</v>
          </cell>
          <cell r="G2857">
            <v>8162863515.8249998</v>
          </cell>
        </row>
        <row r="2858">
          <cell r="C2858" t="str">
            <v>FI0009007132</v>
          </cell>
          <cell r="G2858">
            <v>8162863515.8249998</v>
          </cell>
        </row>
        <row r="2859">
          <cell r="C2859" t="str">
            <v>FI0009007132</v>
          </cell>
          <cell r="G2859">
            <v>8162863515.8249998</v>
          </cell>
        </row>
        <row r="2860">
          <cell r="C2860" t="str">
            <v>FI0009007132</v>
          </cell>
          <cell r="G2860">
            <v>8162863515.8249998</v>
          </cell>
        </row>
        <row r="2861">
          <cell r="C2861" t="str">
            <v>FI0009007132</v>
          </cell>
          <cell r="G2861">
            <v>8162863515.8249998</v>
          </cell>
        </row>
        <row r="2862">
          <cell r="C2862" t="str">
            <v>FI0009007132</v>
          </cell>
          <cell r="G2862">
            <v>8162863515.8249998</v>
          </cell>
        </row>
        <row r="2863">
          <cell r="C2863" t="str">
            <v>FI0009007132</v>
          </cell>
          <cell r="G2863">
            <v>8162863515.8249998</v>
          </cell>
        </row>
        <row r="2864">
          <cell r="C2864" t="str">
            <v>FI0009007132</v>
          </cell>
          <cell r="G2864">
            <v>8162863515.8249998</v>
          </cell>
        </row>
        <row r="2865">
          <cell r="C2865" t="str">
            <v>FI0009007132</v>
          </cell>
          <cell r="G2865">
            <v>8162863515.8249998</v>
          </cell>
        </row>
        <row r="2866">
          <cell r="C2866" t="str">
            <v>DE0008232125</v>
          </cell>
          <cell r="G2866">
            <v>8102521599.3700008</v>
          </cell>
        </row>
        <row r="2867">
          <cell r="C2867" t="str">
            <v>DE0008232125</v>
          </cell>
          <cell r="G2867">
            <v>8102521599.3700008</v>
          </cell>
        </row>
        <row r="2868">
          <cell r="C2868" t="str">
            <v>DE0008232125</v>
          </cell>
          <cell r="G2868">
            <v>8102521599.3700008</v>
          </cell>
        </row>
        <row r="2869">
          <cell r="C2869" t="str">
            <v>DE0008232125</v>
          </cell>
          <cell r="G2869">
            <v>8102521599.3700008</v>
          </cell>
        </row>
        <row r="2870">
          <cell r="C2870" t="str">
            <v>DE0008232125</v>
          </cell>
          <cell r="G2870">
            <v>8102521599.3700008</v>
          </cell>
        </row>
        <row r="2871">
          <cell r="C2871" t="str">
            <v>DE0008232125</v>
          </cell>
          <cell r="G2871">
            <v>8102521599.3700008</v>
          </cell>
        </row>
        <row r="2872">
          <cell r="C2872" t="str">
            <v>DE0008232125</v>
          </cell>
          <cell r="G2872">
            <v>8102521599.3700008</v>
          </cell>
        </row>
        <row r="2873">
          <cell r="C2873" t="str">
            <v>DE0008232125</v>
          </cell>
          <cell r="G2873">
            <v>8102521599.3700008</v>
          </cell>
        </row>
        <row r="2874">
          <cell r="C2874" t="str">
            <v>DE0008232125</v>
          </cell>
          <cell r="G2874">
            <v>8102521599.3700008</v>
          </cell>
        </row>
        <row r="2875">
          <cell r="C2875" t="str">
            <v>DE0008232125</v>
          </cell>
          <cell r="G2875">
            <v>8102521599.3700008</v>
          </cell>
        </row>
        <row r="2876">
          <cell r="C2876" t="str">
            <v>DE0008232125</v>
          </cell>
          <cell r="G2876">
            <v>8102521599.3700008</v>
          </cell>
        </row>
        <row r="2877">
          <cell r="C2877" t="str">
            <v>DE0008232125</v>
          </cell>
          <cell r="G2877">
            <v>8102521599.3700008</v>
          </cell>
        </row>
        <row r="2878">
          <cell r="C2878" t="str">
            <v>DE0008232125</v>
          </cell>
          <cell r="G2878">
            <v>8102521599.3700008</v>
          </cell>
        </row>
        <row r="2879">
          <cell r="C2879" t="str">
            <v>DE0008232125</v>
          </cell>
          <cell r="G2879">
            <v>8102521599.3700008</v>
          </cell>
        </row>
        <row r="2880">
          <cell r="C2880" t="str">
            <v>BMG0112X1056</v>
          </cell>
          <cell r="G2880">
            <v>8082179442.4799995</v>
          </cell>
        </row>
        <row r="2881">
          <cell r="C2881" t="str">
            <v>BMG0112X1056</v>
          </cell>
          <cell r="G2881">
            <v>8082179442.4799995</v>
          </cell>
        </row>
        <row r="2882">
          <cell r="C2882" t="str">
            <v>BMG0112X1056</v>
          </cell>
          <cell r="G2882">
            <v>8082179442.4799995</v>
          </cell>
        </row>
        <row r="2883">
          <cell r="C2883" t="str">
            <v>BMG0112X1056</v>
          </cell>
          <cell r="G2883">
            <v>8082179442.4799995</v>
          </cell>
        </row>
        <row r="2884">
          <cell r="C2884" t="str">
            <v>BMG0112X1056</v>
          </cell>
          <cell r="G2884">
            <v>8082179442.4799995</v>
          </cell>
        </row>
        <row r="2885">
          <cell r="C2885" t="str">
            <v>BMG0112X1056</v>
          </cell>
          <cell r="G2885">
            <v>8082179442.4799995</v>
          </cell>
        </row>
        <row r="2886">
          <cell r="C2886" t="str">
            <v>BMG0112X1056</v>
          </cell>
          <cell r="G2886">
            <v>8082179442.4799995</v>
          </cell>
        </row>
        <row r="2887">
          <cell r="C2887" t="str">
            <v>BMG0112X1056</v>
          </cell>
          <cell r="G2887">
            <v>8082179442.4799995</v>
          </cell>
        </row>
        <row r="2888">
          <cell r="C2888" t="str">
            <v>BMG0112X1056</v>
          </cell>
          <cell r="G2888">
            <v>8082179442.4799995</v>
          </cell>
        </row>
        <row r="2889">
          <cell r="C2889" t="str">
            <v>BMG0112X1056</v>
          </cell>
          <cell r="G2889">
            <v>8082179442.4799995</v>
          </cell>
        </row>
        <row r="2890">
          <cell r="C2890" t="str">
            <v>BMG0112X1056</v>
          </cell>
          <cell r="G2890">
            <v>8082179442.4799995</v>
          </cell>
        </row>
        <row r="2891">
          <cell r="C2891" t="str">
            <v>BMG0112X1056</v>
          </cell>
          <cell r="G2891">
            <v>8082179442.4799995</v>
          </cell>
        </row>
        <row r="2892">
          <cell r="C2892" t="str">
            <v>BMG0112X1056</v>
          </cell>
          <cell r="G2892">
            <v>8082179442.4799995</v>
          </cell>
        </row>
        <row r="2893">
          <cell r="C2893" t="str">
            <v>BMG0112X1056</v>
          </cell>
          <cell r="G2893">
            <v>8082179442.4799995</v>
          </cell>
        </row>
        <row r="2894">
          <cell r="C2894" t="str">
            <v>FR0000120503</v>
          </cell>
          <cell r="G2894">
            <v>8008071424.5</v>
          </cell>
        </row>
        <row r="2895">
          <cell r="C2895" t="str">
            <v>FR0000120503</v>
          </cell>
          <cell r="G2895">
            <v>8008071424.5</v>
          </cell>
        </row>
        <row r="2896">
          <cell r="C2896" t="str">
            <v>FR0000120503</v>
          </cell>
          <cell r="G2896">
            <v>8008071424.5</v>
          </cell>
        </row>
        <row r="2897">
          <cell r="C2897" t="str">
            <v>FR0000120503</v>
          </cell>
          <cell r="G2897">
            <v>8008071424.5</v>
          </cell>
        </row>
        <row r="2898">
          <cell r="C2898" t="str">
            <v>FR0000120503</v>
          </cell>
          <cell r="G2898">
            <v>8008071424.5</v>
          </cell>
        </row>
        <row r="2899">
          <cell r="C2899" t="str">
            <v>FR0000120503</v>
          </cell>
          <cell r="G2899">
            <v>8008071424.5</v>
          </cell>
        </row>
        <row r="2900">
          <cell r="C2900" t="str">
            <v>FR0000120503</v>
          </cell>
          <cell r="G2900">
            <v>8008071424.5</v>
          </cell>
        </row>
        <row r="2901">
          <cell r="C2901" t="str">
            <v>FR0000120503</v>
          </cell>
          <cell r="G2901">
            <v>8008071424.5</v>
          </cell>
        </row>
        <row r="2902">
          <cell r="C2902" t="str">
            <v>FR0000120503</v>
          </cell>
          <cell r="G2902">
            <v>8008071424.5</v>
          </cell>
        </row>
        <row r="2903">
          <cell r="C2903" t="str">
            <v>FR0000120503</v>
          </cell>
          <cell r="G2903">
            <v>8008071424.5</v>
          </cell>
        </row>
        <row r="2904">
          <cell r="C2904" t="str">
            <v>FR0000120503</v>
          </cell>
          <cell r="G2904">
            <v>8008071424.5</v>
          </cell>
        </row>
        <row r="2905">
          <cell r="C2905" t="str">
            <v>FR0000120503</v>
          </cell>
          <cell r="G2905">
            <v>8008071424.5</v>
          </cell>
        </row>
        <row r="2906">
          <cell r="C2906" t="str">
            <v>FR0000120503</v>
          </cell>
          <cell r="G2906">
            <v>8008071424.5</v>
          </cell>
        </row>
        <row r="2907">
          <cell r="C2907" t="str">
            <v>FR0000120503</v>
          </cell>
          <cell r="G2907">
            <v>8008071424.5</v>
          </cell>
        </row>
        <row r="2908">
          <cell r="C2908" t="str">
            <v>FR0010220475</v>
          </cell>
          <cell r="G2908">
            <v>7789825226.7600002</v>
          </cell>
        </row>
        <row r="2909">
          <cell r="C2909" t="str">
            <v>FR0010220475</v>
          </cell>
          <cell r="G2909">
            <v>7789825226.7600002</v>
          </cell>
        </row>
        <row r="2910">
          <cell r="C2910" t="str">
            <v>FR0010220475</v>
          </cell>
          <cell r="G2910">
            <v>7789825226.7600002</v>
          </cell>
        </row>
        <row r="2911">
          <cell r="C2911" t="str">
            <v>FR0010220475</v>
          </cell>
          <cell r="G2911">
            <v>7789825226.7600002</v>
          </cell>
        </row>
        <row r="2912">
          <cell r="C2912" t="str">
            <v>FR0010220475</v>
          </cell>
          <cell r="G2912">
            <v>7789825226.7600002</v>
          </cell>
        </row>
        <row r="2913">
          <cell r="C2913" t="str">
            <v>FR0010220475</v>
          </cell>
          <cell r="G2913">
            <v>7789825226.7600002</v>
          </cell>
        </row>
        <row r="2914">
          <cell r="C2914" t="str">
            <v>FR0010220475</v>
          </cell>
          <cell r="G2914">
            <v>7789825226.7600002</v>
          </cell>
        </row>
        <row r="2915">
          <cell r="C2915" t="str">
            <v>FR0010220475</v>
          </cell>
          <cell r="G2915">
            <v>7789825226.7600002</v>
          </cell>
        </row>
        <row r="2916">
          <cell r="C2916" t="str">
            <v>FR0010220475</v>
          </cell>
          <cell r="G2916">
            <v>7789825226.7600002</v>
          </cell>
        </row>
        <row r="2917">
          <cell r="C2917" t="str">
            <v>FR0010220475</v>
          </cell>
          <cell r="G2917">
            <v>7789825226.7600002</v>
          </cell>
        </row>
        <row r="2918">
          <cell r="C2918" t="str">
            <v>FR0010220475</v>
          </cell>
          <cell r="G2918">
            <v>7789825226.7600002</v>
          </cell>
        </row>
        <row r="2919">
          <cell r="C2919" t="str">
            <v>FR0010220475</v>
          </cell>
          <cell r="G2919">
            <v>7789825226.7600002</v>
          </cell>
        </row>
        <row r="2920">
          <cell r="C2920" t="str">
            <v>FR0010220475</v>
          </cell>
          <cell r="G2920">
            <v>7789825226.7600002</v>
          </cell>
        </row>
        <row r="2921">
          <cell r="C2921" t="str">
            <v>FR0010220475</v>
          </cell>
          <cell r="G2921">
            <v>7789825226.7600002</v>
          </cell>
        </row>
        <row r="2922">
          <cell r="C2922" t="str">
            <v>DE0005200000</v>
          </cell>
          <cell r="G2922">
            <v>7573971999.999999</v>
          </cell>
        </row>
        <row r="2923">
          <cell r="C2923" t="str">
            <v>DE0005200000</v>
          </cell>
          <cell r="G2923">
            <v>7573971999.999999</v>
          </cell>
        </row>
        <row r="2924">
          <cell r="C2924" t="str">
            <v>DE0005200000</v>
          </cell>
          <cell r="G2924">
            <v>7573971999.999999</v>
          </cell>
        </row>
        <row r="2925">
          <cell r="C2925" t="str">
            <v>DE0005200000</v>
          </cell>
          <cell r="G2925">
            <v>7573971999.999999</v>
          </cell>
        </row>
        <row r="2926">
          <cell r="C2926" t="str">
            <v>DE0005200000</v>
          </cell>
          <cell r="G2926">
            <v>7573971999.999999</v>
          </cell>
        </row>
        <row r="2927">
          <cell r="C2927" t="str">
            <v>DE0005200000</v>
          </cell>
          <cell r="G2927">
            <v>7573971999.999999</v>
          </cell>
        </row>
        <row r="2928">
          <cell r="C2928" t="str">
            <v>DE0005200000</v>
          </cell>
          <cell r="G2928">
            <v>7573971999.999999</v>
          </cell>
        </row>
        <row r="2929">
          <cell r="C2929" t="str">
            <v>DE0005200000</v>
          </cell>
          <cell r="G2929">
            <v>7573971999.999999</v>
          </cell>
        </row>
        <row r="2930">
          <cell r="C2930" t="str">
            <v>DE0005200000</v>
          </cell>
          <cell r="G2930">
            <v>7573971999.999999</v>
          </cell>
        </row>
        <row r="2931">
          <cell r="C2931" t="str">
            <v>DE0005200000</v>
          </cell>
          <cell r="G2931">
            <v>7573971999.999999</v>
          </cell>
        </row>
        <row r="2932">
          <cell r="C2932" t="str">
            <v>DE0005200000</v>
          </cell>
          <cell r="G2932">
            <v>7573971999.999999</v>
          </cell>
        </row>
        <row r="2933">
          <cell r="C2933" t="str">
            <v>DE0005200000</v>
          </cell>
          <cell r="G2933">
            <v>7573971999.999999</v>
          </cell>
        </row>
        <row r="2934">
          <cell r="C2934" t="str">
            <v>DE0005200000</v>
          </cell>
          <cell r="G2934">
            <v>7573971999.999999</v>
          </cell>
        </row>
        <row r="2935">
          <cell r="C2935" t="str">
            <v>DE0005200000</v>
          </cell>
          <cell r="G2935">
            <v>7573971999.999999</v>
          </cell>
        </row>
        <row r="2936">
          <cell r="C2936" t="str">
            <v>FR0000121964</v>
          </cell>
          <cell r="G2936">
            <v>7536416710.7840014</v>
          </cell>
        </row>
        <row r="2937">
          <cell r="C2937" t="str">
            <v>FR0000121964</v>
          </cell>
          <cell r="G2937">
            <v>7536416710.7840014</v>
          </cell>
        </row>
        <row r="2938">
          <cell r="C2938" t="str">
            <v>FR0000121964</v>
          </cell>
          <cell r="G2938">
            <v>7536416710.7840014</v>
          </cell>
        </row>
        <row r="2939">
          <cell r="C2939" t="str">
            <v>FR0000121964</v>
          </cell>
          <cell r="G2939">
            <v>7536416710.7840014</v>
          </cell>
        </row>
        <row r="2940">
          <cell r="C2940" t="str">
            <v>FR0000121964</v>
          </cell>
          <cell r="G2940">
            <v>7536416710.7840014</v>
          </cell>
        </row>
        <row r="2941">
          <cell r="C2941" t="str">
            <v>FR0000121964</v>
          </cell>
          <cell r="G2941">
            <v>7536416710.7840014</v>
          </cell>
        </row>
        <row r="2942">
          <cell r="C2942" t="str">
            <v>FR0000121964</v>
          </cell>
          <cell r="G2942">
            <v>7536416710.7840014</v>
          </cell>
        </row>
        <row r="2943">
          <cell r="C2943" t="str">
            <v>FR0000121964</v>
          </cell>
          <cell r="G2943">
            <v>7536416710.7840014</v>
          </cell>
        </row>
        <row r="2944">
          <cell r="C2944" t="str">
            <v>FR0000121964</v>
          </cell>
          <cell r="G2944">
            <v>7536416710.7840014</v>
          </cell>
        </row>
        <row r="2945">
          <cell r="C2945" t="str">
            <v>FR0000121964</v>
          </cell>
          <cell r="G2945">
            <v>7536416710.7840014</v>
          </cell>
        </row>
        <row r="2946">
          <cell r="C2946" t="str">
            <v>FR0000121964</v>
          </cell>
          <cell r="G2946">
            <v>7536416710.7840014</v>
          </cell>
        </row>
        <row r="2947">
          <cell r="C2947" t="str">
            <v>FR0000121964</v>
          </cell>
          <cell r="G2947">
            <v>7536416710.7840014</v>
          </cell>
        </row>
        <row r="2948">
          <cell r="C2948" t="str">
            <v>FR0000121964</v>
          </cell>
          <cell r="G2948">
            <v>7536416710.7840014</v>
          </cell>
        </row>
        <row r="2949">
          <cell r="C2949" t="str">
            <v>FR0000121964</v>
          </cell>
          <cell r="G2949">
            <v>7536416710.7840014</v>
          </cell>
        </row>
        <row r="2950">
          <cell r="C2950" t="str">
            <v>IT0004810054</v>
          </cell>
          <cell r="G2950">
            <v>7446298802.7780008</v>
          </cell>
        </row>
        <row r="2951">
          <cell r="C2951" t="str">
            <v>IT0004810054</v>
          </cell>
          <cell r="G2951">
            <v>7446298802.7780008</v>
          </cell>
        </row>
        <row r="2952">
          <cell r="C2952" t="str">
            <v>IT0004810054</v>
          </cell>
          <cell r="G2952">
            <v>7446298802.7780008</v>
          </cell>
        </row>
        <row r="2953">
          <cell r="C2953" t="str">
            <v>IT0004810054</v>
          </cell>
          <cell r="G2953">
            <v>7446298802.7780008</v>
          </cell>
        </row>
        <row r="2954">
          <cell r="C2954" t="str">
            <v>IT0004810054</v>
          </cell>
          <cell r="G2954">
            <v>7446298802.7780008</v>
          </cell>
        </row>
        <row r="2955">
          <cell r="C2955" t="str">
            <v>IT0004810054</v>
          </cell>
          <cell r="G2955">
            <v>7446298802.7780008</v>
          </cell>
        </row>
        <row r="2956">
          <cell r="C2956" t="str">
            <v>IT0004810054</v>
          </cell>
          <cell r="G2956">
            <v>7446298802.7780008</v>
          </cell>
        </row>
        <row r="2957">
          <cell r="C2957" t="str">
            <v>IT0004810054</v>
          </cell>
          <cell r="G2957">
            <v>7446298802.7780008</v>
          </cell>
        </row>
        <row r="2958">
          <cell r="C2958" t="str">
            <v>IT0004810054</v>
          </cell>
          <cell r="G2958">
            <v>7446298802.7780008</v>
          </cell>
        </row>
        <row r="2959">
          <cell r="C2959" t="str">
            <v>IT0004810054</v>
          </cell>
          <cell r="G2959">
            <v>7446298802.7780008</v>
          </cell>
        </row>
        <row r="2960">
          <cell r="C2960" t="str">
            <v>IT0004810054</v>
          </cell>
          <cell r="G2960">
            <v>7446298802.7780008</v>
          </cell>
        </row>
        <row r="2961">
          <cell r="C2961" t="str">
            <v>IT0004810054</v>
          </cell>
          <cell r="G2961">
            <v>7446298802.7780008</v>
          </cell>
        </row>
        <row r="2962">
          <cell r="C2962" t="str">
            <v>IT0004810054</v>
          </cell>
          <cell r="G2962">
            <v>7446298802.7780008</v>
          </cell>
        </row>
        <row r="2963">
          <cell r="C2963" t="str">
            <v>IT0004810054</v>
          </cell>
          <cell r="G2963">
            <v>7446298802.7780008</v>
          </cell>
        </row>
        <row r="2964">
          <cell r="C2964" t="str">
            <v>PTGAL0AM0009</v>
          </cell>
          <cell r="G2964">
            <v>7299778025.5650024</v>
          </cell>
        </row>
        <row r="2965">
          <cell r="C2965" t="str">
            <v>PTGAL0AM0009</v>
          </cell>
          <cell r="G2965">
            <v>7299778025.5650024</v>
          </cell>
        </row>
        <row r="2966">
          <cell r="C2966" t="str">
            <v>PTGAL0AM0009</v>
          </cell>
          <cell r="G2966">
            <v>7299778025.5650024</v>
          </cell>
        </row>
        <row r="2967">
          <cell r="C2967" t="str">
            <v>PTGAL0AM0009</v>
          </cell>
          <cell r="G2967">
            <v>7299778025.5650024</v>
          </cell>
        </row>
        <row r="2968">
          <cell r="C2968" t="str">
            <v>PTGAL0AM0009</v>
          </cell>
          <cell r="G2968">
            <v>7299778025.5650024</v>
          </cell>
        </row>
        <row r="2969">
          <cell r="C2969" t="str">
            <v>PTGAL0AM0009</v>
          </cell>
          <cell r="G2969">
            <v>7299778025.5650024</v>
          </cell>
        </row>
        <row r="2970">
          <cell r="C2970" t="str">
            <v>PTGAL0AM0009</v>
          </cell>
          <cell r="G2970">
            <v>7299778025.5650024</v>
          </cell>
        </row>
        <row r="2971">
          <cell r="C2971" t="str">
            <v>PTGAL0AM0009</v>
          </cell>
          <cell r="G2971">
            <v>7299778025.5650024</v>
          </cell>
        </row>
        <row r="2972">
          <cell r="C2972" t="str">
            <v>PTGAL0AM0009</v>
          </cell>
          <cell r="G2972">
            <v>7299778025.5650024</v>
          </cell>
        </row>
        <row r="2973">
          <cell r="C2973" t="str">
            <v>PTGAL0AM0009</v>
          </cell>
          <cell r="G2973">
            <v>7299778025.5650024</v>
          </cell>
        </row>
        <row r="2974">
          <cell r="C2974" t="str">
            <v>PTGAL0AM0009</v>
          </cell>
          <cell r="G2974">
            <v>7299778025.5650024</v>
          </cell>
        </row>
        <row r="2975">
          <cell r="C2975" t="str">
            <v>PTGAL0AM0009</v>
          </cell>
          <cell r="G2975">
            <v>7299778025.5650024</v>
          </cell>
        </row>
        <row r="2976">
          <cell r="C2976" t="str">
            <v>PTGAL0AM0009</v>
          </cell>
          <cell r="G2976">
            <v>7299778025.5650024</v>
          </cell>
        </row>
        <row r="2977">
          <cell r="C2977" t="str">
            <v>PTGAL0AM0009</v>
          </cell>
          <cell r="G2977">
            <v>7299778025.5650024</v>
          </cell>
        </row>
        <row r="2978">
          <cell r="C2978" t="str">
            <v>PTBCP0AM0015</v>
          </cell>
          <cell r="G2978">
            <v>7095111443.0668812</v>
          </cell>
        </row>
        <row r="2979">
          <cell r="C2979" t="str">
            <v>PTBCP0AM0015</v>
          </cell>
          <cell r="G2979">
            <v>7095111443.0668812</v>
          </cell>
        </row>
        <row r="2980">
          <cell r="C2980" t="str">
            <v>PTBCP0AM0015</v>
          </cell>
          <cell r="G2980">
            <v>7095111443.0668812</v>
          </cell>
        </row>
        <row r="2981">
          <cell r="C2981" t="str">
            <v>PTBCP0AM0015</v>
          </cell>
          <cell r="G2981">
            <v>7095111443.0668812</v>
          </cell>
        </row>
        <row r="2982">
          <cell r="C2982" t="str">
            <v>PTBCP0AM0015</v>
          </cell>
          <cell r="G2982">
            <v>7095111443.0668812</v>
          </cell>
        </row>
        <row r="2983">
          <cell r="C2983" t="str">
            <v>PTBCP0AM0015</v>
          </cell>
          <cell r="G2983">
            <v>7095111443.0668812</v>
          </cell>
        </row>
        <row r="2984">
          <cell r="C2984" t="str">
            <v>PTBCP0AM0015</v>
          </cell>
          <cell r="G2984">
            <v>7095111443.0668812</v>
          </cell>
        </row>
        <row r="2985">
          <cell r="C2985" t="str">
            <v>PTBCP0AM0015</v>
          </cell>
          <cell r="G2985">
            <v>7095111443.0668812</v>
          </cell>
        </row>
        <row r="2986">
          <cell r="C2986" t="str">
            <v>PTBCP0AM0015</v>
          </cell>
          <cell r="G2986">
            <v>7095111443.0668812</v>
          </cell>
        </row>
        <row r="2987">
          <cell r="C2987" t="str">
            <v>PTBCP0AM0015</v>
          </cell>
          <cell r="G2987">
            <v>7095111443.0668812</v>
          </cell>
        </row>
        <row r="2988">
          <cell r="C2988" t="str">
            <v>PTBCP0AM0015</v>
          </cell>
          <cell r="G2988">
            <v>7095111443.0668812</v>
          </cell>
        </row>
        <row r="2989">
          <cell r="C2989" t="str">
            <v>PTBCP0AM0015</v>
          </cell>
          <cell r="G2989">
            <v>7095111443.0668812</v>
          </cell>
        </row>
        <row r="2990">
          <cell r="C2990" t="str">
            <v>PTBCP0AM0015</v>
          </cell>
          <cell r="G2990">
            <v>7095111443.0668812</v>
          </cell>
        </row>
        <row r="2991">
          <cell r="C2991" t="str">
            <v>PTBCP0AM0015</v>
          </cell>
          <cell r="G2991">
            <v>7095111443.0668812</v>
          </cell>
        </row>
        <row r="2992">
          <cell r="C2992" t="str">
            <v>FI0009013296</v>
          </cell>
          <cell r="G2992">
            <v>7075780238.1750011</v>
          </cell>
        </row>
        <row r="2993">
          <cell r="C2993" t="str">
            <v>FI0009013296</v>
          </cell>
          <cell r="G2993">
            <v>7075780238.1750011</v>
          </cell>
        </row>
        <row r="2994">
          <cell r="C2994" t="str">
            <v>FI0009013296</v>
          </cell>
          <cell r="G2994">
            <v>7075780238.1750011</v>
          </cell>
        </row>
        <row r="2995">
          <cell r="C2995" t="str">
            <v>FI0009013296</v>
          </cell>
          <cell r="G2995">
            <v>7075780238.1750011</v>
          </cell>
        </row>
        <row r="2996">
          <cell r="C2996" t="str">
            <v>FI0009013296</v>
          </cell>
          <cell r="G2996">
            <v>7075780238.1750011</v>
          </cell>
        </row>
        <row r="2997">
          <cell r="C2997" t="str">
            <v>FI0009013296</v>
          </cell>
          <cell r="G2997">
            <v>7075780238.1750011</v>
          </cell>
        </row>
        <row r="2998">
          <cell r="C2998" t="str">
            <v>FI0009013296</v>
          </cell>
          <cell r="G2998">
            <v>7075780238.1750011</v>
          </cell>
        </row>
        <row r="2999">
          <cell r="C2999" t="str">
            <v>FI0009013296</v>
          </cell>
          <cell r="G2999">
            <v>7075780238.1750011</v>
          </cell>
        </row>
        <row r="3000">
          <cell r="C3000" t="str">
            <v>FI0009013296</v>
          </cell>
          <cell r="G3000">
            <v>7075780238.1750011</v>
          </cell>
        </row>
        <row r="3001">
          <cell r="C3001" t="str">
            <v>FI0009013296</v>
          </cell>
          <cell r="G3001">
            <v>7075780238.1750011</v>
          </cell>
        </row>
        <row r="3002">
          <cell r="C3002" t="str">
            <v>FI0009013296</v>
          </cell>
          <cell r="G3002">
            <v>7075780238.1750011</v>
          </cell>
        </row>
        <row r="3003">
          <cell r="C3003" t="str">
            <v>FI0009013296</v>
          </cell>
          <cell r="G3003">
            <v>7075780238.1750011</v>
          </cell>
        </row>
        <row r="3004">
          <cell r="C3004" t="str">
            <v>FI0009013296</v>
          </cell>
          <cell r="G3004">
            <v>7075780238.1750011</v>
          </cell>
        </row>
        <row r="3005">
          <cell r="C3005" t="str">
            <v>FI0009013296</v>
          </cell>
          <cell r="G3005">
            <v>7075780238.1750011</v>
          </cell>
        </row>
        <row r="3006">
          <cell r="C3006" t="str">
            <v>AT0000743059</v>
          </cell>
          <cell r="G3006">
            <v>7048473001.3800001</v>
          </cell>
        </row>
        <row r="3007">
          <cell r="C3007" t="str">
            <v>AT0000743059</v>
          </cell>
          <cell r="G3007">
            <v>7048473001.3800001</v>
          </cell>
        </row>
        <row r="3008">
          <cell r="C3008" t="str">
            <v>AT0000743059</v>
          </cell>
          <cell r="G3008">
            <v>7048473001.3800001</v>
          </cell>
        </row>
        <row r="3009">
          <cell r="C3009" t="str">
            <v>AT0000743059</v>
          </cell>
          <cell r="G3009">
            <v>7048473001.3800001</v>
          </cell>
        </row>
        <row r="3010">
          <cell r="C3010" t="str">
            <v>AT0000743059</v>
          </cell>
          <cell r="G3010">
            <v>7048473001.3800001</v>
          </cell>
        </row>
        <row r="3011">
          <cell r="C3011" t="str">
            <v>AT0000743059</v>
          </cell>
          <cell r="G3011">
            <v>7048473001.3800001</v>
          </cell>
        </row>
        <row r="3012">
          <cell r="C3012" t="str">
            <v>AT0000743059</v>
          </cell>
          <cell r="G3012">
            <v>7048473001.3800001</v>
          </cell>
        </row>
        <row r="3013">
          <cell r="C3013" t="str">
            <v>AT0000743059</v>
          </cell>
          <cell r="G3013">
            <v>7048473001.3800001</v>
          </cell>
        </row>
        <row r="3014">
          <cell r="C3014" t="str">
            <v>AT0000743059</v>
          </cell>
          <cell r="G3014">
            <v>7048473001.3800001</v>
          </cell>
        </row>
        <row r="3015">
          <cell r="C3015" t="str">
            <v>AT0000743059</v>
          </cell>
          <cell r="G3015">
            <v>7048473001.3800001</v>
          </cell>
        </row>
        <row r="3016">
          <cell r="C3016" t="str">
            <v>AT0000743059</v>
          </cell>
          <cell r="G3016">
            <v>7048473001.3800001</v>
          </cell>
        </row>
        <row r="3017">
          <cell r="C3017" t="str">
            <v>AT0000743059</v>
          </cell>
          <cell r="G3017">
            <v>7048473001.3800001</v>
          </cell>
        </row>
        <row r="3018">
          <cell r="C3018" t="str">
            <v>AT0000743059</v>
          </cell>
          <cell r="G3018">
            <v>7048473001.3800001</v>
          </cell>
        </row>
        <row r="3019">
          <cell r="C3019" t="str">
            <v>AT0000743059</v>
          </cell>
          <cell r="G3019">
            <v>7048473001.3800001</v>
          </cell>
        </row>
        <row r="3020">
          <cell r="C3020" t="str">
            <v>AT0000743059</v>
          </cell>
          <cell r="G3020">
            <v>7048473001.3800001</v>
          </cell>
        </row>
        <row r="3021">
          <cell r="C3021" t="str">
            <v>AT0000743059</v>
          </cell>
          <cell r="G3021">
            <v>7048473001.3800001</v>
          </cell>
        </row>
        <row r="3022">
          <cell r="C3022" t="str">
            <v>AT0000743059</v>
          </cell>
          <cell r="G3022">
            <v>7048473001.3800001</v>
          </cell>
        </row>
        <row r="3023">
          <cell r="C3023" t="str">
            <v>DE000TLX1005</v>
          </cell>
          <cell r="G3023">
            <v>6998005900</v>
          </cell>
        </row>
        <row r="3024">
          <cell r="C3024" t="str">
            <v>DE000TLX1005</v>
          </cell>
          <cell r="G3024">
            <v>6998005900</v>
          </cell>
        </row>
        <row r="3025">
          <cell r="C3025" t="str">
            <v>DE000TLX1005</v>
          </cell>
          <cell r="G3025">
            <v>6998005900</v>
          </cell>
        </row>
        <row r="3026">
          <cell r="C3026" t="str">
            <v>DE000TLX1005</v>
          </cell>
          <cell r="G3026">
            <v>6998005900</v>
          </cell>
        </row>
        <row r="3027">
          <cell r="C3027" t="str">
            <v>DE000TLX1005</v>
          </cell>
          <cell r="G3027">
            <v>6998005900</v>
          </cell>
        </row>
        <row r="3028">
          <cell r="C3028" t="str">
            <v>DE000TLX1005</v>
          </cell>
          <cell r="G3028">
            <v>6998005900</v>
          </cell>
        </row>
        <row r="3029">
          <cell r="C3029" t="str">
            <v>DE000TLX1005</v>
          </cell>
          <cell r="G3029">
            <v>6998005900</v>
          </cell>
        </row>
        <row r="3030">
          <cell r="C3030" t="str">
            <v>DE000TLX1005</v>
          </cell>
          <cell r="G3030">
            <v>6998005900</v>
          </cell>
        </row>
        <row r="3031">
          <cell r="C3031" t="str">
            <v>DE000TLX1005</v>
          </cell>
          <cell r="G3031">
            <v>6998005900</v>
          </cell>
        </row>
        <row r="3032">
          <cell r="C3032" t="str">
            <v>DE000TLX1005</v>
          </cell>
          <cell r="G3032">
            <v>6998005900</v>
          </cell>
        </row>
        <row r="3033">
          <cell r="C3033" t="str">
            <v>DE000TLX1005</v>
          </cell>
          <cell r="G3033">
            <v>6998005900</v>
          </cell>
        </row>
        <row r="3034">
          <cell r="C3034" t="str">
            <v>DE000TLX1005</v>
          </cell>
          <cell r="G3034">
            <v>6998005900</v>
          </cell>
        </row>
        <row r="3035">
          <cell r="C3035" t="str">
            <v>DE000TLX1005</v>
          </cell>
          <cell r="G3035">
            <v>6998005900</v>
          </cell>
        </row>
        <row r="3036">
          <cell r="C3036" t="str">
            <v>DE000TLX1005</v>
          </cell>
          <cell r="G3036">
            <v>6998005900</v>
          </cell>
        </row>
        <row r="3037">
          <cell r="C3037" t="str">
            <v>FR0010451203</v>
          </cell>
          <cell r="G3037">
            <v>6909988673.5424995</v>
          </cell>
        </row>
        <row r="3038">
          <cell r="C3038" t="str">
            <v>FR0010451203</v>
          </cell>
          <cell r="G3038">
            <v>6909988673.5424995</v>
          </cell>
        </row>
        <row r="3039">
          <cell r="C3039" t="str">
            <v>FR0010451203</v>
          </cell>
          <cell r="G3039">
            <v>6909988673.5424995</v>
          </cell>
        </row>
        <row r="3040">
          <cell r="C3040" t="str">
            <v>FR0010451203</v>
          </cell>
          <cell r="G3040">
            <v>6909988673.5424995</v>
          </cell>
        </row>
        <row r="3041">
          <cell r="C3041" t="str">
            <v>FR0010451203</v>
          </cell>
          <cell r="G3041">
            <v>6909988673.5424995</v>
          </cell>
        </row>
        <row r="3042">
          <cell r="C3042" t="str">
            <v>FR0010451203</v>
          </cell>
          <cell r="G3042">
            <v>6909988673.5424995</v>
          </cell>
        </row>
        <row r="3043">
          <cell r="C3043" t="str">
            <v>FR0010451203</v>
          </cell>
          <cell r="G3043">
            <v>6909988673.5424995</v>
          </cell>
        </row>
        <row r="3044">
          <cell r="C3044" t="str">
            <v>FR0010451203</v>
          </cell>
          <cell r="G3044">
            <v>6909988673.5424995</v>
          </cell>
        </row>
        <row r="3045">
          <cell r="C3045" t="str">
            <v>FR0010451203</v>
          </cell>
          <cell r="G3045">
            <v>6909988673.5424995</v>
          </cell>
        </row>
        <row r="3046">
          <cell r="C3046" t="str">
            <v>FR0010451203</v>
          </cell>
          <cell r="G3046">
            <v>6909988673.5424995</v>
          </cell>
        </row>
        <row r="3047">
          <cell r="C3047" t="str">
            <v>FR0010451203</v>
          </cell>
          <cell r="G3047">
            <v>6909988673.5424995</v>
          </cell>
        </row>
        <row r="3048">
          <cell r="C3048" t="str">
            <v>FR0010451203</v>
          </cell>
          <cell r="G3048">
            <v>6909988673.5424995</v>
          </cell>
        </row>
        <row r="3049">
          <cell r="C3049" t="str">
            <v>FR0010451203</v>
          </cell>
          <cell r="G3049">
            <v>6909988673.5424995</v>
          </cell>
        </row>
        <row r="3050">
          <cell r="C3050" t="str">
            <v>FR0010451203</v>
          </cell>
          <cell r="G3050">
            <v>6909988673.5424995</v>
          </cell>
        </row>
        <row r="3051">
          <cell r="C3051" t="str">
            <v>DE0005439004</v>
          </cell>
          <cell r="G3051">
            <v>6901606351.8600006</v>
          </cell>
        </row>
        <row r="3052">
          <cell r="C3052" t="str">
            <v>DE0005439004</v>
          </cell>
          <cell r="G3052">
            <v>6901606351.8600006</v>
          </cell>
        </row>
        <row r="3053">
          <cell r="C3053" t="str">
            <v>DE0005439004</v>
          </cell>
          <cell r="G3053">
            <v>6901606351.8600006</v>
          </cell>
        </row>
        <row r="3054">
          <cell r="C3054" t="str">
            <v>DE0005439004</v>
          </cell>
          <cell r="G3054">
            <v>6901606351.8600006</v>
          </cell>
        </row>
        <row r="3055">
          <cell r="C3055" t="str">
            <v>DE0005439004</v>
          </cell>
          <cell r="G3055">
            <v>6901606351.8600006</v>
          </cell>
        </row>
        <row r="3056">
          <cell r="C3056" t="str">
            <v>DE0005439004</v>
          </cell>
          <cell r="G3056">
            <v>6901606351.8600006</v>
          </cell>
        </row>
        <row r="3057">
          <cell r="C3057" t="str">
            <v>DE0005439004</v>
          </cell>
          <cell r="G3057">
            <v>6901606351.8600006</v>
          </cell>
        </row>
        <row r="3058">
          <cell r="C3058" t="str">
            <v>DE0005439004</v>
          </cell>
          <cell r="G3058">
            <v>6901606351.8600006</v>
          </cell>
        </row>
        <row r="3059">
          <cell r="C3059" t="str">
            <v>DE0005439004</v>
          </cell>
          <cell r="G3059">
            <v>6901606351.8600006</v>
          </cell>
        </row>
        <row r="3060">
          <cell r="C3060" t="str">
            <v>DE0005439004</v>
          </cell>
          <cell r="G3060">
            <v>6901606351.8600006</v>
          </cell>
        </row>
        <row r="3061">
          <cell r="C3061" t="str">
            <v>DE0005439004</v>
          </cell>
          <cell r="G3061">
            <v>6901606351.8600006</v>
          </cell>
        </row>
        <row r="3062">
          <cell r="C3062" t="str">
            <v>DE0005439004</v>
          </cell>
          <cell r="G3062">
            <v>6901606351.8600006</v>
          </cell>
        </row>
        <row r="3063">
          <cell r="C3063" t="str">
            <v>DE0005439004</v>
          </cell>
          <cell r="G3063">
            <v>6901606351.8600006</v>
          </cell>
        </row>
        <row r="3064">
          <cell r="C3064" t="str">
            <v>DE0005439004</v>
          </cell>
          <cell r="G3064">
            <v>6901606351.8600006</v>
          </cell>
        </row>
        <row r="3065">
          <cell r="C3065" t="str">
            <v>FR0014000MR3</v>
          </cell>
          <cell r="G3065">
            <v>6841495791</v>
          </cell>
        </row>
        <row r="3066">
          <cell r="C3066" t="str">
            <v>FR0014000MR3</v>
          </cell>
          <cell r="G3066">
            <v>6841495791</v>
          </cell>
        </row>
        <row r="3067">
          <cell r="C3067" t="str">
            <v>FR0014000MR3</v>
          </cell>
          <cell r="G3067">
            <v>6841495791</v>
          </cell>
        </row>
        <row r="3068">
          <cell r="C3068" t="str">
            <v>FR0014000MR3</v>
          </cell>
          <cell r="G3068">
            <v>6841495791</v>
          </cell>
        </row>
        <row r="3069">
          <cell r="C3069" t="str">
            <v>FR0014000MR3</v>
          </cell>
          <cell r="G3069">
            <v>6841495791</v>
          </cell>
        </row>
        <row r="3070">
          <cell r="C3070" t="str">
            <v>FR0014000MR3</v>
          </cell>
          <cell r="G3070">
            <v>6841495791</v>
          </cell>
        </row>
        <row r="3071">
          <cell r="C3071" t="str">
            <v>FR0014000MR3</v>
          </cell>
          <cell r="G3071">
            <v>6841495791</v>
          </cell>
        </row>
        <row r="3072">
          <cell r="C3072" t="str">
            <v>FR0014000MR3</v>
          </cell>
          <cell r="G3072">
            <v>6841495791</v>
          </cell>
        </row>
        <row r="3073">
          <cell r="C3073" t="str">
            <v>FR0014000MR3</v>
          </cell>
          <cell r="G3073">
            <v>6841495791</v>
          </cell>
        </row>
        <row r="3074">
          <cell r="C3074" t="str">
            <v>FR0014000MR3</v>
          </cell>
          <cell r="G3074">
            <v>6841495791</v>
          </cell>
        </row>
        <row r="3075">
          <cell r="C3075" t="str">
            <v>FR0014000MR3</v>
          </cell>
          <cell r="G3075">
            <v>6841495791</v>
          </cell>
        </row>
        <row r="3076">
          <cell r="C3076" t="str">
            <v>FR0014000MR3</v>
          </cell>
          <cell r="G3076">
            <v>6841495791</v>
          </cell>
        </row>
        <row r="3077">
          <cell r="C3077" t="str">
            <v>FR0014000MR3</v>
          </cell>
          <cell r="G3077">
            <v>6841495791</v>
          </cell>
        </row>
        <row r="3078">
          <cell r="C3078" t="str">
            <v>FR0014000MR3</v>
          </cell>
          <cell r="G3078">
            <v>6841495791</v>
          </cell>
        </row>
        <row r="3079">
          <cell r="C3079" t="str">
            <v>FR0012757854</v>
          </cell>
          <cell r="G3079">
            <v>6637559214.8879995</v>
          </cell>
        </row>
        <row r="3080">
          <cell r="C3080" t="str">
            <v>FR0012757854</v>
          </cell>
          <cell r="G3080">
            <v>6637559214.8879995</v>
          </cell>
        </row>
        <row r="3081">
          <cell r="C3081" t="str">
            <v>FR0012757854</v>
          </cell>
          <cell r="G3081">
            <v>6637559214.8879995</v>
          </cell>
        </row>
        <row r="3082">
          <cell r="C3082" t="str">
            <v>FR0012757854</v>
          </cell>
          <cell r="G3082">
            <v>6637559214.8879995</v>
          </cell>
        </row>
        <row r="3083">
          <cell r="C3083" t="str">
            <v>FR0012757854</v>
          </cell>
          <cell r="G3083">
            <v>6637559214.8879995</v>
          </cell>
        </row>
        <row r="3084">
          <cell r="C3084" t="str">
            <v>FR0012757854</v>
          </cell>
          <cell r="G3084">
            <v>6637559214.8879995</v>
          </cell>
        </row>
        <row r="3085">
          <cell r="C3085" t="str">
            <v>FR0012757854</v>
          </cell>
          <cell r="G3085">
            <v>6637559214.8879995</v>
          </cell>
        </row>
        <row r="3086">
          <cell r="C3086" t="str">
            <v>FR0012757854</v>
          </cell>
          <cell r="G3086">
            <v>6637559214.8879995</v>
          </cell>
        </row>
        <row r="3087">
          <cell r="C3087" t="str">
            <v>FR0012757854</v>
          </cell>
          <cell r="G3087">
            <v>6637559214.8879995</v>
          </cell>
        </row>
        <row r="3088">
          <cell r="C3088" t="str">
            <v>FR0012757854</v>
          </cell>
          <cell r="G3088">
            <v>6637559214.8879995</v>
          </cell>
        </row>
        <row r="3089">
          <cell r="C3089" t="str">
            <v>FR0012757854</v>
          </cell>
          <cell r="G3089">
            <v>6637559214.8879995</v>
          </cell>
        </row>
        <row r="3090">
          <cell r="C3090" t="str">
            <v>FR0012757854</v>
          </cell>
          <cell r="G3090">
            <v>6637559214.8879995</v>
          </cell>
        </row>
        <row r="3091">
          <cell r="C3091" t="str">
            <v>FR0012757854</v>
          </cell>
          <cell r="G3091">
            <v>6637559214.8879995</v>
          </cell>
        </row>
        <row r="3092">
          <cell r="C3092" t="str">
            <v>FR0012757854</v>
          </cell>
          <cell r="G3092">
            <v>6637559214.8879995</v>
          </cell>
        </row>
        <row r="3093">
          <cell r="C3093" t="str">
            <v>FR0000131906</v>
          </cell>
          <cell r="G3093">
            <v>6596972711.4720001</v>
          </cell>
        </row>
        <row r="3094">
          <cell r="C3094" t="str">
            <v>FR0000131906</v>
          </cell>
          <cell r="G3094">
            <v>6596972711.4720001</v>
          </cell>
        </row>
        <row r="3095">
          <cell r="C3095" t="str">
            <v>FR0000131906</v>
          </cell>
          <cell r="G3095">
            <v>6596972711.4720001</v>
          </cell>
        </row>
        <row r="3096">
          <cell r="C3096" t="str">
            <v>FR0000131906</v>
          </cell>
          <cell r="G3096">
            <v>6596972711.4720001</v>
          </cell>
        </row>
        <row r="3097">
          <cell r="C3097" t="str">
            <v>FR0000131906</v>
          </cell>
          <cell r="G3097">
            <v>6596972711.4720001</v>
          </cell>
        </row>
        <row r="3098">
          <cell r="C3098" t="str">
            <v>FR0000131906</v>
          </cell>
          <cell r="G3098">
            <v>6596972711.4720001</v>
          </cell>
        </row>
        <row r="3099">
          <cell r="C3099" t="str">
            <v>FR0000131906</v>
          </cell>
          <cell r="G3099">
            <v>6596972711.4720001</v>
          </cell>
        </row>
        <row r="3100">
          <cell r="C3100" t="str">
            <v>FR0000131906</v>
          </cell>
          <cell r="G3100">
            <v>6596972711.4720001</v>
          </cell>
        </row>
        <row r="3101">
          <cell r="C3101" t="str">
            <v>FR0000131906</v>
          </cell>
          <cell r="G3101">
            <v>6596972711.4720001</v>
          </cell>
        </row>
        <row r="3102">
          <cell r="C3102" t="str">
            <v>FR0000131906</v>
          </cell>
          <cell r="G3102">
            <v>6596972711.4720001</v>
          </cell>
        </row>
        <row r="3103">
          <cell r="C3103" t="str">
            <v>FR0000131906</v>
          </cell>
          <cell r="G3103">
            <v>6596972711.4720001</v>
          </cell>
        </row>
        <row r="3104">
          <cell r="C3104" t="str">
            <v>FR0000131906</v>
          </cell>
          <cell r="G3104">
            <v>6596972711.4720001</v>
          </cell>
        </row>
        <row r="3105">
          <cell r="C3105" t="str">
            <v>FR0000131906</v>
          </cell>
          <cell r="G3105">
            <v>6596972711.4720001</v>
          </cell>
        </row>
        <row r="3106">
          <cell r="C3106" t="str">
            <v>FR0000131906</v>
          </cell>
          <cell r="G3106">
            <v>6596972711.4720001</v>
          </cell>
        </row>
        <row r="3107">
          <cell r="C3107" t="str">
            <v>NL0012059018</v>
          </cell>
          <cell r="G3107">
            <v>6587137587.7800007</v>
          </cell>
        </row>
        <row r="3108">
          <cell r="C3108" t="str">
            <v>NL0012059018</v>
          </cell>
          <cell r="G3108">
            <v>6587137587.7800007</v>
          </cell>
        </row>
        <row r="3109">
          <cell r="C3109" t="str">
            <v>NL0012059018</v>
          </cell>
          <cell r="G3109">
            <v>6587137587.7800007</v>
          </cell>
        </row>
        <row r="3110">
          <cell r="C3110" t="str">
            <v>NL0012059018</v>
          </cell>
          <cell r="G3110">
            <v>6587137587.7800007</v>
          </cell>
        </row>
        <row r="3111">
          <cell r="C3111" t="str">
            <v>NL0012059018</v>
          </cell>
          <cell r="G3111">
            <v>6587137587.7800007</v>
          </cell>
        </row>
        <row r="3112">
          <cell r="C3112" t="str">
            <v>NL0012059018</v>
          </cell>
          <cell r="G3112">
            <v>6587137587.7800007</v>
          </cell>
        </row>
        <row r="3113">
          <cell r="C3113" t="str">
            <v>NL0012059018</v>
          </cell>
          <cell r="G3113">
            <v>6587137587.7800007</v>
          </cell>
        </row>
        <row r="3114">
          <cell r="C3114" t="str">
            <v>NL0012059018</v>
          </cell>
          <cell r="G3114">
            <v>6587137587.7800007</v>
          </cell>
        </row>
        <row r="3115">
          <cell r="C3115" t="str">
            <v>NL0012059018</v>
          </cell>
          <cell r="G3115">
            <v>6587137587.7800007</v>
          </cell>
        </row>
        <row r="3116">
          <cell r="C3116" t="str">
            <v>NL0012059018</v>
          </cell>
          <cell r="G3116">
            <v>6587137587.7800007</v>
          </cell>
        </row>
        <row r="3117">
          <cell r="C3117" t="str">
            <v>NL0012059018</v>
          </cell>
          <cell r="G3117">
            <v>6587137587.7800007</v>
          </cell>
        </row>
        <row r="3118">
          <cell r="C3118" t="str">
            <v>NL0012059018</v>
          </cell>
          <cell r="G3118">
            <v>6587137587.7800007</v>
          </cell>
        </row>
        <row r="3119">
          <cell r="C3119" t="str">
            <v>NL0012059018</v>
          </cell>
          <cell r="G3119">
            <v>6587137587.7800007</v>
          </cell>
        </row>
        <row r="3120">
          <cell r="C3120" t="str">
            <v>NL0012059018</v>
          </cell>
          <cell r="G3120">
            <v>6587137587.7800007</v>
          </cell>
        </row>
        <row r="3121">
          <cell r="C3121" t="str">
            <v>NL0015002MS2</v>
          </cell>
          <cell r="G3121">
            <v>6586780960.0745411</v>
          </cell>
        </row>
        <row r="3122">
          <cell r="C3122" t="str">
            <v>NL0015002MS2</v>
          </cell>
          <cell r="G3122">
            <v>6586780960.0745411</v>
          </cell>
        </row>
        <row r="3123">
          <cell r="C3123" t="str">
            <v>NL0015002MS2</v>
          </cell>
          <cell r="G3123">
            <v>6586780960.0745411</v>
          </cell>
        </row>
        <row r="3124">
          <cell r="C3124" t="str">
            <v>NL0015002MS2</v>
          </cell>
          <cell r="G3124">
            <v>6586780960.0745411</v>
          </cell>
        </row>
        <row r="3125">
          <cell r="C3125" t="str">
            <v>NL0015002MS2</v>
          </cell>
          <cell r="G3125">
            <v>6586780960.0745411</v>
          </cell>
        </row>
        <row r="3126">
          <cell r="C3126" t="str">
            <v>NL0015002MS2</v>
          </cell>
          <cell r="G3126">
            <v>6586780960.0745411</v>
          </cell>
        </row>
        <row r="3127">
          <cell r="C3127" t="str">
            <v>NL0015002MS2</v>
          </cell>
          <cell r="G3127">
            <v>6586780960.0745411</v>
          </cell>
        </row>
        <row r="3128">
          <cell r="C3128" t="str">
            <v>NL0015002MS2</v>
          </cell>
          <cell r="G3128">
            <v>6586780960.0745411</v>
          </cell>
        </row>
        <row r="3129">
          <cell r="C3129" t="str">
            <v>NL0015002MS2</v>
          </cell>
          <cell r="G3129">
            <v>6586780960.0745411</v>
          </cell>
        </row>
        <row r="3130">
          <cell r="C3130" t="str">
            <v>NL0015002MS2</v>
          </cell>
          <cell r="G3130">
            <v>6586780960.0745411</v>
          </cell>
        </row>
        <row r="3131">
          <cell r="C3131" t="str">
            <v>NL0015002MS2</v>
          </cell>
          <cell r="G3131">
            <v>6586780960.0745411</v>
          </cell>
        </row>
        <row r="3132">
          <cell r="C3132" t="str">
            <v>NL0015002MS2</v>
          </cell>
          <cell r="G3132">
            <v>6586780960.0745411</v>
          </cell>
        </row>
        <row r="3133">
          <cell r="C3133" t="str">
            <v>NL0015002MS2</v>
          </cell>
          <cell r="G3133">
            <v>6586780960.0745411</v>
          </cell>
        </row>
        <row r="3134">
          <cell r="C3134" t="str">
            <v>NL0015002MS2</v>
          </cell>
          <cell r="G3134">
            <v>6586780960.0745411</v>
          </cell>
        </row>
        <row r="3135">
          <cell r="C3135" t="str">
            <v>FI0009014377</v>
          </cell>
          <cell r="G3135">
            <v>6552082977</v>
          </cell>
        </row>
        <row r="3136">
          <cell r="C3136" t="str">
            <v>FI0009014377</v>
          </cell>
          <cell r="G3136">
            <v>6552082977</v>
          </cell>
        </row>
        <row r="3137">
          <cell r="C3137" t="str">
            <v>FI0009014377</v>
          </cell>
          <cell r="G3137">
            <v>6552082977</v>
          </cell>
        </row>
        <row r="3138">
          <cell r="C3138" t="str">
            <v>FI0009014377</v>
          </cell>
          <cell r="G3138">
            <v>6552082977</v>
          </cell>
        </row>
        <row r="3139">
          <cell r="C3139" t="str">
            <v>FI0009014377</v>
          </cell>
          <cell r="G3139">
            <v>6552082977</v>
          </cell>
        </row>
        <row r="3140">
          <cell r="C3140" t="str">
            <v>FI0009014377</v>
          </cell>
          <cell r="G3140">
            <v>6552082977</v>
          </cell>
        </row>
        <row r="3141">
          <cell r="C3141" t="str">
            <v>FI0009014377</v>
          </cell>
          <cell r="G3141">
            <v>6552082977</v>
          </cell>
        </row>
        <row r="3142">
          <cell r="C3142" t="str">
            <v>FI0009014377</v>
          </cell>
          <cell r="G3142">
            <v>6552082977</v>
          </cell>
        </row>
        <row r="3143">
          <cell r="C3143" t="str">
            <v>FI0009014377</v>
          </cell>
          <cell r="G3143">
            <v>6552082977</v>
          </cell>
        </row>
        <row r="3144">
          <cell r="C3144" t="str">
            <v>FI0009014377</v>
          </cell>
          <cell r="G3144">
            <v>6552082977</v>
          </cell>
        </row>
        <row r="3145">
          <cell r="C3145" t="str">
            <v>FI0009014377</v>
          </cell>
          <cell r="G3145">
            <v>6552082977</v>
          </cell>
        </row>
        <row r="3146">
          <cell r="C3146" t="str">
            <v>FI0009014377</v>
          </cell>
          <cell r="G3146">
            <v>6552082977</v>
          </cell>
        </row>
        <row r="3147">
          <cell r="C3147" t="str">
            <v>FI0009014377</v>
          </cell>
          <cell r="G3147">
            <v>6552082977</v>
          </cell>
        </row>
        <row r="3148">
          <cell r="C3148" t="str">
            <v>FI0009014377</v>
          </cell>
          <cell r="G3148">
            <v>6552082977</v>
          </cell>
        </row>
        <row r="3149">
          <cell r="C3149" t="str">
            <v>LU2598331598</v>
          </cell>
          <cell r="G3149">
            <v>6444029522.9624996</v>
          </cell>
        </row>
        <row r="3150">
          <cell r="C3150" t="str">
            <v>LU2598331598</v>
          </cell>
          <cell r="G3150">
            <v>6444029522.9624996</v>
          </cell>
        </row>
        <row r="3151">
          <cell r="C3151" t="str">
            <v>LU2598331598</v>
          </cell>
          <cell r="G3151">
            <v>6444029522.9624996</v>
          </cell>
        </row>
        <row r="3152">
          <cell r="C3152" t="str">
            <v>LU2598331598</v>
          </cell>
          <cell r="G3152">
            <v>6444029522.9624996</v>
          </cell>
        </row>
        <row r="3153">
          <cell r="C3153" t="str">
            <v>LU2598331598</v>
          </cell>
          <cell r="G3153">
            <v>6444029522.9624996</v>
          </cell>
        </row>
        <row r="3154">
          <cell r="C3154" t="str">
            <v>LU2598331598</v>
          </cell>
          <cell r="G3154">
            <v>6444029522.9624996</v>
          </cell>
        </row>
        <row r="3155">
          <cell r="C3155" t="str">
            <v>LU2598331598</v>
          </cell>
          <cell r="G3155">
            <v>6444029522.9624996</v>
          </cell>
        </row>
        <row r="3156">
          <cell r="C3156" t="str">
            <v>LU2598331598</v>
          </cell>
          <cell r="G3156">
            <v>6444029522.9624996</v>
          </cell>
        </row>
        <row r="3157">
          <cell r="C3157" t="str">
            <v>LU2598331598</v>
          </cell>
          <cell r="G3157">
            <v>6444029522.9624996</v>
          </cell>
        </row>
        <row r="3158">
          <cell r="C3158" t="str">
            <v>LU2598331598</v>
          </cell>
          <cell r="G3158">
            <v>6444029522.9624996</v>
          </cell>
        </row>
        <row r="3159">
          <cell r="C3159" t="str">
            <v>LU2598331598</v>
          </cell>
          <cell r="G3159">
            <v>6444029522.9624996</v>
          </cell>
        </row>
        <row r="3160">
          <cell r="C3160" t="str">
            <v>LU2598331598</v>
          </cell>
          <cell r="G3160">
            <v>6444029522.9624996</v>
          </cell>
        </row>
        <row r="3161">
          <cell r="C3161" t="str">
            <v>LU2598331598</v>
          </cell>
          <cell r="G3161">
            <v>6444029522.9624996</v>
          </cell>
        </row>
        <row r="3162">
          <cell r="C3162" t="str">
            <v>LU2598331598</v>
          </cell>
          <cell r="G3162">
            <v>6444029522.9624996</v>
          </cell>
        </row>
        <row r="3163">
          <cell r="C3163" t="str">
            <v>ES0116870314</v>
          </cell>
          <cell r="G3163">
            <v>6404299347.1500006</v>
          </cell>
        </row>
        <row r="3164">
          <cell r="C3164" t="str">
            <v>ES0116870314</v>
          </cell>
          <cell r="G3164">
            <v>6404299347.1500006</v>
          </cell>
        </row>
        <row r="3165">
          <cell r="C3165" t="str">
            <v>ES0116870314</v>
          </cell>
          <cell r="G3165">
            <v>6404299347.1500006</v>
          </cell>
        </row>
        <row r="3166">
          <cell r="C3166" t="str">
            <v>ES0116870314</v>
          </cell>
          <cell r="G3166">
            <v>6404299347.1500006</v>
          </cell>
        </row>
        <row r="3167">
          <cell r="C3167" t="str">
            <v>ES0116870314</v>
          </cell>
          <cell r="G3167">
            <v>6404299347.1500006</v>
          </cell>
        </row>
        <row r="3168">
          <cell r="C3168" t="str">
            <v>ES0116870314</v>
          </cell>
          <cell r="G3168">
            <v>6404299347.1500006</v>
          </cell>
        </row>
        <row r="3169">
          <cell r="C3169" t="str">
            <v>ES0116870314</v>
          </cell>
          <cell r="G3169">
            <v>6404299347.1500006</v>
          </cell>
        </row>
        <row r="3170">
          <cell r="C3170" t="str">
            <v>ES0116870314</v>
          </cell>
          <cell r="G3170">
            <v>6404299347.1500006</v>
          </cell>
        </row>
        <row r="3171">
          <cell r="C3171" t="str">
            <v>ES0116870314</v>
          </cell>
          <cell r="G3171">
            <v>6404299347.1500006</v>
          </cell>
        </row>
        <row r="3172">
          <cell r="C3172" t="str">
            <v>ES0116870314</v>
          </cell>
          <cell r="G3172">
            <v>6404299347.1500006</v>
          </cell>
        </row>
        <row r="3173">
          <cell r="C3173" t="str">
            <v>ES0116870314</v>
          </cell>
          <cell r="G3173">
            <v>6404299347.1500006</v>
          </cell>
        </row>
        <row r="3174">
          <cell r="C3174" t="str">
            <v>ES0116870314</v>
          </cell>
          <cell r="G3174">
            <v>6404299347.1500006</v>
          </cell>
        </row>
        <row r="3175">
          <cell r="C3175" t="str">
            <v>ES0116870314</v>
          </cell>
          <cell r="G3175">
            <v>6404299347.1500006</v>
          </cell>
        </row>
        <row r="3176">
          <cell r="C3176" t="str">
            <v>ES0116870314</v>
          </cell>
          <cell r="G3176">
            <v>6404299347.1500006</v>
          </cell>
        </row>
        <row r="3177">
          <cell r="C3177" t="str">
            <v>FR0011726835</v>
          </cell>
          <cell r="G3177">
            <v>6365697898</v>
          </cell>
        </row>
        <row r="3178">
          <cell r="C3178" t="str">
            <v>FR0011726835</v>
          </cell>
          <cell r="G3178">
            <v>6365697898</v>
          </cell>
        </row>
        <row r="3179">
          <cell r="C3179" t="str">
            <v>FR0011726835</v>
          </cell>
          <cell r="G3179">
            <v>6365697898</v>
          </cell>
        </row>
        <row r="3180">
          <cell r="C3180" t="str">
            <v>FR0011726835</v>
          </cell>
          <cell r="G3180">
            <v>6365697898</v>
          </cell>
        </row>
        <row r="3181">
          <cell r="C3181" t="str">
            <v>FR0011726835</v>
          </cell>
          <cell r="G3181">
            <v>6365697898</v>
          </cell>
        </row>
        <row r="3182">
          <cell r="C3182" t="str">
            <v>FR0011726835</v>
          </cell>
          <cell r="G3182">
            <v>6365697898</v>
          </cell>
        </row>
        <row r="3183">
          <cell r="C3183" t="str">
            <v>FR0011726835</v>
          </cell>
          <cell r="G3183">
            <v>6365697898</v>
          </cell>
        </row>
        <row r="3184">
          <cell r="C3184" t="str">
            <v>FR0011726835</v>
          </cell>
          <cell r="G3184">
            <v>6365697898</v>
          </cell>
        </row>
        <row r="3185">
          <cell r="C3185" t="str">
            <v>FR0011726835</v>
          </cell>
          <cell r="G3185">
            <v>6365697898</v>
          </cell>
        </row>
        <row r="3186">
          <cell r="C3186" t="str">
            <v>FR0011726835</v>
          </cell>
          <cell r="G3186">
            <v>6365697898</v>
          </cell>
        </row>
        <row r="3187">
          <cell r="C3187" t="str">
            <v>FR0011726835</v>
          </cell>
          <cell r="G3187">
            <v>6365697898</v>
          </cell>
        </row>
        <row r="3188">
          <cell r="C3188" t="str">
            <v>FR0011726835</v>
          </cell>
          <cell r="G3188">
            <v>6365697898</v>
          </cell>
        </row>
        <row r="3189">
          <cell r="C3189" t="str">
            <v>FR0011726835</v>
          </cell>
          <cell r="G3189">
            <v>6365697898</v>
          </cell>
        </row>
        <row r="3190">
          <cell r="C3190" t="str">
            <v>FR0011726835</v>
          </cell>
          <cell r="G3190">
            <v>6365697898</v>
          </cell>
        </row>
        <row r="3191">
          <cell r="C3191" t="str">
            <v>DE000A12DM80</v>
          </cell>
          <cell r="G3191">
            <v>6316312500</v>
          </cell>
        </row>
        <row r="3192">
          <cell r="C3192" t="str">
            <v>DE000A12DM80</v>
          </cell>
          <cell r="G3192">
            <v>6316312500</v>
          </cell>
        </row>
        <row r="3193">
          <cell r="C3193" t="str">
            <v>DE000A12DM80</v>
          </cell>
          <cell r="G3193">
            <v>6316312500</v>
          </cell>
        </row>
        <row r="3194">
          <cell r="C3194" t="str">
            <v>DE000A12DM80</v>
          </cell>
          <cell r="G3194">
            <v>6316312500</v>
          </cell>
        </row>
        <row r="3195">
          <cell r="C3195" t="str">
            <v>DE000A12DM80</v>
          </cell>
          <cell r="G3195">
            <v>6316312500</v>
          </cell>
        </row>
        <row r="3196">
          <cell r="C3196" t="str">
            <v>DE000A12DM80</v>
          </cell>
          <cell r="G3196">
            <v>6316312500</v>
          </cell>
        </row>
        <row r="3197">
          <cell r="C3197" t="str">
            <v>DE000A12DM80</v>
          </cell>
          <cell r="G3197">
            <v>6316312500</v>
          </cell>
        </row>
        <row r="3198">
          <cell r="C3198" t="str">
            <v>DE000A12DM80</v>
          </cell>
          <cell r="G3198">
            <v>6316312500</v>
          </cell>
        </row>
        <row r="3199">
          <cell r="C3199" t="str">
            <v>DE000A12DM80</v>
          </cell>
          <cell r="G3199">
            <v>6316312500</v>
          </cell>
        </row>
        <row r="3200">
          <cell r="C3200" t="str">
            <v>DE000A12DM80</v>
          </cell>
          <cell r="G3200">
            <v>6316312500</v>
          </cell>
        </row>
        <row r="3201">
          <cell r="C3201" t="str">
            <v>DE000A12DM80</v>
          </cell>
          <cell r="G3201">
            <v>6316312500</v>
          </cell>
        </row>
        <row r="3202">
          <cell r="C3202" t="str">
            <v>DE000A12DM80</v>
          </cell>
          <cell r="G3202">
            <v>6316312500</v>
          </cell>
        </row>
        <row r="3203">
          <cell r="C3203" t="str">
            <v>DE000A12DM80</v>
          </cell>
          <cell r="G3203">
            <v>6316312500</v>
          </cell>
        </row>
        <row r="3204">
          <cell r="C3204" t="str">
            <v>DE000A12DM80</v>
          </cell>
          <cell r="G3204">
            <v>6316312500</v>
          </cell>
        </row>
        <row r="3205">
          <cell r="C3205" t="str">
            <v>IT0005211237</v>
          </cell>
          <cell r="G3205">
            <v>6293926951.0032511</v>
          </cell>
        </row>
        <row r="3206">
          <cell r="C3206" t="str">
            <v>IT0005211237</v>
          </cell>
          <cell r="G3206">
            <v>6293926951.0032511</v>
          </cell>
        </row>
        <row r="3207">
          <cell r="C3207" t="str">
            <v>IT0005211237</v>
          </cell>
          <cell r="G3207">
            <v>6293926951.0032511</v>
          </cell>
        </row>
        <row r="3208">
          <cell r="C3208" t="str">
            <v>IT0005211237</v>
          </cell>
          <cell r="G3208">
            <v>6293926951.0032511</v>
          </cell>
        </row>
        <row r="3209">
          <cell r="C3209" t="str">
            <v>IT0005211237</v>
          </cell>
          <cell r="G3209">
            <v>6293926951.0032511</v>
          </cell>
        </row>
        <row r="3210">
          <cell r="C3210" t="str">
            <v>IT0005211237</v>
          </cell>
          <cell r="G3210">
            <v>6293926951.0032511</v>
          </cell>
        </row>
        <row r="3211">
          <cell r="C3211" t="str">
            <v>IT0005211237</v>
          </cell>
          <cell r="G3211">
            <v>6293926951.0032511</v>
          </cell>
        </row>
        <row r="3212">
          <cell r="C3212" t="str">
            <v>IT0005211237</v>
          </cell>
          <cell r="G3212">
            <v>6293926951.0032511</v>
          </cell>
        </row>
        <row r="3213">
          <cell r="C3213" t="str">
            <v>IT0005211237</v>
          </cell>
          <cell r="G3213">
            <v>6293926951.0032511</v>
          </cell>
        </row>
        <row r="3214">
          <cell r="C3214" t="str">
            <v>IT0005211237</v>
          </cell>
          <cell r="G3214">
            <v>6293926951.0032511</v>
          </cell>
        </row>
        <row r="3215">
          <cell r="C3215" t="str">
            <v>IT0005211237</v>
          </cell>
          <cell r="G3215">
            <v>6293926951.0032511</v>
          </cell>
        </row>
        <row r="3216">
          <cell r="C3216" t="str">
            <v>IT0005211237</v>
          </cell>
          <cell r="G3216">
            <v>6293926951.0032511</v>
          </cell>
        </row>
        <row r="3217">
          <cell r="C3217" t="str">
            <v>IT0005211237</v>
          </cell>
          <cell r="G3217">
            <v>6293926951.0032511</v>
          </cell>
        </row>
        <row r="3218">
          <cell r="C3218" t="str">
            <v>IT0005211237</v>
          </cell>
          <cell r="G3218">
            <v>6293926951.0032511</v>
          </cell>
        </row>
        <row r="3219">
          <cell r="C3219" t="str">
            <v>DE0006452907</v>
          </cell>
          <cell r="G3219">
            <v>6216210000</v>
          </cell>
        </row>
        <row r="3220">
          <cell r="C3220" t="str">
            <v>DE0006452907</v>
          </cell>
          <cell r="G3220">
            <v>6216210000</v>
          </cell>
        </row>
        <row r="3221">
          <cell r="C3221" t="str">
            <v>DE0006452907</v>
          </cell>
          <cell r="G3221">
            <v>6216210000</v>
          </cell>
        </row>
        <row r="3222">
          <cell r="C3222" t="str">
            <v>DE0006452907</v>
          </cell>
          <cell r="G3222">
            <v>6216210000</v>
          </cell>
        </row>
        <row r="3223">
          <cell r="C3223" t="str">
            <v>DE0006452907</v>
          </cell>
          <cell r="G3223">
            <v>6216210000</v>
          </cell>
        </row>
        <row r="3224">
          <cell r="C3224" t="str">
            <v>DE0006452907</v>
          </cell>
          <cell r="G3224">
            <v>6216210000</v>
          </cell>
        </row>
        <row r="3225">
          <cell r="C3225" t="str">
            <v>DE0006452907</v>
          </cell>
          <cell r="G3225">
            <v>6216210000</v>
          </cell>
        </row>
        <row r="3226">
          <cell r="C3226" t="str">
            <v>DE0006452907</v>
          </cell>
          <cell r="G3226">
            <v>6216210000</v>
          </cell>
        </row>
        <row r="3227">
          <cell r="C3227" t="str">
            <v>DE0006452907</v>
          </cell>
          <cell r="G3227">
            <v>6216210000</v>
          </cell>
        </row>
        <row r="3228">
          <cell r="C3228" t="str">
            <v>DE0006452907</v>
          </cell>
          <cell r="G3228">
            <v>6216210000</v>
          </cell>
        </row>
        <row r="3229">
          <cell r="C3229" t="str">
            <v>DE0006452907</v>
          </cell>
          <cell r="G3229">
            <v>6216210000</v>
          </cell>
        </row>
        <row r="3230">
          <cell r="C3230" t="str">
            <v>DE0006452907</v>
          </cell>
          <cell r="G3230">
            <v>6216210000</v>
          </cell>
        </row>
        <row r="3231">
          <cell r="C3231" t="str">
            <v>DE0006452907</v>
          </cell>
          <cell r="G3231">
            <v>6216210000</v>
          </cell>
        </row>
        <row r="3232">
          <cell r="C3232" t="str">
            <v>DE0006452907</v>
          </cell>
          <cell r="G3232">
            <v>6216210000</v>
          </cell>
        </row>
        <row r="3233">
          <cell r="C3233" t="str">
            <v>PTJMT0AE0001</v>
          </cell>
          <cell r="G3233">
            <v>6105402820.4399996</v>
          </cell>
        </row>
        <row r="3234">
          <cell r="C3234" t="str">
            <v>PTJMT0AE0001</v>
          </cell>
          <cell r="G3234">
            <v>6105402820.4399996</v>
          </cell>
        </row>
        <row r="3235">
          <cell r="C3235" t="str">
            <v>PTJMT0AE0001</v>
          </cell>
          <cell r="G3235">
            <v>6105402820.4399996</v>
          </cell>
        </row>
        <row r="3236">
          <cell r="C3236" t="str">
            <v>PTJMT0AE0001</v>
          </cell>
          <cell r="G3236">
            <v>6105402820.4399996</v>
          </cell>
        </row>
        <row r="3237">
          <cell r="C3237" t="str">
            <v>PTJMT0AE0001</v>
          </cell>
          <cell r="G3237">
            <v>6105402820.4399996</v>
          </cell>
        </row>
        <row r="3238">
          <cell r="C3238" t="str">
            <v>PTJMT0AE0001</v>
          </cell>
          <cell r="G3238">
            <v>6105402820.4399996</v>
          </cell>
        </row>
        <row r="3239">
          <cell r="C3239" t="str">
            <v>PTJMT0AE0001</v>
          </cell>
          <cell r="G3239">
            <v>6105402820.4399996</v>
          </cell>
        </row>
        <row r="3240">
          <cell r="C3240" t="str">
            <v>PTJMT0AE0001</v>
          </cell>
          <cell r="G3240">
            <v>6105402820.4399996</v>
          </cell>
        </row>
        <row r="3241">
          <cell r="C3241" t="str">
            <v>PTJMT0AE0001</v>
          </cell>
          <cell r="G3241">
            <v>6105402820.4399996</v>
          </cell>
        </row>
        <row r="3242">
          <cell r="C3242" t="str">
            <v>PTJMT0AE0001</v>
          </cell>
          <cell r="G3242">
            <v>6105402820.4399996</v>
          </cell>
        </row>
        <row r="3243">
          <cell r="C3243" t="str">
            <v>PTJMT0AE0001</v>
          </cell>
          <cell r="G3243">
            <v>6105402820.4399996</v>
          </cell>
        </row>
        <row r="3244">
          <cell r="C3244" t="str">
            <v>PTJMT0AE0001</v>
          </cell>
          <cell r="G3244">
            <v>6105402820.4399996</v>
          </cell>
        </row>
        <row r="3245">
          <cell r="C3245" t="str">
            <v>PTJMT0AE0001</v>
          </cell>
          <cell r="G3245">
            <v>6105402820.4399996</v>
          </cell>
        </row>
        <row r="3246">
          <cell r="C3246" t="str">
            <v>PTJMT0AE0001</v>
          </cell>
          <cell r="G3246">
            <v>6105402820.4399996</v>
          </cell>
        </row>
        <row r="3247">
          <cell r="C3247" t="str">
            <v>ES0173093024</v>
          </cell>
          <cell r="G3247">
            <v>6103382400</v>
          </cell>
        </row>
        <row r="3248">
          <cell r="C3248" t="str">
            <v>ES0173093024</v>
          </cell>
          <cell r="G3248">
            <v>6103382400</v>
          </cell>
        </row>
        <row r="3249">
          <cell r="C3249" t="str">
            <v>ES0173093024</v>
          </cell>
          <cell r="G3249">
            <v>6103382400</v>
          </cell>
        </row>
        <row r="3250">
          <cell r="C3250" t="str">
            <v>ES0173093024</v>
          </cell>
          <cell r="G3250">
            <v>6103382400</v>
          </cell>
        </row>
        <row r="3251">
          <cell r="C3251" t="str">
            <v>ES0173093024</v>
          </cell>
          <cell r="G3251">
            <v>6103382400</v>
          </cell>
        </row>
        <row r="3252">
          <cell r="C3252" t="str">
            <v>ES0173093024</v>
          </cell>
          <cell r="G3252">
            <v>6103382400</v>
          </cell>
        </row>
        <row r="3253">
          <cell r="C3253" t="str">
            <v>ES0173093024</v>
          </cell>
          <cell r="G3253">
            <v>6103382400</v>
          </cell>
        </row>
        <row r="3254">
          <cell r="C3254" t="str">
            <v>ES0173093024</v>
          </cell>
          <cell r="G3254">
            <v>6103382400</v>
          </cell>
        </row>
        <row r="3255">
          <cell r="C3255" t="str">
            <v>ES0173093024</v>
          </cell>
          <cell r="G3255">
            <v>6103382400</v>
          </cell>
        </row>
        <row r="3256">
          <cell r="C3256" t="str">
            <v>ES0173093024</v>
          </cell>
          <cell r="G3256">
            <v>6103382400</v>
          </cell>
        </row>
        <row r="3257">
          <cell r="C3257" t="str">
            <v>ES0173093024</v>
          </cell>
          <cell r="G3257">
            <v>6103382400</v>
          </cell>
        </row>
        <row r="3258">
          <cell r="C3258" t="str">
            <v>ES0173093024</v>
          </cell>
          <cell r="G3258">
            <v>6103382400</v>
          </cell>
        </row>
        <row r="3259">
          <cell r="C3259" t="str">
            <v>ES0173093024</v>
          </cell>
          <cell r="G3259">
            <v>6103382400</v>
          </cell>
        </row>
        <row r="3260">
          <cell r="C3260" t="str">
            <v>ES0173093024</v>
          </cell>
          <cell r="G3260">
            <v>6103382400</v>
          </cell>
        </row>
        <row r="3261">
          <cell r="C3261" t="str">
            <v>DE000A1DAHH0</v>
          </cell>
          <cell r="G3261">
            <v>5990332838.1300001</v>
          </cell>
        </row>
        <row r="3262">
          <cell r="C3262" t="str">
            <v>DE000A1DAHH0</v>
          </cell>
          <cell r="G3262">
            <v>5990332838.1300001</v>
          </cell>
        </row>
        <row r="3263">
          <cell r="C3263" t="str">
            <v>DE000A1DAHH0</v>
          </cell>
          <cell r="G3263">
            <v>5990332838.1300001</v>
          </cell>
        </row>
        <row r="3264">
          <cell r="C3264" t="str">
            <v>DE000A1DAHH0</v>
          </cell>
          <cell r="G3264">
            <v>5990332838.1300001</v>
          </cell>
        </row>
        <row r="3265">
          <cell r="C3265" t="str">
            <v>DE000A1DAHH0</v>
          </cell>
          <cell r="G3265">
            <v>5990332838.1300001</v>
          </cell>
        </row>
        <row r="3266">
          <cell r="C3266" t="str">
            <v>DE000A1DAHH0</v>
          </cell>
          <cell r="G3266">
            <v>5990332838.1300001</v>
          </cell>
        </row>
        <row r="3267">
          <cell r="C3267" t="str">
            <v>DE000A1DAHH0</v>
          </cell>
          <cell r="G3267">
            <v>5990332838.1300001</v>
          </cell>
        </row>
        <row r="3268">
          <cell r="C3268" t="str">
            <v>DE000A1DAHH0</v>
          </cell>
          <cell r="G3268">
            <v>5990332838.1300001</v>
          </cell>
        </row>
        <row r="3269">
          <cell r="C3269" t="str">
            <v>DE000A1DAHH0</v>
          </cell>
          <cell r="G3269">
            <v>5990332838.1300001</v>
          </cell>
        </row>
        <row r="3270">
          <cell r="C3270" t="str">
            <v>DE000A1DAHH0</v>
          </cell>
          <cell r="G3270">
            <v>5990332838.1300001</v>
          </cell>
        </row>
        <row r="3271">
          <cell r="C3271" t="str">
            <v>DE000A1DAHH0</v>
          </cell>
          <cell r="G3271">
            <v>5990332838.1300001</v>
          </cell>
        </row>
        <row r="3272">
          <cell r="C3272" t="str">
            <v>DE000A1DAHH0</v>
          </cell>
          <cell r="G3272">
            <v>5990332838.1300001</v>
          </cell>
        </row>
        <row r="3273">
          <cell r="C3273" t="str">
            <v>DE000A1DAHH0</v>
          </cell>
          <cell r="G3273">
            <v>5990332838.1300001</v>
          </cell>
        </row>
        <row r="3274">
          <cell r="C3274" t="str">
            <v>DE000A1DAHH0</v>
          </cell>
          <cell r="G3274">
            <v>5990332838.1300001</v>
          </cell>
        </row>
        <row r="3275">
          <cell r="C3275" t="str">
            <v>FR0012333284</v>
          </cell>
          <cell r="G3275">
            <v>5988935240.0999994</v>
          </cell>
        </row>
        <row r="3276">
          <cell r="C3276" t="str">
            <v>FR0012333284</v>
          </cell>
          <cell r="G3276">
            <v>5988935240.0999994</v>
          </cell>
        </row>
        <row r="3277">
          <cell r="C3277" t="str">
            <v>FR0012333284</v>
          </cell>
          <cell r="G3277">
            <v>5988935240.0999994</v>
          </cell>
        </row>
        <row r="3278">
          <cell r="C3278" t="str">
            <v>FR0012333284</v>
          </cell>
          <cell r="G3278">
            <v>5988935240.0999994</v>
          </cell>
        </row>
        <row r="3279">
          <cell r="C3279" t="str">
            <v>FR0012333284</v>
          </cell>
          <cell r="G3279">
            <v>5988935240.0999994</v>
          </cell>
        </row>
        <row r="3280">
          <cell r="C3280" t="str">
            <v>FR0012333284</v>
          </cell>
          <cell r="G3280">
            <v>5988935240.0999994</v>
          </cell>
        </row>
        <row r="3281">
          <cell r="C3281" t="str">
            <v>FR0012333284</v>
          </cell>
          <cell r="G3281">
            <v>5988935240.0999994</v>
          </cell>
        </row>
        <row r="3282">
          <cell r="C3282" t="str">
            <v>FR0012333284</v>
          </cell>
          <cell r="G3282">
            <v>5988935240.0999994</v>
          </cell>
        </row>
        <row r="3283">
          <cell r="C3283" t="str">
            <v>FR0012333284</v>
          </cell>
          <cell r="G3283">
            <v>5988935240.0999994</v>
          </cell>
        </row>
        <row r="3284">
          <cell r="C3284" t="str">
            <v>FR0012333284</v>
          </cell>
          <cell r="G3284">
            <v>5988935240.0999994</v>
          </cell>
        </row>
        <row r="3285">
          <cell r="C3285" t="str">
            <v>FR0012333284</v>
          </cell>
          <cell r="G3285">
            <v>5988935240.0999994</v>
          </cell>
        </row>
        <row r="3286">
          <cell r="C3286" t="str">
            <v>FR0012333284</v>
          </cell>
          <cell r="G3286">
            <v>5988935240.0999994</v>
          </cell>
        </row>
        <row r="3287">
          <cell r="C3287" t="str">
            <v>FR0012333284</v>
          </cell>
          <cell r="G3287">
            <v>5988935240.0999994</v>
          </cell>
        </row>
        <row r="3288">
          <cell r="C3288" t="str">
            <v>FR0012333284</v>
          </cell>
          <cell r="G3288">
            <v>5988935240.0999994</v>
          </cell>
        </row>
        <row r="3289">
          <cell r="C3289" t="str">
            <v>FI0009005961</v>
          </cell>
          <cell r="G3289">
            <v>5918649219.6000004</v>
          </cell>
        </row>
        <row r="3290">
          <cell r="C3290" t="str">
            <v>FI0009005961</v>
          </cell>
          <cell r="G3290">
            <v>5918649219.6000004</v>
          </cell>
        </row>
        <row r="3291">
          <cell r="C3291" t="str">
            <v>FI0009005961</v>
          </cell>
          <cell r="G3291">
            <v>5918649219.6000004</v>
          </cell>
        </row>
        <row r="3292">
          <cell r="C3292" t="str">
            <v>FI0009005961</v>
          </cell>
          <cell r="G3292">
            <v>5918649219.6000004</v>
          </cell>
        </row>
        <row r="3293">
          <cell r="C3293" t="str">
            <v>FI0009005961</v>
          </cell>
          <cell r="G3293">
            <v>5918649219.6000004</v>
          </cell>
        </row>
        <row r="3294">
          <cell r="C3294" t="str">
            <v>FI0009005961</v>
          </cell>
          <cell r="G3294">
            <v>5918649219.6000004</v>
          </cell>
        </row>
        <row r="3295">
          <cell r="C3295" t="str">
            <v>FI0009005961</v>
          </cell>
          <cell r="G3295">
            <v>5918649219.6000004</v>
          </cell>
        </row>
        <row r="3296">
          <cell r="C3296" t="str">
            <v>FI0009005961</v>
          </cell>
          <cell r="G3296">
            <v>5918649219.6000004</v>
          </cell>
        </row>
        <row r="3297">
          <cell r="C3297" t="str">
            <v>FI0009005961</v>
          </cell>
          <cell r="G3297">
            <v>5918649219.6000004</v>
          </cell>
        </row>
        <row r="3298">
          <cell r="C3298" t="str">
            <v>FI0009005961</v>
          </cell>
          <cell r="G3298">
            <v>5918649219.6000004</v>
          </cell>
        </row>
        <row r="3299">
          <cell r="C3299" t="str">
            <v>FI0009005961</v>
          </cell>
          <cell r="G3299">
            <v>5918649219.6000004</v>
          </cell>
        </row>
        <row r="3300">
          <cell r="C3300" t="str">
            <v>FI0009005961</v>
          </cell>
          <cell r="G3300">
            <v>5918649219.6000004</v>
          </cell>
        </row>
        <row r="3301">
          <cell r="C3301" t="str">
            <v>FI0009005961</v>
          </cell>
          <cell r="G3301">
            <v>5918649219.6000004</v>
          </cell>
        </row>
        <row r="3302">
          <cell r="C3302" t="str">
            <v>FI0009005961</v>
          </cell>
          <cell r="G3302">
            <v>5918649219.6000004</v>
          </cell>
        </row>
        <row r="3303">
          <cell r="C3303" t="str">
            <v>DE000SHA0100</v>
          </cell>
          <cell r="G3303">
            <v>5891355730.4000006</v>
          </cell>
        </row>
        <row r="3304">
          <cell r="C3304" t="str">
            <v>DE000SHA0100</v>
          </cell>
          <cell r="G3304">
            <v>5891355730.4000006</v>
          </cell>
        </row>
        <row r="3305">
          <cell r="C3305" t="str">
            <v>DE000SHA0100</v>
          </cell>
          <cell r="G3305">
            <v>5891355730.4000006</v>
          </cell>
        </row>
        <row r="3306">
          <cell r="C3306" t="str">
            <v>DE000SHA0100</v>
          </cell>
          <cell r="G3306">
            <v>5891355730.4000006</v>
          </cell>
        </row>
        <row r="3307">
          <cell r="C3307" t="str">
            <v>DE000SHA0100</v>
          </cell>
          <cell r="G3307">
            <v>5891355730.4000006</v>
          </cell>
        </row>
        <row r="3308">
          <cell r="C3308" t="str">
            <v>DE000SHA0100</v>
          </cell>
          <cell r="G3308">
            <v>5891355730.4000006</v>
          </cell>
        </row>
        <row r="3309">
          <cell r="C3309" t="str">
            <v>DE000SHA0100</v>
          </cell>
          <cell r="G3309">
            <v>5891355730.4000006</v>
          </cell>
        </row>
        <row r="3310">
          <cell r="C3310" t="str">
            <v>DE000SHA0100</v>
          </cell>
          <cell r="G3310">
            <v>5891355730.4000006</v>
          </cell>
        </row>
        <row r="3311">
          <cell r="C3311" t="str">
            <v>DE000SHA0100</v>
          </cell>
          <cell r="G3311">
            <v>5891355730.4000006</v>
          </cell>
        </row>
        <row r="3312">
          <cell r="C3312" t="str">
            <v>DE000SHA0100</v>
          </cell>
          <cell r="G3312">
            <v>5891355730.4000006</v>
          </cell>
        </row>
        <row r="3313">
          <cell r="C3313" t="str">
            <v>DE000SHA0100</v>
          </cell>
          <cell r="G3313">
            <v>5891355730.4000006</v>
          </cell>
        </row>
        <row r="3314">
          <cell r="C3314" t="str">
            <v>DE000SHA0100</v>
          </cell>
          <cell r="G3314">
            <v>5891355730.4000006</v>
          </cell>
        </row>
        <row r="3315">
          <cell r="C3315" t="str">
            <v>DE000SHA0100</v>
          </cell>
          <cell r="G3315">
            <v>5891355730.4000006</v>
          </cell>
        </row>
        <row r="3316">
          <cell r="C3316" t="str">
            <v>DE000SHA0100</v>
          </cell>
          <cell r="G3316">
            <v>5891355730.4000006</v>
          </cell>
        </row>
        <row r="3317">
          <cell r="C3317" t="str">
            <v>IT0003828271</v>
          </cell>
          <cell r="G3317">
            <v>5837205916.8500004</v>
          </cell>
        </row>
        <row r="3318">
          <cell r="C3318" t="str">
            <v>IT0003828271</v>
          </cell>
          <cell r="G3318">
            <v>5837205916.8500004</v>
          </cell>
        </row>
        <row r="3319">
          <cell r="C3319" t="str">
            <v>IT0003828271</v>
          </cell>
          <cell r="G3319">
            <v>5837205916.8500004</v>
          </cell>
        </row>
        <row r="3320">
          <cell r="C3320" t="str">
            <v>IT0003828271</v>
          </cell>
          <cell r="G3320">
            <v>5837205916.8500004</v>
          </cell>
        </row>
        <row r="3321">
          <cell r="C3321" t="str">
            <v>IT0003828271</v>
          </cell>
          <cell r="G3321">
            <v>5837205916.8500004</v>
          </cell>
        </row>
        <row r="3322">
          <cell r="C3322" t="str">
            <v>IT0003828271</v>
          </cell>
          <cell r="G3322">
            <v>5837205916.8500004</v>
          </cell>
        </row>
        <row r="3323">
          <cell r="C3323" t="str">
            <v>IT0003828271</v>
          </cell>
          <cell r="G3323">
            <v>5837205916.8500004</v>
          </cell>
        </row>
        <row r="3324">
          <cell r="C3324" t="str">
            <v>IT0003828271</v>
          </cell>
          <cell r="G3324">
            <v>5837205916.8500004</v>
          </cell>
        </row>
        <row r="3325">
          <cell r="C3325" t="str">
            <v>IT0003828271</v>
          </cell>
          <cell r="G3325">
            <v>5837205916.8500004</v>
          </cell>
        </row>
        <row r="3326">
          <cell r="C3326" t="str">
            <v>IT0003828271</v>
          </cell>
          <cell r="G3326">
            <v>5837205916.8500004</v>
          </cell>
        </row>
        <row r="3327">
          <cell r="C3327" t="str">
            <v>IT0003828271</v>
          </cell>
          <cell r="G3327">
            <v>5837205916.8500004</v>
          </cell>
        </row>
        <row r="3328">
          <cell r="C3328" t="str">
            <v>IT0003828271</v>
          </cell>
          <cell r="G3328">
            <v>5837205916.8500004</v>
          </cell>
        </row>
        <row r="3329">
          <cell r="C3329" t="str">
            <v>IT0003828271</v>
          </cell>
          <cell r="G3329">
            <v>5837205916.8500004</v>
          </cell>
        </row>
        <row r="3330">
          <cell r="C3330" t="str">
            <v>IT0003828271</v>
          </cell>
          <cell r="G3330">
            <v>5837205916.8500004</v>
          </cell>
        </row>
        <row r="3331">
          <cell r="C3331" t="str">
            <v>FI0009005870</v>
          </cell>
          <cell r="G3331">
            <v>5828751292.5</v>
          </cell>
        </row>
        <row r="3332">
          <cell r="C3332" t="str">
            <v>FI0009005870</v>
          </cell>
          <cell r="G3332">
            <v>5828751292.5</v>
          </cell>
        </row>
        <row r="3333">
          <cell r="C3333" t="str">
            <v>FI0009005870</v>
          </cell>
          <cell r="G3333">
            <v>5828751292.5</v>
          </cell>
        </row>
        <row r="3334">
          <cell r="C3334" t="str">
            <v>FI0009005870</v>
          </cell>
          <cell r="G3334">
            <v>5828751292.5</v>
          </cell>
        </row>
        <row r="3335">
          <cell r="C3335" t="str">
            <v>FI0009005870</v>
          </cell>
          <cell r="G3335">
            <v>5828751292.5</v>
          </cell>
        </row>
        <row r="3336">
          <cell r="C3336" t="str">
            <v>FI0009005870</v>
          </cell>
          <cell r="G3336">
            <v>5828751292.5</v>
          </cell>
        </row>
        <row r="3337">
          <cell r="C3337" t="str">
            <v>FI0009005870</v>
          </cell>
          <cell r="G3337">
            <v>5828751292.5</v>
          </cell>
        </row>
        <row r="3338">
          <cell r="C3338" t="str">
            <v>FI0009005870</v>
          </cell>
          <cell r="G3338">
            <v>5828751292.5</v>
          </cell>
        </row>
        <row r="3339">
          <cell r="C3339" t="str">
            <v>FI0009005870</v>
          </cell>
          <cell r="G3339">
            <v>5828751292.5</v>
          </cell>
        </row>
        <row r="3340">
          <cell r="C3340" t="str">
            <v>FI0009005870</v>
          </cell>
          <cell r="G3340">
            <v>5828751292.5</v>
          </cell>
        </row>
        <row r="3341">
          <cell r="C3341" t="str">
            <v>FI0009005870</v>
          </cell>
          <cell r="G3341">
            <v>5828751292.5</v>
          </cell>
        </row>
        <row r="3342">
          <cell r="C3342" t="str">
            <v>FI0009005870</v>
          </cell>
          <cell r="G3342">
            <v>5828751292.5</v>
          </cell>
        </row>
        <row r="3343">
          <cell r="C3343" t="str">
            <v>FI0009005870</v>
          </cell>
          <cell r="G3343">
            <v>5828751292.5</v>
          </cell>
        </row>
        <row r="3344">
          <cell r="C3344" t="str">
            <v>FI0009005870</v>
          </cell>
          <cell r="G3344">
            <v>5828751292.5</v>
          </cell>
        </row>
        <row r="3345">
          <cell r="C3345" t="str">
            <v>FI0009007884</v>
          </cell>
          <cell r="G3345">
            <v>5774063925.4200001</v>
          </cell>
        </row>
        <row r="3346">
          <cell r="C3346" t="str">
            <v>FI0009007884</v>
          </cell>
          <cell r="G3346">
            <v>5774063925.4200001</v>
          </cell>
        </row>
        <row r="3347">
          <cell r="C3347" t="str">
            <v>FI0009007884</v>
          </cell>
          <cell r="G3347">
            <v>5774063925.4200001</v>
          </cell>
        </row>
        <row r="3348">
          <cell r="C3348" t="str">
            <v>FI0009007884</v>
          </cell>
          <cell r="G3348">
            <v>5774063925.4200001</v>
          </cell>
        </row>
        <row r="3349">
          <cell r="C3349" t="str">
            <v>FI0009007884</v>
          </cell>
          <cell r="G3349">
            <v>5774063925.4200001</v>
          </cell>
        </row>
        <row r="3350">
          <cell r="C3350" t="str">
            <v>FI0009007884</v>
          </cell>
          <cell r="G3350">
            <v>5774063925.4200001</v>
          </cell>
        </row>
        <row r="3351">
          <cell r="C3351" t="str">
            <v>FI0009007884</v>
          </cell>
          <cell r="G3351">
            <v>5774063925.4200001</v>
          </cell>
        </row>
        <row r="3352">
          <cell r="C3352" t="str">
            <v>FI0009007884</v>
          </cell>
          <cell r="G3352">
            <v>5774063925.4200001</v>
          </cell>
        </row>
        <row r="3353">
          <cell r="C3353" t="str">
            <v>FI0009007884</v>
          </cell>
          <cell r="G3353">
            <v>5774063925.4200001</v>
          </cell>
        </row>
        <row r="3354">
          <cell r="C3354" t="str">
            <v>FI0009007884</v>
          </cell>
          <cell r="G3354">
            <v>5774063925.4200001</v>
          </cell>
        </row>
        <row r="3355">
          <cell r="C3355" t="str">
            <v>FI0009007884</v>
          </cell>
          <cell r="G3355">
            <v>5774063925.4200001</v>
          </cell>
        </row>
        <row r="3356">
          <cell r="C3356" t="str">
            <v>FI0009007884</v>
          </cell>
          <cell r="G3356">
            <v>5774063925.4200001</v>
          </cell>
        </row>
        <row r="3357">
          <cell r="C3357" t="str">
            <v>FI0009007884</v>
          </cell>
          <cell r="G3357">
            <v>5774063925.4200001</v>
          </cell>
        </row>
        <row r="3358">
          <cell r="C3358" t="str">
            <v>FI0009007884</v>
          </cell>
          <cell r="G3358">
            <v>5774063925.4200001</v>
          </cell>
        </row>
        <row r="3359">
          <cell r="C3359" t="str">
            <v>IT0003497168</v>
          </cell>
          <cell r="G3359">
            <v>5595638507.7024002</v>
          </cell>
        </row>
        <row r="3360">
          <cell r="C3360" t="str">
            <v>IT0003497168</v>
          </cell>
          <cell r="G3360">
            <v>5595638507.7024002</v>
          </cell>
        </row>
        <row r="3361">
          <cell r="C3361" t="str">
            <v>IT0003497168</v>
          </cell>
          <cell r="G3361">
            <v>5595638507.7024002</v>
          </cell>
        </row>
        <row r="3362">
          <cell r="C3362" t="str">
            <v>IT0003497168</v>
          </cell>
          <cell r="G3362">
            <v>5595638507.7024002</v>
          </cell>
        </row>
        <row r="3363">
          <cell r="C3363" t="str">
            <v>IT0003497168</v>
          </cell>
          <cell r="G3363">
            <v>5595638507.7024002</v>
          </cell>
        </row>
        <row r="3364">
          <cell r="C3364" t="str">
            <v>IT0003497168</v>
          </cell>
          <cell r="G3364">
            <v>5595638507.7024002</v>
          </cell>
        </row>
        <row r="3365">
          <cell r="C3365" t="str">
            <v>IT0003497168</v>
          </cell>
          <cell r="G3365">
            <v>5595638507.7024002</v>
          </cell>
        </row>
        <row r="3366">
          <cell r="C3366" t="str">
            <v>IT0003497168</v>
          </cell>
          <cell r="G3366">
            <v>5595638507.7024002</v>
          </cell>
        </row>
        <row r="3367">
          <cell r="C3367" t="str">
            <v>IT0003497168</v>
          </cell>
          <cell r="G3367">
            <v>5595638507.7024002</v>
          </cell>
        </row>
        <row r="3368">
          <cell r="C3368" t="str">
            <v>IT0003497168</v>
          </cell>
          <cell r="G3368">
            <v>5595638507.7024002</v>
          </cell>
        </row>
        <row r="3369">
          <cell r="C3369" t="str">
            <v>IT0003497168</v>
          </cell>
          <cell r="G3369">
            <v>5595638507.7024002</v>
          </cell>
        </row>
        <row r="3370">
          <cell r="C3370" t="str">
            <v>IT0003497168</v>
          </cell>
          <cell r="G3370">
            <v>5595638507.7024002</v>
          </cell>
        </row>
        <row r="3371">
          <cell r="C3371" t="str">
            <v>IT0003497168</v>
          </cell>
          <cell r="G3371">
            <v>5595638507.7024002</v>
          </cell>
        </row>
        <row r="3372">
          <cell r="C3372" t="str">
            <v>IT0003497168</v>
          </cell>
          <cell r="G3372">
            <v>5595638507.7024002</v>
          </cell>
        </row>
        <row r="3373">
          <cell r="C3373" t="str">
            <v>FR0013154002</v>
          </cell>
          <cell r="G3373">
            <v>5547833085</v>
          </cell>
        </row>
        <row r="3374">
          <cell r="C3374" t="str">
            <v>FR0013154002</v>
          </cell>
          <cell r="G3374">
            <v>5547833085</v>
          </cell>
        </row>
        <row r="3375">
          <cell r="C3375" t="str">
            <v>FR0013154002</v>
          </cell>
          <cell r="G3375">
            <v>5547833085</v>
          </cell>
        </row>
        <row r="3376">
          <cell r="C3376" t="str">
            <v>FR0013154002</v>
          </cell>
          <cell r="G3376">
            <v>5547833085</v>
          </cell>
        </row>
        <row r="3377">
          <cell r="C3377" t="str">
            <v>FR0013154002</v>
          </cell>
          <cell r="G3377">
            <v>5547833085</v>
          </cell>
        </row>
        <row r="3378">
          <cell r="C3378" t="str">
            <v>FR0013154002</v>
          </cell>
          <cell r="G3378">
            <v>5547833085</v>
          </cell>
        </row>
        <row r="3379">
          <cell r="C3379" t="str">
            <v>FR0013154002</v>
          </cell>
          <cell r="G3379">
            <v>5547833085</v>
          </cell>
        </row>
        <row r="3380">
          <cell r="C3380" t="str">
            <v>FR0013154002</v>
          </cell>
          <cell r="G3380">
            <v>5547833085</v>
          </cell>
        </row>
        <row r="3381">
          <cell r="C3381" t="str">
            <v>FR0013154002</v>
          </cell>
          <cell r="G3381">
            <v>5547833085</v>
          </cell>
        </row>
        <row r="3382">
          <cell r="C3382" t="str">
            <v>FR0013154002</v>
          </cell>
          <cell r="G3382">
            <v>5547833085</v>
          </cell>
        </row>
        <row r="3383">
          <cell r="C3383" t="str">
            <v>FR0013154002</v>
          </cell>
          <cell r="G3383">
            <v>5547833085</v>
          </cell>
        </row>
        <row r="3384">
          <cell r="C3384" t="str">
            <v>FR0013154002</v>
          </cell>
          <cell r="G3384">
            <v>5547833085</v>
          </cell>
        </row>
        <row r="3385">
          <cell r="C3385" t="str">
            <v>FR0013154002</v>
          </cell>
          <cell r="G3385">
            <v>5547833085</v>
          </cell>
        </row>
        <row r="3386">
          <cell r="C3386" t="str">
            <v>FR0013154002</v>
          </cell>
          <cell r="G3386">
            <v>5547833085</v>
          </cell>
        </row>
        <row r="3387">
          <cell r="C3387" t="str">
            <v>DE0007165631</v>
          </cell>
          <cell r="G3387">
            <v>5482900800</v>
          </cell>
        </row>
        <row r="3388">
          <cell r="C3388" t="str">
            <v>DE0007165631</v>
          </cell>
          <cell r="G3388">
            <v>5482900800</v>
          </cell>
        </row>
        <row r="3389">
          <cell r="C3389" t="str">
            <v>DE0007165631</v>
          </cell>
          <cell r="G3389">
            <v>5482900800</v>
          </cell>
        </row>
        <row r="3390">
          <cell r="C3390" t="str">
            <v>DE0007165631</v>
          </cell>
          <cell r="G3390">
            <v>5482900800</v>
          </cell>
        </row>
        <row r="3391">
          <cell r="C3391" t="str">
            <v>DE0007165631</v>
          </cell>
          <cell r="G3391">
            <v>5482900800</v>
          </cell>
        </row>
        <row r="3392">
          <cell r="C3392" t="str">
            <v>DE0007165631</v>
          </cell>
          <cell r="G3392">
            <v>5482900800</v>
          </cell>
        </row>
        <row r="3393">
          <cell r="C3393" t="str">
            <v>DE0007165631</v>
          </cell>
          <cell r="G3393">
            <v>5482900800</v>
          </cell>
        </row>
        <row r="3394">
          <cell r="C3394" t="str">
            <v>DE0007165631</v>
          </cell>
          <cell r="G3394">
            <v>5482900800</v>
          </cell>
        </row>
        <row r="3395">
          <cell r="C3395" t="str">
            <v>DE0007165631</v>
          </cell>
          <cell r="G3395">
            <v>5482900800</v>
          </cell>
        </row>
        <row r="3396">
          <cell r="C3396" t="str">
            <v>DE0007165631</v>
          </cell>
          <cell r="G3396">
            <v>5482900800</v>
          </cell>
        </row>
        <row r="3397">
          <cell r="C3397" t="str">
            <v>DE0007165631</v>
          </cell>
          <cell r="G3397">
            <v>5482900800</v>
          </cell>
        </row>
        <row r="3398">
          <cell r="C3398" t="str">
            <v>DE0007165631</v>
          </cell>
          <cell r="G3398">
            <v>5482900800</v>
          </cell>
        </row>
        <row r="3399">
          <cell r="C3399" t="str">
            <v>DE0007165631</v>
          </cell>
          <cell r="G3399">
            <v>5482900800</v>
          </cell>
        </row>
        <row r="3400">
          <cell r="C3400" t="str">
            <v>DE0007165631</v>
          </cell>
          <cell r="G3400">
            <v>5482900800</v>
          </cell>
        </row>
        <row r="3401">
          <cell r="C3401" t="str">
            <v>DE000PAH0038</v>
          </cell>
          <cell r="G3401">
            <v>5478811784.4000006</v>
          </cell>
        </row>
        <row r="3402">
          <cell r="C3402" t="str">
            <v>DE000PAH0038</v>
          </cell>
          <cell r="G3402">
            <v>5478811784.4000006</v>
          </cell>
        </row>
        <row r="3403">
          <cell r="C3403" t="str">
            <v>DE000PAH0038</v>
          </cell>
          <cell r="G3403">
            <v>5478811784.4000006</v>
          </cell>
        </row>
        <row r="3404">
          <cell r="C3404" t="str">
            <v>DE000PAH0038</v>
          </cell>
          <cell r="G3404">
            <v>5478811784.4000006</v>
          </cell>
        </row>
        <row r="3405">
          <cell r="C3405" t="str">
            <v>DE000PAH0038</v>
          </cell>
          <cell r="G3405">
            <v>5478811784.4000006</v>
          </cell>
        </row>
        <row r="3406">
          <cell r="C3406" t="str">
            <v>DE000PAH0038</v>
          </cell>
          <cell r="G3406">
            <v>5478811784.4000006</v>
          </cell>
        </row>
        <row r="3407">
          <cell r="C3407" t="str">
            <v>DE000PAH0038</v>
          </cell>
          <cell r="G3407">
            <v>5478811784.4000006</v>
          </cell>
        </row>
        <row r="3408">
          <cell r="C3408" t="str">
            <v>DE000PAH0038</v>
          </cell>
          <cell r="G3408">
            <v>5478811784.4000006</v>
          </cell>
        </row>
        <row r="3409">
          <cell r="C3409" t="str">
            <v>DE000PAH0038</v>
          </cell>
          <cell r="G3409">
            <v>5478811784.4000006</v>
          </cell>
        </row>
        <row r="3410">
          <cell r="C3410" t="str">
            <v>DE000PAH0038</v>
          </cell>
          <cell r="G3410">
            <v>5478811784.4000006</v>
          </cell>
        </row>
        <row r="3411">
          <cell r="C3411" t="str">
            <v>DE000PAH0038</v>
          </cell>
          <cell r="G3411">
            <v>5478811784.4000006</v>
          </cell>
        </row>
        <row r="3412">
          <cell r="C3412" t="str">
            <v>DE000PAH0038</v>
          </cell>
          <cell r="G3412">
            <v>5478811784.4000006</v>
          </cell>
        </row>
        <row r="3413">
          <cell r="C3413" t="str">
            <v>DE000PAH0038</v>
          </cell>
          <cell r="G3413">
            <v>5478811784.4000006</v>
          </cell>
        </row>
        <row r="3414">
          <cell r="C3414" t="str">
            <v>DE000PAH0038</v>
          </cell>
          <cell r="G3414">
            <v>5478811784.4000006</v>
          </cell>
        </row>
        <row r="3415">
          <cell r="C3415" t="str">
            <v>DE000KBX1006</v>
          </cell>
          <cell r="G3415">
            <v>5390528000</v>
          </cell>
        </row>
        <row r="3416">
          <cell r="C3416" t="str">
            <v>DE000KBX1006</v>
          </cell>
          <cell r="G3416">
            <v>5390528000</v>
          </cell>
        </row>
        <row r="3417">
          <cell r="C3417" t="str">
            <v>DE000KBX1006</v>
          </cell>
          <cell r="G3417">
            <v>5390528000</v>
          </cell>
        </row>
        <row r="3418">
          <cell r="C3418" t="str">
            <v>DE000KBX1006</v>
          </cell>
          <cell r="G3418">
            <v>5390528000</v>
          </cell>
        </row>
        <row r="3419">
          <cell r="C3419" t="str">
            <v>DE000KBX1006</v>
          </cell>
          <cell r="G3419">
            <v>5390528000</v>
          </cell>
        </row>
        <row r="3420">
          <cell r="C3420" t="str">
            <v>DE000KBX1006</v>
          </cell>
          <cell r="G3420">
            <v>5390528000</v>
          </cell>
        </row>
        <row r="3421">
          <cell r="C3421" t="str">
            <v>DE000KBX1006</v>
          </cell>
          <cell r="G3421">
            <v>5390528000</v>
          </cell>
        </row>
        <row r="3422">
          <cell r="C3422" t="str">
            <v>DE000KBX1006</v>
          </cell>
          <cell r="G3422">
            <v>5390528000</v>
          </cell>
        </row>
        <row r="3423">
          <cell r="C3423" t="str">
            <v>DE000KBX1006</v>
          </cell>
          <cell r="G3423">
            <v>5390528000</v>
          </cell>
        </row>
        <row r="3424">
          <cell r="C3424" t="str">
            <v>DE000KBX1006</v>
          </cell>
          <cell r="G3424">
            <v>5390528000</v>
          </cell>
        </row>
        <row r="3425">
          <cell r="C3425" t="str">
            <v>DE000KBX1006</v>
          </cell>
          <cell r="G3425">
            <v>5390528000</v>
          </cell>
        </row>
        <row r="3426">
          <cell r="C3426" t="str">
            <v>DE000KBX1006</v>
          </cell>
          <cell r="G3426">
            <v>5390528000</v>
          </cell>
        </row>
        <row r="3427">
          <cell r="C3427" t="str">
            <v>DE000KBX1006</v>
          </cell>
          <cell r="G3427">
            <v>5390528000</v>
          </cell>
        </row>
        <row r="3428">
          <cell r="C3428" t="str">
            <v>DE000KBX1006</v>
          </cell>
          <cell r="G3428">
            <v>5390528000</v>
          </cell>
        </row>
        <row r="3429">
          <cell r="C3429" t="str">
            <v>BE0003797140</v>
          </cell>
          <cell r="G3429">
            <v>5333328000</v>
          </cell>
        </row>
        <row r="3430">
          <cell r="C3430" t="str">
            <v>BE0003797140</v>
          </cell>
          <cell r="G3430">
            <v>5333328000</v>
          </cell>
        </row>
        <row r="3431">
          <cell r="C3431" t="str">
            <v>BE0003797140</v>
          </cell>
          <cell r="G3431">
            <v>5333328000</v>
          </cell>
        </row>
        <row r="3432">
          <cell r="C3432" t="str">
            <v>BE0003797140</v>
          </cell>
          <cell r="G3432">
            <v>5333328000</v>
          </cell>
        </row>
        <row r="3433">
          <cell r="C3433" t="str">
            <v>BE0003797140</v>
          </cell>
          <cell r="G3433">
            <v>5333328000</v>
          </cell>
        </row>
        <row r="3434">
          <cell r="C3434" t="str">
            <v>BE0003797140</v>
          </cell>
          <cell r="G3434">
            <v>5333328000</v>
          </cell>
        </row>
        <row r="3435">
          <cell r="C3435" t="str">
            <v>BE0003797140</v>
          </cell>
          <cell r="G3435">
            <v>5333328000</v>
          </cell>
        </row>
        <row r="3436">
          <cell r="C3436" t="str">
            <v>BE0003797140</v>
          </cell>
          <cell r="G3436">
            <v>5333328000</v>
          </cell>
        </row>
        <row r="3437">
          <cell r="C3437" t="str">
            <v>BE0003797140</v>
          </cell>
          <cell r="G3437">
            <v>5333328000</v>
          </cell>
        </row>
        <row r="3438">
          <cell r="C3438" t="str">
            <v>BE0003797140</v>
          </cell>
          <cell r="G3438">
            <v>5333328000</v>
          </cell>
        </row>
        <row r="3439">
          <cell r="C3439" t="str">
            <v>BE0003797140</v>
          </cell>
          <cell r="G3439">
            <v>5333328000</v>
          </cell>
        </row>
        <row r="3440">
          <cell r="C3440" t="str">
            <v>BE0003797140</v>
          </cell>
          <cell r="G3440">
            <v>5333328000</v>
          </cell>
        </row>
        <row r="3441">
          <cell r="C3441" t="str">
            <v>BE0003797140</v>
          </cell>
          <cell r="G3441">
            <v>5333328000</v>
          </cell>
        </row>
        <row r="3442">
          <cell r="C3442" t="str">
            <v>BE0003797140</v>
          </cell>
          <cell r="G3442">
            <v>5333328000</v>
          </cell>
        </row>
        <row r="3443">
          <cell r="C3443" t="str">
            <v>DE000ZAL1111</v>
          </cell>
          <cell r="G3443">
            <v>5263851021.4799995</v>
          </cell>
        </row>
        <row r="3444">
          <cell r="C3444" t="str">
            <v>DE000ZAL1111</v>
          </cell>
          <cell r="G3444">
            <v>5263851021.4799995</v>
          </cell>
        </row>
        <row r="3445">
          <cell r="C3445" t="str">
            <v>DE000ZAL1111</v>
          </cell>
          <cell r="G3445">
            <v>5263851021.4799995</v>
          </cell>
        </row>
        <row r="3446">
          <cell r="C3446" t="str">
            <v>DE000ZAL1111</v>
          </cell>
          <cell r="G3446">
            <v>5263851021.4799995</v>
          </cell>
        </row>
        <row r="3447">
          <cell r="C3447" t="str">
            <v>DE000ZAL1111</v>
          </cell>
          <cell r="G3447">
            <v>5263851021.4799995</v>
          </cell>
        </row>
        <row r="3448">
          <cell r="C3448" t="str">
            <v>DE000ZAL1111</v>
          </cell>
          <cell r="G3448">
            <v>5263851021.4799995</v>
          </cell>
        </row>
        <row r="3449">
          <cell r="C3449" t="str">
            <v>DE000ZAL1111</v>
          </cell>
          <cell r="G3449">
            <v>5263851021.4799995</v>
          </cell>
        </row>
        <row r="3450">
          <cell r="C3450" t="str">
            <v>DE000ZAL1111</v>
          </cell>
          <cell r="G3450">
            <v>5263851021.4799995</v>
          </cell>
        </row>
        <row r="3451">
          <cell r="C3451" t="str">
            <v>DE000ZAL1111</v>
          </cell>
          <cell r="G3451">
            <v>5263851021.4799995</v>
          </cell>
        </row>
        <row r="3452">
          <cell r="C3452" t="str">
            <v>DE000ZAL1111</v>
          </cell>
          <cell r="G3452">
            <v>5263851021.4799995</v>
          </cell>
        </row>
        <row r="3453">
          <cell r="C3453" t="str">
            <v>DE000ZAL1111</v>
          </cell>
          <cell r="G3453">
            <v>5263851021.4799995</v>
          </cell>
        </row>
        <row r="3454">
          <cell r="C3454" t="str">
            <v>DE000ZAL1111</v>
          </cell>
          <cell r="G3454">
            <v>5263851021.4799995</v>
          </cell>
        </row>
        <row r="3455">
          <cell r="C3455" t="str">
            <v>DE000ZAL1111</v>
          </cell>
          <cell r="G3455">
            <v>5263851021.4799995</v>
          </cell>
        </row>
        <row r="3456">
          <cell r="C3456" t="str">
            <v>DE000ZAL1111</v>
          </cell>
          <cell r="G3456">
            <v>5263851021.4799995</v>
          </cell>
        </row>
        <row r="3457">
          <cell r="C3457" t="str">
            <v>FR0014004L86</v>
          </cell>
          <cell r="G3457">
            <v>5209482909.3000002</v>
          </cell>
        </row>
        <row r="3458">
          <cell r="C3458" t="str">
            <v>FR0014004L86</v>
          </cell>
          <cell r="G3458">
            <v>5209482909.3000002</v>
          </cell>
        </row>
        <row r="3459">
          <cell r="C3459" t="str">
            <v>FR0014004L86</v>
          </cell>
          <cell r="G3459">
            <v>5209482909.3000002</v>
          </cell>
        </row>
        <row r="3460">
          <cell r="C3460" t="str">
            <v>FR0014004L86</v>
          </cell>
          <cell r="G3460">
            <v>5209482909.3000002</v>
          </cell>
        </row>
        <row r="3461">
          <cell r="C3461" t="str">
            <v>FR0014004L86</v>
          </cell>
          <cell r="G3461">
            <v>5209482909.3000002</v>
          </cell>
        </row>
        <row r="3462">
          <cell r="C3462" t="str">
            <v>FR0014004L86</v>
          </cell>
          <cell r="G3462">
            <v>5209482909.3000002</v>
          </cell>
        </row>
        <row r="3463">
          <cell r="C3463" t="str">
            <v>FR0014004L86</v>
          </cell>
          <cell r="G3463">
            <v>5209482909.3000002</v>
          </cell>
        </row>
        <row r="3464">
          <cell r="C3464" t="str">
            <v>FR0014004L86</v>
          </cell>
          <cell r="G3464">
            <v>5209482909.3000002</v>
          </cell>
        </row>
        <row r="3465">
          <cell r="C3465" t="str">
            <v>FR0014004L86</v>
          </cell>
          <cell r="G3465">
            <v>5209482909.3000002</v>
          </cell>
        </row>
        <row r="3466">
          <cell r="C3466" t="str">
            <v>FR0014004L86</v>
          </cell>
          <cell r="G3466">
            <v>5209482909.3000002</v>
          </cell>
        </row>
        <row r="3467">
          <cell r="C3467" t="str">
            <v>FR0014004L86</v>
          </cell>
          <cell r="G3467">
            <v>5209482909.3000002</v>
          </cell>
        </row>
        <row r="3468">
          <cell r="C3468" t="str">
            <v>FR0014004L86</v>
          </cell>
          <cell r="G3468">
            <v>5209482909.3000002</v>
          </cell>
        </row>
        <row r="3469">
          <cell r="C3469" t="str">
            <v>FR0014004L86</v>
          </cell>
          <cell r="G3469">
            <v>5209482909.3000002</v>
          </cell>
        </row>
        <row r="3470">
          <cell r="C3470" t="str">
            <v>FR0014004L86</v>
          </cell>
          <cell r="G3470">
            <v>5209482909.3000002</v>
          </cell>
        </row>
        <row r="3471">
          <cell r="C3471" t="str">
            <v>FR0014004L86</v>
          </cell>
          <cell r="G3471">
            <v>5209482909.3000002</v>
          </cell>
        </row>
        <row r="3472">
          <cell r="C3472" t="str">
            <v>FR0014004L86</v>
          </cell>
          <cell r="G3472">
            <v>5209482909.3000002</v>
          </cell>
        </row>
        <row r="3473">
          <cell r="C3473" t="str">
            <v>FR0014004L86</v>
          </cell>
          <cell r="G3473">
            <v>5209482909.3000002</v>
          </cell>
        </row>
        <row r="3474">
          <cell r="C3474" t="str">
            <v>IT0005541336</v>
          </cell>
          <cell r="G3474">
            <v>5193651703.6800003</v>
          </cell>
        </row>
        <row r="3475">
          <cell r="C3475" t="str">
            <v>IT0005541336</v>
          </cell>
          <cell r="G3475">
            <v>5193651703.6800003</v>
          </cell>
        </row>
        <row r="3476">
          <cell r="C3476" t="str">
            <v>IT0005541336</v>
          </cell>
          <cell r="G3476">
            <v>5193651703.6800003</v>
          </cell>
        </row>
        <row r="3477">
          <cell r="C3477" t="str">
            <v>IT0005541336</v>
          </cell>
          <cell r="G3477">
            <v>5193651703.6800003</v>
          </cell>
        </row>
        <row r="3478">
          <cell r="C3478" t="str">
            <v>IT0005541336</v>
          </cell>
          <cell r="G3478">
            <v>5193651703.6800003</v>
          </cell>
        </row>
        <row r="3479">
          <cell r="C3479" t="str">
            <v>IT0005541336</v>
          </cell>
          <cell r="G3479">
            <v>5193651703.6800003</v>
          </cell>
        </row>
        <row r="3480">
          <cell r="C3480" t="str">
            <v>IT0005541336</v>
          </cell>
          <cell r="G3480">
            <v>5193651703.6800003</v>
          </cell>
        </row>
        <row r="3481">
          <cell r="C3481" t="str">
            <v>IT0005541336</v>
          </cell>
          <cell r="G3481">
            <v>5193651703.6800003</v>
          </cell>
        </row>
        <row r="3482">
          <cell r="C3482" t="str">
            <v>IT0005541336</v>
          </cell>
          <cell r="G3482">
            <v>5193651703.6800003</v>
          </cell>
        </row>
        <row r="3483">
          <cell r="C3483" t="str">
            <v>IT0005541336</v>
          </cell>
          <cell r="G3483">
            <v>5193651703.6800003</v>
          </cell>
        </row>
        <row r="3484">
          <cell r="C3484" t="str">
            <v>IT0005541336</v>
          </cell>
          <cell r="G3484">
            <v>5193651703.6800003</v>
          </cell>
        </row>
        <row r="3485">
          <cell r="C3485" t="str">
            <v>IT0005541336</v>
          </cell>
          <cell r="G3485">
            <v>5193651703.6800003</v>
          </cell>
        </row>
        <row r="3486">
          <cell r="C3486" t="str">
            <v>IT0005541336</v>
          </cell>
          <cell r="G3486">
            <v>5193651703.6800003</v>
          </cell>
        </row>
        <row r="3487">
          <cell r="C3487" t="str">
            <v>IT0005541336</v>
          </cell>
          <cell r="G3487">
            <v>5193651703.6800003</v>
          </cell>
        </row>
        <row r="3488">
          <cell r="C3488" t="str">
            <v>BE0003822393</v>
          </cell>
          <cell r="G3488">
            <v>5099689740.2850008</v>
          </cell>
        </row>
        <row r="3489">
          <cell r="C3489" t="str">
            <v>BE0003822393</v>
          </cell>
          <cell r="G3489">
            <v>5099689740.2850008</v>
          </cell>
        </row>
        <row r="3490">
          <cell r="C3490" t="str">
            <v>BE0003822393</v>
          </cell>
          <cell r="G3490">
            <v>5099689740.2850008</v>
          </cell>
        </row>
        <row r="3491">
          <cell r="C3491" t="str">
            <v>BE0003822393</v>
          </cell>
          <cell r="G3491">
            <v>5099689740.2850008</v>
          </cell>
        </row>
        <row r="3492">
          <cell r="C3492" t="str">
            <v>BE0003822393</v>
          </cell>
          <cell r="G3492">
            <v>5099689740.2850008</v>
          </cell>
        </row>
        <row r="3493">
          <cell r="C3493" t="str">
            <v>BE0003822393</v>
          </cell>
          <cell r="G3493">
            <v>5099689740.2850008</v>
          </cell>
        </row>
        <row r="3494">
          <cell r="C3494" t="str">
            <v>BE0003822393</v>
          </cell>
          <cell r="G3494">
            <v>5099689740.2850008</v>
          </cell>
        </row>
        <row r="3495">
          <cell r="C3495" t="str">
            <v>BE0003822393</v>
          </cell>
          <cell r="G3495">
            <v>5099689740.2850008</v>
          </cell>
        </row>
        <row r="3496">
          <cell r="C3496" t="str">
            <v>BE0003822393</v>
          </cell>
          <cell r="G3496">
            <v>5099689740.2850008</v>
          </cell>
        </row>
        <row r="3497">
          <cell r="C3497" t="str">
            <v>BE0003822393</v>
          </cell>
          <cell r="G3497">
            <v>5099689740.2850008</v>
          </cell>
        </row>
        <row r="3498">
          <cell r="C3498" t="str">
            <v>BE0003822393</v>
          </cell>
          <cell r="G3498">
            <v>5099689740.2850008</v>
          </cell>
        </row>
        <row r="3499">
          <cell r="C3499" t="str">
            <v>BE0003822393</v>
          </cell>
          <cell r="G3499">
            <v>5099689740.2850008</v>
          </cell>
        </row>
        <row r="3500">
          <cell r="C3500" t="str">
            <v>BE0003822393</v>
          </cell>
          <cell r="G3500">
            <v>5099689740.2850008</v>
          </cell>
        </row>
        <row r="3501">
          <cell r="C3501" t="str">
            <v>BE0003822393</v>
          </cell>
          <cell r="G3501">
            <v>5099689740.2850008</v>
          </cell>
        </row>
        <row r="3502">
          <cell r="C3502" t="str">
            <v>FR0013280286</v>
          </cell>
          <cell r="G3502">
            <v>5099001357.6000004</v>
          </cell>
        </row>
        <row r="3503">
          <cell r="C3503" t="str">
            <v>FR0013280286</v>
          </cell>
          <cell r="G3503">
            <v>5099001357.6000004</v>
          </cell>
        </row>
        <row r="3504">
          <cell r="C3504" t="str">
            <v>FR0013280286</v>
          </cell>
          <cell r="G3504">
            <v>5099001357.6000004</v>
          </cell>
        </row>
        <row r="3505">
          <cell r="C3505" t="str">
            <v>FR0013280286</v>
          </cell>
          <cell r="G3505">
            <v>5099001357.6000004</v>
          </cell>
        </row>
        <row r="3506">
          <cell r="C3506" t="str">
            <v>FR0013280286</v>
          </cell>
          <cell r="G3506">
            <v>5099001357.6000004</v>
          </cell>
        </row>
        <row r="3507">
          <cell r="C3507" t="str">
            <v>FR0013280286</v>
          </cell>
          <cell r="G3507">
            <v>5099001357.6000004</v>
          </cell>
        </row>
        <row r="3508">
          <cell r="C3508" t="str">
            <v>FR0013280286</v>
          </cell>
          <cell r="G3508">
            <v>5099001357.6000004</v>
          </cell>
        </row>
        <row r="3509">
          <cell r="C3509" t="str">
            <v>FR0013280286</v>
          </cell>
          <cell r="G3509">
            <v>5099001357.6000004</v>
          </cell>
        </row>
        <row r="3510">
          <cell r="C3510" t="str">
            <v>FR0013280286</v>
          </cell>
          <cell r="G3510">
            <v>5099001357.6000004</v>
          </cell>
        </row>
        <row r="3511">
          <cell r="C3511" t="str">
            <v>FR0013280286</v>
          </cell>
          <cell r="G3511">
            <v>5099001357.6000004</v>
          </cell>
        </row>
        <row r="3512">
          <cell r="C3512" t="str">
            <v>FR0013280286</v>
          </cell>
          <cell r="G3512">
            <v>5099001357.6000004</v>
          </cell>
        </row>
        <row r="3513">
          <cell r="C3513" t="str">
            <v>FR0013280286</v>
          </cell>
          <cell r="G3513">
            <v>5099001357.6000004</v>
          </cell>
        </row>
        <row r="3514">
          <cell r="C3514" t="str">
            <v>FR0013280286</v>
          </cell>
          <cell r="G3514">
            <v>5099001357.6000004</v>
          </cell>
        </row>
        <row r="3515">
          <cell r="C3515" t="str">
            <v>FR0013280286</v>
          </cell>
          <cell r="G3515">
            <v>5099001357.6000004</v>
          </cell>
        </row>
        <row r="3516">
          <cell r="C3516" t="str">
            <v>BE0974464977</v>
          </cell>
          <cell r="G3516">
            <v>4985934835.9940014</v>
          </cell>
        </row>
        <row r="3517">
          <cell r="C3517" t="str">
            <v>BE0974464977</v>
          </cell>
          <cell r="G3517">
            <v>4985934835.9940014</v>
          </cell>
        </row>
        <row r="3518">
          <cell r="C3518" t="str">
            <v>BE0974464977</v>
          </cell>
          <cell r="G3518">
            <v>4985934835.9940014</v>
          </cell>
        </row>
        <row r="3519">
          <cell r="C3519" t="str">
            <v>BE0974464977</v>
          </cell>
          <cell r="G3519">
            <v>4985934835.9940014</v>
          </cell>
        </row>
        <row r="3520">
          <cell r="C3520" t="str">
            <v>BE0974464977</v>
          </cell>
          <cell r="G3520">
            <v>4985934835.9940014</v>
          </cell>
        </row>
        <row r="3521">
          <cell r="C3521" t="str">
            <v>BE0974464977</v>
          </cell>
          <cell r="G3521">
            <v>4985934835.9940014</v>
          </cell>
        </row>
        <row r="3522">
          <cell r="C3522" t="str">
            <v>BE0974464977</v>
          </cell>
          <cell r="G3522">
            <v>4985934835.9940014</v>
          </cell>
        </row>
        <row r="3523">
          <cell r="C3523" t="str">
            <v>BE0974464977</v>
          </cell>
          <cell r="G3523">
            <v>4985934835.9940014</v>
          </cell>
        </row>
        <row r="3524">
          <cell r="C3524" t="str">
            <v>BE0974464977</v>
          </cell>
          <cell r="G3524">
            <v>4985934835.9940014</v>
          </cell>
        </row>
        <row r="3525">
          <cell r="C3525" t="str">
            <v>BE0974464977</v>
          </cell>
          <cell r="G3525">
            <v>4985934835.9940014</v>
          </cell>
        </row>
        <row r="3526">
          <cell r="C3526" t="str">
            <v>BE0974464977</v>
          </cell>
          <cell r="G3526">
            <v>4985934835.9940014</v>
          </cell>
        </row>
        <row r="3527">
          <cell r="C3527" t="str">
            <v>BE0974464977</v>
          </cell>
          <cell r="G3527">
            <v>4985934835.9940014</v>
          </cell>
        </row>
        <row r="3528">
          <cell r="C3528" t="str">
            <v>BE0974464977</v>
          </cell>
          <cell r="G3528">
            <v>4985934835.9940014</v>
          </cell>
        </row>
        <row r="3529">
          <cell r="C3529" t="str">
            <v>BE0974464977</v>
          </cell>
          <cell r="G3529">
            <v>4985934835.9940014</v>
          </cell>
        </row>
        <row r="3530">
          <cell r="C3530" t="str">
            <v>FI0009000202</v>
          </cell>
          <cell r="G3530">
            <v>4940939428.1999998</v>
          </cell>
        </row>
        <row r="3531">
          <cell r="C3531" t="str">
            <v>FI0009000202</v>
          </cell>
          <cell r="G3531">
            <v>4940939428.1999998</v>
          </cell>
        </row>
        <row r="3532">
          <cell r="C3532" t="str">
            <v>FI0009000202</v>
          </cell>
          <cell r="G3532">
            <v>4940939428.1999998</v>
          </cell>
        </row>
        <row r="3533">
          <cell r="C3533" t="str">
            <v>FI0009000202</v>
          </cell>
          <cell r="G3533">
            <v>4940939428.1999998</v>
          </cell>
        </row>
        <row r="3534">
          <cell r="C3534" t="str">
            <v>FI0009000202</v>
          </cell>
          <cell r="G3534">
            <v>4940939428.1999998</v>
          </cell>
        </row>
        <row r="3535">
          <cell r="C3535" t="str">
            <v>FI0009000202</v>
          </cell>
          <cell r="G3535">
            <v>4940939428.1999998</v>
          </cell>
        </row>
        <row r="3536">
          <cell r="C3536" t="str">
            <v>FI0009000202</v>
          </cell>
          <cell r="G3536">
            <v>4940939428.1999998</v>
          </cell>
        </row>
        <row r="3537">
          <cell r="C3537" t="str">
            <v>FI0009000202</v>
          </cell>
          <cell r="G3537">
            <v>4940939428.1999998</v>
          </cell>
        </row>
        <row r="3538">
          <cell r="C3538" t="str">
            <v>FI0009000202</v>
          </cell>
          <cell r="G3538">
            <v>4940939428.1999998</v>
          </cell>
        </row>
        <row r="3539">
          <cell r="C3539" t="str">
            <v>FI0009000202</v>
          </cell>
          <cell r="G3539">
            <v>4940939428.1999998</v>
          </cell>
        </row>
        <row r="3540">
          <cell r="C3540" t="str">
            <v>FI0009000202</v>
          </cell>
          <cell r="G3540">
            <v>4940939428.1999998</v>
          </cell>
        </row>
        <row r="3541">
          <cell r="C3541" t="str">
            <v>FI0009000202</v>
          </cell>
          <cell r="G3541">
            <v>4940939428.1999998</v>
          </cell>
        </row>
        <row r="3542">
          <cell r="C3542" t="str">
            <v>FI0009000202</v>
          </cell>
          <cell r="G3542">
            <v>4940939428.1999998</v>
          </cell>
        </row>
        <row r="3543">
          <cell r="C3543" t="str">
            <v>FI0009000202</v>
          </cell>
          <cell r="G3543">
            <v>4940939428.1999998</v>
          </cell>
        </row>
        <row r="3544">
          <cell r="C3544" t="str">
            <v>DE000PAG9113</v>
          </cell>
          <cell r="G3544">
            <v>4920538750</v>
          </cell>
        </row>
        <row r="3545">
          <cell r="C3545" t="str">
            <v>DE000PAG9113</v>
          </cell>
          <cell r="G3545">
            <v>4920538750</v>
          </cell>
        </row>
        <row r="3546">
          <cell r="C3546" t="str">
            <v>DE000PAG9113</v>
          </cell>
          <cell r="G3546">
            <v>4920538750</v>
          </cell>
        </row>
        <row r="3547">
          <cell r="C3547" t="str">
            <v>DE000PAG9113</v>
          </cell>
          <cell r="G3547">
            <v>4920538750</v>
          </cell>
        </row>
        <row r="3548">
          <cell r="C3548" t="str">
            <v>DE000PAG9113</v>
          </cell>
          <cell r="G3548">
            <v>4920538750</v>
          </cell>
        </row>
        <row r="3549">
          <cell r="C3549" t="str">
            <v>DE000PAG9113</v>
          </cell>
          <cell r="G3549">
            <v>4920538750</v>
          </cell>
        </row>
        <row r="3550">
          <cell r="C3550" t="str">
            <v>DE000PAG9113</v>
          </cell>
          <cell r="G3550">
            <v>4920538750</v>
          </cell>
        </row>
        <row r="3551">
          <cell r="C3551" t="str">
            <v>DE000PAG9113</v>
          </cell>
          <cell r="G3551">
            <v>4920538750</v>
          </cell>
        </row>
        <row r="3552">
          <cell r="C3552" t="str">
            <v>DE000PAG9113</v>
          </cell>
          <cell r="G3552">
            <v>4920538750</v>
          </cell>
        </row>
        <row r="3553">
          <cell r="C3553" t="str">
            <v>DE000PAG9113</v>
          </cell>
          <cell r="G3553">
            <v>4920538750</v>
          </cell>
        </row>
        <row r="3554">
          <cell r="C3554" t="str">
            <v>DE000PAG9113</v>
          </cell>
          <cell r="G3554">
            <v>4920538750</v>
          </cell>
        </row>
        <row r="3555">
          <cell r="C3555" t="str">
            <v>DE000PAG9113</v>
          </cell>
          <cell r="G3555">
            <v>4920538750</v>
          </cell>
        </row>
        <row r="3556">
          <cell r="C3556" t="str">
            <v>DE000PAG9113</v>
          </cell>
          <cell r="G3556">
            <v>4920538750</v>
          </cell>
        </row>
        <row r="3557">
          <cell r="C3557" t="str">
            <v>DE000PAG9113</v>
          </cell>
          <cell r="G3557">
            <v>4920538750</v>
          </cell>
        </row>
        <row r="3558">
          <cell r="C3558" t="str">
            <v>DE000LEG1110</v>
          </cell>
          <cell r="G3558">
            <v>4881873680</v>
          </cell>
        </row>
        <row r="3559">
          <cell r="C3559" t="str">
            <v>DE000LEG1110</v>
          </cell>
          <cell r="G3559">
            <v>4881873680</v>
          </cell>
        </row>
        <row r="3560">
          <cell r="C3560" t="str">
            <v>DE000LEG1110</v>
          </cell>
          <cell r="G3560">
            <v>4881873680</v>
          </cell>
        </row>
        <row r="3561">
          <cell r="C3561" t="str">
            <v>DE000LEG1110</v>
          </cell>
          <cell r="G3561">
            <v>4881873680</v>
          </cell>
        </row>
        <row r="3562">
          <cell r="C3562" t="str">
            <v>DE000LEG1110</v>
          </cell>
          <cell r="G3562">
            <v>4881873680</v>
          </cell>
        </row>
        <row r="3563">
          <cell r="C3563" t="str">
            <v>DE000LEG1110</v>
          </cell>
          <cell r="G3563">
            <v>4881873680</v>
          </cell>
        </row>
        <row r="3564">
          <cell r="C3564" t="str">
            <v>DE000LEG1110</v>
          </cell>
          <cell r="G3564">
            <v>4881873680</v>
          </cell>
        </row>
        <row r="3565">
          <cell r="C3565" t="str">
            <v>DE000LEG1110</v>
          </cell>
          <cell r="G3565">
            <v>4881873680</v>
          </cell>
        </row>
        <row r="3566">
          <cell r="C3566" t="str">
            <v>DE000LEG1110</v>
          </cell>
          <cell r="G3566">
            <v>4881873680</v>
          </cell>
        </row>
        <row r="3567">
          <cell r="C3567" t="str">
            <v>DE000LEG1110</v>
          </cell>
          <cell r="G3567">
            <v>4881873680</v>
          </cell>
        </row>
        <row r="3568">
          <cell r="C3568" t="str">
            <v>DE000LEG1110</v>
          </cell>
          <cell r="G3568">
            <v>4881873680</v>
          </cell>
        </row>
        <row r="3569">
          <cell r="C3569" t="str">
            <v>DE000LEG1110</v>
          </cell>
          <cell r="G3569">
            <v>4881873680</v>
          </cell>
        </row>
        <row r="3570">
          <cell r="C3570" t="str">
            <v>DE000LEG1110</v>
          </cell>
          <cell r="G3570">
            <v>4881873680</v>
          </cell>
        </row>
        <row r="3571">
          <cell r="C3571" t="str">
            <v>DE000LEG1110</v>
          </cell>
          <cell r="G3571">
            <v>4881873680</v>
          </cell>
        </row>
        <row r="3572">
          <cell r="C3572" t="str">
            <v>DE0005470306</v>
          </cell>
          <cell r="G3572">
            <v>4875840000</v>
          </cell>
        </row>
        <row r="3573">
          <cell r="C3573" t="str">
            <v>DE0005470306</v>
          </cell>
          <cell r="G3573">
            <v>4875840000</v>
          </cell>
        </row>
        <row r="3574">
          <cell r="C3574" t="str">
            <v>DE0005470306</v>
          </cell>
          <cell r="G3574">
            <v>4875840000</v>
          </cell>
        </row>
        <row r="3575">
          <cell r="C3575" t="str">
            <v>DE0005470306</v>
          </cell>
          <cell r="G3575">
            <v>4875840000</v>
          </cell>
        </row>
        <row r="3576">
          <cell r="C3576" t="str">
            <v>DE0005470306</v>
          </cell>
          <cell r="G3576">
            <v>4875840000</v>
          </cell>
        </row>
        <row r="3577">
          <cell r="C3577" t="str">
            <v>DE0005470306</v>
          </cell>
          <cell r="G3577">
            <v>4875840000</v>
          </cell>
        </row>
        <row r="3578">
          <cell r="C3578" t="str">
            <v>DE0005470306</v>
          </cell>
          <cell r="G3578">
            <v>4875840000</v>
          </cell>
        </row>
        <row r="3579">
          <cell r="C3579" t="str">
            <v>DE0005470306</v>
          </cell>
          <cell r="G3579">
            <v>4875840000</v>
          </cell>
        </row>
        <row r="3580">
          <cell r="C3580" t="str">
            <v>DE0005470306</v>
          </cell>
          <cell r="G3580">
            <v>4875840000</v>
          </cell>
        </row>
        <row r="3581">
          <cell r="C3581" t="str">
            <v>DE0005470306</v>
          </cell>
          <cell r="G3581">
            <v>4875840000</v>
          </cell>
        </row>
        <row r="3582">
          <cell r="C3582" t="str">
            <v>DE0005470306</v>
          </cell>
          <cell r="G3582">
            <v>4875840000</v>
          </cell>
        </row>
        <row r="3583">
          <cell r="C3583" t="str">
            <v>DE0005470306</v>
          </cell>
          <cell r="G3583">
            <v>4875840000</v>
          </cell>
        </row>
        <row r="3584">
          <cell r="C3584" t="str">
            <v>DE0005470306</v>
          </cell>
          <cell r="G3584">
            <v>4875840000</v>
          </cell>
        </row>
        <row r="3585">
          <cell r="C3585" t="str">
            <v>DE0005470306</v>
          </cell>
          <cell r="G3585">
            <v>4875840000</v>
          </cell>
        </row>
        <row r="3586">
          <cell r="C3586" t="str">
            <v>NL0014332678</v>
          </cell>
          <cell r="G3586">
            <v>4610359095.0479994</v>
          </cell>
        </row>
        <row r="3587">
          <cell r="C3587" t="str">
            <v>NL0014332678</v>
          </cell>
          <cell r="G3587">
            <v>4610359095.0479994</v>
          </cell>
        </row>
        <row r="3588">
          <cell r="C3588" t="str">
            <v>NL0014332678</v>
          </cell>
          <cell r="G3588">
            <v>4610359095.0479994</v>
          </cell>
        </row>
        <row r="3589">
          <cell r="C3589" t="str">
            <v>NL0014332678</v>
          </cell>
          <cell r="G3589">
            <v>4610359095.0479994</v>
          </cell>
        </row>
        <row r="3590">
          <cell r="C3590" t="str">
            <v>NL0014332678</v>
          </cell>
          <cell r="G3590">
            <v>4610359095.0479994</v>
          </cell>
        </row>
        <row r="3591">
          <cell r="C3591" t="str">
            <v>NL0014332678</v>
          </cell>
          <cell r="G3591">
            <v>4610359095.0479994</v>
          </cell>
        </row>
        <row r="3592">
          <cell r="C3592" t="str">
            <v>NL0014332678</v>
          </cell>
          <cell r="G3592">
            <v>4610359095.0479994</v>
          </cell>
        </row>
        <row r="3593">
          <cell r="C3593" t="str">
            <v>NL0014332678</v>
          </cell>
          <cell r="G3593">
            <v>4610359095.0479994</v>
          </cell>
        </row>
        <row r="3594">
          <cell r="C3594" t="str">
            <v>NL0014332678</v>
          </cell>
          <cell r="G3594">
            <v>4610359095.0479994</v>
          </cell>
        </row>
        <row r="3595">
          <cell r="C3595" t="str">
            <v>NL0014332678</v>
          </cell>
          <cell r="G3595">
            <v>4610359095.0479994</v>
          </cell>
        </row>
        <row r="3596">
          <cell r="C3596" t="str">
            <v>NL0014332678</v>
          </cell>
          <cell r="G3596">
            <v>4610359095.0479994</v>
          </cell>
        </row>
        <row r="3597">
          <cell r="C3597" t="str">
            <v>NL0014332678</v>
          </cell>
          <cell r="G3597">
            <v>4610359095.0479994</v>
          </cell>
        </row>
        <row r="3598">
          <cell r="C3598" t="str">
            <v>NL0014332678</v>
          </cell>
          <cell r="G3598">
            <v>4610359095.0479994</v>
          </cell>
        </row>
        <row r="3599">
          <cell r="C3599" t="str">
            <v>NL0014332678</v>
          </cell>
          <cell r="G3599">
            <v>4610359095.0479994</v>
          </cell>
        </row>
        <row r="3600">
          <cell r="C3600" t="str">
            <v>FR0010533075</v>
          </cell>
          <cell r="G3600">
            <v>4607075000</v>
          </cell>
        </row>
        <row r="3601">
          <cell r="C3601" t="str">
            <v>FR0010533075</v>
          </cell>
          <cell r="G3601">
            <v>4607075000</v>
          </cell>
        </row>
        <row r="3602">
          <cell r="C3602" t="str">
            <v>FR0010533075</v>
          </cell>
          <cell r="G3602">
            <v>4607075000</v>
          </cell>
        </row>
        <row r="3603">
          <cell r="C3603" t="str">
            <v>FR0010533075</v>
          </cell>
          <cell r="G3603">
            <v>4607075000</v>
          </cell>
        </row>
        <row r="3604">
          <cell r="C3604" t="str">
            <v>FR0010533075</v>
          </cell>
          <cell r="G3604">
            <v>4607075000</v>
          </cell>
        </row>
        <row r="3605">
          <cell r="C3605" t="str">
            <v>FR0010533075</v>
          </cell>
          <cell r="G3605">
            <v>4607075000</v>
          </cell>
        </row>
        <row r="3606">
          <cell r="C3606" t="str">
            <v>FR0010533075</v>
          </cell>
          <cell r="G3606">
            <v>4607075000</v>
          </cell>
        </row>
        <row r="3607">
          <cell r="C3607" t="str">
            <v>FR0010533075</v>
          </cell>
          <cell r="G3607">
            <v>4607075000</v>
          </cell>
        </row>
        <row r="3608">
          <cell r="C3608" t="str">
            <v>FR0010533075</v>
          </cell>
          <cell r="G3608">
            <v>4607075000</v>
          </cell>
        </row>
        <row r="3609">
          <cell r="C3609" t="str">
            <v>FR0010533075</v>
          </cell>
          <cell r="G3609">
            <v>4607075000</v>
          </cell>
        </row>
        <row r="3610">
          <cell r="C3610" t="str">
            <v>FR0010533075</v>
          </cell>
          <cell r="G3610">
            <v>4607075000</v>
          </cell>
        </row>
        <row r="3611">
          <cell r="C3611" t="str">
            <v>FR0010533075</v>
          </cell>
          <cell r="G3611">
            <v>4607075000</v>
          </cell>
        </row>
        <row r="3612">
          <cell r="C3612" t="str">
            <v>FR0010533075</v>
          </cell>
          <cell r="G3612">
            <v>4607075000</v>
          </cell>
        </row>
        <row r="3613">
          <cell r="C3613" t="str">
            <v>FR0010533075</v>
          </cell>
          <cell r="G3613">
            <v>4607075000</v>
          </cell>
        </row>
        <row r="3614">
          <cell r="C3614" t="str">
            <v>BE0003764785</v>
          </cell>
          <cell r="G3614">
            <v>4582069472.5</v>
          </cell>
        </row>
        <row r="3615">
          <cell r="C3615" t="str">
            <v>BE0003764785</v>
          </cell>
          <cell r="G3615">
            <v>4582069472.5</v>
          </cell>
        </row>
        <row r="3616">
          <cell r="C3616" t="str">
            <v>BE0003764785</v>
          </cell>
          <cell r="G3616">
            <v>4582069472.5</v>
          </cell>
        </row>
        <row r="3617">
          <cell r="C3617" t="str">
            <v>BE0003764785</v>
          </cell>
          <cell r="G3617">
            <v>4582069472.5</v>
          </cell>
        </row>
        <row r="3618">
          <cell r="C3618" t="str">
            <v>BE0003764785</v>
          </cell>
          <cell r="G3618">
            <v>4582069472.5</v>
          </cell>
        </row>
        <row r="3619">
          <cell r="C3619" t="str">
            <v>BE0003764785</v>
          </cell>
          <cell r="G3619">
            <v>4582069472.5</v>
          </cell>
        </row>
        <row r="3620">
          <cell r="C3620" t="str">
            <v>BE0003764785</v>
          </cell>
          <cell r="G3620">
            <v>4582069472.5</v>
          </cell>
        </row>
        <row r="3621">
          <cell r="C3621" t="str">
            <v>BE0003764785</v>
          </cell>
          <cell r="G3621">
            <v>4582069472.5</v>
          </cell>
        </row>
        <row r="3622">
          <cell r="C3622" t="str">
            <v>BE0003764785</v>
          </cell>
          <cell r="G3622">
            <v>4582069472.5</v>
          </cell>
        </row>
        <row r="3623">
          <cell r="C3623" t="str">
            <v>BE0003764785</v>
          </cell>
          <cell r="G3623">
            <v>4582069472.5</v>
          </cell>
        </row>
        <row r="3624">
          <cell r="C3624" t="str">
            <v>BE0003764785</v>
          </cell>
          <cell r="G3624">
            <v>4582069472.5</v>
          </cell>
        </row>
        <row r="3625">
          <cell r="C3625" t="str">
            <v>BE0003764785</v>
          </cell>
          <cell r="G3625">
            <v>4582069472.5</v>
          </cell>
        </row>
        <row r="3626">
          <cell r="C3626" t="str">
            <v>BE0003764785</v>
          </cell>
          <cell r="G3626">
            <v>4582069472.5</v>
          </cell>
        </row>
        <row r="3627">
          <cell r="C3627" t="str">
            <v>BE0003764785</v>
          </cell>
          <cell r="G3627">
            <v>4582069472.5</v>
          </cell>
        </row>
        <row r="3628">
          <cell r="C3628" t="str">
            <v>ES0105025003</v>
          </cell>
          <cell r="G3628">
            <v>4532630058.4499998</v>
          </cell>
        </row>
        <row r="3629">
          <cell r="C3629" t="str">
            <v>ES0105025003</v>
          </cell>
          <cell r="G3629">
            <v>4532630058.4499998</v>
          </cell>
        </row>
        <row r="3630">
          <cell r="C3630" t="str">
            <v>ES0105025003</v>
          </cell>
          <cell r="G3630">
            <v>4532630058.4499998</v>
          </cell>
        </row>
        <row r="3631">
          <cell r="C3631" t="str">
            <v>ES0105025003</v>
          </cell>
          <cell r="G3631">
            <v>4532630058.4499998</v>
          </cell>
        </row>
        <row r="3632">
          <cell r="C3632" t="str">
            <v>ES0105025003</v>
          </cell>
          <cell r="G3632">
            <v>4532630058.4499998</v>
          </cell>
        </row>
        <row r="3633">
          <cell r="C3633" t="str">
            <v>ES0105025003</v>
          </cell>
          <cell r="G3633">
            <v>4532630058.4499998</v>
          </cell>
        </row>
        <row r="3634">
          <cell r="C3634" t="str">
            <v>ES0105025003</v>
          </cell>
          <cell r="G3634">
            <v>4532630058.4499998</v>
          </cell>
        </row>
        <row r="3635">
          <cell r="C3635" t="str">
            <v>ES0105025003</v>
          </cell>
          <cell r="G3635">
            <v>4532630058.4499998</v>
          </cell>
        </row>
        <row r="3636">
          <cell r="C3636" t="str">
            <v>ES0105025003</v>
          </cell>
          <cell r="G3636">
            <v>4532630058.4499998</v>
          </cell>
        </row>
        <row r="3637">
          <cell r="C3637" t="str">
            <v>ES0105025003</v>
          </cell>
          <cell r="G3637">
            <v>4532630058.4499998</v>
          </cell>
        </row>
        <row r="3638">
          <cell r="C3638" t="str">
            <v>ES0105025003</v>
          </cell>
          <cell r="G3638">
            <v>4532630058.4499998</v>
          </cell>
        </row>
        <row r="3639">
          <cell r="C3639" t="str">
            <v>ES0105025003</v>
          </cell>
          <cell r="G3639">
            <v>4532630058.4499998</v>
          </cell>
        </row>
        <row r="3640">
          <cell r="C3640" t="str">
            <v>ES0105025003</v>
          </cell>
          <cell r="G3640">
            <v>4532630058.4499998</v>
          </cell>
        </row>
        <row r="3641">
          <cell r="C3641" t="str">
            <v>ES0105025003</v>
          </cell>
          <cell r="G3641">
            <v>4532630058.4499998</v>
          </cell>
        </row>
        <row r="3642">
          <cell r="C3642" t="str">
            <v>NL0014559478</v>
          </cell>
          <cell r="G3642">
            <v>4489792080.3600006</v>
          </cell>
        </row>
        <row r="3643">
          <cell r="C3643" t="str">
            <v>NL0014559478</v>
          </cell>
          <cell r="G3643">
            <v>4489792080.3600006</v>
          </cell>
        </row>
        <row r="3644">
          <cell r="C3644" t="str">
            <v>NL0014559478</v>
          </cell>
          <cell r="G3644">
            <v>4489792080.3600006</v>
          </cell>
        </row>
        <row r="3645">
          <cell r="C3645" t="str">
            <v>NL0014559478</v>
          </cell>
          <cell r="G3645">
            <v>4489792080.3600006</v>
          </cell>
        </row>
        <row r="3646">
          <cell r="C3646" t="str">
            <v>NL0014559478</v>
          </cell>
          <cell r="G3646">
            <v>4489792080.3600006</v>
          </cell>
        </row>
        <row r="3647">
          <cell r="C3647" t="str">
            <v>NL0014559478</v>
          </cell>
          <cell r="G3647">
            <v>4489792080.3600006</v>
          </cell>
        </row>
        <row r="3648">
          <cell r="C3648" t="str">
            <v>NL0014559478</v>
          </cell>
          <cell r="G3648">
            <v>4489792080.3600006</v>
          </cell>
        </row>
        <row r="3649">
          <cell r="C3649" t="str">
            <v>NL0014559478</v>
          </cell>
          <cell r="G3649">
            <v>4489792080.3600006</v>
          </cell>
        </row>
        <row r="3650">
          <cell r="C3650" t="str">
            <v>NL0014559478</v>
          </cell>
          <cell r="G3650">
            <v>4489792080.3600006</v>
          </cell>
        </row>
        <row r="3651">
          <cell r="C3651" t="str">
            <v>NL0014559478</v>
          </cell>
          <cell r="G3651">
            <v>4489792080.3600006</v>
          </cell>
        </row>
        <row r="3652">
          <cell r="C3652" t="str">
            <v>NL0014559478</v>
          </cell>
          <cell r="G3652">
            <v>4489792080.3600006</v>
          </cell>
        </row>
        <row r="3653">
          <cell r="C3653" t="str">
            <v>NL0014559478</v>
          </cell>
          <cell r="G3653">
            <v>4489792080.3600006</v>
          </cell>
        </row>
        <row r="3654">
          <cell r="C3654" t="str">
            <v>NL0014559478</v>
          </cell>
          <cell r="G3654">
            <v>4489792080.3600006</v>
          </cell>
        </row>
        <row r="3655">
          <cell r="C3655" t="str">
            <v>NL0014559478</v>
          </cell>
          <cell r="G3655">
            <v>4489792080.3600006</v>
          </cell>
        </row>
        <row r="3656">
          <cell r="C3656" t="str">
            <v>AT00000VIE62</v>
          </cell>
          <cell r="G3656">
            <v>4452000000</v>
          </cell>
        </row>
        <row r="3657">
          <cell r="C3657" t="str">
            <v>AT00000VIE62</v>
          </cell>
          <cell r="G3657">
            <v>4452000000</v>
          </cell>
        </row>
        <row r="3658">
          <cell r="C3658" t="str">
            <v>AT00000VIE62</v>
          </cell>
          <cell r="G3658">
            <v>4452000000</v>
          </cell>
        </row>
        <row r="3659">
          <cell r="C3659" t="str">
            <v>AT00000VIE62</v>
          </cell>
          <cell r="G3659">
            <v>4452000000</v>
          </cell>
        </row>
        <row r="3660">
          <cell r="C3660" t="str">
            <v>AT00000VIE62</v>
          </cell>
          <cell r="G3660">
            <v>4452000000</v>
          </cell>
        </row>
        <row r="3661">
          <cell r="C3661" t="str">
            <v>AT00000VIE62</v>
          </cell>
          <cell r="G3661">
            <v>4452000000</v>
          </cell>
        </row>
        <row r="3662">
          <cell r="C3662" t="str">
            <v>AT00000VIE62</v>
          </cell>
          <cell r="G3662">
            <v>4452000000</v>
          </cell>
        </row>
        <row r="3663">
          <cell r="C3663" t="str">
            <v>AT00000VIE62</v>
          </cell>
          <cell r="G3663">
            <v>4452000000</v>
          </cell>
        </row>
        <row r="3664">
          <cell r="C3664" t="str">
            <v>AT00000VIE62</v>
          </cell>
          <cell r="G3664">
            <v>4452000000</v>
          </cell>
        </row>
        <row r="3665">
          <cell r="C3665" t="str">
            <v>AT00000VIE62</v>
          </cell>
          <cell r="G3665">
            <v>4452000000</v>
          </cell>
        </row>
        <row r="3666">
          <cell r="C3666" t="str">
            <v>AT00000VIE62</v>
          </cell>
          <cell r="G3666">
            <v>4452000000</v>
          </cell>
        </row>
        <row r="3667">
          <cell r="C3667" t="str">
            <v>AT00000VIE62</v>
          </cell>
          <cell r="G3667">
            <v>4452000000</v>
          </cell>
        </row>
        <row r="3668">
          <cell r="C3668" t="str">
            <v>AT00000VIE62</v>
          </cell>
          <cell r="G3668">
            <v>4452000000</v>
          </cell>
        </row>
        <row r="3669">
          <cell r="C3669" t="str">
            <v>AT00000VIE62</v>
          </cell>
          <cell r="G3669">
            <v>4452000000</v>
          </cell>
        </row>
        <row r="3670">
          <cell r="C3670" t="str">
            <v>FR0000044448</v>
          </cell>
          <cell r="G3670">
            <v>4447094233.1400003</v>
          </cell>
        </row>
        <row r="3671">
          <cell r="C3671" t="str">
            <v>FR0000044448</v>
          </cell>
          <cell r="G3671">
            <v>4447094233.1400003</v>
          </cell>
        </row>
        <row r="3672">
          <cell r="C3672" t="str">
            <v>FR0000044448</v>
          </cell>
          <cell r="G3672">
            <v>4447094233.1400003</v>
          </cell>
        </row>
        <row r="3673">
          <cell r="C3673" t="str">
            <v>FR0000044448</v>
          </cell>
          <cell r="G3673">
            <v>4447094233.1400003</v>
          </cell>
        </row>
        <row r="3674">
          <cell r="C3674" t="str">
            <v>FR0000044448</v>
          </cell>
          <cell r="G3674">
            <v>4447094233.1400003</v>
          </cell>
        </row>
        <row r="3675">
          <cell r="C3675" t="str">
            <v>FR0000044448</v>
          </cell>
          <cell r="G3675">
            <v>4447094233.1400003</v>
          </cell>
        </row>
        <row r="3676">
          <cell r="C3676" t="str">
            <v>FR0000044448</v>
          </cell>
          <cell r="G3676">
            <v>4447094233.1400003</v>
          </cell>
        </row>
        <row r="3677">
          <cell r="C3677" t="str">
            <v>FR0000044448</v>
          </cell>
          <cell r="G3677">
            <v>4447094233.1400003</v>
          </cell>
        </row>
        <row r="3678">
          <cell r="C3678" t="str">
            <v>FR0000044448</v>
          </cell>
          <cell r="G3678">
            <v>4447094233.1400003</v>
          </cell>
        </row>
        <row r="3679">
          <cell r="C3679" t="str">
            <v>FR0000044448</v>
          </cell>
          <cell r="G3679">
            <v>4447094233.1400003</v>
          </cell>
        </row>
        <row r="3680">
          <cell r="C3680" t="str">
            <v>FR0000044448</v>
          </cell>
          <cell r="G3680">
            <v>4447094233.1400003</v>
          </cell>
        </row>
        <row r="3681">
          <cell r="C3681" t="str">
            <v>FR0000044448</v>
          </cell>
          <cell r="G3681">
            <v>4447094233.1400003</v>
          </cell>
        </row>
        <row r="3682">
          <cell r="C3682" t="str">
            <v>FR0000044448</v>
          </cell>
          <cell r="G3682">
            <v>4447094233.1400003</v>
          </cell>
        </row>
        <row r="3683">
          <cell r="C3683" t="str">
            <v>FR0000044448</v>
          </cell>
          <cell r="G3683">
            <v>4447094233.1400003</v>
          </cell>
        </row>
        <row r="3684">
          <cell r="C3684" t="str">
            <v>FR0010908533</v>
          </cell>
          <cell r="G3684">
            <v>4419992854.1999998</v>
          </cell>
        </row>
        <row r="3685">
          <cell r="C3685" t="str">
            <v>FR0010908533</v>
          </cell>
          <cell r="G3685">
            <v>4419992854.1999998</v>
          </cell>
        </row>
        <row r="3686">
          <cell r="C3686" t="str">
            <v>FR0010908533</v>
          </cell>
          <cell r="G3686">
            <v>4419992854.1999998</v>
          </cell>
        </row>
        <row r="3687">
          <cell r="C3687" t="str">
            <v>FR0010908533</v>
          </cell>
          <cell r="G3687">
            <v>4419992854.1999998</v>
          </cell>
        </row>
        <row r="3688">
          <cell r="C3688" t="str">
            <v>FR0010908533</v>
          </cell>
          <cell r="G3688">
            <v>4419992854.1999998</v>
          </cell>
        </row>
        <row r="3689">
          <cell r="C3689" t="str">
            <v>FR0010908533</v>
          </cell>
          <cell r="G3689">
            <v>4419992854.1999998</v>
          </cell>
        </row>
        <row r="3690">
          <cell r="C3690" t="str">
            <v>FR0010908533</v>
          </cell>
          <cell r="G3690">
            <v>4419992854.1999998</v>
          </cell>
        </row>
        <row r="3691">
          <cell r="C3691" t="str">
            <v>FR0010908533</v>
          </cell>
          <cell r="G3691">
            <v>4419992854.1999998</v>
          </cell>
        </row>
        <row r="3692">
          <cell r="C3692" t="str">
            <v>FR0010908533</v>
          </cell>
          <cell r="G3692">
            <v>4419992854.1999998</v>
          </cell>
        </row>
        <row r="3693">
          <cell r="C3693" t="str">
            <v>FR0010908533</v>
          </cell>
          <cell r="G3693">
            <v>4419992854.1999998</v>
          </cell>
        </row>
        <row r="3694">
          <cell r="C3694" t="str">
            <v>FR0010908533</v>
          </cell>
          <cell r="G3694">
            <v>4419992854.1999998</v>
          </cell>
        </row>
        <row r="3695">
          <cell r="C3695" t="str">
            <v>FR0010908533</v>
          </cell>
          <cell r="G3695">
            <v>4419992854.1999998</v>
          </cell>
        </row>
        <row r="3696">
          <cell r="C3696" t="str">
            <v>FR0010908533</v>
          </cell>
          <cell r="G3696">
            <v>4419992854.1999998</v>
          </cell>
        </row>
        <row r="3697">
          <cell r="C3697" t="str">
            <v>FR0010908533</v>
          </cell>
          <cell r="G3697">
            <v>4419992854.1999998</v>
          </cell>
        </row>
        <row r="3698">
          <cell r="C3698" t="str">
            <v>NL0010801007</v>
          </cell>
          <cell r="G3698">
            <v>4351826426.375</v>
          </cell>
        </row>
        <row r="3699">
          <cell r="C3699" t="str">
            <v>NL0010801007</v>
          </cell>
          <cell r="G3699">
            <v>4351826426.375</v>
          </cell>
        </row>
        <row r="3700">
          <cell r="C3700" t="str">
            <v>NL0010801007</v>
          </cell>
          <cell r="G3700">
            <v>4351826426.375</v>
          </cell>
        </row>
        <row r="3701">
          <cell r="C3701" t="str">
            <v>NL0010801007</v>
          </cell>
          <cell r="G3701">
            <v>4351826426.375</v>
          </cell>
        </row>
        <row r="3702">
          <cell r="C3702" t="str">
            <v>NL0010801007</v>
          </cell>
          <cell r="G3702">
            <v>4351826426.375</v>
          </cell>
        </row>
        <row r="3703">
          <cell r="C3703" t="str">
            <v>NL0010801007</v>
          </cell>
          <cell r="G3703">
            <v>4351826426.375</v>
          </cell>
        </row>
        <row r="3704">
          <cell r="C3704" t="str">
            <v>NL0010801007</v>
          </cell>
          <cell r="G3704">
            <v>4351826426.375</v>
          </cell>
        </row>
        <row r="3705">
          <cell r="C3705" t="str">
            <v>NL0010801007</v>
          </cell>
          <cell r="G3705">
            <v>4351826426.375</v>
          </cell>
        </row>
        <row r="3706">
          <cell r="C3706" t="str">
            <v>NL0010801007</v>
          </cell>
          <cell r="G3706">
            <v>4351826426.375</v>
          </cell>
        </row>
        <row r="3707">
          <cell r="C3707" t="str">
            <v>NL0010801007</v>
          </cell>
          <cell r="G3707">
            <v>4351826426.375</v>
          </cell>
        </row>
        <row r="3708">
          <cell r="C3708" t="str">
            <v>NL0010801007</v>
          </cell>
          <cell r="G3708">
            <v>4351826426.375</v>
          </cell>
        </row>
        <row r="3709">
          <cell r="C3709" t="str">
            <v>NL0010801007</v>
          </cell>
          <cell r="G3709">
            <v>4351826426.375</v>
          </cell>
        </row>
        <row r="3710">
          <cell r="C3710" t="str">
            <v>NL0010801007</v>
          </cell>
          <cell r="G3710">
            <v>4351826426.375</v>
          </cell>
        </row>
        <row r="3711">
          <cell r="C3711" t="str">
            <v>NL0010801007</v>
          </cell>
          <cell r="G3711">
            <v>4351826426.375</v>
          </cell>
        </row>
        <row r="3712">
          <cell r="C3712" t="str">
            <v>AT0000606306</v>
          </cell>
          <cell r="G3712">
            <v>4342003248</v>
          </cell>
        </row>
        <row r="3713">
          <cell r="C3713" t="str">
            <v>AT0000606306</v>
          </cell>
          <cell r="G3713">
            <v>4342003248</v>
          </cell>
        </row>
        <row r="3714">
          <cell r="C3714" t="str">
            <v>AT0000606306</v>
          </cell>
          <cell r="G3714">
            <v>4342003248</v>
          </cell>
        </row>
        <row r="3715">
          <cell r="C3715" t="str">
            <v>AT0000606306</v>
          </cell>
          <cell r="G3715">
            <v>4342003248</v>
          </cell>
        </row>
        <row r="3716">
          <cell r="C3716" t="str">
            <v>AT0000606306</v>
          </cell>
          <cell r="G3716">
            <v>4342003248</v>
          </cell>
        </row>
        <row r="3717">
          <cell r="C3717" t="str">
            <v>AT0000606306</v>
          </cell>
          <cell r="G3717">
            <v>4342003248</v>
          </cell>
        </row>
        <row r="3718">
          <cell r="C3718" t="str">
            <v>AT0000606306</v>
          </cell>
          <cell r="G3718">
            <v>4342003248</v>
          </cell>
        </row>
        <row r="3719">
          <cell r="C3719" t="str">
            <v>AT0000606306</v>
          </cell>
          <cell r="G3719">
            <v>4342003248</v>
          </cell>
        </row>
        <row r="3720">
          <cell r="C3720" t="str">
            <v>AT0000606306</v>
          </cell>
          <cell r="G3720">
            <v>4342003248</v>
          </cell>
        </row>
        <row r="3721">
          <cell r="C3721" t="str">
            <v>AT0000606306</v>
          </cell>
          <cell r="G3721">
            <v>4342003248</v>
          </cell>
        </row>
        <row r="3722">
          <cell r="C3722" t="str">
            <v>AT0000606306</v>
          </cell>
          <cell r="G3722">
            <v>4342003248</v>
          </cell>
        </row>
        <row r="3723">
          <cell r="C3723" t="str">
            <v>AT0000606306</v>
          </cell>
          <cell r="G3723">
            <v>4342003248</v>
          </cell>
        </row>
        <row r="3724">
          <cell r="C3724" t="str">
            <v>AT0000606306</v>
          </cell>
          <cell r="G3724">
            <v>4342003248</v>
          </cell>
        </row>
        <row r="3725">
          <cell r="C3725" t="str">
            <v>AT0000606306</v>
          </cell>
          <cell r="G3725">
            <v>4342003248</v>
          </cell>
        </row>
        <row r="3726">
          <cell r="C3726" t="str">
            <v>DE000RENK730</v>
          </cell>
          <cell r="G3726">
            <v>4323100000</v>
          </cell>
        </row>
        <row r="3727">
          <cell r="C3727" t="str">
            <v>DE000RENK730</v>
          </cell>
          <cell r="G3727">
            <v>4323100000</v>
          </cell>
        </row>
        <row r="3728">
          <cell r="C3728" t="str">
            <v>DE000RENK730</v>
          </cell>
          <cell r="G3728">
            <v>4323100000</v>
          </cell>
        </row>
        <row r="3729">
          <cell r="C3729" t="str">
            <v>DE000RENK730</v>
          </cell>
          <cell r="G3729">
            <v>4323100000</v>
          </cell>
        </row>
        <row r="3730">
          <cell r="C3730" t="str">
            <v>DE000RENK730</v>
          </cell>
          <cell r="G3730">
            <v>4323100000</v>
          </cell>
        </row>
        <row r="3731">
          <cell r="C3731" t="str">
            <v>DE000RENK730</v>
          </cell>
          <cell r="G3731">
            <v>4323100000</v>
          </cell>
        </row>
        <row r="3732">
          <cell r="C3732" t="str">
            <v>DE000RENK730</v>
          </cell>
          <cell r="G3732">
            <v>4323100000</v>
          </cell>
        </row>
        <row r="3733">
          <cell r="C3733" t="str">
            <v>DE000RENK730</v>
          </cell>
          <cell r="G3733">
            <v>4323100000</v>
          </cell>
        </row>
        <row r="3734">
          <cell r="C3734" t="str">
            <v>DE000RENK730</v>
          </cell>
          <cell r="G3734">
            <v>4323100000</v>
          </cell>
        </row>
        <row r="3735">
          <cell r="C3735" t="str">
            <v>DE000RENK730</v>
          </cell>
          <cell r="G3735">
            <v>4323100000</v>
          </cell>
        </row>
        <row r="3736">
          <cell r="C3736" t="str">
            <v>DE000RENK730</v>
          </cell>
          <cell r="G3736">
            <v>4323100000</v>
          </cell>
        </row>
        <row r="3737">
          <cell r="C3737" t="str">
            <v>DE000RENK730</v>
          </cell>
          <cell r="G3737">
            <v>4323100000</v>
          </cell>
        </row>
        <row r="3738">
          <cell r="C3738" t="str">
            <v>DE000RENK730</v>
          </cell>
          <cell r="G3738">
            <v>4323100000</v>
          </cell>
        </row>
        <row r="3739">
          <cell r="C3739" t="str">
            <v>DE000RENK730</v>
          </cell>
          <cell r="G3739">
            <v>4323100000</v>
          </cell>
        </row>
        <row r="3740">
          <cell r="C3740" t="str">
            <v>DE000RENK730</v>
          </cell>
          <cell r="G3740">
            <v>4323100000</v>
          </cell>
        </row>
        <row r="3741">
          <cell r="C3741" t="str">
            <v>DE000RENK730</v>
          </cell>
          <cell r="G3741">
            <v>4323100000</v>
          </cell>
        </row>
        <row r="3742">
          <cell r="C3742" t="str">
            <v>DE000RENK730</v>
          </cell>
          <cell r="G3742">
            <v>4323100000</v>
          </cell>
        </row>
        <row r="3743">
          <cell r="C3743" t="str">
            <v>DE000KGX8881</v>
          </cell>
          <cell r="G3743">
            <v>4279043969.750001</v>
          </cell>
        </row>
        <row r="3744">
          <cell r="C3744" t="str">
            <v>DE000KGX8881</v>
          </cell>
          <cell r="G3744">
            <v>4279043969.750001</v>
          </cell>
        </row>
        <row r="3745">
          <cell r="C3745" t="str">
            <v>DE000KGX8881</v>
          </cell>
          <cell r="G3745">
            <v>4279043969.750001</v>
          </cell>
        </row>
        <row r="3746">
          <cell r="C3746" t="str">
            <v>DE000KGX8881</v>
          </cell>
          <cell r="G3746">
            <v>4279043969.750001</v>
          </cell>
        </row>
        <row r="3747">
          <cell r="C3747" t="str">
            <v>DE000KGX8881</v>
          </cell>
          <cell r="G3747">
            <v>4279043969.750001</v>
          </cell>
        </row>
        <row r="3748">
          <cell r="C3748" t="str">
            <v>DE000KGX8881</v>
          </cell>
          <cell r="G3748">
            <v>4279043969.750001</v>
          </cell>
        </row>
        <row r="3749">
          <cell r="C3749" t="str">
            <v>DE000KGX8881</v>
          </cell>
          <cell r="G3749">
            <v>4279043969.750001</v>
          </cell>
        </row>
        <row r="3750">
          <cell r="C3750" t="str">
            <v>DE000KGX8881</v>
          </cell>
          <cell r="G3750">
            <v>4279043969.750001</v>
          </cell>
        </row>
        <row r="3751">
          <cell r="C3751" t="str">
            <v>DE000KGX8881</v>
          </cell>
          <cell r="G3751">
            <v>4279043969.750001</v>
          </cell>
        </row>
        <row r="3752">
          <cell r="C3752" t="str">
            <v>DE000KGX8881</v>
          </cell>
          <cell r="G3752">
            <v>4279043969.750001</v>
          </cell>
        </row>
        <row r="3753">
          <cell r="C3753" t="str">
            <v>DE000KGX8881</v>
          </cell>
          <cell r="G3753">
            <v>4279043969.750001</v>
          </cell>
        </row>
        <row r="3754">
          <cell r="C3754" t="str">
            <v>DE000KGX8881</v>
          </cell>
          <cell r="G3754">
            <v>4279043969.750001</v>
          </cell>
        </row>
        <row r="3755">
          <cell r="C3755" t="str">
            <v>DE000KGX8881</v>
          </cell>
          <cell r="G3755">
            <v>4279043969.750001</v>
          </cell>
        </row>
        <row r="3756">
          <cell r="C3756" t="str">
            <v>DE000KGX8881</v>
          </cell>
          <cell r="G3756">
            <v>4279043969.750001</v>
          </cell>
        </row>
        <row r="3757">
          <cell r="C3757" t="str">
            <v>FR0010259150</v>
          </cell>
          <cell r="G3757">
            <v>4261130501.8400002</v>
          </cell>
        </row>
        <row r="3758">
          <cell r="C3758" t="str">
            <v>FR0010259150</v>
          </cell>
          <cell r="G3758">
            <v>4261130501.8400002</v>
          </cell>
        </row>
        <row r="3759">
          <cell r="C3759" t="str">
            <v>FR0010259150</v>
          </cell>
          <cell r="G3759">
            <v>4261130501.8400002</v>
          </cell>
        </row>
        <row r="3760">
          <cell r="C3760" t="str">
            <v>FR0010259150</v>
          </cell>
          <cell r="G3760">
            <v>4261130501.8400002</v>
          </cell>
        </row>
        <row r="3761">
          <cell r="C3761" t="str">
            <v>FR0010259150</v>
          </cell>
          <cell r="G3761">
            <v>4261130501.8400002</v>
          </cell>
        </row>
        <row r="3762">
          <cell r="C3762" t="str">
            <v>FR0010259150</v>
          </cell>
          <cell r="G3762">
            <v>4261130501.8400002</v>
          </cell>
        </row>
        <row r="3763">
          <cell r="C3763" t="str">
            <v>FR0010259150</v>
          </cell>
          <cell r="G3763">
            <v>4261130501.8400002</v>
          </cell>
        </row>
        <row r="3764">
          <cell r="C3764" t="str">
            <v>FR0010259150</v>
          </cell>
          <cell r="G3764">
            <v>4261130501.8400002</v>
          </cell>
        </row>
        <row r="3765">
          <cell r="C3765" t="str">
            <v>FR0010259150</v>
          </cell>
          <cell r="G3765">
            <v>4261130501.8400002</v>
          </cell>
        </row>
        <row r="3766">
          <cell r="C3766" t="str">
            <v>FR0010259150</v>
          </cell>
          <cell r="G3766">
            <v>4261130501.8400002</v>
          </cell>
        </row>
        <row r="3767">
          <cell r="C3767" t="str">
            <v>FR0010259150</v>
          </cell>
          <cell r="G3767">
            <v>4261130501.8400002</v>
          </cell>
        </row>
        <row r="3768">
          <cell r="C3768" t="str">
            <v>FR0010259150</v>
          </cell>
          <cell r="G3768">
            <v>4261130501.8400002</v>
          </cell>
        </row>
        <row r="3769">
          <cell r="C3769" t="str">
            <v>FR0010259150</v>
          </cell>
          <cell r="G3769">
            <v>4261130501.8400002</v>
          </cell>
        </row>
        <row r="3770">
          <cell r="C3770" t="str">
            <v>FR0010259150</v>
          </cell>
          <cell r="G3770">
            <v>4261130501.8400002</v>
          </cell>
        </row>
        <row r="3771">
          <cell r="C3771" t="str">
            <v>AT0000746409</v>
          </cell>
          <cell r="G3771">
            <v>4249032802.5599999</v>
          </cell>
        </row>
        <row r="3772">
          <cell r="C3772" t="str">
            <v>AT0000746409</v>
          </cell>
          <cell r="G3772">
            <v>4249032802.5599999</v>
          </cell>
        </row>
        <row r="3773">
          <cell r="C3773" t="str">
            <v>AT0000746409</v>
          </cell>
          <cell r="G3773">
            <v>4249032802.5599999</v>
          </cell>
        </row>
        <row r="3774">
          <cell r="C3774" t="str">
            <v>AT0000746409</v>
          </cell>
          <cell r="G3774">
            <v>4249032802.5599999</v>
          </cell>
        </row>
        <row r="3775">
          <cell r="C3775" t="str">
            <v>AT0000746409</v>
          </cell>
          <cell r="G3775">
            <v>4249032802.5599999</v>
          </cell>
        </row>
        <row r="3776">
          <cell r="C3776" t="str">
            <v>AT0000746409</v>
          </cell>
          <cell r="G3776">
            <v>4249032802.5599999</v>
          </cell>
        </row>
        <row r="3777">
          <cell r="C3777" t="str">
            <v>AT0000746409</v>
          </cell>
          <cell r="G3777">
            <v>4249032802.5599999</v>
          </cell>
        </row>
        <row r="3778">
          <cell r="C3778" t="str">
            <v>AT0000746409</v>
          </cell>
          <cell r="G3778">
            <v>4249032802.5599999</v>
          </cell>
        </row>
        <row r="3779">
          <cell r="C3779" t="str">
            <v>AT0000746409</v>
          </cell>
          <cell r="G3779">
            <v>4249032802.5599999</v>
          </cell>
        </row>
        <row r="3780">
          <cell r="C3780" t="str">
            <v>AT0000746409</v>
          </cell>
          <cell r="G3780">
            <v>4249032802.5599999</v>
          </cell>
        </row>
        <row r="3781">
          <cell r="C3781" t="str">
            <v>AT0000746409</v>
          </cell>
          <cell r="G3781">
            <v>4249032802.5599999</v>
          </cell>
        </row>
        <row r="3782">
          <cell r="C3782" t="str">
            <v>AT0000746409</v>
          </cell>
          <cell r="G3782">
            <v>4249032802.5599999</v>
          </cell>
        </row>
        <row r="3783">
          <cell r="C3783" t="str">
            <v>AT0000746409</v>
          </cell>
          <cell r="G3783">
            <v>4249032802.5599999</v>
          </cell>
        </row>
        <row r="3784">
          <cell r="C3784" t="str">
            <v>AT0000746409</v>
          </cell>
          <cell r="G3784">
            <v>4249032802.5599999</v>
          </cell>
        </row>
        <row r="3785">
          <cell r="C3785" t="str">
            <v>DE0007500001</v>
          </cell>
          <cell r="G3785">
            <v>4221263229.3728008</v>
          </cell>
        </row>
        <row r="3786">
          <cell r="C3786" t="str">
            <v>DE0007500001</v>
          </cell>
          <cell r="G3786">
            <v>4221263229.3728008</v>
          </cell>
        </row>
        <row r="3787">
          <cell r="C3787" t="str">
            <v>DE0007500001</v>
          </cell>
          <cell r="G3787">
            <v>4221263229.3728008</v>
          </cell>
        </row>
        <row r="3788">
          <cell r="C3788" t="str">
            <v>DE0007500001</v>
          </cell>
          <cell r="G3788">
            <v>4221263229.3728008</v>
          </cell>
        </row>
        <row r="3789">
          <cell r="C3789" t="str">
            <v>DE0007500001</v>
          </cell>
          <cell r="G3789">
            <v>4221263229.3728008</v>
          </cell>
        </row>
        <row r="3790">
          <cell r="C3790" t="str">
            <v>DE0007500001</v>
          </cell>
          <cell r="G3790">
            <v>4221263229.3728008</v>
          </cell>
        </row>
        <row r="3791">
          <cell r="C3791" t="str">
            <v>DE0007500001</v>
          </cell>
          <cell r="G3791">
            <v>4221263229.3728008</v>
          </cell>
        </row>
        <row r="3792">
          <cell r="C3792" t="str">
            <v>DE0007500001</v>
          </cell>
          <cell r="G3792">
            <v>4221263229.3728008</v>
          </cell>
        </row>
        <row r="3793">
          <cell r="C3793" t="str">
            <v>DE0007500001</v>
          </cell>
          <cell r="G3793">
            <v>4221263229.3728008</v>
          </cell>
        </row>
        <row r="3794">
          <cell r="C3794" t="str">
            <v>DE0007500001</v>
          </cell>
          <cell r="G3794">
            <v>4221263229.3728008</v>
          </cell>
        </row>
        <row r="3795">
          <cell r="C3795" t="str">
            <v>DE0007500001</v>
          </cell>
          <cell r="G3795">
            <v>4221263229.3728008</v>
          </cell>
        </row>
        <row r="3796">
          <cell r="C3796" t="str">
            <v>DE0007500001</v>
          </cell>
          <cell r="G3796">
            <v>4221263229.3728008</v>
          </cell>
        </row>
        <row r="3797">
          <cell r="C3797" t="str">
            <v>DE0007500001</v>
          </cell>
          <cell r="G3797">
            <v>4221263229.3728008</v>
          </cell>
        </row>
        <row r="3798">
          <cell r="C3798" t="str">
            <v>DE0007500001</v>
          </cell>
          <cell r="G3798">
            <v>4221263229.3728008</v>
          </cell>
        </row>
        <row r="3799">
          <cell r="C3799" t="str">
            <v>DE0007500001</v>
          </cell>
          <cell r="G3799">
            <v>4221263229.3728008</v>
          </cell>
        </row>
        <row r="3800">
          <cell r="C3800" t="str">
            <v>DE0007500001</v>
          </cell>
          <cell r="G3800">
            <v>4221263229.3728008</v>
          </cell>
        </row>
        <row r="3801">
          <cell r="C3801" t="str">
            <v>DE0007500001</v>
          </cell>
          <cell r="G3801">
            <v>4221263229.3728008</v>
          </cell>
        </row>
        <row r="3802">
          <cell r="C3802" t="str">
            <v>DE0006070006</v>
          </cell>
          <cell r="G3802">
            <v>4196410200</v>
          </cell>
        </row>
        <row r="3803">
          <cell r="C3803" t="str">
            <v>DE0006070006</v>
          </cell>
          <cell r="G3803">
            <v>4196410200</v>
          </cell>
        </row>
        <row r="3804">
          <cell r="C3804" t="str">
            <v>DE0006070006</v>
          </cell>
          <cell r="G3804">
            <v>4196410200</v>
          </cell>
        </row>
        <row r="3805">
          <cell r="C3805" t="str">
            <v>DE0006070006</v>
          </cell>
          <cell r="G3805">
            <v>4196410200</v>
          </cell>
        </row>
        <row r="3806">
          <cell r="C3806" t="str">
            <v>DE0006070006</v>
          </cell>
          <cell r="G3806">
            <v>4196410200</v>
          </cell>
        </row>
        <row r="3807">
          <cell r="C3807" t="str">
            <v>DE0006070006</v>
          </cell>
          <cell r="G3807">
            <v>4196410200</v>
          </cell>
        </row>
        <row r="3808">
          <cell r="C3808" t="str">
            <v>DE0006070006</v>
          </cell>
          <cell r="G3808">
            <v>4196410200</v>
          </cell>
        </row>
        <row r="3809">
          <cell r="C3809" t="str">
            <v>DE0006070006</v>
          </cell>
          <cell r="G3809">
            <v>4196410200</v>
          </cell>
        </row>
        <row r="3810">
          <cell r="C3810" t="str">
            <v>DE0006070006</v>
          </cell>
          <cell r="G3810">
            <v>4196410200</v>
          </cell>
        </row>
        <row r="3811">
          <cell r="C3811" t="str">
            <v>DE0006070006</v>
          </cell>
          <cell r="G3811">
            <v>4196410200</v>
          </cell>
        </row>
        <row r="3812">
          <cell r="C3812" t="str">
            <v>DE0006070006</v>
          </cell>
          <cell r="G3812">
            <v>4196410200</v>
          </cell>
        </row>
        <row r="3813">
          <cell r="C3813" t="str">
            <v>DE0006070006</v>
          </cell>
          <cell r="G3813">
            <v>4196410200</v>
          </cell>
        </row>
        <row r="3814">
          <cell r="C3814" t="str">
            <v>DE0006070006</v>
          </cell>
          <cell r="G3814">
            <v>4196410200</v>
          </cell>
        </row>
        <row r="3815">
          <cell r="C3815" t="str">
            <v>DE0006070006</v>
          </cell>
          <cell r="G3815">
            <v>4196410200</v>
          </cell>
        </row>
        <row r="3816">
          <cell r="C3816" t="str">
            <v>DE000HAG0005</v>
          </cell>
          <cell r="G3816">
            <v>4186875000</v>
          </cell>
        </row>
        <row r="3817">
          <cell r="C3817" t="str">
            <v>DE000HAG0005</v>
          </cell>
          <cell r="G3817">
            <v>4186875000</v>
          </cell>
        </row>
        <row r="3818">
          <cell r="C3818" t="str">
            <v>DE000HAG0005</v>
          </cell>
          <cell r="G3818">
            <v>4186875000</v>
          </cell>
        </row>
        <row r="3819">
          <cell r="C3819" t="str">
            <v>DE000HAG0005</v>
          </cell>
          <cell r="G3819">
            <v>4186875000</v>
          </cell>
        </row>
        <row r="3820">
          <cell r="C3820" t="str">
            <v>DE000HAG0005</v>
          </cell>
          <cell r="G3820">
            <v>4186875000</v>
          </cell>
        </row>
        <row r="3821">
          <cell r="C3821" t="str">
            <v>DE000HAG0005</v>
          </cell>
          <cell r="G3821">
            <v>4186875000</v>
          </cell>
        </row>
        <row r="3822">
          <cell r="C3822" t="str">
            <v>DE000HAG0005</v>
          </cell>
          <cell r="G3822">
            <v>4186875000</v>
          </cell>
        </row>
        <row r="3823">
          <cell r="C3823" t="str">
            <v>DE000HAG0005</v>
          </cell>
          <cell r="G3823">
            <v>4186875000</v>
          </cell>
        </row>
        <row r="3824">
          <cell r="C3824" t="str">
            <v>DE000HAG0005</v>
          </cell>
          <cell r="G3824">
            <v>4186875000</v>
          </cell>
        </row>
        <row r="3825">
          <cell r="C3825" t="str">
            <v>DE000HAG0005</v>
          </cell>
          <cell r="G3825">
            <v>4186875000</v>
          </cell>
        </row>
        <row r="3826">
          <cell r="C3826" t="str">
            <v>DE000HAG0005</v>
          </cell>
          <cell r="G3826">
            <v>4186875000</v>
          </cell>
        </row>
        <row r="3827">
          <cell r="C3827" t="str">
            <v>DE000HAG0005</v>
          </cell>
          <cell r="G3827">
            <v>4186875000</v>
          </cell>
        </row>
        <row r="3828">
          <cell r="C3828" t="str">
            <v>DE000HAG0005</v>
          </cell>
          <cell r="G3828">
            <v>4186875000</v>
          </cell>
        </row>
        <row r="3829">
          <cell r="C3829" t="str">
            <v>DE000HAG0005</v>
          </cell>
          <cell r="G3829">
            <v>4186875000</v>
          </cell>
        </row>
        <row r="3830">
          <cell r="C3830" t="str">
            <v>DE000HAG0005</v>
          </cell>
          <cell r="G3830">
            <v>4186875000</v>
          </cell>
        </row>
        <row r="3831">
          <cell r="C3831" t="str">
            <v>DE000HAG0005</v>
          </cell>
          <cell r="G3831">
            <v>4186875000</v>
          </cell>
        </row>
        <row r="3832">
          <cell r="C3832" t="str">
            <v>DE000HAG0005</v>
          </cell>
          <cell r="G3832">
            <v>4186875000</v>
          </cell>
        </row>
        <row r="3833">
          <cell r="C3833" t="str">
            <v>ES0125220311</v>
          </cell>
          <cell r="G3833">
            <v>4174316781.75</v>
          </cell>
        </row>
        <row r="3834">
          <cell r="C3834" t="str">
            <v>ES0125220311</v>
          </cell>
          <cell r="G3834">
            <v>4174316781.75</v>
          </cell>
        </row>
        <row r="3835">
          <cell r="C3835" t="str">
            <v>ES0125220311</v>
          </cell>
          <cell r="G3835">
            <v>4174316781.75</v>
          </cell>
        </row>
        <row r="3836">
          <cell r="C3836" t="str">
            <v>ES0125220311</v>
          </cell>
          <cell r="G3836">
            <v>4174316781.75</v>
          </cell>
        </row>
        <row r="3837">
          <cell r="C3837" t="str">
            <v>ES0125220311</v>
          </cell>
          <cell r="G3837">
            <v>4174316781.75</v>
          </cell>
        </row>
        <row r="3838">
          <cell r="C3838" t="str">
            <v>ES0125220311</v>
          </cell>
          <cell r="G3838">
            <v>4174316781.75</v>
          </cell>
        </row>
        <row r="3839">
          <cell r="C3839" t="str">
            <v>ES0125220311</v>
          </cell>
          <cell r="G3839">
            <v>4174316781.75</v>
          </cell>
        </row>
        <row r="3840">
          <cell r="C3840" t="str">
            <v>ES0125220311</v>
          </cell>
          <cell r="G3840">
            <v>4174316781.75</v>
          </cell>
        </row>
        <row r="3841">
          <cell r="C3841" t="str">
            <v>ES0125220311</v>
          </cell>
          <cell r="G3841">
            <v>4174316781.75</v>
          </cell>
        </row>
        <row r="3842">
          <cell r="C3842" t="str">
            <v>ES0125220311</v>
          </cell>
          <cell r="G3842">
            <v>4174316781.75</v>
          </cell>
        </row>
        <row r="3843">
          <cell r="C3843" t="str">
            <v>ES0125220311</v>
          </cell>
          <cell r="G3843">
            <v>4174316781.75</v>
          </cell>
        </row>
        <row r="3844">
          <cell r="C3844" t="str">
            <v>ES0125220311</v>
          </cell>
          <cell r="G3844">
            <v>4174316781.75</v>
          </cell>
        </row>
        <row r="3845">
          <cell r="C3845" t="str">
            <v>ES0125220311</v>
          </cell>
          <cell r="G3845">
            <v>4174316781.75</v>
          </cell>
        </row>
        <row r="3846">
          <cell r="C3846" t="str">
            <v>ES0125220311</v>
          </cell>
          <cell r="G3846">
            <v>4174316781.75</v>
          </cell>
        </row>
        <row r="3847">
          <cell r="C3847" t="str">
            <v>IT0004776628</v>
          </cell>
          <cell r="G3847">
            <v>4130197074.5309992</v>
          </cell>
        </row>
        <row r="3848">
          <cell r="C3848" t="str">
            <v>IT0004776628</v>
          </cell>
          <cell r="G3848">
            <v>4130197074.5309992</v>
          </cell>
        </row>
        <row r="3849">
          <cell r="C3849" t="str">
            <v>IT0004776628</v>
          </cell>
          <cell r="G3849">
            <v>4130197074.5309992</v>
          </cell>
        </row>
        <row r="3850">
          <cell r="C3850" t="str">
            <v>IT0004776628</v>
          </cell>
          <cell r="G3850">
            <v>4130197074.5309992</v>
          </cell>
        </row>
        <row r="3851">
          <cell r="C3851" t="str">
            <v>IT0004776628</v>
          </cell>
          <cell r="G3851">
            <v>4130197074.5309992</v>
          </cell>
        </row>
        <row r="3852">
          <cell r="C3852" t="str">
            <v>IT0004776628</v>
          </cell>
          <cell r="G3852">
            <v>4130197074.5309992</v>
          </cell>
        </row>
        <row r="3853">
          <cell r="C3853" t="str">
            <v>IT0004776628</v>
          </cell>
          <cell r="G3853">
            <v>4130197074.5309992</v>
          </cell>
        </row>
        <row r="3854">
          <cell r="C3854" t="str">
            <v>IT0004776628</v>
          </cell>
          <cell r="G3854">
            <v>4130197074.5309992</v>
          </cell>
        </row>
        <row r="3855">
          <cell r="C3855" t="str">
            <v>IT0004776628</v>
          </cell>
          <cell r="G3855">
            <v>4130197074.5309992</v>
          </cell>
        </row>
        <row r="3856">
          <cell r="C3856" t="str">
            <v>IT0004776628</v>
          </cell>
          <cell r="G3856">
            <v>4130197074.5309992</v>
          </cell>
        </row>
        <row r="3857">
          <cell r="C3857" t="str">
            <v>IT0004776628</v>
          </cell>
          <cell r="G3857">
            <v>4130197074.5309992</v>
          </cell>
        </row>
        <row r="3858">
          <cell r="C3858" t="str">
            <v>IT0004776628</v>
          </cell>
          <cell r="G3858">
            <v>4130197074.5309992</v>
          </cell>
        </row>
        <row r="3859">
          <cell r="C3859" t="str">
            <v>IT0004776628</v>
          </cell>
          <cell r="G3859">
            <v>4130197074.5309992</v>
          </cell>
        </row>
        <row r="3860">
          <cell r="C3860" t="str">
            <v>IT0004776628</v>
          </cell>
          <cell r="G3860">
            <v>4130197074.5309992</v>
          </cell>
        </row>
        <row r="3861">
          <cell r="C3861" t="str">
            <v>BE0974349814</v>
          </cell>
          <cell r="G3861">
            <v>4115883365.8559999</v>
          </cell>
        </row>
        <row r="3862">
          <cell r="C3862" t="str">
            <v>BE0974349814</v>
          </cell>
          <cell r="G3862">
            <v>4115883365.8559999</v>
          </cell>
        </row>
        <row r="3863">
          <cell r="C3863" t="str">
            <v>BE0974349814</v>
          </cell>
          <cell r="G3863">
            <v>4115883365.8559999</v>
          </cell>
        </row>
        <row r="3864">
          <cell r="C3864" t="str">
            <v>BE0974349814</v>
          </cell>
          <cell r="G3864">
            <v>4115883365.8559999</v>
          </cell>
        </row>
        <row r="3865">
          <cell r="C3865" t="str">
            <v>BE0974349814</v>
          </cell>
          <cell r="G3865">
            <v>4115883365.8559999</v>
          </cell>
        </row>
        <row r="3866">
          <cell r="C3866" t="str">
            <v>BE0974349814</v>
          </cell>
          <cell r="G3866">
            <v>4115883365.8559999</v>
          </cell>
        </row>
        <row r="3867">
          <cell r="C3867" t="str">
            <v>BE0974349814</v>
          </cell>
          <cell r="G3867">
            <v>4115883365.8559999</v>
          </cell>
        </row>
        <row r="3868">
          <cell r="C3868" t="str">
            <v>BE0974349814</v>
          </cell>
          <cell r="G3868">
            <v>4115883365.8559999</v>
          </cell>
        </row>
        <row r="3869">
          <cell r="C3869" t="str">
            <v>BE0974349814</v>
          </cell>
          <cell r="G3869">
            <v>4115883365.8559999</v>
          </cell>
        </row>
        <row r="3870">
          <cell r="C3870" t="str">
            <v>BE0974349814</v>
          </cell>
          <cell r="G3870">
            <v>4115883365.8559999</v>
          </cell>
        </row>
        <row r="3871">
          <cell r="C3871" t="str">
            <v>BE0974349814</v>
          </cell>
          <cell r="G3871">
            <v>4115883365.8559999</v>
          </cell>
        </row>
        <row r="3872">
          <cell r="C3872" t="str">
            <v>BE0974349814</v>
          </cell>
          <cell r="G3872">
            <v>4115883365.8559999</v>
          </cell>
        </row>
        <row r="3873">
          <cell r="C3873" t="str">
            <v>BE0974349814</v>
          </cell>
          <cell r="G3873">
            <v>4115883365.8559999</v>
          </cell>
        </row>
        <row r="3874">
          <cell r="C3874" t="str">
            <v>BE0974349814</v>
          </cell>
          <cell r="G3874">
            <v>4115883365.8559999</v>
          </cell>
        </row>
        <row r="3875">
          <cell r="C3875" t="str">
            <v>FR0010411983</v>
          </cell>
          <cell r="G3875">
            <v>4110298434.6199999</v>
          </cell>
        </row>
        <row r="3876">
          <cell r="C3876" t="str">
            <v>FR0010411983</v>
          </cell>
          <cell r="G3876">
            <v>4110298434.6199999</v>
          </cell>
        </row>
        <row r="3877">
          <cell r="C3877" t="str">
            <v>FR0010411983</v>
          </cell>
          <cell r="G3877">
            <v>4110298434.6199999</v>
          </cell>
        </row>
        <row r="3878">
          <cell r="C3878" t="str">
            <v>FR0010411983</v>
          </cell>
          <cell r="G3878">
            <v>4110298434.6199999</v>
          </cell>
        </row>
        <row r="3879">
          <cell r="C3879" t="str">
            <v>FR0010411983</v>
          </cell>
          <cell r="G3879">
            <v>4110298434.6199999</v>
          </cell>
        </row>
        <row r="3880">
          <cell r="C3880" t="str">
            <v>FR0010411983</v>
          </cell>
          <cell r="G3880">
            <v>4110298434.6199999</v>
          </cell>
        </row>
        <row r="3881">
          <cell r="C3881" t="str">
            <v>FR0010411983</v>
          </cell>
          <cell r="G3881">
            <v>4110298434.6199999</v>
          </cell>
        </row>
        <row r="3882">
          <cell r="C3882" t="str">
            <v>FR0010411983</v>
          </cell>
          <cell r="G3882">
            <v>4110298434.6199999</v>
          </cell>
        </row>
        <row r="3883">
          <cell r="C3883" t="str">
            <v>FR0010411983</v>
          </cell>
          <cell r="G3883">
            <v>4110298434.6199999</v>
          </cell>
        </row>
        <row r="3884">
          <cell r="C3884" t="str">
            <v>FR0010411983</v>
          </cell>
          <cell r="G3884">
            <v>4110298434.6199999</v>
          </cell>
        </row>
        <row r="3885">
          <cell r="C3885" t="str">
            <v>FR0010411983</v>
          </cell>
          <cell r="G3885">
            <v>4110298434.6199999</v>
          </cell>
        </row>
        <row r="3886">
          <cell r="C3886" t="str">
            <v>FR0010411983</v>
          </cell>
          <cell r="G3886">
            <v>4110298434.6199999</v>
          </cell>
        </row>
        <row r="3887">
          <cell r="C3887" t="str">
            <v>FR0010411983</v>
          </cell>
          <cell r="G3887">
            <v>4110298434.6199999</v>
          </cell>
        </row>
        <row r="3888">
          <cell r="C3888" t="str">
            <v>FR0010411983</v>
          </cell>
          <cell r="G3888">
            <v>4110298434.6199999</v>
          </cell>
        </row>
        <row r="3889">
          <cell r="C3889" t="str">
            <v>FR0004125920</v>
          </cell>
          <cell r="G3889">
            <v>4101928229.25</v>
          </cell>
        </row>
        <row r="3890">
          <cell r="C3890" t="str">
            <v>FR0004125920</v>
          </cell>
          <cell r="G3890">
            <v>4101928229.25</v>
          </cell>
        </row>
        <row r="3891">
          <cell r="C3891" t="str">
            <v>FR0004125920</v>
          </cell>
          <cell r="G3891">
            <v>4101928229.25</v>
          </cell>
        </row>
        <row r="3892">
          <cell r="C3892" t="str">
            <v>FR0004125920</v>
          </cell>
          <cell r="G3892">
            <v>4101928229.25</v>
          </cell>
        </row>
        <row r="3893">
          <cell r="C3893" t="str">
            <v>FR0004125920</v>
          </cell>
          <cell r="G3893">
            <v>4101928229.25</v>
          </cell>
        </row>
        <row r="3894">
          <cell r="C3894" t="str">
            <v>FR0004125920</v>
          </cell>
          <cell r="G3894">
            <v>4101928229.25</v>
          </cell>
        </row>
        <row r="3895">
          <cell r="C3895" t="str">
            <v>FR0004125920</v>
          </cell>
          <cell r="G3895">
            <v>4101928229.25</v>
          </cell>
        </row>
        <row r="3896">
          <cell r="C3896" t="str">
            <v>FR0004125920</v>
          </cell>
          <cell r="G3896">
            <v>4101928229.25</v>
          </cell>
        </row>
        <row r="3897">
          <cell r="C3897" t="str">
            <v>FR0004125920</v>
          </cell>
          <cell r="G3897">
            <v>4101928229.25</v>
          </cell>
        </row>
        <row r="3898">
          <cell r="C3898" t="str">
            <v>FR0004125920</v>
          </cell>
          <cell r="G3898">
            <v>4101928229.25</v>
          </cell>
        </row>
        <row r="3899">
          <cell r="C3899" t="str">
            <v>FR0004125920</v>
          </cell>
          <cell r="G3899">
            <v>4101928229.25</v>
          </cell>
        </row>
        <row r="3900">
          <cell r="C3900" t="str">
            <v>FR0004125920</v>
          </cell>
          <cell r="G3900">
            <v>4101928229.25</v>
          </cell>
        </row>
        <row r="3901">
          <cell r="C3901" t="str">
            <v>FR0004125920</v>
          </cell>
          <cell r="G3901">
            <v>4101928229.25</v>
          </cell>
        </row>
        <row r="3902">
          <cell r="C3902" t="str">
            <v>FR0004125920</v>
          </cell>
          <cell r="G3902">
            <v>4101928229.25</v>
          </cell>
        </row>
        <row r="3903">
          <cell r="C3903" t="str">
            <v>FR0012435121</v>
          </cell>
          <cell r="G3903">
            <v>4097326131.3600011</v>
          </cell>
        </row>
        <row r="3904">
          <cell r="C3904" t="str">
            <v>FR0012435121</v>
          </cell>
          <cell r="G3904">
            <v>4097326131.3600011</v>
          </cell>
        </row>
        <row r="3905">
          <cell r="C3905" t="str">
            <v>FR0012435121</v>
          </cell>
          <cell r="G3905">
            <v>4097326131.3600011</v>
          </cell>
        </row>
        <row r="3906">
          <cell r="C3906" t="str">
            <v>FR0012435121</v>
          </cell>
          <cell r="G3906">
            <v>4097326131.3600011</v>
          </cell>
        </row>
        <row r="3907">
          <cell r="C3907" t="str">
            <v>FR0012435121</v>
          </cell>
          <cell r="G3907">
            <v>4097326131.3600011</v>
          </cell>
        </row>
        <row r="3908">
          <cell r="C3908" t="str">
            <v>FR0012435121</v>
          </cell>
          <cell r="G3908">
            <v>4097326131.3600011</v>
          </cell>
        </row>
        <row r="3909">
          <cell r="C3909" t="str">
            <v>FR0012435121</v>
          </cell>
          <cell r="G3909">
            <v>4097326131.3600011</v>
          </cell>
        </row>
        <row r="3910">
          <cell r="C3910" t="str">
            <v>FR0012435121</v>
          </cell>
          <cell r="G3910">
            <v>4097326131.3600011</v>
          </cell>
        </row>
        <row r="3911">
          <cell r="C3911" t="str">
            <v>FR0012435121</v>
          </cell>
          <cell r="G3911">
            <v>4097326131.3600011</v>
          </cell>
        </row>
        <row r="3912">
          <cell r="C3912" t="str">
            <v>FR0012435121</v>
          </cell>
          <cell r="G3912">
            <v>4097326131.3600011</v>
          </cell>
        </row>
        <row r="3913">
          <cell r="C3913" t="str">
            <v>FR0012435121</v>
          </cell>
          <cell r="G3913">
            <v>4097326131.3600011</v>
          </cell>
        </row>
        <row r="3914">
          <cell r="C3914" t="str">
            <v>FR0012435121</v>
          </cell>
          <cell r="G3914">
            <v>4097326131.3600011</v>
          </cell>
        </row>
        <row r="3915">
          <cell r="C3915" t="str">
            <v>FR0012435121</v>
          </cell>
          <cell r="G3915">
            <v>4097326131.3600011</v>
          </cell>
        </row>
        <row r="3916">
          <cell r="C3916" t="str">
            <v>FR0012435121</v>
          </cell>
          <cell r="G3916">
            <v>4097326131.3600011</v>
          </cell>
        </row>
        <row r="3917">
          <cell r="C3917" t="str">
            <v>FI4000074984</v>
          </cell>
          <cell r="G3917">
            <v>4067032494.1999998</v>
          </cell>
        </row>
        <row r="3918">
          <cell r="C3918" t="str">
            <v>FI4000074984</v>
          </cell>
          <cell r="G3918">
            <v>4067032494.1999998</v>
          </cell>
        </row>
        <row r="3919">
          <cell r="C3919" t="str">
            <v>FI4000074984</v>
          </cell>
          <cell r="G3919">
            <v>4067032494.1999998</v>
          </cell>
        </row>
        <row r="3920">
          <cell r="C3920" t="str">
            <v>FI4000074984</v>
          </cell>
          <cell r="G3920">
            <v>4067032494.1999998</v>
          </cell>
        </row>
        <row r="3921">
          <cell r="C3921" t="str">
            <v>FI4000074984</v>
          </cell>
          <cell r="G3921">
            <v>4067032494.1999998</v>
          </cell>
        </row>
        <row r="3922">
          <cell r="C3922" t="str">
            <v>FI4000074984</v>
          </cell>
          <cell r="G3922">
            <v>4067032494.1999998</v>
          </cell>
        </row>
        <row r="3923">
          <cell r="C3923" t="str">
            <v>FI4000074984</v>
          </cell>
          <cell r="G3923">
            <v>4067032494.1999998</v>
          </cell>
        </row>
        <row r="3924">
          <cell r="C3924" t="str">
            <v>FI4000074984</v>
          </cell>
          <cell r="G3924">
            <v>4067032494.1999998</v>
          </cell>
        </row>
        <row r="3925">
          <cell r="C3925" t="str">
            <v>FI4000074984</v>
          </cell>
          <cell r="G3925">
            <v>4067032494.1999998</v>
          </cell>
        </row>
        <row r="3926">
          <cell r="C3926" t="str">
            <v>FI4000074984</v>
          </cell>
          <cell r="G3926">
            <v>4067032494.1999998</v>
          </cell>
        </row>
        <row r="3927">
          <cell r="C3927" t="str">
            <v>FI4000074984</v>
          </cell>
          <cell r="G3927">
            <v>4067032494.1999998</v>
          </cell>
        </row>
        <row r="3928">
          <cell r="C3928" t="str">
            <v>FI4000074984</v>
          </cell>
          <cell r="G3928">
            <v>4067032494.1999998</v>
          </cell>
        </row>
        <row r="3929">
          <cell r="C3929" t="str">
            <v>FI4000074984</v>
          </cell>
          <cell r="G3929">
            <v>4067032494.1999998</v>
          </cell>
        </row>
        <row r="3930">
          <cell r="C3930" t="str">
            <v>FI4000074984</v>
          </cell>
          <cell r="G3930">
            <v>4067032494.1999998</v>
          </cell>
        </row>
        <row r="3931">
          <cell r="C3931" t="str">
            <v>BE0003823409</v>
          </cell>
          <cell r="G3931">
            <v>4026164489.0999999</v>
          </cell>
        </row>
        <row r="3932">
          <cell r="C3932" t="str">
            <v>BE0003823409</v>
          </cell>
          <cell r="G3932">
            <v>4026164489.0999999</v>
          </cell>
        </row>
        <row r="3933">
          <cell r="C3933" t="str">
            <v>BE0003823409</v>
          </cell>
          <cell r="G3933">
            <v>4026164489.0999999</v>
          </cell>
        </row>
        <row r="3934">
          <cell r="C3934" t="str">
            <v>BE0003823409</v>
          </cell>
          <cell r="G3934">
            <v>4026164489.0999999</v>
          </cell>
        </row>
        <row r="3935">
          <cell r="C3935" t="str">
            <v>BE0003823409</v>
          </cell>
          <cell r="G3935">
            <v>4026164489.0999999</v>
          </cell>
        </row>
        <row r="3936">
          <cell r="C3936" t="str">
            <v>BE0003823409</v>
          </cell>
          <cell r="G3936">
            <v>4026164489.0999999</v>
          </cell>
        </row>
        <row r="3937">
          <cell r="C3937" t="str">
            <v>BE0003823409</v>
          </cell>
          <cell r="G3937">
            <v>4026164489.0999999</v>
          </cell>
        </row>
        <row r="3938">
          <cell r="C3938" t="str">
            <v>BE0003823409</v>
          </cell>
          <cell r="G3938">
            <v>4026164489.0999999</v>
          </cell>
        </row>
        <row r="3939">
          <cell r="C3939" t="str">
            <v>BE0003823409</v>
          </cell>
          <cell r="G3939">
            <v>4026164489.0999999</v>
          </cell>
        </row>
        <row r="3940">
          <cell r="C3940" t="str">
            <v>BE0003823409</v>
          </cell>
          <cell r="G3940">
            <v>4026164489.0999999</v>
          </cell>
        </row>
        <row r="3941">
          <cell r="C3941" t="str">
            <v>BE0003823409</v>
          </cell>
          <cell r="G3941">
            <v>4026164489.0999999</v>
          </cell>
        </row>
        <row r="3942">
          <cell r="C3942" t="str">
            <v>BE0003823409</v>
          </cell>
          <cell r="G3942">
            <v>4026164489.0999999</v>
          </cell>
        </row>
        <row r="3943">
          <cell r="C3943" t="str">
            <v>BE0003823409</v>
          </cell>
          <cell r="G3943">
            <v>4026164489.0999999</v>
          </cell>
        </row>
        <row r="3944">
          <cell r="C3944" t="str">
            <v>BE0003823409</v>
          </cell>
          <cell r="G3944">
            <v>4026164489.0999999</v>
          </cell>
        </row>
        <row r="3945">
          <cell r="C3945" t="str">
            <v>FR0013258662</v>
          </cell>
          <cell r="G3945">
            <v>3915282851.190001</v>
          </cell>
        </row>
        <row r="3946">
          <cell r="C3946" t="str">
            <v>FR0013258662</v>
          </cell>
          <cell r="G3946">
            <v>3915282851.190001</v>
          </cell>
        </row>
        <row r="3947">
          <cell r="C3947" t="str">
            <v>FR0013258662</v>
          </cell>
          <cell r="G3947">
            <v>3915282851.190001</v>
          </cell>
        </row>
        <row r="3948">
          <cell r="C3948" t="str">
            <v>FR0013258662</v>
          </cell>
          <cell r="G3948">
            <v>3915282851.190001</v>
          </cell>
        </row>
        <row r="3949">
          <cell r="C3949" t="str">
            <v>FR0013258662</v>
          </cell>
          <cell r="G3949">
            <v>3915282851.190001</v>
          </cell>
        </row>
        <row r="3950">
          <cell r="C3950" t="str">
            <v>FR0013258662</v>
          </cell>
          <cell r="G3950">
            <v>3915282851.190001</v>
          </cell>
        </row>
        <row r="3951">
          <cell r="C3951" t="str">
            <v>FR0013258662</v>
          </cell>
          <cell r="G3951">
            <v>3915282851.190001</v>
          </cell>
        </row>
        <row r="3952">
          <cell r="C3952" t="str">
            <v>FR0013258662</v>
          </cell>
          <cell r="G3952">
            <v>3915282851.190001</v>
          </cell>
        </row>
        <row r="3953">
          <cell r="C3953" t="str">
            <v>FR0013258662</v>
          </cell>
          <cell r="G3953">
            <v>3915282851.190001</v>
          </cell>
        </row>
        <row r="3954">
          <cell r="C3954" t="str">
            <v>FR0013258662</v>
          </cell>
          <cell r="G3954">
            <v>3915282851.190001</v>
          </cell>
        </row>
        <row r="3955">
          <cell r="C3955" t="str">
            <v>FR0013258662</v>
          </cell>
          <cell r="G3955">
            <v>3915282851.190001</v>
          </cell>
        </row>
        <row r="3956">
          <cell r="C3956" t="str">
            <v>FR0013258662</v>
          </cell>
          <cell r="G3956">
            <v>3915282851.190001</v>
          </cell>
        </row>
        <row r="3957">
          <cell r="C3957" t="str">
            <v>FR0013258662</v>
          </cell>
          <cell r="G3957">
            <v>3915282851.190001</v>
          </cell>
        </row>
        <row r="3958">
          <cell r="C3958" t="str">
            <v>FR0013258662</v>
          </cell>
          <cell r="G3958">
            <v>3915282851.190001</v>
          </cell>
        </row>
        <row r="3959">
          <cell r="C3959" t="str">
            <v>DE000TKMS001</v>
          </cell>
          <cell r="G3959">
            <v>3874942467</v>
          </cell>
        </row>
        <row r="3960">
          <cell r="C3960" t="str">
            <v>DE000TKMS001</v>
          </cell>
          <cell r="G3960">
            <v>3874942467</v>
          </cell>
        </row>
        <row r="3961">
          <cell r="C3961" t="str">
            <v>DE000TKMS001</v>
          </cell>
          <cell r="G3961">
            <v>3874942467</v>
          </cell>
        </row>
        <row r="3962">
          <cell r="C3962" t="str">
            <v>DE000TKMS001</v>
          </cell>
          <cell r="G3962">
            <v>3874942467</v>
          </cell>
        </row>
        <row r="3963">
          <cell r="C3963" t="str">
            <v>DE000TKMS001</v>
          </cell>
          <cell r="G3963">
            <v>3874942467</v>
          </cell>
        </row>
        <row r="3964">
          <cell r="C3964" t="str">
            <v>DE000TKMS001</v>
          </cell>
          <cell r="G3964">
            <v>3874942467</v>
          </cell>
        </row>
        <row r="3965">
          <cell r="C3965" t="str">
            <v>DE000TKMS001</v>
          </cell>
          <cell r="G3965">
            <v>3874942467</v>
          </cell>
        </row>
        <row r="3966">
          <cell r="C3966" t="str">
            <v>DE000TKMS001</v>
          </cell>
          <cell r="G3966">
            <v>3874942467</v>
          </cell>
        </row>
        <row r="3967">
          <cell r="C3967" t="str">
            <v>DE000TKMS001</v>
          </cell>
          <cell r="G3967">
            <v>3874942467</v>
          </cell>
        </row>
        <row r="3968">
          <cell r="C3968" t="str">
            <v>DE000TKMS001</v>
          </cell>
          <cell r="G3968">
            <v>3874942467</v>
          </cell>
        </row>
        <row r="3969">
          <cell r="C3969" t="str">
            <v>DE000TKMS001</v>
          </cell>
          <cell r="G3969">
            <v>3874942467</v>
          </cell>
        </row>
        <row r="3970">
          <cell r="C3970" t="str">
            <v>DE000TKMS001</v>
          </cell>
          <cell r="G3970">
            <v>3874942467</v>
          </cell>
        </row>
        <row r="3971">
          <cell r="C3971" t="str">
            <v>DE000TKMS001</v>
          </cell>
          <cell r="G3971">
            <v>3874942467</v>
          </cell>
        </row>
        <row r="3972">
          <cell r="C3972" t="str">
            <v>DE000TKMS001</v>
          </cell>
          <cell r="G3972">
            <v>3874942467</v>
          </cell>
        </row>
        <row r="3973">
          <cell r="C3973" t="str">
            <v>IT0001347308</v>
          </cell>
          <cell r="G3973">
            <v>3849441061.5359998</v>
          </cell>
        </row>
        <row r="3974">
          <cell r="C3974" t="str">
            <v>IT0001347308</v>
          </cell>
          <cell r="G3974">
            <v>3849441061.5359998</v>
          </cell>
        </row>
        <row r="3975">
          <cell r="C3975" t="str">
            <v>IT0001347308</v>
          </cell>
          <cell r="G3975">
            <v>3849441061.5359998</v>
          </cell>
        </row>
        <row r="3976">
          <cell r="C3976" t="str">
            <v>IT0001347308</v>
          </cell>
          <cell r="G3976">
            <v>3849441061.5359998</v>
          </cell>
        </row>
        <row r="3977">
          <cell r="C3977" t="str">
            <v>IT0001347308</v>
          </cell>
          <cell r="G3977">
            <v>3849441061.5359998</v>
          </cell>
        </row>
        <row r="3978">
          <cell r="C3978" t="str">
            <v>IT0001347308</v>
          </cell>
          <cell r="G3978">
            <v>3849441061.5359998</v>
          </cell>
        </row>
        <row r="3979">
          <cell r="C3979" t="str">
            <v>IT0001347308</v>
          </cell>
          <cell r="G3979">
            <v>3849441061.5359998</v>
          </cell>
        </row>
        <row r="3980">
          <cell r="C3980" t="str">
            <v>IT0001347308</v>
          </cell>
          <cell r="G3980">
            <v>3849441061.5359998</v>
          </cell>
        </row>
        <row r="3981">
          <cell r="C3981" t="str">
            <v>IT0001347308</v>
          </cell>
          <cell r="G3981">
            <v>3849441061.5359998</v>
          </cell>
        </row>
        <row r="3982">
          <cell r="C3982" t="str">
            <v>IT0001347308</v>
          </cell>
          <cell r="G3982">
            <v>3849441061.5359998</v>
          </cell>
        </row>
        <row r="3983">
          <cell r="C3983" t="str">
            <v>IT0001347308</v>
          </cell>
          <cell r="G3983">
            <v>3849441061.5359998</v>
          </cell>
        </row>
        <row r="3984">
          <cell r="C3984" t="str">
            <v>IT0001347308</v>
          </cell>
          <cell r="G3984">
            <v>3849441061.5359998</v>
          </cell>
        </row>
        <row r="3985">
          <cell r="C3985" t="str">
            <v>IT0001347308</v>
          </cell>
          <cell r="G3985">
            <v>3849441061.5359998</v>
          </cell>
        </row>
        <row r="3986">
          <cell r="C3986" t="str">
            <v>IT0001347308</v>
          </cell>
          <cell r="G3986">
            <v>3849441061.5359998</v>
          </cell>
        </row>
        <row r="3987">
          <cell r="C3987" t="str">
            <v>FR0000121220</v>
          </cell>
          <cell r="G3987">
            <v>3831172874.0339999</v>
          </cell>
        </row>
        <row r="3988">
          <cell r="C3988" t="str">
            <v>FR0000121220</v>
          </cell>
          <cell r="G3988">
            <v>3831172874.0339999</v>
          </cell>
        </row>
        <row r="3989">
          <cell r="C3989" t="str">
            <v>FR0000121220</v>
          </cell>
          <cell r="G3989">
            <v>3831172874.0339999</v>
          </cell>
        </row>
        <row r="3990">
          <cell r="C3990" t="str">
            <v>FR0000121220</v>
          </cell>
          <cell r="G3990">
            <v>3831172874.0339999</v>
          </cell>
        </row>
        <row r="3991">
          <cell r="C3991" t="str">
            <v>FR0000121220</v>
          </cell>
          <cell r="G3991">
            <v>3831172874.0339999</v>
          </cell>
        </row>
        <row r="3992">
          <cell r="C3992" t="str">
            <v>FR0000121220</v>
          </cell>
          <cell r="G3992">
            <v>3831172874.0339999</v>
          </cell>
        </row>
        <row r="3993">
          <cell r="C3993" t="str">
            <v>FR0000121220</v>
          </cell>
          <cell r="G3993">
            <v>3831172874.0339999</v>
          </cell>
        </row>
        <row r="3994">
          <cell r="C3994" t="str">
            <v>FR0000121220</v>
          </cell>
          <cell r="G3994">
            <v>3831172874.0339999</v>
          </cell>
        </row>
        <row r="3995">
          <cell r="C3995" t="str">
            <v>FR0000121220</v>
          </cell>
          <cell r="G3995">
            <v>3831172874.0339999</v>
          </cell>
        </row>
        <row r="3996">
          <cell r="C3996" t="str">
            <v>FR0000121220</v>
          </cell>
          <cell r="G3996">
            <v>3831172874.0339999</v>
          </cell>
        </row>
        <row r="3997">
          <cell r="C3997" t="str">
            <v>FR0000121220</v>
          </cell>
          <cell r="G3997">
            <v>3831172874.0339999</v>
          </cell>
        </row>
        <row r="3998">
          <cell r="C3998" t="str">
            <v>FR0000121220</v>
          </cell>
          <cell r="G3998">
            <v>3831172874.0339999</v>
          </cell>
        </row>
        <row r="3999">
          <cell r="C3999" t="str">
            <v>FR0000121220</v>
          </cell>
          <cell r="G3999">
            <v>3831172874.0339999</v>
          </cell>
        </row>
        <row r="4000">
          <cell r="C4000" t="str">
            <v>FR0000121220</v>
          </cell>
          <cell r="G4000">
            <v>3831172874.0339999</v>
          </cell>
        </row>
        <row r="4001">
          <cell r="C4001" t="str">
            <v>AT0000730007</v>
          </cell>
          <cell r="G4001">
            <v>3828240000</v>
          </cell>
        </row>
        <row r="4002">
          <cell r="C4002" t="str">
            <v>AT0000730007</v>
          </cell>
          <cell r="G4002">
            <v>3828240000</v>
          </cell>
        </row>
        <row r="4003">
          <cell r="C4003" t="str">
            <v>AT0000730007</v>
          </cell>
          <cell r="G4003">
            <v>3828240000</v>
          </cell>
        </row>
        <row r="4004">
          <cell r="C4004" t="str">
            <v>AT0000730007</v>
          </cell>
          <cell r="G4004">
            <v>3828240000</v>
          </cell>
        </row>
        <row r="4005">
          <cell r="C4005" t="str">
            <v>AT0000730007</v>
          </cell>
          <cell r="G4005">
            <v>3828240000</v>
          </cell>
        </row>
        <row r="4006">
          <cell r="C4006" t="str">
            <v>AT0000730007</v>
          </cell>
          <cell r="G4006">
            <v>3828240000</v>
          </cell>
        </row>
        <row r="4007">
          <cell r="C4007" t="str">
            <v>AT0000730007</v>
          </cell>
          <cell r="G4007">
            <v>3828240000</v>
          </cell>
        </row>
        <row r="4008">
          <cell r="C4008" t="str">
            <v>AT0000730007</v>
          </cell>
          <cell r="G4008">
            <v>3828240000</v>
          </cell>
        </row>
        <row r="4009">
          <cell r="C4009" t="str">
            <v>AT0000730007</v>
          </cell>
          <cell r="G4009">
            <v>3828240000</v>
          </cell>
        </row>
        <row r="4010">
          <cell r="C4010" t="str">
            <v>AT0000730007</v>
          </cell>
          <cell r="G4010">
            <v>3828240000</v>
          </cell>
        </row>
        <row r="4011">
          <cell r="C4011" t="str">
            <v>AT0000730007</v>
          </cell>
          <cell r="G4011">
            <v>3828240000</v>
          </cell>
        </row>
        <row r="4012">
          <cell r="C4012" t="str">
            <v>AT0000730007</v>
          </cell>
          <cell r="G4012">
            <v>3828240000</v>
          </cell>
        </row>
        <row r="4013">
          <cell r="C4013" t="str">
            <v>AT0000730007</v>
          </cell>
          <cell r="G4013">
            <v>3828240000</v>
          </cell>
        </row>
        <row r="4014">
          <cell r="C4014" t="str">
            <v>AT0000730007</v>
          </cell>
          <cell r="G4014">
            <v>3828240000</v>
          </cell>
        </row>
        <row r="4015">
          <cell r="C4015" t="str">
            <v>IT0001233417</v>
          </cell>
          <cell r="G4015">
            <v>3692128868.9445009</v>
          </cell>
        </row>
        <row r="4016">
          <cell r="C4016" t="str">
            <v>IT0001233417</v>
          </cell>
          <cell r="G4016">
            <v>3692128868.9445009</v>
          </cell>
        </row>
        <row r="4017">
          <cell r="C4017" t="str">
            <v>IT0001233417</v>
          </cell>
          <cell r="G4017">
            <v>3692128868.9445009</v>
          </cell>
        </row>
        <row r="4018">
          <cell r="C4018" t="str">
            <v>IT0001233417</v>
          </cell>
          <cell r="G4018">
            <v>3692128868.9445009</v>
          </cell>
        </row>
        <row r="4019">
          <cell r="C4019" t="str">
            <v>IT0001233417</v>
          </cell>
          <cell r="G4019">
            <v>3692128868.9445009</v>
          </cell>
        </row>
        <row r="4020">
          <cell r="C4020" t="str">
            <v>IT0001233417</v>
          </cell>
          <cell r="G4020">
            <v>3692128868.9445009</v>
          </cell>
        </row>
        <row r="4021">
          <cell r="C4021" t="str">
            <v>IT0001233417</v>
          </cell>
          <cell r="G4021">
            <v>3692128868.9445009</v>
          </cell>
        </row>
        <row r="4022">
          <cell r="C4022" t="str">
            <v>IT0001233417</v>
          </cell>
          <cell r="G4022">
            <v>3692128868.9445009</v>
          </cell>
        </row>
        <row r="4023">
          <cell r="C4023" t="str">
            <v>IT0001233417</v>
          </cell>
          <cell r="G4023">
            <v>3692128868.9445009</v>
          </cell>
        </row>
        <row r="4024">
          <cell r="C4024" t="str">
            <v>IT0001233417</v>
          </cell>
          <cell r="G4024">
            <v>3692128868.9445009</v>
          </cell>
        </row>
        <row r="4025">
          <cell r="C4025" t="str">
            <v>IT0001233417</v>
          </cell>
          <cell r="G4025">
            <v>3692128868.9445009</v>
          </cell>
        </row>
        <row r="4026">
          <cell r="C4026" t="str">
            <v>IT0001233417</v>
          </cell>
          <cell r="G4026">
            <v>3692128868.9445009</v>
          </cell>
        </row>
        <row r="4027">
          <cell r="C4027" t="str">
            <v>IT0001233417</v>
          </cell>
          <cell r="G4027">
            <v>3692128868.9445009</v>
          </cell>
        </row>
        <row r="4028">
          <cell r="C4028" t="str">
            <v>IT0001233417</v>
          </cell>
          <cell r="G4028">
            <v>3692128868.9445009</v>
          </cell>
        </row>
        <row r="4029">
          <cell r="C4029" t="str">
            <v>IT0001233417</v>
          </cell>
          <cell r="G4029">
            <v>3692128868.9445009</v>
          </cell>
        </row>
        <row r="4030">
          <cell r="C4030" t="str">
            <v>IT0001233417</v>
          </cell>
          <cell r="G4030">
            <v>3692128868.9445009</v>
          </cell>
        </row>
        <row r="4031">
          <cell r="C4031" t="str">
            <v>IT0001233417</v>
          </cell>
          <cell r="G4031">
            <v>3692128868.9445009</v>
          </cell>
        </row>
        <row r="4032">
          <cell r="C4032" t="str">
            <v>JE00BRX98089</v>
          </cell>
          <cell r="G4032">
            <v>3683241264.7800002</v>
          </cell>
        </row>
        <row r="4033">
          <cell r="C4033" t="str">
            <v>JE00BRX98089</v>
          </cell>
          <cell r="G4033">
            <v>3683241264.7800002</v>
          </cell>
        </row>
        <row r="4034">
          <cell r="C4034" t="str">
            <v>JE00BRX98089</v>
          </cell>
          <cell r="G4034">
            <v>3683241264.7800002</v>
          </cell>
        </row>
        <row r="4035">
          <cell r="C4035" t="str">
            <v>JE00BRX98089</v>
          </cell>
          <cell r="G4035">
            <v>3683241264.7800002</v>
          </cell>
        </row>
        <row r="4036">
          <cell r="C4036" t="str">
            <v>JE00BRX98089</v>
          </cell>
          <cell r="G4036">
            <v>3683241264.7800002</v>
          </cell>
        </row>
        <row r="4037">
          <cell r="C4037" t="str">
            <v>JE00BRX98089</v>
          </cell>
          <cell r="G4037">
            <v>3683241264.7800002</v>
          </cell>
        </row>
        <row r="4038">
          <cell r="C4038" t="str">
            <v>JE00BRX98089</v>
          </cell>
          <cell r="G4038">
            <v>3683241264.7800002</v>
          </cell>
        </row>
        <row r="4039">
          <cell r="C4039" t="str">
            <v>JE00BRX98089</v>
          </cell>
          <cell r="G4039">
            <v>3683241264.7800002</v>
          </cell>
        </row>
        <row r="4040">
          <cell r="C4040" t="str">
            <v>JE00BRX98089</v>
          </cell>
          <cell r="G4040">
            <v>3683241264.7800002</v>
          </cell>
        </row>
        <row r="4041">
          <cell r="C4041" t="str">
            <v>JE00BRX98089</v>
          </cell>
          <cell r="G4041">
            <v>3683241264.7800002</v>
          </cell>
        </row>
        <row r="4042">
          <cell r="C4042" t="str">
            <v>JE00BRX98089</v>
          </cell>
          <cell r="G4042">
            <v>3683241264.7800002</v>
          </cell>
        </row>
        <row r="4043">
          <cell r="C4043" t="str">
            <v>JE00BRX98089</v>
          </cell>
          <cell r="G4043">
            <v>3683241264.7800002</v>
          </cell>
        </row>
        <row r="4044">
          <cell r="C4044" t="str">
            <v>JE00BRX98089</v>
          </cell>
          <cell r="G4044">
            <v>3683241264.7800002</v>
          </cell>
        </row>
        <row r="4045">
          <cell r="C4045" t="str">
            <v>JE00BRX98089</v>
          </cell>
          <cell r="G4045">
            <v>3683241264.7800002</v>
          </cell>
        </row>
        <row r="4046">
          <cell r="C4046" t="str">
            <v>AT0000937503</v>
          </cell>
          <cell r="G4046">
            <v>3672399122.8800001</v>
          </cell>
        </row>
        <row r="4047">
          <cell r="C4047" t="str">
            <v>AT0000937503</v>
          </cell>
          <cell r="G4047">
            <v>3672399122.8800001</v>
          </cell>
        </row>
        <row r="4048">
          <cell r="C4048" t="str">
            <v>AT0000937503</v>
          </cell>
          <cell r="G4048">
            <v>3672399122.8800001</v>
          </cell>
        </row>
        <row r="4049">
          <cell r="C4049" t="str">
            <v>AT0000937503</v>
          </cell>
          <cell r="G4049">
            <v>3672399122.8800001</v>
          </cell>
        </row>
        <row r="4050">
          <cell r="C4050" t="str">
            <v>AT0000937503</v>
          </cell>
          <cell r="G4050">
            <v>3672399122.8800001</v>
          </cell>
        </row>
        <row r="4051">
          <cell r="C4051" t="str">
            <v>AT0000937503</v>
          </cell>
          <cell r="G4051">
            <v>3672399122.8800001</v>
          </cell>
        </row>
        <row r="4052">
          <cell r="C4052" t="str">
            <v>AT0000937503</v>
          </cell>
          <cell r="G4052">
            <v>3672399122.8800001</v>
          </cell>
        </row>
        <row r="4053">
          <cell r="C4053" t="str">
            <v>AT0000937503</v>
          </cell>
          <cell r="G4053">
            <v>3672399122.8800001</v>
          </cell>
        </row>
        <row r="4054">
          <cell r="C4054" t="str">
            <v>AT0000937503</v>
          </cell>
          <cell r="G4054">
            <v>3672399122.8800001</v>
          </cell>
        </row>
        <row r="4055">
          <cell r="C4055" t="str">
            <v>AT0000937503</v>
          </cell>
          <cell r="G4055">
            <v>3672399122.8800001</v>
          </cell>
        </row>
        <row r="4056">
          <cell r="C4056" t="str">
            <v>AT0000937503</v>
          </cell>
          <cell r="G4056">
            <v>3672399122.8800001</v>
          </cell>
        </row>
        <row r="4057">
          <cell r="C4057" t="str">
            <v>AT0000937503</v>
          </cell>
          <cell r="G4057">
            <v>3672399122.8800001</v>
          </cell>
        </row>
        <row r="4058">
          <cell r="C4058" t="str">
            <v>AT0000937503</v>
          </cell>
          <cell r="G4058">
            <v>3672399122.8800001</v>
          </cell>
        </row>
        <row r="4059">
          <cell r="C4059" t="str">
            <v>AT0000937503</v>
          </cell>
          <cell r="G4059">
            <v>3672399122.8800001</v>
          </cell>
        </row>
        <row r="4060">
          <cell r="C4060" t="str">
            <v>ES0124244E34</v>
          </cell>
          <cell r="G4060">
            <v>3638184150.48</v>
          </cell>
        </row>
        <row r="4061">
          <cell r="C4061" t="str">
            <v>ES0124244E34</v>
          </cell>
          <cell r="G4061">
            <v>3638184150.48</v>
          </cell>
        </row>
        <row r="4062">
          <cell r="C4062" t="str">
            <v>ES0124244E34</v>
          </cell>
          <cell r="G4062">
            <v>3638184150.48</v>
          </cell>
        </row>
        <row r="4063">
          <cell r="C4063" t="str">
            <v>ES0124244E34</v>
          </cell>
          <cell r="G4063">
            <v>3638184150.48</v>
          </cell>
        </row>
        <row r="4064">
          <cell r="C4064" t="str">
            <v>ES0124244E34</v>
          </cell>
          <cell r="G4064">
            <v>3638184150.48</v>
          </cell>
        </row>
        <row r="4065">
          <cell r="C4065" t="str">
            <v>ES0124244E34</v>
          </cell>
          <cell r="G4065">
            <v>3638184150.48</v>
          </cell>
        </row>
        <row r="4066">
          <cell r="C4066" t="str">
            <v>ES0124244E34</v>
          </cell>
          <cell r="G4066">
            <v>3638184150.48</v>
          </cell>
        </row>
        <row r="4067">
          <cell r="C4067" t="str">
            <v>ES0124244E34</v>
          </cell>
          <cell r="G4067">
            <v>3638184150.48</v>
          </cell>
        </row>
        <row r="4068">
          <cell r="C4068" t="str">
            <v>ES0124244E34</v>
          </cell>
          <cell r="G4068">
            <v>3638184150.48</v>
          </cell>
        </row>
        <row r="4069">
          <cell r="C4069" t="str">
            <v>ES0124244E34</v>
          </cell>
          <cell r="G4069">
            <v>3638184150.48</v>
          </cell>
        </row>
        <row r="4070">
          <cell r="C4070" t="str">
            <v>ES0124244E34</v>
          </cell>
          <cell r="G4070">
            <v>3638184150.48</v>
          </cell>
        </row>
        <row r="4071">
          <cell r="C4071" t="str">
            <v>ES0124244E34</v>
          </cell>
          <cell r="G4071">
            <v>3638184150.48</v>
          </cell>
        </row>
        <row r="4072">
          <cell r="C4072" t="str">
            <v>ES0124244E34</v>
          </cell>
          <cell r="G4072">
            <v>3638184150.48</v>
          </cell>
        </row>
        <row r="4073">
          <cell r="C4073" t="str">
            <v>ES0124244E34</v>
          </cell>
          <cell r="G4073">
            <v>3638184150.48</v>
          </cell>
        </row>
        <row r="4074">
          <cell r="C4074" t="str">
            <v>FR0010040865</v>
          </cell>
          <cell r="G4074">
            <v>3630741693.3600001</v>
          </cell>
        </row>
        <row r="4075">
          <cell r="C4075" t="str">
            <v>FR0010040865</v>
          </cell>
          <cell r="G4075">
            <v>3630741693.3600001</v>
          </cell>
        </row>
        <row r="4076">
          <cell r="C4076" t="str">
            <v>FR0010040865</v>
          </cell>
          <cell r="G4076">
            <v>3630741693.3600001</v>
          </cell>
        </row>
        <row r="4077">
          <cell r="C4077" t="str">
            <v>FR0010040865</v>
          </cell>
          <cell r="G4077">
            <v>3630741693.3600001</v>
          </cell>
        </row>
        <row r="4078">
          <cell r="C4078" t="str">
            <v>FR0010040865</v>
          </cell>
          <cell r="G4078">
            <v>3630741693.3600001</v>
          </cell>
        </row>
        <row r="4079">
          <cell r="C4079" t="str">
            <v>FR0010040865</v>
          </cell>
          <cell r="G4079">
            <v>3630741693.3600001</v>
          </cell>
        </row>
        <row r="4080">
          <cell r="C4080" t="str">
            <v>FR0010040865</v>
          </cell>
          <cell r="G4080">
            <v>3630741693.3600001</v>
          </cell>
        </row>
        <row r="4081">
          <cell r="C4081" t="str">
            <v>FR0010040865</v>
          </cell>
          <cell r="G4081">
            <v>3630741693.3600001</v>
          </cell>
        </row>
        <row r="4082">
          <cell r="C4082" t="str">
            <v>FR0010040865</v>
          </cell>
          <cell r="G4082">
            <v>3630741693.3600001</v>
          </cell>
        </row>
        <row r="4083">
          <cell r="C4083" t="str">
            <v>FR0010040865</v>
          </cell>
          <cell r="G4083">
            <v>3630741693.3600001</v>
          </cell>
        </row>
        <row r="4084">
          <cell r="C4084" t="str">
            <v>FR0010040865</v>
          </cell>
          <cell r="G4084">
            <v>3630741693.3600001</v>
          </cell>
        </row>
        <row r="4085">
          <cell r="C4085" t="str">
            <v>FR0010040865</v>
          </cell>
          <cell r="G4085">
            <v>3630741693.3600001</v>
          </cell>
        </row>
        <row r="4086">
          <cell r="C4086" t="str">
            <v>FR0010040865</v>
          </cell>
          <cell r="G4086">
            <v>3630741693.3600001</v>
          </cell>
        </row>
        <row r="4087">
          <cell r="C4087" t="str">
            <v>FR0010040865</v>
          </cell>
          <cell r="G4087">
            <v>3630741693.3600001</v>
          </cell>
        </row>
        <row r="4088">
          <cell r="C4088" t="str">
            <v>IT0003261697</v>
          </cell>
          <cell r="G4088">
            <v>3615385368.0375009</v>
          </cell>
        </row>
        <row r="4089">
          <cell r="C4089" t="str">
            <v>IT0003261697</v>
          </cell>
          <cell r="G4089">
            <v>3615385368.0375009</v>
          </cell>
        </row>
        <row r="4090">
          <cell r="C4090" t="str">
            <v>IT0003261697</v>
          </cell>
          <cell r="G4090">
            <v>3615385368.0375009</v>
          </cell>
        </row>
        <row r="4091">
          <cell r="C4091" t="str">
            <v>IT0003261697</v>
          </cell>
          <cell r="G4091">
            <v>3615385368.0375009</v>
          </cell>
        </row>
        <row r="4092">
          <cell r="C4092" t="str">
            <v>IT0003261697</v>
          </cell>
          <cell r="G4092">
            <v>3615385368.0375009</v>
          </cell>
        </row>
        <row r="4093">
          <cell r="C4093" t="str">
            <v>IT0003261697</v>
          </cell>
          <cell r="G4093">
            <v>3615385368.0375009</v>
          </cell>
        </row>
        <row r="4094">
          <cell r="C4094" t="str">
            <v>IT0003261697</v>
          </cell>
          <cell r="G4094">
            <v>3615385368.0375009</v>
          </cell>
        </row>
        <row r="4095">
          <cell r="C4095" t="str">
            <v>IT0003261697</v>
          </cell>
          <cell r="G4095">
            <v>3615385368.0375009</v>
          </cell>
        </row>
        <row r="4096">
          <cell r="C4096" t="str">
            <v>IT0003261697</v>
          </cell>
          <cell r="G4096">
            <v>3615385368.0375009</v>
          </cell>
        </row>
        <row r="4097">
          <cell r="C4097" t="str">
            <v>IT0003261697</v>
          </cell>
          <cell r="G4097">
            <v>3615385368.0375009</v>
          </cell>
        </row>
        <row r="4098">
          <cell r="C4098" t="str">
            <v>IT0003261697</v>
          </cell>
          <cell r="G4098">
            <v>3615385368.0375009</v>
          </cell>
        </row>
        <row r="4099">
          <cell r="C4099" t="str">
            <v>IT0003261697</v>
          </cell>
          <cell r="G4099">
            <v>3615385368.0375009</v>
          </cell>
        </row>
        <row r="4100">
          <cell r="C4100" t="str">
            <v>IT0003261697</v>
          </cell>
          <cell r="G4100">
            <v>3615385368.0375009</v>
          </cell>
        </row>
        <row r="4101">
          <cell r="C4101" t="str">
            <v>IT0003261697</v>
          </cell>
          <cell r="G4101">
            <v>3615385368.0375009</v>
          </cell>
        </row>
        <row r="4102">
          <cell r="C4102" t="str">
            <v>DE000A2E4K43</v>
          </cell>
          <cell r="G4102">
            <v>3583244623.9499998</v>
          </cell>
        </row>
        <row r="4103">
          <cell r="C4103" t="str">
            <v>DE000A2E4K43</v>
          </cell>
          <cell r="G4103">
            <v>3583244623.9499998</v>
          </cell>
        </row>
        <row r="4104">
          <cell r="C4104" t="str">
            <v>DE000A2E4K43</v>
          </cell>
          <cell r="G4104">
            <v>3583244623.9499998</v>
          </cell>
        </row>
        <row r="4105">
          <cell r="C4105" t="str">
            <v>DE000A2E4K43</v>
          </cell>
          <cell r="G4105">
            <v>3583244623.9499998</v>
          </cell>
        </row>
        <row r="4106">
          <cell r="C4106" t="str">
            <v>DE000A2E4K43</v>
          </cell>
          <cell r="G4106">
            <v>3583244623.9499998</v>
          </cell>
        </row>
        <row r="4107">
          <cell r="C4107" t="str">
            <v>DE000A2E4K43</v>
          </cell>
          <cell r="G4107">
            <v>3583244623.9499998</v>
          </cell>
        </row>
        <row r="4108">
          <cell r="C4108" t="str">
            <v>DE000A2E4K43</v>
          </cell>
          <cell r="G4108">
            <v>3583244623.9499998</v>
          </cell>
        </row>
        <row r="4109">
          <cell r="C4109" t="str">
            <v>DE000A2E4K43</v>
          </cell>
          <cell r="G4109">
            <v>3583244623.9499998</v>
          </cell>
        </row>
        <row r="4110">
          <cell r="C4110" t="str">
            <v>DE000A2E4K43</v>
          </cell>
          <cell r="G4110">
            <v>3583244623.9499998</v>
          </cell>
        </row>
        <row r="4111">
          <cell r="C4111" t="str">
            <v>DE000A2E4K43</v>
          </cell>
          <cell r="G4111">
            <v>3583244623.9499998</v>
          </cell>
        </row>
        <row r="4112">
          <cell r="C4112" t="str">
            <v>DE000A2E4K43</v>
          </cell>
          <cell r="G4112">
            <v>3583244623.9499998</v>
          </cell>
        </row>
        <row r="4113">
          <cell r="C4113" t="str">
            <v>DE000A2E4K43</v>
          </cell>
          <cell r="G4113">
            <v>3583244623.9499998</v>
          </cell>
        </row>
        <row r="4114">
          <cell r="C4114" t="str">
            <v>DE000A2E4K43</v>
          </cell>
          <cell r="G4114">
            <v>3583244623.9499998</v>
          </cell>
        </row>
        <row r="4115">
          <cell r="C4115" t="str">
            <v>DE000A2E4K43</v>
          </cell>
          <cell r="G4115">
            <v>3583244623.9499998</v>
          </cell>
        </row>
        <row r="4116">
          <cell r="C4116" t="str">
            <v>ES0118594417</v>
          </cell>
          <cell r="G4116">
            <v>3582021268.8000002</v>
          </cell>
        </row>
        <row r="4117">
          <cell r="C4117" t="str">
            <v>ES0118594417</v>
          </cell>
          <cell r="G4117">
            <v>3582021268.8000002</v>
          </cell>
        </row>
        <row r="4118">
          <cell r="C4118" t="str">
            <v>ES0118594417</v>
          </cell>
          <cell r="G4118">
            <v>3582021268.8000002</v>
          </cell>
        </row>
        <row r="4119">
          <cell r="C4119" t="str">
            <v>ES0118594417</v>
          </cell>
          <cell r="G4119">
            <v>3582021268.8000002</v>
          </cell>
        </row>
        <row r="4120">
          <cell r="C4120" t="str">
            <v>ES0118594417</v>
          </cell>
          <cell r="G4120">
            <v>3582021268.8000002</v>
          </cell>
        </row>
        <row r="4121">
          <cell r="C4121" t="str">
            <v>ES0118594417</v>
          </cell>
          <cell r="G4121">
            <v>3582021268.8000002</v>
          </cell>
        </row>
        <row r="4122">
          <cell r="C4122" t="str">
            <v>ES0118594417</v>
          </cell>
          <cell r="G4122">
            <v>3582021268.8000002</v>
          </cell>
        </row>
        <row r="4123">
          <cell r="C4123" t="str">
            <v>ES0118594417</v>
          </cell>
          <cell r="G4123">
            <v>3582021268.8000002</v>
          </cell>
        </row>
        <row r="4124">
          <cell r="C4124" t="str">
            <v>ES0118594417</v>
          </cell>
          <cell r="G4124">
            <v>3582021268.8000002</v>
          </cell>
        </row>
        <row r="4125">
          <cell r="C4125" t="str">
            <v>ES0118594417</v>
          </cell>
          <cell r="G4125">
            <v>3582021268.8000002</v>
          </cell>
        </row>
        <row r="4126">
          <cell r="C4126" t="str">
            <v>ES0118594417</v>
          </cell>
          <cell r="G4126">
            <v>3582021268.8000002</v>
          </cell>
        </row>
        <row r="4127">
          <cell r="C4127" t="str">
            <v>ES0118594417</v>
          </cell>
          <cell r="G4127">
            <v>3582021268.8000002</v>
          </cell>
        </row>
        <row r="4128">
          <cell r="C4128" t="str">
            <v>ES0118594417</v>
          </cell>
          <cell r="G4128">
            <v>3582021268.8000002</v>
          </cell>
        </row>
        <row r="4129">
          <cell r="C4129" t="str">
            <v>ES0118594417</v>
          </cell>
          <cell r="G4129">
            <v>3582021268.8000002</v>
          </cell>
        </row>
        <row r="4130">
          <cell r="C4130" t="str">
            <v>ES0118594417</v>
          </cell>
          <cell r="G4130">
            <v>3582021268.8000002</v>
          </cell>
        </row>
        <row r="4131">
          <cell r="C4131" t="str">
            <v>ES0118594417</v>
          </cell>
          <cell r="G4131">
            <v>3582021268.8000002</v>
          </cell>
        </row>
        <row r="4132">
          <cell r="C4132" t="str">
            <v>ES0118594417</v>
          </cell>
          <cell r="G4132">
            <v>3582021268.8000002</v>
          </cell>
        </row>
        <row r="4133">
          <cell r="C4133" t="str">
            <v>FR0000051807</v>
          </cell>
          <cell r="G4133">
            <v>3580487027</v>
          </cell>
        </row>
        <row r="4134">
          <cell r="C4134" t="str">
            <v>FR0000051807</v>
          </cell>
          <cell r="G4134">
            <v>3580487027</v>
          </cell>
        </row>
        <row r="4135">
          <cell r="C4135" t="str">
            <v>FR0000051807</v>
          </cell>
          <cell r="G4135">
            <v>3580487027</v>
          </cell>
        </row>
        <row r="4136">
          <cell r="C4136" t="str">
            <v>FR0000051807</v>
          </cell>
          <cell r="G4136">
            <v>3580487027</v>
          </cell>
        </row>
        <row r="4137">
          <cell r="C4137" t="str">
            <v>FR0000051807</v>
          </cell>
          <cell r="G4137">
            <v>3580487027</v>
          </cell>
        </row>
        <row r="4138">
          <cell r="C4138" t="str">
            <v>FR0000051807</v>
          </cell>
          <cell r="G4138">
            <v>3580487027</v>
          </cell>
        </row>
        <row r="4139">
          <cell r="C4139" t="str">
            <v>FR0000051807</v>
          </cell>
          <cell r="G4139">
            <v>3580487027</v>
          </cell>
        </row>
        <row r="4140">
          <cell r="C4140" t="str">
            <v>FR0000051807</v>
          </cell>
          <cell r="G4140">
            <v>3580487027</v>
          </cell>
        </row>
        <row r="4141">
          <cell r="C4141" t="str">
            <v>FR0000051807</v>
          </cell>
          <cell r="G4141">
            <v>3580487027</v>
          </cell>
        </row>
        <row r="4142">
          <cell r="C4142" t="str">
            <v>FR0000051807</v>
          </cell>
          <cell r="G4142">
            <v>3580487027</v>
          </cell>
        </row>
        <row r="4143">
          <cell r="C4143" t="str">
            <v>FR0000051807</v>
          </cell>
          <cell r="G4143">
            <v>3580487027</v>
          </cell>
        </row>
        <row r="4144">
          <cell r="C4144" t="str">
            <v>FR0000051807</v>
          </cell>
          <cell r="G4144">
            <v>3580487027</v>
          </cell>
        </row>
        <row r="4145">
          <cell r="C4145" t="str">
            <v>FR0000051807</v>
          </cell>
          <cell r="G4145">
            <v>3580487027</v>
          </cell>
        </row>
        <row r="4146">
          <cell r="C4146" t="str">
            <v>FR0000051807</v>
          </cell>
          <cell r="G4146">
            <v>3580487027</v>
          </cell>
        </row>
        <row r="4147">
          <cell r="C4147" t="str">
            <v>FR0010340141</v>
          </cell>
          <cell r="G4147">
            <v>3577425762.3000002</v>
          </cell>
        </row>
        <row r="4148">
          <cell r="C4148" t="str">
            <v>FR0010340141</v>
          </cell>
          <cell r="G4148">
            <v>3577425762.3000002</v>
          </cell>
        </row>
        <row r="4149">
          <cell r="C4149" t="str">
            <v>FR0010340141</v>
          </cell>
          <cell r="G4149">
            <v>3577425762.3000002</v>
          </cell>
        </row>
        <row r="4150">
          <cell r="C4150" t="str">
            <v>FR0010340141</v>
          </cell>
          <cell r="G4150">
            <v>3577425762.3000002</v>
          </cell>
        </row>
        <row r="4151">
          <cell r="C4151" t="str">
            <v>FR0010340141</v>
          </cell>
          <cell r="G4151">
            <v>3577425762.3000002</v>
          </cell>
        </row>
        <row r="4152">
          <cell r="C4152" t="str">
            <v>FR0010340141</v>
          </cell>
          <cell r="G4152">
            <v>3577425762.3000002</v>
          </cell>
        </row>
        <row r="4153">
          <cell r="C4153" t="str">
            <v>FR0010340141</v>
          </cell>
          <cell r="G4153">
            <v>3577425762.3000002</v>
          </cell>
        </row>
        <row r="4154">
          <cell r="C4154" t="str">
            <v>FR0010340141</v>
          </cell>
          <cell r="G4154">
            <v>3577425762.3000002</v>
          </cell>
        </row>
        <row r="4155">
          <cell r="C4155" t="str">
            <v>FR0010340141</v>
          </cell>
          <cell r="G4155">
            <v>3577425762.3000002</v>
          </cell>
        </row>
        <row r="4156">
          <cell r="C4156" t="str">
            <v>FR0010340141</v>
          </cell>
          <cell r="G4156">
            <v>3577425762.3000002</v>
          </cell>
        </row>
        <row r="4157">
          <cell r="C4157" t="str">
            <v>FR0010340141</v>
          </cell>
          <cell r="G4157">
            <v>3577425762.3000002</v>
          </cell>
        </row>
        <row r="4158">
          <cell r="C4158" t="str">
            <v>FR0010340141</v>
          </cell>
          <cell r="G4158">
            <v>3577425762.3000002</v>
          </cell>
        </row>
        <row r="4159">
          <cell r="C4159" t="str">
            <v>FR0010340141</v>
          </cell>
          <cell r="G4159">
            <v>3577425762.3000002</v>
          </cell>
        </row>
        <row r="4160">
          <cell r="C4160" t="str">
            <v>FR0010340141</v>
          </cell>
          <cell r="G4160">
            <v>3577425762.3000002</v>
          </cell>
        </row>
        <row r="4161">
          <cell r="C4161" t="str">
            <v>ES0127797019</v>
          </cell>
          <cell r="G4161">
            <v>3559849163.8920002</v>
          </cell>
        </row>
        <row r="4162">
          <cell r="C4162" t="str">
            <v>ES0127797019</v>
          </cell>
          <cell r="G4162">
            <v>3559849163.8920002</v>
          </cell>
        </row>
        <row r="4163">
          <cell r="C4163" t="str">
            <v>ES0127797019</v>
          </cell>
          <cell r="G4163">
            <v>3559849163.8920002</v>
          </cell>
        </row>
        <row r="4164">
          <cell r="C4164" t="str">
            <v>ES0127797019</v>
          </cell>
          <cell r="G4164">
            <v>3559849163.8920002</v>
          </cell>
        </row>
        <row r="4165">
          <cell r="C4165" t="str">
            <v>ES0127797019</v>
          </cell>
          <cell r="G4165">
            <v>3559849163.8920002</v>
          </cell>
        </row>
        <row r="4166">
          <cell r="C4166" t="str">
            <v>ES0127797019</v>
          </cell>
          <cell r="G4166">
            <v>3559849163.8920002</v>
          </cell>
        </row>
        <row r="4167">
          <cell r="C4167" t="str">
            <v>ES0127797019</v>
          </cell>
          <cell r="G4167">
            <v>3559849163.8920002</v>
          </cell>
        </row>
        <row r="4168">
          <cell r="C4168" t="str">
            <v>ES0127797019</v>
          </cell>
          <cell r="G4168">
            <v>3559849163.8920002</v>
          </cell>
        </row>
        <row r="4169">
          <cell r="C4169" t="str">
            <v>ES0127797019</v>
          </cell>
          <cell r="G4169">
            <v>3559849163.8920002</v>
          </cell>
        </row>
        <row r="4170">
          <cell r="C4170" t="str">
            <v>ES0127797019</v>
          </cell>
          <cell r="G4170">
            <v>3559849163.8920002</v>
          </cell>
        </row>
        <row r="4171">
          <cell r="C4171" t="str">
            <v>ES0127797019</v>
          </cell>
          <cell r="G4171">
            <v>3559849163.8920002</v>
          </cell>
        </row>
        <row r="4172">
          <cell r="C4172" t="str">
            <v>ES0127797019</v>
          </cell>
          <cell r="G4172">
            <v>3559849163.8920002</v>
          </cell>
        </row>
        <row r="4173">
          <cell r="C4173" t="str">
            <v>ES0127797019</v>
          </cell>
          <cell r="G4173">
            <v>3559849163.8920002</v>
          </cell>
        </row>
        <row r="4174">
          <cell r="C4174" t="str">
            <v>ES0127797019</v>
          </cell>
          <cell r="G4174">
            <v>3559849163.8920002</v>
          </cell>
        </row>
        <row r="4175">
          <cell r="C4175" t="str">
            <v>BE0003717312</v>
          </cell>
          <cell r="G4175">
            <v>3514049945.2800012</v>
          </cell>
        </row>
        <row r="4176">
          <cell r="C4176" t="str">
            <v>BE0003717312</v>
          </cell>
          <cell r="G4176">
            <v>3514049945.2800012</v>
          </cell>
        </row>
        <row r="4177">
          <cell r="C4177" t="str">
            <v>BE0003717312</v>
          </cell>
          <cell r="G4177">
            <v>3514049945.2800012</v>
          </cell>
        </row>
        <row r="4178">
          <cell r="C4178" t="str">
            <v>BE0003717312</v>
          </cell>
          <cell r="G4178">
            <v>3514049945.2800012</v>
          </cell>
        </row>
        <row r="4179">
          <cell r="C4179" t="str">
            <v>BE0003717312</v>
          </cell>
          <cell r="G4179">
            <v>3514049945.2800012</v>
          </cell>
        </row>
        <row r="4180">
          <cell r="C4180" t="str">
            <v>BE0003717312</v>
          </cell>
          <cell r="G4180">
            <v>3514049945.2800012</v>
          </cell>
        </row>
        <row r="4181">
          <cell r="C4181" t="str">
            <v>BE0003717312</v>
          </cell>
          <cell r="G4181">
            <v>3514049945.2800012</v>
          </cell>
        </row>
        <row r="4182">
          <cell r="C4182" t="str">
            <v>BE0003717312</v>
          </cell>
          <cell r="G4182">
            <v>3514049945.2800012</v>
          </cell>
        </row>
        <row r="4183">
          <cell r="C4183" t="str">
            <v>BE0003717312</v>
          </cell>
          <cell r="G4183">
            <v>3514049945.2800012</v>
          </cell>
        </row>
        <row r="4184">
          <cell r="C4184" t="str">
            <v>BE0003717312</v>
          </cell>
          <cell r="G4184">
            <v>3514049945.2800012</v>
          </cell>
        </row>
        <row r="4185">
          <cell r="C4185" t="str">
            <v>BE0003717312</v>
          </cell>
          <cell r="G4185">
            <v>3514049945.2800012</v>
          </cell>
        </row>
        <row r="4186">
          <cell r="C4186" t="str">
            <v>BE0003717312</v>
          </cell>
          <cell r="G4186">
            <v>3514049945.2800012</v>
          </cell>
        </row>
        <row r="4187">
          <cell r="C4187" t="str">
            <v>BE0003717312</v>
          </cell>
          <cell r="G4187">
            <v>3514049945.2800012</v>
          </cell>
        </row>
        <row r="4188">
          <cell r="C4188" t="str">
            <v>BE0003717312</v>
          </cell>
          <cell r="G4188">
            <v>3514049945.2800012</v>
          </cell>
        </row>
        <row r="4189">
          <cell r="C4189" t="str">
            <v>DE000EVNK013</v>
          </cell>
          <cell r="G4189">
            <v>3439546000</v>
          </cell>
        </row>
        <row r="4190">
          <cell r="C4190" t="str">
            <v>DE000EVNK013</v>
          </cell>
          <cell r="G4190">
            <v>3439546000</v>
          </cell>
        </row>
        <row r="4191">
          <cell r="C4191" t="str">
            <v>DE000EVNK013</v>
          </cell>
          <cell r="G4191">
            <v>3439546000</v>
          </cell>
        </row>
        <row r="4192">
          <cell r="C4192" t="str">
            <v>DE000EVNK013</v>
          </cell>
          <cell r="G4192">
            <v>3439546000</v>
          </cell>
        </row>
        <row r="4193">
          <cell r="C4193" t="str">
            <v>DE000EVNK013</v>
          </cell>
          <cell r="G4193">
            <v>3439546000</v>
          </cell>
        </row>
        <row r="4194">
          <cell r="C4194" t="str">
            <v>DE000EVNK013</v>
          </cell>
          <cell r="G4194">
            <v>3439546000</v>
          </cell>
        </row>
        <row r="4195">
          <cell r="C4195" t="str">
            <v>DE000EVNK013</v>
          </cell>
          <cell r="G4195">
            <v>3439546000</v>
          </cell>
        </row>
        <row r="4196">
          <cell r="C4196" t="str">
            <v>DE000EVNK013</v>
          </cell>
          <cell r="G4196">
            <v>3439546000</v>
          </cell>
        </row>
        <row r="4197">
          <cell r="C4197" t="str">
            <v>DE000EVNK013</v>
          </cell>
          <cell r="G4197">
            <v>3439546000</v>
          </cell>
        </row>
        <row r="4198">
          <cell r="C4198" t="str">
            <v>DE000EVNK013</v>
          </cell>
          <cell r="G4198">
            <v>3439546000</v>
          </cell>
        </row>
        <row r="4199">
          <cell r="C4199" t="str">
            <v>DE000EVNK013</v>
          </cell>
          <cell r="G4199">
            <v>3439546000</v>
          </cell>
        </row>
        <row r="4200">
          <cell r="C4200" t="str">
            <v>DE000EVNK013</v>
          </cell>
          <cell r="G4200">
            <v>3439546000</v>
          </cell>
        </row>
        <row r="4201">
          <cell r="C4201" t="str">
            <v>DE000EVNK013</v>
          </cell>
          <cell r="G4201">
            <v>3439546000</v>
          </cell>
        </row>
        <row r="4202">
          <cell r="C4202" t="str">
            <v>DE000EVNK013</v>
          </cell>
          <cell r="G4202">
            <v>3439546000</v>
          </cell>
        </row>
        <row r="4203">
          <cell r="C4203" t="str">
            <v>DE000TUAG505</v>
          </cell>
          <cell r="G4203">
            <v>3435206607.2034001</v>
          </cell>
        </row>
        <row r="4204">
          <cell r="C4204" t="str">
            <v>DE000TUAG505</v>
          </cell>
          <cell r="G4204">
            <v>3435206607.2034001</v>
          </cell>
        </row>
        <row r="4205">
          <cell r="C4205" t="str">
            <v>DE000TUAG505</v>
          </cell>
          <cell r="G4205">
            <v>3435206607.2034001</v>
          </cell>
        </row>
        <row r="4206">
          <cell r="C4206" t="str">
            <v>DE000TUAG505</v>
          </cell>
          <cell r="G4206">
            <v>3435206607.2034001</v>
          </cell>
        </row>
        <row r="4207">
          <cell r="C4207" t="str">
            <v>DE000TUAG505</v>
          </cell>
          <cell r="G4207">
            <v>3435206607.2034001</v>
          </cell>
        </row>
        <row r="4208">
          <cell r="C4208" t="str">
            <v>DE000TUAG505</v>
          </cell>
          <cell r="G4208">
            <v>3435206607.2034001</v>
          </cell>
        </row>
        <row r="4209">
          <cell r="C4209" t="str">
            <v>DE000TUAG505</v>
          </cell>
          <cell r="G4209">
            <v>3435206607.2034001</v>
          </cell>
        </row>
        <row r="4210">
          <cell r="C4210" t="str">
            <v>DE000TUAG505</v>
          </cell>
          <cell r="G4210">
            <v>3435206607.2034001</v>
          </cell>
        </row>
        <row r="4211">
          <cell r="C4211" t="str">
            <v>DE000TUAG505</v>
          </cell>
          <cell r="G4211">
            <v>3435206607.2034001</v>
          </cell>
        </row>
        <row r="4212">
          <cell r="C4212" t="str">
            <v>DE000TUAG505</v>
          </cell>
          <cell r="G4212">
            <v>3435206607.2034001</v>
          </cell>
        </row>
        <row r="4213">
          <cell r="C4213" t="str">
            <v>DE000TUAG505</v>
          </cell>
          <cell r="G4213">
            <v>3435206607.2034001</v>
          </cell>
        </row>
        <row r="4214">
          <cell r="C4214" t="str">
            <v>DE000TUAG505</v>
          </cell>
          <cell r="G4214">
            <v>3435206607.2034001</v>
          </cell>
        </row>
        <row r="4215">
          <cell r="C4215" t="str">
            <v>DE000TUAG505</v>
          </cell>
          <cell r="G4215">
            <v>3435206607.2034001</v>
          </cell>
        </row>
        <row r="4216">
          <cell r="C4216" t="str">
            <v>DE000TUAG505</v>
          </cell>
          <cell r="G4216">
            <v>3435206607.2034001</v>
          </cell>
        </row>
        <row r="4217">
          <cell r="C4217" t="str">
            <v>IT0001078911</v>
          </cell>
          <cell r="G4217">
            <v>3408466298.6700001</v>
          </cell>
        </row>
        <row r="4218">
          <cell r="C4218" t="str">
            <v>IT0001078911</v>
          </cell>
          <cell r="G4218">
            <v>3408466298.6700001</v>
          </cell>
        </row>
        <row r="4219">
          <cell r="C4219" t="str">
            <v>IT0001078911</v>
          </cell>
          <cell r="G4219">
            <v>3408466298.6700001</v>
          </cell>
        </row>
        <row r="4220">
          <cell r="C4220" t="str">
            <v>IT0001078911</v>
          </cell>
          <cell r="G4220">
            <v>3408466298.6700001</v>
          </cell>
        </row>
        <row r="4221">
          <cell r="C4221" t="str">
            <v>IT0001078911</v>
          </cell>
          <cell r="G4221">
            <v>3408466298.6700001</v>
          </cell>
        </row>
        <row r="4222">
          <cell r="C4222" t="str">
            <v>IT0001078911</v>
          </cell>
          <cell r="G4222">
            <v>3408466298.6700001</v>
          </cell>
        </row>
        <row r="4223">
          <cell r="C4223" t="str">
            <v>IT0001078911</v>
          </cell>
          <cell r="G4223">
            <v>3408466298.6700001</v>
          </cell>
        </row>
        <row r="4224">
          <cell r="C4224" t="str">
            <v>IT0001078911</v>
          </cell>
          <cell r="G4224">
            <v>3408466298.6700001</v>
          </cell>
        </row>
        <row r="4225">
          <cell r="C4225" t="str">
            <v>IT0001078911</v>
          </cell>
          <cell r="G4225">
            <v>3408466298.6700001</v>
          </cell>
        </row>
        <row r="4226">
          <cell r="C4226" t="str">
            <v>IT0001078911</v>
          </cell>
          <cell r="G4226">
            <v>3408466298.6700001</v>
          </cell>
        </row>
        <row r="4227">
          <cell r="C4227" t="str">
            <v>IT0001078911</v>
          </cell>
          <cell r="G4227">
            <v>3408466298.6700001</v>
          </cell>
        </row>
        <row r="4228">
          <cell r="C4228" t="str">
            <v>IT0001078911</v>
          </cell>
          <cell r="G4228">
            <v>3408466298.6700001</v>
          </cell>
        </row>
        <row r="4229">
          <cell r="C4229" t="str">
            <v>IT0001078911</v>
          </cell>
          <cell r="G4229">
            <v>3408466298.6700001</v>
          </cell>
        </row>
        <row r="4230">
          <cell r="C4230" t="str">
            <v>IT0001078911</v>
          </cell>
          <cell r="G4230">
            <v>3408466298.6700001</v>
          </cell>
        </row>
        <row r="4231">
          <cell r="C4231" t="str">
            <v>NL0015435975</v>
          </cell>
          <cell r="G4231">
            <v>3403224027.8319998</v>
          </cell>
        </row>
        <row r="4232">
          <cell r="C4232" t="str">
            <v>NL0015435975</v>
          </cell>
          <cell r="G4232">
            <v>3403224027.8319998</v>
          </cell>
        </row>
        <row r="4233">
          <cell r="C4233" t="str">
            <v>NL0015435975</v>
          </cell>
          <cell r="G4233">
            <v>3403224027.8319998</v>
          </cell>
        </row>
        <row r="4234">
          <cell r="C4234" t="str">
            <v>NL0015435975</v>
          </cell>
          <cell r="G4234">
            <v>3403224027.8319998</v>
          </cell>
        </row>
        <row r="4235">
          <cell r="C4235" t="str">
            <v>NL0015435975</v>
          </cell>
          <cell r="G4235">
            <v>3403224027.8319998</v>
          </cell>
        </row>
        <row r="4236">
          <cell r="C4236" t="str">
            <v>NL0015435975</v>
          </cell>
          <cell r="G4236">
            <v>3403224027.8319998</v>
          </cell>
        </row>
        <row r="4237">
          <cell r="C4237" t="str">
            <v>NL0015435975</v>
          </cell>
          <cell r="G4237">
            <v>3403224027.8319998</v>
          </cell>
        </row>
        <row r="4238">
          <cell r="C4238" t="str">
            <v>NL0015435975</v>
          </cell>
          <cell r="G4238">
            <v>3403224027.8319998</v>
          </cell>
        </row>
        <row r="4239">
          <cell r="C4239" t="str">
            <v>NL0015435975</v>
          </cell>
          <cell r="G4239">
            <v>3403224027.8319998</v>
          </cell>
        </row>
        <row r="4240">
          <cell r="C4240" t="str">
            <v>NL0015435975</v>
          </cell>
          <cell r="G4240">
            <v>3403224027.8319998</v>
          </cell>
        </row>
        <row r="4241">
          <cell r="C4241" t="str">
            <v>NL0015435975</v>
          </cell>
          <cell r="G4241">
            <v>3403224027.8319998</v>
          </cell>
        </row>
        <row r="4242">
          <cell r="C4242" t="str">
            <v>NL0015435975</v>
          </cell>
          <cell r="G4242">
            <v>3403224027.8319998</v>
          </cell>
        </row>
        <row r="4243">
          <cell r="C4243" t="str">
            <v>NL0015435975</v>
          </cell>
          <cell r="G4243">
            <v>3403224027.8319998</v>
          </cell>
        </row>
        <row r="4244">
          <cell r="C4244" t="str">
            <v>NL0015435975</v>
          </cell>
          <cell r="G4244">
            <v>3403224027.8319998</v>
          </cell>
        </row>
        <row r="4245">
          <cell r="C4245" t="str">
            <v>IT0001250932</v>
          </cell>
          <cell r="G4245">
            <v>3373656303.5505009</v>
          </cell>
        </row>
        <row r="4246">
          <cell r="C4246" t="str">
            <v>IT0001250932</v>
          </cell>
          <cell r="G4246">
            <v>3373656303.5505009</v>
          </cell>
        </row>
        <row r="4247">
          <cell r="C4247" t="str">
            <v>IT0001250932</v>
          </cell>
          <cell r="G4247">
            <v>3373656303.5505009</v>
          </cell>
        </row>
        <row r="4248">
          <cell r="C4248" t="str">
            <v>IT0001250932</v>
          </cell>
          <cell r="G4248">
            <v>3373656303.5505009</v>
          </cell>
        </row>
        <row r="4249">
          <cell r="C4249" t="str">
            <v>IT0001250932</v>
          </cell>
          <cell r="G4249">
            <v>3373656303.5505009</v>
          </cell>
        </row>
        <row r="4250">
          <cell r="C4250" t="str">
            <v>IT0001250932</v>
          </cell>
          <cell r="G4250">
            <v>3373656303.5505009</v>
          </cell>
        </row>
        <row r="4251">
          <cell r="C4251" t="str">
            <v>IT0001250932</v>
          </cell>
          <cell r="G4251">
            <v>3373656303.5505009</v>
          </cell>
        </row>
        <row r="4252">
          <cell r="C4252" t="str">
            <v>IT0001250932</v>
          </cell>
          <cell r="G4252">
            <v>3373656303.5505009</v>
          </cell>
        </row>
        <row r="4253">
          <cell r="C4253" t="str">
            <v>IT0001250932</v>
          </cell>
          <cell r="G4253">
            <v>3373656303.5505009</v>
          </cell>
        </row>
        <row r="4254">
          <cell r="C4254" t="str">
            <v>IT0001250932</v>
          </cell>
          <cell r="G4254">
            <v>3373656303.5505009</v>
          </cell>
        </row>
        <row r="4255">
          <cell r="C4255" t="str">
            <v>IT0001250932</v>
          </cell>
          <cell r="G4255">
            <v>3373656303.5505009</v>
          </cell>
        </row>
        <row r="4256">
          <cell r="C4256" t="str">
            <v>IT0001250932</v>
          </cell>
          <cell r="G4256">
            <v>3373656303.5505009</v>
          </cell>
        </row>
        <row r="4257">
          <cell r="C4257" t="str">
            <v>IT0001250932</v>
          </cell>
          <cell r="G4257">
            <v>3373656303.5505009</v>
          </cell>
        </row>
        <row r="4258">
          <cell r="C4258" t="str">
            <v>IT0001250932</v>
          </cell>
          <cell r="G4258">
            <v>3373656303.5505009</v>
          </cell>
        </row>
        <row r="4259">
          <cell r="C4259" t="str">
            <v>DE000A2LQ884</v>
          </cell>
          <cell r="G4259">
            <v>3351339763.1999998</v>
          </cell>
        </row>
        <row r="4260">
          <cell r="C4260" t="str">
            <v>DE000A2LQ884</v>
          </cell>
          <cell r="G4260">
            <v>3351339763.1999998</v>
          </cell>
        </row>
        <row r="4261">
          <cell r="C4261" t="str">
            <v>DE000A2LQ884</v>
          </cell>
          <cell r="G4261">
            <v>3351339763.1999998</v>
          </cell>
        </row>
        <row r="4262">
          <cell r="C4262" t="str">
            <v>DE000A2LQ884</v>
          </cell>
          <cell r="G4262">
            <v>3351339763.1999998</v>
          </cell>
        </row>
        <row r="4263">
          <cell r="C4263" t="str">
            <v>DE000A2LQ884</v>
          </cell>
          <cell r="G4263">
            <v>3351339763.1999998</v>
          </cell>
        </row>
        <row r="4264">
          <cell r="C4264" t="str">
            <v>DE000A2LQ884</v>
          </cell>
          <cell r="G4264">
            <v>3351339763.1999998</v>
          </cell>
        </row>
        <row r="4265">
          <cell r="C4265" t="str">
            <v>DE000A2LQ884</v>
          </cell>
          <cell r="G4265">
            <v>3351339763.1999998</v>
          </cell>
        </row>
        <row r="4266">
          <cell r="C4266" t="str">
            <v>DE000A2LQ884</v>
          </cell>
          <cell r="G4266">
            <v>3351339763.1999998</v>
          </cell>
        </row>
        <row r="4267">
          <cell r="C4267" t="str">
            <v>DE000A2LQ884</v>
          </cell>
          <cell r="G4267">
            <v>3351339763.1999998</v>
          </cell>
        </row>
        <row r="4268">
          <cell r="C4268" t="str">
            <v>DE000A2LQ884</v>
          </cell>
          <cell r="G4268">
            <v>3351339763.1999998</v>
          </cell>
        </row>
        <row r="4269">
          <cell r="C4269" t="str">
            <v>DE000A2LQ884</v>
          </cell>
          <cell r="G4269">
            <v>3351339763.1999998</v>
          </cell>
        </row>
        <row r="4270">
          <cell r="C4270" t="str">
            <v>DE000A2LQ884</v>
          </cell>
          <cell r="G4270">
            <v>3351339763.1999998</v>
          </cell>
        </row>
        <row r="4271">
          <cell r="C4271" t="str">
            <v>DE000A2LQ884</v>
          </cell>
          <cell r="G4271">
            <v>3351339763.1999998</v>
          </cell>
        </row>
        <row r="4272">
          <cell r="C4272" t="str">
            <v>DE000A2LQ884</v>
          </cell>
          <cell r="G4272">
            <v>3351339763.1999998</v>
          </cell>
        </row>
        <row r="4273">
          <cell r="C4273" t="str">
            <v>ES0130960018</v>
          </cell>
          <cell r="G4273">
            <v>3315222472.3200002</v>
          </cell>
        </row>
        <row r="4274">
          <cell r="C4274" t="str">
            <v>ES0130960018</v>
          </cell>
          <cell r="G4274">
            <v>3315222472.3200002</v>
          </cell>
        </row>
        <row r="4275">
          <cell r="C4275" t="str">
            <v>ES0130960018</v>
          </cell>
          <cell r="G4275">
            <v>3315222472.3200002</v>
          </cell>
        </row>
        <row r="4276">
          <cell r="C4276" t="str">
            <v>ES0130960018</v>
          </cell>
          <cell r="G4276">
            <v>3315222472.3200002</v>
          </cell>
        </row>
        <row r="4277">
          <cell r="C4277" t="str">
            <v>ES0130960018</v>
          </cell>
          <cell r="G4277">
            <v>3315222472.3200002</v>
          </cell>
        </row>
        <row r="4278">
          <cell r="C4278" t="str">
            <v>ES0130960018</v>
          </cell>
          <cell r="G4278">
            <v>3315222472.3200002</v>
          </cell>
        </row>
        <row r="4279">
          <cell r="C4279" t="str">
            <v>ES0130960018</v>
          </cell>
          <cell r="G4279">
            <v>3315222472.3200002</v>
          </cell>
        </row>
        <row r="4280">
          <cell r="C4280" t="str">
            <v>ES0130960018</v>
          </cell>
          <cell r="G4280">
            <v>3315222472.3200002</v>
          </cell>
        </row>
        <row r="4281">
          <cell r="C4281" t="str">
            <v>ES0130960018</v>
          </cell>
          <cell r="G4281">
            <v>3315222472.3200002</v>
          </cell>
        </row>
        <row r="4282">
          <cell r="C4282" t="str">
            <v>ES0130960018</v>
          </cell>
          <cell r="G4282">
            <v>3315222472.3200002</v>
          </cell>
        </row>
        <row r="4283">
          <cell r="C4283" t="str">
            <v>ES0130960018</v>
          </cell>
          <cell r="G4283">
            <v>3315222472.3200002</v>
          </cell>
        </row>
        <row r="4284">
          <cell r="C4284" t="str">
            <v>ES0130960018</v>
          </cell>
          <cell r="G4284">
            <v>3315222472.3200002</v>
          </cell>
        </row>
        <row r="4285">
          <cell r="C4285" t="str">
            <v>ES0130960018</v>
          </cell>
          <cell r="G4285">
            <v>3315222472.3200002</v>
          </cell>
        </row>
        <row r="4286">
          <cell r="C4286" t="str">
            <v>ES0130960018</v>
          </cell>
          <cell r="G4286">
            <v>3315222472.3200002</v>
          </cell>
        </row>
        <row r="4287">
          <cell r="C4287" t="str">
            <v>DE000A0D6554</v>
          </cell>
          <cell r="G4287">
            <v>3313615345.04</v>
          </cell>
        </row>
        <row r="4288">
          <cell r="C4288" t="str">
            <v>DE000A0D6554</v>
          </cell>
          <cell r="G4288">
            <v>3313615345.04</v>
          </cell>
        </row>
        <row r="4289">
          <cell r="C4289" t="str">
            <v>DE000A0D6554</v>
          </cell>
          <cell r="G4289">
            <v>3313615345.04</v>
          </cell>
        </row>
        <row r="4290">
          <cell r="C4290" t="str">
            <v>DE000A0D6554</v>
          </cell>
          <cell r="G4290">
            <v>3313615345.04</v>
          </cell>
        </row>
        <row r="4291">
          <cell r="C4291" t="str">
            <v>DE000A0D6554</v>
          </cell>
          <cell r="G4291">
            <v>3313615345.04</v>
          </cell>
        </row>
        <row r="4292">
          <cell r="C4292" t="str">
            <v>DE000A0D6554</v>
          </cell>
          <cell r="G4292">
            <v>3313615345.04</v>
          </cell>
        </row>
        <row r="4293">
          <cell r="C4293" t="str">
            <v>DE000A0D6554</v>
          </cell>
          <cell r="G4293">
            <v>3313615345.04</v>
          </cell>
        </row>
        <row r="4294">
          <cell r="C4294" t="str">
            <v>DE000A0D6554</v>
          </cell>
          <cell r="G4294">
            <v>3313615345.04</v>
          </cell>
        </row>
        <row r="4295">
          <cell r="C4295" t="str">
            <v>DE000A0D6554</v>
          </cell>
          <cell r="G4295">
            <v>3313615345.04</v>
          </cell>
        </row>
        <row r="4296">
          <cell r="C4296" t="str">
            <v>DE000A0D6554</v>
          </cell>
          <cell r="G4296">
            <v>3313615345.04</v>
          </cell>
        </row>
        <row r="4297">
          <cell r="C4297" t="str">
            <v>DE000A0D6554</v>
          </cell>
          <cell r="G4297">
            <v>3313615345.04</v>
          </cell>
        </row>
        <row r="4298">
          <cell r="C4298" t="str">
            <v>DE000A0D6554</v>
          </cell>
          <cell r="G4298">
            <v>3313615345.04</v>
          </cell>
        </row>
        <row r="4299">
          <cell r="C4299" t="str">
            <v>DE000A0D6554</v>
          </cell>
          <cell r="G4299">
            <v>3313615345.04</v>
          </cell>
        </row>
        <row r="4300">
          <cell r="C4300" t="str">
            <v>DE000A0D6554</v>
          </cell>
          <cell r="G4300">
            <v>3313615345.04</v>
          </cell>
        </row>
        <row r="4301">
          <cell r="C4301" t="str">
            <v>DE000A0Z2ZZ5</v>
          </cell>
          <cell r="G4301">
            <v>3260254452</v>
          </cell>
        </row>
        <row r="4302">
          <cell r="C4302" t="str">
            <v>DE000A0Z2ZZ5</v>
          </cell>
          <cell r="G4302">
            <v>3260254452</v>
          </cell>
        </row>
        <row r="4303">
          <cell r="C4303" t="str">
            <v>DE000A0Z2ZZ5</v>
          </cell>
          <cell r="G4303">
            <v>3260254452</v>
          </cell>
        </row>
        <row r="4304">
          <cell r="C4304" t="str">
            <v>DE000A0Z2ZZ5</v>
          </cell>
          <cell r="G4304">
            <v>3260254452</v>
          </cell>
        </row>
        <row r="4305">
          <cell r="C4305" t="str">
            <v>DE000A0Z2ZZ5</v>
          </cell>
          <cell r="G4305">
            <v>3260254452</v>
          </cell>
        </row>
        <row r="4306">
          <cell r="C4306" t="str">
            <v>DE000A0Z2ZZ5</v>
          </cell>
          <cell r="G4306">
            <v>3260254452</v>
          </cell>
        </row>
        <row r="4307">
          <cell r="C4307" t="str">
            <v>DE000A0Z2ZZ5</v>
          </cell>
          <cell r="G4307">
            <v>3260254452</v>
          </cell>
        </row>
        <row r="4308">
          <cell r="C4308" t="str">
            <v>DE000A0Z2ZZ5</v>
          </cell>
          <cell r="G4308">
            <v>3260254452</v>
          </cell>
        </row>
        <row r="4309">
          <cell r="C4309" t="str">
            <v>DE000A0Z2ZZ5</v>
          </cell>
          <cell r="G4309">
            <v>3260254452</v>
          </cell>
        </row>
        <row r="4310">
          <cell r="C4310" t="str">
            <v>DE000A0Z2ZZ5</v>
          </cell>
          <cell r="G4310">
            <v>3260254452</v>
          </cell>
        </row>
        <row r="4311">
          <cell r="C4311" t="str">
            <v>DE000A0Z2ZZ5</v>
          </cell>
          <cell r="G4311">
            <v>3260254452</v>
          </cell>
        </row>
        <row r="4312">
          <cell r="C4312" t="str">
            <v>DE000A0Z2ZZ5</v>
          </cell>
          <cell r="G4312">
            <v>3260254452</v>
          </cell>
        </row>
        <row r="4313">
          <cell r="C4313" t="str">
            <v>DE000A0Z2ZZ5</v>
          </cell>
          <cell r="G4313">
            <v>3260254452</v>
          </cell>
        </row>
        <row r="4314">
          <cell r="C4314" t="str">
            <v>DE000A0Z2ZZ5</v>
          </cell>
          <cell r="G4314">
            <v>3260254452</v>
          </cell>
        </row>
        <row r="4315">
          <cell r="C4315" t="str">
            <v>NL0000379121</v>
          </cell>
          <cell r="G4315">
            <v>3249159168.0240011</v>
          </cell>
        </row>
        <row r="4316">
          <cell r="C4316" t="str">
            <v>NL0000379121</v>
          </cell>
          <cell r="G4316">
            <v>3249159168.0240011</v>
          </cell>
        </row>
        <row r="4317">
          <cell r="C4317" t="str">
            <v>NL0000379121</v>
          </cell>
          <cell r="G4317">
            <v>3249159168.0240011</v>
          </cell>
        </row>
        <row r="4318">
          <cell r="C4318" t="str">
            <v>NL0000379121</v>
          </cell>
          <cell r="G4318">
            <v>3249159168.0240011</v>
          </cell>
        </row>
        <row r="4319">
          <cell r="C4319" t="str">
            <v>NL0000379121</v>
          </cell>
          <cell r="G4319">
            <v>3249159168.0240011</v>
          </cell>
        </row>
        <row r="4320">
          <cell r="C4320" t="str">
            <v>NL0000379121</v>
          </cell>
          <cell r="G4320">
            <v>3249159168.0240011</v>
          </cell>
        </row>
        <row r="4321">
          <cell r="C4321" t="str">
            <v>NL0000379121</v>
          </cell>
          <cell r="G4321">
            <v>3249159168.0240011</v>
          </cell>
        </row>
        <row r="4322">
          <cell r="C4322" t="str">
            <v>NL0000379121</v>
          </cell>
          <cell r="G4322">
            <v>3249159168.0240011</v>
          </cell>
        </row>
        <row r="4323">
          <cell r="C4323" t="str">
            <v>NL0000379121</v>
          </cell>
          <cell r="G4323">
            <v>3249159168.0240011</v>
          </cell>
        </row>
        <row r="4324">
          <cell r="C4324" t="str">
            <v>NL0000379121</v>
          </cell>
          <cell r="G4324">
            <v>3249159168.0240011</v>
          </cell>
        </row>
        <row r="4325">
          <cell r="C4325" t="str">
            <v>NL0000379121</v>
          </cell>
          <cell r="G4325">
            <v>3249159168.0240011</v>
          </cell>
        </row>
        <row r="4326">
          <cell r="C4326" t="str">
            <v>NL0000379121</v>
          </cell>
          <cell r="G4326">
            <v>3249159168.0240011</v>
          </cell>
        </row>
        <row r="4327">
          <cell r="C4327" t="str">
            <v>NL0000379121</v>
          </cell>
          <cell r="G4327">
            <v>3249159168.0240011</v>
          </cell>
        </row>
        <row r="4328">
          <cell r="C4328" t="str">
            <v>NL0000379121</v>
          </cell>
          <cell r="G4328">
            <v>3249159168.0240011</v>
          </cell>
        </row>
        <row r="4329">
          <cell r="C4329" t="str">
            <v>NL0015000LU4</v>
          </cell>
          <cell r="G4329">
            <v>3225225732.9499998</v>
          </cell>
        </row>
        <row r="4330">
          <cell r="C4330" t="str">
            <v>NL0015000LU4</v>
          </cell>
          <cell r="G4330">
            <v>3225225732.9499998</v>
          </cell>
        </row>
        <row r="4331">
          <cell r="C4331" t="str">
            <v>NL0015000LU4</v>
          </cell>
          <cell r="G4331">
            <v>3225225732.9499998</v>
          </cell>
        </row>
        <row r="4332">
          <cell r="C4332" t="str">
            <v>NL0015000LU4</v>
          </cell>
          <cell r="G4332">
            <v>3225225732.9499998</v>
          </cell>
        </row>
        <row r="4333">
          <cell r="C4333" t="str">
            <v>NL0015000LU4</v>
          </cell>
          <cell r="G4333">
            <v>3225225732.9499998</v>
          </cell>
        </row>
        <row r="4334">
          <cell r="C4334" t="str">
            <v>NL0015000LU4</v>
          </cell>
          <cell r="G4334">
            <v>3225225732.9499998</v>
          </cell>
        </row>
        <row r="4335">
          <cell r="C4335" t="str">
            <v>NL0015000LU4</v>
          </cell>
          <cell r="G4335">
            <v>3225225732.9499998</v>
          </cell>
        </row>
        <row r="4336">
          <cell r="C4336" t="str">
            <v>NL0015000LU4</v>
          </cell>
          <cell r="G4336">
            <v>3225225732.9499998</v>
          </cell>
        </row>
        <row r="4337">
          <cell r="C4337" t="str">
            <v>NL0015000LU4</v>
          </cell>
          <cell r="G4337">
            <v>3225225732.9499998</v>
          </cell>
        </row>
        <row r="4338">
          <cell r="C4338" t="str">
            <v>NL0015000LU4</v>
          </cell>
          <cell r="G4338">
            <v>3225225732.9499998</v>
          </cell>
        </row>
        <row r="4339">
          <cell r="C4339" t="str">
            <v>NL0015000LU4</v>
          </cell>
          <cell r="G4339">
            <v>3225225732.9499998</v>
          </cell>
        </row>
        <row r="4340">
          <cell r="C4340" t="str">
            <v>NL0015000LU4</v>
          </cell>
          <cell r="G4340">
            <v>3225225732.9499998</v>
          </cell>
        </row>
        <row r="4341">
          <cell r="C4341" t="str">
            <v>NL0015000LU4</v>
          </cell>
          <cell r="G4341">
            <v>3225225732.9499998</v>
          </cell>
        </row>
        <row r="4342">
          <cell r="C4342" t="str">
            <v>NL0015000LU4</v>
          </cell>
          <cell r="G4342">
            <v>3225225732.9499998</v>
          </cell>
        </row>
        <row r="4343">
          <cell r="C4343" t="str">
            <v>NL0015000LU4</v>
          </cell>
          <cell r="G4343">
            <v>3225225732.9499998</v>
          </cell>
        </row>
        <row r="4344">
          <cell r="C4344" t="str">
            <v>NL0015000LU4</v>
          </cell>
          <cell r="G4344">
            <v>3225225732.9499998</v>
          </cell>
        </row>
        <row r="4345">
          <cell r="C4345" t="str">
            <v>NL0015000LU4</v>
          </cell>
          <cell r="G4345">
            <v>3225225732.9499998</v>
          </cell>
        </row>
        <row r="4346">
          <cell r="C4346" t="str">
            <v>DE0007010803</v>
          </cell>
          <cell r="G4346">
            <v>3172230000</v>
          </cell>
        </row>
        <row r="4347">
          <cell r="C4347" t="str">
            <v>DE0007010803</v>
          </cell>
          <cell r="G4347">
            <v>3172230000</v>
          </cell>
        </row>
        <row r="4348">
          <cell r="C4348" t="str">
            <v>DE0007010803</v>
          </cell>
          <cell r="G4348">
            <v>3172230000</v>
          </cell>
        </row>
        <row r="4349">
          <cell r="C4349" t="str">
            <v>DE0007010803</v>
          </cell>
          <cell r="G4349">
            <v>3172230000</v>
          </cell>
        </row>
        <row r="4350">
          <cell r="C4350" t="str">
            <v>DE0007010803</v>
          </cell>
          <cell r="G4350">
            <v>3172230000</v>
          </cell>
        </row>
        <row r="4351">
          <cell r="C4351" t="str">
            <v>DE0007010803</v>
          </cell>
          <cell r="G4351">
            <v>3172230000</v>
          </cell>
        </row>
        <row r="4352">
          <cell r="C4352" t="str">
            <v>DE0007010803</v>
          </cell>
          <cell r="G4352">
            <v>3172230000</v>
          </cell>
        </row>
        <row r="4353">
          <cell r="C4353" t="str">
            <v>DE0007010803</v>
          </cell>
          <cell r="G4353">
            <v>3172230000</v>
          </cell>
        </row>
        <row r="4354">
          <cell r="C4354" t="str">
            <v>DE0007010803</v>
          </cell>
          <cell r="G4354">
            <v>3172230000</v>
          </cell>
        </row>
        <row r="4355">
          <cell r="C4355" t="str">
            <v>DE0007010803</v>
          </cell>
          <cell r="G4355">
            <v>3172230000</v>
          </cell>
        </row>
        <row r="4356">
          <cell r="C4356" t="str">
            <v>DE0007010803</v>
          </cell>
          <cell r="G4356">
            <v>3172230000</v>
          </cell>
        </row>
        <row r="4357">
          <cell r="C4357" t="str">
            <v>DE0007010803</v>
          </cell>
          <cell r="G4357">
            <v>3172230000</v>
          </cell>
        </row>
        <row r="4358">
          <cell r="C4358" t="str">
            <v>DE0007010803</v>
          </cell>
          <cell r="G4358">
            <v>3172230000</v>
          </cell>
        </row>
        <row r="4359">
          <cell r="C4359" t="str">
            <v>DE0007010803</v>
          </cell>
          <cell r="G4359">
            <v>3172230000</v>
          </cell>
        </row>
        <row r="4360">
          <cell r="C4360" t="str">
            <v>BE0974259880</v>
          </cell>
          <cell r="G4360">
            <v>3156976821.5999999</v>
          </cell>
        </row>
        <row r="4361">
          <cell r="C4361" t="str">
            <v>BE0974259880</v>
          </cell>
          <cell r="G4361">
            <v>3156976821.5999999</v>
          </cell>
        </row>
        <row r="4362">
          <cell r="C4362" t="str">
            <v>BE0974259880</v>
          </cell>
          <cell r="G4362">
            <v>3156976821.5999999</v>
          </cell>
        </row>
        <row r="4363">
          <cell r="C4363" t="str">
            <v>BE0974259880</v>
          </cell>
          <cell r="G4363">
            <v>3156976821.5999999</v>
          </cell>
        </row>
        <row r="4364">
          <cell r="C4364" t="str">
            <v>BE0974259880</v>
          </cell>
          <cell r="G4364">
            <v>3156976821.5999999</v>
          </cell>
        </row>
        <row r="4365">
          <cell r="C4365" t="str">
            <v>BE0974259880</v>
          </cell>
          <cell r="G4365">
            <v>3156976821.5999999</v>
          </cell>
        </row>
        <row r="4366">
          <cell r="C4366" t="str">
            <v>BE0974259880</v>
          </cell>
          <cell r="G4366">
            <v>3156976821.5999999</v>
          </cell>
        </row>
        <row r="4367">
          <cell r="C4367" t="str">
            <v>BE0974259880</v>
          </cell>
          <cell r="G4367">
            <v>3156976821.5999999</v>
          </cell>
        </row>
        <row r="4368">
          <cell r="C4368" t="str">
            <v>BE0974259880</v>
          </cell>
          <cell r="G4368">
            <v>3156976821.5999999</v>
          </cell>
        </row>
        <row r="4369">
          <cell r="C4369" t="str">
            <v>BE0974259880</v>
          </cell>
          <cell r="G4369">
            <v>3156976821.5999999</v>
          </cell>
        </row>
        <row r="4370">
          <cell r="C4370" t="str">
            <v>BE0974259880</v>
          </cell>
          <cell r="G4370">
            <v>3156976821.5999999</v>
          </cell>
        </row>
        <row r="4371">
          <cell r="C4371" t="str">
            <v>BE0974259880</v>
          </cell>
          <cell r="G4371">
            <v>3156976821.5999999</v>
          </cell>
        </row>
        <row r="4372">
          <cell r="C4372" t="str">
            <v>BE0974259880</v>
          </cell>
          <cell r="G4372">
            <v>3156976821.5999999</v>
          </cell>
        </row>
        <row r="4373">
          <cell r="C4373" t="str">
            <v>BE0974259880</v>
          </cell>
          <cell r="G4373">
            <v>3156976821.5999999</v>
          </cell>
        </row>
        <row r="4374">
          <cell r="C4374" t="str">
            <v>BE0003604155</v>
          </cell>
          <cell r="G4374">
            <v>3145730115</v>
          </cell>
        </row>
        <row r="4375">
          <cell r="C4375" t="str">
            <v>BE0003604155</v>
          </cell>
          <cell r="G4375">
            <v>3145730115</v>
          </cell>
        </row>
        <row r="4376">
          <cell r="C4376" t="str">
            <v>BE0003604155</v>
          </cell>
          <cell r="G4376">
            <v>3145730115</v>
          </cell>
        </row>
        <row r="4377">
          <cell r="C4377" t="str">
            <v>BE0003604155</v>
          </cell>
          <cell r="G4377">
            <v>3145730115</v>
          </cell>
        </row>
        <row r="4378">
          <cell r="C4378" t="str">
            <v>BE0003604155</v>
          </cell>
          <cell r="G4378">
            <v>3145730115</v>
          </cell>
        </row>
        <row r="4379">
          <cell r="C4379" t="str">
            <v>BE0003604155</v>
          </cell>
          <cell r="G4379">
            <v>3145730115</v>
          </cell>
        </row>
        <row r="4380">
          <cell r="C4380" t="str">
            <v>BE0003604155</v>
          </cell>
          <cell r="G4380">
            <v>3145730115</v>
          </cell>
        </row>
        <row r="4381">
          <cell r="C4381" t="str">
            <v>BE0003604155</v>
          </cell>
          <cell r="G4381">
            <v>3145730115</v>
          </cell>
        </row>
        <row r="4382">
          <cell r="C4382" t="str">
            <v>BE0003604155</v>
          </cell>
          <cell r="G4382">
            <v>3145730115</v>
          </cell>
        </row>
        <row r="4383">
          <cell r="C4383" t="str">
            <v>BE0003604155</v>
          </cell>
          <cell r="G4383">
            <v>3145730115</v>
          </cell>
        </row>
        <row r="4384">
          <cell r="C4384" t="str">
            <v>BE0003604155</v>
          </cell>
          <cell r="G4384">
            <v>3145730115</v>
          </cell>
        </row>
        <row r="4385">
          <cell r="C4385" t="str">
            <v>BE0003604155</v>
          </cell>
          <cell r="G4385">
            <v>3145730115</v>
          </cell>
        </row>
        <row r="4386">
          <cell r="C4386" t="str">
            <v>BE0003604155</v>
          </cell>
          <cell r="G4386">
            <v>3145730115</v>
          </cell>
        </row>
        <row r="4387">
          <cell r="C4387" t="str">
            <v>BE0003604155</v>
          </cell>
          <cell r="G4387">
            <v>3145730115</v>
          </cell>
        </row>
        <row r="4388">
          <cell r="C4388" t="str">
            <v>DE0005158703</v>
          </cell>
          <cell r="G4388">
            <v>3143322000</v>
          </cell>
        </row>
        <row r="4389">
          <cell r="C4389" t="str">
            <v>DE0005158703</v>
          </cell>
          <cell r="G4389">
            <v>3143322000</v>
          </cell>
        </row>
        <row r="4390">
          <cell r="C4390" t="str">
            <v>DE0005158703</v>
          </cell>
          <cell r="G4390">
            <v>3143322000</v>
          </cell>
        </row>
        <row r="4391">
          <cell r="C4391" t="str">
            <v>DE0005158703</v>
          </cell>
          <cell r="G4391">
            <v>3143322000</v>
          </cell>
        </row>
        <row r="4392">
          <cell r="C4392" t="str">
            <v>DE0005158703</v>
          </cell>
          <cell r="G4392">
            <v>3143322000</v>
          </cell>
        </row>
        <row r="4393">
          <cell r="C4393" t="str">
            <v>DE0005158703</v>
          </cell>
          <cell r="G4393">
            <v>3143322000</v>
          </cell>
        </row>
        <row r="4394">
          <cell r="C4394" t="str">
            <v>DE0005158703</v>
          </cell>
          <cell r="G4394">
            <v>3143322000</v>
          </cell>
        </row>
        <row r="4395">
          <cell r="C4395" t="str">
            <v>DE0005158703</v>
          </cell>
          <cell r="G4395">
            <v>3143322000</v>
          </cell>
        </row>
        <row r="4396">
          <cell r="C4396" t="str">
            <v>DE0005158703</v>
          </cell>
          <cell r="G4396">
            <v>3143322000</v>
          </cell>
        </row>
        <row r="4397">
          <cell r="C4397" t="str">
            <v>DE0005158703</v>
          </cell>
          <cell r="G4397">
            <v>3143322000</v>
          </cell>
        </row>
        <row r="4398">
          <cell r="C4398" t="str">
            <v>DE0005158703</v>
          </cell>
          <cell r="G4398">
            <v>3143322000</v>
          </cell>
        </row>
        <row r="4399">
          <cell r="C4399" t="str">
            <v>DE0005158703</v>
          </cell>
          <cell r="G4399">
            <v>3143322000</v>
          </cell>
        </row>
        <row r="4400">
          <cell r="C4400" t="str">
            <v>DE0005158703</v>
          </cell>
          <cell r="G4400">
            <v>3143322000</v>
          </cell>
        </row>
        <row r="4401">
          <cell r="C4401" t="str">
            <v>DE0005158703</v>
          </cell>
          <cell r="G4401">
            <v>3143322000</v>
          </cell>
        </row>
        <row r="4402">
          <cell r="C4402" t="str">
            <v>DE0005909006</v>
          </cell>
          <cell r="G4402">
            <v>3120576831.54</v>
          </cell>
        </row>
        <row r="4403">
          <cell r="C4403" t="str">
            <v>DE0005909006</v>
          </cell>
          <cell r="G4403">
            <v>3120576831.54</v>
          </cell>
        </row>
        <row r="4404">
          <cell r="C4404" t="str">
            <v>DE0005909006</v>
          </cell>
          <cell r="G4404">
            <v>3120576831.54</v>
          </cell>
        </row>
        <row r="4405">
          <cell r="C4405" t="str">
            <v>DE0005909006</v>
          </cell>
          <cell r="G4405">
            <v>3120576831.54</v>
          </cell>
        </row>
        <row r="4406">
          <cell r="C4406" t="str">
            <v>DE0005909006</v>
          </cell>
          <cell r="G4406">
            <v>3120576831.54</v>
          </cell>
        </row>
        <row r="4407">
          <cell r="C4407" t="str">
            <v>DE0005909006</v>
          </cell>
          <cell r="G4407">
            <v>3120576831.54</v>
          </cell>
        </row>
        <row r="4408">
          <cell r="C4408" t="str">
            <v>DE0005909006</v>
          </cell>
          <cell r="G4408">
            <v>3120576831.54</v>
          </cell>
        </row>
        <row r="4409">
          <cell r="C4409" t="str">
            <v>DE0005909006</v>
          </cell>
          <cell r="G4409">
            <v>3120576831.54</v>
          </cell>
        </row>
        <row r="4410">
          <cell r="C4410" t="str">
            <v>DE0005909006</v>
          </cell>
          <cell r="G4410">
            <v>3120576831.54</v>
          </cell>
        </row>
        <row r="4411">
          <cell r="C4411" t="str">
            <v>DE0005909006</v>
          </cell>
          <cell r="G4411">
            <v>3120576831.54</v>
          </cell>
        </row>
        <row r="4412">
          <cell r="C4412" t="str">
            <v>DE0005909006</v>
          </cell>
          <cell r="G4412">
            <v>3120576831.54</v>
          </cell>
        </row>
        <row r="4413">
          <cell r="C4413" t="str">
            <v>DE0005909006</v>
          </cell>
          <cell r="G4413">
            <v>3120576831.54</v>
          </cell>
        </row>
        <row r="4414">
          <cell r="C4414" t="str">
            <v>DE0005909006</v>
          </cell>
          <cell r="G4414">
            <v>3120576831.54</v>
          </cell>
        </row>
        <row r="4415">
          <cell r="C4415" t="str">
            <v>DE0005909006</v>
          </cell>
          <cell r="G4415">
            <v>3120576831.54</v>
          </cell>
        </row>
        <row r="4416">
          <cell r="C4416" t="str">
            <v>BE0003851681</v>
          </cell>
          <cell r="G4416">
            <v>3114532794.5</v>
          </cell>
        </row>
        <row r="4417">
          <cell r="C4417" t="str">
            <v>BE0003851681</v>
          </cell>
          <cell r="G4417">
            <v>3114532794.5</v>
          </cell>
        </row>
        <row r="4418">
          <cell r="C4418" t="str">
            <v>BE0003851681</v>
          </cell>
          <cell r="G4418">
            <v>3114532794.5</v>
          </cell>
        </row>
        <row r="4419">
          <cell r="C4419" t="str">
            <v>BE0003851681</v>
          </cell>
          <cell r="G4419">
            <v>3114532794.5</v>
          </cell>
        </row>
        <row r="4420">
          <cell r="C4420" t="str">
            <v>BE0003851681</v>
          </cell>
          <cell r="G4420">
            <v>3114532794.5</v>
          </cell>
        </row>
        <row r="4421">
          <cell r="C4421" t="str">
            <v>BE0003851681</v>
          </cell>
          <cell r="G4421">
            <v>3114532794.5</v>
          </cell>
        </row>
        <row r="4422">
          <cell r="C4422" t="str">
            <v>BE0003851681</v>
          </cell>
          <cell r="G4422">
            <v>3114532794.5</v>
          </cell>
        </row>
        <row r="4423">
          <cell r="C4423" t="str">
            <v>BE0003851681</v>
          </cell>
          <cell r="G4423">
            <v>3114532794.5</v>
          </cell>
        </row>
        <row r="4424">
          <cell r="C4424" t="str">
            <v>BE0003851681</v>
          </cell>
          <cell r="G4424">
            <v>3114532794.5</v>
          </cell>
        </row>
        <row r="4425">
          <cell r="C4425" t="str">
            <v>BE0003851681</v>
          </cell>
          <cell r="G4425">
            <v>3114532794.5</v>
          </cell>
        </row>
        <row r="4426">
          <cell r="C4426" t="str">
            <v>BE0003851681</v>
          </cell>
          <cell r="G4426">
            <v>3114532794.5</v>
          </cell>
        </row>
        <row r="4427">
          <cell r="C4427" t="str">
            <v>BE0003851681</v>
          </cell>
          <cell r="G4427">
            <v>3114532794.5</v>
          </cell>
        </row>
        <row r="4428">
          <cell r="C4428" t="str">
            <v>BE0003851681</v>
          </cell>
          <cell r="G4428">
            <v>3114532794.5</v>
          </cell>
        </row>
        <row r="4429">
          <cell r="C4429" t="str">
            <v>BE0003851681</v>
          </cell>
          <cell r="G4429">
            <v>3114532794.5</v>
          </cell>
        </row>
        <row r="4430">
          <cell r="C4430" t="str">
            <v>FR0000064578</v>
          </cell>
          <cell r="G4430">
            <v>3066854783.3000002</v>
          </cell>
        </row>
        <row r="4431">
          <cell r="C4431" t="str">
            <v>FR0000064578</v>
          </cell>
          <cell r="G4431">
            <v>3066854783.3000002</v>
          </cell>
        </row>
        <row r="4432">
          <cell r="C4432" t="str">
            <v>FR0000064578</v>
          </cell>
          <cell r="G4432">
            <v>3066854783.3000002</v>
          </cell>
        </row>
        <row r="4433">
          <cell r="C4433" t="str">
            <v>FR0000064578</v>
          </cell>
          <cell r="G4433">
            <v>3066854783.3000002</v>
          </cell>
        </row>
        <row r="4434">
          <cell r="C4434" t="str">
            <v>FR0000064578</v>
          </cell>
          <cell r="G4434">
            <v>3066854783.3000002</v>
          </cell>
        </row>
        <row r="4435">
          <cell r="C4435" t="str">
            <v>FR0000064578</v>
          </cell>
          <cell r="G4435">
            <v>3066854783.3000002</v>
          </cell>
        </row>
        <row r="4436">
          <cell r="C4436" t="str">
            <v>FR0000064578</v>
          </cell>
          <cell r="G4436">
            <v>3066854783.3000002</v>
          </cell>
        </row>
        <row r="4437">
          <cell r="C4437" t="str">
            <v>FR0000064578</v>
          </cell>
          <cell r="G4437">
            <v>3066854783.3000002</v>
          </cell>
        </row>
        <row r="4438">
          <cell r="C4438" t="str">
            <v>FR0000064578</v>
          </cell>
          <cell r="G4438">
            <v>3066854783.3000002</v>
          </cell>
        </row>
        <row r="4439">
          <cell r="C4439" t="str">
            <v>FR0000064578</v>
          </cell>
          <cell r="G4439">
            <v>3066854783.3000002</v>
          </cell>
        </row>
        <row r="4440">
          <cell r="C4440" t="str">
            <v>FR0000064578</v>
          </cell>
          <cell r="G4440">
            <v>3066854783.3000002</v>
          </cell>
        </row>
        <row r="4441">
          <cell r="C4441" t="str">
            <v>FR0000064578</v>
          </cell>
          <cell r="G4441">
            <v>3066854783.3000002</v>
          </cell>
        </row>
        <row r="4442">
          <cell r="C4442" t="str">
            <v>FR0000064578</v>
          </cell>
          <cell r="G4442">
            <v>3066854783.3000002</v>
          </cell>
        </row>
        <row r="4443">
          <cell r="C4443" t="str">
            <v>FR0000064578</v>
          </cell>
          <cell r="G4443">
            <v>3066854783.3000002</v>
          </cell>
        </row>
        <row r="4444">
          <cell r="C4444" t="str">
            <v>IT0004764699</v>
          </cell>
          <cell r="G4444">
            <v>3012400000</v>
          </cell>
        </row>
        <row r="4445">
          <cell r="C4445" t="str">
            <v>IT0004764699</v>
          </cell>
          <cell r="G4445">
            <v>3012400000</v>
          </cell>
        </row>
        <row r="4446">
          <cell r="C4446" t="str">
            <v>IT0004764699</v>
          </cell>
          <cell r="G4446">
            <v>3012400000</v>
          </cell>
        </row>
        <row r="4447">
          <cell r="C4447" t="str">
            <v>IT0004764699</v>
          </cell>
          <cell r="G4447">
            <v>3012400000</v>
          </cell>
        </row>
        <row r="4448">
          <cell r="C4448" t="str">
            <v>IT0004764699</v>
          </cell>
          <cell r="G4448">
            <v>3012400000</v>
          </cell>
        </row>
        <row r="4449">
          <cell r="C4449" t="str">
            <v>IT0004764699</v>
          </cell>
          <cell r="G4449">
            <v>3012400000</v>
          </cell>
        </row>
        <row r="4450">
          <cell r="C4450" t="str">
            <v>IT0004764699</v>
          </cell>
          <cell r="G4450">
            <v>3012400000</v>
          </cell>
        </row>
        <row r="4451">
          <cell r="C4451" t="str">
            <v>IT0004764699</v>
          </cell>
          <cell r="G4451">
            <v>3012400000</v>
          </cell>
        </row>
        <row r="4452">
          <cell r="C4452" t="str">
            <v>IT0004764699</v>
          </cell>
          <cell r="G4452">
            <v>3012400000</v>
          </cell>
        </row>
        <row r="4453">
          <cell r="C4453" t="str">
            <v>IT0004764699</v>
          </cell>
          <cell r="G4453">
            <v>3012400000</v>
          </cell>
        </row>
        <row r="4454">
          <cell r="C4454" t="str">
            <v>IT0004764699</v>
          </cell>
          <cell r="G4454">
            <v>3012400000</v>
          </cell>
        </row>
        <row r="4455">
          <cell r="C4455" t="str">
            <v>IT0004764699</v>
          </cell>
          <cell r="G4455">
            <v>3012400000</v>
          </cell>
        </row>
        <row r="4456">
          <cell r="C4456" t="str">
            <v>IT0004764699</v>
          </cell>
          <cell r="G4456">
            <v>3012400000</v>
          </cell>
        </row>
        <row r="4457">
          <cell r="C4457" t="str">
            <v>IT0004764699</v>
          </cell>
          <cell r="G4457">
            <v>3012400000</v>
          </cell>
        </row>
        <row r="4458">
          <cell r="C4458" t="str">
            <v>AT0000831706</v>
          </cell>
          <cell r="G4458">
            <v>3011186640</v>
          </cell>
        </row>
        <row r="4459">
          <cell r="C4459" t="str">
            <v>AT0000831706</v>
          </cell>
          <cell r="G4459">
            <v>3011186640</v>
          </cell>
        </row>
        <row r="4460">
          <cell r="C4460" t="str">
            <v>AT0000831706</v>
          </cell>
          <cell r="G4460">
            <v>3011186640</v>
          </cell>
        </row>
        <row r="4461">
          <cell r="C4461" t="str">
            <v>AT0000831706</v>
          </cell>
          <cell r="G4461">
            <v>3011186640</v>
          </cell>
        </row>
        <row r="4462">
          <cell r="C4462" t="str">
            <v>AT0000831706</v>
          </cell>
          <cell r="G4462">
            <v>3011186640</v>
          </cell>
        </row>
        <row r="4463">
          <cell r="C4463" t="str">
            <v>AT0000831706</v>
          </cell>
          <cell r="G4463">
            <v>3011186640</v>
          </cell>
        </row>
        <row r="4464">
          <cell r="C4464" t="str">
            <v>AT0000831706</v>
          </cell>
          <cell r="G4464">
            <v>3011186640</v>
          </cell>
        </row>
        <row r="4465">
          <cell r="C4465" t="str">
            <v>AT0000831706</v>
          </cell>
          <cell r="G4465">
            <v>3011186640</v>
          </cell>
        </row>
        <row r="4466">
          <cell r="C4466" t="str">
            <v>AT0000831706</v>
          </cell>
          <cell r="G4466">
            <v>3011186640</v>
          </cell>
        </row>
        <row r="4467">
          <cell r="C4467" t="str">
            <v>AT0000831706</v>
          </cell>
          <cell r="G4467">
            <v>3011186640</v>
          </cell>
        </row>
        <row r="4468">
          <cell r="C4468" t="str">
            <v>AT0000831706</v>
          </cell>
          <cell r="G4468">
            <v>3011186640</v>
          </cell>
        </row>
        <row r="4469">
          <cell r="C4469" t="str">
            <v>AT0000831706</v>
          </cell>
          <cell r="G4469">
            <v>3011186640</v>
          </cell>
        </row>
        <row r="4470">
          <cell r="C4470" t="str">
            <v>AT0000831706</v>
          </cell>
          <cell r="G4470">
            <v>3011186640</v>
          </cell>
        </row>
        <row r="4471">
          <cell r="C4471" t="str">
            <v>AT0000831706</v>
          </cell>
          <cell r="G4471">
            <v>3011186640</v>
          </cell>
        </row>
        <row r="4472">
          <cell r="C4472" t="str">
            <v>IT0005495657</v>
          </cell>
          <cell r="G4472">
            <v>2932880365.9882998</v>
          </cell>
        </row>
        <row r="4473">
          <cell r="C4473" t="str">
            <v>IT0005495657</v>
          </cell>
          <cell r="G4473">
            <v>2932880365.9882998</v>
          </cell>
        </row>
        <row r="4474">
          <cell r="C4474" t="str">
            <v>IT0005495657</v>
          </cell>
          <cell r="G4474">
            <v>2932880365.9882998</v>
          </cell>
        </row>
        <row r="4475">
          <cell r="C4475" t="str">
            <v>IT0005495657</v>
          </cell>
          <cell r="G4475">
            <v>2932880365.9882998</v>
          </cell>
        </row>
        <row r="4476">
          <cell r="C4476" t="str">
            <v>IT0005495657</v>
          </cell>
          <cell r="G4476">
            <v>2932880365.9882998</v>
          </cell>
        </row>
        <row r="4477">
          <cell r="C4477" t="str">
            <v>IT0005495657</v>
          </cell>
          <cell r="G4477">
            <v>2932880365.9882998</v>
          </cell>
        </row>
        <row r="4478">
          <cell r="C4478" t="str">
            <v>IT0005495657</v>
          </cell>
          <cell r="G4478">
            <v>2932880365.9882998</v>
          </cell>
        </row>
        <row r="4479">
          <cell r="C4479" t="str">
            <v>IT0005495657</v>
          </cell>
          <cell r="G4479">
            <v>2932880365.9882998</v>
          </cell>
        </row>
        <row r="4480">
          <cell r="C4480" t="str">
            <v>IT0005495657</v>
          </cell>
          <cell r="G4480">
            <v>2932880365.9882998</v>
          </cell>
        </row>
        <row r="4481">
          <cell r="C4481" t="str">
            <v>IT0005495657</v>
          </cell>
          <cell r="G4481">
            <v>2932880365.9882998</v>
          </cell>
        </row>
        <row r="4482">
          <cell r="C4482" t="str">
            <v>IT0005495657</v>
          </cell>
          <cell r="G4482">
            <v>2932880365.9882998</v>
          </cell>
        </row>
        <row r="4483">
          <cell r="C4483" t="str">
            <v>IT0005495657</v>
          </cell>
          <cell r="G4483">
            <v>2932880365.9882998</v>
          </cell>
        </row>
        <row r="4484">
          <cell r="C4484" t="str">
            <v>IT0005495657</v>
          </cell>
          <cell r="G4484">
            <v>2932880365.9882998</v>
          </cell>
        </row>
        <row r="4485">
          <cell r="C4485" t="str">
            <v>IT0005495657</v>
          </cell>
          <cell r="G4485">
            <v>2932880365.9882998</v>
          </cell>
        </row>
        <row r="4486">
          <cell r="C4486" t="str">
            <v>BE0003593044</v>
          </cell>
          <cell r="G4486">
            <v>2931503898.1500001</v>
          </cell>
        </row>
        <row r="4487">
          <cell r="C4487" t="str">
            <v>BE0003593044</v>
          </cell>
          <cell r="G4487">
            <v>2931503898.1500001</v>
          </cell>
        </row>
        <row r="4488">
          <cell r="C4488" t="str">
            <v>BE0003593044</v>
          </cell>
          <cell r="G4488">
            <v>2931503898.1500001</v>
          </cell>
        </row>
        <row r="4489">
          <cell r="C4489" t="str">
            <v>BE0003593044</v>
          </cell>
          <cell r="G4489">
            <v>2931503898.1500001</v>
          </cell>
        </row>
        <row r="4490">
          <cell r="C4490" t="str">
            <v>BE0003593044</v>
          </cell>
          <cell r="G4490">
            <v>2931503898.1500001</v>
          </cell>
        </row>
        <row r="4491">
          <cell r="C4491" t="str">
            <v>BE0003593044</v>
          </cell>
          <cell r="G4491">
            <v>2931503898.1500001</v>
          </cell>
        </row>
        <row r="4492">
          <cell r="C4492" t="str">
            <v>BE0003593044</v>
          </cell>
          <cell r="G4492">
            <v>2931503898.1500001</v>
          </cell>
        </row>
        <row r="4493">
          <cell r="C4493" t="str">
            <v>BE0003593044</v>
          </cell>
          <cell r="G4493">
            <v>2931503898.1500001</v>
          </cell>
        </row>
        <row r="4494">
          <cell r="C4494" t="str">
            <v>BE0003593044</v>
          </cell>
          <cell r="G4494">
            <v>2931503898.1500001</v>
          </cell>
        </row>
        <row r="4495">
          <cell r="C4495" t="str">
            <v>BE0003593044</v>
          </cell>
          <cell r="G4495">
            <v>2931503898.1500001</v>
          </cell>
        </row>
        <row r="4496">
          <cell r="C4496" t="str">
            <v>BE0003593044</v>
          </cell>
          <cell r="G4496">
            <v>2931503898.1500001</v>
          </cell>
        </row>
        <row r="4497">
          <cell r="C4497" t="str">
            <v>BE0003593044</v>
          </cell>
          <cell r="G4497">
            <v>2931503898.1500001</v>
          </cell>
        </row>
        <row r="4498">
          <cell r="C4498" t="str">
            <v>BE0003593044</v>
          </cell>
          <cell r="G4498">
            <v>2931503898.1500001</v>
          </cell>
        </row>
        <row r="4499">
          <cell r="C4499" t="str">
            <v>BE0003593044</v>
          </cell>
          <cell r="G4499">
            <v>2931503898.1500001</v>
          </cell>
        </row>
        <row r="4500">
          <cell r="C4500" t="str">
            <v>FR0013451333</v>
          </cell>
          <cell r="G4500">
            <v>2909480080</v>
          </cell>
        </row>
        <row r="4501">
          <cell r="C4501" t="str">
            <v>FR0013451333</v>
          </cell>
          <cell r="G4501">
            <v>2909480080</v>
          </cell>
        </row>
        <row r="4502">
          <cell r="C4502" t="str">
            <v>FR0013451333</v>
          </cell>
          <cell r="G4502">
            <v>2909480080</v>
          </cell>
        </row>
        <row r="4503">
          <cell r="C4503" t="str">
            <v>FR0013451333</v>
          </cell>
          <cell r="G4503">
            <v>2909480080</v>
          </cell>
        </row>
        <row r="4504">
          <cell r="C4504" t="str">
            <v>FR0013451333</v>
          </cell>
          <cell r="G4504">
            <v>2909480080</v>
          </cell>
        </row>
        <row r="4505">
          <cell r="C4505" t="str">
            <v>FR0013451333</v>
          </cell>
          <cell r="G4505">
            <v>2909480080</v>
          </cell>
        </row>
        <row r="4506">
          <cell r="C4506" t="str">
            <v>FR0013451333</v>
          </cell>
          <cell r="G4506">
            <v>2909480080</v>
          </cell>
        </row>
        <row r="4507">
          <cell r="C4507" t="str">
            <v>FR0013451333</v>
          </cell>
          <cell r="G4507">
            <v>2909480080</v>
          </cell>
        </row>
        <row r="4508">
          <cell r="C4508" t="str">
            <v>FR0013451333</v>
          </cell>
          <cell r="G4508">
            <v>2909480080</v>
          </cell>
        </row>
        <row r="4509">
          <cell r="C4509" t="str">
            <v>FR0013451333</v>
          </cell>
          <cell r="G4509">
            <v>2909480080</v>
          </cell>
        </row>
        <row r="4510">
          <cell r="C4510" t="str">
            <v>FR0013451333</v>
          </cell>
          <cell r="G4510">
            <v>2909480080</v>
          </cell>
        </row>
        <row r="4511">
          <cell r="C4511" t="str">
            <v>FR0013451333</v>
          </cell>
          <cell r="G4511">
            <v>2909480080</v>
          </cell>
        </row>
        <row r="4512">
          <cell r="C4512" t="str">
            <v>FR0013451333</v>
          </cell>
          <cell r="G4512">
            <v>2909480080</v>
          </cell>
        </row>
        <row r="4513">
          <cell r="C4513" t="str">
            <v>FR0013451333</v>
          </cell>
          <cell r="G4513">
            <v>2909480080</v>
          </cell>
        </row>
        <row r="4514">
          <cell r="C4514" t="str">
            <v>NL0000360618</v>
          </cell>
          <cell r="G4514">
            <v>2886068109.3299999</v>
          </cell>
        </row>
        <row r="4515">
          <cell r="C4515" t="str">
            <v>NL0000360618</v>
          </cell>
          <cell r="G4515">
            <v>2886068109.3299999</v>
          </cell>
        </row>
        <row r="4516">
          <cell r="C4516" t="str">
            <v>NL0000360618</v>
          </cell>
          <cell r="G4516">
            <v>2886068109.3299999</v>
          </cell>
        </row>
        <row r="4517">
          <cell r="C4517" t="str">
            <v>NL0000360618</v>
          </cell>
          <cell r="G4517">
            <v>2886068109.3299999</v>
          </cell>
        </row>
        <row r="4518">
          <cell r="C4518" t="str">
            <v>NL0000360618</v>
          </cell>
          <cell r="G4518">
            <v>2886068109.3299999</v>
          </cell>
        </row>
        <row r="4519">
          <cell r="C4519" t="str">
            <v>NL0000360618</v>
          </cell>
          <cell r="G4519">
            <v>2886068109.3299999</v>
          </cell>
        </row>
        <row r="4520">
          <cell r="C4520" t="str">
            <v>NL0000360618</v>
          </cell>
          <cell r="G4520">
            <v>2886068109.3299999</v>
          </cell>
        </row>
        <row r="4521">
          <cell r="C4521" t="str">
            <v>NL0000360618</v>
          </cell>
          <cell r="G4521">
            <v>2886068109.3299999</v>
          </cell>
        </row>
        <row r="4522">
          <cell r="C4522" t="str">
            <v>NL0000360618</v>
          </cell>
          <cell r="G4522">
            <v>2886068109.3299999</v>
          </cell>
        </row>
        <row r="4523">
          <cell r="C4523" t="str">
            <v>NL0000360618</v>
          </cell>
          <cell r="G4523">
            <v>2886068109.3299999</v>
          </cell>
        </row>
        <row r="4524">
          <cell r="C4524" t="str">
            <v>NL0000360618</v>
          </cell>
          <cell r="G4524">
            <v>2886068109.3299999</v>
          </cell>
        </row>
        <row r="4525">
          <cell r="C4525" t="str">
            <v>NL0000360618</v>
          </cell>
          <cell r="G4525">
            <v>2886068109.3299999</v>
          </cell>
        </row>
        <row r="4526">
          <cell r="C4526" t="str">
            <v>NL0000360618</v>
          </cell>
          <cell r="G4526">
            <v>2886068109.3299999</v>
          </cell>
        </row>
        <row r="4527">
          <cell r="C4527" t="str">
            <v>NL0000360618</v>
          </cell>
          <cell r="G4527">
            <v>2886068109.3299999</v>
          </cell>
        </row>
        <row r="4528">
          <cell r="C4528" t="str">
            <v>DE0006766504</v>
          </cell>
          <cell r="G4528">
            <v>2859247519.1999998</v>
          </cell>
        </row>
        <row r="4529">
          <cell r="C4529" t="str">
            <v>DE0006766504</v>
          </cell>
          <cell r="G4529">
            <v>2859247519.1999998</v>
          </cell>
        </row>
        <row r="4530">
          <cell r="C4530" t="str">
            <v>DE0006766504</v>
          </cell>
          <cell r="G4530">
            <v>2859247519.1999998</v>
          </cell>
        </row>
        <row r="4531">
          <cell r="C4531" t="str">
            <v>DE0006766504</v>
          </cell>
          <cell r="G4531">
            <v>2859247519.1999998</v>
          </cell>
        </row>
        <row r="4532">
          <cell r="C4532" t="str">
            <v>DE0006766504</v>
          </cell>
          <cell r="G4532">
            <v>2859247519.1999998</v>
          </cell>
        </row>
        <row r="4533">
          <cell r="C4533" t="str">
            <v>DE0006766504</v>
          </cell>
          <cell r="G4533">
            <v>2859247519.1999998</v>
          </cell>
        </row>
        <row r="4534">
          <cell r="C4534" t="str">
            <v>DE0006766504</v>
          </cell>
          <cell r="G4534">
            <v>2859247519.1999998</v>
          </cell>
        </row>
        <row r="4535">
          <cell r="C4535" t="str">
            <v>DE0006766504</v>
          </cell>
          <cell r="G4535">
            <v>2859247519.1999998</v>
          </cell>
        </row>
        <row r="4536">
          <cell r="C4536" t="str">
            <v>DE0006766504</v>
          </cell>
          <cell r="G4536">
            <v>2859247519.1999998</v>
          </cell>
        </row>
        <row r="4537">
          <cell r="C4537" t="str">
            <v>DE0006766504</v>
          </cell>
          <cell r="G4537">
            <v>2859247519.1999998</v>
          </cell>
        </row>
        <row r="4538">
          <cell r="C4538" t="str">
            <v>DE0006766504</v>
          </cell>
          <cell r="G4538">
            <v>2859247519.1999998</v>
          </cell>
        </row>
        <row r="4539">
          <cell r="C4539" t="str">
            <v>DE0006766504</v>
          </cell>
          <cell r="G4539">
            <v>2859247519.1999998</v>
          </cell>
        </row>
        <row r="4540">
          <cell r="C4540" t="str">
            <v>DE0006766504</v>
          </cell>
          <cell r="G4540">
            <v>2859247519.1999998</v>
          </cell>
        </row>
        <row r="4541">
          <cell r="C4541" t="str">
            <v>DE0006766504</v>
          </cell>
          <cell r="G4541">
            <v>2859247519.1999998</v>
          </cell>
        </row>
        <row r="4542">
          <cell r="C4542" t="str">
            <v>FI4000552526</v>
          </cell>
          <cell r="G4542">
            <v>2853909989.0999999</v>
          </cell>
        </row>
        <row r="4543">
          <cell r="C4543" t="str">
            <v>FI4000552526</v>
          </cell>
          <cell r="G4543">
            <v>2853909989.0999999</v>
          </cell>
        </row>
        <row r="4544">
          <cell r="C4544" t="str">
            <v>FI4000552526</v>
          </cell>
          <cell r="G4544">
            <v>2853909989.0999999</v>
          </cell>
        </row>
        <row r="4545">
          <cell r="C4545" t="str">
            <v>FI4000552526</v>
          </cell>
          <cell r="G4545">
            <v>2853909989.0999999</v>
          </cell>
        </row>
        <row r="4546">
          <cell r="C4546" t="str">
            <v>FI4000552526</v>
          </cell>
          <cell r="G4546">
            <v>2853909989.0999999</v>
          </cell>
        </row>
        <row r="4547">
          <cell r="C4547" t="str">
            <v>FI4000552526</v>
          </cell>
          <cell r="G4547">
            <v>2853909989.0999999</v>
          </cell>
        </row>
        <row r="4548">
          <cell r="C4548" t="str">
            <v>FI4000552526</v>
          </cell>
          <cell r="G4548">
            <v>2853909989.0999999</v>
          </cell>
        </row>
        <row r="4549">
          <cell r="C4549" t="str">
            <v>FI4000552526</v>
          </cell>
          <cell r="G4549">
            <v>2853909989.0999999</v>
          </cell>
        </row>
        <row r="4550">
          <cell r="C4550" t="str">
            <v>FI4000552526</v>
          </cell>
          <cell r="G4550">
            <v>2853909989.0999999</v>
          </cell>
        </row>
        <row r="4551">
          <cell r="C4551" t="str">
            <v>FI4000552526</v>
          </cell>
          <cell r="G4551">
            <v>2853909989.0999999</v>
          </cell>
        </row>
        <row r="4552">
          <cell r="C4552" t="str">
            <v>FI4000552526</v>
          </cell>
          <cell r="G4552">
            <v>2853909989.0999999</v>
          </cell>
        </row>
        <row r="4553">
          <cell r="C4553" t="str">
            <v>FI4000552526</v>
          </cell>
          <cell r="G4553">
            <v>2853909989.0999999</v>
          </cell>
        </row>
        <row r="4554">
          <cell r="C4554" t="str">
            <v>FI4000552526</v>
          </cell>
          <cell r="G4554">
            <v>2853909989.0999999</v>
          </cell>
        </row>
        <row r="4555">
          <cell r="C4555" t="str">
            <v>FI4000552526</v>
          </cell>
          <cell r="G4555">
            <v>2853909989.0999999</v>
          </cell>
        </row>
        <row r="4556">
          <cell r="C4556" t="str">
            <v>DE000FTG1111</v>
          </cell>
          <cell r="G4556">
            <v>2832770606.224</v>
          </cell>
        </row>
        <row r="4557">
          <cell r="C4557" t="str">
            <v>DE000FTG1111</v>
          </cell>
          <cell r="G4557">
            <v>2832770606.224</v>
          </cell>
        </row>
        <row r="4558">
          <cell r="C4558" t="str">
            <v>DE000FTG1111</v>
          </cell>
          <cell r="G4558">
            <v>2832770606.224</v>
          </cell>
        </row>
        <row r="4559">
          <cell r="C4559" t="str">
            <v>DE000FTG1111</v>
          </cell>
          <cell r="G4559">
            <v>2832770606.224</v>
          </cell>
        </row>
        <row r="4560">
          <cell r="C4560" t="str">
            <v>DE000FTG1111</v>
          </cell>
          <cell r="G4560">
            <v>2832770606.224</v>
          </cell>
        </row>
        <row r="4561">
          <cell r="C4561" t="str">
            <v>DE000FTG1111</v>
          </cell>
          <cell r="G4561">
            <v>2832770606.224</v>
          </cell>
        </row>
        <row r="4562">
          <cell r="C4562" t="str">
            <v>DE000FTG1111</v>
          </cell>
          <cell r="G4562">
            <v>2832770606.224</v>
          </cell>
        </row>
        <row r="4563">
          <cell r="C4563" t="str">
            <v>DE000FTG1111</v>
          </cell>
          <cell r="G4563">
            <v>2832770606.224</v>
          </cell>
        </row>
        <row r="4564">
          <cell r="C4564" t="str">
            <v>DE000FTG1111</v>
          </cell>
          <cell r="G4564">
            <v>2832770606.224</v>
          </cell>
        </row>
        <row r="4565">
          <cell r="C4565" t="str">
            <v>DE000FTG1111</v>
          </cell>
          <cell r="G4565">
            <v>2832770606.224</v>
          </cell>
        </row>
        <row r="4566">
          <cell r="C4566" t="str">
            <v>DE000FTG1111</v>
          </cell>
          <cell r="G4566">
            <v>2832770606.224</v>
          </cell>
        </row>
        <row r="4567">
          <cell r="C4567" t="str">
            <v>DE000FTG1111</v>
          </cell>
          <cell r="G4567">
            <v>2832770606.224</v>
          </cell>
        </row>
        <row r="4568">
          <cell r="C4568" t="str">
            <v>DE000FTG1111</v>
          </cell>
          <cell r="G4568">
            <v>2832770606.224</v>
          </cell>
        </row>
        <row r="4569">
          <cell r="C4569" t="str">
            <v>DE000FTG1111</v>
          </cell>
          <cell r="G4569">
            <v>2832770606.224</v>
          </cell>
        </row>
        <row r="4570">
          <cell r="C4570" t="str">
            <v>ES0171996087</v>
          </cell>
          <cell r="G4570">
            <v>2810006433.6500001</v>
          </cell>
        </row>
        <row r="4571">
          <cell r="C4571" t="str">
            <v>ES0171996087</v>
          </cell>
          <cell r="G4571">
            <v>2810006433.6500001</v>
          </cell>
        </row>
        <row r="4572">
          <cell r="C4572" t="str">
            <v>ES0171996087</v>
          </cell>
          <cell r="G4572">
            <v>2810006433.6500001</v>
          </cell>
        </row>
        <row r="4573">
          <cell r="C4573" t="str">
            <v>ES0171996087</v>
          </cell>
          <cell r="G4573">
            <v>2810006433.6500001</v>
          </cell>
        </row>
        <row r="4574">
          <cell r="C4574" t="str">
            <v>ES0171996087</v>
          </cell>
          <cell r="G4574">
            <v>2810006433.6500001</v>
          </cell>
        </row>
        <row r="4575">
          <cell r="C4575" t="str">
            <v>ES0171996087</v>
          </cell>
          <cell r="G4575">
            <v>2810006433.6500001</v>
          </cell>
        </row>
        <row r="4576">
          <cell r="C4576" t="str">
            <v>ES0171996087</v>
          </cell>
          <cell r="G4576">
            <v>2810006433.6500001</v>
          </cell>
        </row>
        <row r="4577">
          <cell r="C4577" t="str">
            <v>ES0171996087</v>
          </cell>
          <cell r="G4577">
            <v>2810006433.6500001</v>
          </cell>
        </row>
        <row r="4578">
          <cell r="C4578" t="str">
            <v>ES0171996087</v>
          </cell>
          <cell r="G4578">
            <v>2810006433.6500001</v>
          </cell>
        </row>
        <row r="4579">
          <cell r="C4579" t="str">
            <v>ES0171996087</v>
          </cell>
          <cell r="G4579">
            <v>2810006433.6500001</v>
          </cell>
        </row>
        <row r="4580">
          <cell r="C4580" t="str">
            <v>ES0171996087</v>
          </cell>
          <cell r="G4580">
            <v>2810006433.6500001</v>
          </cell>
        </row>
        <row r="4581">
          <cell r="C4581" t="str">
            <v>ES0171996087</v>
          </cell>
          <cell r="G4581">
            <v>2810006433.6500001</v>
          </cell>
        </row>
        <row r="4582">
          <cell r="C4582" t="str">
            <v>ES0171996087</v>
          </cell>
          <cell r="G4582">
            <v>2810006433.6500001</v>
          </cell>
        </row>
        <row r="4583">
          <cell r="C4583" t="str">
            <v>ES0171996087</v>
          </cell>
          <cell r="G4583">
            <v>2810006433.6500001</v>
          </cell>
        </row>
        <row r="4584">
          <cell r="C4584" t="str">
            <v>IE0000669501</v>
          </cell>
          <cell r="G4584">
            <v>2804603921.2160001</v>
          </cell>
        </row>
        <row r="4585">
          <cell r="C4585" t="str">
            <v>IE0000669501</v>
          </cell>
          <cell r="G4585">
            <v>2804603921.2160001</v>
          </cell>
        </row>
        <row r="4586">
          <cell r="C4586" t="str">
            <v>IE0000669501</v>
          </cell>
          <cell r="G4586">
            <v>2804603921.2160001</v>
          </cell>
        </row>
        <row r="4587">
          <cell r="C4587" t="str">
            <v>IE0000669501</v>
          </cell>
          <cell r="G4587">
            <v>2804603921.2160001</v>
          </cell>
        </row>
        <row r="4588">
          <cell r="C4588" t="str">
            <v>IE0000669501</v>
          </cell>
          <cell r="G4588">
            <v>2804603921.2160001</v>
          </cell>
        </row>
        <row r="4589">
          <cell r="C4589" t="str">
            <v>IE0000669501</v>
          </cell>
          <cell r="G4589">
            <v>2804603921.2160001</v>
          </cell>
        </row>
        <row r="4590">
          <cell r="C4590" t="str">
            <v>IE0000669501</v>
          </cell>
          <cell r="G4590">
            <v>2804603921.2160001</v>
          </cell>
        </row>
        <row r="4591">
          <cell r="C4591" t="str">
            <v>IE0000669501</v>
          </cell>
          <cell r="G4591">
            <v>2804603921.2160001</v>
          </cell>
        </row>
        <row r="4592">
          <cell r="C4592" t="str">
            <v>IE0000669501</v>
          </cell>
          <cell r="G4592">
            <v>2804603921.2160001</v>
          </cell>
        </row>
        <row r="4593">
          <cell r="C4593" t="str">
            <v>IE0000669501</v>
          </cell>
          <cell r="G4593">
            <v>2804603921.2160001</v>
          </cell>
        </row>
        <row r="4594">
          <cell r="C4594" t="str">
            <v>IE0000669501</v>
          </cell>
          <cell r="G4594">
            <v>2804603921.2160001</v>
          </cell>
        </row>
        <row r="4595">
          <cell r="C4595" t="str">
            <v>IE0000669501</v>
          </cell>
          <cell r="G4595">
            <v>2804603921.2160001</v>
          </cell>
        </row>
        <row r="4596">
          <cell r="C4596" t="str">
            <v>IE0000669501</v>
          </cell>
          <cell r="G4596">
            <v>2804603921.2160001</v>
          </cell>
        </row>
        <row r="4597">
          <cell r="C4597" t="str">
            <v>IE0000669501</v>
          </cell>
          <cell r="G4597">
            <v>2804603921.2160001</v>
          </cell>
        </row>
        <row r="4598">
          <cell r="C4598" t="str">
            <v>FI0009000459</v>
          </cell>
          <cell r="G4598">
            <v>2789269675.9200001</v>
          </cell>
        </row>
        <row r="4599">
          <cell r="C4599" t="str">
            <v>FI0009000459</v>
          </cell>
          <cell r="G4599">
            <v>2789269675.9200001</v>
          </cell>
        </row>
        <row r="4600">
          <cell r="C4600" t="str">
            <v>FI0009000459</v>
          </cell>
          <cell r="G4600">
            <v>2789269675.9200001</v>
          </cell>
        </row>
        <row r="4601">
          <cell r="C4601" t="str">
            <v>FI0009000459</v>
          </cell>
          <cell r="G4601">
            <v>2789269675.9200001</v>
          </cell>
        </row>
        <row r="4602">
          <cell r="C4602" t="str">
            <v>FI0009000459</v>
          </cell>
          <cell r="G4602">
            <v>2789269675.9200001</v>
          </cell>
        </row>
        <row r="4603">
          <cell r="C4603" t="str">
            <v>FI0009000459</v>
          </cell>
          <cell r="G4603">
            <v>2789269675.9200001</v>
          </cell>
        </row>
        <row r="4604">
          <cell r="C4604" t="str">
            <v>FI0009000459</v>
          </cell>
          <cell r="G4604">
            <v>2789269675.9200001</v>
          </cell>
        </row>
        <row r="4605">
          <cell r="C4605" t="str">
            <v>FI0009000459</v>
          </cell>
          <cell r="G4605">
            <v>2789269675.9200001</v>
          </cell>
        </row>
        <row r="4606">
          <cell r="C4606" t="str">
            <v>FI0009000459</v>
          </cell>
          <cell r="G4606">
            <v>2789269675.9200001</v>
          </cell>
        </row>
        <row r="4607">
          <cell r="C4607" t="str">
            <v>FI0009000459</v>
          </cell>
          <cell r="G4607">
            <v>2789269675.9200001</v>
          </cell>
        </row>
        <row r="4608">
          <cell r="C4608" t="str">
            <v>FI0009000459</v>
          </cell>
          <cell r="G4608">
            <v>2789269675.9200001</v>
          </cell>
        </row>
        <row r="4609">
          <cell r="C4609" t="str">
            <v>FI0009000459</v>
          </cell>
          <cell r="G4609">
            <v>2789269675.9200001</v>
          </cell>
        </row>
        <row r="4610">
          <cell r="C4610" t="str">
            <v>FI0009000459</v>
          </cell>
          <cell r="G4610">
            <v>2789269675.9200001</v>
          </cell>
        </row>
        <row r="4611">
          <cell r="C4611" t="str">
            <v>FI0009000459</v>
          </cell>
          <cell r="G4611">
            <v>2789269675.9200001</v>
          </cell>
        </row>
        <row r="4612">
          <cell r="C4612" t="str">
            <v>IT0005282865</v>
          </cell>
          <cell r="G4612">
            <v>2774618557.6199999</v>
          </cell>
        </row>
        <row r="4613">
          <cell r="C4613" t="str">
            <v>IT0005282865</v>
          </cell>
          <cell r="G4613">
            <v>2774618557.6199999</v>
          </cell>
        </row>
        <row r="4614">
          <cell r="C4614" t="str">
            <v>IT0005282865</v>
          </cell>
          <cell r="G4614">
            <v>2774618557.6199999</v>
          </cell>
        </row>
        <row r="4615">
          <cell r="C4615" t="str">
            <v>IT0005282865</v>
          </cell>
          <cell r="G4615">
            <v>2774618557.6199999</v>
          </cell>
        </row>
        <row r="4616">
          <cell r="C4616" t="str">
            <v>IT0005282865</v>
          </cell>
          <cell r="G4616">
            <v>2774618557.6199999</v>
          </cell>
        </row>
        <row r="4617">
          <cell r="C4617" t="str">
            <v>IT0005282865</v>
          </cell>
          <cell r="G4617">
            <v>2774618557.6199999</v>
          </cell>
        </row>
        <row r="4618">
          <cell r="C4618" t="str">
            <v>IT0005282865</v>
          </cell>
          <cell r="G4618">
            <v>2774618557.6199999</v>
          </cell>
        </row>
        <row r="4619">
          <cell r="C4619" t="str">
            <v>IT0005282865</v>
          </cell>
          <cell r="G4619">
            <v>2774618557.6199999</v>
          </cell>
        </row>
        <row r="4620">
          <cell r="C4620" t="str">
            <v>IT0005282865</v>
          </cell>
          <cell r="G4620">
            <v>2774618557.6199999</v>
          </cell>
        </row>
        <row r="4621">
          <cell r="C4621" t="str">
            <v>IT0005282865</v>
          </cell>
          <cell r="G4621">
            <v>2774618557.6199999</v>
          </cell>
        </row>
        <row r="4622">
          <cell r="C4622" t="str">
            <v>IT0005282865</v>
          </cell>
          <cell r="G4622">
            <v>2774618557.6199999</v>
          </cell>
        </row>
        <row r="4623">
          <cell r="C4623" t="str">
            <v>IT0005282865</v>
          </cell>
          <cell r="G4623">
            <v>2774618557.6199999</v>
          </cell>
        </row>
        <row r="4624">
          <cell r="C4624" t="str">
            <v>IT0005282865</v>
          </cell>
          <cell r="G4624">
            <v>2774618557.6199999</v>
          </cell>
        </row>
        <row r="4625">
          <cell r="C4625" t="str">
            <v>IT0005282865</v>
          </cell>
          <cell r="G4625">
            <v>2774618557.6199999</v>
          </cell>
        </row>
        <row r="4626">
          <cell r="C4626" t="str">
            <v>IT0001031084</v>
          </cell>
          <cell r="G4626">
            <v>2768507409.6224999</v>
          </cell>
        </row>
        <row r="4627">
          <cell r="C4627" t="str">
            <v>IT0001031084</v>
          </cell>
          <cell r="G4627">
            <v>2768507409.6224999</v>
          </cell>
        </row>
        <row r="4628">
          <cell r="C4628" t="str">
            <v>IT0001031084</v>
          </cell>
          <cell r="G4628">
            <v>2768507409.6224999</v>
          </cell>
        </row>
        <row r="4629">
          <cell r="C4629" t="str">
            <v>IT0001031084</v>
          </cell>
          <cell r="G4629">
            <v>2768507409.6224999</v>
          </cell>
        </row>
        <row r="4630">
          <cell r="C4630" t="str">
            <v>IT0001031084</v>
          </cell>
          <cell r="G4630">
            <v>2768507409.6224999</v>
          </cell>
        </row>
        <row r="4631">
          <cell r="C4631" t="str">
            <v>IT0001031084</v>
          </cell>
          <cell r="G4631">
            <v>2768507409.6224999</v>
          </cell>
        </row>
        <row r="4632">
          <cell r="C4632" t="str">
            <v>IT0001031084</v>
          </cell>
          <cell r="G4632">
            <v>2768507409.6224999</v>
          </cell>
        </row>
        <row r="4633">
          <cell r="C4633" t="str">
            <v>IT0001031084</v>
          </cell>
          <cell r="G4633">
            <v>2768507409.6224999</v>
          </cell>
        </row>
        <row r="4634">
          <cell r="C4634" t="str">
            <v>IT0001031084</v>
          </cell>
          <cell r="G4634">
            <v>2768507409.6224999</v>
          </cell>
        </row>
        <row r="4635">
          <cell r="C4635" t="str">
            <v>IT0001031084</v>
          </cell>
          <cell r="G4635">
            <v>2768507409.6224999</v>
          </cell>
        </row>
        <row r="4636">
          <cell r="C4636" t="str">
            <v>IT0001031084</v>
          </cell>
          <cell r="G4636">
            <v>2768507409.6224999</v>
          </cell>
        </row>
        <row r="4637">
          <cell r="C4637" t="str">
            <v>IT0001031084</v>
          </cell>
          <cell r="G4637">
            <v>2768507409.6224999</v>
          </cell>
        </row>
        <row r="4638">
          <cell r="C4638" t="str">
            <v>IT0001031084</v>
          </cell>
          <cell r="G4638">
            <v>2768507409.6224999</v>
          </cell>
        </row>
        <row r="4639">
          <cell r="C4639" t="str">
            <v>IT0001031084</v>
          </cell>
          <cell r="G4639">
            <v>2768507409.6224999</v>
          </cell>
        </row>
        <row r="4640">
          <cell r="C4640" t="str">
            <v>FR0010313833</v>
          </cell>
          <cell r="G4640">
            <v>2707385279.4450002</v>
          </cell>
        </row>
        <row r="4641">
          <cell r="C4641" t="str">
            <v>FR0010313833</v>
          </cell>
          <cell r="G4641">
            <v>2707385279.4450002</v>
          </cell>
        </row>
        <row r="4642">
          <cell r="C4642" t="str">
            <v>FR0010313833</v>
          </cell>
          <cell r="G4642">
            <v>2707385279.4450002</v>
          </cell>
        </row>
        <row r="4643">
          <cell r="C4643" t="str">
            <v>FR0010313833</v>
          </cell>
          <cell r="G4643">
            <v>2707385279.4450002</v>
          </cell>
        </row>
        <row r="4644">
          <cell r="C4644" t="str">
            <v>FR0010313833</v>
          </cell>
          <cell r="G4644">
            <v>2707385279.4450002</v>
          </cell>
        </row>
        <row r="4645">
          <cell r="C4645" t="str">
            <v>FR0010313833</v>
          </cell>
          <cell r="G4645">
            <v>2707385279.4450002</v>
          </cell>
        </row>
        <row r="4646">
          <cell r="C4646" t="str">
            <v>FR0010313833</v>
          </cell>
          <cell r="G4646">
            <v>2707385279.4450002</v>
          </cell>
        </row>
        <row r="4647">
          <cell r="C4647" t="str">
            <v>FR0010313833</v>
          </cell>
          <cell r="G4647">
            <v>2707385279.4450002</v>
          </cell>
        </row>
        <row r="4648">
          <cell r="C4648" t="str">
            <v>FR0010313833</v>
          </cell>
          <cell r="G4648">
            <v>2707385279.4450002</v>
          </cell>
        </row>
        <row r="4649">
          <cell r="C4649" t="str">
            <v>FR0010313833</v>
          </cell>
          <cell r="G4649">
            <v>2707385279.4450002</v>
          </cell>
        </row>
        <row r="4650">
          <cell r="C4650" t="str">
            <v>FR0010313833</v>
          </cell>
          <cell r="G4650">
            <v>2707385279.4450002</v>
          </cell>
        </row>
        <row r="4651">
          <cell r="C4651" t="str">
            <v>FR0010313833</v>
          </cell>
          <cell r="G4651">
            <v>2707385279.4450002</v>
          </cell>
        </row>
        <row r="4652">
          <cell r="C4652" t="str">
            <v>FR0010313833</v>
          </cell>
          <cell r="G4652">
            <v>2707385279.4450002</v>
          </cell>
        </row>
        <row r="4653">
          <cell r="C4653" t="str">
            <v>FR0010313833</v>
          </cell>
          <cell r="G4653">
            <v>2707385279.4450002</v>
          </cell>
        </row>
        <row r="4654">
          <cell r="C4654" t="str">
            <v>DE0008303504</v>
          </cell>
          <cell r="G4654">
            <v>2701309292.5999999</v>
          </cell>
        </row>
        <row r="4655">
          <cell r="C4655" t="str">
            <v>DE0008303504</v>
          </cell>
          <cell r="G4655">
            <v>2701309292.5999999</v>
          </cell>
        </row>
        <row r="4656">
          <cell r="C4656" t="str">
            <v>DE0008303504</v>
          </cell>
          <cell r="G4656">
            <v>2701309292.5999999</v>
          </cell>
        </row>
        <row r="4657">
          <cell r="C4657" t="str">
            <v>DE0008303504</v>
          </cell>
          <cell r="G4657">
            <v>2701309292.5999999</v>
          </cell>
        </row>
        <row r="4658">
          <cell r="C4658" t="str">
            <v>DE0008303504</v>
          </cell>
          <cell r="G4658">
            <v>2701309292.5999999</v>
          </cell>
        </row>
        <row r="4659">
          <cell r="C4659" t="str">
            <v>DE0008303504</v>
          </cell>
          <cell r="G4659">
            <v>2701309292.5999999</v>
          </cell>
        </row>
        <row r="4660">
          <cell r="C4660" t="str">
            <v>DE0008303504</v>
          </cell>
          <cell r="G4660">
            <v>2701309292.5999999</v>
          </cell>
        </row>
        <row r="4661">
          <cell r="C4661" t="str">
            <v>DE0008303504</v>
          </cell>
          <cell r="G4661">
            <v>2701309292.5999999</v>
          </cell>
        </row>
        <row r="4662">
          <cell r="C4662" t="str">
            <v>DE0008303504</v>
          </cell>
          <cell r="G4662">
            <v>2701309292.5999999</v>
          </cell>
        </row>
        <row r="4663">
          <cell r="C4663" t="str">
            <v>DE0008303504</v>
          </cell>
          <cell r="G4663">
            <v>2701309292.5999999</v>
          </cell>
        </row>
        <row r="4664">
          <cell r="C4664" t="str">
            <v>DE0008303504</v>
          </cell>
          <cell r="G4664">
            <v>2701309292.5999999</v>
          </cell>
        </row>
        <row r="4665">
          <cell r="C4665" t="str">
            <v>DE0008303504</v>
          </cell>
          <cell r="G4665">
            <v>2701309292.5999999</v>
          </cell>
        </row>
        <row r="4666">
          <cell r="C4666" t="str">
            <v>DE0008303504</v>
          </cell>
          <cell r="G4666">
            <v>2701309292.5999999</v>
          </cell>
        </row>
        <row r="4667">
          <cell r="C4667" t="str">
            <v>DE0008303504</v>
          </cell>
          <cell r="G4667">
            <v>2701309292.5999999</v>
          </cell>
        </row>
        <row r="4668">
          <cell r="C4668" t="str">
            <v>BE0974320526</v>
          </cell>
          <cell r="G4668">
            <v>2683296000</v>
          </cell>
        </row>
        <row r="4669">
          <cell r="C4669" t="str">
            <v>BE0974320526</v>
          </cell>
          <cell r="G4669">
            <v>2683296000</v>
          </cell>
        </row>
        <row r="4670">
          <cell r="C4670" t="str">
            <v>BE0974320526</v>
          </cell>
          <cell r="G4670">
            <v>2683296000</v>
          </cell>
        </row>
        <row r="4671">
          <cell r="C4671" t="str">
            <v>BE0974320526</v>
          </cell>
          <cell r="G4671">
            <v>2683296000</v>
          </cell>
        </row>
        <row r="4672">
          <cell r="C4672" t="str">
            <v>BE0974320526</v>
          </cell>
          <cell r="G4672">
            <v>2683296000</v>
          </cell>
        </row>
        <row r="4673">
          <cell r="C4673" t="str">
            <v>BE0974320526</v>
          </cell>
          <cell r="G4673">
            <v>2683296000</v>
          </cell>
        </row>
        <row r="4674">
          <cell r="C4674" t="str">
            <v>BE0974320526</v>
          </cell>
          <cell r="G4674">
            <v>2683296000</v>
          </cell>
        </row>
        <row r="4675">
          <cell r="C4675" t="str">
            <v>BE0974320526</v>
          </cell>
          <cell r="G4675">
            <v>2683296000</v>
          </cell>
        </row>
        <row r="4676">
          <cell r="C4676" t="str">
            <v>BE0974320526</v>
          </cell>
          <cell r="G4676">
            <v>2683296000</v>
          </cell>
        </row>
        <row r="4677">
          <cell r="C4677" t="str">
            <v>BE0974320526</v>
          </cell>
          <cell r="G4677">
            <v>2683296000</v>
          </cell>
        </row>
        <row r="4678">
          <cell r="C4678" t="str">
            <v>BE0974320526</v>
          </cell>
          <cell r="G4678">
            <v>2683296000</v>
          </cell>
        </row>
        <row r="4679">
          <cell r="C4679" t="str">
            <v>BE0974320526</v>
          </cell>
          <cell r="G4679">
            <v>2683296000</v>
          </cell>
        </row>
        <row r="4680">
          <cell r="C4680" t="str">
            <v>BE0974320526</v>
          </cell>
          <cell r="G4680">
            <v>2683296000</v>
          </cell>
        </row>
        <row r="4681">
          <cell r="C4681" t="str">
            <v>BE0974320526</v>
          </cell>
          <cell r="G4681">
            <v>2683296000</v>
          </cell>
        </row>
        <row r="4682">
          <cell r="C4682" t="str">
            <v>FR0000121121</v>
          </cell>
          <cell r="G4682">
            <v>2660893491.1999998</v>
          </cell>
        </row>
        <row r="4683">
          <cell r="C4683" t="str">
            <v>FR0000121121</v>
          </cell>
          <cell r="G4683">
            <v>2660893491.1999998</v>
          </cell>
        </row>
        <row r="4684">
          <cell r="C4684" t="str">
            <v>FR0000121121</v>
          </cell>
          <cell r="G4684">
            <v>2660893491.1999998</v>
          </cell>
        </row>
        <row r="4685">
          <cell r="C4685" t="str">
            <v>FR0000121121</v>
          </cell>
          <cell r="G4685">
            <v>2660893491.1999998</v>
          </cell>
        </row>
        <row r="4686">
          <cell r="C4686" t="str">
            <v>FR0000121121</v>
          </cell>
          <cell r="G4686">
            <v>2660893491.1999998</v>
          </cell>
        </row>
        <row r="4687">
          <cell r="C4687" t="str">
            <v>FR0000121121</v>
          </cell>
          <cell r="G4687">
            <v>2660893491.1999998</v>
          </cell>
        </row>
        <row r="4688">
          <cell r="C4688" t="str">
            <v>FR0000121121</v>
          </cell>
          <cell r="G4688">
            <v>2660893491.1999998</v>
          </cell>
        </row>
        <row r="4689">
          <cell r="C4689" t="str">
            <v>FR0000121121</v>
          </cell>
          <cell r="G4689">
            <v>2660893491.1999998</v>
          </cell>
        </row>
        <row r="4690">
          <cell r="C4690" t="str">
            <v>FR0000121121</v>
          </cell>
          <cell r="G4690">
            <v>2660893491.1999998</v>
          </cell>
        </row>
        <row r="4691">
          <cell r="C4691" t="str">
            <v>FR0000121121</v>
          </cell>
          <cell r="G4691">
            <v>2660893491.1999998</v>
          </cell>
        </row>
        <row r="4692">
          <cell r="C4692" t="str">
            <v>FR0000121121</v>
          </cell>
          <cell r="G4692">
            <v>2660893491.1999998</v>
          </cell>
        </row>
        <row r="4693">
          <cell r="C4693" t="str">
            <v>FR0000121121</v>
          </cell>
          <cell r="G4693">
            <v>2660893491.1999998</v>
          </cell>
        </row>
        <row r="4694">
          <cell r="C4694" t="str">
            <v>FR0000121121</v>
          </cell>
          <cell r="G4694">
            <v>2660893491.1999998</v>
          </cell>
        </row>
        <row r="4695">
          <cell r="C4695" t="str">
            <v>FR0000121121</v>
          </cell>
          <cell r="G4695">
            <v>2660893491.1999998</v>
          </cell>
        </row>
        <row r="4696">
          <cell r="C4696" t="str">
            <v>FR0013269123</v>
          </cell>
          <cell r="G4696">
            <v>2641100023.6960011</v>
          </cell>
        </row>
        <row r="4697">
          <cell r="C4697" t="str">
            <v>FR0013269123</v>
          </cell>
          <cell r="G4697">
            <v>2641100023.6960011</v>
          </cell>
        </row>
        <row r="4698">
          <cell r="C4698" t="str">
            <v>FR0013269123</v>
          </cell>
          <cell r="G4698">
            <v>2641100023.6960011</v>
          </cell>
        </row>
        <row r="4699">
          <cell r="C4699" t="str">
            <v>FR0013269123</v>
          </cell>
          <cell r="G4699">
            <v>2641100023.6960011</v>
          </cell>
        </row>
        <row r="4700">
          <cell r="C4700" t="str">
            <v>FR0013269123</v>
          </cell>
          <cell r="G4700">
            <v>2641100023.6960011</v>
          </cell>
        </row>
        <row r="4701">
          <cell r="C4701" t="str">
            <v>FR0013269123</v>
          </cell>
          <cell r="G4701">
            <v>2641100023.6960011</v>
          </cell>
        </row>
        <row r="4702">
          <cell r="C4702" t="str">
            <v>FR0013269123</v>
          </cell>
          <cell r="G4702">
            <v>2641100023.6960011</v>
          </cell>
        </row>
        <row r="4703">
          <cell r="C4703" t="str">
            <v>FR0013269123</v>
          </cell>
          <cell r="G4703">
            <v>2641100023.6960011</v>
          </cell>
        </row>
        <row r="4704">
          <cell r="C4704" t="str">
            <v>FR0013269123</v>
          </cell>
          <cell r="G4704">
            <v>2641100023.6960011</v>
          </cell>
        </row>
        <row r="4705">
          <cell r="C4705" t="str">
            <v>FR0013269123</v>
          </cell>
          <cell r="G4705">
            <v>2641100023.6960011</v>
          </cell>
        </row>
        <row r="4706">
          <cell r="C4706" t="str">
            <v>FR0013269123</v>
          </cell>
          <cell r="G4706">
            <v>2641100023.6960011</v>
          </cell>
        </row>
        <row r="4707">
          <cell r="C4707" t="str">
            <v>FR0013269123</v>
          </cell>
          <cell r="G4707">
            <v>2641100023.6960011</v>
          </cell>
        </row>
        <row r="4708">
          <cell r="C4708" t="str">
            <v>FR0013269123</v>
          </cell>
          <cell r="G4708">
            <v>2641100023.6960011</v>
          </cell>
        </row>
        <row r="4709">
          <cell r="C4709" t="str">
            <v>FR0013269123</v>
          </cell>
          <cell r="G4709">
            <v>2641100023.6960011</v>
          </cell>
        </row>
        <row r="4710">
          <cell r="C4710" t="str">
            <v>DE0005773303</v>
          </cell>
          <cell r="G4710">
            <v>2626111193.5999999</v>
          </cell>
        </row>
        <row r="4711">
          <cell r="C4711" t="str">
            <v>DE0005773303</v>
          </cell>
          <cell r="G4711">
            <v>2626111193.5999999</v>
          </cell>
        </row>
        <row r="4712">
          <cell r="C4712" t="str">
            <v>DE0005773303</v>
          </cell>
          <cell r="G4712">
            <v>2626111193.5999999</v>
          </cell>
        </row>
        <row r="4713">
          <cell r="C4713" t="str">
            <v>DE0005773303</v>
          </cell>
          <cell r="G4713">
            <v>2626111193.5999999</v>
          </cell>
        </row>
        <row r="4714">
          <cell r="C4714" t="str">
            <v>DE0005773303</v>
          </cell>
          <cell r="G4714">
            <v>2626111193.5999999</v>
          </cell>
        </row>
        <row r="4715">
          <cell r="C4715" t="str">
            <v>DE0005773303</v>
          </cell>
          <cell r="G4715">
            <v>2626111193.5999999</v>
          </cell>
        </row>
        <row r="4716">
          <cell r="C4716" t="str">
            <v>DE0005773303</v>
          </cell>
          <cell r="G4716">
            <v>2626111193.5999999</v>
          </cell>
        </row>
        <row r="4717">
          <cell r="C4717" t="str">
            <v>DE0005773303</v>
          </cell>
          <cell r="G4717">
            <v>2626111193.5999999</v>
          </cell>
        </row>
        <row r="4718">
          <cell r="C4718" t="str">
            <v>DE0005773303</v>
          </cell>
          <cell r="G4718">
            <v>2626111193.5999999</v>
          </cell>
        </row>
        <row r="4719">
          <cell r="C4719" t="str">
            <v>DE0005773303</v>
          </cell>
          <cell r="G4719">
            <v>2626111193.5999999</v>
          </cell>
        </row>
        <row r="4720">
          <cell r="C4720" t="str">
            <v>DE0005773303</v>
          </cell>
          <cell r="G4720">
            <v>2626111193.5999999</v>
          </cell>
        </row>
        <row r="4721">
          <cell r="C4721" t="str">
            <v>DE0005773303</v>
          </cell>
          <cell r="G4721">
            <v>2626111193.5999999</v>
          </cell>
        </row>
        <row r="4722">
          <cell r="C4722" t="str">
            <v>DE0005773303</v>
          </cell>
          <cell r="G4722">
            <v>2626111193.5999999</v>
          </cell>
        </row>
        <row r="4723">
          <cell r="C4723" t="str">
            <v>DE0005773303</v>
          </cell>
          <cell r="G4723">
            <v>2626111193.5999999</v>
          </cell>
        </row>
        <row r="4724">
          <cell r="C4724" t="str">
            <v>FR0000039299</v>
          </cell>
          <cell r="G4724">
            <v>2594459639.9271998</v>
          </cell>
        </row>
        <row r="4725">
          <cell r="C4725" t="str">
            <v>FR0000039299</v>
          </cell>
          <cell r="G4725">
            <v>2594459639.9271998</v>
          </cell>
        </row>
        <row r="4726">
          <cell r="C4726" t="str">
            <v>FR0000039299</v>
          </cell>
          <cell r="G4726">
            <v>2594459639.9271998</v>
          </cell>
        </row>
        <row r="4727">
          <cell r="C4727" t="str">
            <v>FR0000039299</v>
          </cell>
          <cell r="G4727">
            <v>2594459639.9271998</v>
          </cell>
        </row>
        <row r="4728">
          <cell r="C4728" t="str">
            <v>FR0000039299</v>
          </cell>
          <cell r="G4728">
            <v>2594459639.9271998</v>
          </cell>
        </row>
        <row r="4729">
          <cell r="C4729" t="str">
            <v>FR0000039299</v>
          </cell>
          <cell r="G4729">
            <v>2594459639.9271998</v>
          </cell>
        </row>
        <row r="4730">
          <cell r="C4730" t="str">
            <v>FR0000039299</v>
          </cell>
          <cell r="G4730">
            <v>2594459639.9271998</v>
          </cell>
        </row>
        <row r="4731">
          <cell r="C4731" t="str">
            <v>FR0000039299</v>
          </cell>
          <cell r="G4731">
            <v>2594459639.9271998</v>
          </cell>
        </row>
        <row r="4732">
          <cell r="C4732" t="str">
            <v>FR0000039299</v>
          </cell>
          <cell r="G4732">
            <v>2594459639.9271998</v>
          </cell>
        </row>
        <row r="4733">
          <cell r="C4733" t="str">
            <v>FR0000039299</v>
          </cell>
          <cell r="G4733">
            <v>2594459639.9271998</v>
          </cell>
        </row>
        <row r="4734">
          <cell r="C4734" t="str">
            <v>FR0000039299</v>
          </cell>
          <cell r="G4734">
            <v>2594459639.9271998</v>
          </cell>
        </row>
        <row r="4735">
          <cell r="C4735" t="str">
            <v>FR0000039299</v>
          </cell>
          <cell r="G4735">
            <v>2594459639.9271998</v>
          </cell>
        </row>
        <row r="4736">
          <cell r="C4736" t="str">
            <v>FR0000039299</v>
          </cell>
          <cell r="G4736">
            <v>2594459639.9271998</v>
          </cell>
        </row>
        <row r="4737">
          <cell r="C4737" t="str">
            <v>FR0000039299</v>
          </cell>
          <cell r="G4737">
            <v>2594459639.9271998</v>
          </cell>
        </row>
        <row r="4738">
          <cell r="C4738" t="str">
            <v>NL0006237562</v>
          </cell>
          <cell r="G4738">
            <v>2574343678.224</v>
          </cell>
        </row>
        <row r="4739">
          <cell r="C4739" t="str">
            <v>NL0006237562</v>
          </cell>
          <cell r="G4739">
            <v>2574343678.224</v>
          </cell>
        </row>
        <row r="4740">
          <cell r="C4740" t="str">
            <v>NL0006237562</v>
          </cell>
          <cell r="G4740">
            <v>2574343678.224</v>
          </cell>
        </row>
        <row r="4741">
          <cell r="C4741" t="str">
            <v>NL0006237562</v>
          </cell>
          <cell r="G4741">
            <v>2574343678.224</v>
          </cell>
        </row>
        <row r="4742">
          <cell r="C4742" t="str">
            <v>NL0006237562</v>
          </cell>
          <cell r="G4742">
            <v>2574343678.224</v>
          </cell>
        </row>
        <row r="4743">
          <cell r="C4743" t="str">
            <v>NL0006237562</v>
          </cell>
          <cell r="G4743">
            <v>2574343678.224</v>
          </cell>
        </row>
        <row r="4744">
          <cell r="C4744" t="str">
            <v>NL0006237562</v>
          </cell>
          <cell r="G4744">
            <v>2574343678.224</v>
          </cell>
        </row>
        <row r="4745">
          <cell r="C4745" t="str">
            <v>NL0006237562</v>
          </cell>
          <cell r="G4745">
            <v>2574343678.224</v>
          </cell>
        </row>
        <row r="4746">
          <cell r="C4746" t="str">
            <v>NL0006237562</v>
          </cell>
          <cell r="G4746">
            <v>2574343678.224</v>
          </cell>
        </row>
        <row r="4747">
          <cell r="C4747" t="str">
            <v>NL0006237562</v>
          </cell>
          <cell r="G4747">
            <v>2574343678.224</v>
          </cell>
        </row>
        <row r="4748">
          <cell r="C4748" t="str">
            <v>NL0006237562</v>
          </cell>
          <cell r="G4748">
            <v>2574343678.224</v>
          </cell>
        </row>
        <row r="4749">
          <cell r="C4749" t="str">
            <v>NL0006237562</v>
          </cell>
          <cell r="G4749">
            <v>2574343678.224</v>
          </cell>
        </row>
        <row r="4750">
          <cell r="C4750" t="str">
            <v>NL0006237562</v>
          </cell>
          <cell r="G4750">
            <v>2574343678.224</v>
          </cell>
        </row>
        <row r="4751">
          <cell r="C4751" t="str">
            <v>NL0006237562</v>
          </cell>
          <cell r="G4751">
            <v>2574343678.224</v>
          </cell>
        </row>
        <row r="4752">
          <cell r="C4752" t="str">
            <v>FR0013506730</v>
          </cell>
          <cell r="G4752">
            <v>2568224701.441</v>
          </cell>
        </row>
        <row r="4753">
          <cell r="C4753" t="str">
            <v>FR0013506730</v>
          </cell>
          <cell r="G4753">
            <v>2568224701.441</v>
          </cell>
        </row>
        <row r="4754">
          <cell r="C4754" t="str">
            <v>FR0013506730</v>
          </cell>
          <cell r="G4754">
            <v>2568224701.441</v>
          </cell>
        </row>
        <row r="4755">
          <cell r="C4755" t="str">
            <v>FR0013506730</v>
          </cell>
          <cell r="G4755">
            <v>2568224701.441</v>
          </cell>
        </row>
        <row r="4756">
          <cell r="C4756" t="str">
            <v>FR0013506730</v>
          </cell>
          <cell r="G4756">
            <v>2568224701.441</v>
          </cell>
        </row>
        <row r="4757">
          <cell r="C4757" t="str">
            <v>FR0013506730</v>
          </cell>
          <cell r="G4757">
            <v>2568224701.441</v>
          </cell>
        </row>
        <row r="4758">
          <cell r="C4758" t="str">
            <v>FR0013506730</v>
          </cell>
          <cell r="G4758">
            <v>2568224701.441</v>
          </cell>
        </row>
        <row r="4759">
          <cell r="C4759" t="str">
            <v>FR0013506730</v>
          </cell>
          <cell r="G4759">
            <v>2568224701.441</v>
          </cell>
        </row>
        <row r="4760">
          <cell r="C4760" t="str">
            <v>FR0013506730</v>
          </cell>
          <cell r="G4760">
            <v>2568224701.441</v>
          </cell>
        </row>
        <row r="4761">
          <cell r="C4761" t="str">
            <v>FR0013506730</v>
          </cell>
          <cell r="G4761">
            <v>2568224701.441</v>
          </cell>
        </row>
        <row r="4762">
          <cell r="C4762" t="str">
            <v>FR0013506730</v>
          </cell>
          <cell r="G4762">
            <v>2568224701.441</v>
          </cell>
        </row>
        <row r="4763">
          <cell r="C4763" t="str">
            <v>FR0013506730</v>
          </cell>
          <cell r="G4763">
            <v>2568224701.441</v>
          </cell>
        </row>
        <row r="4764">
          <cell r="C4764" t="str">
            <v>FR0013506730</v>
          </cell>
          <cell r="G4764">
            <v>2568224701.441</v>
          </cell>
        </row>
        <row r="4765">
          <cell r="C4765" t="str">
            <v>FR0013506730</v>
          </cell>
          <cell r="G4765">
            <v>2568224701.441</v>
          </cell>
        </row>
        <row r="4766">
          <cell r="C4766" t="str">
            <v>DE000A3E5D64</v>
          </cell>
          <cell r="G4766">
            <v>2521750000</v>
          </cell>
        </row>
        <row r="4767">
          <cell r="C4767" t="str">
            <v>DE000A3E5D64</v>
          </cell>
          <cell r="G4767">
            <v>2521750000</v>
          </cell>
        </row>
        <row r="4768">
          <cell r="C4768" t="str">
            <v>DE000A3E5D64</v>
          </cell>
          <cell r="G4768">
            <v>2521750000</v>
          </cell>
        </row>
        <row r="4769">
          <cell r="C4769" t="str">
            <v>DE000A3E5D64</v>
          </cell>
          <cell r="G4769">
            <v>2521750000</v>
          </cell>
        </row>
        <row r="4770">
          <cell r="C4770" t="str">
            <v>DE000A3E5D64</v>
          </cell>
          <cell r="G4770">
            <v>2521750000</v>
          </cell>
        </row>
        <row r="4771">
          <cell r="C4771" t="str">
            <v>DE000A3E5D64</v>
          </cell>
          <cell r="G4771">
            <v>2521750000</v>
          </cell>
        </row>
        <row r="4772">
          <cell r="C4772" t="str">
            <v>DE000A3E5D64</v>
          </cell>
          <cell r="G4772">
            <v>2521750000</v>
          </cell>
        </row>
        <row r="4773">
          <cell r="C4773" t="str">
            <v>DE000A3E5D64</v>
          </cell>
          <cell r="G4773">
            <v>2521750000</v>
          </cell>
        </row>
        <row r="4774">
          <cell r="C4774" t="str">
            <v>DE000A3E5D64</v>
          </cell>
          <cell r="G4774">
            <v>2521750000</v>
          </cell>
        </row>
        <row r="4775">
          <cell r="C4775" t="str">
            <v>DE000A3E5D64</v>
          </cell>
          <cell r="G4775">
            <v>2521750000</v>
          </cell>
        </row>
        <row r="4776">
          <cell r="C4776" t="str">
            <v>DE000A3E5D64</v>
          </cell>
          <cell r="G4776">
            <v>2521750000</v>
          </cell>
        </row>
        <row r="4777">
          <cell r="C4777" t="str">
            <v>DE000A3E5D64</v>
          </cell>
          <cell r="G4777">
            <v>2521750000</v>
          </cell>
        </row>
        <row r="4778">
          <cell r="C4778" t="str">
            <v>DE000A3E5D64</v>
          </cell>
          <cell r="G4778">
            <v>2521750000</v>
          </cell>
        </row>
        <row r="4779">
          <cell r="C4779" t="str">
            <v>DE000A3E5D64</v>
          </cell>
          <cell r="G4779">
            <v>2521750000</v>
          </cell>
        </row>
        <row r="4780">
          <cell r="C4780" t="str">
            <v>BMG455841020</v>
          </cell>
          <cell r="G4780">
            <v>2494235846.4000001</v>
          </cell>
        </row>
        <row r="4781">
          <cell r="C4781" t="str">
            <v>BMG455841020</v>
          </cell>
          <cell r="G4781">
            <v>2494235846.4000001</v>
          </cell>
        </row>
        <row r="4782">
          <cell r="C4782" t="str">
            <v>BMG455841020</v>
          </cell>
          <cell r="G4782">
            <v>2494235846.4000001</v>
          </cell>
        </row>
        <row r="4783">
          <cell r="C4783" t="str">
            <v>BMG455841020</v>
          </cell>
          <cell r="G4783">
            <v>2494235846.4000001</v>
          </cell>
        </row>
        <row r="4784">
          <cell r="C4784" t="str">
            <v>BMG455841020</v>
          </cell>
          <cell r="G4784">
            <v>2494235846.4000001</v>
          </cell>
        </row>
        <row r="4785">
          <cell r="C4785" t="str">
            <v>BMG455841020</v>
          </cell>
          <cell r="G4785">
            <v>2494235846.4000001</v>
          </cell>
        </row>
        <row r="4786">
          <cell r="C4786" t="str">
            <v>BMG455841020</v>
          </cell>
          <cell r="G4786">
            <v>2494235846.4000001</v>
          </cell>
        </row>
        <row r="4787">
          <cell r="C4787" t="str">
            <v>BMG455841020</v>
          </cell>
          <cell r="G4787">
            <v>2494235846.4000001</v>
          </cell>
        </row>
        <row r="4788">
          <cell r="C4788" t="str">
            <v>BMG455841020</v>
          </cell>
          <cell r="G4788">
            <v>2494235846.4000001</v>
          </cell>
        </row>
        <row r="4789">
          <cell r="C4789" t="str">
            <v>BMG455841020</v>
          </cell>
          <cell r="G4789">
            <v>2494235846.4000001</v>
          </cell>
        </row>
        <row r="4790">
          <cell r="C4790" t="str">
            <v>BMG455841020</v>
          </cell>
          <cell r="G4790">
            <v>2494235846.4000001</v>
          </cell>
        </row>
        <row r="4791">
          <cell r="C4791" t="str">
            <v>BMG455841020</v>
          </cell>
          <cell r="G4791">
            <v>2494235846.4000001</v>
          </cell>
        </row>
        <row r="4792">
          <cell r="C4792" t="str">
            <v>BMG455841020</v>
          </cell>
          <cell r="G4792">
            <v>2494235846.4000001</v>
          </cell>
        </row>
        <row r="4793">
          <cell r="C4793" t="str">
            <v>BMG455841020</v>
          </cell>
          <cell r="G4793">
            <v>2494235846.4000001</v>
          </cell>
        </row>
        <row r="4794">
          <cell r="C4794" t="str">
            <v>NL0000852564</v>
          </cell>
          <cell r="G4794">
            <v>2473898041.9439998</v>
          </cell>
        </row>
        <row r="4795">
          <cell r="C4795" t="str">
            <v>NL0000852564</v>
          </cell>
          <cell r="G4795">
            <v>2473898041.9439998</v>
          </cell>
        </row>
        <row r="4796">
          <cell r="C4796" t="str">
            <v>NL0000852564</v>
          </cell>
          <cell r="G4796">
            <v>2473898041.9439998</v>
          </cell>
        </row>
        <row r="4797">
          <cell r="C4797" t="str">
            <v>NL0000852564</v>
          </cell>
          <cell r="G4797">
            <v>2473898041.9439998</v>
          </cell>
        </row>
        <row r="4798">
          <cell r="C4798" t="str">
            <v>NL0000852564</v>
          </cell>
          <cell r="G4798">
            <v>2473898041.9439998</v>
          </cell>
        </row>
        <row r="4799">
          <cell r="C4799" t="str">
            <v>NL0000852564</v>
          </cell>
          <cell r="G4799">
            <v>2473898041.9439998</v>
          </cell>
        </row>
        <row r="4800">
          <cell r="C4800" t="str">
            <v>NL0000852564</v>
          </cell>
          <cell r="G4800">
            <v>2473898041.9439998</v>
          </cell>
        </row>
        <row r="4801">
          <cell r="C4801" t="str">
            <v>NL0000852564</v>
          </cell>
          <cell r="G4801">
            <v>2473898041.9439998</v>
          </cell>
        </row>
        <row r="4802">
          <cell r="C4802" t="str">
            <v>NL0000852564</v>
          </cell>
          <cell r="G4802">
            <v>2473898041.9439998</v>
          </cell>
        </row>
        <row r="4803">
          <cell r="C4803" t="str">
            <v>NL0000852564</v>
          </cell>
          <cell r="G4803">
            <v>2473898041.9439998</v>
          </cell>
        </row>
        <row r="4804">
          <cell r="C4804" t="str">
            <v>NL0000852564</v>
          </cell>
          <cell r="G4804">
            <v>2473898041.9439998</v>
          </cell>
        </row>
        <row r="4805">
          <cell r="C4805" t="str">
            <v>NL0000852564</v>
          </cell>
          <cell r="G4805">
            <v>2473898041.9439998</v>
          </cell>
        </row>
        <row r="4806">
          <cell r="C4806" t="str">
            <v>NL0000852564</v>
          </cell>
          <cell r="G4806">
            <v>2473898041.9439998</v>
          </cell>
        </row>
        <row r="4807">
          <cell r="C4807" t="str">
            <v>NL0000852564</v>
          </cell>
          <cell r="G4807">
            <v>2473898041.9439998</v>
          </cell>
        </row>
        <row r="4808">
          <cell r="C4808" t="str">
            <v>IT0003115950</v>
          </cell>
          <cell r="G4808">
            <v>2380168802.4840002</v>
          </cell>
        </row>
        <row r="4809">
          <cell r="C4809" t="str">
            <v>IT0003115950</v>
          </cell>
          <cell r="G4809">
            <v>2380168802.4840002</v>
          </cell>
        </row>
        <row r="4810">
          <cell r="C4810" t="str">
            <v>IT0003115950</v>
          </cell>
          <cell r="G4810">
            <v>2380168802.4840002</v>
          </cell>
        </row>
        <row r="4811">
          <cell r="C4811" t="str">
            <v>IT0003115950</v>
          </cell>
          <cell r="G4811">
            <v>2380168802.4840002</v>
          </cell>
        </row>
        <row r="4812">
          <cell r="C4812" t="str">
            <v>IT0003115950</v>
          </cell>
          <cell r="G4812">
            <v>2380168802.4840002</v>
          </cell>
        </row>
        <row r="4813">
          <cell r="C4813" t="str">
            <v>IT0003115950</v>
          </cell>
          <cell r="G4813">
            <v>2380168802.4840002</v>
          </cell>
        </row>
        <row r="4814">
          <cell r="C4814" t="str">
            <v>IT0003115950</v>
          </cell>
          <cell r="G4814">
            <v>2380168802.4840002</v>
          </cell>
        </row>
        <row r="4815">
          <cell r="C4815" t="str">
            <v>IT0003115950</v>
          </cell>
          <cell r="G4815">
            <v>2380168802.4840002</v>
          </cell>
        </row>
        <row r="4816">
          <cell r="C4816" t="str">
            <v>IT0003115950</v>
          </cell>
          <cell r="G4816">
            <v>2380168802.4840002</v>
          </cell>
        </row>
        <row r="4817">
          <cell r="C4817" t="str">
            <v>IT0003115950</v>
          </cell>
          <cell r="G4817">
            <v>2380168802.4840002</v>
          </cell>
        </row>
        <row r="4818">
          <cell r="C4818" t="str">
            <v>IT0003115950</v>
          </cell>
          <cell r="G4818">
            <v>2380168802.4840002</v>
          </cell>
        </row>
        <row r="4819">
          <cell r="C4819" t="str">
            <v>IT0003115950</v>
          </cell>
          <cell r="G4819">
            <v>2380168802.4840002</v>
          </cell>
        </row>
        <row r="4820">
          <cell r="C4820" t="str">
            <v>IT0003115950</v>
          </cell>
          <cell r="G4820">
            <v>2380168802.4840002</v>
          </cell>
        </row>
        <row r="4821">
          <cell r="C4821" t="str">
            <v>IT0003115950</v>
          </cell>
          <cell r="G4821">
            <v>2380168802.4840002</v>
          </cell>
        </row>
        <row r="4822">
          <cell r="C4822" t="str">
            <v>LU2290522684</v>
          </cell>
          <cell r="G4822">
            <v>2362500000</v>
          </cell>
        </row>
        <row r="4823">
          <cell r="C4823" t="str">
            <v>LU2290522684</v>
          </cell>
          <cell r="G4823">
            <v>2362500000</v>
          </cell>
        </row>
        <row r="4824">
          <cell r="C4824" t="str">
            <v>LU2290522684</v>
          </cell>
          <cell r="G4824">
            <v>2362500000</v>
          </cell>
        </row>
        <row r="4825">
          <cell r="C4825" t="str">
            <v>LU2290522684</v>
          </cell>
          <cell r="G4825">
            <v>2362500000</v>
          </cell>
        </row>
        <row r="4826">
          <cell r="C4826" t="str">
            <v>LU2290522684</v>
          </cell>
          <cell r="G4826">
            <v>2362500000</v>
          </cell>
        </row>
        <row r="4827">
          <cell r="C4827" t="str">
            <v>LU2290522684</v>
          </cell>
          <cell r="G4827">
            <v>2362500000</v>
          </cell>
        </row>
        <row r="4828">
          <cell r="C4828" t="str">
            <v>LU2290522684</v>
          </cell>
          <cell r="G4828">
            <v>2362500000</v>
          </cell>
        </row>
        <row r="4829">
          <cell r="C4829" t="str">
            <v>LU2290522684</v>
          </cell>
          <cell r="G4829">
            <v>2362500000</v>
          </cell>
        </row>
        <row r="4830">
          <cell r="C4830" t="str">
            <v>LU2290522684</v>
          </cell>
          <cell r="G4830">
            <v>2362500000</v>
          </cell>
        </row>
        <row r="4831">
          <cell r="C4831" t="str">
            <v>LU2290522684</v>
          </cell>
          <cell r="G4831">
            <v>2362500000</v>
          </cell>
        </row>
        <row r="4832">
          <cell r="C4832" t="str">
            <v>LU2290522684</v>
          </cell>
          <cell r="G4832">
            <v>2362500000</v>
          </cell>
        </row>
        <row r="4833">
          <cell r="C4833" t="str">
            <v>LU2290522684</v>
          </cell>
          <cell r="G4833">
            <v>2362500000</v>
          </cell>
        </row>
        <row r="4834">
          <cell r="C4834" t="str">
            <v>LU2290522684</v>
          </cell>
          <cell r="G4834">
            <v>2362500000</v>
          </cell>
        </row>
        <row r="4835">
          <cell r="C4835" t="str">
            <v>LU2290522684</v>
          </cell>
          <cell r="G4835">
            <v>2362500000</v>
          </cell>
        </row>
        <row r="4836">
          <cell r="C4836" t="str">
            <v>FR0013176526</v>
          </cell>
          <cell r="G4836">
            <v>2322097281.1079998</v>
          </cell>
        </row>
        <row r="4837">
          <cell r="C4837" t="str">
            <v>FR0013176526</v>
          </cell>
          <cell r="G4837">
            <v>2322097281.1079998</v>
          </cell>
        </row>
        <row r="4838">
          <cell r="C4838" t="str">
            <v>FR0013176526</v>
          </cell>
          <cell r="G4838">
            <v>2322097281.1079998</v>
          </cell>
        </row>
        <row r="4839">
          <cell r="C4839" t="str">
            <v>FR0013176526</v>
          </cell>
          <cell r="G4839">
            <v>2322097281.1079998</v>
          </cell>
        </row>
        <row r="4840">
          <cell r="C4840" t="str">
            <v>FR0013176526</v>
          </cell>
          <cell r="G4840">
            <v>2322097281.1079998</v>
          </cell>
        </row>
        <row r="4841">
          <cell r="C4841" t="str">
            <v>FR0013176526</v>
          </cell>
          <cell r="G4841">
            <v>2322097281.1079998</v>
          </cell>
        </row>
        <row r="4842">
          <cell r="C4842" t="str">
            <v>FR0013176526</v>
          </cell>
          <cell r="G4842">
            <v>2322097281.1079998</v>
          </cell>
        </row>
        <row r="4843">
          <cell r="C4843" t="str">
            <v>FR0013176526</v>
          </cell>
          <cell r="G4843">
            <v>2322097281.1079998</v>
          </cell>
        </row>
        <row r="4844">
          <cell r="C4844" t="str">
            <v>FR0013176526</v>
          </cell>
          <cell r="G4844">
            <v>2322097281.1079998</v>
          </cell>
        </row>
        <row r="4845">
          <cell r="C4845" t="str">
            <v>FR0013176526</v>
          </cell>
          <cell r="G4845">
            <v>2322097281.1079998</v>
          </cell>
        </row>
        <row r="4846">
          <cell r="C4846" t="str">
            <v>FR0013176526</v>
          </cell>
          <cell r="G4846">
            <v>2322097281.1079998</v>
          </cell>
        </row>
        <row r="4847">
          <cell r="C4847" t="str">
            <v>FR0013176526</v>
          </cell>
          <cell r="G4847">
            <v>2322097281.1079998</v>
          </cell>
        </row>
        <row r="4848">
          <cell r="C4848" t="str">
            <v>FR0013176526</v>
          </cell>
          <cell r="G4848">
            <v>2322097281.1079998</v>
          </cell>
        </row>
        <row r="4849">
          <cell r="C4849" t="str">
            <v>FR0013176526</v>
          </cell>
          <cell r="G4849">
            <v>2322097281.1079998</v>
          </cell>
        </row>
        <row r="4850">
          <cell r="C4850" t="str">
            <v>GB00BNTJ3546</v>
          </cell>
          <cell r="G4850">
            <v>2300923907.5500002</v>
          </cell>
        </row>
        <row r="4851">
          <cell r="C4851" t="str">
            <v>GB00BNTJ3546</v>
          </cell>
          <cell r="G4851">
            <v>2300923907.5500002</v>
          </cell>
        </row>
        <row r="4852">
          <cell r="C4852" t="str">
            <v>GB00BNTJ3546</v>
          </cell>
          <cell r="G4852">
            <v>2300923907.5500002</v>
          </cell>
        </row>
        <row r="4853">
          <cell r="C4853" t="str">
            <v>GB00BNTJ3546</v>
          </cell>
          <cell r="G4853">
            <v>2300923907.5500002</v>
          </cell>
        </row>
        <row r="4854">
          <cell r="C4854" t="str">
            <v>GB00BNTJ3546</v>
          </cell>
          <cell r="G4854">
            <v>2300923907.5500002</v>
          </cell>
        </row>
        <row r="4855">
          <cell r="C4855" t="str">
            <v>GB00BNTJ3546</v>
          </cell>
          <cell r="G4855">
            <v>2300923907.5500002</v>
          </cell>
        </row>
        <row r="4856">
          <cell r="C4856" t="str">
            <v>GB00BNTJ3546</v>
          </cell>
          <cell r="G4856">
            <v>2300923907.5500002</v>
          </cell>
        </row>
        <row r="4857">
          <cell r="C4857" t="str">
            <v>GB00BNTJ3546</v>
          </cell>
          <cell r="G4857">
            <v>2300923907.5500002</v>
          </cell>
        </row>
        <row r="4858">
          <cell r="C4858" t="str">
            <v>GB00BNTJ3546</v>
          </cell>
          <cell r="G4858">
            <v>2300923907.5500002</v>
          </cell>
        </row>
        <row r="4859">
          <cell r="C4859" t="str">
            <v>GB00BNTJ3546</v>
          </cell>
          <cell r="G4859">
            <v>2300923907.5500002</v>
          </cell>
        </row>
        <row r="4860">
          <cell r="C4860" t="str">
            <v>GB00BNTJ3546</v>
          </cell>
          <cell r="G4860">
            <v>2300923907.5500002</v>
          </cell>
        </row>
        <row r="4861">
          <cell r="C4861" t="str">
            <v>GB00BNTJ3546</v>
          </cell>
          <cell r="G4861">
            <v>2300923907.5500002</v>
          </cell>
        </row>
        <row r="4862">
          <cell r="C4862" t="str">
            <v>GB00BNTJ3546</v>
          </cell>
          <cell r="G4862">
            <v>2300923907.5500002</v>
          </cell>
        </row>
        <row r="4863">
          <cell r="C4863" t="str">
            <v>GB00BNTJ3546</v>
          </cell>
          <cell r="G4863">
            <v>2300923907.5500002</v>
          </cell>
        </row>
        <row r="4864">
          <cell r="C4864" t="str">
            <v>IT0005090300</v>
          </cell>
          <cell r="G4864">
            <v>2207181488.6849999</v>
          </cell>
        </row>
        <row r="4865">
          <cell r="C4865" t="str">
            <v>IT0005090300</v>
          </cell>
          <cell r="G4865">
            <v>2207181488.6849999</v>
          </cell>
        </row>
        <row r="4866">
          <cell r="C4866" t="str">
            <v>IT0005090300</v>
          </cell>
          <cell r="G4866">
            <v>2207181488.6849999</v>
          </cell>
        </row>
        <row r="4867">
          <cell r="C4867" t="str">
            <v>IT0005090300</v>
          </cell>
          <cell r="G4867">
            <v>2207181488.6849999</v>
          </cell>
        </row>
        <row r="4868">
          <cell r="C4868" t="str">
            <v>IT0005090300</v>
          </cell>
          <cell r="G4868">
            <v>2207181488.6849999</v>
          </cell>
        </row>
        <row r="4869">
          <cell r="C4869" t="str">
            <v>IT0005090300</v>
          </cell>
          <cell r="G4869">
            <v>2207181488.6849999</v>
          </cell>
        </row>
        <row r="4870">
          <cell r="C4870" t="str">
            <v>IT0005090300</v>
          </cell>
          <cell r="G4870">
            <v>2207181488.6849999</v>
          </cell>
        </row>
        <row r="4871">
          <cell r="C4871" t="str">
            <v>IT0005090300</v>
          </cell>
          <cell r="G4871">
            <v>2207181488.6849999</v>
          </cell>
        </row>
        <row r="4872">
          <cell r="C4872" t="str">
            <v>IT0005090300</v>
          </cell>
          <cell r="G4872">
            <v>2207181488.6849999</v>
          </cell>
        </row>
        <row r="4873">
          <cell r="C4873" t="str">
            <v>IT0005090300</v>
          </cell>
          <cell r="G4873">
            <v>2207181488.6849999</v>
          </cell>
        </row>
        <row r="4874">
          <cell r="C4874" t="str">
            <v>IT0005090300</v>
          </cell>
          <cell r="G4874">
            <v>2207181488.6849999</v>
          </cell>
        </row>
        <row r="4875">
          <cell r="C4875" t="str">
            <v>IT0005090300</v>
          </cell>
          <cell r="G4875">
            <v>2207181488.6849999</v>
          </cell>
        </row>
        <row r="4876">
          <cell r="C4876" t="str">
            <v>IT0005090300</v>
          </cell>
          <cell r="G4876">
            <v>2207181488.6849999</v>
          </cell>
        </row>
        <row r="4877">
          <cell r="C4877" t="str">
            <v>IT0005090300</v>
          </cell>
          <cell r="G4877">
            <v>2207181488.6849999</v>
          </cell>
        </row>
        <row r="4878">
          <cell r="C4878" t="str">
            <v>FI0009004824</v>
          </cell>
          <cell r="G4878">
            <v>2206641064.8000002</v>
          </cell>
        </row>
        <row r="4879">
          <cell r="C4879" t="str">
            <v>FI0009004824</v>
          </cell>
          <cell r="G4879">
            <v>2206641064.8000002</v>
          </cell>
        </row>
        <row r="4880">
          <cell r="C4880" t="str">
            <v>FI0009004824</v>
          </cell>
          <cell r="G4880">
            <v>2206641064.8000002</v>
          </cell>
        </row>
        <row r="4881">
          <cell r="C4881" t="str">
            <v>FI0009004824</v>
          </cell>
          <cell r="G4881">
            <v>2206641064.8000002</v>
          </cell>
        </row>
        <row r="4882">
          <cell r="C4882" t="str">
            <v>FI0009004824</v>
          </cell>
          <cell r="G4882">
            <v>2206641064.8000002</v>
          </cell>
        </row>
        <row r="4883">
          <cell r="C4883" t="str">
            <v>FI0009004824</v>
          </cell>
          <cell r="G4883">
            <v>2206641064.8000002</v>
          </cell>
        </row>
        <row r="4884">
          <cell r="C4884" t="str">
            <v>FI0009004824</v>
          </cell>
          <cell r="G4884">
            <v>2206641064.8000002</v>
          </cell>
        </row>
        <row r="4885">
          <cell r="C4885" t="str">
            <v>FI0009004824</v>
          </cell>
          <cell r="G4885">
            <v>2206641064.8000002</v>
          </cell>
        </row>
        <row r="4886">
          <cell r="C4886" t="str">
            <v>FI0009004824</v>
          </cell>
          <cell r="G4886">
            <v>2206641064.8000002</v>
          </cell>
        </row>
        <row r="4887">
          <cell r="C4887" t="str">
            <v>FI0009004824</v>
          </cell>
          <cell r="G4887">
            <v>2206641064.8000002</v>
          </cell>
        </row>
        <row r="4888">
          <cell r="C4888" t="str">
            <v>FI0009004824</v>
          </cell>
          <cell r="G4888">
            <v>2206641064.8000002</v>
          </cell>
        </row>
        <row r="4889">
          <cell r="C4889" t="str">
            <v>FI0009004824</v>
          </cell>
          <cell r="G4889">
            <v>2206641064.8000002</v>
          </cell>
        </row>
        <row r="4890">
          <cell r="C4890" t="str">
            <v>FI0009004824</v>
          </cell>
          <cell r="G4890">
            <v>2206641064.8000002</v>
          </cell>
        </row>
        <row r="4891">
          <cell r="C4891" t="str">
            <v>FI0009004824</v>
          </cell>
          <cell r="G4891">
            <v>2206641064.8000002</v>
          </cell>
        </row>
        <row r="4892">
          <cell r="C4892" t="str">
            <v>ES0132105018</v>
          </cell>
          <cell r="G4892">
            <v>2156127612.0749998</v>
          </cell>
        </row>
        <row r="4893">
          <cell r="C4893" t="str">
            <v>ES0132105018</v>
          </cell>
          <cell r="G4893">
            <v>2156127612.0749998</v>
          </cell>
        </row>
        <row r="4894">
          <cell r="C4894" t="str">
            <v>ES0132105018</v>
          </cell>
          <cell r="G4894">
            <v>2156127612.0749998</v>
          </cell>
        </row>
        <row r="4895">
          <cell r="C4895" t="str">
            <v>ES0132105018</v>
          </cell>
          <cell r="G4895">
            <v>2156127612.0749998</v>
          </cell>
        </row>
        <row r="4896">
          <cell r="C4896" t="str">
            <v>ES0132105018</v>
          </cell>
          <cell r="G4896">
            <v>2156127612.0749998</v>
          </cell>
        </row>
        <row r="4897">
          <cell r="C4897" t="str">
            <v>ES0132105018</v>
          </cell>
          <cell r="G4897">
            <v>2156127612.0749998</v>
          </cell>
        </row>
        <row r="4898">
          <cell r="C4898" t="str">
            <v>ES0132105018</v>
          </cell>
          <cell r="G4898">
            <v>2156127612.0749998</v>
          </cell>
        </row>
        <row r="4899">
          <cell r="C4899" t="str">
            <v>ES0132105018</v>
          </cell>
          <cell r="G4899">
            <v>2156127612.0749998</v>
          </cell>
        </row>
        <row r="4900">
          <cell r="C4900" t="str">
            <v>ES0132105018</v>
          </cell>
          <cell r="G4900">
            <v>2156127612.0749998</v>
          </cell>
        </row>
        <row r="4901">
          <cell r="C4901" t="str">
            <v>ES0132105018</v>
          </cell>
          <cell r="G4901">
            <v>2156127612.0749998</v>
          </cell>
        </row>
        <row r="4902">
          <cell r="C4902" t="str">
            <v>ES0132105018</v>
          </cell>
          <cell r="G4902">
            <v>2156127612.0749998</v>
          </cell>
        </row>
        <row r="4903">
          <cell r="C4903" t="str">
            <v>ES0132105018</v>
          </cell>
          <cell r="G4903">
            <v>2156127612.0749998</v>
          </cell>
        </row>
        <row r="4904">
          <cell r="C4904" t="str">
            <v>ES0132105018</v>
          </cell>
          <cell r="G4904">
            <v>2156127612.0749998</v>
          </cell>
        </row>
        <row r="4905">
          <cell r="C4905" t="str">
            <v>ES0132105018</v>
          </cell>
          <cell r="G4905">
            <v>2156127612.0749998</v>
          </cell>
        </row>
        <row r="4906">
          <cell r="C4906" t="str">
            <v>AT0000625108</v>
          </cell>
          <cell r="G4906">
            <v>2152333008</v>
          </cell>
        </row>
        <row r="4907">
          <cell r="C4907" t="str">
            <v>AT0000625108</v>
          </cell>
          <cell r="G4907">
            <v>2152333008</v>
          </cell>
        </row>
        <row r="4908">
          <cell r="C4908" t="str">
            <v>AT0000625108</v>
          </cell>
          <cell r="G4908">
            <v>2152333008</v>
          </cell>
        </row>
        <row r="4909">
          <cell r="C4909" t="str">
            <v>AT0000625108</v>
          </cell>
          <cell r="G4909">
            <v>2152333008</v>
          </cell>
        </row>
        <row r="4910">
          <cell r="C4910" t="str">
            <v>AT0000625108</v>
          </cell>
          <cell r="G4910">
            <v>2152333008</v>
          </cell>
        </row>
        <row r="4911">
          <cell r="C4911" t="str">
            <v>AT0000625108</v>
          </cell>
          <cell r="G4911">
            <v>2152333008</v>
          </cell>
        </row>
        <row r="4912">
          <cell r="C4912" t="str">
            <v>AT0000625108</v>
          </cell>
          <cell r="G4912">
            <v>2152333008</v>
          </cell>
        </row>
        <row r="4913">
          <cell r="C4913" t="str">
            <v>AT0000625108</v>
          </cell>
          <cell r="G4913">
            <v>2152333008</v>
          </cell>
        </row>
        <row r="4914">
          <cell r="C4914" t="str">
            <v>AT0000625108</v>
          </cell>
          <cell r="G4914">
            <v>2152333008</v>
          </cell>
        </row>
        <row r="4915">
          <cell r="C4915" t="str">
            <v>AT0000625108</v>
          </cell>
          <cell r="G4915">
            <v>2152333008</v>
          </cell>
        </row>
        <row r="4916">
          <cell r="C4916" t="str">
            <v>AT0000625108</v>
          </cell>
          <cell r="G4916">
            <v>2152333008</v>
          </cell>
        </row>
        <row r="4917">
          <cell r="C4917" t="str">
            <v>AT0000625108</v>
          </cell>
          <cell r="G4917">
            <v>2152333008</v>
          </cell>
        </row>
        <row r="4918">
          <cell r="C4918" t="str">
            <v>AT0000625108</v>
          </cell>
          <cell r="G4918">
            <v>2152333008</v>
          </cell>
        </row>
        <row r="4919">
          <cell r="C4919" t="str">
            <v>AT0000625108</v>
          </cell>
          <cell r="G4919">
            <v>2152333008</v>
          </cell>
        </row>
        <row r="4920">
          <cell r="C4920" t="str">
            <v>NL00150006R6</v>
          </cell>
          <cell r="G4920">
            <v>2146352834.4000001</v>
          </cell>
        </row>
        <row r="4921">
          <cell r="C4921" t="str">
            <v>NL00150006R6</v>
          </cell>
          <cell r="G4921">
            <v>2146352834.4000001</v>
          </cell>
        </row>
        <row r="4922">
          <cell r="C4922" t="str">
            <v>NL00150006R6</v>
          </cell>
          <cell r="G4922">
            <v>2146352834.4000001</v>
          </cell>
        </row>
        <row r="4923">
          <cell r="C4923" t="str">
            <v>NL00150006R6</v>
          </cell>
          <cell r="G4923">
            <v>2146352834.4000001</v>
          </cell>
        </row>
        <row r="4924">
          <cell r="C4924" t="str">
            <v>NL00150006R6</v>
          </cell>
          <cell r="G4924">
            <v>2146352834.4000001</v>
          </cell>
        </row>
        <row r="4925">
          <cell r="C4925" t="str">
            <v>NL00150006R6</v>
          </cell>
          <cell r="G4925">
            <v>2146352834.4000001</v>
          </cell>
        </row>
        <row r="4926">
          <cell r="C4926" t="str">
            <v>NL00150006R6</v>
          </cell>
          <cell r="G4926">
            <v>2146352834.4000001</v>
          </cell>
        </row>
        <row r="4927">
          <cell r="C4927" t="str">
            <v>NL00150006R6</v>
          </cell>
          <cell r="G4927">
            <v>2146352834.4000001</v>
          </cell>
        </row>
        <row r="4928">
          <cell r="C4928" t="str">
            <v>NL00150006R6</v>
          </cell>
          <cell r="G4928">
            <v>2146352834.4000001</v>
          </cell>
        </row>
        <row r="4929">
          <cell r="C4929" t="str">
            <v>NL00150006R6</v>
          </cell>
          <cell r="G4929">
            <v>2146352834.4000001</v>
          </cell>
        </row>
        <row r="4930">
          <cell r="C4930" t="str">
            <v>NL00150006R6</v>
          </cell>
          <cell r="G4930">
            <v>2146352834.4000001</v>
          </cell>
        </row>
        <row r="4931">
          <cell r="C4931" t="str">
            <v>NL00150006R6</v>
          </cell>
          <cell r="G4931">
            <v>2146352834.4000001</v>
          </cell>
        </row>
        <row r="4932">
          <cell r="C4932" t="str">
            <v>NL00150006R6</v>
          </cell>
          <cell r="G4932">
            <v>2146352834.4000001</v>
          </cell>
        </row>
        <row r="4933">
          <cell r="C4933" t="str">
            <v>NL00150006R6</v>
          </cell>
          <cell r="G4933">
            <v>2146352834.4000001</v>
          </cell>
        </row>
        <row r="4934">
          <cell r="C4934" t="str">
            <v>IT0000062957</v>
          </cell>
          <cell r="G4934">
            <v>2125709787.12375</v>
          </cell>
        </row>
        <row r="4935">
          <cell r="C4935" t="str">
            <v>IT0000062957</v>
          </cell>
          <cell r="G4935">
            <v>2125709787.12375</v>
          </cell>
        </row>
        <row r="4936">
          <cell r="C4936" t="str">
            <v>IT0000062957</v>
          </cell>
          <cell r="G4936">
            <v>2125709787.12375</v>
          </cell>
        </row>
        <row r="4937">
          <cell r="C4937" t="str">
            <v>IT0000062957</v>
          </cell>
          <cell r="G4937">
            <v>2125709787.12375</v>
          </cell>
        </row>
        <row r="4938">
          <cell r="C4938" t="str">
            <v>IT0000062957</v>
          </cell>
          <cell r="G4938">
            <v>2125709787.12375</v>
          </cell>
        </row>
        <row r="4939">
          <cell r="C4939" t="str">
            <v>IT0000062957</v>
          </cell>
          <cell r="G4939">
            <v>2125709787.12375</v>
          </cell>
        </row>
        <row r="4940">
          <cell r="C4940" t="str">
            <v>IT0000062957</v>
          </cell>
          <cell r="G4940">
            <v>2125709787.12375</v>
          </cell>
        </row>
        <row r="4941">
          <cell r="C4941" t="str">
            <v>IT0000062957</v>
          </cell>
          <cell r="G4941">
            <v>2125709787.12375</v>
          </cell>
        </row>
        <row r="4942">
          <cell r="C4942" t="str">
            <v>IT0000062957</v>
          </cell>
          <cell r="G4942">
            <v>2125709787.12375</v>
          </cell>
        </row>
        <row r="4943">
          <cell r="C4943" t="str">
            <v>IT0000062957</v>
          </cell>
          <cell r="G4943">
            <v>2125709787.12375</v>
          </cell>
        </row>
        <row r="4944">
          <cell r="C4944" t="str">
            <v>IT0000062957</v>
          </cell>
          <cell r="G4944">
            <v>2125709787.12375</v>
          </cell>
        </row>
        <row r="4945">
          <cell r="C4945" t="str">
            <v>IT0000062957</v>
          </cell>
          <cell r="G4945">
            <v>2125709787.12375</v>
          </cell>
        </row>
        <row r="4946">
          <cell r="C4946" t="str">
            <v>IT0000062957</v>
          </cell>
          <cell r="G4946">
            <v>2125709787.12375</v>
          </cell>
        </row>
        <row r="4947">
          <cell r="C4947" t="str">
            <v>IT0000062957</v>
          </cell>
          <cell r="G4947">
            <v>2125709787.12375</v>
          </cell>
        </row>
        <row r="4948">
          <cell r="C4948" t="str">
            <v>LU1673108939</v>
          </cell>
          <cell r="G4948">
            <v>2124784189.4400001</v>
          </cell>
        </row>
        <row r="4949">
          <cell r="C4949" t="str">
            <v>LU1673108939</v>
          </cell>
          <cell r="G4949">
            <v>2124784189.4400001</v>
          </cell>
        </row>
        <row r="4950">
          <cell r="C4950" t="str">
            <v>LU1673108939</v>
          </cell>
          <cell r="G4950">
            <v>2124784189.4400001</v>
          </cell>
        </row>
        <row r="4951">
          <cell r="C4951" t="str">
            <v>LU1673108939</v>
          </cell>
          <cell r="G4951">
            <v>2124784189.4400001</v>
          </cell>
        </row>
        <row r="4952">
          <cell r="C4952" t="str">
            <v>LU1673108939</v>
          </cell>
          <cell r="G4952">
            <v>2124784189.4400001</v>
          </cell>
        </row>
        <row r="4953">
          <cell r="C4953" t="str">
            <v>LU1673108939</v>
          </cell>
          <cell r="G4953">
            <v>2124784189.4400001</v>
          </cell>
        </row>
        <row r="4954">
          <cell r="C4954" t="str">
            <v>LU1673108939</v>
          </cell>
          <cell r="G4954">
            <v>2124784189.4400001</v>
          </cell>
        </row>
        <row r="4955">
          <cell r="C4955" t="str">
            <v>LU1673108939</v>
          </cell>
          <cell r="G4955">
            <v>2124784189.4400001</v>
          </cell>
        </row>
        <row r="4956">
          <cell r="C4956" t="str">
            <v>LU1673108939</v>
          </cell>
          <cell r="G4956">
            <v>2124784189.4400001</v>
          </cell>
        </row>
        <row r="4957">
          <cell r="C4957" t="str">
            <v>LU1673108939</v>
          </cell>
          <cell r="G4957">
            <v>2124784189.4400001</v>
          </cell>
        </row>
        <row r="4958">
          <cell r="C4958" t="str">
            <v>LU1673108939</v>
          </cell>
          <cell r="G4958">
            <v>2124784189.4400001</v>
          </cell>
        </row>
        <row r="4959">
          <cell r="C4959" t="str">
            <v>LU1673108939</v>
          </cell>
          <cell r="G4959">
            <v>2124784189.4400001</v>
          </cell>
        </row>
        <row r="4960">
          <cell r="C4960" t="str">
            <v>LU1673108939</v>
          </cell>
          <cell r="G4960">
            <v>2124784189.4400001</v>
          </cell>
        </row>
        <row r="4961">
          <cell r="C4961" t="str">
            <v>LU1673108939</v>
          </cell>
          <cell r="G4961">
            <v>2124784189.4400001</v>
          </cell>
        </row>
        <row r="4962">
          <cell r="C4962" t="str">
            <v>NL0011821392</v>
          </cell>
          <cell r="G4962">
            <v>2124032966.7809999</v>
          </cell>
        </row>
        <row r="4963">
          <cell r="C4963" t="str">
            <v>NL0011821392</v>
          </cell>
          <cell r="G4963">
            <v>2124032966.7809999</v>
          </cell>
        </row>
        <row r="4964">
          <cell r="C4964" t="str">
            <v>NL0011821392</v>
          </cell>
          <cell r="G4964">
            <v>2124032966.7809999</v>
          </cell>
        </row>
        <row r="4965">
          <cell r="C4965" t="str">
            <v>NL0011821392</v>
          </cell>
          <cell r="G4965">
            <v>2124032966.7809999</v>
          </cell>
        </row>
        <row r="4966">
          <cell r="C4966" t="str">
            <v>NL0011821392</v>
          </cell>
          <cell r="G4966">
            <v>2124032966.7809999</v>
          </cell>
        </row>
        <row r="4967">
          <cell r="C4967" t="str">
            <v>NL0011821392</v>
          </cell>
          <cell r="G4967">
            <v>2124032966.7809999</v>
          </cell>
        </row>
        <row r="4968">
          <cell r="C4968" t="str">
            <v>NL0011821392</v>
          </cell>
          <cell r="G4968">
            <v>2124032966.7809999</v>
          </cell>
        </row>
        <row r="4969">
          <cell r="C4969" t="str">
            <v>NL0011821392</v>
          </cell>
          <cell r="G4969">
            <v>2124032966.7809999</v>
          </cell>
        </row>
        <row r="4970">
          <cell r="C4970" t="str">
            <v>NL0011821392</v>
          </cell>
          <cell r="G4970">
            <v>2124032966.7809999</v>
          </cell>
        </row>
        <row r="4971">
          <cell r="C4971" t="str">
            <v>NL0011821392</v>
          </cell>
          <cell r="G4971">
            <v>2124032966.7809999</v>
          </cell>
        </row>
        <row r="4972">
          <cell r="C4972" t="str">
            <v>NL0011821392</v>
          </cell>
          <cell r="G4972">
            <v>2124032966.7809999</v>
          </cell>
        </row>
        <row r="4973">
          <cell r="C4973" t="str">
            <v>NL0011821392</v>
          </cell>
          <cell r="G4973">
            <v>2124032966.7809999</v>
          </cell>
        </row>
        <row r="4974">
          <cell r="C4974" t="str">
            <v>NL0011821392</v>
          </cell>
          <cell r="G4974">
            <v>2124032966.7809999</v>
          </cell>
        </row>
        <row r="4975">
          <cell r="C4975" t="str">
            <v>NL0011821392</v>
          </cell>
          <cell r="G4975">
            <v>2124032966.7809999</v>
          </cell>
        </row>
        <row r="4976">
          <cell r="C4976" t="str">
            <v>NL0000337319</v>
          </cell>
          <cell r="G4976">
            <v>2079440000</v>
          </cell>
        </row>
        <row r="4977">
          <cell r="C4977" t="str">
            <v>NL0000337319</v>
          </cell>
          <cell r="G4977">
            <v>2079440000</v>
          </cell>
        </row>
        <row r="4978">
          <cell r="C4978" t="str">
            <v>NL0000337319</v>
          </cell>
          <cell r="G4978">
            <v>2079440000</v>
          </cell>
        </row>
        <row r="4979">
          <cell r="C4979" t="str">
            <v>NL0000337319</v>
          </cell>
          <cell r="G4979">
            <v>2079440000</v>
          </cell>
        </row>
        <row r="4980">
          <cell r="C4980" t="str">
            <v>NL0000337319</v>
          </cell>
          <cell r="G4980">
            <v>2079440000</v>
          </cell>
        </row>
        <row r="4981">
          <cell r="C4981" t="str">
            <v>NL0000337319</v>
          </cell>
          <cell r="G4981">
            <v>2079440000</v>
          </cell>
        </row>
        <row r="4982">
          <cell r="C4982" t="str">
            <v>NL0000337319</v>
          </cell>
          <cell r="G4982">
            <v>2079440000</v>
          </cell>
        </row>
        <row r="4983">
          <cell r="C4983" t="str">
            <v>NL0000337319</v>
          </cell>
          <cell r="G4983">
            <v>2079440000</v>
          </cell>
        </row>
        <row r="4984">
          <cell r="C4984" t="str">
            <v>NL0000337319</v>
          </cell>
          <cell r="G4984">
            <v>2079440000</v>
          </cell>
        </row>
        <row r="4985">
          <cell r="C4985" t="str">
            <v>NL0000337319</v>
          </cell>
          <cell r="G4985">
            <v>2079440000</v>
          </cell>
        </row>
        <row r="4986">
          <cell r="C4986" t="str">
            <v>NL0000337319</v>
          </cell>
          <cell r="G4986">
            <v>2079440000</v>
          </cell>
        </row>
        <row r="4987">
          <cell r="C4987" t="str">
            <v>NL0000337319</v>
          </cell>
          <cell r="G4987">
            <v>2079440000</v>
          </cell>
        </row>
        <row r="4988">
          <cell r="C4988" t="str">
            <v>NL0000337319</v>
          </cell>
          <cell r="G4988">
            <v>2079440000</v>
          </cell>
        </row>
        <row r="4989">
          <cell r="C4989" t="str">
            <v>NL0000337319</v>
          </cell>
          <cell r="G4989">
            <v>2079440000</v>
          </cell>
        </row>
        <row r="4990">
          <cell r="C4990" t="str">
            <v>IT0005278236</v>
          </cell>
          <cell r="G4990">
            <v>2076200000</v>
          </cell>
        </row>
        <row r="4991">
          <cell r="C4991" t="str">
            <v>IT0005278236</v>
          </cell>
          <cell r="G4991">
            <v>2076200000</v>
          </cell>
        </row>
        <row r="4992">
          <cell r="C4992" t="str">
            <v>IT0005278236</v>
          </cell>
          <cell r="G4992">
            <v>2076200000</v>
          </cell>
        </row>
        <row r="4993">
          <cell r="C4993" t="str">
            <v>IT0005278236</v>
          </cell>
          <cell r="G4993">
            <v>2076200000</v>
          </cell>
        </row>
        <row r="4994">
          <cell r="C4994" t="str">
            <v>IT0005278236</v>
          </cell>
          <cell r="G4994">
            <v>2076200000</v>
          </cell>
        </row>
        <row r="4995">
          <cell r="C4995" t="str">
            <v>IT0005278236</v>
          </cell>
          <cell r="G4995">
            <v>2076200000</v>
          </cell>
        </row>
        <row r="4996">
          <cell r="C4996" t="str">
            <v>IT0005278236</v>
          </cell>
          <cell r="G4996">
            <v>2076200000</v>
          </cell>
        </row>
        <row r="4997">
          <cell r="C4997" t="str">
            <v>IT0005278236</v>
          </cell>
          <cell r="G4997">
            <v>2076200000</v>
          </cell>
        </row>
        <row r="4998">
          <cell r="C4998" t="str">
            <v>IT0005278236</v>
          </cell>
          <cell r="G4998">
            <v>2076200000</v>
          </cell>
        </row>
        <row r="4999">
          <cell r="C4999" t="str">
            <v>IT0005278236</v>
          </cell>
          <cell r="G4999">
            <v>2076200000</v>
          </cell>
        </row>
        <row r="5000">
          <cell r="C5000" t="str">
            <v>IT0005278236</v>
          </cell>
          <cell r="G5000">
            <v>2076200000</v>
          </cell>
        </row>
        <row r="5001">
          <cell r="C5001" t="str">
            <v>IT0005278236</v>
          </cell>
          <cell r="G5001">
            <v>2076200000</v>
          </cell>
        </row>
        <row r="5002">
          <cell r="C5002" t="str">
            <v>IT0005278236</v>
          </cell>
          <cell r="G5002">
            <v>2076200000</v>
          </cell>
        </row>
        <row r="5003">
          <cell r="C5003" t="str">
            <v>IT0005278236</v>
          </cell>
          <cell r="G5003">
            <v>2076200000</v>
          </cell>
        </row>
        <row r="5004">
          <cell r="C5004" t="str">
            <v>FR0000121204</v>
          </cell>
          <cell r="G5004">
            <v>2064468322.4400001</v>
          </cell>
        </row>
        <row r="5005">
          <cell r="C5005" t="str">
            <v>FR0000121204</v>
          </cell>
          <cell r="G5005">
            <v>2064468322.4400001</v>
          </cell>
        </row>
        <row r="5006">
          <cell r="C5006" t="str">
            <v>FR0000121204</v>
          </cell>
          <cell r="G5006">
            <v>2064468322.4400001</v>
          </cell>
        </row>
        <row r="5007">
          <cell r="C5007" t="str">
            <v>FR0000121204</v>
          </cell>
          <cell r="G5007">
            <v>2064468322.4400001</v>
          </cell>
        </row>
        <row r="5008">
          <cell r="C5008" t="str">
            <v>FR0000121204</v>
          </cell>
          <cell r="G5008">
            <v>2064468322.4400001</v>
          </cell>
        </row>
        <row r="5009">
          <cell r="C5009" t="str">
            <v>FR0000121204</v>
          </cell>
          <cell r="G5009">
            <v>2064468322.4400001</v>
          </cell>
        </row>
        <row r="5010">
          <cell r="C5010" t="str">
            <v>FR0000121204</v>
          </cell>
          <cell r="G5010">
            <v>2064468322.4400001</v>
          </cell>
        </row>
        <row r="5011">
          <cell r="C5011" t="str">
            <v>FR0000121204</v>
          </cell>
          <cell r="G5011">
            <v>2064468322.4400001</v>
          </cell>
        </row>
        <row r="5012">
          <cell r="C5012" t="str">
            <v>FR0000121204</v>
          </cell>
          <cell r="G5012">
            <v>2064468322.4400001</v>
          </cell>
        </row>
        <row r="5013">
          <cell r="C5013" t="str">
            <v>FR0000121204</v>
          </cell>
          <cell r="G5013">
            <v>2064468322.4400001</v>
          </cell>
        </row>
        <row r="5014">
          <cell r="C5014" t="str">
            <v>FR0000121204</v>
          </cell>
          <cell r="G5014">
            <v>2064468322.4400001</v>
          </cell>
        </row>
        <row r="5015">
          <cell r="C5015" t="str">
            <v>FR0000121204</v>
          </cell>
          <cell r="G5015">
            <v>2064468322.4400001</v>
          </cell>
        </row>
        <row r="5016">
          <cell r="C5016" t="str">
            <v>FR0000121204</v>
          </cell>
          <cell r="G5016">
            <v>2064468322.4400001</v>
          </cell>
        </row>
        <row r="5017">
          <cell r="C5017" t="str">
            <v>FR0000121204</v>
          </cell>
          <cell r="G5017">
            <v>2064468322.4400001</v>
          </cell>
        </row>
        <row r="5018">
          <cell r="C5018" t="str">
            <v>IT0004931058</v>
          </cell>
          <cell r="G5018">
            <v>2063861912.96</v>
          </cell>
        </row>
        <row r="5019">
          <cell r="C5019" t="str">
            <v>IT0004931058</v>
          </cell>
          <cell r="G5019">
            <v>2063861912.96</v>
          </cell>
        </row>
        <row r="5020">
          <cell r="C5020" t="str">
            <v>IT0004931058</v>
          </cell>
          <cell r="G5020">
            <v>2063861912.96</v>
          </cell>
        </row>
        <row r="5021">
          <cell r="C5021" t="str">
            <v>IT0004931058</v>
          </cell>
          <cell r="G5021">
            <v>2063861912.96</v>
          </cell>
        </row>
        <row r="5022">
          <cell r="C5022" t="str">
            <v>IT0004931058</v>
          </cell>
          <cell r="G5022">
            <v>2063861912.96</v>
          </cell>
        </row>
        <row r="5023">
          <cell r="C5023" t="str">
            <v>IT0004931058</v>
          </cell>
          <cell r="G5023">
            <v>2063861912.96</v>
          </cell>
        </row>
        <row r="5024">
          <cell r="C5024" t="str">
            <v>IT0004931058</v>
          </cell>
          <cell r="G5024">
            <v>2063861912.96</v>
          </cell>
        </row>
        <row r="5025">
          <cell r="C5025" t="str">
            <v>IT0004931058</v>
          </cell>
          <cell r="G5025">
            <v>2063861912.96</v>
          </cell>
        </row>
        <row r="5026">
          <cell r="C5026" t="str">
            <v>IT0004931058</v>
          </cell>
          <cell r="G5026">
            <v>2063861912.96</v>
          </cell>
        </row>
        <row r="5027">
          <cell r="C5027" t="str">
            <v>IT0004931058</v>
          </cell>
          <cell r="G5027">
            <v>2063861912.96</v>
          </cell>
        </row>
        <row r="5028">
          <cell r="C5028" t="str">
            <v>IT0004931058</v>
          </cell>
          <cell r="G5028">
            <v>2063861912.96</v>
          </cell>
        </row>
        <row r="5029">
          <cell r="C5029" t="str">
            <v>IT0004931058</v>
          </cell>
          <cell r="G5029">
            <v>2063861912.96</v>
          </cell>
        </row>
        <row r="5030">
          <cell r="C5030" t="str">
            <v>IT0004931058</v>
          </cell>
          <cell r="G5030">
            <v>2063861912.96</v>
          </cell>
        </row>
        <row r="5031">
          <cell r="C5031" t="str">
            <v>IT0004931058</v>
          </cell>
          <cell r="G5031">
            <v>2063861912.96</v>
          </cell>
        </row>
        <row r="5032">
          <cell r="C5032" t="str">
            <v>LU0088087324</v>
          </cell>
          <cell r="G5032">
            <v>2060030091.5999999</v>
          </cell>
        </row>
        <row r="5033">
          <cell r="C5033" t="str">
            <v>LU0088087324</v>
          </cell>
          <cell r="G5033">
            <v>2060030091.5999999</v>
          </cell>
        </row>
        <row r="5034">
          <cell r="C5034" t="str">
            <v>LU0088087324</v>
          </cell>
          <cell r="G5034">
            <v>2060030091.5999999</v>
          </cell>
        </row>
        <row r="5035">
          <cell r="C5035" t="str">
            <v>LU0088087324</v>
          </cell>
          <cell r="G5035">
            <v>2060030091.5999999</v>
          </cell>
        </row>
        <row r="5036">
          <cell r="C5036" t="str">
            <v>LU0088087324</v>
          </cell>
          <cell r="G5036">
            <v>2060030091.5999999</v>
          </cell>
        </row>
        <row r="5037">
          <cell r="C5037" t="str">
            <v>LU0088087324</v>
          </cell>
          <cell r="G5037">
            <v>2060030091.5999999</v>
          </cell>
        </row>
        <row r="5038">
          <cell r="C5038" t="str">
            <v>LU0088087324</v>
          </cell>
          <cell r="G5038">
            <v>2060030091.5999999</v>
          </cell>
        </row>
        <row r="5039">
          <cell r="C5039" t="str">
            <v>LU0088087324</v>
          </cell>
          <cell r="G5039">
            <v>2060030091.5999999</v>
          </cell>
        </row>
        <row r="5040">
          <cell r="C5040" t="str">
            <v>LU0088087324</v>
          </cell>
          <cell r="G5040">
            <v>2060030091.5999999</v>
          </cell>
        </row>
        <row r="5041">
          <cell r="C5041" t="str">
            <v>LU0088087324</v>
          </cell>
          <cell r="G5041">
            <v>2060030091.5999999</v>
          </cell>
        </row>
        <row r="5042">
          <cell r="C5042" t="str">
            <v>LU0088087324</v>
          </cell>
          <cell r="G5042">
            <v>2060030091.5999999</v>
          </cell>
        </row>
        <row r="5043">
          <cell r="C5043" t="str">
            <v>LU0088087324</v>
          </cell>
          <cell r="G5043">
            <v>2060030091.5999999</v>
          </cell>
        </row>
        <row r="5044">
          <cell r="C5044" t="str">
            <v>LU0088087324</v>
          </cell>
          <cell r="G5044">
            <v>2060030091.5999999</v>
          </cell>
        </row>
        <row r="5045">
          <cell r="C5045" t="str">
            <v>LU0088087324</v>
          </cell>
          <cell r="G5045">
            <v>2060030091.5999999</v>
          </cell>
        </row>
        <row r="5046">
          <cell r="C5046" t="str">
            <v>DE000AUM0V10</v>
          </cell>
          <cell r="G5046">
            <v>2030534842.05</v>
          </cell>
        </row>
        <row r="5047">
          <cell r="C5047" t="str">
            <v>DE000AUM0V10</v>
          </cell>
          <cell r="G5047">
            <v>2030534842.05</v>
          </cell>
        </row>
        <row r="5048">
          <cell r="C5048" t="str">
            <v>DE000AUM0V10</v>
          </cell>
          <cell r="G5048">
            <v>2030534842.05</v>
          </cell>
        </row>
        <row r="5049">
          <cell r="C5049" t="str">
            <v>DE000AUM0V10</v>
          </cell>
          <cell r="G5049">
            <v>2030534842.05</v>
          </cell>
        </row>
        <row r="5050">
          <cell r="C5050" t="str">
            <v>DE000AUM0V10</v>
          </cell>
          <cell r="G5050">
            <v>2030534842.05</v>
          </cell>
        </row>
        <row r="5051">
          <cell r="C5051" t="str">
            <v>DE000AUM0V10</v>
          </cell>
          <cell r="G5051">
            <v>2030534842.05</v>
          </cell>
        </row>
        <row r="5052">
          <cell r="C5052" t="str">
            <v>DE000AUM0V10</v>
          </cell>
          <cell r="G5052">
            <v>2030534842.05</v>
          </cell>
        </row>
        <row r="5053">
          <cell r="C5053" t="str">
            <v>DE000AUM0V10</v>
          </cell>
          <cell r="G5053">
            <v>2030534842.05</v>
          </cell>
        </row>
        <row r="5054">
          <cell r="C5054" t="str">
            <v>DE000AUM0V10</v>
          </cell>
          <cell r="G5054">
            <v>2030534842.05</v>
          </cell>
        </row>
        <row r="5055">
          <cell r="C5055" t="str">
            <v>DE000AUM0V10</v>
          </cell>
          <cell r="G5055">
            <v>2030534842.05</v>
          </cell>
        </row>
        <row r="5056">
          <cell r="C5056" t="str">
            <v>DE000AUM0V10</v>
          </cell>
          <cell r="G5056">
            <v>2030534842.05</v>
          </cell>
        </row>
        <row r="5057">
          <cell r="C5057" t="str">
            <v>DE000AUM0V10</v>
          </cell>
          <cell r="G5057">
            <v>2030534842.05</v>
          </cell>
        </row>
        <row r="5058">
          <cell r="C5058" t="str">
            <v>DE000AUM0V10</v>
          </cell>
          <cell r="G5058">
            <v>2030534842.05</v>
          </cell>
        </row>
        <row r="5059">
          <cell r="C5059" t="str">
            <v>DE000AUM0V10</v>
          </cell>
          <cell r="G5059">
            <v>2030534842.05</v>
          </cell>
        </row>
        <row r="5060">
          <cell r="C5060" t="str">
            <v>IT0005366767</v>
          </cell>
          <cell r="G5060">
            <v>2000831494.4496</v>
          </cell>
        </row>
        <row r="5061">
          <cell r="C5061" t="str">
            <v>IT0005366767</v>
          </cell>
          <cell r="G5061">
            <v>2000831494.4496</v>
          </cell>
        </row>
        <row r="5062">
          <cell r="C5062" t="str">
            <v>IT0005366767</v>
          </cell>
          <cell r="G5062">
            <v>2000831494.4496</v>
          </cell>
        </row>
        <row r="5063">
          <cell r="C5063" t="str">
            <v>IT0005366767</v>
          </cell>
          <cell r="G5063">
            <v>2000831494.4496</v>
          </cell>
        </row>
        <row r="5064">
          <cell r="C5064" t="str">
            <v>IT0005366767</v>
          </cell>
          <cell r="G5064">
            <v>2000831494.4496</v>
          </cell>
        </row>
        <row r="5065">
          <cell r="C5065" t="str">
            <v>IT0005366767</v>
          </cell>
          <cell r="G5065">
            <v>2000831494.4496</v>
          </cell>
        </row>
        <row r="5066">
          <cell r="C5066" t="str">
            <v>IT0005366767</v>
          </cell>
          <cell r="G5066">
            <v>2000831494.4496</v>
          </cell>
        </row>
        <row r="5067">
          <cell r="C5067" t="str">
            <v>IT0005366767</v>
          </cell>
          <cell r="G5067">
            <v>2000831494.4496</v>
          </cell>
        </row>
        <row r="5068">
          <cell r="C5068" t="str">
            <v>IT0005366767</v>
          </cell>
          <cell r="G5068">
            <v>2000831494.4496</v>
          </cell>
        </row>
        <row r="5069">
          <cell r="C5069" t="str">
            <v>IT0005366767</v>
          </cell>
          <cell r="G5069">
            <v>2000831494.4496</v>
          </cell>
        </row>
        <row r="5070">
          <cell r="C5070" t="str">
            <v>IT0005366767</v>
          </cell>
          <cell r="G5070">
            <v>2000831494.4496</v>
          </cell>
        </row>
        <row r="5071">
          <cell r="C5071" t="str">
            <v>IT0005366767</v>
          </cell>
          <cell r="G5071">
            <v>2000831494.4496</v>
          </cell>
        </row>
        <row r="5072">
          <cell r="C5072" t="str">
            <v>IT0005366767</v>
          </cell>
          <cell r="G5072">
            <v>2000831494.4496</v>
          </cell>
        </row>
        <row r="5073">
          <cell r="C5073" t="str">
            <v>IT0005366767</v>
          </cell>
          <cell r="G5073">
            <v>2000831494.4496</v>
          </cell>
        </row>
        <row r="5074">
          <cell r="C5074" t="str">
            <v>ES0137650018</v>
          </cell>
          <cell r="G5074">
            <v>1995452521.02</v>
          </cell>
        </row>
        <row r="5075">
          <cell r="C5075" t="str">
            <v>ES0137650018</v>
          </cell>
          <cell r="G5075">
            <v>1995452521.02</v>
          </cell>
        </row>
        <row r="5076">
          <cell r="C5076" t="str">
            <v>ES0137650018</v>
          </cell>
          <cell r="G5076">
            <v>1995452521.02</v>
          </cell>
        </row>
        <row r="5077">
          <cell r="C5077" t="str">
            <v>ES0137650018</v>
          </cell>
          <cell r="G5077">
            <v>1995452521.02</v>
          </cell>
        </row>
        <row r="5078">
          <cell r="C5078" t="str">
            <v>ES0137650018</v>
          </cell>
          <cell r="G5078">
            <v>1995452521.02</v>
          </cell>
        </row>
        <row r="5079">
          <cell r="C5079" t="str">
            <v>ES0137650018</v>
          </cell>
          <cell r="G5079">
            <v>1995452521.02</v>
          </cell>
        </row>
        <row r="5080">
          <cell r="C5080" t="str">
            <v>ES0137650018</v>
          </cell>
          <cell r="G5080">
            <v>1995452521.02</v>
          </cell>
        </row>
        <row r="5081">
          <cell r="C5081" t="str">
            <v>ES0137650018</v>
          </cell>
          <cell r="G5081">
            <v>1995452521.02</v>
          </cell>
        </row>
        <row r="5082">
          <cell r="C5082" t="str">
            <v>ES0137650018</v>
          </cell>
          <cell r="G5082">
            <v>1995452521.02</v>
          </cell>
        </row>
        <row r="5083">
          <cell r="C5083" t="str">
            <v>ES0137650018</v>
          </cell>
          <cell r="G5083">
            <v>1995452521.02</v>
          </cell>
        </row>
        <row r="5084">
          <cell r="C5084" t="str">
            <v>ES0137650018</v>
          </cell>
          <cell r="G5084">
            <v>1995452521.02</v>
          </cell>
        </row>
        <row r="5085">
          <cell r="C5085" t="str">
            <v>ES0137650018</v>
          </cell>
          <cell r="G5085">
            <v>1995452521.02</v>
          </cell>
        </row>
        <row r="5086">
          <cell r="C5086" t="str">
            <v>ES0137650018</v>
          </cell>
          <cell r="G5086">
            <v>1995452521.02</v>
          </cell>
        </row>
        <row r="5087">
          <cell r="C5087" t="str">
            <v>ES0137650018</v>
          </cell>
          <cell r="G5087">
            <v>1995452521.02</v>
          </cell>
        </row>
        <row r="5088">
          <cell r="C5088" t="str">
            <v>FR0000071946</v>
          </cell>
          <cell r="G5088">
            <v>1946710396.0799999</v>
          </cell>
        </row>
        <row r="5089">
          <cell r="C5089" t="str">
            <v>FR0000071946</v>
          </cell>
          <cell r="G5089">
            <v>1946710396.0799999</v>
          </cell>
        </row>
        <row r="5090">
          <cell r="C5090" t="str">
            <v>FR0000071946</v>
          </cell>
          <cell r="G5090">
            <v>1946710396.0799999</v>
          </cell>
        </row>
        <row r="5091">
          <cell r="C5091" t="str">
            <v>FR0000071946</v>
          </cell>
          <cell r="G5091">
            <v>1946710396.0799999</v>
          </cell>
        </row>
        <row r="5092">
          <cell r="C5092" t="str">
            <v>FR0000071946</v>
          </cell>
          <cell r="G5092">
            <v>1946710396.0799999</v>
          </cell>
        </row>
        <row r="5093">
          <cell r="C5093" t="str">
            <v>FR0000071946</v>
          </cell>
          <cell r="G5093">
            <v>1946710396.0799999</v>
          </cell>
        </row>
        <row r="5094">
          <cell r="C5094" t="str">
            <v>FR0000071946</v>
          </cell>
          <cell r="G5094">
            <v>1946710396.0799999</v>
          </cell>
        </row>
        <row r="5095">
          <cell r="C5095" t="str">
            <v>FR0000071946</v>
          </cell>
          <cell r="G5095">
            <v>1946710396.0799999</v>
          </cell>
        </row>
        <row r="5096">
          <cell r="C5096" t="str">
            <v>FR0000071946</v>
          </cell>
          <cell r="G5096">
            <v>1946710396.0799999</v>
          </cell>
        </row>
        <row r="5097">
          <cell r="C5097" t="str">
            <v>FR0000071946</v>
          </cell>
          <cell r="G5097">
            <v>1946710396.0799999</v>
          </cell>
        </row>
        <row r="5098">
          <cell r="C5098" t="str">
            <v>FR0000071946</v>
          </cell>
          <cell r="G5098">
            <v>1946710396.0799999</v>
          </cell>
        </row>
        <row r="5099">
          <cell r="C5099" t="str">
            <v>FR0000071946</v>
          </cell>
          <cell r="G5099">
            <v>1946710396.0799999</v>
          </cell>
        </row>
        <row r="5100">
          <cell r="C5100" t="str">
            <v>FR0000071946</v>
          </cell>
          <cell r="G5100">
            <v>1946710396.0799999</v>
          </cell>
        </row>
        <row r="5101">
          <cell r="C5101" t="str">
            <v>FR0000071946</v>
          </cell>
          <cell r="G5101">
            <v>1946710396.0799999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opLeftCell="A2" workbookViewId="0">
      <selection activeCell="I2" sqref="I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383320</v>
      </c>
      <c r="E2">
        <v>1</v>
      </c>
      <c r="F2">
        <v>1</v>
      </c>
      <c r="G2" t="s">
        <v>96</v>
      </c>
      <c r="H2" t="s">
        <v>97</v>
      </c>
      <c r="I2" t="b">
        <f>ISNUMBER(MATCH(B2,[1]selection!$B$2:$B$41,0))</f>
        <v>1</v>
      </c>
    </row>
    <row r="3" spans="1:9" x14ac:dyDescent="0.25">
      <c r="A3" t="s">
        <v>9</v>
      </c>
      <c r="B3" t="s">
        <v>49</v>
      </c>
      <c r="C3" t="s">
        <v>89</v>
      </c>
      <c r="D3">
        <v>405324</v>
      </c>
      <c r="E3">
        <v>1</v>
      </c>
      <c r="F3">
        <v>1</v>
      </c>
      <c r="G3" t="s">
        <v>96</v>
      </c>
      <c r="H3" t="s">
        <v>97</v>
      </c>
      <c r="I3" t="b">
        <f>ISNUMBER(MATCH(B3,[1]selection!$B$2:$B$41,0))</f>
        <v>1</v>
      </c>
    </row>
    <row r="4" spans="1:9" x14ac:dyDescent="0.25">
      <c r="A4" t="s">
        <v>10</v>
      </c>
      <c r="B4" t="s">
        <v>50</v>
      </c>
      <c r="C4" t="s">
        <v>88</v>
      </c>
      <c r="D4">
        <v>168559</v>
      </c>
      <c r="E4">
        <v>1</v>
      </c>
      <c r="F4">
        <v>1</v>
      </c>
      <c r="G4" t="s">
        <v>96</v>
      </c>
      <c r="H4" t="s">
        <v>97</v>
      </c>
      <c r="I4" t="b">
        <f>ISNUMBER(MATCH(B4,[1]selection!$B$2:$B$41,0))</f>
        <v>1</v>
      </c>
    </row>
    <row r="5" spans="1:9" x14ac:dyDescent="0.25">
      <c r="A5" t="s">
        <v>11</v>
      </c>
      <c r="B5" t="s">
        <v>51</v>
      </c>
      <c r="C5" t="s">
        <v>90</v>
      </c>
      <c r="D5">
        <v>1038724</v>
      </c>
      <c r="E5">
        <v>1</v>
      </c>
      <c r="F5">
        <v>1</v>
      </c>
      <c r="G5" t="s">
        <v>96</v>
      </c>
      <c r="H5" t="s">
        <v>97</v>
      </c>
      <c r="I5" t="b">
        <f>ISNUMBER(MATCH(B5,[1]selection!$B$2:$B$41,0))</f>
        <v>1</v>
      </c>
    </row>
    <row r="6" spans="1:9" x14ac:dyDescent="0.25">
      <c r="A6" t="s">
        <v>12</v>
      </c>
      <c r="B6" t="s">
        <v>52</v>
      </c>
      <c r="C6" t="s">
        <v>91</v>
      </c>
      <c r="D6">
        <v>71108</v>
      </c>
      <c r="E6">
        <v>1</v>
      </c>
      <c r="F6">
        <v>1</v>
      </c>
      <c r="G6" t="s">
        <v>96</v>
      </c>
      <c r="H6" t="s">
        <v>97</v>
      </c>
      <c r="I6" t="b">
        <f>ISNUMBER(MATCH(B6,[1]selection!$B$2:$B$41,0))</f>
        <v>1</v>
      </c>
    </row>
    <row r="7" spans="1:9" x14ac:dyDescent="0.25">
      <c r="A7" t="s">
        <v>13</v>
      </c>
      <c r="B7" t="s">
        <v>53</v>
      </c>
      <c r="C7" t="s">
        <v>89</v>
      </c>
      <c r="D7">
        <v>1593308</v>
      </c>
      <c r="E7">
        <v>1</v>
      </c>
      <c r="F7">
        <v>1</v>
      </c>
      <c r="G7" t="s">
        <v>96</v>
      </c>
      <c r="H7" t="s">
        <v>97</v>
      </c>
      <c r="I7" t="b">
        <f>ISNUMBER(MATCH(B7,[1]selection!$B$2:$B$41,0))</f>
        <v>1</v>
      </c>
    </row>
    <row r="8" spans="1:9" x14ac:dyDescent="0.25">
      <c r="A8" t="s">
        <v>14</v>
      </c>
      <c r="B8" t="s">
        <v>54</v>
      </c>
      <c r="C8" t="s">
        <v>90</v>
      </c>
      <c r="D8">
        <v>6581301</v>
      </c>
      <c r="E8">
        <v>1</v>
      </c>
      <c r="F8">
        <v>1</v>
      </c>
      <c r="G8" t="s">
        <v>96</v>
      </c>
      <c r="H8" t="s">
        <v>97</v>
      </c>
      <c r="I8" t="b">
        <f>ISNUMBER(MATCH(B8,[1]selection!$B$2:$B$41,0))</f>
        <v>1</v>
      </c>
    </row>
    <row r="9" spans="1:9" x14ac:dyDescent="0.25">
      <c r="A9" t="s">
        <v>15</v>
      </c>
      <c r="B9" t="s">
        <v>55</v>
      </c>
      <c r="C9" t="s">
        <v>90</v>
      </c>
      <c r="D9">
        <v>3346731</v>
      </c>
      <c r="E9">
        <v>1</v>
      </c>
      <c r="F9">
        <v>1</v>
      </c>
      <c r="G9" t="s">
        <v>96</v>
      </c>
      <c r="H9" t="s">
        <v>97</v>
      </c>
      <c r="I9" t="b">
        <f>ISNUMBER(MATCH(B9,[1]selection!$B$2:$B$41,0))</f>
        <v>1</v>
      </c>
    </row>
    <row r="10" spans="1:9" x14ac:dyDescent="0.25">
      <c r="A10" t="s">
        <v>16</v>
      </c>
      <c r="B10" t="s">
        <v>56</v>
      </c>
      <c r="C10" t="s">
        <v>89</v>
      </c>
      <c r="D10">
        <v>819283</v>
      </c>
      <c r="E10">
        <v>1</v>
      </c>
      <c r="F10">
        <v>1</v>
      </c>
      <c r="G10" t="s">
        <v>96</v>
      </c>
      <c r="H10" t="s">
        <v>97</v>
      </c>
      <c r="I10" t="b">
        <f>ISNUMBER(MATCH(B10,[1]selection!$B$2:$B$41,0))</f>
        <v>1</v>
      </c>
    </row>
    <row r="11" spans="1:9" x14ac:dyDescent="0.25">
      <c r="A11" t="s">
        <v>17</v>
      </c>
      <c r="B11" t="s">
        <v>57</v>
      </c>
      <c r="C11" t="s">
        <v>90</v>
      </c>
      <c r="D11">
        <v>6359117</v>
      </c>
      <c r="E11">
        <v>1</v>
      </c>
      <c r="F11">
        <v>1</v>
      </c>
      <c r="G11" t="s">
        <v>96</v>
      </c>
      <c r="H11" t="s">
        <v>97</v>
      </c>
      <c r="I11" t="b">
        <f>ISNUMBER(MATCH(B11,[1]selection!$B$2:$B$41,0))</f>
        <v>1</v>
      </c>
    </row>
    <row r="12" spans="1:9" x14ac:dyDescent="0.25">
      <c r="A12" t="s">
        <v>18</v>
      </c>
      <c r="B12" t="s">
        <v>58</v>
      </c>
      <c r="C12" t="s">
        <v>89</v>
      </c>
      <c r="D12">
        <v>839291</v>
      </c>
      <c r="E12">
        <v>1</v>
      </c>
      <c r="F12">
        <v>1</v>
      </c>
      <c r="G12" t="s">
        <v>96</v>
      </c>
      <c r="H12" t="s">
        <v>97</v>
      </c>
      <c r="I12" t="b">
        <f>ISNUMBER(MATCH(B12,[1]selection!$B$2:$B$41,0))</f>
        <v>1</v>
      </c>
    </row>
    <row r="13" spans="1:9" x14ac:dyDescent="0.25">
      <c r="A13" t="s">
        <v>19</v>
      </c>
      <c r="B13" t="s">
        <v>59</v>
      </c>
      <c r="C13" t="s">
        <v>88</v>
      </c>
      <c r="D13">
        <v>2031079</v>
      </c>
      <c r="E13">
        <v>1</v>
      </c>
      <c r="F13">
        <v>1</v>
      </c>
      <c r="G13" t="s">
        <v>96</v>
      </c>
      <c r="H13" t="s">
        <v>97</v>
      </c>
      <c r="I13" t="b">
        <f>ISNUMBER(MATCH(B13,[1]selection!$B$2:$B$41,0))</f>
        <v>1</v>
      </c>
    </row>
    <row r="14" spans="1:9" x14ac:dyDescent="0.25">
      <c r="A14" t="s">
        <v>20</v>
      </c>
      <c r="B14" t="s">
        <v>60</v>
      </c>
      <c r="C14" t="s">
        <v>88</v>
      </c>
      <c r="D14">
        <v>297188</v>
      </c>
      <c r="E14">
        <v>1</v>
      </c>
      <c r="F14">
        <v>1</v>
      </c>
      <c r="G14" t="s">
        <v>96</v>
      </c>
      <c r="H14" t="s">
        <v>97</v>
      </c>
      <c r="I14" t="b">
        <f>ISNUMBER(MATCH(B14,[1]selection!$B$2:$B$41,0))</f>
        <v>1</v>
      </c>
    </row>
    <row r="15" spans="1:9" x14ac:dyDescent="0.25">
      <c r="A15" t="s">
        <v>21</v>
      </c>
      <c r="B15" t="s">
        <v>61</v>
      </c>
      <c r="C15" t="s">
        <v>88</v>
      </c>
      <c r="D15">
        <v>2416179</v>
      </c>
      <c r="E15">
        <v>1</v>
      </c>
      <c r="F15">
        <v>1</v>
      </c>
      <c r="G15" t="s">
        <v>96</v>
      </c>
      <c r="H15" t="s">
        <v>97</v>
      </c>
      <c r="I15" t="b">
        <f>ISNUMBER(MATCH(B15,[1]selection!$B$2:$B$41,0))</f>
        <v>1</v>
      </c>
    </row>
    <row r="16" spans="1:9" x14ac:dyDescent="0.25">
      <c r="A16" t="s">
        <v>22</v>
      </c>
      <c r="B16" t="s">
        <v>62</v>
      </c>
      <c r="C16" t="s">
        <v>92</v>
      </c>
      <c r="D16">
        <v>655260</v>
      </c>
      <c r="E16">
        <v>1</v>
      </c>
      <c r="F16">
        <v>1</v>
      </c>
      <c r="G16" t="s">
        <v>96</v>
      </c>
      <c r="H16" t="s">
        <v>97</v>
      </c>
      <c r="I16" t="b">
        <f>ISNUMBER(MATCH(B16,[1]selection!$B$2:$B$41,0))</f>
        <v>1</v>
      </c>
    </row>
    <row r="17" spans="1:9" x14ac:dyDescent="0.25">
      <c r="A17" t="s">
        <v>23</v>
      </c>
      <c r="B17" t="s">
        <v>63</v>
      </c>
      <c r="C17" t="s">
        <v>89</v>
      </c>
      <c r="D17">
        <v>232238</v>
      </c>
      <c r="E17">
        <v>1</v>
      </c>
      <c r="F17">
        <v>1</v>
      </c>
      <c r="G17" t="s">
        <v>96</v>
      </c>
      <c r="H17" t="s">
        <v>97</v>
      </c>
      <c r="I17" t="b">
        <f>ISNUMBER(MATCH(B17,[1]selection!$B$2:$B$41,0))</f>
        <v>1</v>
      </c>
    </row>
    <row r="18" spans="1:9" x14ac:dyDescent="0.25">
      <c r="A18" t="s">
        <v>24</v>
      </c>
      <c r="B18" t="s">
        <v>64</v>
      </c>
      <c r="C18" t="s">
        <v>93</v>
      </c>
      <c r="D18">
        <v>1873257</v>
      </c>
      <c r="E18">
        <v>1</v>
      </c>
      <c r="F18">
        <v>1</v>
      </c>
      <c r="G18" t="s">
        <v>96</v>
      </c>
      <c r="H18" t="s">
        <v>97</v>
      </c>
      <c r="I18" t="b">
        <f>ISNUMBER(MATCH(B18,[1]selection!$B$2:$B$41,0))</f>
        <v>1</v>
      </c>
    </row>
    <row r="19" spans="1:9" x14ac:dyDescent="0.25">
      <c r="A19" t="s">
        <v>25</v>
      </c>
      <c r="B19" t="s">
        <v>65</v>
      </c>
      <c r="C19" t="s">
        <v>89</v>
      </c>
      <c r="D19">
        <v>29925</v>
      </c>
      <c r="E19">
        <v>1</v>
      </c>
      <c r="F19">
        <v>1</v>
      </c>
      <c r="G19" t="s">
        <v>96</v>
      </c>
      <c r="H19" t="s">
        <v>97</v>
      </c>
      <c r="I19" t="b">
        <f>ISNUMBER(MATCH(B19,[1]selection!$B$2:$B$41,0))</f>
        <v>1</v>
      </c>
    </row>
    <row r="20" spans="1:9" x14ac:dyDescent="0.25">
      <c r="A20" t="s">
        <v>26</v>
      </c>
      <c r="B20" t="s">
        <v>66</v>
      </c>
      <c r="C20" t="s">
        <v>90</v>
      </c>
      <c r="D20">
        <v>1184176</v>
      </c>
      <c r="E20">
        <v>1</v>
      </c>
      <c r="F20">
        <v>1</v>
      </c>
      <c r="G20" t="s">
        <v>96</v>
      </c>
      <c r="H20" t="s">
        <v>97</v>
      </c>
      <c r="I20" t="b">
        <f>ISNUMBER(MATCH(B20,[1]selection!$B$2:$B$41,0))</f>
        <v>1</v>
      </c>
    </row>
    <row r="21" spans="1:9" x14ac:dyDescent="0.25">
      <c r="A21" t="s">
        <v>27</v>
      </c>
      <c r="B21" t="s">
        <v>67</v>
      </c>
      <c r="C21" t="s">
        <v>88</v>
      </c>
      <c r="D21">
        <v>1794684</v>
      </c>
      <c r="E21">
        <v>1</v>
      </c>
      <c r="F21">
        <v>1</v>
      </c>
      <c r="G21" t="s">
        <v>96</v>
      </c>
      <c r="H21" t="s">
        <v>97</v>
      </c>
      <c r="I21" t="b">
        <f>ISNUMBER(MATCH(B21,[1]selection!$B$2:$B$41,0))</f>
        <v>0</v>
      </c>
    </row>
    <row r="22" spans="1:9" x14ac:dyDescent="0.25">
      <c r="A22" t="s">
        <v>28</v>
      </c>
      <c r="B22" t="s">
        <v>68</v>
      </c>
      <c r="C22" t="s">
        <v>91</v>
      </c>
      <c r="D22">
        <v>2763415</v>
      </c>
      <c r="E22">
        <v>1</v>
      </c>
      <c r="F22">
        <v>1</v>
      </c>
      <c r="G22" t="s">
        <v>96</v>
      </c>
      <c r="H22" t="s">
        <v>97</v>
      </c>
      <c r="I22" t="b">
        <f>ISNUMBER(MATCH(B22,[1]selection!$B$2:$B$41,0))</f>
        <v>1</v>
      </c>
    </row>
    <row r="23" spans="1:9" x14ac:dyDescent="0.25">
      <c r="A23" t="s">
        <v>29</v>
      </c>
      <c r="B23" t="s">
        <v>69</v>
      </c>
      <c r="C23" t="s">
        <v>93</v>
      </c>
      <c r="D23">
        <v>11172166</v>
      </c>
      <c r="E23">
        <v>1</v>
      </c>
      <c r="F23">
        <v>1</v>
      </c>
      <c r="G23" t="s">
        <v>96</v>
      </c>
      <c r="H23" t="s">
        <v>97</v>
      </c>
      <c r="I23" t="b">
        <f>ISNUMBER(MATCH(B23,[1]selection!$B$2:$B$41,0))</f>
        <v>1</v>
      </c>
    </row>
    <row r="24" spans="1:9" x14ac:dyDescent="0.25">
      <c r="A24" t="s">
        <v>30</v>
      </c>
      <c r="B24" t="s">
        <v>70</v>
      </c>
      <c r="C24" t="s">
        <v>94</v>
      </c>
      <c r="D24">
        <v>584694</v>
      </c>
      <c r="E24">
        <v>1</v>
      </c>
      <c r="F24">
        <v>1</v>
      </c>
      <c r="G24" t="s">
        <v>96</v>
      </c>
      <c r="H24" t="s">
        <v>97</v>
      </c>
      <c r="I24" t="b">
        <f>ISNUMBER(MATCH(B24,[1]selection!$B$2:$B$41,0))</f>
        <v>1</v>
      </c>
    </row>
    <row r="25" spans="1:9" x14ac:dyDescent="0.25">
      <c r="A25" t="s">
        <v>31</v>
      </c>
      <c r="B25" t="s">
        <v>71</v>
      </c>
      <c r="C25" t="s">
        <v>89</v>
      </c>
      <c r="D25">
        <v>515632</v>
      </c>
      <c r="E25">
        <v>1</v>
      </c>
      <c r="F25">
        <v>1</v>
      </c>
      <c r="G25" t="s">
        <v>96</v>
      </c>
      <c r="H25" t="s">
        <v>97</v>
      </c>
      <c r="I25" t="b">
        <f>ISNUMBER(MATCH(B25,[1]selection!$B$2:$B$41,0))</f>
        <v>1</v>
      </c>
    </row>
    <row r="26" spans="1:9" x14ac:dyDescent="0.25">
      <c r="A26" t="s">
        <v>32</v>
      </c>
      <c r="B26" t="s">
        <v>72</v>
      </c>
      <c r="C26" t="s">
        <v>89</v>
      </c>
      <c r="D26">
        <v>101506</v>
      </c>
      <c r="E26">
        <v>1</v>
      </c>
      <c r="F26">
        <v>1</v>
      </c>
      <c r="G26" t="s">
        <v>96</v>
      </c>
      <c r="H26" t="s">
        <v>97</v>
      </c>
      <c r="I26" t="b">
        <f>ISNUMBER(MATCH(B26,[1]selection!$B$2:$B$41,0))</f>
        <v>1</v>
      </c>
    </row>
    <row r="27" spans="1:9" x14ac:dyDescent="0.25">
      <c r="A27" t="s">
        <v>33</v>
      </c>
      <c r="B27" t="s">
        <v>73</v>
      </c>
      <c r="C27" t="s">
        <v>88</v>
      </c>
      <c r="D27">
        <v>1067382</v>
      </c>
      <c r="E27">
        <v>1</v>
      </c>
      <c r="F27">
        <v>1</v>
      </c>
      <c r="G27" t="s">
        <v>96</v>
      </c>
      <c r="H27" t="s">
        <v>97</v>
      </c>
      <c r="I27" t="b">
        <f>ISNUMBER(MATCH(B27,[1]selection!$B$2:$B$41,0))</f>
        <v>1</v>
      </c>
    </row>
    <row r="28" spans="1:9" x14ac:dyDescent="0.25">
      <c r="A28" t="s">
        <v>34</v>
      </c>
      <c r="B28" t="s">
        <v>74</v>
      </c>
      <c r="C28" t="s">
        <v>88</v>
      </c>
      <c r="D28">
        <v>115828</v>
      </c>
      <c r="E28">
        <v>1</v>
      </c>
      <c r="F28">
        <v>1</v>
      </c>
      <c r="G28" t="s">
        <v>96</v>
      </c>
      <c r="H28" t="s">
        <v>97</v>
      </c>
      <c r="I28" t="b">
        <f>ISNUMBER(MATCH(B28,[1]selection!$B$2:$B$41,0))</f>
        <v>1</v>
      </c>
    </row>
    <row r="29" spans="1:9" x14ac:dyDescent="0.25">
      <c r="A29" t="s">
        <v>35</v>
      </c>
      <c r="B29" t="s">
        <v>75</v>
      </c>
      <c r="C29" t="s">
        <v>95</v>
      </c>
      <c r="D29">
        <v>12241120</v>
      </c>
      <c r="E29">
        <v>1</v>
      </c>
      <c r="F29">
        <v>1</v>
      </c>
      <c r="G29" t="s">
        <v>96</v>
      </c>
      <c r="H29" t="s">
        <v>97</v>
      </c>
      <c r="I29" t="b">
        <f>ISNUMBER(MATCH(B29,[1]selection!$B$2:$B$41,0))</f>
        <v>1</v>
      </c>
    </row>
    <row r="30" spans="1:9" x14ac:dyDescent="0.25">
      <c r="A30" t="s">
        <v>36</v>
      </c>
      <c r="B30" t="s">
        <v>76</v>
      </c>
      <c r="C30" t="s">
        <v>95</v>
      </c>
      <c r="D30">
        <v>4170990</v>
      </c>
      <c r="E30">
        <v>1</v>
      </c>
      <c r="F30">
        <v>1</v>
      </c>
      <c r="G30" t="s">
        <v>96</v>
      </c>
      <c r="H30" t="s">
        <v>97</v>
      </c>
      <c r="I30" t="b">
        <f>ISNUMBER(MATCH(B30,[1]selection!$B$2:$B$41,0))</f>
        <v>1</v>
      </c>
    </row>
    <row r="31" spans="1:9" x14ac:dyDescent="0.25">
      <c r="A31" t="s">
        <v>37</v>
      </c>
      <c r="B31" t="s">
        <v>77</v>
      </c>
      <c r="C31" t="s">
        <v>91</v>
      </c>
      <c r="D31">
        <v>1231579</v>
      </c>
      <c r="E31">
        <v>1</v>
      </c>
      <c r="F31">
        <v>1</v>
      </c>
      <c r="G31" t="s">
        <v>96</v>
      </c>
      <c r="H31" t="s">
        <v>97</v>
      </c>
      <c r="I31" t="b">
        <f>ISNUMBER(MATCH(B31,[1]selection!$B$2:$B$41,0))</f>
        <v>1</v>
      </c>
    </row>
    <row r="32" spans="1:9" x14ac:dyDescent="0.25">
      <c r="A32" t="s">
        <v>38</v>
      </c>
      <c r="B32" t="s">
        <v>78</v>
      </c>
      <c r="C32" t="s">
        <v>91</v>
      </c>
      <c r="D32">
        <v>1864069</v>
      </c>
      <c r="E32">
        <v>1</v>
      </c>
      <c r="F32">
        <v>1</v>
      </c>
      <c r="G32" t="s">
        <v>96</v>
      </c>
      <c r="H32" t="s">
        <v>97</v>
      </c>
      <c r="I32" t="b">
        <f>ISNUMBER(MATCH(B32,[1]selection!$B$2:$B$41,0))</f>
        <v>1</v>
      </c>
    </row>
    <row r="33" spans="1:9" x14ac:dyDescent="0.25">
      <c r="A33" t="s">
        <v>39</v>
      </c>
      <c r="B33" t="s">
        <v>79</v>
      </c>
      <c r="C33" t="s">
        <v>95</v>
      </c>
      <c r="D33">
        <v>6435123</v>
      </c>
      <c r="E33">
        <v>1</v>
      </c>
      <c r="F33">
        <v>1</v>
      </c>
      <c r="G33" t="s">
        <v>96</v>
      </c>
      <c r="H33" t="s">
        <v>97</v>
      </c>
      <c r="I33" t="b">
        <f>ISNUMBER(MATCH(B33,[1]selection!$B$2:$B$41,0))</f>
        <v>1</v>
      </c>
    </row>
    <row r="34" spans="1:9" x14ac:dyDescent="0.25">
      <c r="A34" t="s">
        <v>40</v>
      </c>
      <c r="B34" t="s">
        <v>80</v>
      </c>
      <c r="C34" t="s">
        <v>89</v>
      </c>
      <c r="D34">
        <v>798229</v>
      </c>
      <c r="E34">
        <v>1</v>
      </c>
      <c r="F34">
        <v>1</v>
      </c>
      <c r="G34" t="s">
        <v>96</v>
      </c>
      <c r="H34" t="s">
        <v>97</v>
      </c>
      <c r="I34" t="b">
        <f>ISNUMBER(MATCH(B34,[1]selection!$B$2:$B$41,0))</f>
        <v>1</v>
      </c>
    </row>
    <row r="35" spans="1:9" x14ac:dyDescent="0.25">
      <c r="A35" t="s">
        <v>41</v>
      </c>
      <c r="B35" t="s">
        <v>81</v>
      </c>
      <c r="C35" t="s">
        <v>88</v>
      </c>
      <c r="D35">
        <v>312648</v>
      </c>
      <c r="E35">
        <v>1</v>
      </c>
      <c r="F35">
        <v>1</v>
      </c>
      <c r="G35" t="s">
        <v>96</v>
      </c>
      <c r="H35" t="s">
        <v>97</v>
      </c>
      <c r="I35" t="b">
        <f>ISNUMBER(MATCH(B35,[1]selection!$B$2:$B$41,0))</f>
        <v>1</v>
      </c>
    </row>
    <row r="36" spans="1:9" x14ac:dyDescent="0.25">
      <c r="A36" t="s">
        <v>42</v>
      </c>
      <c r="B36" t="s">
        <v>82</v>
      </c>
      <c r="C36" t="s">
        <v>89</v>
      </c>
      <c r="D36">
        <v>270047</v>
      </c>
      <c r="E36">
        <v>1</v>
      </c>
      <c r="F36">
        <v>1</v>
      </c>
      <c r="G36" t="s">
        <v>96</v>
      </c>
      <c r="H36" t="s">
        <v>97</v>
      </c>
      <c r="I36" t="b">
        <f>ISNUMBER(MATCH(B36,[1]selection!$B$2:$B$41,0))</f>
        <v>1</v>
      </c>
    </row>
    <row r="37" spans="1:9" x14ac:dyDescent="0.25">
      <c r="A37" t="s">
        <v>43</v>
      </c>
      <c r="B37" t="s">
        <v>83</v>
      </c>
      <c r="C37" t="s">
        <v>89</v>
      </c>
      <c r="D37">
        <v>1003863</v>
      </c>
      <c r="E37">
        <v>1</v>
      </c>
      <c r="F37">
        <v>1</v>
      </c>
      <c r="G37" t="s">
        <v>96</v>
      </c>
      <c r="H37" t="s">
        <v>97</v>
      </c>
      <c r="I37" t="b">
        <f>ISNUMBER(MATCH(B37,[1]selection!$B$2:$B$41,0))</f>
        <v>1</v>
      </c>
    </row>
    <row r="38" spans="1:9" x14ac:dyDescent="0.25">
      <c r="A38" t="s">
        <v>44</v>
      </c>
      <c r="B38" t="s">
        <v>84</v>
      </c>
      <c r="C38" t="s">
        <v>94</v>
      </c>
      <c r="D38">
        <v>272036</v>
      </c>
      <c r="E38">
        <v>1</v>
      </c>
      <c r="F38">
        <v>1</v>
      </c>
      <c r="G38" t="s">
        <v>96</v>
      </c>
      <c r="H38" t="s">
        <v>97</v>
      </c>
      <c r="I38" t="b">
        <f>ISNUMBER(MATCH(B38,[1]selection!$B$2:$B$41,0))</f>
        <v>1</v>
      </c>
    </row>
    <row r="39" spans="1:9" x14ac:dyDescent="0.25">
      <c r="A39" t="s">
        <v>45</v>
      </c>
      <c r="B39" t="s">
        <v>85</v>
      </c>
      <c r="C39" t="s">
        <v>91</v>
      </c>
      <c r="D39">
        <v>2974615</v>
      </c>
      <c r="E39">
        <v>1</v>
      </c>
      <c r="F39">
        <v>1</v>
      </c>
      <c r="G39" t="s">
        <v>96</v>
      </c>
      <c r="H39" t="s">
        <v>97</v>
      </c>
      <c r="I39" t="b">
        <f>ISNUMBER(MATCH(B39,[1]selection!$B$2:$B$41,0))</f>
        <v>1</v>
      </c>
    </row>
    <row r="40" spans="1:9" x14ac:dyDescent="0.25">
      <c r="A40" t="s">
        <v>46</v>
      </c>
      <c r="B40" t="s">
        <v>86</v>
      </c>
      <c r="C40" t="s">
        <v>93</v>
      </c>
      <c r="D40">
        <v>929621</v>
      </c>
      <c r="E40">
        <v>1</v>
      </c>
      <c r="F40">
        <v>1</v>
      </c>
      <c r="G40" t="s">
        <v>96</v>
      </c>
      <c r="H40" t="s">
        <v>97</v>
      </c>
      <c r="I40" t="b">
        <f>ISNUMBER(MATCH(B40,[1]selection!$B$2:$B$41,0))</f>
        <v>1</v>
      </c>
    </row>
    <row r="41" spans="1:9" x14ac:dyDescent="0.25">
      <c r="A41" t="s">
        <v>47</v>
      </c>
      <c r="B41" t="s">
        <v>87</v>
      </c>
      <c r="C41" t="s">
        <v>91</v>
      </c>
      <c r="D41">
        <v>1180713</v>
      </c>
      <c r="E41">
        <v>1</v>
      </c>
      <c r="F41">
        <v>1</v>
      </c>
      <c r="G41" t="s">
        <v>96</v>
      </c>
      <c r="H41" t="s">
        <v>97</v>
      </c>
      <c r="I41" t="b">
        <f>ISNUMBER(MATCH(B41,[1]selection!$B$2:$B$41,0))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98</v>
      </c>
      <c r="C1" s="1" t="s">
        <v>2</v>
      </c>
    </row>
    <row r="2" spans="1:3" x14ac:dyDescent="0.25">
      <c r="A2" t="s">
        <v>19</v>
      </c>
      <c r="B2" t="s">
        <v>59</v>
      </c>
      <c r="C2" t="s">
        <v>88</v>
      </c>
    </row>
    <row r="3" spans="1:3" x14ac:dyDescent="0.25">
      <c r="A3" t="s">
        <v>21</v>
      </c>
      <c r="B3" t="s">
        <v>61</v>
      </c>
      <c r="C3" t="s">
        <v>88</v>
      </c>
    </row>
    <row r="4" spans="1:3" x14ac:dyDescent="0.25">
      <c r="A4" t="s">
        <v>33</v>
      </c>
      <c r="B4" t="s">
        <v>73</v>
      </c>
      <c r="C4" t="s">
        <v>88</v>
      </c>
    </row>
    <row r="5" spans="1:3" x14ac:dyDescent="0.25">
      <c r="A5" t="s">
        <v>35</v>
      </c>
      <c r="B5" t="s">
        <v>75</v>
      </c>
      <c r="C5" t="s">
        <v>95</v>
      </c>
    </row>
    <row r="6" spans="1:3" x14ac:dyDescent="0.25">
      <c r="A6" t="s">
        <v>40</v>
      </c>
      <c r="B6" t="s">
        <v>80</v>
      </c>
      <c r="C6" t="s">
        <v>89</v>
      </c>
    </row>
    <row r="7" spans="1:3" x14ac:dyDescent="0.25">
      <c r="A7" t="s">
        <v>47</v>
      </c>
      <c r="B7" t="s">
        <v>87</v>
      </c>
      <c r="C7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98</v>
      </c>
      <c r="C1" s="1" t="s">
        <v>2</v>
      </c>
    </row>
    <row r="2" spans="1:3" x14ac:dyDescent="0.25">
      <c r="A2" t="s">
        <v>99</v>
      </c>
      <c r="B2" t="s">
        <v>105</v>
      </c>
      <c r="C2" t="s">
        <v>88</v>
      </c>
    </row>
    <row r="3" spans="1:3" x14ac:dyDescent="0.25">
      <c r="A3" t="s">
        <v>100</v>
      </c>
      <c r="B3" t="s">
        <v>106</v>
      </c>
      <c r="C3" t="s">
        <v>88</v>
      </c>
    </row>
    <row r="4" spans="1:3" x14ac:dyDescent="0.25">
      <c r="A4" t="s">
        <v>101</v>
      </c>
      <c r="B4" t="s">
        <v>107</v>
      </c>
      <c r="C4" t="s">
        <v>90</v>
      </c>
    </row>
    <row r="5" spans="1:3" x14ac:dyDescent="0.25">
      <c r="A5" t="s">
        <v>102</v>
      </c>
      <c r="B5" t="s">
        <v>108</v>
      </c>
      <c r="C5" t="s">
        <v>89</v>
      </c>
    </row>
    <row r="6" spans="1:3" x14ac:dyDescent="0.25">
      <c r="A6" t="s">
        <v>103</v>
      </c>
      <c r="B6" t="s">
        <v>109</v>
      </c>
      <c r="C6" t="s">
        <v>89</v>
      </c>
    </row>
    <row r="7" spans="1:3" x14ac:dyDescent="0.25">
      <c r="A7" t="s">
        <v>104</v>
      </c>
      <c r="B7" t="s">
        <v>110</v>
      </c>
      <c r="C7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41"/>
  <sheetViews>
    <sheetView topLeftCell="A9" workbookViewId="0">
      <selection activeCell="A41" sqref="A41"/>
    </sheetView>
  </sheetViews>
  <sheetFormatPr defaultRowHeight="15" x14ac:dyDescent="0.25"/>
  <sheetData>
    <row r="1" spans="1:61" x14ac:dyDescent="0.25">
      <c r="A1" s="1" t="s">
        <v>111</v>
      </c>
      <c r="B1" s="1" t="s">
        <v>112</v>
      </c>
      <c r="C1" s="1" t="s">
        <v>0</v>
      </c>
      <c r="D1" s="1" t="s">
        <v>98</v>
      </c>
      <c r="E1" s="1" t="s">
        <v>2</v>
      </c>
      <c r="F1" s="1" t="s">
        <v>3</v>
      </c>
      <c r="G1" s="1" t="s">
        <v>113</v>
      </c>
      <c r="H1" s="1" t="s">
        <v>7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6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  <c r="BC1" s="1" t="s">
        <v>159</v>
      </c>
      <c r="BD1" s="1" t="s">
        <v>160</v>
      </c>
      <c r="BE1" s="1" t="s">
        <v>161</v>
      </c>
      <c r="BF1" s="1" t="s">
        <v>162</v>
      </c>
      <c r="BG1" s="1" t="s">
        <v>163</v>
      </c>
      <c r="BH1" s="1" t="s">
        <v>4</v>
      </c>
      <c r="BI1" s="1" t="s">
        <v>5</v>
      </c>
    </row>
    <row r="2" spans="1:61" x14ac:dyDescent="0.25">
      <c r="A2">
        <v>245</v>
      </c>
      <c r="B2" t="s">
        <v>164</v>
      </c>
      <c r="C2" t="s">
        <v>42</v>
      </c>
      <c r="D2" t="s">
        <v>82</v>
      </c>
      <c r="E2" t="s">
        <v>89</v>
      </c>
      <c r="F2">
        <v>577122512</v>
      </c>
      <c r="G2">
        <v>222.3</v>
      </c>
      <c r="H2" t="s">
        <v>97</v>
      </c>
      <c r="I2">
        <v>225947074.68548301</v>
      </c>
      <c r="J2">
        <v>207404730.509267</v>
      </c>
      <c r="M2">
        <v>199844949.36271399</v>
      </c>
      <c r="N2">
        <v>29.388895000000002</v>
      </c>
      <c r="O2">
        <v>29.795259999999999</v>
      </c>
      <c r="P2">
        <v>200348532.41978201</v>
      </c>
      <c r="Q2">
        <v>33.028824</v>
      </c>
      <c r="R2">
        <v>200335742.54664001</v>
      </c>
      <c r="S2">
        <v>233582043.159466</v>
      </c>
      <c r="T2" t="s">
        <v>96</v>
      </c>
      <c r="U2" t="s">
        <v>204</v>
      </c>
      <c r="V2">
        <v>1</v>
      </c>
      <c r="W2">
        <v>239.25</v>
      </c>
      <c r="X2">
        <v>222.3</v>
      </c>
      <c r="Y2">
        <v>1</v>
      </c>
      <c r="Z2">
        <v>128294334417.60001</v>
      </c>
      <c r="AA2">
        <v>0</v>
      </c>
      <c r="AB2">
        <v>0</v>
      </c>
      <c r="AC2">
        <v>7.1448087500000002</v>
      </c>
      <c r="AD2">
        <v>2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>
        <v>8</v>
      </c>
      <c r="BD2">
        <v>7.1448087500000002</v>
      </c>
      <c r="BE2">
        <v>1</v>
      </c>
      <c r="BF2">
        <v>270046.53418129572</v>
      </c>
      <c r="BG2">
        <v>270047</v>
      </c>
      <c r="BH2">
        <v>1</v>
      </c>
      <c r="BI2">
        <v>1</v>
      </c>
    </row>
    <row r="3" spans="1:61" x14ac:dyDescent="0.25">
      <c r="A3">
        <v>158</v>
      </c>
      <c r="B3" t="s">
        <v>165</v>
      </c>
      <c r="C3" t="s">
        <v>29</v>
      </c>
      <c r="D3" t="s">
        <v>69</v>
      </c>
      <c r="E3" t="s">
        <v>93</v>
      </c>
      <c r="F3">
        <v>17413389613</v>
      </c>
      <c r="G3">
        <v>5.6189999999999998</v>
      </c>
      <c r="H3" t="s">
        <v>97</v>
      </c>
      <c r="I3">
        <v>293767090.16672999</v>
      </c>
      <c r="J3">
        <v>325066381.92893302</v>
      </c>
      <c r="M3">
        <v>268153499.05000001</v>
      </c>
      <c r="N3">
        <v>23.324428999999999</v>
      </c>
      <c r="O3">
        <v>24.010738</v>
      </c>
      <c r="P3">
        <v>268929667.19718999</v>
      </c>
      <c r="Q3">
        <v>28.28163</v>
      </c>
      <c r="R3">
        <v>282868481.63398498</v>
      </c>
      <c r="S3">
        <v>329523646.21244597</v>
      </c>
      <c r="T3" t="s">
        <v>96</v>
      </c>
      <c r="U3" t="s">
        <v>205</v>
      </c>
      <c r="V3">
        <v>1</v>
      </c>
      <c r="W3">
        <v>5.7830000000000004</v>
      </c>
      <c r="X3">
        <v>5.6189999999999998</v>
      </c>
      <c r="Y3">
        <v>0.8</v>
      </c>
      <c r="Z3">
        <v>78276668988.357605</v>
      </c>
      <c r="AA3">
        <v>0</v>
      </c>
      <c r="AB3">
        <v>0</v>
      </c>
      <c r="AC3">
        <v>8.09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>
        <v>18</v>
      </c>
      <c r="BD3">
        <v>8.09</v>
      </c>
      <c r="BE3">
        <v>2</v>
      </c>
      <c r="BF3">
        <v>11172165.5374157</v>
      </c>
      <c r="BG3">
        <v>11172166</v>
      </c>
      <c r="BH3">
        <v>1</v>
      </c>
      <c r="BI3">
        <v>1</v>
      </c>
    </row>
    <row r="4" spans="1:61" x14ac:dyDescent="0.25">
      <c r="A4">
        <v>225</v>
      </c>
      <c r="B4" t="s">
        <v>166</v>
      </c>
      <c r="C4" t="s">
        <v>38</v>
      </c>
      <c r="D4" t="s">
        <v>78</v>
      </c>
      <c r="E4" t="s">
        <v>91</v>
      </c>
      <c r="F4">
        <v>1907070957</v>
      </c>
      <c r="G4">
        <v>35.28</v>
      </c>
      <c r="H4" t="s">
        <v>97</v>
      </c>
      <c r="I4">
        <v>35151618.017999999</v>
      </c>
      <c r="J4">
        <v>38042578.714666702</v>
      </c>
      <c r="M4">
        <v>29814886.367424201</v>
      </c>
      <c r="N4">
        <v>20.830658</v>
      </c>
      <c r="O4">
        <v>22.413506000000002</v>
      </c>
      <c r="P4">
        <v>31979316.750999998</v>
      </c>
      <c r="Q4">
        <v>23.983384999999998</v>
      </c>
      <c r="R4">
        <v>32638215.1919697</v>
      </c>
      <c r="S4">
        <v>38012064.798709601</v>
      </c>
      <c r="T4" t="s">
        <v>96</v>
      </c>
      <c r="U4" t="s">
        <v>206</v>
      </c>
      <c r="V4">
        <v>1</v>
      </c>
      <c r="W4">
        <v>34.659999999999997</v>
      </c>
      <c r="X4">
        <v>35.28</v>
      </c>
      <c r="Y4">
        <v>1</v>
      </c>
      <c r="Z4">
        <v>67281463362.959999</v>
      </c>
      <c r="AA4">
        <v>0</v>
      </c>
      <c r="AB4">
        <v>0</v>
      </c>
      <c r="AC4">
        <v>8.1090937499999995</v>
      </c>
      <c r="AD4">
        <v>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>
        <v>23</v>
      </c>
      <c r="BD4">
        <v>8.1090937499999995</v>
      </c>
      <c r="BE4">
        <v>3</v>
      </c>
      <c r="BF4">
        <v>1864069.0508619449</v>
      </c>
      <c r="BG4">
        <v>1864069</v>
      </c>
      <c r="BH4">
        <v>1</v>
      </c>
      <c r="BI4">
        <v>1</v>
      </c>
    </row>
    <row r="5" spans="1:61" x14ac:dyDescent="0.25">
      <c r="A5">
        <v>36</v>
      </c>
      <c r="B5" t="s">
        <v>167</v>
      </c>
      <c r="C5" t="s">
        <v>12</v>
      </c>
      <c r="D5" t="s">
        <v>52</v>
      </c>
      <c r="E5" t="s">
        <v>91</v>
      </c>
      <c r="F5">
        <v>388147674</v>
      </c>
      <c r="G5">
        <v>834</v>
      </c>
      <c r="H5" t="s">
        <v>97</v>
      </c>
      <c r="I5">
        <v>507485028.18274498</v>
      </c>
      <c r="J5">
        <v>519075447.359999</v>
      </c>
      <c r="M5">
        <v>476870092.68939298</v>
      </c>
      <c r="N5">
        <v>35.690429999999999</v>
      </c>
      <c r="O5">
        <v>37.997826000000003</v>
      </c>
      <c r="P5">
        <v>498206589.87099898</v>
      </c>
      <c r="Q5">
        <v>36.628566999999997</v>
      </c>
      <c r="R5">
        <v>539381837.15833199</v>
      </c>
      <c r="S5">
        <v>628790744.55153298</v>
      </c>
      <c r="T5" t="s">
        <v>96</v>
      </c>
      <c r="U5" t="s">
        <v>207</v>
      </c>
      <c r="V5">
        <v>1</v>
      </c>
      <c r="W5">
        <v>908.6</v>
      </c>
      <c r="X5">
        <v>834</v>
      </c>
      <c r="Y5">
        <v>1</v>
      </c>
      <c r="Z5">
        <v>323715160116</v>
      </c>
      <c r="AA5">
        <v>0</v>
      </c>
      <c r="AB5">
        <v>0</v>
      </c>
      <c r="AC5">
        <v>8.9289450000000006</v>
      </c>
      <c r="AD5">
        <v>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>
        <v>1</v>
      </c>
      <c r="BD5">
        <v>8.9289450000000006</v>
      </c>
      <c r="BE5">
        <v>4</v>
      </c>
      <c r="BF5">
        <v>71107.894896406549</v>
      </c>
      <c r="BG5">
        <v>71108</v>
      </c>
      <c r="BH5">
        <v>1</v>
      </c>
      <c r="BI5">
        <v>1</v>
      </c>
    </row>
    <row r="6" spans="1:61" x14ac:dyDescent="0.25">
      <c r="A6">
        <v>92</v>
      </c>
      <c r="B6" t="s">
        <v>168</v>
      </c>
      <c r="C6" t="s">
        <v>19</v>
      </c>
      <c r="D6" t="s">
        <v>59</v>
      </c>
      <c r="E6" t="s">
        <v>88</v>
      </c>
      <c r="F6">
        <v>1948252900</v>
      </c>
      <c r="G6">
        <v>29.385000000000002</v>
      </c>
      <c r="H6" t="s">
        <v>97</v>
      </c>
      <c r="I6">
        <v>170153144.36817199</v>
      </c>
      <c r="J6">
        <v>162831730.796</v>
      </c>
      <c r="M6">
        <v>168472774.81662899</v>
      </c>
      <c r="N6">
        <v>30.730796999999999</v>
      </c>
      <c r="O6">
        <v>30.842863000000001</v>
      </c>
      <c r="P6">
        <v>170715450.21277499</v>
      </c>
      <c r="Q6">
        <v>36.20055</v>
      </c>
      <c r="R6">
        <v>177981689.83113599</v>
      </c>
      <c r="S6">
        <v>207685531.526611</v>
      </c>
      <c r="T6" t="s">
        <v>96</v>
      </c>
      <c r="U6" t="s">
        <v>208</v>
      </c>
      <c r="V6">
        <v>1</v>
      </c>
      <c r="W6">
        <v>31.81</v>
      </c>
      <c r="X6">
        <v>29.385000000000002</v>
      </c>
      <c r="Y6">
        <v>1</v>
      </c>
      <c r="Z6">
        <v>57249411466.5</v>
      </c>
      <c r="AA6">
        <v>0</v>
      </c>
      <c r="AB6">
        <v>0</v>
      </c>
      <c r="AC6">
        <v>8.9654924999999999</v>
      </c>
      <c r="AD6">
        <v>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>
        <v>27</v>
      </c>
      <c r="BD6">
        <v>8.9654924999999999</v>
      </c>
      <c r="BE6">
        <v>5</v>
      </c>
      <c r="BF6">
        <v>2031079.3242022949</v>
      </c>
      <c r="BG6">
        <v>2031079</v>
      </c>
      <c r="BH6">
        <v>1</v>
      </c>
      <c r="BI6">
        <v>1</v>
      </c>
    </row>
    <row r="7" spans="1:61" x14ac:dyDescent="0.25">
      <c r="A7">
        <v>72</v>
      </c>
      <c r="B7" t="s">
        <v>169</v>
      </c>
      <c r="C7" t="s">
        <v>17</v>
      </c>
      <c r="D7" t="s">
        <v>57</v>
      </c>
      <c r="E7" t="s">
        <v>90</v>
      </c>
      <c r="F7">
        <v>7085565400</v>
      </c>
      <c r="G7">
        <v>9.2539999999999996</v>
      </c>
      <c r="H7" t="s">
        <v>97</v>
      </c>
      <c r="I7">
        <v>62448678.087694898</v>
      </c>
      <c r="J7">
        <v>135073762.49853301</v>
      </c>
      <c r="M7">
        <v>58951377.241015203</v>
      </c>
      <c r="N7">
        <v>22.261782</v>
      </c>
      <c r="O7">
        <v>21.866230000000002</v>
      </c>
      <c r="P7">
        <v>59991050.236759998</v>
      </c>
      <c r="Q7">
        <v>29.400314000000002</v>
      </c>
      <c r="R7">
        <v>67273797.403015196</v>
      </c>
      <c r="S7">
        <v>78123008.163468003</v>
      </c>
      <c r="T7" t="s">
        <v>96</v>
      </c>
      <c r="U7" t="s">
        <v>209</v>
      </c>
      <c r="V7">
        <v>1</v>
      </c>
      <c r="W7">
        <v>10.16</v>
      </c>
      <c r="X7">
        <v>9.2539999999999996</v>
      </c>
      <c r="Y7">
        <v>0.5</v>
      </c>
      <c r="Z7">
        <v>32784911105.799999</v>
      </c>
      <c r="AA7">
        <v>0</v>
      </c>
      <c r="AB7">
        <v>0</v>
      </c>
      <c r="AC7">
        <v>9.5090000000000003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>
        <v>45</v>
      </c>
      <c r="BD7">
        <v>9.5090000000000003</v>
      </c>
      <c r="BE7">
        <v>6</v>
      </c>
      <c r="BF7">
        <v>6359117.4510703739</v>
      </c>
      <c r="BG7">
        <v>6359117</v>
      </c>
      <c r="BH7">
        <v>1</v>
      </c>
      <c r="BI7">
        <v>1</v>
      </c>
    </row>
    <row r="8" spans="1:61" x14ac:dyDescent="0.25">
      <c r="A8">
        <v>57</v>
      </c>
      <c r="B8" t="s">
        <v>170</v>
      </c>
      <c r="C8" t="s">
        <v>15</v>
      </c>
      <c r="D8" t="s">
        <v>55</v>
      </c>
      <c r="E8" t="s">
        <v>90</v>
      </c>
      <c r="F8">
        <v>5763285600</v>
      </c>
      <c r="G8">
        <v>17.704999999999998</v>
      </c>
      <c r="H8" t="s">
        <v>97</v>
      </c>
      <c r="I8">
        <v>135662523.73262399</v>
      </c>
      <c r="J8">
        <v>367133785.72883302</v>
      </c>
      <c r="M8">
        <v>143930722.37119299</v>
      </c>
      <c r="N8">
        <v>27.777552</v>
      </c>
      <c r="O8">
        <v>28.950481</v>
      </c>
      <c r="P8">
        <v>154705054.66154999</v>
      </c>
      <c r="Q8">
        <v>31.000454000000001</v>
      </c>
      <c r="R8">
        <v>178076885.36534101</v>
      </c>
      <c r="S8">
        <v>206870092.04022601</v>
      </c>
      <c r="T8" t="s">
        <v>96</v>
      </c>
      <c r="U8" t="s">
        <v>210</v>
      </c>
      <c r="V8">
        <v>1</v>
      </c>
      <c r="W8">
        <v>19.305</v>
      </c>
      <c r="X8">
        <v>17.704999999999998</v>
      </c>
      <c r="Y8">
        <v>1</v>
      </c>
      <c r="Z8">
        <v>102038971548</v>
      </c>
      <c r="AA8">
        <v>0</v>
      </c>
      <c r="AB8">
        <v>0</v>
      </c>
      <c r="AC8">
        <v>9.5642499999999995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>
        <v>11</v>
      </c>
      <c r="BD8">
        <v>9.5642499999999995</v>
      </c>
      <c r="BE8">
        <v>7</v>
      </c>
      <c r="BF8">
        <v>3346730.5518194772</v>
      </c>
      <c r="BG8">
        <v>3346731</v>
      </c>
      <c r="BH8">
        <v>1</v>
      </c>
      <c r="BI8">
        <v>1</v>
      </c>
    </row>
    <row r="9" spans="1:61" x14ac:dyDescent="0.25">
      <c r="A9">
        <v>203</v>
      </c>
      <c r="B9" t="s">
        <v>171</v>
      </c>
      <c r="C9" t="s">
        <v>35</v>
      </c>
      <c r="D9" t="s">
        <v>75</v>
      </c>
      <c r="E9" t="s">
        <v>95</v>
      </c>
      <c r="F9">
        <v>5742239700</v>
      </c>
      <c r="G9">
        <v>5.13</v>
      </c>
      <c r="H9" t="s">
        <v>97</v>
      </c>
      <c r="I9">
        <v>57797345.7651807</v>
      </c>
      <c r="J9">
        <v>77090096.5693333</v>
      </c>
      <c r="M9">
        <v>60440865.205615401</v>
      </c>
      <c r="N9">
        <v>44.634284999999998</v>
      </c>
      <c r="O9">
        <v>48.75582</v>
      </c>
      <c r="P9">
        <v>67323848.028799996</v>
      </c>
      <c r="Q9">
        <v>42.792059999999999</v>
      </c>
      <c r="R9">
        <v>83697742.174999997</v>
      </c>
      <c r="S9">
        <v>97482564.918623894</v>
      </c>
      <c r="T9" t="s">
        <v>96</v>
      </c>
      <c r="U9" t="s">
        <v>211</v>
      </c>
      <c r="V9">
        <v>1</v>
      </c>
      <c r="W9">
        <v>5.2779999999999996</v>
      </c>
      <c r="X9">
        <v>5.13</v>
      </c>
      <c r="Y9">
        <v>0.95</v>
      </c>
      <c r="Z9">
        <v>27984805177.950001</v>
      </c>
      <c r="AA9">
        <v>0</v>
      </c>
      <c r="AB9">
        <v>0</v>
      </c>
      <c r="AC9">
        <v>9.6503237500000001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>
        <v>49</v>
      </c>
      <c r="BD9">
        <v>9.6503237500000001</v>
      </c>
      <c r="BE9">
        <v>8</v>
      </c>
      <c r="BF9">
        <v>12241120.368108191</v>
      </c>
      <c r="BG9">
        <v>12241120</v>
      </c>
      <c r="BH9">
        <v>1</v>
      </c>
      <c r="BI9">
        <v>1</v>
      </c>
    </row>
    <row r="10" spans="1:61" x14ac:dyDescent="0.25">
      <c r="A10">
        <v>279</v>
      </c>
      <c r="B10" t="s">
        <v>172</v>
      </c>
      <c r="C10" t="s">
        <v>45</v>
      </c>
      <c r="D10" t="s">
        <v>85</v>
      </c>
      <c r="E10" t="s">
        <v>91</v>
      </c>
      <c r="F10">
        <v>1834181554</v>
      </c>
      <c r="G10">
        <v>22.61</v>
      </c>
      <c r="H10" t="s">
        <v>97</v>
      </c>
      <c r="I10">
        <v>46598460.615490198</v>
      </c>
      <c r="J10">
        <v>39786466.410666697</v>
      </c>
      <c r="M10">
        <v>47611055.378674202</v>
      </c>
      <c r="N10">
        <v>25.067509000000001</v>
      </c>
      <c r="O10">
        <v>25.950218</v>
      </c>
      <c r="P10">
        <v>39603259.70025</v>
      </c>
      <c r="Q10">
        <v>26.648779999999999</v>
      </c>
      <c r="R10">
        <v>39325563.061590903</v>
      </c>
      <c r="S10">
        <v>45813287.164494</v>
      </c>
      <c r="T10" t="s">
        <v>96</v>
      </c>
      <c r="U10" t="s">
        <v>212</v>
      </c>
      <c r="V10">
        <v>1</v>
      </c>
      <c r="W10">
        <v>21.72</v>
      </c>
      <c r="X10">
        <v>22.61</v>
      </c>
      <c r="Y10">
        <v>0.60000000000000009</v>
      </c>
      <c r="Z10">
        <v>24882506961.563999</v>
      </c>
      <c r="AA10">
        <v>0</v>
      </c>
      <c r="AB10">
        <v>0</v>
      </c>
      <c r="AC10">
        <v>9.7401696399999995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>
        <v>56</v>
      </c>
      <c r="BD10">
        <v>9.7401696399999995</v>
      </c>
      <c r="BE10">
        <v>9</v>
      </c>
      <c r="BF10">
        <v>2974614.7929500458</v>
      </c>
      <c r="BG10">
        <v>2974615</v>
      </c>
      <c r="BH10">
        <v>1</v>
      </c>
      <c r="BI10">
        <v>1</v>
      </c>
    </row>
    <row r="11" spans="1:61" x14ac:dyDescent="0.25">
      <c r="A11">
        <v>51</v>
      </c>
      <c r="B11" t="s">
        <v>173</v>
      </c>
      <c r="C11" t="s">
        <v>14</v>
      </c>
      <c r="D11" t="s">
        <v>54</v>
      </c>
      <c r="E11" t="s">
        <v>90</v>
      </c>
      <c r="F11">
        <v>14885325000</v>
      </c>
      <c r="G11">
        <v>8.8049999999999997</v>
      </c>
      <c r="H11" t="s">
        <v>97</v>
      </c>
      <c r="I11">
        <v>199340830.08776501</v>
      </c>
      <c r="J11">
        <v>248319441.05223399</v>
      </c>
      <c r="M11">
        <v>193680299.884783</v>
      </c>
      <c r="N11">
        <v>26.540150000000001</v>
      </c>
      <c r="O11">
        <v>26.308454999999999</v>
      </c>
      <c r="P11">
        <v>199845154.79542801</v>
      </c>
      <c r="Q11">
        <v>31.747720000000001</v>
      </c>
      <c r="R11">
        <v>217400667.12145901</v>
      </c>
      <c r="S11">
        <v>253325577.49467301</v>
      </c>
      <c r="T11" t="s">
        <v>96</v>
      </c>
      <c r="U11" t="s">
        <v>213</v>
      </c>
      <c r="V11">
        <v>1</v>
      </c>
      <c r="W11">
        <v>9.8170000000000002</v>
      </c>
      <c r="X11">
        <v>8.8049999999999997</v>
      </c>
      <c r="Y11">
        <v>1</v>
      </c>
      <c r="Z11">
        <v>131065286625</v>
      </c>
      <c r="AA11">
        <v>0</v>
      </c>
      <c r="AB11">
        <v>0</v>
      </c>
      <c r="AC11">
        <v>9.8890124999999998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>
        <v>7</v>
      </c>
      <c r="BD11">
        <v>9.8890124999999998</v>
      </c>
      <c r="BE11">
        <v>10</v>
      </c>
      <c r="BF11">
        <v>6581301.1411709273</v>
      </c>
      <c r="BG11">
        <v>6581301</v>
      </c>
      <c r="BH11">
        <v>1</v>
      </c>
      <c r="BI11">
        <v>1</v>
      </c>
    </row>
    <row r="12" spans="1:61" x14ac:dyDescent="0.25">
      <c r="A12">
        <v>165</v>
      </c>
      <c r="B12" t="s">
        <v>174</v>
      </c>
      <c r="C12" t="s">
        <v>30</v>
      </c>
      <c r="D12" t="s">
        <v>70</v>
      </c>
      <c r="E12" t="s">
        <v>94</v>
      </c>
      <c r="F12">
        <v>417544151</v>
      </c>
      <c r="G12">
        <v>105.35</v>
      </c>
      <c r="H12" t="s">
        <v>97</v>
      </c>
      <c r="I12">
        <v>39495466.120313801</v>
      </c>
      <c r="J12">
        <v>40066030.393333301</v>
      </c>
      <c r="M12">
        <v>36083655.993257597</v>
      </c>
      <c r="N12">
        <v>19.155403</v>
      </c>
      <c r="O12">
        <v>19.713436000000002</v>
      </c>
      <c r="P12">
        <v>36288231.053900003</v>
      </c>
      <c r="Q12">
        <v>24.682182000000001</v>
      </c>
      <c r="R12">
        <v>37189984.759242401</v>
      </c>
      <c r="S12">
        <v>43359474.1252959</v>
      </c>
      <c r="T12" t="s">
        <v>96</v>
      </c>
      <c r="U12" t="s">
        <v>214</v>
      </c>
      <c r="V12">
        <v>1</v>
      </c>
      <c r="W12">
        <v>110.5</v>
      </c>
      <c r="X12">
        <v>105.35</v>
      </c>
      <c r="Y12">
        <v>0.55000000000000004</v>
      </c>
      <c r="Z12">
        <v>24193551969.317501</v>
      </c>
      <c r="AA12">
        <v>0</v>
      </c>
      <c r="AB12">
        <v>0</v>
      </c>
      <c r="AC12">
        <v>10.209262499999999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>
        <v>57</v>
      </c>
      <c r="BD12">
        <v>10.209262499999999</v>
      </c>
      <c r="BE12">
        <v>11</v>
      </c>
      <c r="BF12">
        <v>584693.51405316743</v>
      </c>
      <c r="BG12">
        <v>584694</v>
      </c>
      <c r="BH12">
        <v>1</v>
      </c>
      <c r="BI12">
        <v>1</v>
      </c>
    </row>
    <row r="13" spans="1:61" x14ac:dyDescent="0.25">
      <c r="A13">
        <v>282</v>
      </c>
      <c r="B13" t="s">
        <v>175</v>
      </c>
      <c r="C13" t="s">
        <v>46</v>
      </c>
      <c r="D13" t="s">
        <v>86</v>
      </c>
      <c r="E13" t="s">
        <v>93</v>
      </c>
      <c r="F13">
        <v>1557675176</v>
      </c>
      <c r="G13">
        <v>62.85</v>
      </c>
      <c r="H13" t="s">
        <v>97</v>
      </c>
      <c r="I13">
        <v>359104838.19417602</v>
      </c>
      <c r="J13">
        <v>333318301.37566602</v>
      </c>
      <c r="M13">
        <v>314367458.98908401</v>
      </c>
      <c r="N13">
        <v>26.839243</v>
      </c>
      <c r="O13">
        <v>26.80322</v>
      </c>
      <c r="P13">
        <v>320104027.33350003</v>
      </c>
      <c r="Q13">
        <v>33.478299999999997</v>
      </c>
      <c r="R13">
        <v>320233546.05310601</v>
      </c>
      <c r="S13">
        <v>373375769.30038702</v>
      </c>
      <c r="T13" t="s">
        <v>96</v>
      </c>
      <c r="U13" t="s">
        <v>215</v>
      </c>
      <c r="V13">
        <v>1</v>
      </c>
      <c r="W13">
        <v>69.5</v>
      </c>
      <c r="X13">
        <v>62.85</v>
      </c>
      <c r="Y13">
        <v>1</v>
      </c>
      <c r="Z13">
        <v>97899884811.600006</v>
      </c>
      <c r="AA13">
        <v>0</v>
      </c>
      <c r="AB13">
        <v>0</v>
      </c>
      <c r="AC13">
        <v>10.5530875</v>
      </c>
      <c r="AD13">
        <v>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>
        <v>14</v>
      </c>
      <c r="BD13">
        <v>10.5530875</v>
      </c>
      <c r="BE13">
        <v>12</v>
      </c>
      <c r="BF13">
        <v>929620.62306294963</v>
      </c>
      <c r="BG13">
        <v>929621</v>
      </c>
      <c r="BH13">
        <v>1</v>
      </c>
      <c r="BI13">
        <v>1</v>
      </c>
    </row>
    <row r="14" spans="1:61" x14ac:dyDescent="0.25">
      <c r="A14">
        <v>152</v>
      </c>
      <c r="B14" t="s">
        <v>176</v>
      </c>
      <c r="C14" t="s">
        <v>26</v>
      </c>
      <c r="D14" t="s">
        <v>66</v>
      </c>
      <c r="E14" t="s">
        <v>90</v>
      </c>
      <c r="F14">
        <v>3116652000</v>
      </c>
      <c r="G14">
        <v>46.54</v>
      </c>
      <c r="H14" t="s">
        <v>97</v>
      </c>
      <c r="I14">
        <v>109772676.08406</v>
      </c>
      <c r="J14">
        <v>142026480.02399999</v>
      </c>
      <c r="M14">
        <v>106887525.11382601</v>
      </c>
      <c r="N14">
        <v>23.16405</v>
      </c>
      <c r="O14">
        <v>23.343883999999999</v>
      </c>
      <c r="P14">
        <v>107928229.6776</v>
      </c>
      <c r="Q14">
        <v>25.288754999999998</v>
      </c>
      <c r="R14">
        <v>121435820.174242</v>
      </c>
      <c r="S14">
        <v>141326631.93808499</v>
      </c>
      <c r="T14" t="s">
        <v>96</v>
      </c>
      <c r="U14" t="s">
        <v>216</v>
      </c>
      <c r="V14">
        <v>1</v>
      </c>
      <c r="W14">
        <v>54.56</v>
      </c>
      <c r="X14">
        <v>46.54</v>
      </c>
      <c r="Y14">
        <v>0.35</v>
      </c>
      <c r="Z14">
        <v>50767144428</v>
      </c>
      <c r="AA14">
        <v>0</v>
      </c>
      <c r="AB14">
        <v>0</v>
      </c>
      <c r="AC14">
        <v>10.810387499999999</v>
      </c>
      <c r="AD14">
        <v>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>
        <v>30</v>
      </c>
      <c r="BD14">
        <v>10.810387499999999</v>
      </c>
      <c r="BE14">
        <v>13</v>
      </c>
      <c r="BF14">
        <v>1184175.8303312871</v>
      </c>
      <c r="BG14">
        <v>1184176</v>
      </c>
      <c r="BH14">
        <v>1</v>
      </c>
      <c r="BI14">
        <v>1</v>
      </c>
    </row>
    <row r="15" spans="1:61" x14ac:dyDescent="0.25">
      <c r="A15">
        <v>240</v>
      </c>
      <c r="B15" t="s">
        <v>177</v>
      </c>
      <c r="C15" t="s">
        <v>41</v>
      </c>
      <c r="D15" t="s">
        <v>81</v>
      </c>
      <c r="E15" t="s">
        <v>88</v>
      </c>
      <c r="F15">
        <v>1228504300</v>
      </c>
      <c r="G15">
        <v>205</v>
      </c>
      <c r="H15" t="s">
        <v>97</v>
      </c>
      <c r="I15">
        <v>395853899.51620603</v>
      </c>
      <c r="J15">
        <v>268025642.47166699</v>
      </c>
      <c r="M15">
        <v>348416609.12954497</v>
      </c>
      <c r="N15">
        <v>27.421091000000001</v>
      </c>
      <c r="O15">
        <v>28.854689</v>
      </c>
      <c r="P15">
        <v>325568946.30524999</v>
      </c>
      <c r="Q15">
        <v>31.971903000000001</v>
      </c>
      <c r="R15">
        <v>322309689.85303003</v>
      </c>
      <c r="S15">
        <v>376029939.132653</v>
      </c>
      <c r="T15" t="s">
        <v>96</v>
      </c>
      <c r="U15" t="s">
        <v>217</v>
      </c>
      <c r="V15">
        <v>1</v>
      </c>
      <c r="W15">
        <v>206.65</v>
      </c>
      <c r="X15">
        <v>205</v>
      </c>
      <c r="Y15">
        <v>0.9</v>
      </c>
      <c r="Z15">
        <v>226659043350</v>
      </c>
      <c r="AA15">
        <v>0</v>
      </c>
      <c r="AB15">
        <v>0</v>
      </c>
      <c r="AC15">
        <v>11.225540000000001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>
        <v>2</v>
      </c>
      <c r="BD15">
        <v>11.225540000000001</v>
      </c>
      <c r="BE15">
        <v>14</v>
      </c>
      <c r="BF15">
        <v>312647.63272622792</v>
      </c>
      <c r="BG15">
        <v>312648</v>
      </c>
      <c r="BH15">
        <v>1</v>
      </c>
      <c r="BI15">
        <v>1</v>
      </c>
    </row>
    <row r="16" spans="1:61" x14ac:dyDescent="0.25">
      <c r="A16">
        <v>196</v>
      </c>
      <c r="B16" t="s">
        <v>178</v>
      </c>
      <c r="C16" t="s">
        <v>34</v>
      </c>
      <c r="D16" t="s">
        <v>74</v>
      </c>
      <c r="E16" t="s">
        <v>88</v>
      </c>
      <c r="F16">
        <v>130645070</v>
      </c>
      <c r="G16">
        <v>532.4</v>
      </c>
      <c r="H16" t="s">
        <v>97</v>
      </c>
      <c r="I16">
        <v>142614499.850593</v>
      </c>
      <c r="J16">
        <v>124943892.553333</v>
      </c>
      <c r="M16">
        <v>130284135.80833299</v>
      </c>
      <c r="N16">
        <v>21.038910000000001</v>
      </c>
      <c r="O16">
        <v>21.719397000000001</v>
      </c>
      <c r="P16">
        <v>125067300.40700001</v>
      </c>
      <c r="Q16">
        <v>25.573225000000001</v>
      </c>
      <c r="R16">
        <v>126417449.87424199</v>
      </c>
      <c r="S16">
        <v>147461314.67462799</v>
      </c>
      <c r="T16" t="s">
        <v>96</v>
      </c>
      <c r="U16" t="s">
        <v>218</v>
      </c>
      <c r="V16">
        <v>1</v>
      </c>
      <c r="W16">
        <v>557.79999999999995</v>
      </c>
      <c r="X16">
        <v>532.4</v>
      </c>
      <c r="Y16">
        <v>1</v>
      </c>
      <c r="Z16">
        <v>69555435268</v>
      </c>
      <c r="AA16">
        <v>0</v>
      </c>
      <c r="AB16">
        <v>0</v>
      </c>
      <c r="AC16">
        <v>11.755625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>
        <v>20</v>
      </c>
      <c r="BD16">
        <v>11.755625</v>
      </c>
      <c r="BE16">
        <v>15</v>
      </c>
      <c r="BF16">
        <v>115827.5964554948</v>
      </c>
      <c r="BG16">
        <v>115828</v>
      </c>
      <c r="BH16">
        <v>1</v>
      </c>
      <c r="BI16">
        <v>1</v>
      </c>
    </row>
    <row r="17" spans="1:61" x14ac:dyDescent="0.25">
      <c r="A17">
        <v>11</v>
      </c>
      <c r="B17" t="s">
        <v>179</v>
      </c>
      <c r="C17" t="s">
        <v>8</v>
      </c>
      <c r="D17" t="s">
        <v>48</v>
      </c>
      <c r="E17" t="s">
        <v>88</v>
      </c>
      <c r="F17">
        <v>180000000</v>
      </c>
      <c r="G17">
        <v>151.6</v>
      </c>
      <c r="H17" t="s">
        <v>97</v>
      </c>
      <c r="I17">
        <v>107899259.43547399</v>
      </c>
      <c r="J17">
        <v>89920548.676666707</v>
      </c>
      <c r="M17">
        <v>100136664.235227</v>
      </c>
      <c r="N17">
        <v>33.168934</v>
      </c>
      <c r="O17">
        <v>34.763446999999999</v>
      </c>
      <c r="P17">
        <v>102936456.99225</v>
      </c>
      <c r="Q17">
        <v>35.543674000000003</v>
      </c>
      <c r="R17">
        <v>99318391.576894</v>
      </c>
      <c r="S17">
        <v>115732872.619123</v>
      </c>
      <c r="T17" t="s">
        <v>96</v>
      </c>
      <c r="U17" t="s">
        <v>219</v>
      </c>
      <c r="V17">
        <v>1</v>
      </c>
      <c r="W17">
        <v>168.55</v>
      </c>
      <c r="X17">
        <v>151.6</v>
      </c>
      <c r="Y17">
        <v>0.95</v>
      </c>
      <c r="Z17">
        <v>25923600000</v>
      </c>
      <c r="AA17">
        <v>0</v>
      </c>
      <c r="AB17">
        <v>0</v>
      </c>
      <c r="AC17">
        <v>11.92034643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>
        <v>52</v>
      </c>
      <c r="BD17">
        <v>11.92034643</v>
      </c>
      <c r="BE17">
        <v>16</v>
      </c>
      <c r="BF17">
        <v>383320.2806459507</v>
      </c>
      <c r="BG17">
        <v>383320</v>
      </c>
      <c r="BH17">
        <v>1</v>
      </c>
      <c r="BI17">
        <v>1</v>
      </c>
    </row>
    <row r="18" spans="1:61" x14ac:dyDescent="0.25">
      <c r="A18">
        <v>64</v>
      </c>
      <c r="B18" t="s">
        <v>180</v>
      </c>
      <c r="C18" t="s">
        <v>16</v>
      </c>
      <c r="D18" t="s">
        <v>56</v>
      </c>
      <c r="E18" t="s">
        <v>89</v>
      </c>
      <c r="F18">
        <v>1116784757</v>
      </c>
      <c r="G18">
        <v>70.47</v>
      </c>
      <c r="H18" t="s">
        <v>97</v>
      </c>
      <c r="I18">
        <v>212917894.392795</v>
      </c>
      <c r="J18">
        <v>193406350.51875299</v>
      </c>
      <c r="M18">
        <v>196214994.42096701</v>
      </c>
      <c r="N18">
        <v>26.853807</v>
      </c>
      <c r="O18">
        <v>27.375444000000002</v>
      </c>
      <c r="P18">
        <v>192976695.211927</v>
      </c>
      <c r="Q18">
        <v>30.013380000000002</v>
      </c>
      <c r="R18">
        <v>208626228.82238901</v>
      </c>
      <c r="S18">
        <v>243014105.80956301</v>
      </c>
      <c r="T18" t="s">
        <v>96</v>
      </c>
      <c r="U18" t="s">
        <v>220</v>
      </c>
      <c r="V18">
        <v>1</v>
      </c>
      <c r="W18">
        <v>78.86</v>
      </c>
      <c r="X18">
        <v>70.47</v>
      </c>
      <c r="Y18">
        <v>0.95000000000000007</v>
      </c>
      <c r="Z18">
        <v>74764830734.500504</v>
      </c>
      <c r="AA18">
        <v>0</v>
      </c>
      <c r="AB18">
        <v>0</v>
      </c>
      <c r="AC18">
        <v>12.27173125</v>
      </c>
      <c r="AD18">
        <v>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>
        <v>19</v>
      </c>
      <c r="BD18">
        <v>12.27173125</v>
      </c>
      <c r="BE18">
        <v>17</v>
      </c>
      <c r="BF18">
        <v>819282.69468520163</v>
      </c>
      <c r="BG18">
        <v>819283</v>
      </c>
      <c r="BH18">
        <v>1</v>
      </c>
      <c r="BI18">
        <v>1</v>
      </c>
    </row>
    <row r="19" spans="1:61" x14ac:dyDescent="0.25">
      <c r="A19">
        <v>147</v>
      </c>
      <c r="B19" t="s">
        <v>181</v>
      </c>
      <c r="C19" t="s">
        <v>25</v>
      </c>
      <c r="D19" t="s">
        <v>65</v>
      </c>
      <c r="E19" t="s">
        <v>89</v>
      </c>
      <c r="F19">
        <v>105569412</v>
      </c>
      <c r="G19">
        <v>2124</v>
      </c>
      <c r="H19" t="s">
        <v>97</v>
      </c>
      <c r="I19">
        <v>140008736.488242</v>
      </c>
      <c r="J19">
        <v>99979651.600199997</v>
      </c>
      <c r="M19">
        <v>119493976.65531699</v>
      </c>
      <c r="N19">
        <v>26.302942000000002</v>
      </c>
      <c r="O19">
        <v>28.087807000000002</v>
      </c>
      <c r="P19">
        <v>114540131.815018</v>
      </c>
      <c r="Q19">
        <v>27.303678999999999</v>
      </c>
      <c r="R19">
        <v>113541795.810633</v>
      </c>
      <c r="S19">
        <v>132334098.846276</v>
      </c>
      <c r="T19" t="s">
        <v>96</v>
      </c>
      <c r="U19" t="s">
        <v>221</v>
      </c>
      <c r="V19">
        <v>1</v>
      </c>
      <c r="W19">
        <v>2159</v>
      </c>
      <c r="X19">
        <v>2124</v>
      </c>
      <c r="Y19">
        <v>0.3</v>
      </c>
      <c r="Z19">
        <v>67268829326.400009</v>
      </c>
      <c r="AA19">
        <v>0</v>
      </c>
      <c r="AB19">
        <v>0</v>
      </c>
      <c r="AC19">
        <v>12.35406036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>
        <v>24</v>
      </c>
      <c r="BD19">
        <v>12.35406036</v>
      </c>
      <c r="BE19">
        <v>18</v>
      </c>
      <c r="BF19">
        <v>29925.258593272349</v>
      </c>
      <c r="BG19">
        <v>29925</v>
      </c>
      <c r="BH19">
        <v>1</v>
      </c>
      <c r="BI19">
        <v>1</v>
      </c>
    </row>
    <row r="20" spans="1:61" x14ac:dyDescent="0.25">
      <c r="A20">
        <v>87</v>
      </c>
      <c r="B20" t="s">
        <v>182</v>
      </c>
      <c r="C20" t="s">
        <v>18</v>
      </c>
      <c r="D20" t="s">
        <v>58</v>
      </c>
      <c r="E20" t="s">
        <v>89</v>
      </c>
      <c r="F20">
        <v>681394483</v>
      </c>
      <c r="G20">
        <v>78.459999999999994</v>
      </c>
      <c r="H20" t="s">
        <v>97</v>
      </c>
      <c r="I20">
        <v>89187470.845429093</v>
      </c>
      <c r="J20">
        <v>77875664.540000007</v>
      </c>
      <c r="M20">
        <v>76458845.763063699</v>
      </c>
      <c r="N20">
        <v>18.218976999999999</v>
      </c>
      <c r="O20">
        <v>19.518609999999999</v>
      </c>
      <c r="P20">
        <v>75441701.222443998</v>
      </c>
      <c r="Q20">
        <v>19.109919999999999</v>
      </c>
      <c r="R20">
        <v>74833743.850218207</v>
      </c>
      <c r="S20">
        <v>87189947.560488701</v>
      </c>
      <c r="T20" t="s">
        <v>96</v>
      </c>
      <c r="U20" t="s">
        <v>222</v>
      </c>
      <c r="V20">
        <v>1</v>
      </c>
      <c r="W20">
        <v>76.98</v>
      </c>
      <c r="X20">
        <v>78.459999999999994</v>
      </c>
      <c r="Y20">
        <v>0.95000000000000007</v>
      </c>
      <c r="Z20">
        <v>50789100579.370987</v>
      </c>
      <c r="AA20">
        <v>0</v>
      </c>
      <c r="AB20">
        <v>0</v>
      </c>
      <c r="AC20">
        <v>12.54371181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>
        <v>29</v>
      </c>
      <c r="BD20">
        <v>12.54371181</v>
      </c>
      <c r="BE20">
        <v>19</v>
      </c>
      <c r="BF20">
        <v>839291.15748083906</v>
      </c>
      <c r="BG20">
        <v>839291</v>
      </c>
      <c r="BH20">
        <v>1</v>
      </c>
      <c r="BI20">
        <v>1</v>
      </c>
    </row>
    <row r="21" spans="1:61" x14ac:dyDescent="0.25">
      <c r="A21">
        <v>112</v>
      </c>
      <c r="B21" t="s">
        <v>183</v>
      </c>
      <c r="C21" t="s">
        <v>23</v>
      </c>
      <c r="D21" t="s">
        <v>63</v>
      </c>
      <c r="E21" t="s">
        <v>89</v>
      </c>
      <c r="F21">
        <v>463145529</v>
      </c>
      <c r="G21">
        <v>306</v>
      </c>
      <c r="H21" t="s">
        <v>97</v>
      </c>
      <c r="I21">
        <v>136933038.349944</v>
      </c>
      <c r="J21">
        <v>111826623.93328699</v>
      </c>
      <c r="M21">
        <v>119144642.46958899</v>
      </c>
      <c r="N21">
        <v>28.494783000000002</v>
      </c>
      <c r="O21">
        <v>30.682514000000001</v>
      </c>
      <c r="P21">
        <v>107596969.978358</v>
      </c>
      <c r="Q21">
        <v>30.263120000000001</v>
      </c>
      <c r="R21">
        <v>110011448.09751201</v>
      </c>
      <c r="S21">
        <v>128240726.61354201</v>
      </c>
      <c r="T21" t="s">
        <v>96</v>
      </c>
      <c r="U21" t="s">
        <v>223</v>
      </c>
      <c r="V21">
        <v>1</v>
      </c>
      <c r="W21">
        <v>278.2</v>
      </c>
      <c r="X21">
        <v>306</v>
      </c>
      <c r="Y21">
        <v>0.70000000000000007</v>
      </c>
      <c r="Z21">
        <v>99205772311.800003</v>
      </c>
      <c r="AA21">
        <v>0</v>
      </c>
      <c r="AB21">
        <v>0</v>
      </c>
      <c r="AC21">
        <v>12.911462500000001</v>
      </c>
      <c r="AD21">
        <v>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>
        <v>13</v>
      </c>
      <c r="BD21">
        <v>12.911462500000001</v>
      </c>
      <c r="BE21">
        <v>20</v>
      </c>
      <c r="BF21">
        <v>232238.0780117721</v>
      </c>
      <c r="BG21">
        <v>232238</v>
      </c>
      <c r="BH21">
        <v>1</v>
      </c>
      <c r="BI21">
        <v>1</v>
      </c>
    </row>
    <row r="22" spans="1:61" x14ac:dyDescent="0.25">
      <c r="A22">
        <v>93</v>
      </c>
      <c r="B22" t="s">
        <v>184</v>
      </c>
      <c r="C22" t="s">
        <v>20</v>
      </c>
      <c r="D22" t="s">
        <v>60</v>
      </c>
      <c r="E22" t="s">
        <v>88</v>
      </c>
      <c r="F22">
        <v>188300000</v>
      </c>
      <c r="G22">
        <v>218.9</v>
      </c>
      <c r="H22" t="s">
        <v>97</v>
      </c>
      <c r="I22">
        <v>92217904.973122507</v>
      </c>
      <c r="J22">
        <v>87659123.730000004</v>
      </c>
      <c r="M22">
        <v>82567655.923484802</v>
      </c>
      <c r="N22">
        <v>18.901009999999999</v>
      </c>
      <c r="O22">
        <v>19.265366</v>
      </c>
      <c r="P22">
        <v>80430486.472000003</v>
      </c>
      <c r="Q22">
        <v>23.373327</v>
      </c>
      <c r="R22">
        <v>80560922.512878805</v>
      </c>
      <c r="S22">
        <v>93941883.061751395</v>
      </c>
      <c r="T22" t="s">
        <v>96</v>
      </c>
      <c r="U22" t="s">
        <v>224</v>
      </c>
      <c r="V22">
        <v>1</v>
      </c>
      <c r="W22">
        <v>217.4</v>
      </c>
      <c r="X22">
        <v>218.9</v>
      </c>
      <c r="Y22">
        <v>1</v>
      </c>
      <c r="Z22">
        <v>41218870000</v>
      </c>
      <c r="AA22">
        <v>0</v>
      </c>
      <c r="AB22">
        <v>0</v>
      </c>
      <c r="AC22">
        <v>12.979156250000001</v>
      </c>
      <c r="AD22">
        <v>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>
        <v>35</v>
      </c>
      <c r="BD22">
        <v>12.979156250000001</v>
      </c>
      <c r="BE22">
        <v>21</v>
      </c>
      <c r="BF22">
        <v>297187.8256801978</v>
      </c>
      <c r="BG22">
        <v>297188</v>
      </c>
      <c r="BH22">
        <v>1</v>
      </c>
      <c r="BI22">
        <v>1</v>
      </c>
    </row>
    <row r="23" spans="1:61" x14ac:dyDescent="0.25">
      <c r="A23">
        <v>204</v>
      </c>
      <c r="B23" t="s">
        <v>185</v>
      </c>
      <c r="C23" t="s">
        <v>36</v>
      </c>
      <c r="D23" t="s">
        <v>76</v>
      </c>
      <c r="E23" t="s">
        <v>95</v>
      </c>
      <c r="F23">
        <v>3442514600</v>
      </c>
      <c r="G23">
        <v>14.69</v>
      </c>
      <c r="H23" t="s">
        <v>97</v>
      </c>
      <c r="I23">
        <v>66453499.368433803</v>
      </c>
      <c r="J23">
        <v>63414555.982666701</v>
      </c>
      <c r="M23">
        <v>54290958.423692301</v>
      </c>
      <c r="N23">
        <v>18.596834000000001</v>
      </c>
      <c r="O23">
        <v>18.859200999999999</v>
      </c>
      <c r="P23">
        <v>52763447.971100003</v>
      </c>
      <c r="Q23">
        <v>23.394123</v>
      </c>
      <c r="R23">
        <v>54685575.574848503</v>
      </c>
      <c r="S23">
        <v>63718870.813999698</v>
      </c>
      <c r="T23" t="s">
        <v>96</v>
      </c>
      <c r="U23" t="s">
        <v>225</v>
      </c>
      <c r="V23">
        <v>1</v>
      </c>
      <c r="W23">
        <v>15.49</v>
      </c>
      <c r="X23">
        <v>14.69</v>
      </c>
      <c r="Y23">
        <v>0.95</v>
      </c>
      <c r="Z23">
        <v>48042012500.300003</v>
      </c>
      <c r="AA23">
        <v>0</v>
      </c>
      <c r="AB23">
        <v>0</v>
      </c>
      <c r="AC23">
        <v>13.146229999999999</v>
      </c>
      <c r="AD23">
        <v>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>
        <v>32</v>
      </c>
      <c r="BD23">
        <v>13.146229999999999</v>
      </c>
      <c r="BE23">
        <v>22</v>
      </c>
      <c r="BF23">
        <v>4170989.8839816009</v>
      </c>
      <c r="BG23">
        <v>4170990</v>
      </c>
      <c r="BH23">
        <v>1</v>
      </c>
      <c r="BI23">
        <v>1</v>
      </c>
    </row>
    <row r="24" spans="1:61" x14ac:dyDescent="0.25">
      <c r="A24">
        <v>24</v>
      </c>
      <c r="B24" t="s">
        <v>186</v>
      </c>
      <c r="C24" t="s">
        <v>10</v>
      </c>
      <c r="D24" t="s">
        <v>50</v>
      </c>
      <c r="E24" t="s">
        <v>88</v>
      </c>
      <c r="F24">
        <v>386166700</v>
      </c>
      <c r="G24">
        <v>363.1</v>
      </c>
      <c r="H24" t="s">
        <v>97</v>
      </c>
      <c r="I24">
        <v>236156018.20276701</v>
      </c>
      <c r="J24">
        <v>172849275.063333</v>
      </c>
      <c r="M24">
        <v>192105221.688636</v>
      </c>
      <c r="N24">
        <v>18.476724999999998</v>
      </c>
      <c r="O24">
        <v>19.508807999999998</v>
      </c>
      <c r="P24">
        <v>178096131.97499999</v>
      </c>
      <c r="Q24">
        <v>21.759954</v>
      </c>
      <c r="R24">
        <v>168303975.97878799</v>
      </c>
      <c r="S24">
        <v>196175264.25025299</v>
      </c>
      <c r="T24" t="s">
        <v>96</v>
      </c>
      <c r="U24" t="s">
        <v>226</v>
      </c>
      <c r="V24">
        <v>1</v>
      </c>
      <c r="W24">
        <v>383.3</v>
      </c>
      <c r="X24">
        <v>363.1</v>
      </c>
      <c r="Y24">
        <v>1</v>
      </c>
      <c r="Z24">
        <v>140217128770</v>
      </c>
      <c r="AA24">
        <v>0</v>
      </c>
      <c r="AB24">
        <v>0</v>
      </c>
      <c r="AC24">
        <v>13.164099999999999</v>
      </c>
      <c r="AD24">
        <v>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>
        <v>5</v>
      </c>
      <c r="BD24">
        <v>13.164099999999999</v>
      </c>
      <c r="BE24">
        <v>23</v>
      </c>
      <c r="BF24">
        <v>168558.9180873337</v>
      </c>
      <c r="BG24">
        <v>168559</v>
      </c>
      <c r="BH24">
        <v>1</v>
      </c>
      <c r="BI24">
        <v>1</v>
      </c>
    </row>
    <row r="25" spans="1:61" x14ac:dyDescent="0.25">
      <c r="A25">
        <v>239</v>
      </c>
      <c r="B25" t="s">
        <v>187</v>
      </c>
      <c r="C25" t="s">
        <v>40</v>
      </c>
      <c r="D25" t="s">
        <v>80</v>
      </c>
      <c r="E25" t="s">
        <v>89</v>
      </c>
      <c r="F25">
        <v>1227468973</v>
      </c>
      <c r="G25">
        <v>86.32</v>
      </c>
      <c r="H25" t="s">
        <v>97</v>
      </c>
      <c r="I25">
        <v>178130166.87086701</v>
      </c>
      <c r="J25">
        <v>147147863.87253299</v>
      </c>
      <c r="M25">
        <v>161115065.88894701</v>
      </c>
      <c r="N25">
        <v>27.717334999999999</v>
      </c>
      <c r="O25">
        <v>28.988537000000001</v>
      </c>
      <c r="P25">
        <v>155693899.83570999</v>
      </c>
      <c r="Q25">
        <v>28.241544999999999</v>
      </c>
      <c r="R25">
        <v>162557819.54956099</v>
      </c>
      <c r="S25">
        <v>189528580.930825</v>
      </c>
      <c r="T25" t="s">
        <v>96</v>
      </c>
      <c r="U25" t="s">
        <v>227</v>
      </c>
      <c r="V25">
        <v>1</v>
      </c>
      <c r="W25">
        <v>80.94</v>
      </c>
      <c r="X25">
        <v>86.32</v>
      </c>
      <c r="Y25">
        <v>0.95000000000000007</v>
      </c>
      <c r="Z25">
        <v>100657365661.892</v>
      </c>
      <c r="AA25">
        <v>0</v>
      </c>
      <c r="AB25">
        <v>0</v>
      </c>
      <c r="AC25">
        <v>13.1702175</v>
      </c>
      <c r="AD25">
        <v>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>
        <v>12</v>
      </c>
      <c r="BD25">
        <v>13.1702175</v>
      </c>
      <c r="BE25">
        <v>24</v>
      </c>
      <c r="BF25">
        <v>798228.72872343706</v>
      </c>
      <c r="BG25">
        <v>798229</v>
      </c>
      <c r="BH25">
        <v>1</v>
      </c>
      <c r="BI25">
        <v>1</v>
      </c>
    </row>
    <row r="26" spans="1:61" x14ac:dyDescent="0.25">
      <c r="A26">
        <v>255</v>
      </c>
      <c r="B26" t="s">
        <v>188</v>
      </c>
      <c r="C26" t="s">
        <v>43</v>
      </c>
      <c r="D26" t="s">
        <v>83</v>
      </c>
      <c r="E26" t="s">
        <v>89</v>
      </c>
      <c r="F26">
        <v>766894786</v>
      </c>
      <c r="G26">
        <v>56.54</v>
      </c>
      <c r="H26" t="s">
        <v>97</v>
      </c>
      <c r="I26">
        <v>116670932.84463499</v>
      </c>
      <c r="J26">
        <v>106274498.25399999</v>
      </c>
      <c r="M26">
        <v>110451050.100033</v>
      </c>
      <c r="N26">
        <v>31.680330000000001</v>
      </c>
      <c r="O26">
        <v>32.316142999999997</v>
      </c>
      <c r="P26">
        <v>112619549.641993</v>
      </c>
      <c r="Q26">
        <v>34.544589999999999</v>
      </c>
      <c r="R26">
        <v>120101190.28756499</v>
      </c>
      <c r="S26">
        <v>139982609.69790301</v>
      </c>
      <c r="T26" t="s">
        <v>96</v>
      </c>
      <c r="U26" t="s">
        <v>228</v>
      </c>
      <c r="V26">
        <v>1</v>
      </c>
      <c r="W26">
        <v>64.36</v>
      </c>
      <c r="X26">
        <v>56.54</v>
      </c>
      <c r="Y26">
        <v>0.9</v>
      </c>
      <c r="Z26">
        <v>39024208080.396004</v>
      </c>
      <c r="AA26">
        <v>0</v>
      </c>
      <c r="AB26">
        <v>0</v>
      </c>
      <c r="AC26">
        <v>13.18949375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>
        <v>40</v>
      </c>
      <c r="BD26">
        <v>13.18949375</v>
      </c>
      <c r="BE26">
        <v>25</v>
      </c>
      <c r="BF26">
        <v>1003863.165053993</v>
      </c>
      <c r="BG26">
        <v>1003863</v>
      </c>
      <c r="BH26">
        <v>1</v>
      </c>
      <c r="BI26">
        <v>1</v>
      </c>
    </row>
    <row r="27" spans="1:61" x14ac:dyDescent="0.25">
      <c r="A27">
        <v>20</v>
      </c>
      <c r="B27" t="s">
        <v>189</v>
      </c>
      <c r="C27" t="s">
        <v>9</v>
      </c>
      <c r="D27" t="s">
        <v>49</v>
      </c>
      <c r="E27" t="s">
        <v>89</v>
      </c>
      <c r="F27">
        <v>578534275</v>
      </c>
      <c r="G27">
        <v>165.94</v>
      </c>
      <c r="H27" t="s">
        <v>97</v>
      </c>
      <c r="I27">
        <v>119505514.533602</v>
      </c>
      <c r="J27">
        <v>92896515.384959996</v>
      </c>
      <c r="M27">
        <v>103003521.114912</v>
      </c>
      <c r="N27">
        <v>14.127079999999999</v>
      </c>
      <c r="O27">
        <v>14.407667</v>
      </c>
      <c r="P27">
        <v>96960052.230783895</v>
      </c>
      <c r="Q27">
        <v>18.233885000000001</v>
      </c>
      <c r="R27">
        <v>98286987.256642297</v>
      </c>
      <c r="S27">
        <v>114554343.79323301</v>
      </c>
      <c r="T27" t="s">
        <v>96</v>
      </c>
      <c r="U27" t="s">
        <v>229</v>
      </c>
      <c r="V27">
        <v>1</v>
      </c>
      <c r="W27">
        <v>159.4</v>
      </c>
      <c r="X27">
        <v>165.94</v>
      </c>
      <c r="Y27">
        <v>1</v>
      </c>
      <c r="Z27">
        <v>96001977593.5</v>
      </c>
      <c r="AA27">
        <v>0</v>
      </c>
      <c r="AB27">
        <v>0</v>
      </c>
      <c r="AC27">
        <v>13.37985625</v>
      </c>
      <c r="AD27">
        <v>2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>
        <v>15</v>
      </c>
      <c r="BD27">
        <v>13.37985625</v>
      </c>
      <c r="BE27">
        <v>26</v>
      </c>
      <c r="BF27">
        <v>405323.92285367002</v>
      </c>
      <c r="BG27">
        <v>405324</v>
      </c>
      <c r="BH27">
        <v>1</v>
      </c>
      <c r="BI27">
        <v>1</v>
      </c>
    </row>
    <row r="28" spans="1:61" x14ac:dyDescent="0.25">
      <c r="A28">
        <v>184</v>
      </c>
      <c r="B28" t="s">
        <v>190</v>
      </c>
      <c r="C28" t="s">
        <v>32</v>
      </c>
      <c r="D28" t="s">
        <v>72</v>
      </c>
      <c r="E28" t="s">
        <v>89</v>
      </c>
      <c r="F28">
        <v>497686940</v>
      </c>
      <c r="G28">
        <v>623</v>
      </c>
      <c r="H28" t="s">
        <v>97</v>
      </c>
      <c r="I28">
        <v>296179580.149634</v>
      </c>
      <c r="J28">
        <v>232671821.4138</v>
      </c>
      <c r="M28">
        <v>255572100.37997499</v>
      </c>
      <c r="N28">
        <v>32.682704999999999</v>
      </c>
      <c r="O28">
        <v>33.556435</v>
      </c>
      <c r="P28">
        <v>251737340.45981699</v>
      </c>
      <c r="Q28">
        <v>34.114150000000002</v>
      </c>
      <c r="R28">
        <v>269027301.10464698</v>
      </c>
      <c r="S28">
        <v>313555952.450616</v>
      </c>
      <c r="T28" t="s">
        <v>96</v>
      </c>
      <c r="U28" t="s">
        <v>230</v>
      </c>
      <c r="V28">
        <v>1</v>
      </c>
      <c r="W28">
        <v>636.5</v>
      </c>
      <c r="X28">
        <v>623</v>
      </c>
      <c r="Y28">
        <v>0.5</v>
      </c>
      <c r="Z28">
        <v>155029481810</v>
      </c>
      <c r="AA28">
        <v>0</v>
      </c>
      <c r="AB28">
        <v>0</v>
      </c>
      <c r="AC28">
        <v>13.552071249999999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>
        <v>4</v>
      </c>
      <c r="BD28">
        <v>13.552071249999999</v>
      </c>
      <c r="BE28">
        <v>27</v>
      </c>
      <c r="BF28">
        <v>101506.1010257266</v>
      </c>
      <c r="BG28">
        <v>101506</v>
      </c>
      <c r="BH28">
        <v>1</v>
      </c>
      <c r="BI28">
        <v>1</v>
      </c>
    </row>
    <row r="29" spans="1:61" x14ac:dyDescent="0.25">
      <c r="A29">
        <v>178</v>
      </c>
      <c r="B29" t="s">
        <v>191</v>
      </c>
      <c r="C29" t="s">
        <v>31</v>
      </c>
      <c r="D29" t="s">
        <v>71</v>
      </c>
      <c r="E29" t="s">
        <v>89</v>
      </c>
      <c r="F29">
        <v>262245733</v>
      </c>
      <c r="G29">
        <v>126.85</v>
      </c>
      <c r="H29" t="s">
        <v>97</v>
      </c>
      <c r="I29">
        <v>65263619.848812602</v>
      </c>
      <c r="J29">
        <v>97086327.625039905</v>
      </c>
      <c r="M29">
        <v>70383967.219751507</v>
      </c>
      <c r="N29">
        <v>29.225881999999999</v>
      </c>
      <c r="O29">
        <v>31.214537</v>
      </c>
      <c r="P29">
        <v>75273279.681071997</v>
      </c>
      <c r="Q29">
        <v>29.133050000000001</v>
      </c>
      <c r="R29">
        <v>80639088.683821201</v>
      </c>
      <c r="S29">
        <v>93970508.512403801</v>
      </c>
      <c r="T29" t="s">
        <v>96</v>
      </c>
      <c r="U29" t="s">
        <v>231</v>
      </c>
      <c r="V29">
        <v>1</v>
      </c>
      <c r="W29">
        <v>125.3</v>
      </c>
      <c r="X29">
        <v>126.85</v>
      </c>
      <c r="Y29">
        <v>1</v>
      </c>
      <c r="Z29">
        <v>33265871231.049999</v>
      </c>
      <c r="AA29">
        <v>0</v>
      </c>
      <c r="AB29">
        <v>0</v>
      </c>
      <c r="AC29">
        <v>13.664225</v>
      </c>
      <c r="AD29">
        <v>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>
        <v>42</v>
      </c>
      <c r="BD29">
        <v>13.664225</v>
      </c>
      <c r="BE29">
        <v>28</v>
      </c>
      <c r="BF29">
        <v>515631.55070131691</v>
      </c>
      <c r="BG29">
        <v>515632</v>
      </c>
      <c r="BH29">
        <v>1</v>
      </c>
      <c r="BI29">
        <v>1</v>
      </c>
    </row>
    <row r="30" spans="1:61" x14ac:dyDescent="0.25">
      <c r="A30">
        <v>238</v>
      </c>
      <c r="B30" t="s">
        <v>192</v>
      </c>
      <c r="C30" t="s">
        <v>39</v>
      </c>
      <c r="D30" t="s">
        <v>79</v>
      </c>
      <c r="E30" t="s">
        <v>95</v>
      </c>
      <c r="F30">
        <v>2669754000</v>
      </c>
      <c r="G30">
        <v>9.9540000000000006</v>
      </c>
      <c r="H30" t="s">
        <v>97</v>
      </c>
      <c r="I30">
        <v>29063627.203413598</v>
      </c>
      <c r="J30">
        <v>30247059.484666701</v>
      </c>
      <c r="M30">
        <v>27726956.0843077</v>
      </c>
      <c r="N30">
        <v>13.247197999999999</v>
      </c>
      <c r="O30">
        <v>13.865957999999999</v>
      </c>
      <c r="P30">
        <v>27315858.8838</v>
      </c>
      <c r="Q30">
        <v>17.619641999999999</v>
      </c>
      <c r="R30">
        <v>27913699.4480303</v>
      </c>
      <c r="S30">
        <v>32527837.379808702</v>
      </c>
      <c r="T30" t="s">
        <v>96</v>
      </c>
      <c r="U30" t="s">
        <v>232</v>
      </c>
      <c r="V30">
        <v>1</v>
      </c>
      <c r="W30">
        <v>10.039999999999999</v>
      </c>
      <c r="X30">
        <v>9.9540000000000006</v>
      </c>
      <c r="Y30">
        <v>0.95</v>
      </c>
      <c r="Z30">
        <v>25245994750.200001</v>
      </c>
      <c r="AA30">
        <v>0</v>
      </c>
      <c r="AB30">
        <v>0</v>
      </c>
      <c r="AC30">
        <v>13.718951880000001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>
        <v>55</v>
      </c>
      <c r="BD30">
        <v>13.718951880000001</v>
      </c>
      <c r="BE30">
        <v>29</v>
      </c>
      <c r="BF30">
        <v>6435122.8389317729</v>
      </c>
      <c r="BG30">
        <v>6435123</v>
      </c>
      <c r="BH30">
        <v>1</v>
      </c>
      <c r="BI30">
        <v>1</v>
      </c>
    </row>
    <row r="31" spans="1:61" x14ac:dyDescent="0.25">
      <c r="A31">
        <v>278</v>
      </c>
      <c r="B31" t="s">
        <v>193</v>
      </c>
      <c r="C31" t="s">
        <v>44</v>
      </c>
      <c r="D31" t="s">
        <v>84</v>
      </c>
      <c r="E31" t="s">
        <v>94</v>
      </c>
      <c r="F31">
        <v>194505658</v>
      </c>
      <c r="G31">
        <v>233</v>
      </c>
      <c r="H31" t="s">
        <v>97</v>
      </c>
      <c r="I31">
        <v>46280059.667941198</v>
      </c>
      <c r="J31">
        <v>71796824.333333299</v>
      </c>
      <c r="M31">
        <v>47399485.4778409</v>
      </c>
      <c r="N31">
        <v>35.705143</v>
      </c>
      <c r="O31">
        <v>37.489359999999998</v>
      </c>
      <c r="P31">
        <v>50837791.406499997</v>
      </c>
      <c r="Q31">
        <v>40.620586000000003</v>
      </c>
      <c r="R31">
        <v>58454084.428030297</v>
      </c>
      <c r="S31">
        <v>68076770.024208993</v>
      </c>
      <c r="T31" t="s">
        <v>96</v>
      </c>
      <c r="U31" t="s">
        <v>233</v>
      </c>
      <c r="V31">
        <v>1</v>
      </c>
      <c r="W31">
        <v>237.5</v>
      </c>
      <c r="X31">
        <v>233</v>
      </c>
      <c r="Y31">
        <v>0.65</v>
      </c>
      <c r="Z31">
        <v>29457881904.099998</v>
      </c>
      <c r="AA31">
        <v>0</v>
      </c>
      <c r="AB31">
        <v>0</v>
      </c>
      <c r="AC31">
        <v>13.747198750000001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>
        <v>47</v>
      </c>
      <c r="BD31">
        <v>13.747198750000001</v>
      </c>
      <c r="BE31">
        <v>30</v>
      </c>
      <c r="BF31">
        <v>272036.35074894741</v>
      </c>
      <c r="BG31">
        <v>272036</v>
      </c>
      <c r="BH31">
        <v>1</v>
      </c>
      <c r="BI31">
        <v>1</v>
      </c>
    </row>
    <row r="32" spans="1:61" x14ac:dyDescent="0.25">
      <c r="A32">
        <v>41</v>
      </c>
      <c r="B32" t="s">
        <v>194</v>
      </c>
      <c r="C32" t="s">
        <v>13</v>
      </c>
      <c r="D32" t="s">
        <v>53</v>
      </c>
      <c r="E32" t="s">
        <v>89</v>
      </c>
      <c r="F32">
        <v>2123594281</v>
      </c>
      <c r="G32">
        <v>38.14</v>
      </c>
      <c r="H32" t="s">
        <v>97</v>
      </c>
      <c r="I32">
        <v>159939019.05349001</v>
      </c>
      <c r="J32">
        <v>162393494.675733</v>
      </c>
      <c r="M32">
        <v>151563173.118258</v>
      </c>
      <c r="N32">
        <v>20.694818000000001</v>
      </c>
      <c r="O32">
        <v>21.842217999999999</v>
      </c>
      <c r="P32">
        <v>144296844.14829999</v>
      </c>
      <c r="Q32">
        <v>23.645367</v>
      </c>
      <c r="R32">
        <v>151847210.35128799</v>
      </c>
      <c r="S32">
        <v>176913247.69380099</v>
      </c>
      <c r="T32" t="s">
        <v>96</v>
      </c>
      <c r="U32" t="s">
        <v>234</v>
      </c>
      <c r="V32">
        <v>1</v>
      </c>
      <c r="W32">
        <v>40.549999999999997</v>
      </c>
      <c r="X32">
        <v>38.14</v>
      </c>
      <c r="Y32">
        <v>0.85000000000000009</v>
      </c>
      <c r="Z32">
        <v>68844802995.739014</v>
      </c>
      <c r="AA32">
        <v>0</v>
      </c>
      <c r="AB32">
        <v>0</v>
      </c>
      <c r="AC32">
        <v>13.9274375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>
        <v>21</v>
      </c>
      <c r="BD32">
        <v>13.9274375</v>
      </c>
      <c r="BE32">
        <v>31</v>
      </c>
      <c r="BF32">
        <v>1593307.849639334</v>
      </c>
      <c r="BG32">
        <v>1593308</v>
      </c>
      <c r="BH32">
        <v>1</v>
      </c>
      <c r="BI32">
        <v>1</v>
      </c>
    </row>
    <row r="33" spans="1:61" x14ac:dyDescent="0.25">
      <c r="A33">
        <v>111</v>
      </c>
      <c r="B33" t="s">
        <v>195</v>
      </c>
      <c r="C33" t="s">
        <v>22</v>
      </c>
      <c r="D33" t="s">
        <v>62</v>
      </c>
      <c r="E33" t="s">
        <v>92</v>
      </c>
      <c r="F33">
        <v>410514370</v>
      </c>
      <c r="G33">
        <v>89.1</v>
      </c>
      <c r="H33" t="s">
        <v>97</v>
      </c>
      <c r="I33">
        <v>31702419.823537499</v>
      </c>
      <c r="J33">
        <v>25312122.309999999</v>
      </c>
      <c r="M33">
        <v>28344772.147348501</v>
      </c>
      <c r="N33">
        <v>24.85248</v>
      </c>
      <c r="O33">
        <v>25.278890000000001</v>
      </c>
      <c r="P33">
        <v>26797077.719000001</v>
      </c>
      <c r="Q33">
        <v>31.482230000000001</v>
      </c>
      <c r="R33">
        <v>27409353.796969701</v>
      </c>
      <c r="S33">
        <v>31962163.378448799</v>
      </c>
      <c r="T33" t="s">
        <v>96</v>
      </c>
      <c r="U33" t="s">
        <v>235</v>
      </c>
      <c r="V33">
        <v>1</v>
      </c>
      <c r="W33">
        <v>98.6</v>
      </c>
      <c r="X33">
        <v>89.1</v>
      </c>
      <c r="Y33">
        <v>0.8</v>
      </c>
      <c r="Z33">
        <v>29261464293.599998</v>
      </c>
      <c r="AA33">
        <v>0</v>
      </c>
      <c r="AB33">
        <v>0</v>
      </c>
      <c r="AC33">
        <v>14.175106250000001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>
        <v>48</v>
      </c>
      <c r="BD33">
        <v>14.175106250000001</v>
      </c>
      <c r="BE33">
        <v>32</v>
      </c>
      <c r="BF33">
        <v>655259.97264579113</v>
      </c>
      <c r="BG33">
        <v>655260</v>
      </c>
      <c r="BH33">
        <v>1</v>
      </c>
      <c r="BI33">
        <v>1</v>
      </c>
    </row>
    <row r="34" spans="1:61" x14ac:dyDescent="0.25">
      <c r="A34">
        <v>135</v>
      </c>
      <c r="B34" t="s">
        <v>196</v>
      </c>
      <c r="C34" t="s">
        <v>24</v>
      </c>
      <c r="D34" t="s">
        <v>64</v>
      </c>
      <c r="E34" t="s">
        <v>93</v>
      </c>
      <c r="F34">
        <v>1549784923</v>
      </c>
      <c r="G34">
        <v>33.01</v>
      </c>
      <c r="H34" t="s">
        <v>97</v>
      </c>
      <c r="I34">
        <v>108863246.977956</v>
      </c>
      <c r="J34">
        <v>75523745.457000002</v>
      </c>
      <c r="M34">
        <v>91219974.853320599</v>
      </c>
      <c r="N34">
        <v>17.125050000000002</v>
      </c>
      <c r="O34">
        <v>17.546258999999999</v>
      </c>
      <c r="P34">
        <v>73615634.569900006</v>
      </c>
      <c r="Q34">
        <v>21.65898</v>
      </c>
      <c r="R34">
        <v>74009122.535757601</v>
      </c>
      <c r="S34">
        <v>86287613.120007694</v>
      </c>
      <c r="T34" t="s">
        <v>96</v>
      </c>
      <c r="U34" t="s">
        <v>236</v>
      </c>
      <c r="V34">
        <v>1</v>
      </c>
      <c r="W34">
        <v>34.49</v>
      </c>
      <c r="X34">
        <v>33.01</v>
      </c>
      <c r="Y34">
        <v>0.65</v>
      </c>
      <c r="Z34">
        <v>33252960200.349499</v>
      </c>
      <c r="AA34">
        <v>0</v>
      </c>
      <c r="AB34">
        <v>0</v>
      </c>
      <c r="AC34">
        <v>14.212459369999999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>
        <v>43</v>
      </c>
      <c r="BD34">
        <v>14.212459369999999</v>
      </c>
      <c r="BE34">
        <v>33</v>
      </c>
      <c r="BF34">
        <v>1873256.9818171931</v>
      </c>
      <c r="BG34">
        <v>1873257</v>
      </c>
      <c r="BH34">
        <v>1</v>
      </c>
      <c r="BI34">
        <v>1</v>
      </c>
    </row>
    <row r="35" spans="1:61" x14ac:dyDescent="0.25">
      <c r="A35">
        <v>216</v>
      </c>
      <c r="B35" t="s">
        <v>197</v>
      </c>
      <c r="C35" t="s">
        <v>37</v>
      </c>
      <c r="D35" t="s">
        <v>77</v>
      </c>
      <c r="E35" t="s">
        <v>91</v>
      </c>
      <c r="F35">
        <v>2378947836</v>
      </c>
      <c r="G35">
        <v>56.62</v>
      </c>
      <c r="H35" t="s">
        <v>97</v>
      </c>
      <c r="I35">
        <v>131511670.27002899</v>
      </c>
      <c r="J35">
        <v>107177149.638</v>
      </c>
      <c r="M35">
        <v>115867344.15424199</v>
      </c>
      <c r="N35">
        <v>23.927814000000001</v>
      </c>
      <c r="O35">
        <v>24.204713999999999</v>
      </c>
      <c r="P35">
        <v>111492686.25077499</v>
      </c>
      <c r="Q35">
        <v>29.40259</v>
      </c>
      <c r="R35">
        <v>119234242.236591</v>
      </c>
      <c r="S35">
        <v>139066300.627534</v>
      </c>
      <c r="T35" t="s">
        <v>96</v>
      </c>
      <c r="U35" t="s">
        <v>237</v>
      </c>
      <c r="V35">
        <v>1</v>
      </c>
      <c r="W35">
        <v>52.46</v>
      </c>
      <c r="X35">
        <v>56.62</v>
      </c>
      <c r="Y35">
        <v>0.5</v>
      </c>
      <c r="Z35">
        <v>67348013237.160004</v>
      </c>
      <c r="AA35">
        <v>0</v>
      </c>
      <c r="AB35">
        <v>0</v>
      </c>
      <c r="AC35">
        <v>14.346012500000001</v>
      </c>
      <c r="AD35">
        <v>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>
        <v>22</v>
      </c>
      <c r="BD35">
        <v>14.346012500000001</v>
      </c>
      <c r="BE35">
        <v>34</v>
      </c>
      <c r="BF35">
        <v>1231578.980230175</v>
      </c>
      <c r="BG35">
        <v>1231579</v>
      </c>
      <c r="BH35">
        <v>1</v>
      </c>
      <c r="BI35">
        <v>1</v>
      </c>
    </row>
    <row r="36" spans="1:61" x14ac:dyDescent="0.25">
      <c r="A36">
        <v>27</v>
      </c>
      <c r="B36" t="s">
        <v>198</v>
      </c>
      <c r="C36" t="s">
        <v>11</v>
      </c>
      <c r="D36" t="s">
        <v>51</v>
      </c>
      <c r="E36" t="s">
        <v>90</v>
      </c>
      <c r="F36">
        <v>450499200</v>
      </c>
      <c r="G36">
        <v>61.84</v>
      </c>
      <c r="H36" t="s">
        <v>97</v>
      </c>
      <c r="I36">
        <v>47681926.781686299</v>
      </c>
      <c r="J36">
        <v>42585387.600000001</v>
      </c>
      <c r="M36">
        <v>41836326.664696999</v>
      </c>
      <c r="N36">
        <v>20.287405</v>
      </c>
      <c r="O36">
        <v>18.934443000000002</v>
      </c>
      <c r="P36">
        <v>39456026.0022</v>
      </c>
      <c r="Q36">
        <v>25.379947999999999</v>
      </c>
      <c r="R36">
        <v>40071937.1187879</v>
      </c>
      <c r="S36">
        <v>46709167.596201099</v>
      </c>
      <c r="T36" t="s">
        <v>96</v>
      </c>
      <c r="U36" t="s">
        <v>238</v>
      </c>
      <c r="V36">
        <v>1</v>
      </c>
      <c r="W36">
        <v>62.2</v>
      </c>
      <c r="X36">
        <v>61.84</v>
      </c>
      <c r="Y36">
        <v>1</v>
      </c>
      <c r="Z36">
        <v>27858870528</v>
      </c>
      <c r="AA36">
        <v>0</v>
      </c>
      <c r="AB36">
        <v>0</v>
      </c>
      <c r="AC36">
        <v>14.366175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>
        <v>51</v>
      </c>
      <c r="BD36">
        <v>14.366175</v>
      </c>
      <c r="BE36">
        <v>35</v>
      </c>
      <c r="BF36">
        <v>1038724.008084807</v>
      </c>
      <c r="BG36">
        <v>1038724</v>
      </c>
      <c r="BH36">
        <v>1</v>
      </c>
      <c r="BI36">
        <v>1</v>
      </c>
    </row>
    <row r="37" spans="1:61" x14ac:dyDescent="0.25">
      <c r="A37">
        <v>189</v>
      </c>
      <c r="B37" t="s">
        <v>199</v>
      </c>
      <c r="C37" t="s">
        <v>33</v>
      </c>
      <c r="D37" t="s">
        <v>73</v>
      </c>
      <c r="E37" t="s">
        <v>88</v>
      </c>
      <c r="F37">
        <v>962903700</v>
      </c>
      <c r="G37">
        <v>57.02</v>
      </c>
      <c r="H37" t="s">
        <v>97</v>
      </c>
      <c r="I37">
        <v>136324185.154773</v>
      </c>
      <c r="J37">
        <v>120781586.081</v>
      </c>
      <c r="M37">
        <v>108912429.66178</v>
      </c>
      <c r="N37">
        <v>25.013836000000001</v>
      </c>
      <c r="O37">
        <v>25.060022</v>
      </c>
      <c r="P37">
        <v>108855975.98317499</v>
      </c>
      <c r="Q37">
        <v>27.681898</v>
      </c>
      <c r="R37">
        <v>111281305.090985</v>
      </c>
      <c r="S37">
        <v>129699924.29912101</v>
      </c>
      <c r="T37" t="s">
        <v>96</v>
      </c>
      <c r="U37" t="s">
        <v>239</v>
      </c>
      <c r="V37">
        <v>1</v>
      </c>
      <c r="W37">
        <v>60.53</v>
      </c>
      <c r="X37">
        <v>57.02</v>
      </c>
      <c r="Y37">
        <v>0.75</v>
      </c>
      <c r="Z37">
        <v>41178576730.5</v>
      </c>
      <c r="AA37">
        <v>0</v>
      </c>
      <c r="AB37">
        <v>0</v>
      </c>
      <c r="AC37">
        <v>15.077518749999999</v>
      </c>
      <c r="AD37">
        <v>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>
        <v>36</v>
      </c>
      <c r="BD37">
        <v>15.077518749999999</v>
      </c>
      <c r="BE37">
        <v>36</v>
      </c>
      <c r="BF37">
        <v>1067382.013924913</v>
      </c>
      <c r="BG37">
        <v>1067382</v>
      </c>
      <c r="BH37">
        <v>1</v>
      </c>
      <c r="BI37">
        <v>1</v>
      </c>
    </row>
    <row r="38" spans="1:61" x14ac:dyDescent="0.25">
      <c r="A38">
        <v>155</v>
      </c>
      <c r="B38" t="s">
        <v>200</v>
      </c>
      <c r="C38" t="s">
        <v>28</v>
      </c>
      <c r="D38" t="s">
        <v>68</v>
      </c>
      <c r="E38" t="s">
        <v>91</v>
      </c>
      <c r="F38">
        <v>3021542868</v>
      </c>
      <c r="G38">
        <v>21.515000000000001</v>
      </c>
      <c r="H38" t="s">
        <v>97</v>
      </c>
      <c r="I38">
        <v>170408597.703926</v>
      </c>
      <c r="J38">
        <v>152586669.825167</v>
      </c>
      <c r="M38">
        <v>155114984.77874199</v>
      </c>
      <c r="N38">
        <v>20.634764000000001</v>
      </c>
      <c r="O38">
        <v>21.073732</v>
      </c>
      <c r="P38">
        <v>153214078.20695001</v>
      </c>
      <c r="Q38">
        <v>26.629899999999999</v>
      </c>
      <c r="R38">
        <v>159444477.67242399</v>
      </c>
      <c r="S38">
        <v>185876374.37553799</v>
      </c>
      <c r="T38" t="s">
        <v>96</v>
      </c>
      <c r="U38" t="s">
        <v>240</v>
      </c>
      <c r="V38">
        <v>1</v>
      </c>
      <c r="W38">
        <v>23.38</v>
      </c>
      <c r="X38">
        <v>21.515000000000001</v>
      </c>
      <c r="Y38">
        <v>1</v>
      </c>
      <c r="Z38">
        <v>65008494805.019997</v>
      </c>
      <c r="AA38">
        <v>0</v>
      </c>
      <c r="AB38">
        <v>0</v>
      </c>
      <c r="AC38">
        <v>15.399255</v>
      </c>
      <c r="AD38">
        <v>2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>
        <v>25</v>
      </c>
      <c r="BD38">
        <v>15.399255</v>
      </c>
      <c r="BE38">
        <v>37</v>
      </c>
      <c r="BF38">
        <v>2763414.5980699309</v>
      </c>
      <c r="BG38">
        <v>2763415</v>
      </c>
      <c r="BH38">
        <v>1</v>
      </c>
      <c r="BI38">
        <v>1</v>
      </c>
    </row>
    <row r="39" spans="1:61" x14ac:dyDescent="0.25">
      <c r="A39">
        <v>283</v>
      </c>
      <c r="B39" t="s">
        <v>201</v>
      </c>
      <c r="C39" t="s">
        <v>47</v>
      </c>
      <c r="D39" t="s">
        <v>87</v>
      </c>
      <c r="E39" t="s">
        <v>91</v>
      </c>
      <c r="F39">
        <v>2637743772</v>
      </c>
      <c r="G39">
        <v>49.238591399999997</v>
      </c>
      <c r="H39" t="s">
        <v>97</v>
      </c>
      <c r="I39">
        <v>57583133.890000001</v>
      </c>
      <c r="J39">
        <v>50496488.359999999</v>
      </c>
      <c r="M39">
        <v>46827107.869999997</v>
      </c>
      <c r="N39">
        <v>12.71262377</v>
      </c>
      <c r="O39">
        <v>13.102429600000001</v>
      </c>
      <c r="P39">
        <v>48659108.119999997</v>
      </c>
      <c r="Q39">
        <v>15.492692379999999</v>
      </c>
      <c r="R39">
        <v>50959180.020000003</v>
      </c>
      <c r="S39">
        <v>0</v>
      </c>
      <c r="T39" t="s">
        <v>96</v>
      </c>
      <c r="U39" t="s">
        <v>241</v>
      </c>
      <c r="V39">
        <v>1</v>
      </c>
      <c r="W39">
        <v>54.72</v>
      </c>
      <c r="X39">
        <v>52.36</v>
      </c>
      <c r="Y39">
        <v>1</v>
      </c>
      <c r="Z39">
        <v>138112263901.92001</v>
      </c>
      <c r="AA39">
        <v>0</v>
      </c>
      <c r="AB39">
        <v>0</v>
      </c>
      <c r="AC39">
        <v>16.078095000000001</v>
      </c>
      <c r="AD39">
        <v>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>
        <v>6</v>
      </c>
      <c r="BD39">
        <v>16.078095000000001</v>
      </c>
      <c r="BE39">
        <v>38</v>
      </c>
      <c r="BF39">
        <v>1180713.3279034169</v>
      </c>
      <c r="BG39">
        <v>1180713</v>
      </c>
      <c r="BH39">
        <v>1</v>
      </c>
      <c r="BI39">
        <v>1</v>
      </c>
    </row>
    <row r="40" spans="1:61" x14ac:dyDescent="0.25">
      <c r="A40">
        <v>95</v>
      </c>
      <c r="B40" t="s">
        <v>202</v>
      </c>
      <c r="C40" t="s">
        <v>21</v>
      </c>
      <c r="D40" t="s">
        <v>61</v>
      </c>
      <c r="E40" t="s">
        <v>88</v>
      </c>
      <c r="F40">
        <v>4905190400</v>
      </c>
      <c r="G40">
        <v>27.62</v>
      </c>
      <c r="H40" t="s">
        <v>97</v>
      </c>
      <c r="I40">
        <v>213139391.34502</v>
      </c>
      <c r="J40">
        <v>174615927.30533299</v>
      </c>
      <c r="M40">
        <v>177859678.17185599</v>
      </c>
      <c r="N40">
        <v>20.588774000000001</v>
      </c>
      <c r="O40">
        <v>20.002012000000001</v>
      </c>
      <c r="P40">
        <v>168756818.14930001</v>
      </c>
      <c r="Q40">
        <v>22.332177999999999</v>
      </c>
      <c r="R40">
        <v>167579093.45007601</v>
      </c>
      <c r="S40">
        <v>195339529.84979901</v>
      </c>
      <c r="T40" t="s">
        <v>96</v>
      </c>
      <c r="U40" t="s">
        <v>242</v>
      </c>
      <c r="V40">
        <v>1</v>
      </c>
      <c r="W40">
        <v>26.74</v>
      </c>
      <c r="X40">
        <v>27.62</v>
      </c>
      <c r="Y40">
        <v>0.7</v>
      </c>
      <c r="Z40">
        <v>94836951193.600006</v>
      </c>
      <c r="AA40">
        <v>0</v>
      </c>
      <c r="AB40">
        <v>0</v>
      </c>
      <c r="AC40">
        <v>16.2697</v>
      </c>
      <c r="AD40">
        <v>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>
        <v>16</v>
      </c>
      <c r="BD40">
        <v>16.2697</v>
      </c>
      <c r="BE40">
        <v>39</v>
      </c>
      <c r="BF40">
        <v>2416179.2559040762</v>
      </c>
      <c r="BG40">
        <v>2416179</v>
      </c>
      <c r="BH40">
        <v>1</v>
      </c>
      <c r="BI40">
        <v>1</v>
      </c>
    </row>
    <row r="41" spans="1:61" x14ac:dyDescent="0.25">
      <c r="A41">
        <v>154</v>
      </c>
      <c r="B41" t="s">
        <v>203</v>
      </c>
      <c r="C41" t="s">
        <v>27</v>
      </c>
      <c r="D41" t="s">
        <v>67</v>
      </c>
      <c r="E41" t="s">
        <v>88</v>
      </c>
      <c r="F41">
        <v>1305921100</v>
      </c>
      <c r="G41">
        <v>31.695</v>
      </c>
      <c r="H41" t="s">
        <v>97</v>
      </c>
      <c r="I41">
        <v>142818936.84270799</v>
      </c>
      <c r="J41">
        <v>154722964.08966699</v>
      </c>
      <c r="M41">
        <v>130403003.532235</v>
      </c>
      <c r="N41">
        <v>32.71463</v>
      </c>
      <c r="O41">
        <v>34.115989999999996</v>
      </c>
      <c r="P41">
        <v>126611680.444575</v>
      </c>
      <c r="Q41">
        <v>38.333489999999998</v>
      </c>
      <c r="R41">
        <v>125630830.533409</v>
      </c>
      <c r="S41">
        <v>146351395.30293599</v>
      </c>
      <c r="T41" t="s">
        <v>96</v>
      </c>
      <c r="U41" t="s">
        <v>243</v>
      </c>
      <c r="V41">
        <v>1</v>
      </c>
      <c r="W41">
        <v>36</v>
      </c>
      <c r="X41">
        <v>31.695</v>
      </c>
      <c r="Y41">
        <v>1</v>
      </c>
      <c r="Z41">
        <v>41391169264.5</v>
      </c>
      <c r="AA41">
        <v>0</v>
      </c>
      <c r="AB41">
        <v>0</v>
      </c>
      <c r="AC41">
        <v>16.601476250000001</v>
      </c>
      <c r="AD41">
        <v>1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>
        <v>34</v>
      </c>
      <c r="BD41">
        <v>16.601476250000001</v>
      </c>
      <c r="BE41">
        <v>40</v>
      </c>
      <c r="BF41">
        <v>1794684.258413194</v>
      </c>
      <c r="BG41">
        <v>1794684</v>
      </c>
      <c r="BH41">
        <v>1</v>
      </c>
      <c r="BI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7A195-3C9D-4070-A930-6F099F491948}">
  <dimension ref="B2:I181"/>
  <sheetViews>
    <sheetView workbookViewId="0">
      <selection activeCell="J18" sqref="J18"/>
    </sheetView>
  </sheetViews>
  <sheetFormatPr defaultRowHeight="15" x14ac:dyDescent="0.25"/>
  <cols>
    <col min="2" max="2" width="3" bestFit="1" customWidth="1"/>
    <col min="3" max="3" width="24.140625" bestFit="1" customWidth="1"/>
    <col min="4" max="4" width="16.28515625" bestFit="1" customWidth="1"/>
    <col min="5" max="5" width="16.28515625" customWidth="1"/>
    <col min="7" max="7" width="24.140625" bestFit="1" customWidth="1"/>
    <col min="8" max="8" width="16.28515625" bestFit="1" customWidth="1"/>
  </cols>
  <sheetData>
    <row r="2" spans="2:9" x14ac:dyDescent="0.25">
      <c r="B2">
        <v>1</v>
      </c>
      <c r="C2" t="s">
        <v>12</v>
      </c>
      <c r="D2" t="s">
        <v>52</v>
      </c>
      <c r="E2" t="b">
        <f>ISNUMBER(MATCH(D2,$H$2:$H$62,0))</f>
        <v>1</v>
      </c>
      <c r="F2">
        <v>1</v>
      </c>
      <c r="G2" t="s">
        <v>12</v>
      </c>
      <c r="H2" t="s">
        <v>52</v>
      </c>
      <c r="I2" t="b">
        <f>ISNUMBER(MATCH(H2,$D$2:$D$181,0))</f>
        <v>1</v>
      </c>
    </row>
    <row r="3" spans="2:9" x14ac:dyDescent="0.25">
      <c r="B3">
        <v>1</v>
      </c>
      <c r="C3" t="s">
        <v>12</v>
      </c>
      <c r="D3" t="s">
        <v>52</v>
      </c>
      <c r="E3" t="b">
        <f t="shared" ref="E3:E66" si="0">ISNUMBER(MATCH(D3,$H$2:$H$62,0))</f>
        <v>1</v>
      </c>
      <c r="F3">
        <v>2</v>
      </c>
      <c r="G3" t="s">
        <v>41</v>
      </c>
      <c r="H3" t="s">
        <v>81</v>
      </c>
      <c r="I3" t="b">
        <f t="shared" ref="I3:I62" si="1">ISNUMBER(MATCH(H3,$D$2:$D$181,0))</f>
        <v>1</v>
      </c>
    </row>
    <row r="4" spans="2:9" x14ac:dyDescent="0.25">
      <c r="B4">
        <v>1</v>
      </c>
      <c r="C4" t="s">
        <v>12</v>
      </c>
      <c r="D4" t="s">
        <v>52</v>
      </c>
      <c r="E4" t="b">
        <f t="shared" si="0"/>
        <v>1</v>
      </c>
      <c r="F4">
        <v>3</v>
      </c>
      <c r="G4" t="s">
        <v>274</v>
      </c>
      <c r="H4" t="s">
        <v>291</v>
      </c>
      <c r="I4" t="b">
        <f t="shared" si="1"/>
        <v>1</v>
      </c>
    </row>
    <row r="5" spans="2:9" x14ac:dyDescent="0.25">
      <c r="B5">
        <v>2</v>
      </c>
      <c r="C5" t="s">
        <v>41</v>
      </c>
      <c r="D5" t="s">
        <v>81</v>
      </c>
      <c r="E5" t="b">
        <f t="shared" si="0"/>
        <v>1</v>
      </c>
      <c r="F5">
        <v>4</v>
      </c>
      <c r="G5" t="s">
        <v>32</v>
      </c>
      <c r="H5" t="s">
        <v>72</v>
      </c>
      <c r="I5" t="b">
        <f t="shared" si="1"/>
        <v>1</v>
      </c>
    </row>
    <row r="6" spans="2:9" x14ac:dyDescent="0.25">
      <c r="B6">
        <v>2</v>
      </c>
      <c r="C6" t="s">
        <v>41</v>
      </c>
      <c r="D6" t="s">
        <v>81</v>
      </c>
      <c r="E6" t="b">
        <f t="shared" si="0"/>
        <v>1</v>
      </c>
      <c r="F6">
        <v>5</v>
      </c>
      <c r="G6" t="s">
        <v>10</v>
      </c>
      <c r="H6" t="s">
        <v>50</v>
      </c>
      <c r="I6" t="b">
        <f t="shared" si="1"/>
        <v>1</v>
      </c>
    </row>
    <row r="7" spans="2:9" x14ac:dyDescent="0.25">
      <c r="B7">
        <v>2</v>
      </c>
      <c r="C7" t="s">
        <v>41</v>
      </c>
      <c r="D7" t="s">
        <v>81</v>
      </c>
      <c r="E7" t="b">
        <f t="shared" si="0"/>
        <v>1</v>
      </c>
      <c r="F7">
        <v>6</v>
      </c>
      <c r="G7" t="s">
        <v>47</v>
      </c>
      <c r="H7" t="s">
        <v>87</v>
      </c>
      <c r="I7" t="b">
        <f t="shared" si="1"/>
        <v>1</v>
      </c>
    </row>
    <row r="8" spans="2:9" x14ac:dyDescent="0.25">
      <c r="B8">
        <v>3</v>
      </c>
      <c r="C8" t="s">
        <v>274</v>
      </c>
      <c r="D8" t="s">
        <v>291</v>
      </c>
      <c r="E8" t="b">
        <f t="shared" si="0"/>
        <v>1</v>
      </c>
      <c r="F8">
        <v>7</v>
      </c>
      <c r="G8" t="s">
        <v>14</v>
      </c>
      <c r="H8" t="s">
        <v>54</v>
      </c>
      <c r="I8" t="b">
        <f t="shared" si="1"/>
        <v>1</v>
      </c>
    </row>
    <row r="9" spans="2:9" x14ac:dyDescent="0.25">
      <c r="B9">
        <v>3</v>
      </c>
      <c r="C9" t="s">
        <v>274</v>
      </c>
      <c r="D9" t="s">
        <v>291</v>
      </c>
      <c r="E9" t="b">
        <f t="shared" si="0"/>
        <v>1</v>
      </c>
      <c r="F9">
        <v>8</v>
      </c>
      <c r="G9" t="s">
        <v>42</v>
      </c>
      <c r="H9" t="s">
        <v>82</v>
      </c>
      <c r="I9" t="b">
        <f t="shared" si="1"/>
        <v>1</v>
      </c>
    </row>
    <row r="10" spans="2:9" x14ac:dyDescent="0.25">
      <c r="B10">
        <v>3</v>
      </c>
      <c r="C10" t="s">
        <v>274</v>
      </c>
      <c r="D10" t="s">
        <v>291</v>
      </c>
      <c r="E10" t="b">
        <f t="shared" si="0"/>
        <v>1</v>
      </c>
      <c r="F10">
        <v>9</v>
      </c>
      <c r="G10" t="s">
        <v>277</v>
      </c>
      <c r="H10" t="s">
        <v>294</v>
      </c>
      <c r="I10" t="b">
        <f t="shared" si="1"/>
        <v>0</v>
      </c>
    </row>
    <row r="11" spans="2:9" x14ac:dyDescent="0.25">
      <c r="B11">
        <v>4</v>
      </c>
      <c r="C11" t="s">
        <v>32</v>
      </c>
      <c r="D11" t="s">
        <v>72</v>
      </c>
      <c r="E11" t="b">
        <f t="shared" si="0"/>
        <v>1</v>
      </c>
      <c r="F11">
        <v>10</v>
      </c>
      <c r="G11" t="s">
        <v>271</v>
      </c>
      <c r="H11" t="s">
        <v>288</v>
      </c>
      <c r="I11" t="b">
        <f t="shared" si="1"/>
        <v>1</v>
      </c>
    </row>
    <row r="12" spans="2:9" x14ac:dyDescent="0.25">
      <c r="B12">
        <v>4</v>
      </c>
      <c r="C12" t="s">
        <v>32</v>
      </c>
      <c r="D12" t="s">
        <v>72</v>
      </c>
      <c r="E12" t="b">
        <f t="shared" si="0"/>
        <v>1</v>
      </c>
      <c r="F12">
        <v>11</v>
      </c>
      <c r="G12" t="s">
        <v>15</v>
      </c>
      <c r="H12" t="s">
        <v>55</v>
      </c>
      <c r="I12" t="b">
        <f t="shared" si="1"/>
        <v>1</v>
      </c>
    </row>
    <row r="13" spans="2:9" x14ac:dyDescent="0.25">
      <c r="B13">
        <v>4</v>
      </c>
      <c r="C13" t="s">
        <v>32</v>
      </c>
      <c r="D13" t="s">
        <v>72</v>
      </c>
      <c r="E13" t="b">
        <f t="shared" si="0"/>
        <v>1</v>
      </c>
      <c r="F13">
        <v>12</v>
      </c>
      <c r="G13" t="s">
        <v>40</v>
      </c>
      <c r="H13" t="s">
        <v>80</v>
      </c>
      <c r="I13" t="b">
        <f t="shared" si="1"/>
        <v>1</v>
      </c>
    </row>
    <row r="14" spans="2:9" x14ac:dyDescent="0.25">
      <c r="B14">
        <v>5</v>
      </c>
      <c r="C14" t="s">
        <v>10</v>
      </c>
      <c r="D14" t="s">
        <v>50</v>
      </c>
      <c r="E14" t="b">
        <f t="shared" si="0"/>
        <v>1</v>
      </c>
      <c r="F14">
        <v>13</v>
      </c>
      <c r="G14" t="s">
        <v>23</v>
      </c>
      <c r="H14" t="s">
        <v>63</v>
      </c>
      <c r="I14" t="b">
        <f t="shared" si="1"/>
        <v>1</v>
      </c>
    </row>
    <row r="15" spans="2:9" x14ac:dyDescent="0.25">
      <c r="B15">
        <v>5</v>
      </c>
      <c r="C15" t="s">
        <v>10</v>
      </c>
      <c r="D15" t="s">
        <v>50</v>
      </c>
      <c r="E15" t="b">
        <f t="shared" si="0"/>
        <v>1</v>
      </c>
      <c r="F15">
        <v>14</v>
      </c>
      <c r="G15" t="s">
        <v>46</v>
      </c>
      <c r="H15" t="s">
        <v>86</v>
      </c>
      <c r="I15" t="b">
        <f t="shared" si="1"/>
        <v>1</v>
      </c>
    </row>
    <row r="16" spans="2:9" x14ac:dyDescent="0.25">
      <c r="B16">
        <v>5</v>
      </c>
      <c r="C16" t="s">
        <v>10</v>
      </c>
      <c r="D16" t="s">
        <v>50</v>
      </c>
      <c r="E16" t="b">
        <f t="shared" si="0"/>
        <v>1</v>
      </c>
      <c r="F16">
        <v>15</v>
      </c>
      <c r="G16" t="s">
        <v>9</v>
      </c>
      <c r="H16" t="s">
        <v>49</v>
      </c>
      <c r="I16" t="b">
        <f t="shared" si="1"/>
        <v>1</v>
      </c>
    </row>
    <row r="17" spans="2:9" x14ac:dyDescent="0.25">
      <c r="B17">
        <v>6</v>
      </c>
      <c r="C17" t="s">
        <v>14</v>
      </c>
      <c r="D17" t="s">
        <v>54</v>
      </c>
      <c r="E17" t="b">
        <f t="shared" si="0"/>
        <v>1</v>
      </c>
      <c r="F17">
        <v>16</v>
      </c>
      <c r="G17" t="s">
        <v>21</v>
      </c>
      <c r="H17" t="s">
        <v>61</v>
      </c>
      <c r="I17" t="b">
        <f t="shared" si="1"/>
        <v>1</v>
      </c>
    </row>
    <row r="18" spans="2:9" x14ac:dyDescent="0.25">
      <c r="B18">
        <v>6</v>
      </c>
      <c r="C18" t="s">
        <v>14</v>
      </c>
      <c r="D18" t="s">
        <v>54</v>
      </c>
      <c r="E18" t="b">
        <f t="shared" si="0"/>
        <v>1</v>
      </c>
      <c r="F18">
        <v>17</v>
      </c>
      <c r="G18" t="s">
        <v>102</v>
      </c>
      <c r="H18" t="s">
        <v>108</v>
      </c>
      <c r="I18" t="b">
        <f t="shared" si="1"/>
        <v>1</v>
      </c>
    </row>
    <row r="19" spans="2:9" x14ac:dyDescent="0.25">
      <c r="B19">
        <v>6</v>
      </c>
      <c r="C19" t="s">
        <v>14</v>
      </c>
      <c r="D19" t="s">
        <v>54</v>
      </c>
      <c r="E19" t="b">
        <f t="shared" si="0"/>
        <v>1</v>
      </c>
      <c r="F19">
        <v>18</v>
      </c>
      <c r="G19" t="s">
        <v>29</v>
      </c>
      <c r="H19" t="s">
        <v>69</v>
      </c>
      <c r="I19" t="b">
        <f t="shared" si="1"/>
        <v>1</v>
      </c>
    </row>
    <row r="20" spans="2:9" x14ac:dyDescent="0.25">
      <c r="B20">
        <v>7</v>
      </c>
      <c r="C20" t="s">
        <v>47</v>
      </c>
      <c r="D20" t="s">
        <v>87</v>
      </c>
      <c r="E20" t="b">
        <f t="shared" si="0"/>
        <v>1</v>
      </c>
      <c r="F20">
        <v>19</v>
      </c>
      <c r="G20" t="s">
        <v>16</v>
      </c>
      <c r="H20" t="s">
        <v>56</v>
      </c>
      <c r="I20" t="b">
        <f t="shared" si="1"/>
        <v>1</v>
      </c>
    </row>
    <row r="21" spans="2:9" x14ac:dyDescent="0.25">
      <c r="B21">
        <v>7</v>
      </c>
      <c r="C21" t="s">
        <v>47</v>
      </c>
      <c r="D21" t="s">
        <v>87</v>
      </c>
      <c r="E21" t="b">
        <f t="shared" si="0"/>
        <v>1</v>
      </c>
      <c r="F21">
        <v>20</v>
      </c>
      <c r="G21" t="s">
        <v>34</v>
      </c>
      <c r="H21" t="s">
        <v>74</v>
      </c>
      <c r="I21" t="b">
        <f t="shared" si="1"/>
        <v>1</v>
      </c>
    </row>
    <row r="22" spans="2:9" x14ac:dyDescent="0.25">
      <c r="B22">
        <v>7</v>
      </c>
      <c r="C22" t="s">
        <v>47</v>
      </c>
      <c r="D22" t="s">
        <v>87</v>
      </c>
      <c r="E22" t="b">
        <f t="shared" si="0"/>
        <v>1</v>
      </c>
      <c r="F22">
        <v>21</v>
      </c>
      <c r="G22" t="s">
        <v>13</v>
      </c>
      <c r="H22" t="s">
        <v>53</v>
      </c>
      <c r="I22" t="b">
        <f t="shared" si="1"/>
        <v>1</v>
      </c>
    </row>
    <row r="23" spans="2:9" x14ac:dyDescent="0.25">
      <c r="B23">
        <v>8</v>
      </c>
      <c r="C23" t="s">
        <v>42</v>
      </c>
      <c r="D23" t="s">
        <v>82</v>
      </c>
      <c r="E23" t="b">
        <f t="shared" si="0"/>
        <v>1</v>
      </c>
      <c r="F23">
        <v>22</v>
      </c>
      <c r="G23" t="s">
        <v>37</v>
      </c>
      <c r="H23" t="s">
        <v>77</v>
      </c>
      <c r="I23" t="b">
        <f t="shared" si="1"/>
        <v>1</v>
      </c>
    </row>
    <row r="24" spans="2:9" x14ac:dyDescent="0.25">
      <c r="B24">
        <v>8</v>
      </c>
      <c r="C24" t="s">
        <v>42</v>
      </c>
      <c r="D24" t="s">
        <v>82</v>
      </c>
      <c r="E24" t="b">
        <f t="shared" si="0"/>
        <v>1</v>
      </c>
      <c r="F24">
        <v>23</v>
      </c>
      <c r="G24" t="s">
        <v>38</v>
      </c>
      <c r="H24" t="s">
        <v>78</v>
      </c>
      <c r="I24" t="b">
        <f t="shared" si="1"/>
        <v>1</v>
      </c>
    </row>
    <row r="25" spans="2:9" x14ac:dyDescent="0.25">
      <c r="B25">
        <v>8</v>
      </c>
      <c r="C25" t="s">
        <v>42</v>
      </c>
      <c r="D25" t="s">
        <v>82</v>
      </c>
      <c r="E25" t="b">
        <f t="shared" si="0"/>
        <v>1</v>
      </c>
      <c r="F25">
        <v>24</v>
      </c>
      <c r="G25" t="s">
        <v>25</v>
      </c>
      <c r="H25" t="s">
        <v>65</v>
      </c>
      <c r="I25" t="b">
        <f t="shared" si="1"/>
        <v>1</v>
      </c>
    </row>
    <row r="26" spans="2:9" x14ac:dyDescent="0.25">
      <c r="B26">
        <v>9</v>
      </c>
      <c r="C26" t="s">
        <v>271</v>
      </c>
      <c r="D26" t="s">
        <v>288</v>
      </c>
      <c r="E26" t="b">
        <f t="shared" si="0"/>
        <v>1</v>
      </c>
      <c r="F26">
        <v>25</v>
      </c>
      <c r="G26" t="s">
        <v>28</v>
      </c>
      <c r="H26" t="s">
        <v>68</v>
      </c>
      <c r="I26" t="b">
        <f t="shared" si="1"/>
        <v>1</v>
      </c>
    </row>
    <row r="27" spans="2:9" x14ac:dyDescent="0.25">
      <c r="B27">
        <v>9</v>
      </c>
      <c r="C27" t="s">
        <v>271</v>
      </c>
      <c r="D27" t="s">
        <v>288</v>
      </c>
      <c r="E27" t="b">
        <f t="shared" si="0"/>
        <v>1</v>
      </c>
      <c r="F27">
        <v>26</v>
      </c>
      <c r="G27" t="s">
        <v>276</v>
      </c>
      <c r="H27" t="s">
        <v>293</v>
      </c>
      <c r="I27" t="b">
        <f t="shared" si="1"/>
        <v>1</v>
      </c>
    </row>
    <row r="28" spans="2:9" x14ac:dyDescent="0.25">
      <c r="B28">
        <v>9</v>
      </c>
      <c r="C28" t="s">
        <v>271</v>
      </c>
      <c r="D28" t="s">
        <v>288</v>
      </c>
      <c r="E28" t="b">
        <f t="shared" si="0"/>
        <v>1</v>
      </c>
      <c r="F28">
        <v>27</v>
      </c>
      <c r="G28" t="s">
        <v>19</v>
      </c>
      <c r="H28" t="s">
        <v>59</v>
      </c>
      <c r="I28" t="b">
        <f t="shared" si="1"/>
        <v>1</v>
      </c>
    </row>
    <row r="29" spans="2:9" x14ac:dyDescent="0.25">
      <c r="B29">
        <v>10</v>
      </c>
      <c r="C29" t="s">
        <v>15</v>
      </c>
      <c r="D29" t="s">
        <v>55</v>
      </c>
      <c r="E29" t="b">
        <f t="shared" si="0"/>
        <v>1</v>
      </c>
      <c r="F29">
        <v>28</v>
      </c>
      <c r="G29" t="s">
        <v>273</v>
      </c>
      <c r="H29" t="s">
        <v>290</v>
      </c>
      <c r="I29" t="b">
        <f t="shared" si="1"/>
        <v>1</v>
      </c>
    </row>
    <row r="30" spans="2:9" x14ac:dyDescent="0.25">
      <c r="B30">
        <v>10</v>
      </c>
      <c r="C30" t="s">
        <v>15</v>
      </c>
      <c r="D30" t="s">
        <v>55</v>
      </c>
      <c r="E30" t="b">
        <f t="shared" si="0"/>
        <v>1</v>
      </c>
      <c r="F30">
        <v>29</v>
      </c>
      <c r="G30" t="s">
        <v>18</v>
      </c>
      <c r="H30" t="s">
        <v>58</v>
      </c>
      <c r="I30" t="b">
        <f t="shared" si="1"/>
        <v>1</v>
      </c>
    </row>
    <row r="31" spans="2:9" x14ac:dyDescent="0.25">
      <c r="B31">
        <v>10</v>
      </c>
      <c r="C31" t="s">
        <v>15</v>
      </c>
      <c r="D31" t="s">
        <v>55</v>
      </c>
      <c r="E31" t="b">
        <f t="shared" si="0"/>
        <v>1</v>
      </c>
      <c r="F31">
        <v>30</v>
      </c>
      <c r="G31" t="s">
        <v>26</v>
      </c>
      <c r="H31" t="s">
        <v>66</v>
      </c>
      <c r="I31" t="b">
        <f t="shared" si="1"/>
        <v>1</v>
      </c>
    </row>
    <row r="32" spans="2:9" x14ac:dyDescent="0.25">
      <c r="B32">
        <v>11</v>
      </c>
      <c r="C32" t="s">
        <v>40</v>
      </c>
      <c r="D32" t="s">
        <v>80</v>
      </c>
      <c r="E32" t="b">
        <f t="shared" si="0"/>
        <v>1</v>
      </c>
      <c r="F32">
        <v>31</v>
      </c>
      <c r="G32" t="s">
        <v>278</v>
      </c>
      <c r="H32" t="s">
        <v>295</v>
      </c>
      <c r="I32" t="b">
        <f t="shared" si="1"/>
        <v>1</v>
      </c>
    </row>
    <row r="33" spans="2:9" x14ac:dyDescent="0.25">
      <c r="B33">
        <v>11</v>
      </c>
      <c r="C33" t="s">
        <v>40</v>
      </c>
      <c r="D33" t="s">
        <v>80</v>
      </c>
      <c r="E33" t="b">
        <f t="shared" si="0"/>
        <v>1</v>
      </c>
      <c r="F33">
        <v>32</v>
      </c>
      <c r="G33" t="s">
        <v>36</v>
      </c>
      <c r="H33" t="s">
        <v>76</v>
      </c>
      <c r="I33" t="b">
        <f t="shared" si="1"/>
        <v>1</v>
      </c>
    </row>
    <row r="34" spans="2:9" x14ac:dyDescent="0.25">
      <c r="B34">
        <v>11</v>
      </c>
      <c r="C34" t="s">
        <v>40</v>
      </c>
      <c r="D34" t="s">
        <v>80</v>
      </c>
      <c r="E34" t="b">
        <f t="shared" si="0"/>
        <v>1</v>
      </c>
      <c r="F34">
        <v>33</v>
      </c>
      <c r="G34" t="s">
        <v>100</v>
      </c>
      <c r="H34" t="s">
        <v>106</v>
      </c>
      <c r="I34" t="b">
        <f t="shared" si="1"/>
        <v>1</v>
      </c>
    </row>
    <row r="35" spans="2:9" x14ac:dyDescent="0.25">
      <c r="B35">
        <v>12</v>
      </c>
      <c r="C35" t="s">
        <v>23</v>
      </c>
      <c r="D35" t="s">
        <v>63</v>
      </c>
      <c r="E35" t="b">
        <f t="shared" si="0"/>
        <v>1</v>
      </c>
      <c r="F35">
        <v>34</v>
      </c>
      <c r="G35" t="s">
        <v>27</v>
      </c>
      <c r="H35" t="s">
        <v>67</v>
      </c>
      <c r="I35" t="b">
        <f t="shared" si="1"/>
        <v>1</v>
      </c>
    </row>
    <row r="36" spans="2:9" x14ac:dyDescent="0.25">
      <c r="B36">
        <v>12</v>
      </c>
      <c r="C36" t="s">
        <v>23</v>
      </c>
      <c r="D36" t="s">
        <v>63</v>
      </c>
      <c r="E36" t="b">
        <f t="shared" si="0"/>
        <v>1</v>
      </c>
      <c r="F36">
        <v>35</v>
      </c>
      <c r="G36" t="s">
        <v>20</v>
      </c>
      <c r="H36" t="s">
        <v>60</v>
      </c>
      <c r="I36" t="b">
        <f t="shared" si="1"/>
        <v>1</v>
      </c>
    </row>
    <row r="37" spans="2:9" x14ac:dyDescent="0.25">
      <c r="B37">
        <v>12</v>
      </c>
      <c r="C37" t="s">
        <v>23</v>
      </c>
      <c r="D37" t="s">
        <v>63</v>
      </c>
      <c r="E37" t="b">
        <f t="shared" si="0"/>
        <v>1</v>
      </c>
      <c r="F37">
        <v>36</v>
      </c>
      <c r="G37" t="s">
        <v>33</v>
      </c>
      <c r="H37" t="s">
        <v>73</v>
      </c>
      <c r="I37" t="b">
        <f t="shared" si="1"/>
        <v>1</v>
      </c>
    </row>
    <row r="38" spans="2:9" x14ac:dyDescent="0.25">
      <c r="B38">
        <v>13</v>
      </c>
      <c r="C38" t="s">
        <v>46</v>
      </c>
      <c r="D38" t="s">
        <v>86</v>
      </c>
      <c r="E38" t="b">
        <f t="shared" si="0"/>
        <v>1</v>
      </c>
      <c r="F38">
        <v>37</v>
      </c>
      <c r="G38" t="s">
        <v>270</v>
      </c>
      <c r="H38" t="s">
        <v>287</v>
      </c>
      <c r="I38" t="b">
        <f t="shared" si="1"/>
        <v>1</v>
      </c>
    </row>
    <row r="39" spans="2:9" x14ac:dyDescent="0.25">
      <c r="B39">
        <v>13</v>
      </c>
      <c r="C39" t="s">
        <v>46</v>
      </c>
      <c r="D39" t="s">
        <v>86</v>
      </c>
      <c r="E39" t="b">
        <f t="shared" si="0"/>
        <v>1</v>
      </c>
      <c r="F39">
        <v>38</v>
      </c>
      <c r="G39" t="s">
        <v>272</v>
      </c>
      <c r="H39" t="s">
        <v>289</v>
      </c>
      <c r="I39" t="b">
        <f t="shared" si="1"/>
        <v>1</v>
      </c>
    </row>
    <row r="40" spans="2:9" x14ac:dyDescent="0.25">
      <c r="B40">
        <v>13</v>
      </c>
      <c r="C40" t="s">
        <v>46</v>
      </c>
      <c r="D40" t="s">
        <v>86</v>
      </c>
      <c r="E40" t="b">
        <f t="shared" si="0"/>
        <v>1</v>
      </c>
      <c r="F40">
        <v>39</v>
      </c>
      <c r="G40" t="s">
        <v>280</v>
      </c>
      <c r="H40" t="s">
        <v>297</v>
      </c>
      <c r="I40" t="b">
        <f t="shared" si="1"/>
        <v>1</v>
      </c>
    </row>
    <row r="41" spans="2:9" x14ac:dyDescent="0.25">
      <c r="B41">
        <v>14</v>
      </c>
      <c r="C41" t="s">
        <v>9</v>
      </c>
      <c r="D41" t="s">
        <v>49</v>
      </c>
      <c r="E41" t="b">
        <f t="shared" si="0"/>
        <v>1</v>
      </c>
      <c r="F41">
        <v>40</v>
      </c>
      <c r="G41" t="s">
        <v>43</v>
      </c>
      <c r="H41" t="s">
        <v>83</v>
      </c>
      <c r="I41" t="b">
        <f t="shared" si="1"/>
        <v>1</v>
      </c>
    </row>
    <row r="42" spans="2:9" x14ac:dyDescent="0.25">
      <c r="B42">
        <v>14</v>
      </c>
      <c r="C42" t="s">
        <v>9</v>
      </c>
      <c r="D42" t="s">
        <v>49</v>
      </c>
      <c r="E42" t="b">
        <f t="shared" si="0"/>
        <v>1</v>
      </c>
      <c r="F42">
        <v>41</v>
      </c>
      <c r="G42" t="s">
        <v>267</v>
      </c>
      <c r="H42" t="s">
        <v>284</v>
      </c>
      <c r="I42" t="b">
        <f t="shared" si="1"/>
        <v>1</v>
      </c>
    </row>
    <row r="43" spans="2:9" x14ac:dyDescent="0.25">
      <c r="B43">
        <v>14</v>
      </c>
      <c r="C43" t="s">
        <v>9</v>
      </c>
      <c r="D43" t="s">
        <v>49</v>
      </c>
      <c r="E43" t="b">
        <f t="shared" si="0"/>
        <v>1</v>
      </c>
      <c r="F43">
        <v>42</v>
      </c>
      <c r="G43" t="s">
        <v>31</v>
      </c>
      <c r="H43" t="s">
        <v>71</v>
      </c>
      <c r="I43" t="b">
        <f t="shared" si="1"/>
        <v>1</v>
      </c>
    </row>
    <row r="44" spans="2:9" x14ac:dyDescent="0.25">
      <c r="B44">
        <v>15</v>
      </c>
      <c r="C44" t="s">
        <v>21</v>
      </c>
      <c r="D44" t="s">
        <v>61</v>
      </c>
      <c r="E44" t="b">
        <f t="shared" si="0"/>
        <v>1</v>
      </c>
      <c r="F44">
        <v>43</v>
      </c>
      <c r="G44" t="s">
        <v>24</v>
      </c>
      <c r="H44" t="s">
        <v>64</v>
      </c>
      <c r="I44" t="b">
        <f t="shared" si="1"/>
        <v>1</v>
      </c>
    </row>
    <row r="45" spans="2:9" x14ac:dyDescent="0.25">
      <c r="B45">
        <v>15</v>
      </c>
      <c r="C45" t="s">
        <v>21</v>
      </c>
      <c r="D45" t="s">
        <v>61</v>
      </c>
      <c r="E45" t="b">
        <f t="shared" si="0"/>
        <v>1</v>
      </c>
      <c r="F45">
        <v>44</v>
      </c>
      <c r="G45" t="s">
        <v>279</v>
      </c>
      <c r="H45" t="s">
        <v>296</v>
      </c>
      <c r="I45" t="b">
        <f t="shared" si="1"/>
        <v>1</v>
      </c>
    </row>
    <row r="46" spans="2:9" x14ac:dyDescent="0.25">
      <c r="B46">
        <v>15</v>
      </c>
      <c r="C46" t="s">
        <v>21</v>
      </c>
      <c r="D46" t="s">
        <v>61</v>
      </c>
      <c r="E46" t="b">
        <f t="shared" si="0"/>
        <v>1</v>
      </c>
      <c r="F46">
        <v>45</v>
      </c>
      <c r="G46" t="s">
        <v>17</v>
      </c>
      <c r="H46" t="s">
        <v>57</v>
      </c>
      <c r="I46" t="b">
        <f t="shared" si="1"/>
        <v>1</v>
      </c>
    </row>
    <row r="47" spans="2:9" x14ac:dyDescent="0.25">
      <c r="B47">
        <v>16</v>
      </c>
      <c r="C47" t="s">
        <v>102</v>
      </c>
      <c r="D47" t="s">
        <v>108</v>
      </c>
      <c r="E47" t="b">
        <f t="shared" si="0"/>
        <v>1</v>
      </c>
      <c r="F47">
        <v>46</v>
      </c>
      <c r="G47" t="s">
        <v>266</v>
      </c>
      <c r="H47" t="s">
        <v>283</v>
      </c>
      <c r="I47" t="b">
        <f t="shared" si="1"/>
        <v>1</v>
      </c>
    </row>
    <row r="48" spans="2:9" x14ac:dyDescent="0.25">
      <c r="B48">
        <v>16</v>
      </c>
      <c r="C48" t="s">
        <v>102</v>
      </c>
      <c r="D48" t="s">
        <v>108</v>
      </c>
      <c r="E48" t="b">
        <f t="shared" si="0"/>
        <v>1</v>
      </c>
      <c r="F48">
        <v>47</v>
      </c>
      <c r="G48" t="s">
        <v>44</v>
      </c>
      <c r="H48" t="s">
        <v>84</v>
      </c>
      <c r="I48" t="b">
        <f t="shared" si="1"/>
        <v>1</v>
      </c>
    </row>
    <row r="49" spans="2:9" x14ac:dyDescent="0.25">
      <c r="B49">
        <v>16</v>
      </c>
      <c r="C49" t="s">
        <v>102</v>
      </c>
      <c r="D49" t="s">
        <v>108</v>
      </c>
      <c r="E49" t="b">
        <f t="shared" si="0"/>
        <v>1</v>
      </c>
      <c r="F49">
        <v>48</v>
      </c>
      <c r="G49" t="s">
        <v>22</v>
      </c>
      <c r="H49" t="s">
        <v>62</v>
      </c>
      <c r="I49" t="b">
        <f t="shared" si="1"/>
        <v>1</v>
      </c>
    </row>
    <row r="50" spans="2:9" x14ac:dyDescent="0.25">
      <c r="B50">
        <v>17</v>
      </c>
      <c r="C50" t="s">
        <v>29</v>
      </c>
      <c r="D50" t="s">
        <v>69</v>
      </c>
      <c r="E50" t="b">
        <f t="shared" si="0"/>
        <v>1</v>
      </c>
      <c r="F50">
        <v>49</v>
      </c>
      <c r="G50" t="s">
        <v>35</v>
      </c>
      <c r="H50" t="s">
        <v>75</v>
      </c>
      <c r="I50" t="b">
        <f t="shared" si="1"/>
        <v>1</v>
      </c>
    </row>
    <row r="51" spans="2:9" x14ac:dyDescent="0.25">
      <c r="B51">
        <v>17</v>
      </c>
      <c r="C51" t="s">
        <v>29</v>
      </c>
      <c r="D51" t="s">
        <v>69</v>
      </c>
      <c r="E51" t="b">
        <f t="shared" si="0"/>
        <v>1</v>
      </c>
      <c r="F51">
        <v>50</v>
      </c>
      <c r="G51" t="s">
        <v>268</v>
      </c>
      <c r="H51" t="s">
        <v>285</v>
      </c>
      <c r="I51" t="b">
        <f t="shared" si="1"/>
        <v>1</v>
      </c>
    </row>
    <row r="52" spans="2:9" x14ac:dyDescent="0.25">
      <c r="B52">
        <v>17</v>
      </c>
      <c r="C52" t="s">
        <v>29</v>
      </c>
      <c r="D52" t="s">
        <v>69</v>
      </c>
      <c r="E52" t="b">
        <f t="shared" si="0"/>
        <v>1</v>
      </c>
      <c r="F52">
        <v>51</v>
      </c>
      <c r="G52" t="s">
        <v>11</v>
      </c>
      <c r="H52" t="s">
        <v>51</v>
      </c>
      <c r="I52" t="b">
        <f t="shared" si="1"/>
        <v>1</v>
      </c>
    </row>
    <row r="53" spans="2:9" x14ac:dyDescent="0.25">
      <c r="B53">
        <v>18</v>
      </c>
      <c r="C53" t="s">
        <v>16</v>
      </c>
      <c r="D53" t="s">
        <v>56</v>
      </c>
      <c r="E53" t="b">
        <f t="shared" si="0"/>
        <v>1</v>
      </c>
      <c r="F53">
        <v>52</v>
      </c>
      <c r="G53" t="s">
        <v>8</v>
      </c>
      <c r="H53" t="s">
        <v>48</v>
      </c>
      <c r="I53" t="b">
        <f t="shared" si="1"/>
        <v>1</v>
      </c>
    </row>
    <row r="54" spans="2:9" x14ac:dyDescent="0.25">
      <c r="B54">
        <v>18</v>
      </c>
      <c r="C54" t="s">
        <v>16</v>
      </c>
      <c r="D54" t="s">
        <v>56</v>
      </c>
      <c r="E54" t="b">
        <f t="shared" si="0"/>
        <v>1</v>
      </c>
      <c r="F54">
        <v>53</v>
      </c>
      <c r="G54" t="s">
        <v>101</v>
      </c>
      <c r="H54" t="s">
        <v>107</v>
      </c>
      <c r="I54" t="b">
        <f t="shared" si="1"/>
        <v>1</v>
      </c>
    </row>
    <row r="55" spans="2:9" x14ac:dyDescent="0.25">
      <c r="B55">
        <v>18</v>
      </c>
      <c r="C55" t="s">
        <v>16</v>
      </c>
      <c r="D55" t="s">
        <v>56</v>
      </c>
      <c r="E55" t="b">
        <f t="shared" si="0"/>
        <v>1</v>
      </c>
      <c r="F55">
        <v>54</v>
      </c>
      <c r="G55" t="s">
        <v>275</v>
      </c>
      <c r="H55" t="s">
        <v>292</v>
      </c>
      <c r="I55" t="b">
        <f t="shared" si="1"/>
        <v>1</v>
      </c>
    </row>
    <row r="56" spans="2:9" x14ac:dyDescent="0.25">
      <c r="B56">
        <v>19</v>
      </c>
      <c r="C56" t="s">
        <v>34</v>
      </c>
      <c r="D56" t="s">
        <v>74</v>
      </c>
      <c r="E56" t="b">
        <f t="shared" si="0"/>
        <v>1</v>
      </c>
      <c r="F56">
        <v>55</v>
      </c>
      <c r="G56" t="s">
        <v>39</v>
      </c>
      <c r="H56" t="s">
        <v>79</v>
      </c>
      <c r="I56" t="b">
        <f t="shared" si="1"/>
        <v>1</v>
      </c>
    </row>
    <row r="57" spans="2:9" x14ac:dyDescent="0.25">
      <c r="B57">
        <v>19</v>
      </c>
      <c r="C57" t="s">
        <v>34</v>
      </c>
      <c r="D57" t="s">
        <v>74</v>
      </c>
      <c r="E57" t="b">
        <f t="shared" si="0"/>
        <v>1</v>
      </c>
      <c r="F57">
        <v>56</v>
      </c>
      <c r="G57" t="s">
        <v>45</v>
      </c>
      <c r="H57" t="s">
        <v>85</v>
      </c>
      <c r="I57" t="b">
        <f t="shared" si="1"/>
        <v>1</v>
      </c>
    </row>
    <row r="58" spans="2:9" x14ac:dyDescent="0.25">
      <c r="B58">
        <v>19</v>
      </c>
      <c r="C58" t="s">
        <v>34</v>
      </c>
      <c r="D58" t="s">
        <v>74</v>
      </c>
      <c r="E58" t="b">
        <f t="shared" si="0"/>
        <v>1</v>
      </c>
      <c r="F58">
        <v>57</v>
      </c>
      <c r="G58" t="s">
        <v>30</v>
      </c>
      <c r="H58" t="s">
        <v>70</v>
      </c>
      <c r="I58" t="b">
        <f t="shared" si="1"/>
        <v>1</v>
      </c>
    </row>
    <row r="59" spans="2:9" x14ac:dyDescent="0.25">
      <c r="B59">
        <v>20</v>
      </c>
      <c r="C59" t="s">
        <v>13</v>
      </c>
      <c r="D59" t="s">
        <v>53</v>
      </c>
      <c r="E59" t="b">
        <f t="shared" si="0"/>
        <v>1</v>
      </c>
      <c r="F59">
        <v>58</v>
      </c>
      <c r="G59" t="s">
        <v>265</v>
      </c>
      <c r="H59" t="s">
        <v>282</v>
      </c>
      <c r="I59" t="b">
        <f t="shared" si="1"/>
        <v>1</v>
      </c>
    </row>
    <row r="60" spans="2:9" x14ac:dyDescent="0.25">
      <c r="B60">
        <v>20</v>
      </c>
      <c r="C60" t="s">
        <v>13</v>
      </c>
      <c r="D60" t="s">
        <v>53</v>
      </c>
      <c r="E60" t="b">
        <f t="shared" si="0"/>
        <v>1</v>
      </c>
      <c r="F60">
        <v>59</v>
      </c>
      <c r="G60" t="s">
        <v>264</v>
      </c>
      <c r="H60" t="s">
        <v>281</v>
      </c>
      <c r="I60" t="b">
        <f t="shared" si="1"/>
        <v>1</v>
      </c>
    </row>
    <row r="61" spans="2:9" x14ac:dyDescent="0.25">
      <c r="B61">
        <v>20</v>
      </c>
      <c r="C61" t="s">
        <v>13</v>
      </c>
      <c r="D61" t="s">
        <v>53</v>
      </c>
      <c r="E61" t="b">
        <f t="shared" si="0"/>
        <v>1</v>
      </c>
      <c r="F61">
        <v>60</v>
      </c>
      <c r="G61" t="s">
        <v>269</v>
      </c>
      <c r="H61" t="s">
        <v>286</v>
      </c>
      <c r="I61" t="b">
        <f t="shared" si="1"/>
        <v>1</v>
      </c>
    </row>
    <row r="62" spans="2:9" x14ac:dyDescent="0.25">
      <c r="B62">
        <v>21</v>
      </c>
      <c r="C62" t="s">
        <v>37</v>
      </c>
      <c r="D62" t="s">
        <v>77</v>
      </c>
      <c r="E62" t="b">
        <f t="shared" si="0"/>
        <v>1</v>
      </c>
      <c r="F62">
        <v>61</v>
      </c>
      <c r="G62" t="s">
        <v>671</v>
      </c>
      <c r="H62" t="s">
        <v>880</v>
      </c>
      <c r="I62" t="b">
        <f t="shared" si="1"/>
        <v>1</v>
      </c>
    </row>
    <row r="63" spans="2:9" x14ac:dyDescent="0.25">
      <c r="B63">
        <v>21</v>
      </c>
      <c r="C63" t="s">
        <v>37</v>
      </c>
      <c r="D63" t="s">
        <v>77</v>
      </c>
      <c r="E63" t="b">
        <f t="shared" si="0"/>
        <v>1</v>
      </c>
      <c r="F63">
        <v>62</v>
      </c>
    </row>
    <row r="64" spans="2:9" x14ac:dyDescent="0.25">
      <c r="B64">
        <v>21</v>
      </c>
      <c r="C64" t="s">
        <v>37</v>
      </c>
      <c r="D64" t="s">
        <v>77</v>
      </c>
      <c r="E64" t="b">
        <f t="shared" si="0"/>
        <v>1</v>
      </c>
      <c r="F64">
        <v>63</v>
      </c>
    </row>
    <row r="65" spans="2:6" x14ac:dyDescent="0.25">
      <c r="B65">
        <v>22</v>
      </c>
      <c r="C65" t="s">
        <v>38</v>
      </c>
      <c r="D65" t="s">
        <v>78</v>
      </c>
      <c r="E65" t="b">
        <f t="shared" si="0"/>
        <v>1</v>
      </c>
      <c r="F65">
        <v>64</v>
      </c>
    </row>
    <row r="66" spans="2:6" x14ac:dyDescent="0.25">
      <c r="B66">
        <v>22</v>
      </c>
      <c r="C66" t="s">
        <v>38</v>
      </c>
      <c r="D66" t="s">
        <v>78</v>
      </c>
      <c r="E66" t="b">
        <f t="shared" si="0"/>
        <v>1</v>
      </c>
      <c r="F66">
        <v>65</v>
      </c>
    </row>
    <row r="67" spans="2:6" x14ac:dyDescent="0.25">
      <c r="B67">
        <v>22</v>
      </c>
      <c r="C67" t="s">
        <v>38</v>
      </c>
      <c r="D67" t="s">
        <v>78</v>
      </c>
      <c r="E67" t="b">
        <f t="shared" ref="E67:E130" si="2">ISNUMBER(MATCH(D67,$H$2:$H$62,0))</f>
        <v>1</v>
      </c>
      <c r="F67">
        <v>66</v>
      </c>
    </row>
    <row r="68" spans="2:6" x14ac:dyDescent="0.25">
      <c r="B68">
        <v>23</v>
      </c>
      <c r="C68" t="s">
        <v>25</v>
      </c>
      <c r="D68" t="s">
        <v>65</v>
      </c>
      <c r="E68" t="b">
        <f t="shared" si="2"/>
        <v>1</v>
      </c>
      <c r="F68">
        <v>67</v>
      </c>
    </row>
    <row r="69" spans="2:6" x14ac:dyDescent="0.25">
      <c r="B69">
        <v>23</v>
      </c>
      <c r="C69" t="s">
        <v>25</v>
      </c>
      <c r="D69" t="s">
        <v>65</v>
      </c>
      <c r="E69" t="b">
        <f t="shared" si="2"/>
        <v>1</v>
      </c>
      <c r="F69">
        <v>68</v>
      </c>
    </row>
    <row r="70" spans="2:6" x14ac:dyDescent="0.25">
      <c r="B70">
        <v>23</v>
      </c>
      <c r="C70" t="s">
        <v>25</v>
      </c>
      <c r="D70" t="s">
        <v>65</v>
      </c>
      <c r="E70" t="b">
        <f t="shared" si="2"/>
        <v>1</v>
      </c>
      <c r="F70">
        <v>69</v>
      </c>
    </row>
    <row r="71" spans="2:6" x14ac:dyDescent="0.25">
      <c r="B71">
        <v>24</v>
      </c>
      <c r="C71" t="s">
        <v>28</v>
      </c>
      <c r="D71" t="s">
        <v>68</v>
      </c>
      <c r="E71" t="b">
        <f t="shared" si="2"/>
        <v>1</v>
      </c>
      <c r="F71">
        <v>70</v>
      </c>
    </row>
    <row r="72" spans="2:6" x14ac:dyDescent="0.25">
      <c r="B72">
        <v>24</v>
      </c>
      <c r="C72" t="s">
        <v>28</v>
      </c>
      <c r="D72" t="s">
        <v>68</v>
      </c>
      <c r="E72" t="b">
        <f t="shared" si="2"/>
        <v>1</v>
      </c>
      <c r="F72">
        <v>71</v>
      </c>
    </row>
    <row r="73" spans="2:6" x14ac:dyDescent="0.25">
      <c r="B73">
        <v>24</v>
      </c>
      <c r="C73" t="s">
        <v>28</v>
      </c>
      <c r="D73" t="s">
        <v>68</v>
      </c>
      <c r="E73" t="b">
        <f t="shared" si="2"/>
        <v>1</v>
      </c>
      <c r="F73">
        <v>72</v>
      </c>
    </row>
    <row r="74" spans="2:6" x14ac:dyDescent="0.25">
      <c r="B74">
        <v>25</v>
      </c>
      <c r="C74" t="s">
        <v>276</v>
      </c>
      <c r="D74" t="s">
        <v>293</v>
      </c>
      <c r="E74" t="b">
        <f t="shared" si="2"/>
        <v>1</v>
      </c>
      <c r="F74">
        <v>73</v>
      </c>
    </row>
    <row r="75" spans="2:6" x14ac:dyDescent="0.25">
      <c r="B75">
        <v>25</v>
      </c>
      <c r="C75" t="s">
        <v>276</v>
      </c>
      <c r="D75" t="s">
        <v>293</v>
      </c>
      <c r="E75" t="b">
        <f t="shared" si="2"/>
        <v>1</v>
      </c>
      <c r="F75">
        <v>74</v>
      </c>
    </row>
    <row r="76" spans="2:6" x14ac:dyDescent="0.25">
      <c r="B76">
        <v>25</v>
      </c>
      <c r="C76" t="s">
        <v>276</v>
      </c>
      <c r="D76" t="s">
        <v>293</v>
      </c>
      <c r="E76" t="b">
        <f t="shared" si="2"/>
        <v>1</v>
      </c>
      <c r="F76">
        <v>75</v>
      </c>
    </row>
    <row r="77" spans="2:6" x14ac:dyDescent="0.25">
      <c r="B77">
        <v>26</v>
      </c>
      <c r="C77" t="s">
        <v>19</v>
      </c>
      <c r="D77" t="s">
        <v>59</v>
      </c>
      <c r="E77" t="b">
        <f t="shared" si="2"/>
        <v>1</v>
      </c>
      <c r="F77">
        <v>76</v>
      </c>
    </row>
    <row r="78" spans="2:6" x14ac:dyDescent="0.25">
      <c r="B78">
        <v>26</v>
      </c>
      <c r="C78" t="s">
        <v>19</v>
      </c>
      <c r="D78" t="s">
        <v>59</v>
      </c>
      <c r="E78" t="b">
        <f t="shared" si="2"/>
        <v>1</v>
      </c>
      <c r="F78">
        <v>77</v>
      </c>
    </row>
    <row r="79" spans="2:6" x14ac:dyDescent="0.25">
      <c r="B79">
        <v>26</v>
      </c>
      <c r="C79" t="s">
        <v>19</v>
      </c>
      <c r="D79" t="s">
        <v>59</v>
      </c>
      <c r="E79" t="b">
        <f t="shared" si="2"/>
        <v>1</v>
      </c>
      <c r="F79">
        <v>78</v>
      </c>
    </row>
    <row r="80" spans="2:6" x14ac:dyDescent="0.25">
      <c r="B80">
        <v>27</v>
      </c>
      <c r="C80" t="s">
        <v>273</v>
      </c>
      <c r="D80" t="s">
        <v>290</v>
      </c>
      <c r="E80" t="b">
        <f t="shared" si="2"/>
        <v>1</v>
      </c>
      <c r="F80">
        <v>79</v>
      </c>
    </row>
    <row r="81" spans="2:6" x14ac:dyDescent="0.25">
      <c r="B81">
        <v>27</v>
      </c>
      <c r="C81" t="s">
        <v>273</v>
      </c>
      <c r="D81" t="s">
        <v>290</v>
      </c>
      <c r="E81" t="b">
        <f t="shared" si="2"/>
        <v>1</v>
      </c>
      <c r="F81">
        <v>80</v>
      </c>
    </row>
    <row r="82" spans="2:6" x14ac:dyDescent="0.25">
      <c r="B82">
        <v>27</v>
      </c>
      <c r="C82" t="s">
        <v>273</v>
      </c>
      <c r="D82" t="s">
        <v>290</v>
      </c>
      <c r="E82" t="b">
        <f t="shared" si="2"/>
        <v>1</v>
      </c>
      <c r="F82">
        <v>81</v>
      </c>
    </row>
    <row r="83" spans="2:6" x14ac:dyDescent="0.25">
      <c r="B83">
        <v>28</v>
      </c>
      <c r="C83" t="s">
        <v>18</v>
      </c>
      <c r="D83" t="s">
        <v>58</v>
      </c>
      <c r="E83" t="b">
        <f t="shared" si="2"/>
        <v>1</v>
      </c>
      <c r="F83">
        <v>82</v>
      </c>
    </row>
    <row r="84" spans="2:6" x14ac:dyDescent="0.25">
      <c r="B84">
        <v>28</v>
      </c>
      <c r="C84" t="s">
        <v>18</v>
      </c>
      <c r="D84" t="s">
        <v>58</v>
      </c>
      <c r="E84" t="b">
        <f t="shared" si="2"/>
        <v>1</v>
      </c>
      <c r="F84">
        <v>83</v>
      </c>
    </row>
    <row r="85" spans="2:6" x14ac:dyDescent="0.25">
      <c r="B85">
        <v>28</v>
      </c>
      <c r="C85" t="s">
        <v>18</v>
      </c>
      <c r="D85" t="s">
        <v>58</v>
      </c>
      <c r="E85" t="b">
        <f t="shared" si="2"/>
        <v>1</v>
      </c>
      <c r="F85">
        <v>84</v>
      </c>
    </row>
    <row r="86" spans="2:6" x14ac:dyDescent="0.25">
      <c r="B86">
        <v>29</v>
      </c>
      <c r="C86" t="s">
        <v>26</v>
      </c>
      <c r="D86" t="s">
        <v>66</v>
      </c>
      <c r="E86" t="b">
        <f t="shared" si="2"/>
        <v>1</v>
      </c>
      <c r="F86">
        <v>85</v>
      </c>
    </row>
    <row r="87" spans="2:6" x14ac:dyDescent="0.25">
      <c r="B87">
        <v>29</v>
      </c>
      <c r="C87" t="s">
        <v>26</v>
      </c>
      <c r="D87" t="s">
        <v>66</v>
      </c>
      <c r="E87" t="b">
        <f t="shared" si="2"/>
        <v>1</v>
      </c>
      <c r="F87">
        <v>86</v>
      </c>
    </row>
    <row r="88" spans="2:6" x14ac:dyDescent="0.25">
      <c r="B88">
        <v>29</v>
      </c>
      <c r="C88" t="s">
        <v>26</v>
      </c>
      <c r="D88" t="s">
        <v>66</v>
      </c>
      <c r="E88" t="b">
        <f t="shared" si="2"/>
        <v>1</v>
      </c>
      <c r="F88">
        <v>87</v>
      </c>
    </row>
    <row r="89" spans="2:6" x14ac:dyDescent="0.25">
      <c r="B89">
        <v>30</v>
      </c>
      <c r="C89" t="s">
        <v>278</v>
      </c>
      <c r="D89" t="s">
        <v>295</v>
      </c>
      <c r="E89" t="b">
        <f t="shared" si="2"/>
        <v>1</v>
      </c>
      <c r="F89">
        <v>88</v>
      </c>
    </row>
    <row r="90" spans="2:6" x14ac:dyDescent="0.25">
      <c r="B90">
        <v>30</v>
      </c>
      <c r="C90" t="s">
        <v>278</v>
      </c>
      <c r="D90" t="s">
        <v>295</v>
      </c>
      <c r="E90" t="b">
        <f t="shared" si="2"/>
        <v>1</v>
      </c>
      <c r="F90">
        <v>89</v>
      </c>
    </row>
    <row r="91" spans="2:6" x14ac:dyDescent="0.25">
      <c r="B91">
        <v>30</v>
      </c>
      <c r="C91" t="s">
        <v>278</v>
      </c>
      <c r="D91" t="s">
        <v>295</v>
      </c>
      <c r="E91" t="b">
        <f t="shared" si="2"/>
        <v>1</v>
      </c>
      <c r="F91">
        <v>90</v>
      </c>
    </row>
    <row r="92" spans="2:6" x14ac:dyDescent="0.25">
      <c r="B92">
        <v>31</v>
      </c>
      <c r="C92" t="s">
        <v>36</v>
      </c>
      <c r="D92" t="s">
        <v>76</v>
      </c>
      <c r="E92" t="b">
        <f t="shared" si="2"/>
        <v>1</v>
      </c>
      <c r="F92">
        <v>91</v>
      </c>
    </row>
    <row r="93" spans="2:6" x14ac:dyDescent="0.25">
      <c r="B93">
        <v>31</v>
      </c>
      <c r="C93" t="s">
        <v>36</v>
      </c>
      <c r="D93" t="s">
        <v>76</v>
      </c>
      <c r="E93" t="b">
        <f t="shared" si="2"/>
        <v>1</v>
      </c>
      <c r="F93">
        <v>92</v>
      </c>
    </row>
    <row r="94" spans="2:6" x14ac:dyDescent="0.25">
      <c r="B94">
        <v>31</v>
      </c>
      <c r="C94" t="s">
        <v>36</v>
      </c>
      <c r="D94" t="s">
        <v>76</v>
      </c>
      <c r="E94" t="b">
        <f t="shared" si="2"/>
        <v>1</v>
      </c>
      <c r="F94">
        <v>93</v>
      </c>
    </row>
    <row r="95" spans="2:6" x14ac:dyDescent="0.25">
      <c r="B95">
        <v>32</v>
      </c>
      <c r="C95" t="s">
        <v>100</v>
      </c>
      <c r="D95" t="s">
        <v>106</v>
      </c>
      <c r="E95" t="b">
        <f t="shared" si="2"/>
        <v>1</v>
      </c>
      <c r="F95">
        <v>94</v>
      </c>
    </row>
    <row r="96" spans="2:6" x14ac:dyDescent="0.25">
      <c r="B96">
        <v>32</v>
      </c>
      <c r="C96" t="s">
        <v>100</v>
      </c>
      <c r="D96" t="s">
        <v>106</v>
      </c>
      <c r="E96" t="b">
        <f t="shared" si="2"/>
        <v>1</v>
      </c>
      <c r="F96">
        <v>95</v>
      </c>
    </row>
    <row r="97" spans="2:6" x14ac:dyDescent="0.25">
      <c r="B97">
        <v>32</v>
      </c>
      <c r="C97" t="s">
        <v>100</v>
      </c>
      <c r="D97" t="s">
        <v>106</v>
      </c>
      <c r="E97" t="b">
        <f t="shared" si="2"/>
        <v>1</v>
      </c>
      <c r="F97">
        <v>96</v>
      </c>
    </row>
    <row r="98" spans="2:6" x14ac:dyDescent="0.25">
      <c r="B98">
        <v>33</v>
      </c>
      <c r="C98" t="s">
        <v>27</v>
      </c>
      <c r="D98" t="s">
        <v>67</v>
      </c>
      <c r="E98" t="b">
        <f t="shared" si="2"/>
        <v>1</v>
      </c>
      <c r="F98">
        <v>97</v>
      </c>
    </row>
    <row r="99" spans="2:6" x14ac:dyDescent="0.25">
      <c r="B99">
        <v>33</v>
      </c>
      <c r="C99" t="s">
        <v>27</v>
      </c>
      <c r="D99" t="s">
        <v>67</v>
      </c>
      <c r="E99" t="b">
        <f t="shared" si="2"/>
        <v>1</v>
      </c>
      <c r="F99">
        <v>98</v>
      </c>
    </row>
    <row r="100" spans="2:6" x14ac:dyDescent="0.25">
      <c r="B100">
        <v>33</v>
      </c>
      <c r="C100" t="s">
        <v>27</v>
      </c>
      <c r="D100" t="s">
        <v>67</v>
      </c>
      <c r="E100" t="b">
        <f t="shared" si="2"/>
        <v>1</v>
      </c>
      <c r="F100">
        <v>99</v>
      </c>
    </row>
    <row r="101" spans="2:6" x14ac:dyDescent="0.25">
      <c r="B101">
        <v>34</v>
      </c>
      <c r="C101" t="s">
        <v>20</v>
      </c>
      <c r="D101" t="s">
        <v>60</v>
      </c>
      <c r="E101" t="b">
        <f t="shared" si="2"/>
        <v>1</v>
      </c>
      <c r="F101">
        <v>100</v>
      </c>
    </row>
    <row r="102" spans="2:6" x14ac:dyDescent="0.25">
      <c r="B102">
        <v>34</v>
      </c>
      <c r="C102" t="s">
        <v>20</v>
      </c>
      <c r="D102" t="s">
        <v>60</v>
      </c>
      <c r="E102" t="b">
        <f t="shared" si="2"/>
        <v>1</v>
      </c>
      <c r="F102">
        <v>101</v>
      </c>
    </row>
    <row r="103" spans="2:6" x14ac:dyDescent="0.25">
      <c r="B103">
        <v>34</v>
      </c>
      <c r="C103" t="s">
        <v>20</v>
      </c>
      <c r="D103" t="s">
        <v>60</v>
      </c>
      <c r="E103" t="b">
        <f t="shared" si="2"/>
        <v>1</v>
      </c>
      <c r="F103">
        <v>102</v>
      </c>
    </row>
    <row r="104" spans="2:6" x14ac:dyDescent="0.25">
      <c r="B104">
        <v>35</v>
      </c>
      <c r="C104" t="s">
        <v>33</v>
      </c>
      <c r="D104" t="s">
        <v>73</v>
      </c>
      <c r="E104" t="b">
        <f t="shared" si="2"/>
        <v>1</v>
      </c>
      <c r="F104">
        <v>103</v>
      </c>
    </row>
    <row r="105" spans="2:6" x14ac:dyDescent="0.25">
      <c r="B105">
        <v>35</v>
      </c>
      <c r="C105" t="s">
        <v>33</v>
      </c>
      <c r="D105" t="s">
        <v>73</v>
      </c>
      <c r="E105" t="b">
        <f t="shared" si="2"/>
        <v>1</v>
      </c>
      <c r="F105">
        <v>104</v>
      </c>
    </row>
    <row r="106" spans="2:6" x14ac:dyDescent="0.25">
      <c r="B106">
        <v>35</v>
      </c>
      <c r="C106" t="s">
        <v>33</v>
      </c>
      <c r="D106" t="s">
        <v>73</v>
      </c>
      <c r="E106" t="b">
        <f t="shared" si="2"/>
        <v>1</v>
      </c>
      <c r="F106">
        <v>105</v>
      </c>
    </row>
    <row r="107" spans="2:6" x14ac:dyDescent="0.25">
      <c r="B107">
        <v>36</v>
      </c>
      <c r="C107" t="s">
        <v>270</v>
      </c>
      <c r="D107" t="s">
        <v>287</v>
      </c>
      <c r="E107" t="b">
        <f t="shared" si="2"/>
        <v>1</v>
      </c>
      <c r="F107">
        <v>106</v>
      </c>
    </row>
    <row r="108" spans="2:6" x14ac:dyDescent="0.25">
      <c r="B108">
        <v>36</v>
      </c>
      <c r="C108" t="s">
        <v>270</v>
      </c>
      <c r="D108" t="s">
        <v>287</v>
      </c>
      <c r="E108" t="b">
        <f t="shared" si="2"/>
        <v>1</v>
      </c>
      <c r="F108">
        <v>107</v>
      </c>
    </row>
    <row r="109" spans="2:6" x14ac:dyDescent="0.25">
      <c r="B109">
        <v>36</v>
      </c>
      <c r="C109" t="s">
        <v>270</v>
      </c>
      <c r="D109" t="s">
        <v>287</v>
      </c>
      <c r="E109" t="b">
        <f t="shared" si="2"/>
        <v>1</v>
      </c>
      <c r="F109">
        <v>108</v>
      </c>
    </row>
    <row r="110" spans="2:6" x14ac:dyDescent="0.25">
      <c r="B110">
        <v>37</v>
      </c>
      <c r="C110" t="s">
        <v>272</v>
      </c>
      <c r="D110" t="s">
        <v>289</v>
      </c>
      <c r="E110" t="b">
        <f t="shared" si="2"/>
        <v>1</v>
      </c>
      <c r="F110">
        <v>109</v>
      </c>
    </row>
    <row r="111" spans="2:6" x14ac:dyDescent="0.25">
      <c r="B111">
        <v>37</v>
      </c>
      <c r="C111" t="s">
        <v>272</v>
      </c>
      <c r="D111" t="s">
        <v>289</v>
      </c>
      <c r="E111" t="b">
        <f t="shared" si="2"/>
        <v>1</v>
      </c>
      <c r="F111">
        <v>110</v>
      </c>
    </row>
    <row r="112" spans="2:6" x14ac:dyDescent="0.25">
      <c r="B112">
        <v>37</v>
      </c>
      <c r="C112" t="s">
        <v>272</v>
      </c>
      <c r="D112" t="s">
        <v>289</v>
      </c>
      <c r="E112" t="b">
        <f t="shared" si="2"/>
        <v>1</v>
      </c>
      <c r="F112">
        <v>111</v>
      </c>
    </row>
    <row r="113" spans="2:6" x14ac:dyDescent="0.25">
      <c r="B113">
        <v>38</v>
      </c>
      <c r="C113" t="s">
        <v>280</v>
      </c>
      <c r="D113" t="s">
        <v>297</v>
      </c>
      <c r="E113" t="b">
        <f t="shared" si="2"/>
        <v>1</v>
      </c>
      <c r="F113">
        <v>112</v>
      </c>
    </row>
    <row r="114" spans="2:6" x14ac:dyDescent="0.25">
      <c r="B114">
        <v>38</v>
      </c>
      <c r="C114" t="s">
        <v>280</v>
      </c>
      <c r="D114" t="s">
        <v>297</v>
      </c>
      <c r="E114" t="b">
        <f t="shared" si="2"/>
        <v>1</v>
      </c>
      <c r="F114">
        <v>113</v>
      </c>
    </row>
    <row r="115" spans="2:6" x14ac:dyDescent="0.25">
      <c r="B115">
        <v>38</v>
      </c>
      <c r="C115" t="s">
        <v>280</v>
      </c>
      <c r="D115" t="s">
        <v>297</v>
      </c>
      <c r="E115" t="b">
        <f t="shared" si="2"/>
        <v>1</v>
      </c>
      <c r="F115">
        <v>114</v>
      </c>
    </row>
    <row r="116" spans="2:6" x14ac:dyDescent="0.25">
      <c r="B116">
        <v>39</v>
      </c>
      <c r="C116" t="s">
        <v>43</v>
      </c>
      <c r="D116" t="s">
        <v>83</v>
      </c>
      <c r="E116" t="b">
        <f t="shared" si="2"/>
        <v>1</v>
      </c>
      <c r="F116">
        <v>115</v>
      </c>
    </row>
    <row r="117" spans="2:6" x14ac:dyDescent="0.25">
      <c r="B117">
        <v>39</v>
      </c>
      <c r="C117" t="s">
        <v>43</v>
      </c>
      <c r="D117" t="s">
        <v>83</v>
      </c>
      <c r="E117" t="b">
        <f t="shared" si="2"/>
        <v>1</v>
      </c>
      <c r="F117">
        <v>116</v>
      </c>
    </row>
    <row r="118" spans="2:6" x14ac:dyDescent="0.25">
      <c r="B118">
        <v>39</v>
      </c>
      <c r="C118" t="s">
        <v>43</v>
      </c>
      <c r="D118" t="s">
        <v>83</v>
      </c>
      <c r="E118" t="b">
        <f t="shared" si="2"/>
        <v>1</v>
      </c>
      <c r="F118">
        <v>117</v>
      </c>
    </row>
    <row r="119" spans="2:6" x14ac:dyDescent="0.25">
      <c r="B119">
        <v>40</v>
      </c>
      <c r="C119" t="s">
        <v>267</v>
      </c>
      <c r="D119" t="s">
        <v>284</v>
      </c>
      <c r="E119" t="b">
        <f t="shared" si="2"/>
        <v>1</v>
      </c>
      <c r="F119">
        <v>118</v>
      </c>
    </row>
    <row r="120" spans="2:6" x14ac:dyDescent="0.25">
      <c r="B120">
        <v>40</v>
      </c>
      <c r="C120" t="s">
        <v>267</v>
      </c>
      <c r="D120" t="s">
        <v>284</v>
      </c>
      <c r="E120" t="b">
        <f t="shared" si="2"/>
        <v>1</v>
      </c>
      <c r="F120">
        <v>119</v>
      </c>
    </row>
    <row r="121" spans="2:6" x14ac:dyDescent="0.25">
      <c r="B121">
        <v>40</v>
      </c>
      <c r="C121" t="s">
        <v>267</v>
      </c>
      <c r="D121" t="s">
        <v>284</v>
      </c>
      <c r="E121" t="b">
        <f t="shared" si="2"/>
        <v>1</v>
      </c>
      <c r="F121">
        <v>120</v>
      </c>
    </row>
    <row r="122" spans="2:6" x14ac:dyDescent="0.25">
      <c r="B122">
        <v>41</v>
      </c>
      <c r="C122" t="s">
        <v>31</v>
      </c>
      <c r="D122" t="s">
        <v>71</v>
      </c>
      <c r="E122" t="b">
        <f t="shared" si="2"/>
        <v>1</v>
      </c>
      <c r="F122">
        <v>121</v>
      </c>
    </row>
    <row r="123" spans="2:6" x14ac:dyDescent="0.25">
      <c r="B123">
        <v>41</v>
      </c>
      <c r="C123" t="s">
        <v>31</v>
      </c>
      <c r="D123" t="s">
        <v>71</v>
      </c>
      <c r="E123" t="b">
        <f t="shared" si="2"/>
        <v>1</v>
      </c>
      <c r="F123">
        <v>122</v>
      </c>
    </row>
    <row r="124" spans="2:6" x14ac:dyDescent="0.25">
      <c r="B124">
        <v>41</v>
      </c>
      <c r="C124" t="s">
        <v>31</v>
      </c>
      <c r="D124" t="s">
        <v>71</v>
      </c>
      <c r="E124" t="b">
        <f t="shared" si="2"/>
        <v>1</v>
      </c>
      <c r="F124">
        <v>123</v>
      </c>
    </row>
    <row r="125" spans="2:6" x14ac:dyDescent="0.25">
      <c r="B125">
        <v>42</v>
      </c>
      <c r="C125" t="s">
        <v>24</v>
      </c>
      <c r="D125" t="s">
        <v>64</v>
      </c>
      <c r="E125" t="b">
        <f t="shared" si="2"/>
        <v>1</v>
      </c>
      <c r="F125">
        <v>124</v>
      </c>
    </row>
    <row r="126" spans="2:6" x14ac:dyDescent="0.25">
      <c r="B126">
        <v>42</v>
      </c>
      <c r="C126" t="s">
        <v>24</v>
      </c>
      <c r="D126" t="s">
        <v>64</v>
      </c>
      <c r="E126" t="b">
        <f t="shared" si="2"/>
        <v>1</v>
      </c>
      <c r="F126">
        <v>125</v>
      </c>
    </row>
    <row r="127" spans="2:6" x14ac:dyDescent="0.25">
      <c r="B127">
        <v>42</v>
      </c>
      <c r="C127" t="s">
        <v>24</v>
      </c>
      <c r="D127" t="s">
        <v>64</v>
      </c>
      <c r="E127" t="b">
        <f t="shared" si="2"/>
        <v>1</v>
      </c>
      <c r="F127">
        <v>126</v>
      </c>
    </row>
    <row r="128" spans="2:6" x14ac:dyDescent="0.25">
      <c r="B128">
        <v>43</v>
      </c>
      <c r="C128" t="s">
        <v>279</v>
      </c>
      <c r="D128" t="s">
        <v>296</v>
      </c>
      <c r="E128" t="b">
        <f t="shared" si="2"/>
        <v>1</v>
      </c>
      <c r="F128">
        <v>127</v>
      </c>
    </row>
    <row r="129" spans="2:6" x14ac:dyDescent="0.25">
      <c r="B129">
        <v>43</v>
      </c>
      <c r="C129" t="s">
        <v>279</v>
      </c>
      <c r="D129" t="s">
        <v>296</v>
      </c>
      <c r="E129" t="b">
        <f t="shared" si="2"/>
        <v>1</v>
      </c>
      <c r="F129">
        <v>128</v>
      </c>
    </row>
    <row r="130" spans="2:6" x14ac:dyDescent="0.25">
      <c r="B130">
        <v>43</v>
      </c>
      <c r="C130" t="s">
        <v>279</v>
      </c>
      <c r="D130" t="s">
        <v>296</v>
      </c>
      <c r="E130" t="b">
        <f t="shared" si="2"/>
        <v>1</v>
      </c>
      <c r="F130">
        <v>129</v>
      </c>
    </row>
    <row r="131" spans="2:6" x14ac:dyDescent="0.25">
      <c r="B131">
        <v>44</v>
      </c>
      <c r="C131" t="s">
        <v>17</v>
      </c>
      <c r="D131" t="s">
        <v>57</v>
      </c>
      <c r="E131" t="b">
        <f t="shared" ref="E131:E181" si="3">ISNUMBER(MATCH(D131,$H$2:$H$62,0))</f>
        <v>1</v>
      </c>
      <c r="F131">
        <v>130</v>
      </c>
    </row>
    <row r="132" spans="2:6" x14ac:dyDescent="0.25">
      <c r="B132">
        <v>44</v>
      </c>
      <c r="C132" t="s">
        <v>17</v>
      </c>
      <c r="D132" t="s">
        <v>57</v>
      </c>
      <c r="E132" t="b">
        <f t="shared" si="3"/>
        <v>1</v>
      </c>
      <c r="F132">
        <v>131</v>
      </c>
    </row>
    <row r="133" spans="2:6" x14ac:dyDescent="0.25">
      <c r="B133">
        <v>44</v>
      </c>
      <c r="C133" t="s">
        <v>17</v>
      </c>
      <c r="D133" t="s">
        <v>57</v>
      </c>
      <c r="E133" t="b">
        <f t="shared" si="3"/>
        <v>1</v>
      </c>
      <c r="F133">
        <v>132</v>
      </c>
    </row>
    <row r="134" spans="2:6" x14ac:dyDescent="0.25">
      <c r="B134">
        <v>45</v>
      </c>
      <c r="C134" t="s">
        <v>266</v>
      </c>
      <c r="D134" t="s">
        <v>283</v>
      </c>
      <c r="E134" t="b">
        <f t="shared" si="3"/>
        <v>1</v>
      </c>
      <c r="F134">
        <v>133</v>
      </c>
    </row>
    <row r="135" spans="2:6" x14ac:dyDescent="0.25">
      <c r="B135">
        <v>45</v>
      </c>
      <c r="C135" t="s">
        <v>266</v>
      </c>
      <c r="D135" t="s">
        <v>283</v>
      </c>
      <c r="E135" t="b">
        <f t="shared" si="3"/>
        <v>1</v>
      </c>
      <c r="F135">
        <v>134</v>
      </c>
    </row>
    <row r="136" spans="2:6" x14ac:dyDescent="0.25">
      <c r="B136">
        <v>45</v>
      </c>
      <c r="C136" t="s">
        <v>266</v>
      </c>
      <c r="D136" t="s">
        <v>283</v>
      </c>
      <c r="E136" t="b">
        <f t="shared" si="3"/>
        <v>1</v>
      </c>
      <c r="F136">
        <v>135</v>
      </c>
    </row>
    <row r="137" spans="2:6" x14ac:dyDescent="0.25">
      <c r="B137">
        <v>46</v>
      </c>
      <c r="C137" t="s">
        <v>44</v>
      </c>
      <c r="D137" t="s">
        <v>84</v>
      </c>
      <c r="E137" t="b">
        <f t="shared" si="3"/>
        <v>1</v>
      </c>
      <c r="F137">
        <v>136</v>
      </c>
    </row>
    <row r="138" spans="2:6" x14ac:dyDescent="0.25">
      <c r="B138">
        <v>46</v>
      </c>
      <c r="C138" t="s">
        <v>44</v>
      </c>
      <c r="D138" t="s">
        <v>84</v>
      </c>
      <c r="E138" t="b">
        <f t="shared" si="3"/>
        <v>1</v>
      </c>
      <c r="F138">
        <v>137</v>
      </c>
    </row>
    <row r="139" spans="2:6" x14ac:dyDescent="0.25">
      <c r="B139">
        <v>46</v>
      </c>
      <c r="C139" t="s">
        <v>44</v>
      </c>
      <c r="D139" t="s">
        <v>84</v>
      </c>
      <c r="E139" t="b">
        <f t="shared" si="3"/>
        <v>1</v>
      </c>
      <c r="F139">
        <v>138</v>
      </c>
    </row>
    <row r="140" spans="2:6" x14ac:dyDescent="0.25">
      <c r="B140">
        <v>47</v>
      </c>
      <c r="C140" t="s">
        <v>22</v>
      </c>
      <c r="D140" t="s">
        <v>62</v>
      </c>
      <c r="E140" t="b">
        <f t="shared" si="3"/>
        <v>1</v>
      </c>
      <c r="F140">
        <v>139</v>
      </c>
    </row>
    <row r="141" spans="2:6" x14ac:dyDescent="0.25">
      <c r="B141">
        <v>47</v>
      </c>
      <c r="C141" t="s">
        <v>22</v>
      </c>
      <c r="D141" t="s">
        <v>62</v>
      </c>
      <c r="E141" t="b">
        <f t="shared" si="3"/>
        <v>1</v>
      </c>
      <c r="F141">
        <v>140</v>
      </c>
    </row>
    <row r="142" spans="2:6" x14ac:dyDescent="0.25">
      <c r="B142">
        <v>47</v>
      </c>
      <c r="C142" t="s">
        <v>22</v>
      </c>
      <c r="D142" t="s">
        <v>62</v>
      </c>
      <c r="E142" t="b">
        <f t="shared" si="3"/>
        <v>1</v>
      </c>
      <c r="F142">
        <v>141</v>
      </c>
    </row>
    <row r="143" spans="2:6" x14ac:dyDescent="0.25">
      <c r="B143">
        <v>48</v>
      </c>
      <c r="C143" t="s">
        <v>35</v>
      </c>
      <c r="D143" t="s">
        <v>75</v>
      </c>
      <c r="E143" t="b">
        <f t="shared" si="3"/>
        <v>1</v>
      </c>
      <c r="F143">
        <v>142</v>
      </c>
    </row>
    <row r="144" spans="2:6" x14ac:dyDescent="0.25">
      <c r="B144">
        <v>48</v>
      </c>
      <c r="C144" t="s">
        <v>35</v>
      </c>
      <c r="D144" t="s">
        <v>75</v>
      </c>
      <c r="E144" t="b">
        <f t="shared" si="3"/>
        <v>1</v>
      </c>
      <c r="F144">
        <v>143</v>
      </c>
    </row>
    <row r="145" spans="2:6" x14ac:dyDescent="0.25">
      <c r="B145">
        <v>48</v>
      </c>
      <c r="C145" t="s">
        <v>35</v>
      </c>
      <c r="D145" t="s">
        <v>75</v>
      </c>
      <c r="E145" t="b">
        <f t="shared" si="3"/>
        <v>1</v>
      </c>
      <c r="F145">
        <v>144</v>
      </c>
    </row>
    <row r="146" spans="2:6" x14ac:dyDescent="0.25">
      <c r="B146">
        <v>49</v>
      </c>
      <c r="C146" t="s">
        <v>268</v>
      </c>
      <c r="D146" t="s">
        <v>285</v>
      </c>
      <c r="E146" t="b">
        <f t="shared" si="3"/>
        <v>1</v>
      </c>
      <c r="F146">
        <v>145</v>
      </c>
    </row>
    <row r="147" spans="2:6" x14ac:dyDescent="0.25">
      <c r="B147">
        <v>49</v>
      </c>
      <c r="C147" t="s">
        <v>268</v>
      </c>
      <c r="D147" t="s">
        <v>285</v>
      </c>
      <c r="E147" t="b">
        <f t="shared" si="3"/>
        <v>1</v>
      </c>
      <c r="F147">
        <v>146</v>
      </c>
    </row>
    <row r="148" spans="2:6" x14ac:dyDescent="0.25">
      <c r="B148">
        <v>49</v>
      </c>
      <c r="C148" t="s">
        <v>268</v>
      </c>
      <c r="D148" t="s">
        <v>285</v>
      </c>
      <c r="E148" t="b">
        <f t="shared" si="3"/>
        <v>1</v>
      </c>
      <c r="F148">
        <v>147</v>
      </c>
    </row>
    <row r="149" spans="2:6" x14ac:dyDescent="0.25">
      <c r="B149">
        <v>50</v>
      </c>
      <c r="C149" t="s">
        <v>11</v>
      </c>
      <c r="D149" t="s">
        <v>51</v>
      </c>
      <c r="E149" t="b">
        <f t="shared" si="3"/>
        <v>1</v>
      </c>
      <c r="F149">
        <v>148</v>
      </c>
    </row>
    <row r="150" spans="2:6" x14ac:dyDescent="0.25">
      <c r="B150">
        <v>50</v>
      </c>
      <c r="C150" t="s">
        <v>11</v>
      </c>
      <c r="D150" t="s">
        <v>51</v>
      </c>
      <c r="E150" t="b">
        <f t="shared" si="3"/>
        <v>1</v>
      </c>
      <c r="F150">
        <v>149</v>
      </c>
    </row>
    <row r="151" spans="2:6" x14ac:dyDescent="0.25">
      <c r="B151">
        <v>50</v>
      </c>
      <c r="C151" t="s">
        <v>11</v>
      </c>
      <c r="D151" t="s">
        <v>51</v>
      </c>
      <c r="E151" t="b">
        <f t="shared" si="3"/>
        <v>1</v>
      </c>
      <c r="F151">
        <v>150</v>
      </c>
    </row>
    <row r="152" spans="2:6" x14ac:dyDescent="0.25">
      <c r="B152">
        <v>51</v>
      </c>
      <c r="C152" t="s">
        <v>8</v>
      </c>
      <c r="D152" t="s">
        <v>48</v>
      </c>
      <c r="E152" t="b">
        <f t="shared" si="3"/>
        <v>1</v>
      </c>
      <c r="F152">
        <v>151</v>
      </c>
    </row>
    <row r="153" spans="2:6" x14ac:dyDescent="0.25">
      <c r="B153">
        <v>51</v>
      </c>
      <c r="C153" t="s">
        <v>8</v>
      </c>
      <c r="D153" t="s">
        <v>48</v>
      </c>
      <c r="E153" t="b">
        <f t="shared" si="3"/>
        <v>1</v>
      </c>
      <c r="F153">
        <v>152</v>
      </c>
    </row>
    <row r="154" spans="2:6" x14ac:dyDescent="0.25">
      <c r="B154">
        <v>51</v>
      </c>
      <c r="C154" t="s">
        <v>8</v>
      </c>
      <c r="D154" t="s">
        <v>48</v>
      </c>
      <c r="E154" t="b">
        <f t="shared" si="3"/>
        <v>1</v>
      </c>
      <c r="F154">
        <v>153</v>
      </c>
    </row>
    <row r="155" spans="2:6" x14ac:dyDescent="0.25">
      <c r="B155">
        <v>52</v>
      </c>
      <c r="C155" t="s">
        <v>101</v>
      </c>
      <c r="D155" t="s">
        <v>107</v>
      </c>
      <c r="E155" t="b">
        <f t="shared" si="3"/>
        <v>1</v>
      </c>
      <c r="F155">
        <v>154</v>
      </c>
    </row>
    <row r="156" spans="2:6" x14ac:dyDescent="0.25">
      <c r="B156">
        <v>52</v>
      </c>
      <c r="C156" t="s">
        <v>101</v>
      </c>
      <c r="D156" t="s">
        <v>107</v>
      </c>
      <c r="E156" t="b">
        <f t="shared" si="3"/>
        <v>1</v>
      </c>
      <c r="F156">
        <v>155</v>
      </c>
    </row>
    <row r="157" spans="2:6" x14ac:dyDescent="0.25">
      <c r="B157">
        <v>52</v>
      </c>
      <c r="C157" t="s">
        <v>101</v>
      </c>
      <c r="D157" t="s">
        <v>107</v>
      </c>
      <c r="E157" t="b">
        <f t="shared" si="3"/>
        <v>1</v>
      </c>
      <c r="F157">
        <v>156</v>
      </c>
    </row>
    <row r="158" spans="2:6" x14ac:dyDescent="0.25">
      <c r="B158">
        <v>53</v>
      </c>
      <c r="C158" t="s">
        <v>275</v>
      </c>
      <c r="D158" t="s">
        <v>292</v>
      </c>
      <c r="E158" t="b">
        <f t="shared" si="3"/>
        <v>1</v>
      </c>
      <c r="F158">
        <v>157</v>
      </c>
    </row>
    <row r="159" spans="2:6" x14ac:dyDescent="0.25">
      <c r="B159">
        <v>53</v>
      </c>
      <c r="C159" t="s">
        <v>275</v>
      </c>
      <c r="D159" t="s">
        <v>292</v>
      </c>
      <c r="E159" t="b">
        <f t="shared" si="3"/>
        <v>1</v>
      </c>
      <c r="F159">
        <v>158</v>
      </c>
    </row>
    <row r="160" spans="2:6" x14ac:dyDescent="0.25">
      <c r="B160">
        <v>53</v>
      </c>
      <c r="C160" t="s">
        <v>275</v>
      </c>
      <c r="D160" t="s">
        <v>292</v>
      </c>
      <c r="E160" t="b">
        <f t="shared" si="3"/>
        <v>1</v>
      </c>
      <c r="F160">
        <v>159</v>
      </c>
    </row>
    <row r="161" spans="2:6" x14ac:dyDescent="0.25">
      <c r="B161">
        <v>54</v>
      </c>
      <c r="C161" t="s">
        <v>39</v>
      </c>
      <c r="D161" t="s">
        <v>79</v>
      </c>
      <c r="E161" t="b">
        <f t="shared" si="3"/>
        <v>1</v>
      </c>
      <c r="F161">
        <v>160</v>
      </c>
    </row>
    <row r="162" spans="2:6" x14ac:dyDescent="0.25">
      <c r="B162">
        <v>54</v>
      </c>
      <c r="C162" t="s">
        <v>39</v>
      </c>
      <c r="D162" t="s">
        <v>79</v>
      </c>
      <c r="E162" t="b">
        <f t="shared" si="3"/>
        <v>1</v>
      </c>
      <c r="F162">
        <v>161</v>
      </c>
    </row>
    <row r="163" spans="2:6" x14ac:dyDescent="0.25">
      <c r="B163">
        <v>54</v>
      </c>
      <c r="C163" t="s">
        <v>39</v>
      </c>
      <c r="D163" t="s">
        <v>79</v>
      </c>
      <c r="E163" t="b">
        <f t="shared" si="3"/>
        <v>1</v>
      </c>
      <c r="F163">
        <v>162</v>
      </c>
    </row>
    <row r="164" spans="2:6" x14ac:dyDescent="0.25">
      <c r="B164">
        <v>55</v>
      </c>
      <c r="C164" t="s">
        <v>45</v>
      </c>
      <c r="D164" t="s">
        <v>85</v>
      </c>
      <c r="E164" t="b">
        <f t="shared" si="3"/>
        <v>1</v>
      </c>
      <c r="F164">
        <v>163</v>
      </c>
    </row>
    <row r="165" spans="2:6" x14ac:dyDescent="0.25">
      <c r="B165">
        <v>55</v>
      </c>
      <c r="C165" t="s">
        <v>45</v>
      </c>
      <c r="D165" t="s">
        <v>85</v>
      </c>
      <c r="E165" t="b">
        <f t="shared" si="3"/>
        <v>1</v>
      </c>
      <c r="F165">
        <v>164</v>
      </c>
    </row>
    <row r="166" spans="2:6" x14ac:dyDescent="0.25">
      <c r="B166">
        <v>55</v>
      </c>
      <c r="C166" t="s">
        <v>45</v>
      </c>
      <c r="D166" t="s">
        <v>85</v>
      </c>
      <c r="E166" t="b">
        <f t="shared" si="3"/>
        <v>1</v>
      </c>
      <c r="F166">
        <v>165</v>
      </c>
    </row>
    <row r="167" spans="2:6" x14ac:dyDescent="0.25">
      <c r="B167">
        <v>56</v>
      </c>
      <c r="C167" t="s">
        <v>30</v>
      </c>
      <c r="D167" t="s">
        <v>70</v>
      </c>
      <c r="E167" t="b">
        <f t="shared" si="3"/>
        <v>1</v>
      </c>
      <c r="F167">
        <v>166</v>
      </c>
    </row>
    <row r="168" spans="2:6" x14ac:dyDescent="0.25">
      <c r="B168">
        <v>56</v>
      </c>
      <c r="C168" t="s">
        <v>30</v>
      </c>
      <c r="D168" t="s">
        <v>70</v>
      </c>
      <c r="E168" t="b">
        <f t="shared" si="3"/>
        <v>1</v>
      </c>
      <c r="F168">
        <v>167</v>
      </c>
    </row>
    <row r="169" spans="2:6" x14ac:dyDescent="0.25">
      <c r="B169">
        <v>56</v>
      </c>
      <c r="C169" t="s">
        <v>30</v>
      </c>
      <c r="D169" t="s">
        <v>70</v>
      </c>
      <c r="E169" t="b">
        <f t="shared" si="3"/>
        <v>1</v>
      </c>
      <c r="F169">
        <v>168</v>
      </c>
    </row>
    <row r="170" spans="2:6" x14ac:dyDescent="0.25">
      <c r="B170">
        <v>57</v>
      </c>
      <c r="C170" t="s">
        <v>265</v>
      </c>
      <c r="D170" t="s">
        <v>282</v>
      </c>
      <c r="E170" t="b">
        <f t="shared" si="3"/>
        <v>1</v>
      </c>
      <c r="F170">
        <v>169</v>
      </c>
    </row>
    <row r="171" spans="2:6" x14ac:dyDescent="0.25">
      <c r="B171">
        <v>57</v>
      </c>
      <c r="C171" t="s">
        <v>265</v>
      </c>
      <c r="D171" t="s">
        <v>282</v>
      </c>
      <c r="E171" t="b">
        <f t="shared" si="3"/>
        <v>1</v>
      </c>
      <c r="F171">
        <v>170</v>
      </c>
    </row>
    <row r="172" spans="2:6" x14ac:dyDescent="0.25">
      <c r="B172">
        <v>57</v>
      </c>
      <c r="C172" t="s">
        <v>265</v>
      </c>
      <c r="D172" t="s">
        <v>282</v>
      </c>
      <c r="E172" t="b">
        <f t="shared" si="3"/>
        <v>1</v>
      </c>
      <c r="F172">
        <v>171</v>
      </c>
    </row>
    <row r="173" spans="2:6" x14ac:dyDescent="0.25">
      <c r="B173">
        <v>58</v>
      </c>
      <c r="C173" t="s">
        <v>264</v>
      </c>
      <c r="D173" t="s">
        <v>281</v>
      </c>
      <c r="E173" t="b">
        <f t="shared" si="3"/>
        <v>1</v>
      </c>
      <c r="F173">
        <v>172</v>
      </c>
    </row>
    <row r="174" spans="2:6" x14ac:dyDescent="0.25">
      <c r="B174">
        <v>58</v>
      </c>
      <c r="C174" t="s">
        <v>264</v>
      </c>
      <c r="D174" t="s">
        <v>281</v>
      </c>
      <c r="E174" t="b">
        <f t="shared" si="3"/>
        <v>1</v>
      </c>
      <c r="F174">
        <v>173</v>
      </c>
    </row>
    <row r="175" spans="2:6" x14ac:dyDescent="0.25">
      <c r="B175">
        <v>58</v>
      </c>
      <c r="C175" t="s">
        <v>264</v>
      </c>
      <c r="D175" t="s">
        <v>281</v>
      </c>
      <c r="E175" t="b">
        <f t="shared" si="3"/>
        <v>1</v>
      </c>
      <c r="F175">
        <v>174</v>
      </c>
    </row>
    <row r="176" spans="2:6" x14ac:dyDescent="0.25">
      <c r="B176">
        <v>59</v>
      </c>
      <c r="C176" t="s">
        <v>269</v>
      </c>
      <c r="D176" t="s">
        <v>286</v>
      </c>
      <c r="E176" t="b">
        <f t="shared" si="3"/>
        <v>1</v>
      </c>
      <c r="F176">
        <v>175</v>
      </c>
    </row>
    <row r="177" spans="2:6" x14ac:dyDescent="0.25">
      <c r="B177">
        <v>59</v>
      </c>
      <c r="C177" t="s">
        <v>269</v>
      </c>
      <c r="D177" t="s">
        <v>286</v>
      </c>
      <c r="E177" t="b">
        <f t="shared" si="3"/>
        <v>1</v>
      </c>
      <c r="F177">
        <v>176</v>
      </c>
    </row>
    <row r="178" spans="2:6" x14ac:dyDescent="0.25">
      <c r="B178">
        <v>59</v>
      </c>
      <c r="C178" t="s">
        <v>269</v>
      </c>
      <c r="D178" t="s">
        <v>286</v>
      </c>
      <c r="E178" t="b">
        <f t="shared" si="3"/>
        <v>1</v>
      </c>
      <c r="F178">
        <v>177</v>
      </c>
    </row>
    <row r="179" spans="2:6" x14ac:dyDescent="0.25">
      <c r="B179">
        <v>60</v>
      </c>
      <c r="C179" t="s">
        <v>671</v>
      </c>
      <c r="D179" t="s">
        <v>880</v>
      </c>
      <c r="E179" t="b">
        <f t="shared" si="3"/>
        <v>1</v>
      </c>
      <c r="F179">
        <v>178</v>
      </c>
    </row>
    <row r="180" spans="2:6" x14ac:dyDescent="0.25">
      <c r="B180">
        <v>60</v>
      </c>
      <c r="C180" t="s">
        <v>671</v>
      </c>
      <c r="D180" t="s">
        <v>880</v>
      </c>
      <c r="E180" t="b">
        <f t="shared" si="3"/>
        <v>1</v>
      </c>
      <c r="F180">
        <v>179</v>
      </c>
    </row>
    <row r="181" spans="2:6" x14ac:dyDescent="0.25">
      <c r="B181">
        <v>60</v>
      </c>
      <c r="C181" t="s">
        <v>671</v>
      </c>
      <c r="D181" t="s">
        <v>880</v>
      </c>
      <c r="E181" t="b">
        <f t="shared" si="3"/>
        <v>1</v>
      </c>
      <c r="F181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1"/>
  <sheetViews>
    <sheetView topLeftCell="A29" workbookViewId="0">
      <selection activeCell="J61" sqref="J61"/>
    </sheetView>
  </sheetViews>
  <sheetFormatPr defaultRowHeight="15" x14ac:dyDescent="0.25"/>
  <sheetData>
    <row r="1" spans="1:57" x14ac:dyDescent="0.25">
      <c r="A1" s="1" t="s">
        <v>111</v>
      </c>
      <c r="B1" s="1" t="s">
        <v>112</v>
      </c>
      <c r="C1" s="1" t="s">
        <v>0</v>
      </c>
      <c r="D1" s="1" t="s">
        <v>98</v>
      </c>
      <c r="E1" s="1" t="s">
        <v>2</v>
      </c>
      <c r="F1" s="1" t="s">
        <v>3</v>
      </c>
      <c r="G1" s="1" t="s">
        <v>113</v>
      </c>
      <c r="H1" s="1" t="s">
        <v>7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6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  <c r="BC1" s="1" t="s">
        <v>159</v>
      </c>
      <c r="BD1" s="1" t="s">
        <v>160</v>
      </c>
      <c r="BE1" s="1" t="s">
        <v>161</v>
      </c>
    </row>
    <row r="2" spans="1:57" x14ac:dyDescent="0.25">
      <c r="A2">
        <v>245</v>
      </c>
      <c r="B2" t="s">
        <v>164</v>
      </c>
      <c r="C2" t="s">
        <v>42</v>
      </c>
      <c r="D2" t="s">
        <v>82</v>
      </c>
      <c r="E2" t="s">
        <v>89</v>
      </c>
      <c r="F2">
        <v>577122512</v>
      </c>
      <c r="G2">
        <v>222.3</v>
      </c>
      <c r="H2" t="s">
        <v>97</v>
      </c>
      <c r="I2">
        <v>225947074.68548301</v>
      </c>
      <c r="J2">
        <v>207404730.509267</v>
      </c>
      <c r="M2">
        <v>199844949.36271399</v>
      </c>
      <c r="N2">
        <v>29.388895000000002</v>
      </c>
      <c r="O2">
        <v>29.795259999999999</v>
      </c>
      <c r="P2">
        <v>200348532.41978201</v>
      </c>
      <c r="Q2">
        <v>33.028824</v>
      </c>
      <c r="R2">
        <v>200335742.54664001</v>
      </c>
      <c r="S2">
        <v>233582043.159466</v>
      </c>
      <c r="T2" t="s">
        <v>96</v>
      </c>
      <c r="U2" t="s">
        <v>204</v>
      </c>
      <c r="V2">
        <v>1</v>
      </c>
      <c r="W2">
        <v>239.25</v>
      </c>
      <c r="X2">
        <v>222.3</v>
      </c>
      <c r="Y2">
        <v>1</v>
      </c>
      <c r="Z2">
        <v>128294334417.60001</v>
      </c>
      <c r="AA2">
        <v>0</v>
      </c>
      <c r="AB2">
        <v>0</v>
      </c>
      <c r="AC2">
        <v>7.1448087500000002</v>
      </c>
      <c r="AD2">
        <v>2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>
        <v>8</v>
      </c>
      <c r="BD2">
        <v>7.1448087500000002</v>
      </c>
      <c r="BE2">
        <v>1</v>
      </c>
    </row>
    <row r="3" spans="1:57" x14ac:dyDescent="0.25">
      <c r="A3">
        <v>158</v>
      </c>
      <c r="B3" t="s">
        <v>165</v>
      </c>
      <c r="C3" t="s">
        <v>29</v>
      </c>
      <c r="D3" t="s">
        <v>69</v>
      </c>
      <c r="E3" t="s">
        <v>93</v>
      </c>
      <c r="F3">
        <v>17413389613</v>
      </c>
      <c r="G3">
        <v>5.6189999999999998</v>
      </c>
      <c r="H3" t="s">
        <v>97</v>
      </c>
      <c r="I3">
        <v>293767090.16672999</v>
      </c>
      <c r="J3">
        <v>325066381.92893302</v>
      </c>
      <c r="M3">
        <v>268153499.05000001</v>
      </c>
      <c r="N3">
        <v>23.324428999999999</v>
      </c>
      <c r="O3">
        <v>24.010738</v>
      </c>
      <c r="P3">
        <v>268929667.19718999</v>
      </c>
      <c r="Q3">
        <v>28.28163</v>
      </c>
      <c r="R3">
        <v>282868481.63398498</v>
      </c>
      <c r="S3">
        <v>329523646.21244597</v>
      </c>
      <c r="T3" t="s">
        <v>96</v>
      </c>
      <c r="U3" t="s">
        <v>205</v>
      </c>
      <c r="V3">
        <v>1</v>
      </c>
      <c r="W3">
        <v>5.7830000000000004</v>
      </c>
      <c r="X3">
        <v>5.6189999999999998</v>
      </c>
      <c r="Y3">
        <v>0.8</v>
      </c>
      <c r="Z3">
        <v>78276668988.357605</v>
      </c>
      <c r="AA3">
        <v>0</v>
      </c>
      <c r="AB3">
        <v>0</v>
      </c>
      <c r="AC3">
        <v>8.09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>
        <v>18</v>
      </c>
      <c r="BD3">
        <v>8.09</v>
      </c>
      <c r="BE3">
        <v>2</v>
      </c>
    </row>
    <row r="4" spans="1:57" x14ac:dyDescent="0.25">
      <c r="A4">
        <v>225</v>
      </c>
      <c r="B4" t="s">
        <v>166</v>
      </c>
      <c r="C4" t="s">
        <v>38</v>
      </c>
      <c r="D4" t="s">
        <v>78</v>
      </c>
      <c r="E4" t="s">
        <v>91</v>
      </c>
      <c r="F4">
        <v>1907070957</v>
      </c>
      <c r="G4">
        <v>35.28</v>
      </c>
      <c r="H4" t="s">
        <v>97</v>
      </c>
      <c r="I4">
        <v>35151618.017999999</v>
      </c>
      <c r="J4">
        <v>38042578.714666702</v>
      </c>
      <c r="M4">
        <v>29814886.367424201</v>
      </c>
      <c r="N4">
        <v>20.830658</v>
      </c>
      <c r="O4">
        <v>22.413506000000002</v>
      </c>
      <c r="P4">
        <v>31979316.750999998</v>
      </c>
      <c r="Q4">
        <v>23.983384999999998</v>
      </c>
      <c r="R4">
        <v>32638215.1919697</v>
      </c>
      <c r="S4">
        <v>38012064.798709601</v>
      </c>
      <c r="T4" t="s">
        <v>96</v>
      </c>
      <c r="U4" t="s">
        <v>206</v>
      </c>
      <c r="V4">
        <v>1</v>
      </c>
      <c r="W4">
        <v>34.659999999999997</v>
      </c>
      <c r="X4">
        <v>35.28</v>
      </c>
      <c r="Y4">
        <v>1</v>
      </c>
      <c r="Z4">
        <v>67281463362.959999</v>
      </c>
      <c r="AA4">
        <v>0</v>
      </c>
      <c r="AB4">
        <v>0</v>
      </c>
      <c r="AC4">
        <v>8.1090937499999995</v>
      </c>
      <c r="AD4">
        <v>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>
        <v>23</v>
      </c>
      <c r="BD4">
        <v>8.1090937499999995</v>
      </c>
      <c r="BE4">
        <v>3</v>
      </c>
    </row>
    <row r="5" spans="1:57" x14ac:dyDescent="0.25">
      <c r="A5">
        <v>36</v>
      </c>
      <c r="B5" t="s">
        <v>167</v>
      </c>
      <c r="C5" t="s">
        <v>12</v>
      </c>
      <c r="D5" t="s">
        <v>52</v>
      </c>
      <c r="E5" t="s">
        <v>91</v>
      </c>
      <c r="F5">
        <v>388147674</v>
      </c>
      <c r="G5">
        <v>834</v>
      </c>
      <c r="H5" t="s">
        <v>97</v>
      </c>
      <c r="I5">
        <v>507485028.18274498</v>
      </c>
      <c r="J5">
        <v>519075447.359999</v>
      </c>
      <c r="M5">
        <v>476870092.68939298</v>
      </c>
      <c r="N5">
        <v>35.690429999999999</v>
      </c>
      <c r="O5">
        <v>37.997826000000003</v>
      </c>
      <c r="P5">
        <v>498206589.87099898</v>
      </c>
      <c r="Q5">
        <v>36.628566999999997</v>
      </c>
      <c r="R5">
        <v>539381837.15833199</v>
      </c>
      <c r="S5">
        <v>628790744.55153298</v>
      </c>
      <c r="T5" t="s">
        <v>96</v>
      </c>
      <c r="U5" t="s">
        <v>207</v>
      </c>
      <c r="V5">
        <v>1</v>
      </c>
      <c r="W5">
        <v>908.6</v>
      </c>
      <c r="X5">
        <v>834</v>
      </c>
      <c r="Y5">
        <v>1</v>
      </c>
      <c r="Z5">
        <v>323715160116</v>
      </c>
      <c r="AA5">
        <v>0</v>
      </c>
      <c r="AB5">
        <v>0</v>
      </c>
      <c r="AC5">
        <v>8.9289450000000006</v>
      </c>
      <c r="AD5">
        <v>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>
        <v>1</v>
      </c>
      <c r="BD5">
        <v>8.9289450000000006</v>
      </c>
      <c r="BE5">
        <v>4</v>
      </c>
    </row>
    <row r="6" spans="1:57" x14ac:dyDescent="0.25">
      <c r="A6">
        <v>92</v>
      </c>
      <c r="B6" t="s">
        <v>168</v>
      </c>
      <c r="C6" t="s">
        <v>19</v>
      </c>
      <c r="D6" t="s">
        <v>59</v>
      </c>
      <c r="E6" t="s">
        <v>88</v>
      </c>
      <c r="F6">
        <v>1948252900</v>
      </c>
      <c r="G6">
        <v>29.385000000000002</v>
      </c>
      <c r="H6" t="s">
        <v>97</v>
      </c>
      <c r="I6">
        <v>170153144.36817199</v>
      </c>
      <c r="J6">
        <v>162831730.796</v>
      </c>
      <c r="M6">
        <v>168472774.81662899</v>
      </c>
      <c r="N6">
        <v>30.730796999999999</v>
      </c>
      <c r="O6">
        <v>30.842863000000001</v>
      </c>
      <c r="P6">
        <v>170715450.21277499</v>
      </c>
      <c r="Q6">
        <v>36.20055</v>
      </c>
      <c r="R6">
        <v>177981689.83113599</v>
      </c>
      <c r="S6">
        <v>207685531.526611</v>
      </c>
      <c r="T6" t="s">
        <v>96</v>
      </c>
      <c r="U6" t="s">
        <v>208</v>
      </c>
      <c r="V6">
        <v>1</v>
      </c>
      <c r="W6">
        <v>31.81</v>
      </c>
      <c r="X6">
        <v>29.385000000000002</v>
      </c>
      <c r="Y6">
        <v>1</v>
      </c>
      <c r="Z6">
        <v>57249411466.5</v>
      </c>
      <c r="AA6">
        <v>0</v>
      </c>
      <c r="AB6">
        <v>0</v>
      </c>
      <c r="AC6">
        <v>8.9654924999999999</v>
      </c>
      <c r="AD6">
        <v>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>
        <v>27</v>
      </c>
      <c r="BD6">
        <v>8.9654924999999999</v>
      </c>
      <c r="BE6">
        <v>5</v>
      </c>
    </row>
    <row r="7" spans="1:57" x14ac:dyDescent="0.25">
      <c r="A7">
        <v>72</v>
      </c>
      <c r="B7" t="s">
        <v>169</v>
      </c>
      <c r="C7" t="s">
        <v>17</v>
      </c>
      <c r="D7" t="s">
        <v>57</v>
      </c>
      <c r="E7" t="s">
        <v>90</v>
      </c>
      <c r="F7">
        <v>7085565400</v>
      </c>
      <c r="G7">
        <v>9.2539999999999996</v>
      </c>
      <c r="H7" t="s">
        <v>97</v>
      </c>
      <c r="I7">
        <v>62448678.087694898</v>
      </c>
      <c r="J7">
        <v>135073762.49853301</v>
      </c>
      <c r="M7">
        <v>58951377.241015203</v>
      </c>
      <c r="N7">
        <v>22.261782</v>
      </c>
      <c r="O7">
        <v>21.866230000000002</v>
      </c>
      <c r="P7">
        <v>59991050.236759998</v>
      </c>
      <c r="Q7">
        <v>29.400314000000002</v>
      </c>
      <c r="R7">
        <v>67273797.403015196</v>
      </c>
      <c r="S7">
        <v>78123008.163468003</v>
      </c>
      <c r="T7" t="s">
        <v>96</v>
      </c>
      <c r="U7" t="s">
        <v>209</v>
      </c>
      <c r="V7">
        <v>1</v>
      </c>
      <c r="W7">
        <v>10.16</v>
      </c>
      <c r="X7">
        <v>9.2539999999999996</v>
      </c>
      <c r="Y7">
        <v>0.5</v>
      </c>
      <c r="Z7">
        <v>32784911105.799999</v>
      </c>
      <c r="AA7">
        <v>0</v>
      </c>
      <c r="AB7">
        <v>0</v>
      </c>
      <c r="AC7">
        <v>9.5090000000000003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>
        <v>45</v>
      </c>
      <c r="BD7">
        <v>9.5090000000000003</v>
      </c>
      <c r="BE7">
        <v>6</v>
      </c>
    </row>
    <row r="8" spans="1:57" x14ac:dyDescent="0.25">
      <c r="A8">
        <v>57</v>
      </c>
      <c r="B8" t="s">
        <v>170</v>
      </c>
      <c r="C8" t="s">
        <v>15</v>
      </c>
      <c r="D8" t="s">
        <v>55</v>
      </c>
      <c r="E8" t="s">
        <v>90</v>
      </c>
      <c r="F8">
        <v>5763285600</v>
      </c>
      <c r="G8">
        <v>17.704999999999998</v>
      </c>
      <c r="H8" t="s">
        <v>97</v>
      </c>
      <c r="I8">
        <v>135662523.73262399</v>
      </c>
      <c r="J8">
        <v>367133785.72883302</v>
      </c>
      <c r="M8">
        <v>143930722.37119299</v>
      </c>
      <c r="N8">
        <v>27.777552</v>
      </c>
      <c r="O8">
        <v>28.950481</v>
      </c>
      <c r="P8">
        <v>154705054.66154999</v>
      </c>
      <c r="Q8">
        <v>31.000454000000001</v>
      </c>
      <c r="R8">
        <v>178076885.36534101</v>
      </c>
      <c r="S8">
        <v>206870092.04022601</v>
      </c>
      <c r="T8" t="s">
        <v>96</v>
      </c>
      <c r="U8" t="s">
        <v>210</v>
      </c>
      <c r="V8">
        <v>1</v>
      </c>
      <c r="W8">
        <v>19.305</v>
      </c>
      <c r="X8">
        <v>17.704999999999998</v>
      </c>
      <c r="Y8">
        <v>1</v>
      </c>
      <c r="Z8">
        <v>102038971548</v>
      </c>
      <c r="AA8">
        <v>0</v>
      </c>
      <c r="AB8">
        <v>0</v>
      </c>
      <c r="AC8">
        <v>9.5642499999999995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>
        <v>11</v>
      </c>
      <c r="BD8">
        <v>9.5642499999999995</v>
      </c>
      <c r="BE8">
        <v>7</v>
      </c>
    </row>
    <row r="9" spans="1:57" x14ac:dyDescent="0.25">
      <c r="A9">
        <v>203</v>
      </c>
      <c r="B9" t="s">
        <v>171</v>
      </c>
      <c r="C9" t="s">
        <v>35</v>
      </c>
      <c r="D9" t="s">
        <v>75</v>
      </c>
      <c r="E9" t="s">
        <v>95</v>
      </c>
      <c r="F9">
        <v>5742239700</v>
      </c>
      <c r="G9">
        <v>5.13</v>
      </c>
      <c r="H9" t="s">
        <v>97</v>
      </c>
      <c r="I9">
        <v>57797345.7651807</v>
      </c>
      <c r="J9">
        <v>77090096.5693333</v>
      </c>
      <c r="M9">
        <v>60440865.205615401</v>
      </c>
      <c r="N9">
        <v>44.634284999999998</v>
      </c>
      <c r="O9">
        <v>48.75582</v>
      </c>
      <c r="P9">
        <v>67323848.028799996</v>
      </c>
      <c r="Q9">
        <v>42.792059999999999</v>
      </c>
      <c r="R9">
        <v>83697742.174999997</v>
      </c>
      <c r="S9">
        <v>97482564.918623894</v>
      </c>
      <c r="T9" t="s">
        <v>96</v>
      </c>
      <c r="U9" t="s">
        <v>211</v>
      </c>
      <c r="V9">
        <v>1</v>
      </c>
      <c r="W9">
        <v>5.2779999999999996</v>
      </c>
      <c r="X9">
        <v>5.13</v>
      </c>
      <c r="Y9">
        <v>0.95</v>
      </c>
      <c r="Z9">
        <v>27984805177.950001</v>
      </c>
      <c r="AA9">
        <v>0</v>
      </c>
      <c r="AB9">
        <v>0</v>
      </c>
      <c r="AC9">
        <v>9.6503237500000001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>
        <v>49</v>
      </c>
      <c r="BD9">
        <v>9.6503237500000001</v>
      </c>
      <c r="BE9">
        <v>8</v>
      </c>
    </row>
    <row r="10" spans="1:57" x14ac:dyDescent="0.25">
      <c r="A10">
        <v>279</v>
      </c>
      <c r="B10" t="s">
        <v>172</v>
      </c>
      <c r="C10" t="s">
        <v>45</v>
      </c>
      <c r="D10" t="s">
        <v>85</v>
      </c>
      <c r="E10" t="s">
        <v>91</v>
      </c>
      <c r="F10">
        <v>1834181554</v>
      </c>
      <c r="G10">
        <v>22.61</v>
      </c>
      <c r="H10" t="s">
        <v>97</v>
      </c>
      <c r="I10">
        <v>46598460.615490198</v>
      </c>
      <c r="J10">
        <v>39786466.410666697</v>
      </c>
      <c r="M10">
        <v>47611055.378674202</v>
      </c>
      <c r="N10">
        <v>25.067509000000001</v>
      </c>
      <c r="O10">
        <v>25.950218</v>
      </c>
      <c r="P10">
        <v>39603259.70025</v>
      </c>
      <c r="Q10">
        <v>26.648779999999999</v>
      </c>
      <c r="R10">
        <v>39325563.061590903</v>
      </c>
      <c r="S10">
        <v>45813287.164494</v>
      </c>
      <c r="T10" t="s">
        <v>96</v>
      </c>
      <c r="U10" t="s">
        <v>212</v>
      </c>
      <c r="V10">
        <v>1</v>
      </c>
      <c r="W10">
        <v>21.72</v>
      </c>
      <c r="X10">
        <v>22.61</v>
      </c>
      <c r="Y10">
        <v>0.60000000000000009</v>
      </c>
      <c r="Z10">
        <v>24882506961.563999</v>
      </c>
      <c r="AA10">
        <v>0</v>
      </c>
      <c r="AB10">
        <v>0</v>
      </c>
      <c r="AC10">
        <v>9.7401696399999995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>
        <v>56</v>
      </c>
      <c r="BD10">
        <v>9.7401696399999995</v>
      </c>
      <c r="BE10">
        <v>9</v>
      </c>
    </row>
    <row r="11" spans="1:57" x14ac:dyDescent="0.25">
      <c r="A11">
        <v>51</v>
      </c>
      <c r="B11" t="s">
        <v>173</v>
      </c>
      <c r="C11" t="s">
        <v>14</v>
      </c>
      <c r="D11" t="s">
        <v>54</v>
      </c>
      <c r="E11" t="s">
        <v>90</v>
      </c>
      <c r="F11">
        <v>14885325000</v>
      </c>
      <c r="G11">
        <v>8.8049999999999997</v>
      </c>
      <c r="H11" t="s">
        <v>97</v>
      </c>
      <c r="I11">
        <v>199340830.08776501</v>
      </c>
      <c r="J11">
        <v>248319441.05223399</v>
      </c>
      <c r="M11">
        <v>193680299.884783</v>
      </c>
      <c r="N11">
        <v>26.540150000000001</v>
      </c>
      <c r="O11">
        <v>26.308454999999999</v>
      </c>
      <c r="P11">
        <v>199845154.79542801</v>
      </c>
      <c r="Q11">
        <v>31.747720000000001</v>
      </c>
      <c r="R11">
        <v>217400667.12145901</v>
      </c>
      <c r="S11">
        <v>253325577.49467301</v>
      </c>
      <c r="T11" t="s">
        <v>96</v>
      </c>
      <c r="U11" t="s">
        <v>213</v>
      </c>
      <c r="V11">
        <v>1</v>
      </c>
      <c r="W11">
        <v>9.8170000000000002</v>
      </c>
      <c r="X11">
        <v>8.8049999999999997</v>
      </c>
      <c r="Y11">
        <v>1</v>
      </c>
      <c r="Z11">
        <v>131065286625</v>
      </c>
      <c r="AA11">
        <v>0</v>
      </c>
      <c r="AB11">
        <v>0</v>
      </c>
      <c r="AC11">
        <v>9.8890124999999998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>
        <v>7</v>
      </c>
      <c r="BD11">
        <v>9.8890124999999998</v>
      </c>
      <c r="BE11">
        <v>10</v>
      </c>
    </row>
    <row r="12" spans="1:57" x14ac:dyDescent="0.25">
      <c r="A12">
        <v>165</v>
      </c>
      <c r="B12" t="s">
        <v>174</v>
      </c>
      <c r="C12" t="s">
        <v>30</v>
      </c>
      <c r="D12" t="s">
        <v>70</v>
      </c>
      <c r="E12" t="s">
        <v>94</v>
      </c>
      <c r="F12">
        <v>417544151</v>
      </c>
      <c r="G12">
        <v>105.35</v>
      </c>
      <c r="H12" t="s">
        <v>97</v>
      </c>
      <c r="I12">
        <v>39495466.120313801</v>
      </c>
      <c r="J12">
        <v>40066030.393333301</v>
      </c>
      <c r="M12">
        <v>36083655.993257597</v>
      </c>
      <c r="N12">
        <v>19.155403</v>
      </c>
      <c r="O12">
        <v>19.713436000000002</v>
      </c>
      <c r="P12">
        <v>36288231.053900003</v>
      </c>
      <c r="Q12">
        <v>24.682182000000001</v>
      </c>
      <c r="R12">
        <v>37189984.759242401</v>
      </c>
      <c r="S12">
        <v>43359474.1252959</v>
      </c>
      <c r="T12" t="s">
        <v>96</v>
      </c>
      <c r="U12" t="s">
        <v>214</v>
      </c>
      <c r="V12">
        <v>1</v>
      </c>
      <c r="W12">
        <v>110.5</v>
      </c>
      <c r="X12">
        <v>105.35</v>
      </c>
      <c r="Y12">
        <v>0.55000000000000004</v>
      </c>
      <c r="Z12">
        <v>24193551969.317501</v>
      </c>
      <c r="AA12">
        <v>0</v>
      </c>
      <c r="AB12">
        <v>0</v>
      </c>
      <c r="AC12">
        <v>10.209262499999999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>
        <v>57</v>
      </c>
      <c r="BD12">
        <v>10.209262499999999</v>
      </c>
      <c r="BE12">
        <v>11</v>
      </c>
    </row>
    <row r="13" spans="1:57" x14ac:dyDescent="0.25">
      <c r="A13">
        <v>282</v>
      </c>
      <c r="B13" t="s">
        <v>175</v>
      </c>
      <c r="C13" t="s">
        <v>46</v>
      </c>
      <c r="D13" t="s">
        <v>86</v>
      </c>
      <c r="E13" t="s">
        <v>93</v>
      </c>
      <c r="F13">
        <v>1557675176</v>
      </c>
      <c r="G13">
        <v>62.85</v>
      </c>
      <c r="H13" t="s">
        <v>97</v>
      </c>
      <c r="I13">
        <v>359104838.19417602</v>
      </c>
      <c r="J13">
        <v>333318301.37566602</v>
      </c>
      <c r="M13">
        <v>314367458.98908401</v>
      </c>
      <c r="N13">
        <v>26.839243</v>
      </c>
      <c r="O13">
        <v>26.80322</v>
      </c>
      <c r="P13">
        <v>320104027.33350003</v>
      </c>
      <c r="Q13">
        <v>33.478299999999997</v>
      </c>
      <c r="R13">
        <v>320233546.05310601</v>
      </c>
      <c r="S13">
        <v>373375769.30038702</v>
      </c>
      <c r="T13" t="s">
        <v>96</v>
      </c>
      <c r="U13" t="s">
        <v>215</v>
      </c>
      <c r="V13">
        <v>1</v>
      </c>
      <c r="W13">
        <v>69.5</v>
      </c>
      <c r="X13">
        <v>62.85</v>
      </c>
      <c r="Y13">
        <v>1</v>
      </c>
      <c r="Z13">
        <v>97899884811.600006</v>
      </c>
      <c r="AA13">
        <v>0</v>
      </c>
      <c r="AB13">
        <v>0</v>
      </c>
      <c r="AC13">
        <v>10.5530875</v>
      </c>
      <c r="AD13">
        <v>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>
        <v>14</v>
      </c>
      <c r="BD13">
        <v>10.5530875</v>
      </c>
      <c r="BE13">
        <v>12</v>
      </c>
    </row>
    <row r="14" spans="1:57" x14ac:dyDescent="0.25">
      <c r="A14">
        <v>152</v>
      </c>
      <c r="B14" t="s">
        <v>176</v>
      </c>
      <c r="C14" t="s">
        <v>26</v>
      </c>
      <c r="D14" t="s">
        <v>66</v>
      </c>
      <c r="E14" t="s">
        <v>90</v>
      </c>
      <c r="F14">
        <v>3116652000</v>
      </c>
      <c r="G14">
        <v>46.54</v>
      </c>
      <c r="H14" t="s">
        <v>97</v>
      </c>
      <c r="I14">
        <v>109772676.08406</v>
      </c>
      <c r="J14">
        <v>142026480.02399999</v>
      </c>
      <c r="M14">
        <v>106887525.11382601</v>
      </c>
      <c r="N14">
        <v>23.16405</v>
      </c>
      <c r="O14">
        <v>23.343883999999999</v>
      </c>
      <c r="P14">
        <v>107928229.6776</v>
      </c>
      <c r="Q14">
        <v>25.288754999999998</v>
      </c>
      <c r="R14">
        <v>121435820.174242</v>
      </c>
      <c r="S14">
        <v>141326631.93808499</v>
      </c>
      <c r="T14" t="s">
        <v>96</v>
      </c>
      <c r="U14" t="s">
        <v>216</v>
      </c>
      <c r="V14">
        <v>1</v>
      </c>
      <c r="W14">
        <v>54.56</v>
      </c>
      <c r="X14">
        <v>46.54</v>
      </c>
      <c r="Y14">
        <v>0.35</v>
      </c>
      <c r="Z14">
        <v>50767144428</v>
      </c>
      <c r="AA14">
        <v>0</v>
      </c>
      <c r="AB14">
        <v>0</v>
      </c>
      <c r="AC14">
        <v>10.810387499999999</v>
      </c>
      <c r="AD14">
        <v>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>
        <v>30</v>
      </c>
      <c r="BD14">
        <v>10.810387499999999</v>
      </c>
      <c r="BE14">
        <v>13</v>
      </c>
    </row>
    <row r="15" spans="1:57" x14ac:dyDescent="0.25">
      <c r="A15">
        <v>240</v>
      </c>
      <c r="B15" t="s">
        <v>177</v>
      </c>
      <c r="C15" t="s">
        <v>41</v>
      </c>
      <c r="D15" t="s">
        <v>81</v>
      </c>
      <c r="E15" t="s">
        <v>88</v>
      </c>
      <c r="F15">
        <v>1228504300</v>
      </c>
      <c r="G15">
        <v>205</v>
      </c>
      <c r="H15" t="s">
        <v>97</v>
      </c>
      <c r="I15">
        <v>395853899.51620603</v>
      </c>
      <c r="J15">
        <v>268025642.47166699</v>
      </c>
      <c r="M15">
        <v>348416609.12954497</v>
      </c>
      <c r="N15">
        <v>27.421091000000001</v>
      </c>
      <c r="O15">
        <v>28.854689</v>
      </c>
      <c r="P15">
        <v>325568946.30524999</v>
      </c>
      <c r="Q15">
        <v>31.971903000000001</v>
      </c>
      <c r="R15">
        <v>322309689.85303003</v>
      </c>
      <c r="S15">
        <v>376029939.132653</v>
      </c>
      <c r="T15" t="s">
        <v>96</v>
      </c>
      <c r="U15" t="s">
        <v>217</v>
      </c>
      <c r="V15">
        <v>1</v>
      </c>
      <c r="W15">
        <v>206.65</v>
      </c>
      <c r="X15">
        <v>205</v>
      </c>
      <c r="Y15">
        <v>0.9</v>
      </c>
      <c r="Z15">
        <v>226659043350</v>
      </c>
      <c r="AA15">
        <v>0</v>
      </c>
      <c r="AB15">
        <v>0</v>
      </c>
      <c r="AC15">
        <v>11.225540000000001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>
        <v>2</v>
      </c>
      <c r="BD15">
        <v>11.225540000000001</v>
      </c>
      <c r="BE15">
        <v>14</v>
      </c>
    </row>
    <row r="16" spans="1:57" x14ac:dyDescent="0.25">
      <c r="A16">
        <v>196</v>
      </c>
      <c r="B16" t="s">
        <v>178</v>
      </c>
      <c r="C16" t="s">
        <v>34</v>
      </c>
      <c r="D16" t="s">
        <v>74</v>
      </c>
      <c r="E16" t="s">
        <v>88</v>
      </c>
      <c r="F16">
        <v>130645070</v>
      </c>
      <c r="G16">
        <v>532.4</v>
      </c>
      <c r="H16" t="s">
        <v>97</v>
      </c>
      <c r="I16">
        <v>142614499.850593</v>
      </c>
      <c r="J16">
        <v>124943892.553333</v>
      </c>
      <c r="M16">
        <v>130284135.80833299</v>
      </c>
      <c r="N16">
        <v>21.038910000000001</v>
      </c>
      <c r="O16">
        <v>21.719397000000001</v>
      </c>
      <c r="P16">
        <v>125067300.40700001</v>
      </c>
      <c r="Q16">
        <v>25.573225000000001</v>
      </c>
      <c r="R16">
        <v>126417449.87424199</v>
      </c>
      <c r="S16">
        <v>147461314.67462799</v>
      </c>
      <c r="T16" t="s">
        <v>96</v>
      </c>
      <c r="U16" t="s">
        <v>218</v>
      </c>
      <c r="V16">
        <v>1</v>
      </c>
      <c r="W16">
        <v>557.79999999999995</v>
      </c>
      <c r="X16">
        <v>532.4</v>
      </c>
      <c r="Y16">
        <v>1</v>
      </c>
      <c r="Z16">
        <v>69555435268</v>
      </c>
      <c r="AA16">
        <v>0</v>
      </c>
      <c r="AB16">
        <v>0</v>
      </c>
      <c r="AC16">
        <v>11.755625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>
        <v>20</v>
      </c>
      <c r="BD16">
        <v>11.755625</v>
      </c>
      <c r="BE16">
        <v>15</v>
      </c>
    </row>
    <row r="17" spans="1:57" x14ac:dyDescent="0.25">
      <c r="A17">
        <v>11</v>
      </c>
      <c r="B17" t="s">
        <v>179</v>
      </c>
      <c r="C17" t="s">
        <v>8</v>
      </c>
      <c r="D17" t="s">
        <v>48</v>
      </c>
      <c r="E17" t="s">
        <v>88</v>
      </c>
      <c r="F17">
        <v>180000000</v>
      </c>
      <c r="G17">
        <v>151.6</v>
      </c>
      <c r="H17" t="s">
        <v>97</v>
      </c>
      <c r="I17">
        <v>107899259.43547399</v>
      </c>
      <c r="J17">
        <v>89920548.676666707</v>
      </c>
      <c r="M17">
        <v>100136664.235227</v>
      </c>
      <c r="N17">
        <v>33.168934</v>
      </c>
      <c r="O17">
        <v>34.763446999999999</v>
      </c>
      <c r="P17">
        <v>102936456.99225</v>
      </c>
      <c r="Q17">
        <v>35.543674000000003</v>
      </c>
      <c r="R17">
        <v>99318391.576894</v>
      </c>
      <c r="S17">
        <v>115732872.619123</v>
      </c>
      <c r="T17" t="s">
        <v>96</v>
      </c>
      <c r="U17" t="s">
        <v>219</v>
      </c>
      <c r="V17">
        <v>1</v>
      </c>
      <c r="W17">
        <v>168.55</v>
      </c>
      <c r="X17">
        <v>151.6</v>
      </c>
      <c r="Y17">
        <v>0.95</v>
      </c>
      <c r="Z17">
        <v>25923600000</v>
      </c>
      <c r="AA17">
        <v>0</v>
      </c>
      <c r="AB17">
        <v>0</v>
      </c>
      <c r="AC17">
        <v>11.92034643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>
        <v>52</v>
      </c>
      <c r="BD17">
        <v>11.92034643</v>
      </c>
      <c r="BE17">
        <v>16</v>
      </c>
    </row>
    <row r="18" spans="1:57" x14ac:dyDescent="0.25">
      <c r="A18">
        <v>64</v>
      </c>
      <c r="B18" t="s">
        <v>180</v>
      </c>
      <c r="C18" t="s">
        <v>16</v>
      </c>
      <c r="D18" t="s">
        <v>56</v>
      </c>
      <c r="E18" t="s">
        <v>89</v>
      </c>
      <c r="F18">
        <v>1116784757</v>
      </c>
      <c r="G18">
        <v>70.47</v>
      </c>
      <c r="H18" t="s">
        <v>97</v>
      </c>
      <c r="I18">
        <v>212917894.392795</v>
      </c>
      <c r="J18">
        <v>193406350.51875299</v>
      </c>
      <c r="M18">
        <v>196214994.42096701</v>
      </c>
      <c r="N18">
        <v>26.853807</v>
      </c>
      <c r="O18">
        <v>27.375444000000002</v>
      </c>
      <c r="P18">
        <v>192976695.211927</v>
      </c>
      <c r="Q18">
        <v>30.013380000000002</v>
      </c>
      <c r="R18">
        <v>208626228.82238901</v>
      </c>
      <c r="S18">
        <v>243014105.80956301</v>
      </c>
      <c r="T18" t="s">
        <v>96</v>
      </c>
      <c r="U18" t="s">
        <v>220</v>
      </c>
      <c r="V18">
        <v>1</v>
      </c>
      <c r="W18">
        <v>78.86</v>
      </c>
      <c r="X18">
        <v>70.47</v>
      </c>
      <c r="Y18">
        <v>0.95000000000000007</v>
      </c>
      <c r="Z18">
        <v>74764830734.500504</v>
      </c>
      <c r="AA18">
        <v>0</v>
      </c>
      <c r="AB18">
        <v>0</v>
      </c>
      <c r="AC18">
        <v>12.27173125</v>
      </c>
      <c r="AD18">
        <v>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>
        <v>19</v>
      </c>
      <c r="BD18">
        <v>12.27173125</v>
      </c>
      <c r="BE18">
        <v>17</v>
      </c>
    </row>
    <row r="19" spans="1:57" x14ac:dyDescent="0.25">
      <c r="A19">
        <v>147</v>
      </c>
      <c r="B19" t="s">
        <v>181</v>
      </c>
      <c r="C19" t="s">
        <v>25</v>
      </c>
      <c r="D19" t="s">
        <v>65</v>
      </c>
      <c r="E19" t="s">
        <v>89</v>
      </c>
      <c r="F19">
        <v>105569412</v>
      </c>
      <c r="G19">
        <v>2124</v>
      </c>
      <c r="H19" t="s">
        <v>97</v>
      </c>
      <c r="I19">
        <v>140008736.488242</v>
      </c>
      <c r="J19">
        <v>99979651.600199997</v>
      </c>
      <c r="M19">
        <v>119493976.65531699</v>
      </c>
      <c r="N19">
        <v>26.302942000000002</v>
      </c>
      <c r="O19">
        <v>28.087807000000002</v>
      </c>
      <c r="P19">
        <v>114540131.815018</v>
      </c>
      <c r="Q19">
        <v>27.303678999999999</v>
      </c>
      <c r="R19">
        <v>113541795.810633</v>
      </c>
      <c r="S19">
        <v>132334098.846276</v>
      </c>
      <c r="T19" t="s">
        <v>96</v>
      </c>
      <c r="U19" t="s">
        <v>221</v>
      </c>
      <c r="V19">
        <v>1</v>
      </c>
      <c r="W19">
        <v>2159</v>
      </c>
      <c r="X19">
        <v>2124</v>
      </c>
      <c r="Y19">
        <v>0.3</v>
      </c>
      <c r="Z19">
        <v>67268829326.400009</v>
      </c>
      <c r="AA19">
        <v>0</v>
      </c>
      <c r="AB19">
        <v>0</v>
      </c>
      <c r="AC19">
        <v>12.35406036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>
        <v>24</v>
      </c>
      <c r="BD19">
        <v>12.35406036</v>
      </c>
      <c r="BE19">
        <v>18</v>
      </c>
    </row>
    <row r="20" spans="1:57" x14ac:dyDescent="0.25">
      <c r="A20">
        <v>87</v>
      </c>
      <c r="B20" t="s">
        <v>182</v>
      </c>
      <c r="C20" t="s">
        <v>18</v>
      </c>
      <c r="D20" t="s">
        <v>58</v>
      </c>
      <c r="E20" t="s">
        <v>89</v>
      </c>
      <c r="F20">
        <v>681394483</v>
      </c>
      <c r="G20">
        <v>78.459999999999994</v>
      </c>
      <c r="H20" t="s">
        <v>97</v>
      </c>
      <c r="I20">
        <v>89187470.845429093</v>
      </c>
      <c r="J20">
        <v>77875664.540000007</v>
      </c>
      <c r="M20">
        <v>76458845.763063699</v>
      </c>
      <c r="N20">
        <v>18.218976999999999</v>
      </c>
      <c r="O20">
        <v>19.518609999999999</v>
      </c>
      <c r="P20">
        <v>75441701.222443998</v>
      </c>
      <c r="Q20">
        <v>19.109919999999999</v>
      </c>
      <c r="R20">
        <v>74833743.850218207</v>
      </c>
      <c r="S20">
        <v>87189947.560488701</v>
      </c>
      <c r="T20" t="s">
        <v>96</v>
      </c>
      <c r="U20" t="s">
        <v>222</v>
      </c>
      <c r="V20">
        <v>1</v>
      </c>
      <c r="W20">
        <v>76.98</v>
      </c>
      <c r="X20">
        <v>78.459999999999994</v>
      </c>
      <c r="Y20">
        <v>0.95000000000000007</v>
      </c>
      <c r="Z20">
        <v>50789100579.370987</v>
      </c>
      <c r="AA20">
        <v>0</v>
      </c>
      <c r="AB20">
        <v>0</v>
      </c>
      <c r="AC20">
        <v>12.54371181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>
        <v>29</v>
      </c>
      <c r="BD20">
        <v>12.54371181</v>
      </c>
      <c r="BE20">
        <v>19</v>
      </c>
    </row>
    <row r="21" spans="1:57" x14ac:dyDescent="0.25">
      <c r="A21">
        <v>112</v>
      </c>
      <c r="B21" t="s">
        <v>183</v>
      </c>
      <c r="C21" t="s">
        <v>23</v>
      </c>
      <c r="D21" t="s">
        <v>63</v>
      </c>
      <c r="E21" t="s">
        <v>89</v>
      </c>
      <c r="F21">
        <v>463145529</v>
      </c>
      <c r="G21">
        <v>306</v>
      </c>
      <c r="H21" t="s">
        <v>97</v>
      </c>
      <c r="I21">
        <v>136933038.349944</v>
      </c>
      <c r="J21">
        <v>111826623.93328699</v>
      </c>
      <c r="M21">
        <v>119144642.46958899</v>
      </c>
      <c r="N21">
        <v>28.494783000000002</v>
      </c>
      <c r="O21">
        <v>30.682514000000001</v>
      </c>
      <c r="P21">
        <v>107596969.978358</v>
      </c>
      <c r="Q21">
        <v>30.263120000000001</v>
      </c>
      <c r="R21">
        <v>110011448.09751201</v>
      </c>
      <c r="S21">
        <v>128240726.61354201</v>
      </c>
      <c r="T21" t="s">
        <v>96</v>
      </c>
      <c r="U21" t="s">
        <v>223</v>
      </c>
      <c r="V21">
        <v>1</v>
      </c>
      <c r="W21">
        <v>278.2</v>
      </c>
      <c r="X21">
        <v>306</v>
      </c>
      <c r="Y21">
        <v>0.70000000000000007</v>
      </c>
      <c r="Z21">
        <v>99205772311.800003</v>
      </c>
      <c r="AA21">
        <v>0</v>
      </c>
      <c r="AB21">
        <v>0</v>
      </c>
      <c r="AC21">
        <v>12.911462500000001</v>
      </c>
      <c r="AD21">
        <v>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>
        <v>13</v>
      </c>
      <c r="BD21">
        <v>12.911462500000001</v>
      </c>
      <c r="BE21">
        <v>20</v>
      </c>
    </row>
    <row r="22" spans="1:57" x14ac:dyDescent="0.25">
      <c r="A22">
        <v>93</v>
      </c>
      <c r="B22" t="s">
        <v>184</v>
      </c>
      <c r="C22" t="s">
        <v>20</v>
      </c>
      <c r="D22" t="s">
        <v>60</v>
      </c>
      <c r="E22" t="s">
        <v>88</v>
      </c>
      <c r="F22">
        <v>188300000</v>
      </c>
      <c r="G22">
        <v>218.9</v>
      </c>
      <c r="H22" t="s">
        <v>97</v>
      </c>
      <c r="I22">
        <v>92217904.973122507</v>
      </c>
      <c r="J22">
        <v>87659123.730000004</v>
      </c>
      <c r="M22">
        <v>82567655.923484802</v>
      </c>
      <c r="N22">
        <v>18.901009999999999</v>
      </c>
      <c r="O22">
        <v>19.265366</v>
      </c>
      <c r="P22">
        <v>80430486.472000003</v>
      </c>
      <c r="Q22">
        <v>23.373327</v>
      </c>
      <c r="R22">
        <v>80560922.512878805</v>
      </c>
      <c r="S22">
        <v>93941883.061751395</v>
      </c>
      <c r="T22" t="s">
        <v>96</v>
      </c>
      <c r="U22" t="s">
        <v>224</v>
      </c>
      <c r="V22">
        <v>1</v>
      </c>
      <c r="W22">
        <v>217.4</v>
      </c>
      <c r="X22">
        <v>218.9</v>
      </c>
      <c r="Y22">
        <v>1</v>
      </c>
      <c r="Z22">
        <v>41218870000</v>
      </c>
      <c r="AA22">
        <v>0</v>
      </c>
      <c r="AB22">
        <v>0</v>
      </c>
      <c r="AC22">
        <v>12.979156250000001</v>
      </c>
      <c r="AD22">
        <v>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>
        <v>35</v>
      </c>
      <c r="BD22">
        <v>12.979156250000001</v>
      </c>
      <c r="BE22">
        <v>21</v>
      </c>
    </row>
    <row r="23" spans="1:57" x14ac:dyDescent="0.25">
      <c r="A23">
        <v>204</v>
      </c>
      <c r="B23" t="s">
        <v>185</v>
      </c>
      <c r="C23" t="s">
        <v>36</v>
      </c>
      <c r="D23" t="s">
        <v>76</v>
      </c>
      <c r="E23" t="s">
        <v>95</v>
      </c>
      <c r="F23">
        <v>3442514600</v>
      </c>
      <c r="G23">
        <v>14.69</v>
      </c>
      <c r="H23" t="s">
        <v>97</v>
      </c>
      <c r="I23">
        <v>66453499.368433803</v>
      </c>
      <c r="J23">
        <v>63414555.982666701</v>
      </c>
      <c r="M23">
        <v>54290958.423692301</v>
      </c>
      <c r="N23">
        <v>18.596834000000001</v>
      </c>
      <c r="O23">
        <v>18.859200999999999</v>
      </c>
      <c r="P23">
        <v>52763447.971100003</v>
      </c>
      <c r="Q23">
        <v>23.394123</v>
      </c>
      <c r="R23">
        <v>54685575.574848503</v>
      </c>
      <c r="S23">
        <v>63718870.813999698</v>
      </c>
      <c r="T23" t="s">
        <v>96</v>
      </c>
      <c r="U23" t="s">
        <v>225</v>
      </c>
      <c r="V23">
        <v>1</v>
      </c>
      <c r="W23">
        <v>15.49</v>
      </c>
      <c r="X23">
        <v>14.69</v>
      </c>
      <c r="Y23">
        <v>0.95</v>
      </c>
      <c r="Z23">
        <v>48042012500.300003</v>
      </c>
      <c r="AA23">
        <v>0</v>
      </c>
      <c r="AB23">
        <v>0</v>
      </c>
      <c r="AC23">
        <v>13.146229999999999</v>
      </c>
      <c r="AD23">
        <v>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>
        <v>32</v>
      </c>
      <c r="BD23">
        <v>13.146229999999999</v>
      </c>
      <c r="BE23">
        <v>22</v>
      </c>
    </row>
    <row r="24" spans="1:57" x14ac:dyDescent="0.25">
      <c r="A24">
        <v>24</v>
      </c>
      <c r="B24" t="s">
        <v>186</v>
      </c>
      <c r="C24" t="s">
        <v>10</v>
      </c>
      <c r="D24" t="s">
        <v>50</v>
      </c>
      <c r="E24" t="s">
        <v>88</v>
      </c>
      <c r="F24">
        <v>386166700</v>
      </c>
      <c r="G24">
        <v>363.1</v>
      </c>
      <c r="H24" t="s">
        <v>97</v>
      </c>
      <c r="I24">
        <v>236156018.20276701</v>
      </c>
      <c r="J24">
        <v>172849275.063333</v>
      </c>
      <c r="M24">
        <v>192105221.688636</v>
      </c>
      <c r="N24">
        <v>18.476724999999998</v>
      </c>
      <c r="O24">
        <v>19.508807999999998</v>
      </c>
      <c r="P24">
        <v>178096131.97499999</v>
      </c>
      <c r="Q24">
        <v>21.759954</v>
      </c>
      <c r="R24">
        <v>168303975.97878799</v>
      </c>
      <c r="S24">
        <v>196175264.25025299</v>
      </c>
      <c r="T24" t="s">
        <v>96</v>
      </c>
      <c r="U24" t="s">
        <v>226</v>
      </c>
      <c r="V24">
        <v>1</v>
      </c>
      <c r="W24">
        <v>383.3</v>
      </c>
      <c r="X24">
        <v>363.1</v>
      </c>
      <c r="Y24">
        <v>1</v>
      </c>
      <c r="Z24">
        <v>140217128770</v>
      </c>
      <c r="AA24">
        <v>0</v>
      </c>
      <c r="AB24">
        <v>0</v>
      </c>
      <c r="AC24">
        <v>13.164099999999999</v>
      </c>
      <c r="AD24">
        <v>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>
        <v>5</v>
      </c>
      <c r="BD24">
        <v>13.164099999999999</v>
      </c>
      <c r="BE24">
        <v>23</v>
      </c>
    </row>
    <row r="25" spans="1:57" x14ac:dyDescent="0.25">
      <c r="A25">
        <v>239</v>
      </c>
      <c r="B25" t="s">
        <v>187</v>
      </c>
      <c r="C25" t="s">
        <v>40</v>
      </c>
      <c r="D25" t="s">
        <v>80</v>
      </c>
      <c r="E25" t="s">
        <v>89</v>
      </c>
      <c r="F25">
        <v>1227468973</v>
      </c>
      <c r="G25">
        <v>86.32</v>
      </c>
      <c r="H25" t="s">
        <v>97</v>
      </c>
      <c r="I25">
        <v>178130166.87086701</v>
      </c>
      <c r="J25">
        <v>147147863.87253299</v>
      </c>
      <c r="M25">
        <v>161115065.88894701</v>
      </c>
      <c r="N25">
        <v>27.717334999999999</v>
      </c>
      <c r="O25">
        <v>28.988537000000001</v>
      </c>
      <c r="P25">
        <v>155693899.83570999</v>
      </c>
      <c r="Q25">
        <v>28.241544999999999</v>
      </c>
      <c r="R25">
        <v>162557819.54956099</v>
      </c>
      <c r="S25">
        <v>189528580.930825</v>
      </c>
      <c r="T25" t="s">
        <v>96</v>
      </c>
      <c r="U25" t="s">
        <v>227</v>
      </c>
      <c r="V25">
        <v>1</v>
      </c>
      <c r="W25">
        <v>80.94</v>
      </c>
      <c r="X25">
        <v>86.32</v>
      </c>
      <c r="Y25">
        <v>0.95000000000000007</v>
      </c>
      <c r="Z25">
        <v>100657365661.892</v>
      </c>
      <c r="AA25">
        <v>0</v>
      </c>
      <c r="AB25">
        <v>0</v>
      </c>
      <c r="AC25">
        <v>13.1702175</v>
      </c>
      <c r="AD25">
        <v>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>
        <v>12</v>
      </c>
      <c r="BD25">
        <v>13.1702175</v>
      </c>
      <c r="BE25">
        <v>24</v>
      </c>
    </row>
    <row r="26" spans="1:57" x14ac:dyDescent="0.25">
      <c r="A26">
        <v>255</v>
      </c>
      <c r="B26" t="s">
        <v>188</v>
      </c>
      <c r="C26" t="s">
        <v>43</v>
      </c>
      <c r="D26" t="s">
        <v>83</v>
      </c>
      <c r="E26" t="s">
        <v>89</v>
      </c>
      <c r="F26">
        <v>766894786</v>
      </c>
      <c r="G26">
        <v>56.54</v>
      </c>
      <c r="H26" t="s">
        <v>97</v>
      </c>
      <c r="I26">
        <v>116670932.84463499</v>
      </c>
      <c r="J26">
        <v>106274498.25399999</v>
      </c>
      <c r="M26">
        <v>110451050.100033</v>
      </c>
      <c r="N26">
        <v>31.680330000000001</v>
      </c>
      <c r="O26">
        <v>32.316142999999997</v>
      </c>
      <c r="P26">
        <v>112619549.641993</v>
      </c>
      <c r="Q26">
        <v>34.544589999999999</v>
      </c>
      <c r="R26">
        <v>120101190.28756499</v>
      </c>
      <c r="S26">
        <v>139982609.69790301</v>
      </c>
      <c r="T26" t="s">
        <v>96</v>
      </c>
      <c r="U26" t="s">
        <v>228</v>
      </c>
      <c r="V26">
        <v>1</v>
      </c>
      <c r="W26">
        <v>64.36</v>
      </c>
      <c r="X26">
        <v>56.54</v>
      </c>
      <c r="Y26">
        <v>0.9</v>
      </c>
      <c r="Z26">
        <v>39024208080.396004</v>
      </c>
      <c r="AA26">
        <v>0</v>
      </c>
      <c r="AB26">
        <v>0</v>
      </c>
      <c r="AC26">
        <v>13.18949375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>
        <v>40</v>
      </c>
      <c r="BD26">
        <v>13.18949375</v>
      </c>
      <c r="BE26">
        <v>25</v>
      </c>
    </row>
    <row r="27" spans="1:57" x14ac:dyDescent="0.25">
      <c r="A27">
        <v>20</v>
      </c>
      <c r="B27" t="s">
        <v>189</v>
      </c>
      <c r="C27" t="s">
        <v>9</v>
      </c>
      <c r="D27" t="s">
        <v>49</v>
      </c>
      <c r="E27" t="s">
        <v>89</v>
      </c>
      <c r="F27">
        <v>578534275</v>
      </c>
      <c r="G27">
        <v>165.94</v>
      </c>
      <c r="H27" t="s">
        <v>97</v>
      </c>
      <c r="I27">
        <v>119505514.533602</v>
      </c>
      <c r="J27">
        <v>92896515.384959996</v>
      </c>
      <c r="M27">
        <v>103003521.114912</v>
      </c>
      <c r="N27">
        <v>14.127079999999999</v>
      </c>
      <c r="O27">
        <v>14.407667</v>
      </c>
      <c r="P27">
        <v>96960052.230783895</v>
      </c>
      <c r="Q27">
        <v>18.233885000000001</v>
      </c>
      <c r="R27">
        <v>98286987.256642297</v>
      </c>
      <c r="S27">
        <v>114554343.79323301</v>
      </c>
      <c r="T27" t="s">
        <v>96</v>
      </c>
      <c r="U27" t="s">
        <v>229</v>
      </c>
      <c r="V27">
        <v>1</v>
      </c>
      <c r="W27">
        <v>159.4</v>
      </c>
      <c r="X27">
        <v>165.94</v>
      </c>
      <c r="Y27">
        <v>1</v>
      </c>
      <c r="Z27">
        <v>96001977593.5</v>
      </c>
      <c r="AA27">
        <v>0</v>
      </c>
      <c r="AB27">
        <v>0</v>
      </c>
      <c r="AC27">
        <v>13.37985625</v>
      </c>
      <c r="AD27">
        <v>2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>
        <v>15</v>
      </c>
      <c r="BD27">
        <v>13.37985625</v>
      </c>
      <c r="BE27">
        <v>26</v>
      </c>
    </row>
    <row r="28" spans="1:57" x14ac:dyDescent="0.25">
      <c r="A28">
        <v>184</v>
      </c>
      <c r="B28" t="s">
        <v>190</v>
      </c>
      <c r="C28" t="s">
        <v>32</v>
      </c>
      <c r="D28" t="s">
        <v>72</v>
      </c>
      <c r="E28" t="s">
        <v>89</v>
      </c>
      <c r="F28">
        <v>497686940</v>
      </c>
      <c r="G28">
        <v>623</v>
      </c>
      <c r="H28" t="s">
        <v>97</v>
      </c>
      <c r="I28">
        <v>296179580.149634</v>
      </c>
      <c r="J28">
        <v>232671821.4138</v>
      </c>
      <c r="M28">
        <v>255572100.37997499</v>
      </c>
      <c r="N28">
        <v>32.682704999999999</v>
      </c>
      <c r="O28">
        <v>33.556435</v>
      </c>
      <c r="P28">
        <v>251737340.45981699</v>
      </c>
      <c r="Q28">
        <v>34.114150000000002</v>
      </c>
      <c r="R28">
        <v>269027301.10464698</v>
      </c>
      <c r="S28">
        <v>313555952.450616</v>
      </c>
      <c r="T28" t="s">
        <v>96</v>
      </c>
      <c r="U28" t="s">
        <v>230</v>
      </c>
      <c r="V28">
        <v>1</v>
      </c>
      <c r="W28">
        <v>636.5</v>
      </c>
      <c r="X28">
        <v>623</v>
      </c>
      <c r="Y28">
        <v>0.5</v>
      </c>
      <c r="Z28">
        <v>155029481810</v>
      </c>
      <c r="AA28">
        <v>0</v>
      </c>
      <c r="AB28">
        <v>0</v>
      </c>
      <c r="AC28">
        <v>13.552071249999999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>
        <v>4</v>
      </c>
      <c r="BD28">
        <v>13.552071249999999</v>
      </c>
      <c r="BE28">
        <v>27</v>
      </c>
    </row>
    <row r="29" spans="1:57" x14ac:dyDescent="0.25">
      <c r="A29">
        <v>178</v>
      </c>
      <c r="B29" t="s">
        <v>191</v>
      </c>
      <c r="C29" t="s">
        <v>31</v>
      </c>
      <c r="D29" t="s">
        <v>71</v>
      </c>
      <c r="E29" t="s">
        <v>89</v>
      </c>
      <c r="F29">
        <v>262245733</v>
      </c>
      <c r="G29">
        <v>126.85</v>
      </c>
      <c r="H29" t="s">
        <v>97</v>
      </c>
      <c r="I29">
        <v>65263619.848812602</v>
      </c>
      <c r="J29">
        <v>97086327.625039905</v>
      </c>
      <c r="M29">
        <v>70383967.219751507</v>
      </c>
      <c r="N29">
        <v>29.225881999999999</v>
      </c>
      <c r="O29">
        <v>31.214537</v>
      </c>
      <c r="P29">
        <v>75273279.681071997</v>
      </c>
      <c r="Q29">
        <v>29.133050000000001</v>
      </c>
      <c r="R29">
        <v>80639088.683821201</v>
      </c>
      <c r="S29">
        <v>93970508.512403801</v>
      </c>
      <c r="T29" t="s">
        <v>96</v>
      </c>
      <c r="U29" t="s">
        <v>231</v>
      </c>
      <c r="V29">
        <v>1</v>
      </c>
      <c r="W29">
        <v>125.3</v>
      </c>
      <c r="X29">
        <v>126.85</v>
      </c>
      <c r="Y29">
        <v>1</v>
      </c>
      <c r="Z29">
        <v>33265871231.049999</v>
      </c>
      <c r="AA29">
        <v>0</v>
      </c>
      <c r="AB29">
        <v>0</v>
      </c>
      <c r="AC29">
        <v>13.664225</v>
      </c>
      <c r="AD29">
        <v>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>
        <v>42</v>
      </c>
      <c r="BD29">
        <v>13.664225</v>
      </c>
      <c r="BE29">
        <v>28</v>
      </c>
    </row>
    <row r="30" spans="1:57" x14ac:dyDescent="0.25">
      <c r="A30">
        <v>238</v>
      </c>
      <c r="B30" t="s">
        <v>192</v>
      </c>
      <c r="C30" t="s">
        <v>39</v>
      </c>
      <c r="D30" t="s">
        <v>79</v>
      </c>
      <c r="E30" t="s">
        <v>95</v>
      </c>
      <c r="F30">
        <v>2669754000</v>
      </c>
      <c r="G30">
        <v>9.9540000000000006</v>
      </c>
      <c r="H30" t="s">
        <v>97</v>
      </c>
      <c r="I30">
        <v>29063627.203413598</v>
      </c>
      <c r="J30">
        <v>30247059.484666701</v>
      </c>
      <c r="M30">
        <v>27726956.0843077</v>
      </c>
      <c r="N30">
        <v>13.247197999999999</v>
      </c>
      <c r="O30">
        <v>13.865957999999999</v>
      </c>
      <c r="P30">
        <v>27315858.8838</v>
      </c>
      <c r="Q30">
        <v>17.619641999999999</v>
      </c>
      <c r="R30">
        <v>27913699.4480303</v>
      </c>
      <c r="S30">
        <v>32527837.379808702</v>
      </c>
      <c r="T30" t="s">
        <v>96</v>
      </c>
      <c r="U30" t="s">
        <v>232</v>
      </c>
      <c r="V30">
        <v>1</v>
      </c>
      <c r="W30">
        <v>10.039999999999999</v>
      </c>
      <c r="X30">
        <v>9.9540000000000006</v>
      </c>
      <c r="Y30">
        <v>0.95</v>
      </c>
      <c r="Z30">
        <v>25245994750.200001</v>
      </c>
      <c r="AA30">
        <v>0</v>
      </c>
      <c r="AB30">
        <v>0</v>
      </c>
      <c r="AC30">
        <v>13.718951880000001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>
        <v>55</v>
      </c>
      <c r="BD30">
        <v>13.718951880000001</v>
      </c>
      <c r="BE30">
        <v>29</v>
      </c>
    </row>
    <row r="31" spans="1:57" x14ac:dyDescent="0.25">
      <c r="A31">
        <v>278</v>
      </c>
      <c r="B31" t="s">
        <v>193</v>
      </c>
      <c r="C31" t="s">
        <v>44</v>
      </c>
      <c r="D31" t="s">
        <v>84</v>
      </c>
      <c r="E31" t="s">
        <v>94</v>
      </c>
      <c r="F31">
        <v>194505658</v>
      </c>
      <c r="G31">
        <v>233</v>
      </c>
      <c r="H31" t="s">
        <v>97</v>
      </c>
      <c r="I31">
        <v>46280059.667941198</v>
      </c>
      <c r="J31">
        <v>71796824.333333299</v>
      </c>
      <c r="M31">
        <v>47399485.4778409</v>
      </c>
      <c r="N31">
        <v>35.705143</v>
      </c>
      <c r="O31">
        <v>37.489359999999998</v>
      </c>
      <c r="P31">
        <v>50837791.406499997</v>
      </c>
      <c r="Q31">
        <v>40.620586000000003</v>
      </c>
      <c r="R31">
        <v>58454084.428030297</v>
      </c>
      <c r="S31">
        <v>68076770.024208993</v>
      </c>
      <c r="T31" t="s">
        <v>96</v>
      </c>
      <c r="U31" t="s">
        <v>233</v>
      </c>
      <c r="V31">
        <v>1</v>
      </c>
      <c r="W31">
        <v>237.5</v>
      </c>
      <c r="X31">
        <v>233</v>
      </c>
      <c r="Y31">
        <v>0.65</v>
      </c>
      <c r="Z31">
        <v>29457881904.099998</v>
      </c>
      <c r="AA31">
        <v>0</v>
      </c>
      <c r="AB31">
        <v>0</v>
      </c>
      <c r="AC31">
        <v>13.747198750000001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>
        <v>47</v>
      </c>
      <c r="BD31">
        <v>13.747198750000001</v>
      </c>
      <c r="BE31">
        <v>30</v>
      </c>
    </row>
    <row r="32" spans="1:57" x14ac:dyDescent="0.25">
      <c r="A32">
        <v>41</v>
      </c>
      <c r="B32" t="s">
        <v>194</v>
      </c>
      <c r="C32" t="s">
        <v>13</v>
      </c>
      <c r="D32" t="s">
        <v>53</v>
      </c>
      <c r="E32" t="s">
        <v>89</v>
      </c>
      <c r="F32">
        <v>2123594281</v>
      </c>
      <c r="G32">
        <v>38.14</v>
      </c>
      <c r="H32" t="s">
        <v>97</v>
      </c>
      <c r="I32">
        <v>159939019.05349001</v>
      </c>
      <c r="J32">
        <v>162393494.675733</v>
      </c>
      <c r="M32">
        <v>151563173.118258</v>
      </c>
      <c r="N32">
        <v>20.694818000000001</v>
      </c>
      <c r="O32">
        <v>21.842217999999999</v>
      </c>
      <c r="P32">
        <v>144296844.14829999</v>
      </c>
      <c r="Q32">
        <v>23.645367</v>
      </c>
      <c r="R32">
        <v>151847210.35128799</v>
      </c>
      <c r="S32">
        <v>176913247.69380099</v>
      </c>
      <c r="T32" t="s">
        <v>96</v>
      </c>
      <c r="U32" t="s">
        <v>234</v>
      </c>
      <c r="V32">
        <v>1</v>
      </c>
      <c r="W32">
        <v>40.549999999999997</v>
      </c>
      <c r="X32">
        <v>38.14</v>
      </c>
      <c r="Y32">
        <v>0.85000000000000009</v>
      </c>
      <c r="Z32">
        <v>68844802995.739014</v>
      </c>
      <c r="AA32">
        <v>0</v>
      </c>
      <c r="AB32">
        <v>0</v>
      </c>
      <c r="AC32">
        <v>13.9274375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>
        <v>21</v>
      </c>
      <c r="BD32">
        <v>13.9274375</v>
      </c>
      <c r="BE32">
        <v>31</v>
      </c>
    </row>
    <row r="33" spans="1:57" x14ac:dyDescent="0.25">
      <c r="A33">
        <v>111</v>
      </c>
      <c r="B33" t="s">
        <v>195</v>
      </c>
      <c r="C33" t="s">
        <v>22</v>
      </c>
      <c r="D33" t="s">
        <v>62</v>
      </c>
      <c r="E33" t="s">
        <v>92</v>
      </c>
      <c r="F33">
        <v>410514370</v>
      </c>
      <c r="G33">
        <v>89.1</v>
      </c>
      <c r="H33" t="s">
        <v>97</v>
      </c>
      <c r="I33">
        <v>31702419.823537499</v>
      </c>
      <c r="J33">
        <v>25312122.309999999</v>
      </c>
      <c r="M33">
        <v>28344772.147348501</v>
      </c>
      <c r="N33">
        <v>24.85248</v>
      </c>
      <c r="O33">
        <v>25.278890000000001</v>
      </c>
      <c r="P33">
        <v>26797077.719000001</v>
      </c>
      <c r="Q33">
        <v>31.482230000000001</v>
      </c>
      <c r="R33">
        <v>27409353.796969701</v>
      </c>
      <c r="S33">
        <v>31962163.378448799</v>
      </c>
      <c r="T33" t="s">
        <v>96</v>
      </c>
      <c r="U33" t="s">
        <v>235</v>
      </c>
      <c r="V33">
        <v>1</v>
      </c>
      <c r="W33">
        <v>98.6</v>
      </c>
      <c r="X33">
        <v>89.1</v>
      </c>
      <c r="Y33">
        <v>0.8</v>
      </c>
      <c r="Z33">
        <v>29261464293.599998</v>
      </c>
      <c r="AA33">
        <v>0</v>
      </c>
      <c r="AB33">
        <v>0</v>
      </c>
      <c r="AC33">
        <v>14.175106250000001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>
        <v>48</v>
      </c>
      <c r="BD33">
        <v>14.175106250000001</v>
      </c>
      <c r="BE33">
        <v>32</v>
      </c>
    </row>
    <row r="34" spans="1:57" x14ac:dyDescent="0.25">
      <c r="A34">
        <v>135</v>
      </c>
      <c r="B34" t="s">
        <v>196</v>
      </c>
      <c r="C34" t="s">
        <v>24</v>
      </c>
      <c r="D34" t="s">
        <v>64</v>
      </c>
      <c r="E34" t="s">
        <v>93</v>
      </c>
      <c r="F34">
        <v>1549784923</v>
      </c>
      <c r="G34">
        <v>33.01</v>
      </c>
      <c r="H34" t="s">
        <v>97</v>
      </c>
      <c r="I34">
        <v>108863246.977956</v>
      </c>
      <c r="J34">
        <v>75523745.457000002</v>
      </c>
      <c r="M34">
        <v>91219974.853320599</v>
      </c>
      <c r="N34">
        <v>17.125050000000002</v>
      </c>
      <c r="O34">
        <v>17.546258999999999</v>
      </c>
      <c r="P34">
        <v>73615634.569900006</v>
      </c>
      <c r="Q34">
        <v>21.65898</v>
      </c>
      <c r="R34">
        <v>74009122.535757601</v>
      </c>
      <c r="S34">
        <v>86287613.120007694</v>
      </c>
      <c r="T34" t="s">
        <v>96</v>
      </c>
      <c r="U34" t="s">
        <v>236</v>
      </c>
      <c r="V34">
        <v>1</v>
      </c>
      <c r="W34">
        <v>34.49</v>
      </c>
      <c r="X34">
        <v>33.01</v>
      </c>
      <c r="Y34">
        <v>0.65</v>
      </c>
      <c r="Z34">
        <v>33252960200.349499</v>
      </c>
      <c r="AA34">
        <v>0</v>
      </c>
      <c r="AB34">
        <v>0</v>
      </c>
      <c r="AC34">
        <v>14.212459369999999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>
        <v>43</v>
      </c>
      <c r="BD34">
        <v>14.212459369999999</v>
      </c>
      <c r="BE34">
        <v>33</v>
      </c>
    </row>
    <row r="35" spans="1:57" x14ac:dyDescent="0.25">
      <c r="A35">
        <v>216</v>
      </c>
      <c r="B35" t="s">
        <v>197</v>
      </c>
      <c r="C35" t="s">
        <v>37</v>
      </c>
      <c r="D35" t="s">
        <v>77</v>
      </c>
      <c r="E35" t="s">
        <v>91</v>
      </c>
      <c r="F35">
        <v>2378947836</v>
      </c>
      <c r="G35">
        <v>56.62</v>
      </c>
      <c r="H35" t="s">
        <v>97</v>
      </c>
      <c r="I35">
        <v>131511670.27002899</v>
      </c>
      <c r="J35">
        <v>107177149.638</v>
      </c>
      <c r="M35">
        <v>115867344.15424199</v>
      </c>
      <c r="N35">
        <v>23.927814000000001</v>
      </c>
      <c r="O35">
        <v>24.204713999999999</v>
      </c>
      <c r="P35">
        <v>111492686.25077499</v>
      </c>
      <c r="Q35">
        <v>29.40259</v>
      </c>
      <c r="R35">
        <v>119234242.236591</v>
      </c>
      <c r="S35">
        <v>139066300.627534</v>
      </c>
      <c r="T35" t="s">
        <v>96</v>
      </c>
      <c r="U35" t="s">
        <v>237</v>
      </c>
      <c r="V35">
        <v>1</v>
      </c>
      <c r="W35">
        <v>52.46</v>
      </c>
      <c r="X35">
        <v>56.62</v>
      </c>
      <c r="Y35">
        <v>0.5</v>
      </c>
      <c r="Z35">
        <v>67348013237.160004</v>
      </c>
      <c r="AA35">
        <v>0</v>
      </c>
      <c r="AB35">
        <v>0</v>
      </c>
      <c r="AC35">
        <v>14.346012500000001</v>
      </c>
      <c r="AD35">
        <v>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>
        <v>22</v>
      </c>
      <c r="BD35">
        <v>14.346012500000001</v>
      </c>
      <c r="BE35">
        <v>34</v>
      </c>
    </row>
    <row r="36" spans="1:57" x14ac:dyDescent="0.25">
      <c r="A36">
        <v>27</v>
      </c>
      <c r="B36" t="s">
        <v>198</v>
      </c>
      <c r="C36" t="s">
        <v>11</v>
      </c>
      <c r="D36" t="s">
        <v>51</v>
      </c>
      <c r="E36" t="s">
        <v>90</v>
      </c>
      <c r="F36">
        <v>450499200</v>
      </c>
      <c r="G36">
        <v>61.84</v>
      </c>
      <c r="H36" t="s">
        <v>97</v>
      </c>
      <c r="I36">
        <v>47681926.781686299</v>
      </c>
      <c r="J36">
        <v>42585387.600000001</v>
      </c>
      <c r="M36">
        <v>41836326.664696999</v>
      </c>
      <c r="N36">
        <v>20.287405</v>
      </c>
      <c r="O36">
        <v>18.934443000000002</v>
      </c>
      <c r="P36">
        <v>39456026.0022</v>
      </c>
      <c r="Q36">
        <v>25.379947999999999</v>
      </c>
      <c r="R36">
        <v>40071937.1187879</v>
      </c>
      <c r="S36">
        <v>46709167.596201099</v>
      </c>
      <c r="T36" t="s">
        <v>96</v>
      </c>
      <c r="U36" t="s">
        <v>238</v>
      </c>
      <c r="V36">
        <v>1</v>
      </c>
      <c r="W36">
        <v>62.2</v>
      </c>
      <c r="X36">
        <v>61.84</v>
      </c>
      <c r="Y36">
        <v>1</v>
      </c>
      <c r="Z36">
        <v>27858870528</v>
      </c>
      <c r="AA36">
        <v>0</v>
      </c>
      <c r="AB36">
        <v>0</v>
      </c>
      <c r="AC36">
        <v>14.366175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>
        <v>51</v>
      </c>
      <c r="BD36">
        <v>14.366175</v>
      </c>
      <c r="BE36">
        <v>35</v>
      </c>
    </row>
    <row r="37" spans="1:57" x14ac:dyDescent="0.25">
      <c r="A37">
        <v>189</v>
      </c>
      <c r="B37" t="s">
        <v>199</v>
      </c>
      <c r="C37" t="s">
        <v>33</v>
      </c>
      <c r="D37" t="s">
        <v>73</v>
      </c>
      <c r="E37" t="s">
        <v>88</v>
      </c>
      <c r="F37">
        <v>962903700</v>
      </c>
      <c r="G37">
        <v>57.02</v>
      </c>
      <c r="H37" t="s">
        <v>97</v>
      </c>
      <c r="I37">
        <v>136324185.154773</v>
      </c>
      <c r="J37">
        <v>120781586.081</v>
      </c>
      <c r="M37">
        <v>108912429.66178</v>
      </c>
      <c r="N37">
        <v>25.013836000000001</v>
      </c>
      <c r="O37">
        <v>25.060022</v>
      </c>
      <c r="P37">
        <v>108855975.98317499</v>
      </c>
      <c r="Q37">
        <v>27.681898</v>
      </c>
      <c r="R37">
        <v>111281305.090985</v>
      </c>
      <c r="S37">
        <v>129699924.29912101</v>
      </c>
      <c r="T37" t="s">
        <v>96</v>
      </c>
      <c r="U37" t="s">
        <v>239</v>
      </c>
      <c r="V37">
        <v>1</v>
      </c>
      <c r="W37">
        <v>60.53</v>
      </c>
      <c r="X37">
        <v>57.02</v>
      </c>
      <c r="Y37">
        <v>0.75</v>
      </c>
      <c r="Z37">
        <v>41178576730.5</v>
      </c>
      <c r="AA37">
        <v>0</v>
      </c>
      <c r="AB37">
        <v>0</v>
      </c>
      <c r="AC37">
        <v>15.077518749999999</v>
      </c>
      <c r="AD37">
        <v>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>
        <v>36</v>
      </c>
      <c r="BD37">
        <v>15.077518749999999</v>
      </c>
      <c r="BE37">
        <v>36</v>
      </c>
    </row>
    <row r="38" spans="1:57" x14ac:dyDescent="0.25">
      <c r="A38">
        <v>155</v>
      </c>
      <c r="B38" t="s">
        <v>200</v>
      </c>
      <c r="C38" t="s">
        <v>28</v>
      </c>
      <c r="D38" t="s">
        <v>68</v>
      </c>
      <c r="E38" t="s">
        <v>91</v>
      </c>
      <c r="F38">
        <v>3021542868</v>
      </c>
      <c r="G38">
        <v>21.515000000000001</v>
      </c>
      <c r="H38" t="s">
        <v>97</v>
      </c>
      <c r="I38">
        <v>170408597.703926</v>
      </c>
      <c r="J38">
        <v>152586669.825167</v>
      </c>
      <c r="M38">
        <v>155114984.77874199</v>
      </c>
      <c r="N38">
        <v>20.634764000000001</v>
      </c>
      <c r="O38">
        <v>21.073732</v>
      </c>
      <c r="P38">
        <v>153214078.20695001</v>
      </c>
      <c r="Q38">
        <v>26.629899999999999</v>
      </c>
      <c r="R38">
        <v>159444477.67242399</v>
      </c>
      <c r="S38">
        <v>185876374.37553799</v>
      </c>
      <c r="T38" t="s">
        <v>96</v>
      </c>
      <c r="U38" t="s">
        <v>240</v>
      </c>
      <c r="V38">
        <v>1</v>
      </c>
      <c r="W38">
        <v>23.38</v>
      </c>
      <c r="X38">
        <v>21.515000000000001</v>
      </c>
      <c r="Y38">
        <v>1</v>
      </c>
      <c r="Z38">
        <v>65008494805.019997</v>
      </c>
      <c r="AA38">
        <v>0</v>
      </c>
      <c r="AB38">
        <v>0</v>
      </c>
      <c r="AC38">
        <v>15.399255</v>
      </c>
      <c r="AD38">
        <v>2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>
        <v>25</v>
      </c>
      <c r="BD38">
        <v>15.399255</v>
      </c>
      <c r="BE38">
        <v>37</v>
      </c>
    </row>
    <row r="39" spans="1:57" x14ac:dyDescent="0.25">
      <c r="A39">
        <v>283</v>
      </c>
      <c r="B39" t="s">
        <v>201</v>
      </c>
      <c r="C39" t="s">
        <v>47</v>
      </c>
      <c r="D39" t="s">
        <v>87</v>
      </c>
      <c r="E39" t="s">
        <v>91</v>
      </c>
      <c r="F39">
        <v>2637743772</v>
      </c>
      <c r="G39">
        <v>49.238591399999997</v>
      </c>
      <c r="H39" t="s">
        <v>97</v>
      </c>
      <c r="I39">
        <v>57583133.890000001</v>
      </c>
      <c r="J39">
        <v>50496488.359999999</v>
      </c>
      <c r="M39">
        <v>46827107.869999997</v>
      </c>
      <c r="N39">
        <v>12.71262377</v>
      </c>
      <c r="O39">
        <v>13.102429600000001</v>
      </c>
      <c r="P39">
        <v>48659108.119999997</v>
      </c>
      <c r="Q39">
        <v>15.492692379999999</v>
      </c>
      <c r="R39">
        <v>50959180.020000003</v>
      </c>
      <c r="S39">
        <v>0</v>
      </c>
      <c r="T39" t="s">
        <v>96</v>
      </c>
      <c r="U39" t="s">
        <v>241</v>
      </c>
      <c r="V39">
        <v>1</v>
      </c>
      <c r="W39">
        <v>54.72</v>
      </c>
      <c r="X39">
        <v>52.36</v>
      </c>
      <c r="Y39">
        <v>1</v>
      </c>
      <c r="Z39">
        <v>138112263901.92001</v>
      </c>
      <c r="AA39">
        <v>0</v>
      </c>
      <c r="AB39">
        <v>0</v>
      </c>
      <c r="AC39">
        <v>16.078095000000001</v>
      </c>
      <c r="AD39">
        <v>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>
        <v>6</v>
      </c>
      <c r="BD39">
        <v>16.078095000000001</v>
      </c>
      <c r="BE39">
        <v>38</v>
      </c>
    </row>
    <row r="40" spans="1:57" x14ac:dyDescent="0.25">
      <c r="A40">
        <v>95</v>
      </c>
      <c r="B40" t="s">
        <v>202</v>
      </c>
      <c r="C40" t="s">
        <v>21</v>
      </c>
      <c r="D40" t="s">
        <v>61</v>
      </c>
      <c r="E40" t="s">
        <v>88</v>
      </c>
      <c r="F40">
        <v>4905190400</v>
      </c>
      <c r="G40">
        <v>27.62</v>
      </c>
      <c r="H40" t="s">
        <v>97</v>
      </c>
      <c r="I40">
        <v>213139391.34502</v>
      </c>
      <c r="J40">
        <v>174615927.30533299</v>
      </c>
      <c r="M40">
        <v>177859678.17185599</v>
      </c>
      <c r="N40">
        <v>20.588774000000001</v>
      </c>
      <c r="O40">
        <v>20.002012000000001</v>
      </c>
      <c r="P40">
        <v>168756818.14930001</v>
      </c>
      <c r="Q40">
        <v>22.332177999999999</v>
      </c>
      <c r="R40">
        <v>167579093.45007601</v>
      </c>
      <c r="S40">
        <v>195339529.84979901</v>
      </c>
      <c r="T40" t="s">
        <v>96</v>
      </c>
      <c r="U40" t="s">
        <v>242</v>
      </c>
      <c r="V40">
        <v>1</v>
      </c>
      <c r="W40">
        <v>26.74</v>
      </c>
      <c r="X40">
        <v>27.62</v>
      </c>
      <c r="Y40">
        <v>0.7</v>
      </c>
      <c r="Z40">
        <v>94836951193.600006</v>
      </c>
      <c r="AA40">
        <v>0</v>
      </c>
      <c r="AB40">
        <v>0</v>
      </c>
      <c r="AC40">
        <v>16.2697</v>
      </c>
      <c r="AD40">
        <v>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>
        <v>16</v>
      </c>
      <c r="BD40">
        <v>16.2697</v>
      </c>
      <c r="BE40">
        <v>39</v>
      </c>
    </row>
    <row r="41" spans="1:57" x14ac:dyDescent="0.25">
      <c r="A41">
        <v>154</v>
      </c>
      <c r="B41" t="s">
        <v>203</v>
      </c>
      <c r="C41" t="s">
        <v>27</v>
      </c>
      <c r="D41" t="s">
        <v>67</v>
      </c>
      <c r="E41" t="s">
        <v>88</v>
      </c>
      <c r="F41">
        <v>1305921100</v>
      </c>
      <c r="G41">
        <v>31.695</v>
      </c>
      <c r="H41" t="s">
        <v>97</v>
      </c>
      <c r="I41">
        <v>142818936.84270799</v>
      </c>
      <c r="J41">
        <v>154722964.08966699</v>
      </c>
      <c r="M41">
        <v>130403003.532235</v>
      </c>
      <c r="N41">
        <v>32.71463</v>
      </c>
      <c r="O41">
        <v>34.115989999999996</v>
      </c>
      <c r="P41">
        <v>126611680.444575</v>
      </c>
      <c r="Q41">
        <v>38.333489999999998</v>
      </c>
      <c r="R41">
        <v>125630830.533409</v>
      </c>
      <c r="S41">
        <v>146351395.30293599</v>
      </c>
      <c r="T41" t="s">
        <v>96</v>
      </c>
      <c r="U41" t="s">
        <v>243</v>
      </c>
      <c r="V41">
        <v>1</v>
      </c>
      <c r="W41">
        <v>36</v>
      </c>
      <c r="X41">
        <v>31.695</v>
      </c>
      <c r="Y41">
        <v>1</v>
      </c>
      <c r="Z41">
        <v>41391169264.5</v>
      </c>
      <c r="AA41">
        <v>0</v>
      </c>
      <c r="AB41">
        <v>0</v>
      </c>
      <c r="AC41">
        <v>16.601476250000001</v>
      </c>
      <c r="AD41">
        <v>1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>
        <v>34</v>
      </c>
      <c r="BD41">
        <v>16.601476250000001</v>
      </c>
      <c r="BE41">
        <v>40</v>
      </c>
    </row>
    <row r="42" spans="1:57" x14ac:dyDescent="0.25">
      <c r="A42">
        <v>180</v>
      </c>
      <c r="B42" t="s">
        <v>244</v>
      </c>
      <c r="C42" t="s">
        <v>102</v>
      </c>
      <c r="D42" t="s">
        <v>108</v>
      </c>
      <c r="E42" t="s">
        <v>89</v>
      </c>
      <c r="F42">
        <v>533783024</v>
      </c>
      <c r="G42">
        <v>361.5</v>
      </c>
      <c r="H42" t="s">
        <v>97</v>
      </c>
      <c r="I42">
        <v>139975623.991936</v>
      </c>
      <c r="J42">
        <v>105679464.682613</v>
      </c>
      <c r="M42">
        <v>115668594.987452</v>
      </c>
      <c r="N42">
        <v>23.4039</v>
      </c>
      <c r="O42">
        <v>23.904568000000001</v>
      </c>
      <c r="P42">
        <v>112340319.76193599</v>
      </c>
      <c r="Q42">
        <v>25.882712999999999</v>
      </c>
      <c r="R42">
        <v>120144617.37831201</v>
      </c>
      <c r="S42">
        <v>140136487.22382599</v>
      </c>
      <c r="T42" t="s">
        <v>96</v>
      </c>
      <c r="U42" t="s">
        <v>299</v>
      </c>
      <c r="V42">
        <v>1</v>
      </c>
      <c r="W42">
        <v>373.7</v>
      </c>
      <c r="X42">
        <v>361.5</v>
      </c>
      <c r="Y42">
        <v>0.45</v>
      </c>
      <c r="Z42">
        <v>86833153429.199997</v>
      </c>
      <c r="AA42">
        <v>0</v>
      </c>
      <c r="AB42">
        <v>0</v>
      </c>
      <c r="AC42">
        <v>16.898518750000001</v>
      </c>
      <c r="AD42">
        <v>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>
        <v>17</v>
      </c>
      <c r="BD42">
        <v>16.898518750000001</v>
      </c>
      <c r="BE42">
        <v>41</v>
      </c>
    </row>
    <row r="43" spans="1:57" x14ac:dyDescent="0.25">
      <c r="A43">
        <v>217</v>
      </c>
      <c r="B43" t="s">
        <v>245</v>
      </c>
      <c r="C43" t="s">
        <v>264</v>
      </c>
      <c r="D43" t="s">
        <v>281</v>
      </c>
      <c r="E43" t="s">
        <v>93</v>
      </c>
      <c r="F43">
        <v>296401348</v>
      </c>
      <c r="G43">
        <v>80.8</v>
      </c>
      <c r="H43" t="s">
        <v>97</v>
      </c>
      <c r="I43">
        <v>78425732.163829401</v>
      </c>
      <c r="J43">
        <v>95228454.573333398</v>
      </c>
      <c r="M43">
        <v>76796458.360076398</v>
      </c>
      <c r="N43">
        <v>31.866934000000001</v>
      </c>
      <c r="O43">
        <v>32.119689999999999</v>
      </c>
      <c r="P43">
        <v>82630527.644299999</v>
      </c>
      <c r="Q43">
        <v>39.058166999999997</v>
      </c>
      <c r="R43">
        <v>88246995.895454496</v>
      </c>
      <c r="S43">
        <v>102784721.398377</v>
      </c>
      <c r="T43" t="s">
        <v>96</v>
      </c>
      <c r="U43" t="s">
        <v>300</v>
      </c>
      <c r="V43">
        <v>1</v>
      </c>
      <c r="W43">
        <v>83.76</v>
      </c>
      <c r="X43">
        <v>80.8</v>
      </c>
      <c r="Y43">
        <v>1</v>
      </c>
      <c r="Z43">
        <v>23949228918.400002</v>
      </c>
      <c r="AA43">
        <v>0</v>
      </c>
      <c r="AB43">
        <v>0</v>
      </c>
      <c r="AC43">
        <v>17.244359549999999</v>
      </c>
      <c r="AD43">
        <v>2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>
        <v>59</v>
      </c>
      <c r="BD43">
        <v>17.244359549999999</v>
      </c>
      <c r="BE43">
        <v>42</v>
      </c>
    </row>
    <row r="44" spans="1:57" x14ac:dyDescent="0.25">
      <c r="A44">
        <v>94</v>
      </c>
      <c r="B44" t="s">
        <v>246</v>
      </c>
      <c r="C44" t="s">
        <v>100</v>
      </c>
      <c r="D44" t="s">
        <v>106</v>
      </c>
      <c r="E44" t="s">
        <v>88</v>
      </c>
      <c r="F44">
        <v>1200000000</v>
      </c>
      <c r="G44">
        <v>43</v>
      </c>
      <c r="H44" t="s">
        <v>97</v>
      </c>
      <c r="I44">
        <v>87052822.919011801</v>
      </c>
      <c r="J44">
        <v>78161804.726999998</v>
      </c>
      <c r="M44">
        <v>68178803.427992404</v>
      </c>
      <c r="N44">
        <v>23.509927999999999</v>
      </c>
      <c r="O44">
        <v>24.419294000000001</v>
      </c>
      <c r="P44">
        <v>63448323.867550001</v>
      </c>
      <c r="Q44">
        <v>26.919172</v>
      </c>
      <c r="R44">
        <v>61781740.444696903</v>
      </c>
      <c r="S44">
        <v>71999492.791794896</v>
      </c>
      <c r="T44" t="s">
        <v>96</v>
      </c>
      <c r="U44" t="s">
        <v>301</v>
      </c>
      <c r="V44">
        <v>1</v>
      </c>
      <c r="W44">
        <v>46.72</v>
      </c>
      <c r="X44">
        <v>43</v>
      </c>
      <c r="Y44">
        <v>0.85</v>
      </c>
      <c r="Z44">
        <v>43860000000</v>
      </c>
      <c r="AA44">
        <v>0</v>
      </c>
      <c r="AB44">
        <v>0</v>
      </c>
      <c r="AC44">
        <v>17.27393125</v>
      </c>
      <c r="AD44">
        <v>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>
        <v>33</v>
      </c>
      <c r="BD44">
        <v>17.27393125</v>
      </c>
      <c r="BE44">
        <v>43</v>
      </c>
    </row>
    <row r="45" spans="1:57" x14ac:dyDescent="0.25">
      <c r="A45">
        <v>208</v>
      </c>
      <c r="B45" t="s">
        <v>247</v>
      </c>
      <c r="C45" t="s">
        <v>265</v>
      </c>
      <c r="D45" t="s">
        <v>282</v>
      </c>
      <c r="E45" t="s">
        <v>89</v>
      </c>
      <c r="F45">
        <v>2660056599</v>
      </c>
      <c r="G45">
        <v>13.945</v>
      </c>
      <c r="H45" t="s">
        <v>97</v>
      </c>
      <c r="I45">
        <v>75056638.7531216</v>
      </c>
      <c r="J45">
        <v>48459845.354386702</v>
      </c>
      <c r="M45">
        <v>61756594.0257046</v>
      </c>
      <c r="N45">
        <v>17.694931</v>
      </c>
      <c r="O45">
        <v>17.979196999999999</v>
      </c>
      <c r="P45">
        <v>59153987.216454998</v>
      </c>
      <c r="Q45">
        <v>18.257435000000001</v>
      </c>
      <c r="R45">
        <v>56226846.004855998</v>
      </c>
      <c r="S45">
        <v>65550218.294033103</v>
      </c>
      <c r="T45" t="s">
        <v>96</v>
      </c>
      <c r="U45" t="s">
        <v>302</v>
      </c>
      <c r="V45">
        <v>1</v>
      </c>
      <c r="W45">
        <v>13.695</v>
      </c>
      <c r="X45">
        <v>13.945</v>
      </c>
      <c r="Y45">
        <v>0.65</v>
      </c>
      <c r="Z45">
        <v>24111418027.485748</v>
      </c>
      <c r="AA45">
        <v>0</v>
      </c>
      <c r="AB45">
        <v>0</v>
      </c>
      <c r="AC45">
        <v>17.560700000000001</v>
      </c>
      <c r="AD45">
        <v>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>
        <v>58</v>
      </c>
      <c r="BD45">
        <v>17.560700000000001</v>
      </c>
      <c r="BE45">
        <v>44</v>
      </c>
    </row>
    <row r="46" spans="1:57" x14ac:dyDescent="0.25">
      <c r="A46">
        <v>18</v>
      </c>
      <c r="B46" t="s">
        <v>248</v>
      </c>
      <c r="C46" t="s">
        <v>266</v>
      </c>
      <c r="D46" t="s">
        <v>283</v>
      </c>
      <c r="E46" t="s">
        <v>91</v>
      </c>
      <c r="F46">
        <v>896939468</v>
      </c>
      <c r="G46">
        <v>35.32</v>
      </c>
      <c r="H46" t="s">
        <v>97</v>
      </c>
      <c r="I46">
        <v>72184738.335451007</v>
      </c>
      <c r="J46">
        <v>58839060.653666697</v>
      </c>
      <c r="M46">
        <v>61311080.764507599</v>
      </c>
      <c r="N46">
        <v>13.654821</v>
      </c>
      <c r="O46">
        <v>13.567313</v>
      </c>
      <c r="P46">
        <v>59486377.781999998</v>
      </c>
      <c r="Q46">
        <v>16.369812</v>
      </c>
      <c r="R46">
        <v>58854184.471287899</v>
      </c>
      <c r="S46">
        <v>68591726.965471104</v>
      </c>
      <c r="T46" t="s">
        <v>96</v>
      </c>
      <c r="U46" t="s">
        <v>303</v>
      </c>
      <c r="V46">
        <v>1</v>
      </c>
      <c r="W46">
        <v>34.67</v>
      </c>
      <c r="X46">
        <v>35.32</v>
      </c>
      <c r="Y46">
        <v>1</v>
      </c>
      <c r="Z46">
        <v>31679902009.759998</v>
      </c>
      <c r="AA46">
        <v>0</v>
      </c>
      <c r="AB46">
        <v>0</v>
      </c>
      <c r="AC46">
        <v>17.824124999999999</v>
      </c>
      <c r="AD46">
        <v>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>
        <v>46</v>
      </c>
      <c r="BD46">
        <v>17.824124999999999</v>
      </c>
      <c r="BE46">
        <v>45</v>
      </c>
    </row>
    <row r="47" spans="1:57" x14ac:dyDescent="0.25">
      <c r="A47">
        <v>120</v>
      </c>
      <c r="B47" t="s">
        <v>249</v>
      </c>
      <c r="C47" t="s">
        <v>101</v>
      </c>
      <c r="D47" t="s">
        <v>107</v>
      </c>
      <c r="E47" t="s">
        <v>90</v>
      </c>
      <c r="F47">
        <v>733755400</v>
      </c>
      <c r="G47">
        <v>54.12</v>
      </c>
      <c r="H47" t="s">
        <v>97</v>
      </c>
      <c r="I47">
        <v>51002020.729353704</v>
      </c>
      <c r="J47">
        <v>58492804.093999997</v>
      </c>
      <c r="M47">
        <v>54577960.631919697</v>
      </c>
      <c r="N47">
        <v>15.262444</v>
      </c>
      <c r="O47">
        <v>16.152155</v>
      </c>
      <c r="P47">
        <v>54200476.420649998</v>
      </c>
      <c r="Q47">
        <v>20.350206</v>
      </c>
      <c r="R47">
        <v>66943113.751287803</v>
      </c>
      <c r="S47">
        <v>78004976.785517395</v>
      </c>
      <c r="T47" t="s">
        <v>96</v>
      </c>
      <c r="U47" t="s">
        <v>304</v>
      </c>
      <c r="V47">
        <v>1</v>
      </c>
      <c r="W47">
        <v>57.08</v>
      </c>
      <c r="X47">
        <v>54.12</v>
      </c>
      <c r="Y47">
        <v>0.65</v>
      </c>
      <c r="Z47">
        <v>25812047461.200001</v>
      </c>
      <c r="AA47">
        <v>0</v>
      </c>
      <c r="AB47">
        <v>0</v>
      </c>
      <c r="AC47">
        <v>17.844826550000001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>
        <v>53</v>
      </c>
      <c r="BD47">
        <v>17.844826550000001</v>
      </c>
      <c r="BE47">
        <v>46</v>
      </c>
    </row>
    <row r="48" spans="1:57" x14ac:dyDescent="0.25">
      <c r="A48">
        <v>236</v>
      </c>
      <c r="B48" t="s">
        <v>250</v>
      </c>
      <c r="C48" t="s">
        <v>267</v>
      </c>
      <c r="D48" t="s">
        <v>284</v>
      </c>
      <c r="E48" t="s">
        <v>89</v>
      </c>
      <c r="F48">
        <v>499067417</v>
      </c>
      <c r="G48">
        <v>81.3</v>
      </c>
      <c r="H48" t="s">
        <v>97</v>
      </c>
      <c r="I48">
        <v>98532482.2670753</v>
      </c>
      <c r="J48">
        <v>82994862.638079897</v>
      </c>
      <c r="M48">
        <v>86660199.673592404</v>
      </c>
      <c r="N48">
        <v>28.463395999999999</v>
      </c>
      <c r="O48">
        <v>28.772099999999998</v>
      </c>
      <c r="P48">
        <v>87159863.752391994</v>
      </c>
      <c r="Q48">
        <v>32.910170000000001</v>
      </c>
      <c r="R48">
        <v>90561594.383093998</v>
      </c>
      <c r="S48">
        <v>105516015.84645601</v>
      </c>
      <c r="T48" t="s">
        <v>96</v>
      </c>
      <c r="U48" t="s">
        <v>305</v>
      </c>
      <c r="V48">
        <v>1</v>
      </c>
      <c r="W48">
        <v>89.16</v>
      </c>
      <c r="X48">
        <v>81.3</v>
      </c>
      <c r="Y48">
        <v>0.9</v>
      </c>
      <c r="Z48">
        <v>36516762901.889999</v>
      </c>
      <c r="AA48">
        <v>0</v>
      </c>
      <c r="AB48">
        <v>0</v>
      </c>
      <c r="AC48">
        <v>18.306936610000001</v>
      </c>
      <c r="AD48">
        <v>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>
        <v>41</v>
      </c>
      <c r="BD48">
        <v>18.306936610000001</v>
      </c>
      <c r="BE48">
        <v>47</v>
      </c>
    </row>
    <row r="49" spans="1:57" x14ac:dyDescent="0.25">
      <c r="A49">
        <v>234</v>
      </c>
      <c r="B49" t="s">
        <v>251</v>
      </c>
      <c r="C49" t="s">
        <v>268</v>
      </c>
      <c r="D49" t="s">
        <v>285</v>
      </c>
      <c r="E49" t="s">
        <v>298</v>
      </c>
      <c r="F49">
        <v>1052132848</v>
      </c>
      <c r="G49">
        <v>26.54</v>
      </c>
      <c r="H49" t="s">
        <v>97</v>
      </c>
      <c r="I49">
        <v>51215041.609991297</v>
      </c>
      <c r="J49">
        <v>40648881.130053297</v>
      </c>
      <c r="M49">
        <v>57538913.375477999</v>
      </c>
      <c r="N49">
        <v>26.424123999999999</v>
      </c>
      <c r="O49">
        <v>26.347276999999998</v>
      </c>
      <c r="P49">
        <v>42718725.341025002</v>
      </c>
      <c r="Q49">
        <v>28.947744</v>
      </c>
      <c r="R49">
        <v>45869902.577095501</v>
      </c>
      <c r="S49">
        <v>53505816.884655297</v>
      </c>
      <c r="T49" t="s">
        <v>96</v>
      </c>
      <c r="U49" t="s">
        <v>306</v>
      </c>
      <c r="V49">
        <v>1</v>
      </c>
      <c r="W49">
        <v>29.52</v>
      </c>
      <c r="X49">
        <v>26.54</v>
      </c>
      <c r="Y49">
        <v>1</v>
      </c>
      <c r="Z49">
        <v>27923605785.919998</v>
      </c>
      <c r="AA49">
        <v>0</v>
      </c>
      <c r="AB49">
        <v>0</v>
      </c>
      <c r="AC49">
        <v>19.444175000000001</v>
      </c>
      <c r="AD49">
        <v>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>
        <v>50</v>
      </c>
      <c r="BD49">
        <v>19.444175000000001</v>
      </c>
      <c r="BE49">
        <v>48</v>
      </c>
    </row>
    <row r="50" spans="1:57" x14ac:dyDescent="0.25">
      <c r="A50">
        <v>63</v>
      </c>
      <c r="B50" t="s">
        <v>252</v>
      </c>
      <c r="C50" t="s">
        <v>269</v>
      </c>
      <c r="D50" t="s">
        <v>286</v>
      </c>
      <c r="E50" t="s">
        <v>88</v>
      </c>
      <c r="F50">
        <v>561134950</v>
      </c>
      <c r="G50">
        <v>85.08</v>
      </c>
      <c r="H50" t="s">
        <v>97</v>
      </c>
      <c r="I50">
        <v>96091436.636086807</v>
      </c>
      <c r="J50">
        <v>70224766.568000004</v>
      </c>
      <c r="M50">
        <v>83732697.914090902</v>
      </c>
      <c r="N50">
        <v>28.764462999999999</v>
      </c>
      <c r="O50">
        <v>28.80359</v>
      </c>
      <c r="P50">
        <v>86135291.106600001</v>
      </c>
      <c r="Q50">
        <v>31.023952000000001</v>
      </c>
      <c r="R50">
        <v>83149015.699697003</v>
      </c>
      <c r="S50">
        <v>96887741.330895305</v>
      </c>
      <c r="T50" t="s">
        <v>96</v>
      </c>
      <c r="U50" t="s">
        <v>307</v>
      </c>
      <c r="V50">
        <v>1</v>
      </c>
      <c r="W50">
        <v>94.26</v>
      </c>
      <c r="X50">
        <v>85.08</v>
      </c>
      <c r="Y50">
        <v>0.5</v>
      </c>
      <c r="Z50">
        <v>23870680773</v>
      </c>
      <c r="AA50">
        <v>0</v>
      </c>
      <c r="AB50">
        <v>0</v>
      </c>
      <c r="AC50">
        <v>19.494399999999999</v>
      </c>
      <c r="AD50">
        <v>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>
        <v>60</v>
      </c>
      <c r="BD50">
        <v>19.494399999999999</v>
      </c>
      <c r="BE50">
        <v>49</v>
      </c>
    </row>
    <row r="51" spans="1:57" x14ac:dyDescent="0.25">
      <c r="A51">
        <v>13</v>
      </c>
      <c r="B51" t="s">
        <v>253</v>
      </c>
      <c r="C51" t="s">
        <v>270</v>
      </c>
      <c r="D51" t="s">
        <v>287</v>
      </c>
      <c r="E51" t="s">
        <v>91</v>
      </c>
      <c r="F51">
        <v>31523640</v>
      </c>
      <c r="G51">
        <v>1301</v>
      </c>
      <c r="H51" t="s">
        <v>97</v>
      </c>
      <c r="I51">
        <v>109823749.781176</v>
      </c>
      <c r="J51">
        <v>95677391.346666694</v>
      </c>
      <c r="M51">
        <v>104933001.11287899</v>
      </c>
      <c r="N51">
        <v>32.805312999999998</v>
      </c>
      <c r="O51">
        <v>33.215983999999999</v>
      </c>
      <c r="P51">
        <v>99682518.983999893</v>
      </c>
      <c r="Q51">
        <v>35.799624999999999</v>
      </c>
      <c r="R51">
        <v>91669504.327272698</v>
      </c>
      <c r="S51">
        <v>106864711.33240899</v>
      </c>
      <c r="T51" t="s">
        <v>96</v>
      </c>
      <c r="U51" t="s">
        <v>308</v>
      </c>
      <c r="V51">
        <v>1</v>
      </c>
      <c r="W51">
        <v>1350.4</v>
      </c>
      <c r="X51">
        <v>1301</v>
      </c>
      <c r="Y51">
        <v>1</v>
      </c>
      <c r="Z51">
        <v>41012255640</v>
      </c>
      <c r="AA51">
        <v>0</v>
      </c>
      <c r="AB51">
        <v>0</v>
      </c>
      <c r="AC51">
        <v>19.638052779999999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>
        <v>37</v>
      </c>
      <c r="BD51">
        <v>19.638052779999999</v>
      </c>
      <c r="BE51">
        <v>50</v>
      </c>
    </row>
    <row r="52" spans="1:57" x14ac:dyDescent="0.25">
      <c r="A52">
        <v>150</v>
      </c>
      <c r="B52" t="s">
        <v>254</v>
      </c>
      <c r="C52" t="s">
        <v>271</v>
      </c>
      <c r="D52" t="s">
        <v>288</v>
      </c>
      <c r="E52" t="s">
        <v>90</v>
      </c>
      <c r="F52">
        <v>6681227500</v>
      </c>
      <c r="G52">
        <v>17.934999999999999</v>
      </c>
      <c r="H52" t="s">
        <v>97</v>
      </c>
      <c r="I52">
        <v>155009095.523449</v>
      </c>
      <c r="J52">
        <v>137052913.82774699</v>
      </c>
      <c r="M52">
        <v>145795917.95197299</v>
      </c>
      <c r="N52">
        <v>14.332402999999999</v>
      </c>
      <c r="O52">
        <v>14.399872999999999</v>
      </c>
      <c r="P52">
        <v>143534435.44280499</v>
      </c>
      <c r="Q52">
        <v>17.798939000000001</v>
      </c>
      <c r="R52">
        <v>138769853.966824</v>
      </c>
      <c r="S52">
        <v>161812322.55946299</v>
      </c>
      <c r="T52" t="s">
        <v>96</v>
      </c>
      <c r="U52" t="s">
        <v>309</v>
      </c>
      <c r="V52">
        <v>1</v>
      </c>
      <c r="W52">
        <v>17.975000000000001</v>
      </c>
      <c r="X52">
        <v>17.934999999999999</v>
      </c>
      <c r="Y52">
        <v>0.9</v>
      </c>
      <c r="Z52">
        <v>107845033691.25</v>
      </c>
      <c r="AA52">
        <v>0</v>
      </c>
      <c r="AB52">
        <v>0</v>
      </c>
      <c r="AC52">
        <v>20.991965629999999</v>
      </c>
      <c r="AD52">
        <v>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>
        <v>10</v>
      </c>
      <c r="BD52">
        <v>20.991965629999999</v>
      </c>
      <c r="BE52">
        <v>51</v>
      </c>
    </row>
    <row r="53" spans="1:57" x14ac:dyDescent="0.25">
      <c r="A53">
        <v>119</v>
      </c>
      <c r="B53" t="s">
        <v>255</v>
      </c>
      <c r="C53" t="s">
        <v>272</v>
      </c>
      <c r="D53" t="s">
        <v>289</v>
      </c>
      <c r="E53" t="s">
        <v>93</v>
      </c>
      <c r="F53">
        <v>193923499</v>
      </c>
      <c r="G53">
        <v>337.2</v>
      </c>
      <c r="H53" t="s">
        <v>97</v>
      </c>
      <c r="I53">
        <v>159191933.28095201</v>
      </c>
      <c r="J53">
        <v>196710223.32333401</v>
      </c>
      <c r="M53">
        <v>161076798.34389299</v>
      </c>
      <c r="N53">
        <v>36.226227000000002</v>
      </c>
      <c r="O53">
        <v>39.110584000000003</v>
      </c>
      <c r="P53">
        <v>175205141.329</v>
      </c>
      <c r="Q53">
        <v>34.986396999999997</v>
      </c>
      <c r="R53">
        <v>196771513.91818199</v>
      </c>
      <c r="S53">
        <v>228887602.858601</v>
      </c>
      <c r="T53" t="s">
        <v>96</v>
      </c>
      <c r="U53" t="s">
        <v>310</v>
      </c>
      <c r="V53">
        <v>1</v>
      </c>
      <c r="W53">
        <v>314.5</v>
      </c>
      <c r="X53">
        <v>337.2</v>
      </c>
      <c r="Y53">
        <v>0.60000000000000009</v>
      </c>
      <c r="Z53">
        <v>39234602317.680008</v>
      </c>
      <c r="AA53">
        <v>0</v>
      </c>
      <c r="AB53">
        <v>0</v>
      </c>
      <c r="AC53">
        <v>21.344762500000002</v>
      </c>
      <c r="AD53">
        <v>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>
        <v>38</v>
      </c>
      <c r="BD53">
        <v>21.344762500000002</v>
      </c>
      <c r="BE53">
        <v>52</v>
      </c>
    </row>
    <row r="54" spans="1:57" x14ac:dyDescent="0.25">
      <c r="A54">
        <v>3</v>
      </c>
      <c r="B54" t="s">
        <v>256</v>
      </c>
      <c r="C54" t="s">
        <v>273</v>
      </c>
      <c r="D54" t="s">
        <v>290</v>
      </c>
      <c r="E54" t="s">
        <v>94</v>
      </c>
      <c r="F54">
        <v>1797199973</v>
      </c>
      <c r="G54">
        <v>54.4</v>
      </c>
      <c r="H54" t="s">
        <v>97</v>
      </c>
      <c r="I54">
        <v>99692315.117411703</v>
      </c>
      <c r="J54">
        <v>86159215.122666702</v>
      </c>
      <c r="M54">
        <v>85234178.569962099</v>
      </c>
      <c r="N54">
        <v>24.127241000000001</v>
      </c>
      <c r="O54">
        <v>26.022393999999998</v>
      </c>
      <c r="P54">
        <v>76696295.864549994</v>
      </c>
      <c r="Q54">
        <v>23.205466999999999</v>
      </c>
      <c r="R54">
        <v>73898708.7979545</v>
      </c>
      <c r="S54">
        <v>86128671.132137001</v>
      </c>
      <c r="T54" t="s">
        <v>96</v>
      </c>
      <c r="U54" t="s">
        <v>311</v>
      </c>
      <c r="V54">
        <v>1</v>
      </c>
      <c r="W54">
        <v>54.86</v>
      </c>
      <c r="X54">
        <v>54.4</v>
      </c>
      <c r="Y54">
        <v>0.55000000000000004</v>
      </c>
      <c r="Z54">
        <v>53772223192.160004</v>
      </c>
      <c r="AA54">
        <v>0</v>
      </c>
      <c r="AB54">
        <v>0</v>
      </c>
      <c r="AC54">
        <v>21.5287425</v>
      </c>
      <c r="AD54">
        <v>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>
        <v>28</v>
      </c>
      <c r="BD54">
        <v>21.5287425</v>
      </c>
      <c r="BE54">
        <v>53</v>
      </c>
    </row>
    <row r="55" spans="1:57" x14ac:dyDescent="0.25">
      <c r="A55">
        <v>250</v>
      </c>
      <c r="B55" t="s">
        <v>257</v>
      </c>
      <c r="C55" t="s">
        <v>274</v>
      </c>
      <c r="D55" t="s">
        <v>291</v>
      </c>
      <c r="E55" t="s">
        <v>88</v>
      </c>
      <c r="F55">
        <v>800000000</v>
      </c>
      <c r="G55">
        <v>219.15</v>
      </c>
      <c r="H55" t="s">
        <v>97</v>
      </c>
      <c r="I55">
        <v>264848633.28389299</v>
      </c>
      <c r="J55">
        <v>268313966.54666701</v>
      </c>
      <c r="M55">
        <v>218932841.02083299</v>
      </c>
      <c r="N55">
        <v>28.991219999999998</v>
      </c>
      <c r="O55">
        <v>30.539899999999999</v>
      </c>
      <c r="P55">
        <v>210631163.00424999</v>
      </c>
      <c r="Q55">
        <v>32.528100000000002</v>
      </c>
      <c r="R55">
        <v>213773879.309091</v>
      </c>
      <c r="S55">
        <v>249155427.71931601</v>
      </c>
      <c r="T55" t="s">
        <v>96</v>
      </c>
      <c r="U55" t="s">
        <v>312</v>
      </c>
      <c r="V55">
        <v>1</v>
      </c>
      <c r="W55">
        <v>237.5</v>
      </c>
      <c r="X55">
        <v>219.15</v>
      </c>
      <c r="Y55">
        <v>0.95</v>
      </c>
      <c r="Z55">
        <v>166554000000</v>
      </c>
      <c r="AA55">
        <v>0</v>
      </c>
      <c r="AB55">
        <v>0</v>
      </c>
      <c r="AC55">
        <v>22.9672175</v>
      </c>
      <c r="AD55">
        <v>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>
        <v>3</v>
      </c>
      <c r="BD55">
        <v>22.9672175</v>
      </c>
      <c r="BE55">
        <v>54</v>
      </c>
    </row>
    <row r="56" spans="1:57" x14ac:dyDescent="0.25">
      <c r="A56">
        <v>142</v>
      </c>
      <c r="B56" t="s">
        <v>258</v>
      </c>
      <c r="C56" t="s">
        <v>275</v>
      </c>
      <c r="D56" t="s">
        <v>292</v>
      </c>
      <c r="E56" t="s">
        <v>88</v>
      </c>
      <c r="F56">
        <v>178430760</v>
      </c>
      <c r="G56">
        <v>206.3</v>
      </c>
      <c r="H56" t="s">
        <v>97</v>
      </c>
      <c r="I56">
        <v>69702260.553656206</v>
      </c>
      <c r="J56">
        <v>72000492.670000002</v>
      </c>
      <c r="M56">
        <v>66718540.974431798</v>
      </c>
      <c r="N56">
        <v>30.315538</v>
      </c>
      <c r="O56">
        <v>29.516715999999999</v>
      </c>
      <c r="P56">
        <v>62431880.27375</v>
      </c>
      <c r="Q56">
        <v>34.222735999999998</v>
      </c>
      <c r="R56">
        <v>61645977.8102272</v>
      </c>
      <c r="S56">
        <v>71836006.321187899</v>
      </c>
      <c r="T56" t="s">
        <v>96</v>
      </c>
      <c r="U56" t="s">
        <v>313</v>
      </c>
      <c r="V56">
        <v>1</v>
      </c>
      <c r="W56">
        <v>223.8</v>
      </c>
      <c r="X56">
        <v>206.3</v>
      </c>
      <c r="Y56">
        <v>0.7</v>
      </c>
      <c r="Z56">
        <v>25767186051.599998</v>
      </c>
      <c r="AA56">
        <v>0</v>
      </c>
      <c r="AB56">
        <v>0</v>
      </c>
      <c r="AC56">
        <v>23.745904110000001</v>
      </c>
      <c r="AD56">
        <v>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>
        <v>54</v>
      </c>
      <c r="BD56">
        <v>23.745904110000001</v>
      </c>
      <c r="BE56">
        <v>55</v>
      </c>
    </row>
    <row r="57" spans="1:57" x14ac:dyDescent="0.25">
      <c r="A57">
        <v>291</v>
      </c>
      <c r="B57" t="s">
        <v>259</v>
      </c>
      <c r="C57" t="s">
        <v>276</v>
      </c>
      <c r="D57" t="s">
        <v>293</v>
      </c>
      <c r="E57" t="s">
        <v>89</v>
      </c>
      <c r="F57">
        <v>586933775</v>
      </c>
      <c r="G57">
        <v>119.2</v>
      </c>
      <c r="H57" t="s">
        <v>97</v>
      </c>
      <c r="I57">
        <v>113543783.84716199</v>
      </c>
      <c r="J57">
        <v>82508689.396653295</v>
      </c>
      <c r="M57">
        <v>105480357.709933</v>
      </c>
      <c r="N57">
        <v>19.922636000000001</v>
      </c>
      <c r="O57">
        <v>21.265522000000001</v>
      </c>
      <c r="P57">
        <v>100628671.517362</v>
      </c>
      <c r="Q57">
        <v>20.998957000000001</v>
      </c>
      <c r="R57">
        <v>102877582.43767001</v>
      </c>
      <c r="S57">
        <v>119926911.732161</v>
      </c>
      <c r="T57" t="s">
        <v>96</v>
      </c>
      <c r="U57" t="s">
        <v>314</v>
      </c>
      <c r="V57">
        <v>1</v>
      </c>
      <c r="W57">
        <v>120.45</v>
      </c>
      <c r="X57">
        <v>119.2</v>
      </c>
      <c r="Y57">
        <v>0.9</v>
      </c>
      <c r="Z57">
        <v>62966255382</v>
      </c>
      <c r="AA57">
        <v>0</v>
      </c>
      <c r="AB57">
        <v>0</v>
      </c>
      <c r="AC57">
        <v>23.81601165</v>
      </c>
      <c r="AD57">
        <v>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>
        <v>26</v>
      </c>
      <c r="BD57">
        <v>23.81601165</v>
      </c>
      <c r="BE57">
        <v>56</v>
      </c>
    </row>
    <row r="58" spans="1:57" x14ac:dyDescent="0.25">
      <c r="A58">
        <v>275</v>
      </c>
      <c r="B58" t="s">
        <v>260</v>
      </c>
      <c r="C58" t="s">
        <v>277</v>
      </c>
      <c r="D58" t="s">
        <v>294</v>
      </c>
      <c r="E58" t="s">
        <v>89</v>
      </c>
      <c r="F58">
        <v>2206585543</v>
      </c>
      <c r="G58">
        <v>55.97</v>
      </c>
      <c r="H58" t="s">
        <v>97</v>
      </c>
      <c r="I58">
        <v>237626570.41657299</v>
      </c>
      <c r="J58">
        <v>183714280.666767</v>
      </c>
      <c r="M58">
        <v>212683881.01150501</v>
      </c>
      <c r="N58">
        <v>18.864146999999999</v>
      </c>
      <c r="O58">
        <v>18.458822000000001</v>
      </c>
      <c r="P58">
        <v>192680641.18713701</v>
      </c>
      <c r="Q58">
        <v>22.570004000000001</v>
      </c>
      <c r="R58">
        <v>204092811.375662</v>
      </c>
      <c r="S58">
        <v>238066227.053754</v>
      </c>
      <c r="T58" t="s">
        <v>96</v>
      </c>
      <c r="U58" t="s">
        <v>315</v>
      </c>
      <c r="V58">
        <v>1</v>
      </c>
      <c r="W58">
        <v>54.5</v>
      </c>
      <c r="X58">
        <v>55.97</v>
      </c>
      <c r="Y58">
        <v>0.9</v>
      </c>
      <c r="Z58">
        <v>111152333557.539</v>
      </c>
      <c r="AA58">
        <v>0</v>
      </c>
      <c r="AB58">
        <v>0</v>
      </c>
      <c r="AC58">
        <v>24.461062500000001</v>
      </c>
      <c r="AD58">
        <v>3</v>
      </c>
      <c r="AE58">
        <v>1</v>
      </c>
      <c r="AF58">
        <v>0</v>
      </c>
      <c r="AG58">
        <v>0</v>
      </c>
      <c r="AH58" t="s">
        <v>319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>
        <v>9</v>
      </c>
      <c r="BD58">
        <v>24.461062500000001</v>
      </c>
      <c r="BE58">
        <v>57</v>
      </c>
    </row>
    <row r="59" spans="1:57" x14ac:dyDescent="0.25">
      <c r="A59">
        <v>32</v>
      </c>
      <c r="B59" t="s">
        <v>261</v>
      </c>
      <c r="C59" t="s">
        <v>278</v>
      </c>
      <c r="D59" t="s">
        <v>295</v>
      </c>
      <c r="E59" t="s">
        <v>94</v>
      </c>
      <c r="F59">
        <v>61568926</v>
      </c>
      <c r="G59">
        <v>800.4</v>
      </c>
      <c r="H59" t="s">
        <v>97</v>
      </c>
      <c r="I59">
        <v>49963237.465294197</v>
      </c>
      <c r="J59">
        <v>55411929.293333299</v>
      </c>
      <c r="M59">
        <v>56477555.834469698</v>
      </c>
      <c r="N59">
        <v>32.719334000000003</v>
      </c>
      <c r="O59">
        <v>33.887419999999999</v>
      </c>
      <c r="P59">
        <v>62904879.689000003</v>
      </c>
      <c r="Q59">
        <v>36.607117000000002</v>
      </c>
      <c r="R59">
        <v>71799660.425757498</v>
      </c>
      <c r="S59">
        <v>83818950.664562598</v>
      </c>
      <c r="T59" t="s">
        <v>96</v>
      </c>
      <c r="U59" t="s">
        <v>316</v>
      </c>
      <c r="V59">
        <v>1</v>
      </c>
      <c r="W59">
        <v>726.6</v>
      </c>
      <c r="X59">
        <v>800.4</v>
      </c>
      <c r="Y59">
        <v>1</v>
      </c>
      <c r="Z59">
        <v>49279768370.400002</v>
      </c>
      <c r="AA59">
        <v>0</v>
      </c>
      <c r="AB59">
        <v>0</v>
      </c>
      <c r="AC59">
        <v>24.860810619999999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>
        <v>31</v>
      </c>
      <c r="BD59">
        <v>24.860810619999999</v>
      </c>
      <c r="BE59">
        <v>58</v>
      </c>
    </row>
    <row r="60" spans="1:57" x14ac:dyDescent="0.25">
      <c r="A60">
        <v>110</v>
      </c>
      <c r="B60" t="s">
        <v>262</v>
      </c>
      <c r="C60" t="s">
        <v>279</v>
      </c>
      <c r="D60" t="s">
        <v>296</v>
      </c>
      <c r="E60" t="s">
        <v>93</v>
      </c>
      <c r="F60">
        <v>3146765114</v>
      </c>
      <c r="G60">
        <v>16.096</v>
      </c>
      <c r="H60" t="s">
        <v>97</v>
      </c>
      <c r="I60">
        <v>166761658.73912701</v>
      </c>
      <c r="J60">
        <v>142515621.64340001</v>
      </c>
      <c r="M60">
        <v>155468087.447649</v>
      </c>
      <c r="N60">
        <v>14.851141999999999</v>
      </c>
      <c r="O60">
        <v>14.622597000000001</v>
      </c>
      <c r="P60">
        <v>151581012.86406001</v>
      </c>
      <c r="Q60">
        <v>21.121368</v>
      </c>
      <c r="R60">
        <v>161055156.45449999</v>
      </c>
      <c r="S60">
        <v>187677318.683135</v>
      </c>
      <c r="T60" t="s">
        <v>96</v>
      </c>
      <c r="U60" t="s">
        <v>317</v>
      </c>
      <c r="V60">
        <v>1</v>
      </c>
      <c r="W60">
        <v>15.6</v>
      </c>
      <c r="X60">
        <v>16.096</v>
      </c>
      <c r="Y60">
        <v>0.65</v>
      </c>
      <c r="Z60">
        <v>32922715328.7136</v>
      </c>
      <c r="AA60">
        <v>0</v>
      </c>
      <c r="AB60">
        <v>0</v>
      </c>
      <c r="AC60">
        <v>24.906737499999998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>
        <v>44</v>
      </c>
      <c r="BD60">
        <v>24.906737499999998</v>
      </c>
      <c r="BE60">
        <v>59</v>
      </c>
    </row>
    <row r="61" spans="1:57" x14ac:dyDescent="0.25">
      <c r="A61">
        <v>54</v>
      </c>
      <c r="B61" t="s">
        <v>263</v>
      </c>
      <c r="C61" t="s">
        <v>280</v>
      </c>
      <c r="D61" t="s">
        <v>297</v>
      </c>
      <c r="E61" t="s">
        <v>88</v>
      </c>
      <c r="F61">
        <v>893854900</v>
      </c>
      <c r="G61">
        <v>43.79</v>
      </c>
      <c r="H61" t="s">
        <v>97</v>
      </c>
      <c r="I61">
        <v>122880079.22833</v>
      </c>
      <c r="J61">
        <v>99043942.280333295</v>
      </c>
      <c r="M61">
        <v>102948988.85159101</v>
      </c>
      <c r="N61">
        <v>24.359500000000001</v>
      </c>
      <c r="O61">
        <v>24.48902</v>
      </c>
      <c r="P61">
        <v>102183569.09805</v>
      </c>
      <c r="Q61">
        <v>26.716286</v>
      </c>
      <c r="R61">
        <v>92868303.067121193</v>
      </c>
      <c r="S61">
        <v>108191934.593705</v>
      </c>
      <c r="T61" t="s">
        <v>96</v>
      </c>
      <c r="U61" t="s">
        <v>318</v>
      </c>
      <c r="V61">
        <v>1</v>
      </c>
      <c r="W61">
        <v>44.52</v>
      </c>
      <c r="X61">
        <v>43.79</v>
      </c>
      <c r="Y61">
        <v>1</v>
      </c>
      <c r="Z61">
        <v>39141906071</v>
      </c>
      <c r="AA61">
        <v>0</v>
      </c>
      <c r="AB61">
        <v>0</v>
      </c>
      <c r="AC61">
        <v>25.368255000000001</v>
      </c>
      <c r="AD61">
        <v>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>
        <v>39</v>
      </c>
      <c r="BD61">
        <v>25.368255000000001</v>
      </c>
      <c r="BE61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61"/>
  <sheetViews>
    <sheetView topLeftCell="AB1" workbookViewId="0">
      <selection activeCell="BC1" sqref="BC1"/>
    </sheetView>
  </sheetViews>
  <sheetFormatPr defaultRowHeight="15" x14ac:dyDescent="0.25"/>
  <sheetData>
    <row r="1" spans="1:56" x14ac:dyDescent="0.25">
      <c r="A1" s="1" t="s">
        <v>111</v>
      </c>
      <c r="B1" s="1" t="s">
        <v>112</v>
      </c>
      <c r="C1" s="1" t="s">
        <v>0</v>
      </c>
      <c r="D1" s="1" t="s">
        <v>98</v>
      </c>
      <c r="E1" s="1" t="s">
        <v>2</v>
      </c>
      <c r="F1" s="1" t="s">
        <v>3</v>
      </c>
      <c r="G1" s="1" t="s">
        <v>113</v>
      </c>
      <c r="H1" s="1" t="s">
        <v>7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6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  <c r="BC1" s="1" t="s">
        <v>159</v>
      </c>
      <c r="BD1" s="1" t="s">
        <v>160</v>
      </c>
    </row>
    <row r="2" spans="1:56" x14ac:dyDescent="0.25">
      <c r="A2">
        <v>36</v>
      </c>
      <c r="B2" t="s">
        <v>167</v>
      </c>
      <c r="C2" t="s">
        <v>12</v>
      </c>
      <c r="D2" t="s">
        <v>52</v>
      </c>
      <c r="E2" t="s">
        <v>91</v>
      </c>
      <c r="F2">
        <v>388147674</v>
      </c>
      <c r="G2">
        <v>834</v>
      </c>
      <c r="H2" t="s">
        <v>97</v>
      </c>
      <c r="I2">
        <v>507485028.18274498</v>
      </c>
      <c r="J2">
        <v>519075447.359999</v>
      </c>
      <c r="M2">
        <v>476870092.68939298</v>
      </c>
      <c r="N2">
        <v>35.690429999999999</v>
      </c>
      <c r="O2">
        <v>37.997826000000003</v>
      </c>
      <c r="P2">
        <v>498206589.87099898</v>
      </c>
      <c r="Q2">
        <v>36.628566999999997</v>
      </c>
      <c r="R2">
        <v>539381837.15833199</v>
      </c>
      <c r="S2">
        <v>628790744.55153298</v>
      </c>
      <c r="T2" t="s">
        <v>96</v>
      </c>
      <c r="U2" t="s">
        <v>207</v>
      </c>
      <c r="V2">
        <v>1</v>
      </c>
      <c r="W2">
        <v>908.6</v>
      </c>
      <c r="X2">
        <v>834</v>
      </c>
      <c r="Y2">
        <v>1</v>
      </c>
      <c r="Z2">
        <v>323715160116</v>
      </c>
      <c r="AA2">
        <v>0</v>
      </c>
      <c r="AB2">
        <v>0</v>
      </c>
      <c r="AC2">
        <v>8.9289450000000006</v>
      </c>
      <c r="AD2">
        <v>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>
        <v>1</v>
      </c>
      <c r="BD2">
        <v>8.9289450000000006</v>
      </c>
    </row>
    <row r="3" spans="1:56" x14ac:dyDescent="0.25">
      <c r="A3">
        <v>240</v>
      </c>
      <c r="B3" t="s">
        <v>177</v>
      </c>
      <c r="C3" t="s">
        <v>41</v>
      </c>
      <c r="D3" t="s">
        <v>81</v>
      </c>
      <c r="E3" t="s">
        <v>88</v>
      </c>
      <c r="F3">
        <v>1228504300</v>
      </c>
      <c r="G3">
        <v>205</v>
      </c>
      <c r="H3" t="s">
        <v>97</v>
      </c>
      <c r="I3">
        <v>395853899.51620603</v>
      </c>
      <c r="J3">
        <v>268025642.47166699</v>
      </c>
      <c r="M3">
        <v>348416609.12954497</v>
      </c>
      <c r="N3">
        <v>27.421091000000001</v>
      </c>
      <c r="O3">
        <v>28.854689</v>
      </c>
      <c r="P3">
        <v>325568946.30524999</v>
      </c>
      <c r="Q3">
        <v>31.971903000000001</v>
      </c>
      <c r="R3">
        <v>322309689.85303003</v>
      </c>
      <c r="S3">
        <v>376029939.132653</v>
      </c>
      <c r="T3" t="s">
        <v>96</v>
      </c>
      <c r="U3" t="s">
        <v>217</v>
      </c>
      <c r="V3">
        <v>1</v>
      </c>
      <c r="W3">
        <v>206.65</v>
      </c>
      <c r="X3">
        <v>205</v>
      </c>
      <c r="Y3">
        <v>0.9</v>
      </c>
      <c r="Z3">
        <v>226659043350</v>
      </c>
      <c r="AA3">
        <v>0</v>
      </c>
      <c r="AB3">
        <v>0</v>
      </c>
      <c r="AC3">
        <v>11.225540000000001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>
        <v>2</v>
      </c>
      <c r="BD3">
        <v>11.225540000000001</v>
      </c>
    </row>
    <row r="4" spans="1:56" x14ac:dyDescent="0.25">
      <c r="A4">
        <v>250</v>
      </c>
      <c r="B4" t="s">
        <v>257</v>
      </c>
      <c r="C4" t="s">
        <v>274</v>
      </c>
      <c r="D4" t="s">
        <v>291</v>
      </c>
      <c r="E4" t="s">
        <v>88</v>
      </c>
      <c r="F4">
        <v>800000000</v>
      </c>
      <c r="G4">
        <v>219.15</v>
      </c>
      <c r="H4" t="s">
        <v>97</v>
      </c>
      <c r="I4">
        <v>264848633.28389299</v>
      </c>
      <c r="J4">
        <v>268313966.54666701</v>
      </c>
      <c r="M4">
        <v>218932841.02083299</v>
      </c>
      <c r="N4">
        <v>28.991219999999998</v>
      </c>
      <c r="O4">
        <v>30.539899999999999</v>
      </c>
      <c r="P4">
        <v>210631163.00424999</v>
      </c>
      <c r="Q4">
        <v>32.528100000000002</v>
      </c>
      <c r="R4">
        <v>213773879.309091</v>
      </c>
      <c r="S4">
        <v>249155427.71931601</v>
      </c>
      <c r="T4" t="s">
        <v>96</v>
      </c>
      <c r="U4" t="s">
        <v>312</v>
      </c>
      <c r="V4">
        <v>1</v>
      </c>
      <c r="W4">
        <v>237.5</v>
      </c>
      <c r="X4">
        <v>219.15</v>
      </c>
      <c r="Y4">
        <v>0.95</v>
      </c>
      <c r="Z4">
        <v>166554000000</v>
      </c>
      <c r="AA4">
        <v>0</v>
      </c>
      <c r="AB4">
        <v>0</v>
      </c>
      <c r="AC4">
        <v>22.9672175</v>
      </c>
      <c r="AD4">
        <v>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>
        <v>3</v>
      </c>
      <c r="BD4">
        <v>22.9672175</v>
      </c>
    </row>
    <row r="5" spans="1:56" x14ac:dyDescent="0.25">
      <c r="A5">
        <v>184</v>
      </c>
      <c r="B5" t="s">
        <v>190</v>
      </c>
      <c r="C5" t="s">
        <v>32</v>
      </c>
      <c r="D5" t="s">
        <v>72</v>
      </c>
      <c r="E5" t="s">
        <v>89</v>
      </c>
      <c r="F5">
        <v>497686940</v>
      </c>
      <c r="G5">
        <v>623</v>
      </c>
      <c r="H5" t="s">
        <v>97</v>
      </c>
      <c r="I5">
        <v>296179580.149634</v>
      </c>
      <c r="J5">
        <v>232671821.4138</v>
      </c>
      <c r="M5">
        <v>255572100.37997499</v>
      </c>
      <c r="N5">
        <v>32.682704999999999</v>
      </c>
      <c r="O5">
        <v>33.556435</v>
      </c>
      <c r="P5">
        <v>251737340.45981699</v>
      </c>
      <c r="Q5">
        <v>34.114150000000002</v>
      </c>
      <c r="R5">
        <v>269027301.10464698</v>
      </c>
      <c r="S5">
        <v>313555952.450616</v>
      </c>
      <c r="T5" t="s">
        <v>96</v>
      </c>
      <c r="U5" t="s">
        <v>230</v>
      </c>
      <c r="V5">
        <v>1</v>
      </c>
      <c r="W5">
        <v>636.5</v>
      </c>
      <c r="X5">
        <v>623</v>
      </c>
      <c r="Y5">
        <v>0.5</v>
      </c>
      <c r="Z5">
        <v>155029481810</v>
      </c>
      <c r="AA5">
        <v>0</v>
      </c>
      <c r="AB5">
        <v>0</v>
      </c>
      <c r="AC5">
        <v>13.552071249999999</v>
      </c>
      <c r="AD5">
        <v>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>
        <v>4</v>
      </c>
      <c r="BD5">
        <v>13.552071249999999</v>
      </c>
    </row>
    <row r="6" spans="1:56" x14ac:dyDescent="0.25">
      <c r="A6">
        <v>24</v>
      </c>
      <c r="B6" t="s">
        <v>186</v>
      </c>
      <c r="C6" t="s">
        <v>10</v>
      </c>
      <c r="D6" t="s">
        <v>50</v>
      </c>
      <c r="E6" t="s">
        <v>88</v>
      </c>
      <c r="F6">
        <v>386166700</v>
      </c>
      <c r="G6">
        <v>363.1</v>
      </c>
      <c r="H6" t="s">
        <v>97</v>
      </c>
      <c r="I6">
        <v>236156018.20276701</v>
      </c>
      <c r="J6">
        <v>172849275.063333</v>
      </c>
      <c r="M6">
        <v>192105221.688636</v>
      </c>
      <c r="N6">
        <v>18.476724999999998</v>
      </c>
      <c r="O6">
        <v>19.508807999999998</v>
      </c>
      <c r="P6">
        <v>178096131.97499999</v>
      </c>
      <c r="Q6">
        <v>21.759954</v>
      </c>
      <c r="R6">
        <v>168303975.97878799</v>
      </c>
      <c r="S6">
        <v>196175264.25025299</v>
      </c>
      <c r="T6" t="s">
        <v>96</v>
      </c>
      <c r="U6" t="s">
        <v>226</v>
      </c>
      <c r="V6">
        <v>1</v>
      </c>
      <c r="W6">
        <v>383.3</v>
      </c>
      <c r="X6">
        <v>363.1</v>
      </c>
      <c r="Y6">
        <v>1</v>
      </c>
      <c r="Z6">
        <v>140217128770</v>
      </c>
      <c r="AA6">
        <v>0</v>
      </c>
      <c r="AB6">
        <v>0</v>
      </c>
      <c r="AC6">
        <v>13.164099999999999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>
        <v>5</v>
      </c>
      <c r="BD6">
        <v>13.164099999999999</v>
      </c>
    </row>
    <row r="7" spans="1:56" x14ac:dyDescent="0.25">
      <c r="A7">
        <v>283</v>
      </c>
      <c r="B7" t="s">
        <v>201</v>
      </c>
      <c r="C7" t="s">
        <v>47</v>
      </c>
      <c r="D7" t="s">
        <v>87</v>
      </c>
      <c r="E7" t="s">
        <v>91</v>
      </c>
      <c r="F7">
        <v>2637743772</v>
      </c>
      <c r="G7">
        <v>49.238591399999997</v>
      </c>
      <c r="H7" t="s">
        <v>97</v>
      </c>
      <c r="I7">
        <v>57583133.890000001</v>
      </c>
      <c r="J7">
        <v>50496488.359999999</v>
      </c>
      <c r="M7">
        <v>46827107.869999997</v>
      </c>
      <c r="N7">
        <v>12.71262377</v>
      </c>
      <c r="O7">
        <v>13.102429600000001</v>
      </c>
      <c r="P7">
        <v>48659108.119999997</v>
      </c>
      <c r="Q7">
        <v>15.492692379999999</v>
      </c>
      <c r="R7">
        <v>50959180.020000003</v>
      </c>
      <c r="S7">
        <v>0</v>
      </c>
      <c r="T7" t="s">
        <v>96</v>
      </c>
      <c r="U7" t="s">
        <v>241</v>
      </c>
      <c r="V7">
        <v>1</v>
      </c>
      <c r="W7">
        <v>54.72</v>
      </c>
      <c r="X7">
        <v>52.36</v>
      </c>
      <c r="Y7">
        <v>1</v>
      </c>
      <c r="Z7">
        <v>138112263901.92001</v>
      </c>
      <c r="AA7">
        <v>0</v>
      </c>
      <c r="AB7">
        <v>0</v>
      </c>
      <c r="AC7">
        <v>16.078095000000001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>
        <v>6</v>
      </c>
      <c r="BD7">
        <v>16.078095000000001</v>
      </c>
    </row>
    <row r="8" spans="1:56" x14ac:dyDescent="0.25">
      <c r="A8">
        <v>51</v>
      </c>
      <c r="B8" t="s">
        <v>173</v>
      </c>
      <c r="C8" t="s">
        <v>14</v>
      </c>
      <c r="D8" t="s">
        <v>54</v>
      </c>
      <c r="E8" t="s">
        <v>90</v>
      </c>
      <c r="F8">
        <v>14885325000</v>
      </c>
      <c r="G8">
        <v>8.8049999999999997</v>
      </c>
      <c r="H8" t="s">
        <v>97</v>
      </c>
      <c r="I8">
        <v>199340830.08776501</v>
      </c>
      <c r="J8">
        <v>248319441.05223399</v>
      </c>
      <c r="M8">
        <v>193680299.884783</v>
      </c>
      <c r="N8">
        <v>26.540150000000001</v>
      </c>
      <c r="O8">
        <v>26.308454999999999</v>
      </c>
      <c r="P8">
        <v>199845154.79542801</v>
      </c>
      <c r="Q8">
        <v>31.747720000000001</v>
      </c>
      <c r="R8">
        <v>217400667.12145901</v>
      </c>
      <c r="S8">
        <v>253325577.49467301</v>
      </c>
      <c r="T8" t="s">
        <v>96</v>
      </c>
      <c r="U8" t="s">
        <v>213</v>
      </c>
      <c r="V8">
        <v>1</v>
      </c>
      <c r="W8">
        <v>9.8170000000000002</v>
      </c>
      <c r="X8">
        <v>8.8049999999999997</v>
      </c>
      <c r="Y8">
        <v>1</v>
      </c>
      <c r="Z8">
        <v>131065286625</v>
      </c>
      <c r="AA8">
        <v>0</v>
      </c>
      <c r="AB8">
        <v>0</v>
      </c>
      <c r="AC8">
        <v>9.8890124999999998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>
        <v>7</v>
      </c>
      <c r="BD8">
        <v>9.8890124999999998</v>
      </c>
    </row>
    <row r="9" spans="1:56" x14ac:dyDescent="0.25">
      <c r="A9">
        <v>245</v>
      </c>
      <c r="B9" t="s">
        <v>164</v>
      </c>
      <c r="C9" t="s">
        <v>42</v>
      </c>
      <c r="D9" t="s">
        <v>82</v>
      </c>
      <c r="E9" t="s">
        <v>89</v>
      </c>
      <c r="F9">
        <v>577122512</v>
      </c>
      <c r="G9">
        <v>222.3</v>
      </c>
      <c r="H9" t="s">
        <v>97</v>
      </c>
      <c r="I9">
        <v>225947074.68548301</v>
      </c>
      <c r="J9">
        <v>207404730.509267</v>
      </c>
      <c r="M9">
        <v>199844949.36271399</v>
      </c>
      <c r="N9">
        <v>29.388895000000002</v>
      </c>
      <c r="O9">
        <v>29.795259999999999</v>
      </c>
      <c r="P9">
        <v>200348532.41978201</v>
      </c>
      <c r="Q9">
        <v>33.028824</v>
      </c>
      <c r="R9">
        <v>200335742.54664001</v>
      </c>
      <c r="S9">
        <v>233582043.159466</v>
      </c>
      <c r="T9" t="s">
        <v>96</v>
      </c>
      <c r="U9" t="s">
        <v>204</v>
      </c>
      <c r="V9">
        <v>1</v>
      </c>
      <c r="W9">
        <v>239.25</v>
      </c>
      <c r="X9">
        <v>222.3</v>
      </c>
      <c r="Y9">
        <v>1</v>
      </c>
      <c r="Z9">
        <v>128294334417.60001</v>
      </c>
      <c r="AA9">
        <v>0</v>
      </c>
      <c r="AB9">
        <v>0</v>
      </c>
      <c r="AC9">
        <v>7.1448087500000002</v>
      </c>
      <c r="AD9">
        <v>2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>
        <v>8</v>
      </c>
      <c r="BD9">
        <v>7.1448087500000002</v>
      </c>
    </row>
    <row r="10" spans="1:56" x14ac:dyDescent="0.25">
      <c r="A10">
        <v>275</v>
      </c>
      <c r="B10" t="s">
        <v>260</v>
      </c>
      <c r="C10" t="s">
        <v>277</v>
      </c>
      <c r="D10" t="s">
        <v>294</v>
      </c>
      <c r="E10" t="s">
        <v>89</v>
      </c>
      <c r="F10">
        <v>2206585543</v>
      </c>
      <c r="G10">
        <v>55.97</v>
      </c>
      <c r="H10" t="s">
        <v>97</v>
      </c>
      <c r="I10">
        <v>237626570.41657299</v>
      </c>
      <c r="J10">
        <v>183714280.666767</v>
      </c>
      <c r="M10">
        <v>212683881.01150501</v>
      </c>
      <c r="N10">
        <v>18.864146999999999</v>
      </c>
      <c r="O10">
        <v>18.458822000000001</v>
      </c>
      <c r="P10">
        <v>192680641.18713701</v>
      </c>
      <c r="Q10">
        <v>22.570004000000001</v>
      </c>
      <c r="R10">
        <v>204092811.375662</v>
      </c>
      <c r="S10">
        <v>238066227.053754</v>
      </c>
      <c r="T10" t="s">
        <v>96</v>
      </c>
      <c r="U10" t="s">
        <v>315</v>
      </c>
      <c r="V10">
        <v>1</v>
      </c>
      <c r="W10">
        <v>54.5</v>
      </c>
      <c r="X10">
        <v>55.97</v>
      </c>
      <c r="Y10">
        <v>0.9</v>
      </c>
      <c r="Z10">
        <v>111152333557.539</v>
      </c>
      <c r="AA10">
        <v>0</v>
      </c>
      <c r="AB10">
        <v>0</v>
      </c>
      <c r="AC10">
        <v>24.461062500000001</v>
      </c>
      <c r="AD10">
        <v>3</v>
      </c>
      <c r="AE10">
        <v>1</v>
      </c>
      <c r="AF10">
        <v>0</v>
      </c>
      <c r="AG10">
        <v>0</v>
      </c>
      <c r="AH10" t="s">
        <v>319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>
        <v>9</v>
      </c>
      <c r="BD10">
        <v>24.461062500000001</v>
      </c>
    </row>
    <row r="11" spans="1:56" x14ac:dyDescent="0.25">
      <c r="A11">
        <v>150</v>
      </c>
      <c r="B11" t="s">
        <v>254</v>
      </c>
      <c r="C11" t="s">
        <v>271</v>
      </c>
      <c r="D11" t="s">
        <v>288</v>
      </c>
      <c r="E11" t="s">
        <v>90</v>
      </c>
      <c r="F11">
        <v>6681227500</v>
      </c>
      <c r="G11">
        <v>17.934999999999999</v>
      </c>
      <c r="H11" t="s">
        <v>97</v>
      </c>
      <c r="I11">
        <v>155009095.523449</v>
      </c>
      <c r="J11">
        <v>137052913.82774699</v>
      </c>
      <c r="M11">
        <v>145795917.95197299</v>
      </c>
      <c r="N11">
        <v>14.332402999999999</v>
      </c>
      <c r="O11">
        <v>14.399872999999999</v>
      </c>
      <c r="P11">
        <v>143534435.44280499</v>
      </c>
      <c r="Q11">
        <v>17.798939000000001</v>
      </c>
      <c r="R11">
        <v>138769853.966824</v>
      </c>
      <c r="S11">
        <v>161812322.55946299</v>
      </c>
      <c r="T11" t="s">
        <v>96</v>
      </c>
      <c r="U11" t="s">
        <v>309</v>
      </c>
      <c r="V11">
        <v>1</v>
      </c>
      <c r="W11">
        <v>17.975000000000001</v>
      </c>
      <c r="X11">
        <v>17.934999999999999</v>
      </c>
      <c r="Y11">
        <v>0.9</v>
      </c>
      <c r="Z11">
        <v>107845033691.25</v>
      </c>
      <c r="AA11">
        <v>0</v>
      </c>
      <c r="AB11">
        <v>0</v>
      </c>
      <c r="AC11">
        <v>20.991965629999999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>
        <v>10</v>
      </c>
      <c r="BD11">
        <v>20.991965629999999</v>
      </c>
    </row>
    <row r="12" spans="1:56" x14ac:dyDescent="0.25">
      <c r="A12">
        <v>57</v>
      </c>
      <c r="B12" t="s">
        <v>170</v>
      </c>
      <c r="C12" t="s">
        <v>15</v>
      </c>
      <c r="D12" t="s">
        <v>55</v>
      </c>
      <c r="E12" t="s">
        <v>90</v>
      </c>
      <c r="F12">
        <v>5763285600</v>
      </c>
      <c r="G12">
        <v>17.704999999999998</v>
      </c>
      <c r="H12" t="s">
        <v>97</v>
      </c>
      <c r="I12">
        <v>135662523.73262399</v>
      </c>
      <c r="J12">
        <v>367133785.72883302</v>
      </c>
      <c r="M12">
        <v>143930722.37119299</v>
      </c>
      <c r="N12">
        <v>27.777552</v>
      </c>
      <c r="O12">
        <v>28.950481</v>
      </c>
      <c r="P12">
        <v>154705054.66154999</v>
      </c>
      <c r="Q12">
        <v>31.000454000000001</v>
      </c>
      <c r="R12">
        <v>178076885.36534101</v>
      </c>
      <c r="S12">
        <v>206870092.04022601</v>
      </c>
      <c r="T12" t="s">
        <v>96</v>
      </c>
      <c r="U12" t="s">
        <v>210</v>
      </c>
      <c r="V12">
        <v>1</v>
      </c>
      <c r="W12">
        <v>19.305</v>
      </c>
      <c r="X12">
        <v>17.704999999999998</v>
      </c>
      <c r="Y12">
        <v>1</v>
      </c>
      <c r="Z12">
        <v>102038971548</v>
      </c>
      <c r="AA12">
        <v>0</v>
      </c>
      <c r="AB12">
        <v>0</v>
      </c>
      <c r="AC12">
        <v>9.5642499999999995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>
        <v>11</v>
      </c>
      <c r="BD12">
        <v>9.5642499999999995</v>
      </c>
    </row>
    <row r="13" spans="1:56" x14ac:dyDescent="0.25">
      <c r="A13">
        <v>239</v>
      </c>
      <c r="B13" t="s">
        <v>187</v>
      </c>
      <c r="C13" t="s">
        <v>40</v>
      </c>
      <c r="D13" t="s">
        <v>80</v>
      </c>
      <c r="E13" t="s">
        <v>89</v>
      </c>
      <c r="F13">
        <v>1227468973</v>
      </c>
      <c r="G13">
        <v>86.32</v>
      </c>
      <c r="H13" t="s">
        <v>97</v>
      </c>
      <c r="I13">
        <v>178130166.87086701</v>
      </c>
      <c r="J13">
        <v>147147863.87253299</v>
      </c>
      <c r="M13">
        <v>161115065.88894701</v>
      </c>
      <c r="N13">
        <v>27.717334999999999</v>
      </c>
      <c r="O13">
        <v>28.988537000000001</v>
      </c>
      <c r="P13">
        <v>155693899.83570999</v>
      </c>
      <c r="Q13">
        <v>28.241544999999999</v>
      </c>
      <c r="R13">
        <v>162557819.54956099</v>
      </c>
      <c r="S13">
        <v>189528580.930825</v>
      </c>
      <c r="T13" t="s">
        <v>96</v>
      </c>
      <c r="U13" t="s">
        <v>227</v>
      </c>
      <c r="V13">
        <v>1</v>
      </c>
      <c r="W13">
        <v>80.94</v>
      </c>
      <c r="X13">
        <v>86.32</v>
      </c>
      <c r="Y13">
        <v>0.95000000000000007</v>
      </c>
      <c r="Z13">
        <v>100657365661.892</v>
      </c>
      <c r="AA13">
        <v>0</v>
      </c>
      <c r="AB13">
        <v>0</v>
      </c>
      <c r="AC13">
        <v>13.1702175</v>
      </c>
      <c r="AD13">
        <v>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>
        <v>12</v>
      </c>
      <c r="BD13">
        <v>13.1702175</v>
      </c>
    </row>
    <row r="14" spans="1:56" x14ac:dyDescent="0.25">
      <c r="A14">
        <v>112</v>
      </c>
      <c r="B14" t="s">
        <v>183</v>
      </c>
      <c r="C14" t="s">
        <v>23</v>
      </c>
      <c r="D14" t="s">
        <v>63</v>
      </c>
      <c r="E14" t="s">
        <v>89</v>
      </c>
      <c r="F14">
        <v>463145529</v>
      </c>
      <c r="G14">
        <v>306</v>
      </c>
      <c r="H14" t="s">
        <v>97</v>
      </c>
      <c r="I14">
        <v>136933038.349944</v>
      </c>
      <c r="J14">
        <v>111826623.93328699</v>
      </c>
      <c r="M14">
        <v>119144642.46958899</v>
      </c>
      <c r="N14">
        <v>28.494783000000002</v>
      </c>
      <c r="O14">
        <v>30.682514000000001</v>
      </c>
      <c r="P14">
        <v>107596969.978358</v>
      </c>
      <c r="Q14">
        <v>30.263120000000001</v>
      </c>
      <c r="R14">
        <v>110011448.09751201</v>
      </c>
      <c r="S14">
        <v>128240726.61354201</v>
      </c>
      <c r="T14" t="s">
        <v>96</v>
      </c>
      <c r="U14" t="s">
        <v>223</v>
      </c>
      <c r="V14">
        <v>1</v>
      </c>
      <c r="W14">
        <v>278.2</v>
      </c>
      <c r="X14">
        <v>306</v>
      </c>
      <c r="Y14">
        <v>0.70000000000000007</v>
      </c>
      <c r="Z14">
        <v>99205772311.800003</v>
      </c>
      <c r="AA14">
        <v>0</v>
      </c>
      <c r="AB14">
        <v>0</v>
      </c>
      <c r="AC14">
        <v>12.911462500000001</v>
      </c>
      <c r="AD14">
        <v>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>
        <v>13</v>
      </c>
      <c r="BD14">
        <v>12.911462500000001</v>
      </c>
    </row>
    <row r="15" spans="1:56" x14ac:dyDescent="0.25">
      <c r="A15">
        <v>282</v>
      </c>
      <c r="B15" t="s">
        <v>175</v>
      </c>
      <c r="C15" t="s">
        <v>46</v>
      </c>
      <c r="D15" t="s">
        <v>86</v>
      </c>
      <c r="E15" t="s">
        <v>93</v>
      </c>
      <c r="F15">
        <v>1557675176</v>
      </c>
      <c r="G15">
        <v>62.85</v>
      </c>
      <c r="H15" t="s">
        <v>97</v>
      </c>
      <c r="I15">
        <v>359104838.19417602</v>
      </c>
      <c r="J15">
        <v>333318301.37566602</v>
      </c>
      <c r="M15">
        <v>314367458.98908401</v>
      </c>
      <c r="N15">
        <v>26.839243</v>
      </c>
      <c r="O15">
        <v>26.80322</v>
      </c>
      <c r="P15">
        <v>320104027.33350003</v>
      </c>
      <c r="Q15">
        <v>33.478299999999997</v>
      </c>
      <c r="R15">
        <v>320233546.05310601</v>
      </c>
      <c r="S15">
        <v>373375769.30038702</v>
      </c>
      <c r="T15" t="s">
        <v>96</v>
      </c>
      <c r="U15" t="s">
        <v>215</v>
      </c>
      <c r="V15">
        <v>1</v>
      </c>
      <c r="W15">
        <v>69.5</v>
      </c>
      <c r="X15">
        <v>62.85</v>
      </c>
      <c r="Y15">
        <v>1</v>
      </c>
      <c r="Z15">
        <v>97899884811.600006</v>
      </c>
      <c r="AA15">
        <v>0</v>
      </c>
      <c r="AB15">
        <v>0</v>
      </c>
      <c r="AC15">
        <v>10.5530875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>
        <v>14</v>
      </c>
      <c r="BD15">
        <v>10.5530875</v>
      </c>
    </row>
    <row r="16" spans="1:56" x14ac:dyDescent="0.25">
      <c r="A16">
        <v>20</v>
      </c>
      <c r="B16" t="s">
        <v>189</v>
      </c>
      <c r="C16" t="s">
        <v>9</v>
      </c>
      <c r="D16" t="s">
        <v>49</v>
      </c>
      <c r="E16" t="s">
        <v>89</v>
      </c>
      <c r="F16">
        <v>578534275</v>
      </c>
      <c r="G16">
        <v>165.94</v>
      </c>
      <c r="H16" t="s">
        <v>97</v>
      </c>
      <c r="I16">
        <v>119505514.533602</v>
      </c>
      <c r="J16">
        <v>92896515.384959996</v>
      </c>
      <c r="M16">
        <v>103003521.114912</v>
      </c>
      <c r="N16">
        <v>14.127079999999999</v>
      </c>
      <c r="O16">
        <v>14.407667</v>
      </c>
      <c r="P16">
        <v>96960052.230783895</v>
      </c>
      <c r="Q16">
        <v>18.233885000000001</v>
      </c>
      <c r="R16">
        <v>98286987.256642297</v>
      </c>
      <c r="S16">
        <v>114554343.79323301</v>
      </c>
      <c r="T16" t="s">
        <v>96</v>
      </c>
      <c r="U16" t="s">
        <v>229</v>
      </c>
      <c r="V16">
        <v>1</v>
      </c>
      <c r="W16">
        <v>159.4</v>
      </c>
      <c r="X16">
        <v>165.94</v>
      </c>
      <c r="Y16">
        <v>1</v>
      </c>
      <c r="Z16">
        <v>96001977593.5</v>
      </c>
      <c r="AA16">
        <v>0</v>
      </c>
      <c r="AB16">
        <v>0</v>
      </c>
      <c r="AC16">
        <v>13.37985625</v>
      </c>
      <c r="AD16">
        <v>2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>
        <v>15</v>
      </c>
      <c r="BD16">
        <v>13.37985625</v>
      </c>
    </row>
    <row r="17" spans="1:56" x14ac:dyDescent="0.25">
      <c r="A17">
        <v>95</v>
      </c>
      <c r="B17" t="s">
        <v>202</v>
      </c>
      <c r="C17" t="s">
        <v>21</v>
      </c>
      <c r="D17" t="s">
        <v>61</v>
      </c>
      <c r="E17" t="s">
        <v>88</v>
      </c>
      <c r="F17">
        <v>4905190400</v>
      </c>
      <c r="G17">
        <v>27.62</v>
      </c>
      <c r="H17" t="s">
        <v>97</v>
      </c>
      <c r="I17">
        <v>213139391.34502</v>
      </c>
      <c r="J17">
        <v>174615927.30533299</v>
      </c>
      <c r="M17">
        <v>177859678.17185599</v>
      </c>
      <c r="N17">
        <v>20.588774000000001</v>
      </c>
      <c r="O17">
        <v>20.002012000000001</v>
      </c>
      <c r="P17">
        <v>168756818.14930001</v>
      </c>
      <c r="Q17">
        <v>22.332177999999999</v>
      </c>
      <c r="R17">
        <v>167579093.45007601</v>
      </c>
      <c r="S17">
        <v>195339529.84979901</v>
      </c>
      <c r="T17" t="s">
        <v>96</v>
      </c>
      <c r="U17" t="s">
        <v>242</v>
      </c>
      <c r="V17">
        <v>1</v>
      </c>
      <c r="W17">
        <v>26.74</v>
      </c>
      <c r="X17">
        <v>27.62</v>
      </c>
      <c r="Y17">
        <v>0.7</v>
      </c>
      <c r="Z17">
        <v>94836951193.600006</v>
      </c>
      <c r="AA17">
        <v>0</v>
      </c>
      <c r="AB17">
        <v>0</v>
      </c>
      <c r="AC17">
        <v>16.2697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>
        <v>16</v>
      </c>
      <c r="BD17">
        <v>16.2697</v>
      </c>
    </row>
    <row r="18" spans="1:56" x14ac:dyDescent="0.25">
      <c r="A18">
        <v>180</v>
      </c>
      <c r="B18" t="s">
        <v>244</v>
      </c>
      <c r="C18" t="s">
        <v>102</v>
      </c>
      <c r="D18" t="s">
        <v>108</v>
      </c>
      <c r="E18" t="s">
        <v>89</v>
      </c>
      <c r="F18">
        <v>533783024</v>
      </c>
      <c r="G18">
        <v>361.5</v>
      </c>
      <c r="H18" t="s">
        <v>97</v>
      </c>
      <c r="I18">
        <v>139975623.991936</v>
      </c>
      <c r="J18">
        <v>105679464.682613</v>
      </c>
      <c r="M18">
        <v>115668594.987452</v>
      </c>
      <c r="N18">
        <v>23.4039</v>
      </c>
      <c r="O18">
        <v>23.904568000000001</v>
      </c>
      <c r="P18">
        <v>112340319.76193599</v>
      </c>
      <c r="Q18">
        <v>25.882712999999999</v>
      </c>
      <c r="R18">
        <v>120144617.37831201</v>
      </c>
      <c r="S18">
        <v>140136487.22382599</v>
      </c>
      <c r="T18" t="s">
        <v>96</v>
      </c>
      <c r="U18" t="s">
        <v>299</v>
      </c>
      <c r="V18">
        <v>1</v>
      </c>
      <c r="W18">
        <v>373.7</v>
      </c>
      <c r="X18">
        <v>361.5</v>
      </c>
      <c r="Y18">
        <v>0.45</v>
      </c>
      <c r="Z18">
        <v>86833153429.199997</v>
      </c>
      <c r="AA18">
        <v>0</v>
      </c>
      <c r="AB18">
        <v>0</v>
      </c>
      <c r="AC18">
        <v>16.898518750000001</v>
      </c>
      <c r="AD18">
        <v>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>
        <v>17</v>
      </c>
      <c r="BD18">
        <v>16.898518750000001</v>
      </c>
    </row>
    <row r="19" spans="1:56" x14ac:dyDescent="0.25">
      <c r="A19">
        <v>158</v>
      </c>
      <c r="B19" t="s">
        <v>165</v>
      </c>
      <c r="C19" t="s">
        <v>29</v>
      </c>
      <c r="D19" t="s">
        <v>69</v>
      </c>
      <c r="E19" t="s">
        <v>93</v>
      </c>
      <c r="F19">
        <v>17413389613</v>
      </c>
      <c r="G19">
        <v>5.6189999999999998</v>
      </c>
      <c r="H19" t="s">
        <v>97</v>
      </c>
      <c r="I19">
        <v>293767090.16672999</v>
      </c>
      <c r="J19">
        <v>325066381.92893302</v>
      </c>
      <c r="M19">
        <v>268153499.05000001</v>
      </c>
      <c r="N19">
        <v>23.324428999999999</v>
      </c>
      <c r="O19">
        <v>24.010738</v>
      </c>
      <c r="P19">
        <v>268929667.19718999</v>
      </c>
      <c r="Q19">
        <v>28.28163</v>
      </c>
      <c r="R19">
        <v>282868481.63398498</v>
      </c>
      <c r="S19">
        <v>329523646.21244597</v>
      </c>
      <c r="T19" t="s">
        <v>96</v>
      </c>
      <c r="U19" t="s">
        <v>205</v>
      </c>
      <c r="V19">
        <v>1</v>
      </c>
      <c r="W19">
        <v>5.7830000000000004</v>
      </c>
      <c r="X19">
        <v>5.6189999999999998</v>
      </c>
      <c r="Y19">
        <v>0.8</v>
      </c>
      <c r="Z19">
        <v>78276668988.357605</v>
      </c>
      <c r="AA19">
        <v>0</v>
      </c>
      <c r="AB19">
        <v>0</v>
      </c>
      <c r="AC19">
        <v>8.09</v>
      </c>
      <c r="AD19">
        <v>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>
        <v>18</v>
      </c>
      <c r="BD19">
        <v>8.09</v>
      </c>
    </row>
    <row r="20" spans="1:56" x14ac:dyDescent="0.25">
      <c r="A20">
        <v>64</v>
      </c>
      <c r="B20" t="s">
        <v>180</v>
      </c>
      <c r="C20" t="s">
        <v>16</v>
      </c>
      <c r="D20" t="s">
        <v>56</v>
      </c>
      <c r="E20" t="s">
        <v>89</v>
      </c>
      <c r="F20">
        <v>1116784757</v>
      </c>
      <c r="G20">
        <v>70.47</v>
      </c>
      <c r="H20" t="s">
        <v>97</v>
      </c>
      <c r="I20">
        <v>212917894.392795</v>
      </c>
      <c r="J20">
        <v>193406350.51875299</v>
      </c>
      <c r="M20">
        <v>196214994.42096701</v>
      </c>
      <c r="N20">
        <v>26.853807</v>
      </c>
      <c r="O20">
        <v>27.375444000000002</v>
      </c>
      <c r="P20">
        <v>192976695.211927</v>
      </c>
      <c r="Q20">
        <v>30.013380000000002</v>
      </c>
      <c r="R20">
        <v>208626228.82238901</v>
      </c>
      <c r="S20">
        <v>243014105.80956301</v>
      </c>
      <c r="T20" t="s">
        <v>96</v>
      </c>
      <c r="U20" t="s">
        <v>220</v>
      </c>
      <c r="V20">
        <v>1</v>
      </c>
      <c r="W20">
        <v>78.86</v>
      </c>
      <c r="X20">
        <v>70.47</v>
      </c>
      <c r="Y20">
        <v>0.95000000000000007</v>
      </c>
      <c r="Z20">
        <v>74764830734.500504</v>
      </c>
      <c r="AA20">
        <v>0</v>
      </c>
      <c r="AB20">
        <v>0</v>
      </c>
      <c r="AC20">
        <v>12.27173125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>
        <v>19</v>
      </c>
      <c r="BD20">
        <v>12.27173125</v>
      </c>
    </row>
    <row r="21" spans="1:56" x14ac:dyDescent="0.25">
      <c r="A21">
        <v>196</v>
      </c>
      <c r="B21" t="s">
        <v>178</v>
      </c>
      <c r="C21" t="s">
        <v>34</v>
      </c>
      <c r="D21" t="s">
        <v>74</v>
      </c>
      <c r="E21" t="s">
        <v>88</v>
      </c>
      <c r="F21">
        <v>130645070</v>
      </c>
      <c r="G21">
        <v>532.4</v>
      </c>
      <c r="H21" t="s">
        <v>97</v>
      </c>
      <c r="I21">
        <v>142614499.850593</v>
      </c>
      <c r="J21">
        <v>124943892.553333</v>
      </c>
      <c r="M21">
        <v>130284135.80833299</v>
      </c>
      <c r="N21">
        <v>21.038910000000001</v>
      </c>
      <c r="O21">
        <v>21.719397000000001</v>
      </c>
      <c r="P21">
        <v>125067300.40700001</v>
      </c>
      <c r="Q21">
        <v>25.573225000000001</v>
      </c>
      <c r="R21">
        <v>126417449.87424199</v>
      </c>
      <c r="S21">
        <v>147461314.67462799</v>
      </c>
      <c r="T21" t="s">
        <v>96</v>
      </c>
      <c r="U21" t="s">
        <v>218</v>
      </c>
      <c r="V21">
        <v>1</v>
      </c>
      <c r="W21">
        <v>557.79999999999995</v>
      </c>
      <c r="X21">
        <v>532.4</v>
      </c>
      <c r="Y21">
        <v>1</v>
      </c>
      <c r="Z21">
        <v>69555435268</v>
      </c>
      <c r="AA21">
        <v>0</v>
      </c>
      <c r="AB21">
        <v>0</v>
      </c>
      <c r="AC21">
        <v>11.755625</v>
      </c>
      <c r="AD21">
        <v>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>
        <v>20</v>
      </c>
      <c r="BD21">
        <v>11.755625</v>
      </c>
    </row>
    <row r="22" spans="1:56" x14ac:dyDescent="0.25">
      <c r="A22">
        <v>41</v>
      </c>
      <c r="B22" t="s">
        <v>194</v>
      </c>
      <c r="C22" t="s">
        <v>13</v>
      </c>
      <c r="D22" t="s">
        <v>53</v>
      </c>
      <c r="E22" t="s">
        <v>89</v>
      </c>
      <c r="F22">
        <v>2123594281</v>
      </c>
      <c r="G22">
        <v>38.14</v>
      </c>
      <c r="H22" t="s">
        <v>97</v>
      </c>
      <c r="I22">
        <v>159939019.05349001</v>
      </c>
      <c r="J22">
        <v>162393494.675733</v>
      </c>
      <c r="M22">
        <v>151563173.118258</v>
      </c>
      <c r="N22">
        <v>20.694818000000001</v>
      </c>
      <c r="O22">
        <v>21.842217999999999</v>
      </c>
      <c r="P22">
        <v>144296844.14829999</v>
      </c>
      <c r="Q22">
        <v>23.645367</v>
      </c>
      <c r="R22">
        <v>151847210.35128799</v>
      </c>
      <c r="S22">
        <v>176913247.69380099</v>
      </c>
      <c r="T22" t="s">
        <v>96</v>
      </c>
      <c r="U22" t="s">
        <v>234</v>
      </c>
      <c r="V22">
        <v>1</v>
      </c>
      <c r="W22">
        <v>40.549999999999997</v>
      </c>
      <c r="X22">
        <v>38.14</v>
      </c>
      <c r="Y22">
        <v>0.85000000000000009</v>
      </c>
      <c r="Z22">
        <v>68844802995.739014</v>
      </c>
      <c r="AA22">
        <v>0</v>
      </c>
      <c r="AB22">
        <v>0</v>
      </c>
      <c r="AC22">
        <v>13.9274375</v>
      </c>
      <c r="AD22">
        <v>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>
        <v>21</v>
      </c>
      <c r="BD22">
        <v>13.9274375</v>
      </c>
    </row>
    <row r="23" spans="1:56" x14ac:dyDescent="0.25">
      <c r="A23">
        <v>216</v>
      </c>
      <c r="B23" t="s">
        <v>197</v>
      </c>
      <c r="C23" t="s">
        <v>37</v>
      </c>
      <c r="D23" t="s">
        <v>77</v>
      </c>
      <c r="E23" t="s">
        <v>91</v>
      </c>
      <c r="F23">
        <v>2378947836</v>
      </c>
      <c r="G23">
        <v>56.62</v>
      </c>
      <c r="H23" t="s">
        <v>97</v>
      </c>
      <c r="I23">
        <v>131511670.27002899</v>
      </c>
      <c r="J23">
        <v>107177149.638</v>
      </c>
      <c r="M23">
        <v>115867344.15424199</v>
      </c>
      <c r="N23">
        <v>23.927814000000001</v>
      </c>
      <c r="O23">
        <v>24.204713999999999</v>
      </c>
      <c r="P23">
        <v>111492686.25077499</v>
      </c>
      <c r="Q23">
        <v>29.40259</v>
      </c>
      <c r="R23">
        <v>119234242.236591</v>
      </c>
      <c r="S23">
        <v>139066300.627534</v>
      </c>
      <c r="T23" t="s">
        <v>96</v>
      </c>
      <c r="U23" t="s">
        <v>237</v>
      </c>
      <c r="V23">
        <v>1</v>
      </c>
      <c r="W23">
        <v>52.46</v>
      </c>
      <c r="X23">
        <v>56.62</v>
      </c>
      <c r="Y23">
        <v>0.5</v>
      </c>
      <c r="Z23">
        <v>67348013237.160004</v>
      </c>
      <c r="AA23">
        <v>0</v>
      </c>
      <c r="AB23">
        <v>0</v>
      </c>
      <c r="AC23">
        <v>14.346012500000001</v>
      </c>
      <c r="AD23">
        <v>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>
        <v>22</v>
      </c>
      <c r="BD23">
        <v>14.346012500000001</v>
      </c>
    </row>
    <row r="24" spans="1:56" x14ac:dyDescent="0.25">
      <c r="A24">
        <v>225</v>
      </c>
      <c r="B24" t="s">
        <v>166</v>
      </c>
      <c r="C24" t="s">
        <v>38</v>
      </c>
      <c r="D24" t="s">
        <v>78</v>
      </c>
      <c r="E24" t="s">
        <v>91</v>
      </c>
      <c r="F24">
        <v>1907070957</v>
      </c>
      <c r="G24">
        <v>35.28</v>
      </c>
      <c r="H24" t="s">
        <v>97</v>
      </c>
      <c r="I24">
        <v>35151618.017999999</v>
      </c>
      <c r="J24">
        <v>38042578.714666702</v>
      </c>
      <c r="M24">
        <v>29814886.367424201</v>
      </c>
      <c r="N24">
        <v>20.830658</v>
      </c>
      <c r="O24">
        <v>22.413506000000002</v>
      </c>
      <c r="P24">
        <v>31979316.750999998</v>
      </c>
      <c r="Q24">
        <v>23.983384999999998</v>
      </c>
      <c r="R24">
        <v>32638215.1919697</v>
      </c>
      <c r="S24">
        <v>38012064.798709601</v>
      </c>
      <c r="T24" t="s">
        <v>96</v>
      </c>
      <c r="U24" t="s">
        <v>206</v>
      </c>
      <c r="V24">
        <v>1</v>
      </c>
      <c r="W24">
        <v>34.659999999999997</v>
      </c>
      <c r="X24">
        <v>35.28</v>
      </c>
      <c r="Y24">
        <v>1</v>
      </c>
      <c r="Z24">
        <v>67281463362.959999</v>
      </c>
      <c r="AA24">
        <v>0</v>
      </c>
      <c r="AB24">
        <v>0</v>
      </c>
      <c r="AC24">
        <v>8.1090937499999995</v>
      </c>
      <c r="AD24">
        <v>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>
        <v>23</v>
      </c>
      <c r="BD24">
        <v>8.1090937499999995</v>
      </c>
    </row>
    <row r="25" spans="1:56" x14ac:dyDescent="0.25">
      <c r="A25">
        <v>147</v>
      </c>
      <c r="B25" t="s">
        <v>181</v>
      </c>
      <c r="C25" t="s">
        <v>25</v>
      </c>
      <c r="D25" t="s">
        <v>65</v>
      </c>
      <c r="E25" t="s">
        <v>89</v>
      </c>
      <c r="F25">
        <v>105569412</v>
      </c>
      <c r="G25">
        <v>2124</v>
      </c>
      <c r="H25" t="s">
        <v>97</v>
      </c>
      <c r="I25">
        <v>140008736.488242</v>
      </c>
      <c r="J25">
        <v>99979651.600199997</v>
      </c>
      <c r="M25">
        <v>119493976.65531699</v>
      </c>
      <c r="N25">
        <v>26.302942000000002</v>
      </c>
      <c r="O25">
        <v>28.087807000000002</v>
      </c>
      <c r="P25">
        <v>114540131.815018</v>
      </c>
      <c r="Q25">
        <v>27.303678999999999</v>
      </c>
      <c r="R25">
        <v>113541795.810633</v>
      </c>
      <c r="S25">
        <v>132334098.846276</v>
      </c>
      <c r="T25" t="s">
        <v>96</v>
      </c>
      <c r="U25" t="s">
        <v>221</v>
      </c>
      <c r="V25">
        <v>1</v>
      </c>
      <c r="W25">
        <v>2159</v>
      </c>
      <c r="X25">
        <v>2124</v>
      </c>
      <c r="Y25">
        <v>0.3</v>
      </c>
      <c r="Z25">
        <v>67268829326.400009</v>
      </c>
      <c r="AA25">
        <v>0</v>
      </c>
      <c r="AB25">
        <v>0</v>
      </c>
      <c r="AC25">
        <v>12.35406036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>
        <v>24</v>
      </c>
      <c r="BD25">
        <v>12.35406036</v>
      </c>
    </row>
    <row r="26" spans="1:56" x14ac:dyDescent="0.25">
      <c r="A26">
        <v>155</v>
      </c>
      <c r="B26" t="s">
        <v>200</v>
      </c>
      <c r="C26" t="s">
        <v>28</v>
      </c>
      <c r="D26" t="s">
        <v>68</v>
      </c>
      <c r="E26" t="s">
        <v>91</v>
      </c>
      <c r="F26">
        <v>3021542868</v>
      </c>
      <c r="G26">
        <v>21.515000000000001</v>
      </c>
      <c r="H26" t="s">
        <v>97</v>
      </c>
      <c r="I26">
        <v>170408597.703926</v>
      </c>
      <c r="J26">
        <v>152586669.825167</v>
      </c>
      <c r="M26">
        <v>155114984.77874199</v>
      </c>
      <c r="N26">
        <v>20.634764000000001</v>
      </c>
      <c r="O26">
        <v>21.073732</v>
      </c>
      <c r="P26">
        <v>153214078.20695001</v>
      </c>
      <c r="Q26">
        <v>26.629899999999999</v>
      </c>
      <c r="R26">
        <v>159444477.67242399</v>
      </c>
      <c r="S26">
        <v>185876374.37553799</v>
      </c>
      <c r="T26" t="s">
        <v>96</v>
      </c>
      <c r="U26" t="s">
        <v>240</v>
      </c>
      <c r="V26">
        <v>1</v>
      </c>
      <c r="W26">
        <v>23.38</v>
      </c>
      <c r="X26">
        <v>21.515000000000001</v>
      </c>
      <c r="Y26">
        <v>1</v>
      </c>
      <c r="Z26">
        <v>65008494805.019997</v>
      </c>
      <c r="AA26">
        <v>0</v>
      </c>
      <c r="AB26">
        <v>0</v>
      </c>
      <c r="AC26">
        <v>15.399255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>
        <v>25</v>
      </c>
      <c r="BD26">
        <v>15.399255</v>
      </c>
    </row>
    <row r="27" spans="1:56" x14ac:dyDescent="0.25">
      <c r="A27">
        <v>291</v>
      </c>
      <c r="B27" t="s">
        <v>259</v>
      </c>
      <c r="C27" t="s">
        <v>276</v>
      </c>
      <c r="D27" t="s">
        <v>293</v>
      </c>
      <c r="E27" t="s">
        <v>89</v>
      </c>
      <c r="F27">
        <v>586933775</v>
      </c>
      <c r="G27">
        <v>119.2</v>
      </c>
      <c r="H27" t="s">
        <v>97</v>
      </c>
      <c r="I27">
        <v>113543783.84716199</v>
      </c>
      <c r="J27">
        <v>82508689.396653295</v>
      </c>
      <c r="M27">
        <v>105480357.709933</v>
      </c>
      <c r="N27">
        <v>19.922636000000001</v>
      </c>
      <c r="O27">
        <v>21.265522000000001</v>
      </c>
      <c r="P27">
        <v>100628671.517362</v>
      </c>
      <c r="Q27">
        <v>20.998957000000001</v>
      </c>
      <c r="R27">
        <v>102877582.43767001</v>
      </c>
      <c r="S27">
        <v>119926911.732161</v>
      </c>
      <c r="T27" t="s">
        <v>96</v>
      </c>
      <c r="U27" t="s">
        <v>314</v>
      </c>
      <c r="V27">
        <v>1</v>
      </c>
      <c r="W27">
        <v>120.45</v>
      </c>
      <c r="X27">
        <v>119.2</v>
      </c>
      <c r="Y27">
        <v>0.9</v>
      </c>
      <c r="Z27">
        <v>62966255382</v>
      </c>
      <c r="AA27">
        <v>0</v>
      </c>
      <c r="AB27">
        <v>0</v>
      </c>
      <c r="AC27">
        <v>23.81601165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>
        <v>26</v>
      </c>
      <c r="BD27">
        <v>23.81601165</v>
      </c>
    </row>
    <row r="28" spans="1:56" x14ac:dyDescent="0.25">
      <c r="A28">
        <v>92</v>
      </c>
      <c r="B28" t="s">
        <v>168</v>
      </c>
      <c r="C28" t="s">
        <v>19</v>
      </c>
      <c r="D28" t="s">
        <v>59</v>
      </c>
      <c r="E28" t="s">
        <v>88</v>
      </c>
      <c r="F28">
        <v>1948252900</v>
      </c>
      <c r="G28">
        <v>29.385000000000002</v>
      </c>
      <c r="H28" t="s">
        <v>97</v>
      </c>
      <c r="I28">
        <v>170153144.36817199</v>
      </c>
      <c r="J28">
        <v>162831730.796</v>
      </c>
      <c r="M28">
        <v>168472774.81662899</v>
      </c>
      <c r="N28">
        <v>30.730796999999999</v>
      </c>
      <c r="O28">
        <v>30.842863000000001</v>
      </c>
      <c r="P28">
        <v>170715450.21277499</v>
      </c>
      <c r="Q28">
        <v>36.20055</v>
      </c>
      <c r="R28">
        <v>177981689.83113599</v>
      </c>
      <c r="S28">
        <v>207685531.526611</v>
      </c>
      <c r="T28" t="s">
        <v>96</v>
      </c>
      <c r="U28" t="s">
        <v>208</v>
      </c>
      <c r="V28">
        <v>1</v>
      </c>
      <c r="W28">
        <v>31.81</v>
      </c>
      <c r="X28">
        <v>29.385000000000002</v>
      </c>
      <c r="Y28">
        <v>1</v>
      </c>
      <c r="Z28">
        <v>57249411466.5</v>
      </c>
      <c r="AA28">
        <v>0</v>
      </c>
      <c r="AB28">
        <v>0</v>
      </c>
      <c r="AC28">
        <v>8.9654924999999999</v>
      </c>
      <c r="AD28">
        <v>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>
        <v>27</v>
      </c>
      <c r="BD28">
        <v>8.9654924999999999</v>
      </c>
    </row>
    <row r="29" spans="1:56" x14ac:dyDescent="0.25">
      <c r="A29">
        <v>3</v>
      </c>
      <c r="B29" t="s">
        <v>256</v>
      </c>
      <c r="C29" t="s">
        <v>273</v>
      </c>
      <c r="D29" t="s">
        <v>290</v>
      </c>
      <c r="E29" t="s">
        <v>94</v>
      </c>
      <c r="F29">
        <v>1797199973</v>
      </c>
      <c r="G29">
        <v>54.4</v>
      </c>
      <c r="H29" t="s">
        <v>97</v>
      </c>
      <c r="I29">
        <v>99692315.117411703</v>
      </c>
      <c r="J29">
        <v>86159215.122666702</v>
      </c>
      <c r="M29">
        <v>85234178.569962099</v>
      </c>
      <c r="N29">
        <v>24.127241000000001</v>
      </c>
      <c r="O29">
        <v>26.022393999999998</v>
      </c>
      <c r="P29">
        <v>76696295.864549994</v>
      </c>
      <c r="Q29">
        <v>23.205466999999999</v>
      </c>
      <c r="R29">
        <v>73898708.7979545</v>
      </c>
      <c r="S29">
        <v>86128671.132137001</v>
      </c>
      <c r="T29" t="s">
        <v>96</v>
      </c>
      <c r="U29" t="s">
        <v>311</v>
      </c>
      <c r="V29">
        <v>1</v>
      </c>
      <c r="W29">
        <v>54.86</v>
      </c>
      <c r="X29">
        <v>54.4</v>
      </c>
      <c r="Y29">
        <v>0.55000000000000004</v>
      </c>
      <c r="Z29">
        <v>53772223192.160004</v>
      </c>
      <c r="AA29">
        <v>0</v>
      </c>
      <c r="AB29">
        <v>0</v>
      </c>
      <c r="AC29">
        <v>21.5287425</v>
      </c>
      <c r="AD29">
        <v>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>
        <v>28</v>
      </c>
      <c r="BD29">
        <v>21.5287425</v>
      </c>
    </row>
    <row r="30" spans="1:56" x14ac:dyDescent="0.25">
      <c r="A30">
        <v>87</v>
      </c>
      <c r="B30" t="s">
        <v>182</v>
      </c>
      <c r="C30" t="s">
        <v>18</v>
      </c>
      <c r="D30" t="s">
        <v>58</v>
      </c>
      <c r="E30" t="s">
        <v>89</v>
      </c>
      <c r="F30">
        <v>681394483</v>
      </c>
      <c r="G30">
        <v>78.459999999999994</v>
      </c>
      <c r="H30" t="s">
        <v>97</v>
      </c>
      <c r="I30">
        <v>89187470.845429093</v>
      </c>
      <c r="J30">
        <v>77875664.540000007</v>
      </c>
      <c r="M30">
        <v>76458845.763063699</v>
      </c>
      <c r="N30">
        <v>18.218976999999999</v>
      </c>
      <c r="O30">
        <v>19.518609999999999</v>
      </c>
      <c r="P30">
        <v>75441701.222443998</v>
      </c>
      <c r="Q30">
        <v>19.109919999999999</v>
      </c>
      <c r="R30">
        <v>74833743.850218207</v>
      </c>
      <c r="S30">
        <v>87189947.560488701</v>
      </c>
      <c r="T30" t="s">
        <v>96</v>
      </c>
      <c r="U30" t="s">
        <v>222</v>
      </c>
      <c r="V30">
        <v>1</v>
      </c>
      <c r="W30">
        <v>76.98</v>
      </c>
      <c r="X30">
        <v>78.459999999999994</v>
      </c>
      <c r="Y30">
        <v>0.95000000000000007</v>
      </c>
      <c r="Z30">
        <v>50789100579.370987</v>
      </c>
      <c r="AA30">
        <v>0</v>
      </c>
      <c r="AB30">
        <v>0</v>
      </c>
      <c r="AC30">
        <v>12.54371181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>
        <v>29</v>
      </c>
      <c r="BD30">
        <v>12.54371181</v>
      </c>
    </row>
    <row r="31" spans="1:56" x14ac:dyDescent="0.25">
      <c r="A31">
        <v>152</v>
      </c>
      <c r="B31" t="s">
        <v>176</v>
      </c>
      <c r="C31" t="s">
        <v>26</v>
      </c>
      <c r="D31" t="s">
        <v>66</v>
      </c>
      <c r="E31" t="s">
        <v>90</v>
      </c>
      <c r="F31">
        <v>3116652000</v>
      </c>
      <c r="G31">
        <v>46.54</v>
      </c>
      <c r="H31" t="s">
        <v>97</v>
      </c>
      <c r="I31">
        <v>109772676.08406</v>
      </c>
      <c r="J31">
        <v>142026480.02399999</v>
      </c>
      <c r="M31">
        <v>106887525.11382601</v>
      </c>
      <c r="N31">
        <v>23.16405</v>
      </c>
      <c r="O31">
        <v>23.343883999999999</v>
      </c>
      <c r="P31">
        <v>107928229.6776</v>
      </c>
      <c r="Q31">
        <v>25.288754999999998</v>
      </c>
      <c r="R31">
        <v>121435820.174242</v>
      </c>
      <c r="S31">
        <v>141326631.93808499</v>
      </c>
      <c r="T31" t="s">
        <v>96</v>
      </c>
      <c r="U31" t="s">
        <v>216</v>
      </c>
      <c r="V31">
        <v>1</v>
      </c>
      <c r="W31">
        <v>54.56</v>
      </c>
      <c r="X31">
        <v>46.54</v>
      </c>
      <c r="Y31">
        <v>0.35</v>
      </c>
      <c r="Z31">
        <v>50767144428</v>
      </c>
      <c r="AA31">
        <v>0</v>
      </c>
      <c r="AB31">
        <v>0</v>
      </c>
      <c r="AC31">
        <v>10.810387499999999</v>
      </c>
      <c r="AD31">
        <v>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>
        <v>30</v>
      </c>
      <c r="BD31">
        <v>10.810387499999999</v>
      </c>
    </row>
    <row r="32" spans="1:56" x14ac:dyDescent="0.25">
      <c r="A32">
        <v>32</v>
      </c>
      <c r="B32" t="s">
        <v>261</v>
      </c>
      <c r="C32" t="s">
        <v>278</v>
      </c>
      <c r="D32" t="s">
        <v>295</v>
      </c>
      <c r="E32" t="s">
        <v>94</v>
      </c>
      <c r="F32">
        <v>61568926</v>
      </c>
      <c r="G32">
        <v>800.4</v>
      </c>
      <c r="H32" t="s">
        <v>97</v>
      </c>
      <c r="I32">
        <v>49963237.465294197</v>
      </c>
      <c r="J32">
        <v>55411929.293333299</v>
      </c>
      <c r="M32">
        <v>56477555.834469698</v>
      </c>
      <c r="N32">
        <v>32.719334000000003</v>
      </c>
      <c r="O32">
        <v>33.887419999999999</v>
      </c>
      <c r="P32">
        <v>62904879.689000003</v>
      </c>
      <c r="Q32">
        <v>36.607117000000002</v>
      </c>
      <c r="R32">
        <v>71799660.425757498</v>
      </c>
      <c r="S32">
        <v>83818950.664562598</v>
      </c>
      <c r="T32" t="s">
        <v>96</v>
      </c>
      <c r="U32" t="s">
        <v>316</v>
      </c>
      <c r="V32">
        <v>1</v>
      </c>
      <c r="W32">
        <v>726.6</v>
      </c>
      <c r="X32">
        <v>800.4</v>
      </c>
      <c r="Y32">
        <v>1</v>
      </c>
      <c r="Z32">
        <v>49279768370.400002</v>
      </c>
      <c r="AA32">
        <v>0</v>
      </c>
      <c r="AB32">
        <v>0</v>
      </c>
      <c r="AC32">
        <v>24.860810619999999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>
        <v>31</v>
      </c>
      <c r="BD32">
        <v>24.860810619999999</v>
      </c>
    </row>
    <row r="33" spans="1:56" x14ac:dyDescent="0.25">
      <c r="A33">
        <v>204</v>
      </c>
      <c r="B33" t="s">
        <v>185</v>
      </c>
      <c r="C33" t="s">
        <v>36</v>
      </c>
      <c r="D33" t="s">
        <v>76</v>
      </c>
      <c r="E33" t="s">
        <v>95</v>
      </c>
      <c r="F33">
        <v>3442514600</v>
      </c>
      <c r="G33">
        <v>14.69</v>
      </c>
      <c r="H33" t="s">
        <v>97</v>
      </c>
      <c r="I33">
        <v>66453499.368433803</v>
      </c>
      <c r="J33">
        <v>63414555.982666701</v>
      </c>
      <c r="M33">
        <v>54290958.423692301</v>
      </c>
      <c r="N33">
        <v>18.596834000000001</v>
      </c>
      <c r="O33">
        <v>18.859200999999999</v>
      </c>
      <c r="P33">
        <v>52763447.971100003</v>
      </c>
      <c r="Q33">
        <v>23.394123</v>
      </c>
      <c r="R33">
        <v>54685575.574848503</v>
      </c>
      <c r="S33">
        <v>63718870.813999698</v>
      </c>
      <c r="T33" t="s">
        <v>96</v>
      </c>
      <c r="U33" t="s">
        <v>225</v>
      </c>
      <c r="V33">
        <v>1</v>
      </c>
      <c r="W33">
        <v>15.49</v>
      </c>
      <c r="X33">
        <v>14.69</v>
      </c>
      <c r="Y33">
        <v>0.95</v>
      </c>
      <c r="Z33">
        <v>48042012500.300003</v>
      </c>
      <c r="AA33">
        <v>0</v>
      </c>
      <c r="AB33">
        <v>0</v>
      </c>
      <c r="AC33">
        <v>13.146229999999999</v>
      </c>
      <c r="AD33">
        <v>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>
        <v>32</v>
      </c>
      <c r="BD33">
        <v>13.146229999999999</v>
      </c>
    </row>
    <row r="34" spans="1:56" x14ac:dyDescent="0.25">
      <c r="A34">
        <v>94</v>
      </c>
      <c r="B34" t="s">
        <v>246</v>
      </c>
      <c r="C34" t="s">
        <v>100</v>
      </c>
      <c r="D34" t="s">
        <v>106</v>
      </c>
      <c r="E34" t="s">
        <v>88</v>
      </c>
      <c r="F34">
        <v>1200000000</v>
      </c>
      <c r="G34">
        <v>43</v>
      </c>
      <c r="H34" t="s">
        <v>97</v>
      </c>
      <c r="I34">
        <v>87052822.919011801</v>
      </c>
      <c r="J34">
        <v>78161804.726999998</v>
      </c>
      <c r="M34">
        <v>68178803.427992404</v>
      </c>
      <c r="N34">
        <v>23.509927999999999</v>
      </c>
      <c r="O34">
        <v>24.419294000000001</v>
      </c>
      <c r="P34">
        <v>63448323.867550001</v>
      </c>
      <c r="Q34">
        <v>26.919172</v>
      </c>
      <c r="R34">
        <v>61781740.444696903</v>
      </c>
      <c r="S34">
        <v>71999492.791794896</v>
      </c>
      <c r="T34" t="s">
        <v>96</v>
      </c>
      <c r="U34" t="s">
        <v>301</v>
      </c>
      <c r="V34">
        <v>1</v>
      </c>
      <c r="W34">
        <v>46.72</v>
      </c>
      <c r="X34">
        <v>43</v>
      </c>
      <c r="Y34">
        <v>0.85</v>
      </c>
      <c r="Z34">
        <v>43860000000</v>
      </c>
      <c r="AA34">
        <v>0</v>
      </c>
      <c r="AB34">
        <v>0</v>
      </c>
      <c r="AC34">
        <v>17.27393125</v>
      </c>
      <c r="AD34">
        <v>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>
        <v>33</v>
      </c>
      <c r="BD34">
        <v>17.27393125</v>
      </c>
    </row>
    <row r="35" spans="1:56" x14ac:dyDescent="0.25">
      <c r="A35">
        <v>154</v>
      </c>
      <c r="B35" t="s">
        <v>203</v>
      </c>
      <c r="C35" t="s">
        <v>27</v>
      </c>
      <c r="D35" t="s">
        <v>67</v>
      </c>
      <c r="E35" t="s">
        <v>88</v>
      </c>
      <c r="F35">
        <v>1305921100</v>
      </c>
      <c r="G35">
        <v>31.695</v>
      </c>
      <c r="H35" t="s">
        <v>97</v>
      </c>
      <c r="I35">
        <v>142818936.84270799</v>
      </c>
      <c r="J35">
        <v>154722964.08966699</v>
      </c>
      <c r="M35">
        <v>130403003.532235</v>
      </c>
      <c r="N35">
        <v>32.71463</v>
      </c>
      <c r="O35">
        <v>34.115989999999996</v>
      </c>
      <c r="P35">
        <v>126611680.444575</v>
      </c>
      <c r="Q35">
        <v>38.333489999999998</v>
      </c>
      <c r="R35">
        <v>125630830.533409</v>
      </c>
      <c r="S35">
        <v>146351395.30293599</v>
      </c>
      <c r="T35" t="s">
        <v>96</v>
      </c>
      <c r="U35" t="s">
        <v>243</v>
      </c>
      <c r="V35">
        <v>1</v>
      </c>
      <c r="W35">
        <v>36</v>
      </c>
      <c r="X35">
        <v>31.695</v>
      </c>
      <c r="Y35">
        <v>1</v>
      </c>
      <c r="Z35">
        <v>41391169264.5</v>
      </c>
      <c r="AA35">
        <v>0</v>
      </c>
      <c r="AB35">
        <v>0</v>
      </c>
      <c r="AC35">
        <v>16.601476250000001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>
        <v>34</v>
      </c>
      <c r="BD35">
        <v>16.601476250000001</v>
      </c>
    </row>
    <row r="36" spans="1:56" x14ac:dyDescent="0.25">
      <c r="A36">
        <v>93</v>
      </c>
      <c r="B36" t="s">
        <v>184</v>
      </c>
      <c r="C36" t="s">
        <v>20</v>
      </c>
      <c r="D36" t="s">
        <v>60</v>
      </c>
      <c r="E36" t="s">
        <v>88</v>
      </c>
      <c r="F36">
        <v>188300000</v>
      </c>
      <c r="G36">
        <v>218.9</v>
      </c>
      <c r="H36" t="s">
        <v>97</v>
      </c>
      <c r="I36">
        <v>92217904.973122507</v>
      </c>
      <c r="J36">
        <v>87659123.730000004</v>
      </c>
      <c r="M36">
        <v>82567655.923484802</v>
      </c>
      <c r="N36">
        <v>18.901009999999999</v>
      </c>
      <c r="O36">
        <v>19.265366</v>
      </c>
      <c r="P36">
        <v>80430486.472000003</v>
      </c>
      <c r="Q36">
        <v>23.373327</v>
      </c>
      <c r="R36">
        <v>80560922.512878805</v>
      </c>
      <c r="S36">
        <v>93941883.061751395</v>
      </c>
      <c r="T36" t="s">
        <v>96</v>
      </c>
      <c r="U36" t="s">
        <v>224</v>
      </c>
      <c r="V36">
        <v>1</v>
      </c>
      <c r="W36">
        <v>217.4</v>
      </c>
      <c r="X36">
        <v>218.9</v>
      </c>
      <c r="Y36">
        <v>1</v>
      </c>
      <c r="Z36">
        <v>41218870000</v>
      </c>
      <c r="AA36">
        <v>0</v>
      </c>
      <c r="AB36">
        <v>0</v>
      </c>
      <c r="AC36">
        <v>12.979156250000001</v>
      </c>
      <c r="AD36">
        <v>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>
        <v>35</v>
      </c>
      <c r="BD36">
        <v>12.979156250000001</v>
      </c>
    </row>
    <row r="37" spans="1:56" x14ac:dyDescent="0.25">
      <c r="A37">
        <v>189</v>
      </c>
      <c r="B37" t="s">
        <v>199</v>
      </c>
      <c r="C37" t="s">
        <v>33</v>
      </c>
      <c r="D37" t="s">
        <v>73</v>
      </c>
      <c r="E37" t="s">
        <v>88</v>
      </c>
      <c r="F37">
        <v>962903700</v>
      </c>
      <c r="G37">
        <v>57.02</v>
      </c>
      <c r="H37" t="s">
        <v>97</v>
      </c>
      <c r="I37">
        <v>136324185.154773</v>
      </c>
      <c r="J37">
        <v>120781586.081</v>
      </c>
      <c r="M37">
        <v>108912429.66178</v>
      </c>
      <c r="N37">
        <v>25.013836000000001</v>
      </c>
      <c r="O37">
        <v>25.060022</v>
      </c>
      <c r="P37">
        <v>108855975.98317499</v>
      </c>
      <c r="Q37">
        <v>27.681898</v>
      </c>
      <c r="R37">
        <v>111281305.090985</v>
      </c>
      <c r="S37">
        <v>129699924.29912101</v>
      </c>
      <c r="T37" t="s">
        <v>96</v>
      </c>
      <c r="U37" t="s">
        <v>239</v>
      </c>
      <c r="V37">
        <v>1</v>
      </c>
      <c r="W37">
        <v>60.53</v>
      </c>
      <c r="X37">
        <v>57.02</v>
      </c>
      <c r="Y37">
        <v>0.75</v>
      </c>
      <c r="Z37">
        <v>41178576730.5</v>
      </c>
      <c r="AA37">
        <v>0</v>
      </c>
      <c r="AB37">
        <v>0</v>
      </c>
      <c r="AC37">
        <v>15.077518749999999</v>
      </c>
      <c r="AD37">
        <v>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>
        <v>36</v>
      </c>
      <c r="BD37">
        <v>15.077518749999999</v>
      </c>
    </row>
    <row r="38" spans="1:56" x14ac:dyDescent="0.25">
      <c r="A38">
        <v>13</v>
      </c>
      <c r="B38" t="s">
        <v>253</v>
      </c>
      <c r="C38" t="s">
        <v>270</v>
      </c>
      <c r="D38" t="s">
        <v>287</v>
      </c>
      <c r="E38" t="s">
        <v>91</v>
      </c>
      <c r="F38">
        <v>31523640</v>
      </c>
      <c r="G38">
        <v>1301</v>
      </c>
      <c r="H38" t="s">
        <v>97</v>
      </c>
      <c r="I38">
        <v>109823749.781176</v>
      </c>
      <c r="J38">
        <v>95677391.346666694</v>
      </c>
      <c r="M38">
        <v>104933001.11287899</v>
      </c>
      <c r="N38">
        <v>32.805312999999998</v>
      </c>
      <c r="O38">
        <v>33.215983999999999</v>
      </c>
      <c r="P38">
        <v>99682518.983999893</v>
      </c>
      <c r="Q38">
        <v>35.799624999999999</v>
      </c>
      <c r="R38">
        <v>91669504.327272698</v>
      </c>
      <c r="S38">
        <v>106864711.33240899</v>
      </c>
      <c r="T38" t="s">
        <v>96</v>
      </c>
      <c r="U38" t="s">
        <v>308</v>
      </c>
      <c r="V38">
        <v>1</v>
      </c>
      <c r="W38">
        <v>1350.4</v>
      </c>
      <c r="X38">
        <v>1301</v>
      </c>
      <c r="Y38">
        <v>1</v>
      </c>
      <c r="Z38">
        <v>41012255640</v>
      </c>
      <c r="AA38">
        <v>0</v>
      </c>
      <c r="AB38">
        <v>0</v>
      </c>
      <c r="AC38">
        <v>19.638052779999999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>
        <v>37</v>
      </c>
      <c r="BD38">
        <v>19.638052779999999</v>
      </c>
    </row>
    <row r="39" spans="1:56" x14ac:dyDescent="0.25">
      <c r="A39">
        <v>119</v>
      </c>
      <c r="B39" t="s">
        <v>255</v>
      </c>
      <c r="C39" t="s">
        <v>272</v>
      </c>
      <c r="D39" t="s">
        <v>289</v>
      </c>
      <c r="E39" t="s">
        <v>93</v>
      </c>
      <c r="F39">
        <v>193923499</v>
      </c>
      <c r="G39">
        <v>337.2</v>
      </c>
      <c r="H39" t="s">
        <v>97</v>
      </c>
      <c r="I39">
        <v>159191933.28095201</v>
      </c>
      <c r="J39">
        <v>196710223.32333401</v>
      </c>
      <c r="M39">
        <v>161076798.34389299</v>
      </c>
      <c r="N39">
        <v>36.226227000000002</v>
      </c>
      <c r="O39">
        <v>39.110584000000003</v>
      </c>
      <c r="P39">
        <v>175205141.329</v>
      </c>
      <c r="Q39">
        <v>34.986396999999997</v>
      </c>
      <c r="R39">
        <v>196771513.91818199</v>
      </c>
      <c r="S39">
        <v>228887602.858601</v>
      </c>
      <c r="T39" t="s">
        <v>96</v>
      </c>
      <c r="U39" t="s">
        <v>310</v>
      </c>
      <c r="V39">
        <v>1</v>
      </c>
      <c r="W39">
        <v>314.5</v>
      </c>
      <c r="X39">
        <v>337.2</v>
      </c>
      <c r="Y39">
        <v>0.60000000000000009</v>
      </c>
      <c r="Z39">
        <v>39234602317.680008</v>
      </c>
      <c r="AA39">
        <v>0</v>
      </c>
      <c r="AB39">
        <v>0</v>
      </c>
      <c r="AC39">
        <v>21.344762500000002</v>
      </c>
      <c r="AD39">
        <v>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>
        <v>38</v>
      </c>
      <c r="BD39">
        <v>21.344762500000002</v>
      </c>
    </row>
    <row r="40" spans="1:56" x14ac:dyDescent="0.25">
      <c r="A40">
        <v>54</v>
      </c>
      <c r="B40" t="s">
        <v>263</v>
      </c>
      <c r="C40" t="s">
        <v>280</v>
      </c>
      <c r="D40" t="s">
        <v>297</v>
      </c>
      <c r="E40" t="s">
        <v>88</v>
      </c>
      <c r="F40">
        <v>893854900</v>
      </c>
      <c r="G40">
        <v>43.79</v>
      </c>
      <c r="H40" t="s">
        <v>97</v>
      </c>
      <c r="I40">
        <v>122880079.22833</v>
      </c>
      <c r="J40">
        <v>99043942.280333295</v>
      </c>
      <c r="M40">
        <v>102948988.85159101</v>
      </c>
      <c r="N40">
        <v>24.359500000000001</v>
      </c>
      <c r="O40">
        <v>24.48902</v>
      </c>
      <c r="P40">
        <v>102183569.09805</v>
      </c>
      <c r="Q40">
        <v>26.716286</v>
      </c>
      <c r="R40">
        <v>92868303.067121193</v>
      </c>
      <c r="S40">
        <v>108191934.593705</v>
      </c>
      <c r="T40" t="s">
        <v>96</v>
      </c>
      <c r="U40" t="s">
        <v>318</v>
      </c>
      <c r="V40">
        <v>1</v>
      </c>
      <c r="W40">
        <v>44.52</v>
      </c>
      <c r="X40">
        <v>43.79</v>
      </c>
      <c r="Y40">
        <v>1</v>
      </c>
      <c r="Z40">
        <v>39141906071</v>
      </c>
      <c r="AA40">
        <v>0</v>
      </c>
      <c r="AB40">
        <v>0</v>
      </c>
      <c r="AC40">
        <v>25.368255000000001</v>
      </c>
      <c r="AD40">
        <v>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>
        <v>39</v>
      </c>
      <c r="BD40">
        <v>25.368255000000001</v>
      </c>
    </row>
    <row r="41" spans="1:56" x14ac:dyDescent="0.25">
      <c r="A41">
        <v>255</v>
      </c>
      <c r="B41" t="s">
        <v>188</v>
      </c>
      <c r="C41" t="s">
        <v>43</v>
      </c>
      <c r="D41" t="s">
        <v>83</v>
      </c>
      <c r="E41" t="s">
        <v>89</v>
      </c>
      <c r="F41">
        <v>766894786</v>
      </c>
      <c r="G41">
        <v>56.54</v>
      </c>
      <c r="H41" t="s">
        <v>97</v>
      </c>
      <c r="I41">
        <v>116670932.84463499</v>
      </c>
      <c r="J41">
        <v>106274498.25399999</v>
      </c>
      <c r="M41">
        <v>110451050.100033</v>
      </c>
      <c r="N41">
        <v>31.680330000000001</v>
      </c>
      <c r="O41">
        <v>32.316142999999997</v>
      </c>
      <c r="P41">
        <v>112619549.641993</v>
      </c>
      <c r="Q41">
        <v>34.544589999999999</v>
      </c>
      <c r="R41">
        <v>120101190.28756499</v>
      </c>
      <c r="S41">
        <v>139982609.69790301</v>
      </c>
      <c r="T41" t="s">
        <v>96</v>
      </c>
      <c r="U41" t="s">
        <v>228</v>
      </c>
      <c r="V41">
        <v>1</v>
      </c>
      <c r="W41">
        <v>64.36</v>
      </c>
      <c r="X41">
        <v>56.54</v>
      </c>
      <c r="Y41">
        <v>0.9</v>
      </c>
      <c r="Z41">
        <v>39024208080.396004</v>
      </c>
      <c r="AA41">
        <v>0</v>
      </c>
      <c r="AB41">
        <v>0</v>
      </c>
      <c r="AC41">
        <v>13.18949375</v>
      </c>
      <c r="AD41">
        <v>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>
        <v>40</v>
      </c>
      <c r="BD41">
        <v>13.18949375</v>
      </c>
    </row>
    <row r="42" spans="1:56" x14ac:dyDescent="0.25">
      <c r="A42">
        <v>236</v>
      </c>
      <c r="B42" t="s">
        <v>250</v>
      </c>
      <c r="C42" t="s">
        <v>267</v>
      </c>
      <c r="D42" t="s">
        <v>284</v>
      </c>
      <c r="E42" t="s">
        <v>89</v>
      </c>
      <c r="F42">
        <v>499067417</v>
      </c>
      <c r="G42">
        <v>81.3</v>
      </c>
      <c r="H42" t="s">
        <v>97</v>
      </c>
      <c r="I42">
        <v>98532482.2670753</v>
      </c>
      <c r="J42">
        <v>82994862.638079897</v>
      </c>
      <c r="M42">
        <v>86660199.673592404</v>
      </c>
      <c r="N42">
        <v>28.463395999999999</v>
      </c>
      <c r="O42">
        <v>28.772099999999998</v>
      </c>
      <c r="P42">
        <v>87159863.752391994</v>
      </c>
      <c r="Q42">
        <v>32.910170000000001</v>
      </c>
      <c r="R42">
        <v>90561594.383093998</v>
      </c>
      <c r="S42">
        <v>105516015.84645601</v>
      </c>
      <c r="T42" t="s">
        <v>96</v>
      </c>
      <c r="U42" t="s">
        <v>305</v>
      </c>
      <c r="V42">
        <v>1</v>
      </c>
      <c r="W42">
        <v>89.16</v>
      </c>
      <c r="X42">
        <v>81.3</v>
      </c>
      <c r="Y42">
        <v>0.9</v>
      </c>
      <c r="Z42">
        <v>36516762901.889999</v>
      </c>
      <c r="AA42">
        <v>0</v>
      </c>
      <c r="AB42">
        <v>0</v>
      </c>
      <c r="AC42">
        <v>18.306936610000001</v>
      </c>
      <c r="AD42">
        <v>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>
        <v>41</v>
      </c>
      <c r="BD42">
        <v>18.306936610000001</v>
      </c>
    </row>
    <row r="43" spans="1:56" x14ac:dyDescent="0.25">
      <c r="A43">
        <v>178</v>
      </c>
      <c r="B43" t="s">
        <v>191</v>
      </c>
      <c r="C43" t="s">
        <v>31</v>
      </c>
      <c r="D43" t="s">
        <v>71</v>
      </c>
      <c r="E43" t="s">
        <v>89</v>
      </c>
      <c r="F43">
        <v>262245733</v>
      </c>
      <c r="G43">
        <v>126.85</v>
      </c>
      <c r="H43" t="s">
        <v>97</v>
      </c>
      <c r="I43">
        <v>65263619.848812602</v>
      </c>
      <c r="J43">
        <v>97086327.625039905</v>
      </c>
      <c r="M43">
        <v>70383967.219751507</v>
      </c>
      <c r="N43">
        <v>29.225881999999999</v>
      </c>
      <c r="O43">
        <v>31.214537</v>
      </c>
      <c r="P43">
        <v>75273279.681071997</v>
      </c>
      <c r="Q43">
        <v>29.133050000000001</v>
      </c>
      <c r="R43">
        <v>80639088.683821201</v>
      </c>
      <c r="S43">
        <v>93970508.512403801</v>
      </c>
      <c r="T43" t="s">
        <v>96</v>
      </c>
      <c r="U43" t="s">
        <v>231</v>
      </c>
      <c r="V43">
        <v>1</v>
      </c>
      <c r="W43">
        <v>125.3</v>
      </c>
      <c r="X43">
        <v>126.85</v>
      </c>
      <c r="Y43">
        <v>1</v>
      </c>
      <c r="Z43">
        <v>33265871231.049999</v>
      </c>
      <c r="AA43">
        <v>0</v>
      </c>
      <c r="AB43">
        <v>0</v>
      </c>
      <c r="AC43">
        <v>13.664225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>
        <v>42</v>
      </c>
      <c r="BD43">
        <v>13.664225</v>
      </c>
    </row>
    <row r="44" spans="1:56" x14ac:dyDescent="0.25">
      <c r="A44">
        <v>135</v>
      </c>
      <c r="B44" t="s">
        <v>196</v>
      </c>
      <c r="C44" t="s">
        <v>24</v>
      </c>
      <c r="D44" t="s">
        <v>64</v>
      </c>
      <c r="E44" t="s">
        <v>93</v>
      </c>
      <c r="F44">
        <v>1549784923</v>
      </c>
      <c r="G44">
        <v>33.01</v>
      </c>
      <c r="H44" t="s">
        <v>97</v>
      </c>
      <c r="I44">
        <v>108863246.977956</v>
      </c>
      <c r="J44">
        <v>75523745.457000002</v>
      </c>
      <c r="M44">
        <v>91219974.853320599</v>
      </c>
      <c r="N44">
        <v>17.125050000000002</v>
      </c>
      <c r="O44">
        <v>17.546258999999999</v>
      </c>
      <c r="P44">
        <v>73615634.569900006</v>
      </c>
      <c r="Q44">
        <v>21.65898</v>
      </c>
      <c r="R44">
        <v>74009122.535757601</v>
      </c>
      <c r="S44">
        <v>86287613.120007694</v>
      </c>
      <c r="T44" t="s">
        <v>96</v>
      </c>
      <c r="U44" t="s">
        <v>236</v>
      </c>
      <c r="V44">
        <v>1</v>
      </c>
      <c r="W44">
        <v>34.49</v>
      </c>
      <c r="X44">
        <v>33.01</v>
      </c>
      <c r="Y44">
        <v>0.65</v>
      </c>
      <c r="Z44">
        <v>33252960200.349499</v>
      </c>
      <c r="AA44">
        <v>0</v>
      </c>
      <c r="AB44">
        <v>0</v>
      </c>
      <c r="AC44">
        <v>14.212459369999999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>
        <v>43</v>
      </c>
      <c r="BD44">
        <v>14.212459369999999</v>
      </c>
    </row>
    <row r="45" spans="1:56" x14ac:dyDescent="0.25">
      <c r="A45">
        <v>110</v>
      </c>
      <c r="B45" t="s">
        <v>262</v>
      </c>
      <c r="C45" t="s">
        <v>279</v>
      </c>
      <c r="D45" t="s">
        <v>296</v>
      </c>
      <c r="E45" t="s">
        <v>93</v>
      </c>
      <c r="F45">
        <v>3146765114</v>
      </c>
      <c r="G45">
        <v>16.096</v>
      </c>
      <c r="H45" t="s">
        <v>97</v>
      </c>
      <c r="I45">
        <v>166761658.73912701</v>
      </c>
      <c r="J45">
        <v>142515621.64340001</v>
      </c>
      <c r="M45">
        <v>155468087.447649</v>
      </c>
      <c r="N45">
        <v>14.851141999999999</v>
      </c>
      <c r="O45">
        <v>14.622597000000001</v>
      </c>
      <c r="P45">
        <v>151581012.86406001</v>
      </c>
      <c r="Q45">
        <v>21.121368</v>
      </c>
      <c r="R45">
        <v>161055156.45449999</v>
      </c>
      <c r="S45">
        <v>187677318.683135</v>
      </c>
      <c r="T45" t="s">
        <v>96</v>
      </c>
      <c r="U45" t="s">
        <v>317</v>
      </c>
      <c r="V45">
        <v>1</v>
      </c>
      <c r="W45">
        <v>15.6</v>
      </c>
      <c r="X45">
        <v>16.096</v>
      </c>
      <c r="Y45">
        <v>0.65</v>
      </c>
      <c r="Z45">
        <v>32922715328.7136</v>
      </c>
      <c r="AA45">
        <v>0</v>
      </c>
      <c r="AB45">
        <v>0</v>
      </c>
      <c r="AC45">
        <v>24.906737499999998</v>
      </c>
      <c r="AD45">
        <v>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>
        <v>44</v>
      </c>
      <c r="BD45">
        <v>24.906737499999998</v>
      </c>
    </row>
    <row r="46" spans="1:56" x14ac:dyDescent="0.25">
      <c r="A46">
        <v>72</v>
      </c>
      <c r="B46" t="s">
        <v>169</v>
      </c>
      <c r="C46" t="s">
        <v>17</v>
      </c>
      <c r="D46" t="s">
        <v>57</v>
      </c>
      <c r="E46" t="s">
        <v>90</v>
      </c>
      <c r="F46">
        <v>7085565400</v>
      </c>
      <c r="G46">
        <v>9.2539999999999996</v>
      </c>
      <c r="H46" t="s">
        <v>97</v>
      </c>
      <c r="I46">
        <v>62448678.087694898</v>
      </c>
      <c r="J46">
        <v>135073762.49853301</v>
      </c>
      <c r="M46">
        <v>58951377.241015203</v>
      </c>
      <c r="N46">
        <v>22.261782</v>
      </c>
      <c r="O46">
        <v>21.866230000000002</v>
      </c>
      <c r="P46">
        <v>59991050.236759998</v>
      </c>
      <c r="Q46">
        <v>29.400314000000002</v>
      </c>
      <c r="R46">
        <v>67273797.403015196</v>
      </c>
      <c r="S46">
        <v>78123008.163468003</v>
      </c>
      <c r="T46" t="s">
        <v>96</v>
      </c>
      <c r="U46" t="s">
        <v>209</v>
      </c>
      <c r="V46">
        <v>1</v>
      </c>
      <c r="W46">
        <v>10.16</v>
      </c>
      <c r="X46">
        <v>9.2539999999999996</v>
      </c>
      <c r="Y46">
        <v>0.5</v>
      </c>
      <c r="Z46">
        <v>32784911105.799999</v>
      </c>
      <c r="AA46">
        <v>0</v>
      </c>
      <c r="AB46">
        <v>0</v>
      </c>
      <c r="AC46">
        <v>9.5090000000000003</v>
      </c>
      <c r="AD46">
        <v>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>
        <v>45</v>
      </c>
      <c r="BD46">
        <v>9.5090000000000003</v>
      </c>
    </row>
    <row r="47" spans="1:56" x14ac:dyDescent="0.25">
      <c r="A47">
        <v>18</v>
      </c>
      <c r="B47" t="s">
        <v>248</v>
      </c>
      <c r="C47" t="s">
        <v>266</v>
      </c>
      <c r="D47" t="s">
        <v>283</v>
      </c>
      <c r="E47" t="s">
        <v>91</v>
      </c>
      <c r="F47">
        <v>896939468</v>
      </c>
      <c r="G47">
        <v>35.32</v>
      </c>
      <c r="H47" t="s">
        <v>97</v>
      </c>
      <c r="I47">
        <v>72184738.335451007</v>
      </c>
      <c r="J47">
        <v>58839060.653666697</v>
      </c>
      <c r="M47">
        <v>61311080.764507599</v>
      </c>
      <c r="N47">
        <v>13.654821</v>
      </c>
      <c r="O47">
        <v>13.567313</v>
      </c>
      <c r="P47">
        <v>59486377.781999998</v>
      </c>
      <c r="Q47">
        <v>16.369812</v>
      </c>
      <c r="R47">
        <v>58854184.471287899</v>
      </c>
      <c r="S47">
        <v>68591726.965471104</v>
      </c>
      <c r="T47" t="s">
        <v>96</v>
      </c>
      <c r="U47" t="s">
        <v>303</v>
      </c>
      <c r="V47">
        <v>1</v>
      </c>
      <c r="W47">
        <v>34.67</v>
      </c>
      <c r="X47">
        <v>35.32</v>
      </c>
      <c r="Y47">
        <v>1</v>
      </c>
      <c r="Z47">
        <v>31679902009.759998</v>
      </c>
      <c r="AA47">
        <v>0</v>
      </c>
      <c r="AB47">
        <v>0</v>
      </c>
      <c r="AC47">
        <v>17.824124999999999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>
        <v>46</v>
      </c>
      <c r="BD47">
        <v>17.824124999999999</v>
      </c>
    </row>
    <row r="48" spans="1:56" x14ac:dyDescent="0.25">
      <c r="A48">
        <v>278</v>
      </c>
      <c r="B48" t="s">
        <v>193</v>
      </c>
      <c r="C48" t="s">
        <v>44</v>
      </c>
      <c r="D48" t="s">
        <v>84</v>
      </c>
      <c r="E48" t="s">
        <v>94</v>
      </c>
      <c r="F48">
        <v>194505658</v>
      </c>
      <c r="G48">
        <v>233</v>
      </c>
      <c r="H48" t="s">
        <v>97</v>
      </c>
      <c r="I48">
        <v>46280059.667941198</v>
      </c>
      <c r="J48">
        <v>71796824.333333299</v>
      </c>
      <c r="M48">
        <v>47399485.4778409</v>
      </c>
      <c r="N48">
        <v>35.705143</v>
      </c>
      <c r="O48">
        <v>37.489359999999998</v>
      </c>
      <c r="P48">
        <v>50837791.406499997</v>
      </c>
      <c r="Q48">
        <v>40.620586000000003</v>
      </c>
      <c r="R48">
        <v>58454084.428030297</v>
      </c>
      <c r="S48">
        <v>68076770.024208993</v>
      </c>
      <c r="T48" t="s">
        <v>96</v>
      </c>
      <c r="U48" t="s">
        <v>233</v>
      </c>
      <c r="V48">
        <v>1</v>
      </c>
      <c r="W48">
        <v>237.5</v>
      </c>
      <c r="X48">
        <v>233</v>
      </c>
      <c r="Y48">
        <v>0.65</v>
      </c>
      <c r="Z48">
        <v>29457881904.099998</v>
      </c>
      <c r="AA48">
        <v>0</v>
      </c>
      <c r="AB48">
        <v>0</v>
      </c>
      <c r="AC48">
        <v>13.747198750000001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>
        <v>47</v>
      </c>
      <c r="BD48">
        <v>13.747198750000001</v>
      </c>
    </row>
    <row r="49" spans="1:56" x14ac:dyDescent="0.25">
      <c r="A49">
        <v>111</v>
      </c>
      <c r="B49" t="s">
        <v>195</v>
      </c>
      <c r="C49" t="s">
        <v>22</v>
      </c>
      <c r="D49" t="s">
        <v>62</v>
      </c>
      <c r="E49" t="s">
        <v>92</v>
      </c>
      <c r="F49">
        <v>410514370</v>
      </c>
      <c r="G49">
        <v>89.1</v>
      </c>
      <c r="H49" t="s">
        <v>97</v>
      </c>
      <c r="I49">
        <v>31702419.823537499</v>
      </c>
      <c r="J49">
        <v>25312122.309999999</v>
      </c>
      <c r="M49">
        <v>28344772.147348501</v>
      </c>
      <c r="N49">
        <v>24.85248</v>
      </c>
      <c r="O49">
        <v>25.278890000000001</v>
      </c>
      <c r="P49">
        <v>26797077.719000001</v>
      </c>
      <c r="Q49">
        <v>31.482230000000001</v>
      </c>
      <c r="R49">
        <v>27409353.796969701</v>
      </c>
      <c r="S49">
        <v>31962163.378448799</v>
      </c>
      <c r="T49" t="s">
        <v>96</v>
      </c>
      <c r="U49" t="s">
        <v>235</v>
      </c>
      <c r="V49">
        <v>1</v>
      </c>
      <c r="W49">
        <v>98.6</v>
      </c>
      <c r="X49">
        <v>89.1</v>
      </c>
      <c r="Y49">
        <v>0.8</v>
      </c>
      <c r="Z49">
        <v>29261464293.599998</v>
      </c>
      <c r="AA49">
        <v>0</v>
      </c>
      <c r="AB49">
        <v>0</v>
      </c>
      <c r="AC49">
        <v>14.175106250000001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>
        <v>48</v>
      </c>
      <c r="BD49">
        <v>14.175106250000001</v>
      </c>
    </row>
    <row r="50" spans="1:56" x14ac:dyDescent="0.25">
      <c r="A50">
        <v>203</v>
      </c>
      <c r="B50" t="s">
        <v>171</v>
      </c>
      <c r="C50" t="s">
        <v>35</v>
      </c>
      <c r="D50" t="s">
        <v>75</v>
      </c>
      <c r="E50" t="s">
        <v>95</v>
      </c>
      <c r="F50">
        <v>5742239700</v>
      </c>
      <c r="G50">
        <v>5.13</v>
      </c>
      <c r="H50" t="s">
        <v>97</v>
      </c>
      <c r="I50">
        <v>57797345.7651807</v>
      </c>
      <c r="J50">
        <v>77090096.5693333</v>
      </c>
      <c r="M50">
        <v>60440865.205615401</v>
      </c>
      <c r="N50">
        <v>44.634284999999998</v>
      </c>
      <c r="O50">
        <v>48.75582</v>
      </c>
      <c r="P50">
        <v>67323848.028799996</v>
      </c>
      <c r="Q50">
        <v>42.792059999999999</v>
      </c>
      <c r="R50">
        <v>83697742.174999997</v>
      </c>
      <c r="S50">
        <v>97482564.918623894</v>
      </c>
      <c r="T50" t="s">
        <v>96</v>
      </c>
      <c r="U50" t="s">
        <v>211</v>
      </c>
      <c r="V50">
        <v>1</v>
      </c>
      <c r="W50">
        <v>5.2779999999999996</v>
      </c>
      <c r="X50">
        <v>5.13</v>
      </c>
      <c r="Y50">
        <v>0.95</v>
      </c>
      <c r="Z50">
        <v>27984805177.950001</v>
      </c>
      <c r="AA50">
        <v>0</v>
      </c>
      <c r="AB50">
        <v>0</v>
      </c>
      <c r="AC50">
        <v>9.6503237500000001</v>
      </c>
      <c r="AD50">
        <v>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>
        <v>49</v>
      </c>
      <c r="BD50">
        <v>9.6503237500000001</v>
      </c>
    </row>
    <row r="51" spans="1:56" x14ac:dyDescent="0.25">
      <c r="A51">
        <v>234</v>
      </c>
      <c r="B51" t="s">
        <v>251</v>
      </c>
      <c r="C51" t="s">
        <v>268</v>
      </c>
      <c r="D51" t="s">
        <v>285</v>
      </c>
      <c r="E51" t="s">
        <v>298</v>
      </c>
      <c r="F51">
        <v>1052132848</v>
      </c>
      <c r="G51">
        <v>26.54</v>
      </c>
      <c r="H51" t="s">
        <v>97</v>
      </c>
      <c r="I51">
        <v>51215041.609991297</v>
      </c>
      <c r="J51">
        <v>40648881.130053297</v>
      </c>
      <c r="M51">
        <v>57538913.375477999</v>
      </c>
      <c r="N51">
        <v>26.424123999999999</v>
      </c>
      <c r="O51">
        <v>26.347276999999998</v>
      </c>
      <c r="P51">
        <v>42718725.341025002</v>
      </c>
      <c r="Q51">
        <v>28.947744</v>
      </c>
      <c r="R51">
        <v>45869902.577095501</v>
      </c>
      <c r="S51">
        <v>53505816.884655297</v>
      </c>
      <c r="T51" t="s">
        <v>96</v>
      </c>
      <c r="U51" t="s">
        <v>306</v>
      </c>
      <c r="V51">
        <v>1</v>
      </c>
      <c r="W51">
        <v>29.52</v>
      </c>
      <c r="X51">
        <v>26.54</v>
      </c>
      <c r="Y51">
        <v>1</v>
      </c>
      <c r="Z51">
        <v>27923605785.919998</v>
      </c>
      <c r="AA51">
        <v>0</v>
      </c>
      <c r="AB51">
        <v>0</v>
      </c>
      <c r="AC51">
        <v>19.444175000000001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>
        <v>50</v>
      </c>
      <c r="BD51">
        <v>19.444175000000001</v>
      </c>
    </row>
    <row r="52" spans="1:56" x14ac:dyDescent="0.25">
      <c r="A52">
        <v>27</v>
      </c>
      <c r="B52" t="s">
        <v>198</v>
      </c>
      <c r="C52" t="s">
        <v>11</v>
      </c>
      <c r="D52" t="s">
        <v>51</v>
      </c>
      <c r="E52" t="s">
        <v>90</v>
      </c>
      <c r="F52">
        <v>450499200</v>
      </c>
      <c r="G52">
        <v>61.84</v>
      </c>
      <c r="H52" t="s">
        <v>97</v>
      </c>
      <c r="I52">
        <v>47681926.781686299</v>
      </c>
      <c r="J52">
        <v>42585387.600000001</v>
      </c>
      <c r="M52">
        <v>41836326.664696999</v>
      </c>
      <c r="N52">
        <v>20.287405</v>
      </c>
      <c r="O52">
        <v>18.934443000000002</v>
      </c>
      <c r="P52">
        <v>39456026.0022</v>
      </c>
      <c r="Q52">
        <v>25.379947999999999</v>
      </c>
      <c r="R52">
        <v>40071937.1187879</v>
      </c>
      <c r="S52">
        <v>46709167.596201099</v>
      </c>
      <c r="T52" t="s">
        <v>96</v>
      </c>
      <c r="U52" t="s">
        <v>238</v>
      </c>
      <c r="V52">
        <v>1</v>
      </c>
      <c r="W52">
        <v>62.2</v>
      </c>
      <c r="X52">
        <v>61.84</v>
      </c>
      <c r="Y52">
        <v>1</v>
      </c>
      <c r="Z52">
        <v>27858870528</v>
      </c>
      <c r="AA52">
        <v>0</v>
      </c>
      <c r="AB52">
        <v>0</v>
      </c>
      <c r="AC52">
        <v>14.366175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>
        <v>51</v>
      </c>
      <c r="BD52">
        <v>14.366175</v>
      </c>
    </row>
    <row r="53" spans="1:56" x14ac:dyDescent="0.25">
      <c r="A53">
        <v>11</v>
      </c>
      <c r="B53" t="s">
        <v>179</v>
      </c>
      <c r="C53" t="s">
        <v>8</v>
      </c>
      <c r="D53" t="s">
        <v>48</v>
      </c>
      <c r="E53" t="s">
        <v>88</v>
      </c>
      <c r="F53">
        <v>180000000</v>
      </c>
      <c r="G53">
        <v>151.6</v>
      </c>
      <c r="H53" t="s">
        <v>97</v>
      </c>
      <c r="I53">
        <v>107899259.43547399</v>
      </c>
      <c r="J53">
        <v>89920548.676666707</v>
      </c>
      <c r="M53">
        <v>100136664.235227</v>
      </c>
      <c r="N53">
        <v>33.168934</v>
      </c>
      <c r="O53">
        <v>34.763446999999999</v>
      </c>
      <c r="P53">
        <v>102936456.99225</v>
      </c>
      <c r="Q53">
        <v>35.543674000000003</v>
      </c>
      <c r="R53">
        <v>99318391.576894</v>
      </c>
      <c r="S53">
        <v>115732872.619123</v>
      </c>
      <c r="T53" t="s">
        <v>96</v>
      </c>
      <c r="U53" t="s">
        <v>219</v>
      </c>
      <c r="V53">
        <v>1</v>
      </c>
      <c r="W53">
        <v>168.55</v>
      </c>
      <c r="X53">
        <v>151.6</v>
      </c>
      <c r="Y53">
        <v>0.95</v>
      </c>
      <c r="Z53">
        <v>25923600000</v>
      </c>
      <c r="AA53">
        <v>0</v>
      </c>
      <c r="AB53">
        <v>0</v>
      </c>
      <c r="AC53">
        <v>11.92034643</v>
      </c>
      <c r="AD53">
        <v>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>
        <v>52</v>
      </c>
      <c r="BD53">
        <v>11.92034643</v>
      </c>
    </row>
    <row r="54" spans="1:56" x14ac:dyDescent="0.25">
      <c r="A54">
        <v>120</v>
      </c>
      <c r="B54" t="s">
        <v>249</v>
      </c>
      <c r="C54" t="s">
        <v>101</v>
      </c>
      <c r="D54" t="s">
        <v>107</v>
      </c>
      <c r="E54" t="s">
        <v>90</v>
      </c>
      <c r="F54">
        <v>733755400</v>
      </c>
      <c r="G54">
        <v>54.12</v>
      </c>
      <c r="H54" t="s">
        <v>97</v>
      </c>
      <c r="I54">
        <v>51002020.729353704</v>
      </c>
      <c r="J54">
        <v>58492804.093999997</v>
      </c>
      <c r="M54">
        <v>54577960.631919697</v>
      </c>
      <c r="N54">
        <v>15.262444</v>
      </c>
      <c r="O54">
        <v>16.152155</v>
      </c>
      <c r="P54">
        <v>54200476.420649998</v>
      </c>
      <c r="Q54">
        <v>20.350206</v>
      </c>
      <c r="R54">
        <v>66943113.751287803</v>
      </c>
      <c r="S54">
        <v>78004976.785517395</v>
      </c>
      <c r="T54" t="s">
        <v>96</v>
      </c>
      <c r="U54" t="s">
        <v>304</v>
      </c>
      <c r="V54">
        <v>1</v>
      </c>
      <c r="W54">
        <v>57.08</v>
      </c>
      <c r="X54">
        <v>54.12</v>
      </c>
      <c r="Y54">
        <v>0.65</v>
      </c>
      <c r="Z54">
        <v>25812047461.200001</v>
      </c>
      <c r="AA54">
        <v>0</v>
      </c>
      <c r="AB54">
        <v>0</v>
      </c>
      <c r="AC54">
        <v>17.844826550000001</v>
      </c>
      <c r="AD54">
        <v>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>
        <v>53</v>
      </c>
      <c r="BD54">
        <v>17.844826550000001</v>
      </c>
    </row>
    <row r="55" spans="1:56" x14ac:dyDescent="0.25">
      <c r="A55">
        <v>142</v>
      </c>
      <c r="B55" t="s">
        <v>258</v>
      </c>
      <c r="C55" t="s">
        <v>275</v>
      </c>
      <c r="D55" t="s">
        <v>292</v>
      </c>
      <c r="E55" t="s">
        <v>88</v>
      </c>
      <c r="F55">
        <v>178430760</v>
      </c>
      <c r="G55">
        <v>206.3</v>
      </c>
      <c r="H55" t="s">
        <v>97</v>
      </c>
      <c r="I55">
        <v>69702260.553656206</v>
      </c>
      <c r="J55">
        <v>72000492.670000002</v>
      </c>
      <c r="M55">
        <v>66718540.974431798</v>
      </c>
      <c r="N55">
        <v>30.315538</v>
      </c>
      <c r="O55">
        <v>29.516715999999999</v>
      </c>
      <c r="P55">
        <v>62431880.27375</v>
      </c>
      <c r="Q55">
        <v>34.222735999999998</v>
      </c>
      <c r="R55">
        <v>61645977.8102272</v>
      </c>
      <c r="S55">
        <v>71836006.321187899</v>
      </c>
      <c r="T55" t="s">
        <v>96</v>
      </c>
      <c r="U55" t="s">
        <v>313</v>
      </c>
      <c r="V55">
        <v>1</v>
      </c>
      <c r="W55">
        <v>223.8</v>
      </c>
      <c r="X55">
        <v>206.3</v>
      </c>
      <c r="Y55">
        <v>0.7</v>
      </c>
      <c r="Z55">
        <v>25767186051.599998</v>
      </c>
      <c r="AA55">
        <v>0</v>
      </c>
      <c r="AB55">
        <v>0</v>
      </c>
      <c r="AC55">
        <v>23.745904110000001</v>
      </c>
      <c r="AD55">
        <v>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>
        <v>54</v>
      </c>
      <c r="BD55">
        <v>23.745904110000001</v>
      </c>
    </row>
    <row r="56" spans="1:56" x14ac:dyDescent="0.25">
      <c r="A56">
        <v>238</v>
      </c>
      <c r="B56" t="s">
        <v>192</v>
      </c>
      <c r="C56" t="s">
        <v>39</v>
      </c>
      <c r="D56" t="s">
        <v>79</v>
      </c>
      <c r="E56" t="s">
        <v>95</v>
      </c>
      <c r="F56">
        <v>2669754000</v>
      </c>
      <c r="G56">
        <v>9.9540000000000006</v>
      </c>
      <c r="H56" t="s">
        <v>97</v>
      </c>
      <c r="I56">
        <v>29063627.203413598</v>
      </c>
      <c r="J56">
        <v>30247059.484666701</v>
      </c>
      <c r="M56">
        <v>27726956.0843077</v>
      </c>
      <c r="N56">
        <v>13.247197999999999</v>
      </c>
      <c r="O56">
        <v>13.865957999999999</v>
      </c>
      <c r="P56">
        <v>27315858.8838</v>
      </c>
      <c r="Q56">
        <v>17.619641999999999</v>
      </c>
      <c r="R56">
        <v>27913699.4480303</v>
      </c>
      <c r="S56">
        <v>32527837.379808702</v>
      </c>
      <c r="T56" t="s">
        <v>96</v>
      </c>
      <c r="U56" t="s">
        <v>232</v>
      </c>
      <c r="V56">
        <v>1</v>
      </c>
      <c r="W56">
        <v>10.039999999999999</v>
      </c>
      <c r="X56">
        <v>9.9540000000000006</v>
      </c>
      <c r="Y56">
        <v>0.95</v>
      </c>
      <c r="Z56">
        <v>25245994750.200001</v>
      </c>
      <c r="AA56">
        <v>0</v>
      </c>
      <c r="AB56">
        <v>0</v>
      </c>
      <c r="AC56">
        <v>13.718951880000001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>
        <v>55</v>
      </c>
      <c r="BD56">
        <v>13.718951880000001</v>
      </c>
    </row>
    <row r="57" spans="1:56" x14ac:dyDescent="0.25">
      <c r="A57">
        <v>279</v>
      </c>
      <c r="B57" t="s">
        <v>172</v>
      </c>
      <c r="C57" t="s">
        <v>45</v>
      </c>
      <c r="D57" t="s">
        <v>85</v>
      </c>
      <c r="E57" t="s">
        <v>91</v>
      </c>
      <c r="F57">
        <v>1834181554</v>
      </c>
      <c r="G57">
        <v>22.61</v>
      </c>
      <c r="H57" t="s">
        <v>97</v>
      </c>
      <c r="I57">
        <v>46598460.615490198</v>
      </c>
      <c r="J57">
        <v>39786466.410666697</v>
      </c>
      <c r="M57">
        <v>47611055.378674202</v>
      </c>
      <c r="N57">
        <v>25.067509000000001</v>
      </c>
      <c r="O57">
        <v>25.950218</v>
      </c>
      <c r="P57">
        <v>39603259.70025</v>
      </c>
      <c r="Q57">
        <v>26.648779999999999</v>
      </c>
      <c r="R57">
        <v>39325563.061590903</v>
      </c>
      <c r="S57">
        <v>45813287.164494</v>
      </c>
      <c r="T57" t="s">
        <v>96</v>
      </c>
      <c r="U57" t="s">
        <v>212</v>
      </c>
      <c r="V57">
        <v>1</v>
      </c>
      <c r="W57">
        <v>21.72</v>
      </c>
      <c r="X57">
        <v>22.61</v>
      </c>
      <c r="Y57">
        <v>0.60000000000000009</v>
      </c>
      <c r="Z57">
        <v>24882506961.563999</v>
      </c>
      <c r="AA57">
        <v>0</v>
      </c>
      <c r="AB57">
        <v>0</v>
      </c>
      <c r="AC57">
        <v>9.7401696399999995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>
        <v>56</v>
      </c>
      <c r="BD57">
        <v>9.7401696399999995</v>
      </c>
    </row>
    <row r="58" spans="1:56" x14ac:dyDescent="0.25">
      <c r="A58">
        <v>165</v>
      </c>
      <c r="B58" t="s">
        <v>174</v>
      </c>
      <c r="C58" t="s">
        <v>30</v>
      </c>
      <c r="D58" t="s">
        <v>70</v>
      </c>
      <c r="E58" t="s">
        <v>94</v>
      </c>
      <c r="F58">
        <v>417544151</v>
      </c>
      <c r="G58">
        <v>105.35</v>
      </c>
      <c r="H58" t="s">
        <v>97</v>
      </c>
      <c r="I58">
        <v>39495466.120313801</v>
      </c>
      <c r="J58">
        <v>40066030.393333301</v>
      </c>
      <c r="M58">
        <v>36083655.993257597</v>
      </c>
      <c r="N58">
        <v>19.155403</v>
      </c>
      <c r="O58">
        <v>19.713436000000002</v>
      </c>
      <c r="P58">
        <v>36288231.053900003</v>
      </c>
      <c r="Q58">
        <v>24.682182000000001</v>
      </c>
      <c r="R58">
        <v>37189984.759242401</v>
      </c>
      <c r="S58">
        <v>43359474.1252959</v>
      </c>
      <c r="T58" t="s">
        <v>96</v>
      </c>
      <c r="U58" t="s">
        <v>214</v>
      </c>
      <c r="V58">
        <v>1</v>
      </c>
      <c r="W58">
        <v>110.5</v>
      </c>
      <c r="X58">
        <v>105.35</v>
      </c>
      <c r="Y58">
        <v>0.55000000000000004</v>
      </c>
      <c r="Z58">
        <v>24193551969.317501</v>
      </c>
      <c r="AA58">
        <v>0</v>
      </c>
      <c r="AB58">
        <v>0</v>
      </c>
      <c r="AC58">
        <v>10.209262499999999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>
        <v>57</v>
      </c>
      <c r="BD58">
        <v>10.209262499999999</v>
      </c>
    </row>
    <row r="59" spans="1:56" x14ac:dyDescent="0.25">
      <c r="A59">
        <v>208</v>
      </c>
      <c r="B59" t="s">
        <v>247</v>
      </c>
      <c r="C59" t="s">
        <v>265</v>
      </c>
      <c r="D59" t="s">
        <v>282</v>
      </c>
      <c r="E59" t="s">
        <v>89</v>
      </c>
      <c r="F59">
        <v>2660056599</v>
      </c>
      <c r="G59">
        <v>13.945</v>
      </c>
      <c r="H59" t="s">
        <v>97</v>
      </c>
      <c r="I59">
        <v>75056638.7531216</v>
      </c>
      <c r="J59">
        <v>48459845.354386702</v>
      </c>
      <c r="M59">
        <v>61756594.0257046</v>
      </c>
      <c r="N59">
        <v>17.694931</v>
      </c>
      <c r="O59">
        <v>17.979196999999999</v>
      </c>
      <c r="P59">
        <v>59153987.216454998</v>
      </c>
      <c r="Q59">
        <v>18.257435000000001</v>
      </c>
      <c r="R59">
        <v>56226846.004855998</v>
      </c>
      <c r="S59">
        <v>65550218.294033103</v>
      </c>
      <c r="T59" t="s">
        <v>96</v>
      </c>
      <c r="U59" t="s">
        <v>302</v>
      </c>
      <c r="V59">
        <v>1</v>
      </c>
      <c r="W59">
        <v>13.695</v>
      </c>
      <c r="X59">
        <v>13.945</v>
      </c>
      <c r="Y59">
        <v>0.65</v>
      </c>
      <c r="Z59">
        <v>24111418027.485748</v>
      </c>
      <c r="AA59">
        <v>0</v>
      </c>
      <c r="AB59">
        <v>0</v>
      </c>
      <c r="AC59">
        <v>17.560700000000001</v>
      </c>
      <c r="AD59">
        <v>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>
        <v>58</v>
      </c>
      <c r="BD59">
        <v>17.560700000000001</v>
      </c>
    </row>
    <row r="60" spans="1:56" x14ac:dyDescent="0.25">
      <c r="A60">
        <v>217</v>
      </c>
      <c r="B60" t="s">
        <v>245</v>
      </c>
      <c r="C60" t="s">
        <v>264</v>
      </c>
      <c r="D60" t="s">
        <v>281</v>
      </c>
      <c r="E60" t="s">
        <v>93</v>
      </c>
      <c r="F60">
        <v>296401348</v>
      </c>
      <c r="G60">
        <v>80.8</v>
      </c>
      <c r="H60" t="s">
        <v>97</v>
      </c>
      <c r="I60">
        <v>78425732.163829401</v>
      </c>
      <c r="J60">
        <v>95228454.573333398</v>
      </c>
      <c r="M60">
        <v>76796458.360076398</v>
      </c>
      <c r="N60">
        <v>31.866934000000001</v>
      </c>
      <c r="O60">
        <v>32.119689999999999</v>
      </c>
      <c r="P60">
        <v>82630527.644299999</v>
      </c>
      <c r="Q60">
        <v>39.058166999999997</v>
      </c>
      <c r="R60">
        <v>88246995.895454496</v>
      </c>
      <c r="S60">
        <v>102784721.398377</v>
      </c>
      <c r="T60" t="s">
        <v>96</v>
      </c>
      <c r="U60" t="s">
        <v>300</v>
      </c>
      <c r="V60">
        <v>1</v>
      </c>
      <c r="W60">
        <v>83.76</v>
      </c>
      <c r="X60">
        <v>80.8</v>
      </c>
      <c r="Y60">
        <v>1</v>
      </c>
      <c r="Z60">
        <v>23949228918.400002</v>
      </c>
      <c r="AA60">
        <v>0</v>
      </c>
      <c r="AB60">
        <v>0</v>
      </c>
      <c r="AC60">
        <v>17.244359549999999</v>
      </c>
      <c r="AD60">
        <v>2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>
        <v>59</v>
      </c>
      <c r="BD60">
        <v>17.244359549999999</v>
      </c>
    </row>
    <row r="61" spans="1:56" x14ac:dyDescent="0.25">
      <c r="A61">
        <v>63</v>
      </c>
      <c r="B61" t="s">
        <v>252</v>
      </c>
      <c r="C61" t="s">
        <v>269</v>
      </c>
      <c r="D61" t="s">
        <v>286</v>
      </c>
      <c r="E61" t="s">
        <v>88</v>
      </c>
      <c r="F61">
        <v>561134950</v>
      </c>
      <c r="G61">
        <v>85.08</v>
      </c>
      <c r="H61" t="s">
        <v>97</v>
      </c>
      <c r="I61">
        <v>96091436.636086807</v>
      </c>
      <c r="J61">
        <v>70224766.568000004</v>
      </c>
      <c r="M61">
        <v>83732697.914090902</v>
      </c>
      <c r="N61">
        <v>28.764462999999999</v>
      </c>
      <c r="O61">
        <v>28.80359</v>
      </c>
      <c r="P61">
        <v>86135291.106600001</v>
      </c>
      <c r="Q61">
        <v>31.023952000000001</v>
      </c>
      <c r="R61">
        <v>83149015.699697003</v>
      </c>
      <c r="S61">
        <v>96887741.330895305</v>
      </c>
      <c r="T61" t="s">
        <v>96</v>
      </c>
      <c r="U61" t="s">
        <v>307</v>
      </c>
      <c r="V61">
        <v>1</v>
      </c>
      <c r="W61">
        <v>94.26</v>
      </c>
      <c r="X61">
        <v>85.08</v>
      </c>
      <c r="Y61">
        <v>0.5</v>
      </c>
      <c r="Z61">
        <v>23870680773</v>
      </c>
      <c r="AA61">
        <v>0</v>
      </c>
      <c r="AB61">
        <v>0</v>
      </c>
      <c r="AC61">
        <v>19.494399999999999</v>
      </c>
      <c r="AD61">
        <v>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>
        <v>60</v>
      </c>
      <c r="BD61">
        <v>19.494399999999999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29"/>
  <sheetViews>
    <sheetView workbookViewId="0">
      <selection activeCell="A29" sqref="A2:A29"/>
    </sheetView>
  </sheetViews>
  <sheetFormatPr defaultRowHeight="15" x14ac:dyDescent="0.25"/>
  <sheetData>
    <row r="1" spans="1:54" x14ac:dyDescent="0.25">
      <c r="A1" s="1" t="s">
        <v>111</v>
      </c>
      <c r="B1" s="1" t="s">
        <v>112</v>
      </c>
      <c r="C1" s="1" t="s">
        <v>0</v>
      </c>
      <c r="D1" s="1" t="s">
        <v>98</v>
      </c>
      <c r="E1" s="1" t="s">
        <v>2</v>
      </c>
      <c r="F1" s="1" t="s">
        <v>3</v>
      </c>
      <c r="G1" s="1" t="s">
        <v>113</v>
      </c>
      <c r="H1" s="1" t="s">
        <v>7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6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</row>
    <row r="2" spans="1:54" x14ac:dyDescent="0.25">
      <c r="A2">
        <v>1</v>
      </c>
      <c r="B2" t="s">
        <v>320</v>
      </c>
      <c r="C2" t="s">
        <v>348</v>
      </c>
      <c r="D2" t="s">
        <v>376</v>
      </c>
      <c r="E2" t="s">
        <v>93</v>
      </c>
      <c r="F2">
        <v>3132905277</v>
      </c>
      <c r="G2">
        <v>2.3570000000000002</v>
      </c>
      <c r="H2" t="s">
        <v>97</v>
      </c>
      <c r="I2">
        <v>21356336.324447401</v>
      </c>
      <c r="J2">
        <v>38747530.568566702</v>
      </c>
      <c r="M2">
        <v>20226623.759980898</v>
      </c>
      <c r="N2">
        <v>22.946901</v>
      </c>
      <c r="O2">
        <v>24.391618999999999</v>
      </c>
      <c r="P2">
        <v>20378071.916565001</v>
      </c>
      <c r="Q2">
        <v>27.23011</v>
      </c>
      <c r="R2">
        <v>22744137.752378799</v>
      </c>
      <c r="S2">
        <v>26464460.1663213</v>
      </c>
      <c r="T2" t="s">
        <v>96</v>
      </c>
      <c r="U2" t="s">
        <v>405</v>
      </c>
      <c r="V2">
        <v>1</v>
      </c>
      <c r="W2">
        <v>2.2599999999999998</v>
      </c>
      <c r="X2">
        <v>2.3570000000000002</v>
      </c>
      <c r="Y2">
        <v>0.5</v>
      </c>
      <c r="Z2">
        <v>3692128868.9445</v>
      </c>
      <c r="AA2">
        <v>0</v>
      </c>
      <c r="AB2">
        <v>0</v>
      </c>
      <c r="AC2">
        <v>28.47918125</v>
      </c>
      <c r="AD2">
        <v>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1</v>
      </c>
      <c r="BB2" t="b">
        <v>1</v>
      </c>
    </row>
    <row r="3" spans="1:54" x14ac:dyDescent="0.25">
      <c r="A3">
        <v>21</v>
      </c>
      <c r="B3" t="s">
        <v>321</v>
      </c>
      <c r="C3" t="s">
        <v>349</v>
      </c>
      <c r="D3" t="s">
        <v>377</v>
      </c>
      <c r="E3" t="s">
        <v>89</v>
      </c>
      <c r="F3">
        <v>792283683</v>
      </c>
      <c r="G3">
        <v>202.75</v>
      </c>
      <c r="H3" t="s">
        <v>97</v>
      </c>
      <c r="I3">
        <v>188719257.51472899</v>
      </c>
      <c r="J3">
        <v>167291165.44933301</v>
      </c>
      <c r="M3">
        <v>170951676.26156101</v>
      </c>
      <c r="N3">
        <v>21.418990000000001</v>
      </c>
      <c r="O3">
        <v>20.605274000000001</v>
      </c>
      <c r="P3">
        <v>167366310.91666001</v>
      </c>
      <c r="Q3">
        <v>28.784521000000002</v>
      </c>
      <c r="R3">
        <v>168850631.615242</v>
      </c>
      <c r="S3">
        <v>196902206.79192001</v>
      </c>
      <c r="T3" t="s">
        <v>96</v>
      </c>
      <c r="U3" t="s">
        <v>406</v>
      </c>
      <c r="V3">
        <v>1</v>
      </c>
      <c r="W3">
        <v>192.96</v>
      </c>
      <c r="X3">
        <v>202.75</v>
      </c>
      <c r="Y3">
        <v>0.75</v>
      </c>
      <c r="Z3">
        <v>120476637546.1875</v>
      </c>
      <c r="AA3">
        <v>0</v>
      </c>
      <c r="AB3" t="s">
        <v>433</v>
      </c>
      <c r="AC3">
        <v>20.33301788</v>
      </c>
      <c r="AD3">
        <v>2</v>
      </c>
      <c r="AE3">
        <v>0</v>
      </c>
      <c r="AF3">
        <v>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b">
        <v>0</v>
      </c>
      <c r="AP3" t="b">
        <v>0</v>
      </c>
      <c r="AQ3" t="b">
        <v>0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1</v>
      </c>
    </row>
    <row r="4" spans="1:54" x14ac:dyDescent="0.25">
      <c r="A4">
        <v>56</v>
      </c>
      <c r="B4" t="s">
        <v>322</v>
      </c>
      <c r="C4" t="s">
        <v>350</v>
      </c>
      <c r="D4" t="s">
        <v>378</v>
      </c>
      <c r="E4" t="s">
        <v>88</v>
      </c>
      <c r="F4">
        <v>982424100</v>
      </c>
      <c r="G4">
        <v>27.585000000000001</v>
      </c>
      <c r="H4" t="s">
        <v>97</v>
      </c>
      <c r="I4">
        <v>80528977.131104693</v>
      </c>
      <c r="J4">
        <v>64711634.033</v>
      </c>
      <c r="M4">
        <v>70798654.328465894</v>
      </c>
      <c r="N4">
        <v>32.553542999999998</v>
      </c>
      <c r="O4">
        <v>32.919840000000001</v>
      </c>
      <c r="P4">
        <v>65891736.374425001</v>
      </c>
      <c r="Q4">
        <v>36.567383</v>
      </c>
      <c r="R4">
        <v>59831212.094962098</v>
      </c>
      <c r="S4">
        <v>69761047.993120596</v>
      </c>
      <c r="T4" t="s">
        <v>96</v>
      </c>
      <c r="U4" t="s">
        <v>407</v>
      </c>
      <c r="V4">
        <v>1</v>
      </c>
      <c r="W4">
        <v>35.055</v>
      </c>
      <c r="X4">
        <v>27.585000000000001</v>
      </c>
      <c r="Y4">
        <v>1</v>
      </c>
      <c r="Z4">
        <v>27100168798.5</v>
      </c>
      <c r="AA4">
        <v>0</v>
      </c>
      <c r="AB4">
        <v>0</v>
      </c>
      <c r="AC4">
        <v>22.2272125</v>
      </c>
      <c r="AD4">
        <v>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b">
        <v>1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1</v>
      </c>
    </row>
    <row r="5" spans="1:54" x14ac:dyDescent="0.25">
      <c r="A5">
        <v>88</v>
      </c>
      <c r="B5" t="s">
        <v>323</v>
      </c>
      <c r="C5" t="s">
        <v>351</v>
      </c>
      <c r="D5" t="s">
        <v>379</v>
      </c>
      <c r="E5" t="s">
        <v>89</v>
      </c>
      <c r="F5">
        <v>78397034</v>
      </c>
      <c r="G5">
        <v>265.8</v>
      </c>
      <c r="H5" t="s">
        <v>97</v>
      </c>
      <c r="I5">
        <v>16921317.885686301</v>
      </c>
      <c r="J5">
        <v>13580972.4533333</v>
      </c>
      <c r="M5">
        <v>16106850.763636401</v>
      </c>
      <c r="N5">
        <v>28.252725999999999</v>
      </c>
      <c r="O5">
        <v>29.07985</v>
      </c>
      <c r="P5">
        <v>15322628.130000001</v>
      </c>
      <c r="Q5">
        <v>31.661670000000001</v>
      </c>
      <c r="R5">
        <v>15257593.3212121</v>
      </c>
      <c r="S5">
        <v>17801641.064172499</v>
      </c>
      <c r="T5" t="s">
        <v>96</v>
      </c>
      <c r="U5" t="s">
        <v>408</v>
      </c>
      <c r="V5">
        <v>1</v>
      </c>
      <c r="W5">
        <v>268.60000000000002</v>
      </c>
      <c r="X5">
        <v>265.8</v>
      </c>
      <c r="Y5">
        <v>0.25</v>
      </c>
      <c r="Z5">
        <v>5209482909.3000002</v>
      </c>
      <c r="AA5">
        <v>0</v>
      </c>
      <c r="AB5">
        <v>0</v>
      </c>
      <c r="AC5">
        <v>31.245790629999998</v>
      </c>
      <c r="AD5">
        <v>2</v>
      </c>
      <c r="AE5">
        <v>0</v>
      </c>
      <c r="AF5">
        <v>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b">
        <v>0</v>
      </c>
      <c r="AP5" t="b">
        <v>0</v>
      </c>
      <c r="AQ5" t="b">
        <v>0</v>
      </c>
      <c r="AR5" t="b">
        <v>1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1</v>
      </c>
    </row>
    <row r="6" spans="1:54" x14ac:dyDescent="0.25">
      <c r="A6">
        <v>98</v>
      </c>
      <c r="B6" t="s">
        <v>324</v>
      </c>
      <c r="C6" t="s">
        <v>352</v>
      </c>
      <c r="D6" t="s">
        <v>380</v>
      </c>
      <c r="E6" t="s">
        <v>88</v>
      </c>
      <c r="F6">
        <v>2641318800</v>
      </c>
      <c r="G6">
        <v>15.5</v>
      </c>
      <c r="H6" t="s">
        <v>97</v>
      </c>
      <c r="I6">
        <v>75787240.674851805</v>
      </c>
      <c r="J6">
        <v>68178826.370000005</v>
      </c>
      <c r="M6">
        <v>64558929.0889204</v>
      </c>
      <c r="N6">
        <v>16.391392</v>
      </c>
      <c r="O6">
        <v>16.318871999999999</v>
      </c>
      <c r="P6">
        <v>59693199.148474999</v>
      </c>
      <c r="Q6">
        <v>19.656117999999999</v>
      </c>
      <c r="R6">
        <v>59440270.1259849</v>
      </c>
      <c r="S6">
        <v>69301798.764840096</v>
      </c>
      <c r="T6" t="s">
        <v>96</v>
      </c>
      <c r="U6" t="s">
        <v>409</v>
      </c>
      <c r="V6">
        <v>1</v>
      </c>
      <c r="W6">
        <v>15.39</v>
      </c>
      <c r="X6">
        <v>15.5</v>
      </c>
      <c r="Y6">
        <v>0.85</v>
      </c>
      <c r="Z6">
        <v>34799375190</v>
      </c>
      <c r="AA6">
        <v>0</v>
      </c>
      <c r="AB6">
        <v>0</v>
      </c>
      <c r="AC6">
        <v>17.090985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1</v>
      </c>
      <c r="BB6" t="b">
        <v>1</v>
      </c>
    </row>
    <row r="7" spans="1:54" x14ac:dyDescent="0.25">
      <c r="A7">
        <v>100</v>
      </c>
      <c r="B7" t="s">
        <v>325</v>
      </c>
      <c r="C7" t="s">
        <v>353</v>
      </c>
      <c r="D7" t="s">
        <v>381</v>
      </c>
      <c r="E7" t="s">
        <v>404</v>
      </c>
      <c r="F7">
        <v>4184021624</v>
      </c>
      <c r="G7">
        <v>3.76</v>
      </c>
      <c r="H7" t="s">
        <v>97</v>
      </c>
      <c r="I7">
        <v>35407924.667878501</v>
      </c>
      <c r="J7">
        <v>47531076.202966601</v>
      </c>
      <c r="M7">
        <v>32116137.816340901</v>
      </c>
      <c r="N7">
        <v>22.393007000000001</v>
      </c>
      <c r="O7">
        <v>24.202372</v>
      </c>
      <c r="P7">
        <v>32735235.212990001</v>
      </c>
      <c r="Q7">
        <v>28.072851</v>
      </c>
      <c r="R7">
        <v>35320297.6849773</v>
      </c>
      <c r="S7">
        <v>41149381.274617396</v>
      </c>
      <c r="T7" t="s">
        <v>96</v>
      </c>
      <c r="U7" t="s">
        <v>410</v>
      </c>
      <c r="V7">
        <v>1</v>
      </c>
      <c r="W7">
        <v>3.8119999999999998</v>
      </c>
      <c r="X7">
        <v>3.76</v>
      </c>
      <c r="Y7">
        <v>0.70000000000000007</v>
      </c>
      <c r="Z7">
        <v>11012344914.368</v>
      </c>
      <c r="AA7">
        <v>0</v>
      </c>
      <c r="AB7">
        <v>0</v>
      </c>
      <c r="AC7">
        <v>19.228484999999999</v>
      </c>
      <c r="AD7">
        <v>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1</v>
      </c>
      <c r="BB7" t="b">
        <v>1</v>
      </c>
    </row>
    <row r="8" spans="1:54" x14ac:dyDescent="0.25">
      <c r="A8">
        <v>107</v>
      </c>
      <c r="B8" t="s">
        <v>326</v>
      </c>
      <c r="C8" t="s">
        <v>354</v>
      </c>
      <c r="D8" t="s">
        <v>382</v>
      </c>
      <c r="E8" t="s">
        <v>90</v>
      </c>
      <c r="F8">
        <v>1058752100</v>
      </c>
      <c r="G8">
        <v>30.88</v>
      </c>
      <c r="H8" t="s">
        <v>97</v>
      </c>
      <c r="I8">
        <v>25012837.800475299</v>
      </c>
      <c r="J8">
        <v>22131242.257333301</v>
      </c>
      <c r="M8">
        <v>22401015.245762099</v>
      </c>
      <c r="N8">
        <v>16.357222</v>
      </c>
      <c r="O8">
        <v>16.344465</v>
      </c>
      <c r="P8">
        <v>20387471.697055999</v>
      </c>
      <c r="Q8">
        <v>20.756550000000001</v>
      </c>
      <c r="R8">
        <v>20463574.739706099</v>
      </c>
      <c r="S8">
        <v>23841929.5477065</v>
      </c>
      <c r="T8" t="s">
        <v>96</v>
      </c>
      <c r="U8" t="s">
        <v>411</v>
      </c>
      <c r="V8">
        <v>1</v>
      </c>
      <c r="W8">
        <v>30.7</v>
      </c>
      <c r="X8">
        <v>30.88</v>
      </c>
      <c r="Y8">
        <v>0.3</v>
      </c>
      <c r="Z8">
        <v>9808279454.3999996</v>
      </c>
      <c r="AA8">
        <v>0</v>
      </c>
      <c r="AB8">
        <v>0</v>
      </c>
      <c r="AC8">
        <v>21.355281250000001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1</v>
      </c>
      <c r="BB8" t="b">
        <v>1</v>
      </c>
    </row>
    <row r="9" spans="1:54" x14ac:dyDescent="0.25">
      <c r="A9">
        <v>108</v>
      </c>
      <c r="B9" t="s">
        <v>327</v>
      </c>
      <c r="C9" t="s">
        <v>355</v>
      </c>
      <c r="D9" t="s">
        <v>383</v>
      </c>
      <c r="E9" t="s">
        <v>93</v>
      </c>
      <c r="F9">
        <v>10166679946</v>
      </c>
      <c r="G9">
        <v>8.7840000000000007</v>
      </c>
      <c r="H9" t="s">
        <v>97</v>
      </c>
      <c r="I9">
        <v>178472124.09025201</v>
      </c>
      <c r="J9">
        <v>166540023.89559999</v>
      </c>
      <c r="M9">
        <v>151513143.60681701</v>
      </c>
      <c r="N9">
        <v>12.591810000000001</v>
      </c>
      <c r="O9">
        <v>12.996295999999999</v>
      </c>
      <c r="P9">
        <v>149832237.82745501</v>
      </c>
      <c r="Q9">
        <v>17.718805</v>
      </c>
      <c r="R9">
        <v>148575094.24025801</v>
      </c>
      <c r="S9">
        <v>173125633.060821</v>
      </c>
      <c r="T9" t="s">
        <v>96</v>
      </c>
      <c r="U9" t="s">
        <v>412</v>
      </c>
      <c r="V9">
        <v>1</v>
      </c>
      <c r="W9">
        <v>8.7780000000000005</v>
      </c>
      <c r="X9">
        <v>8.7840000000000007</v>
      </c>
      <c r="Y9">
        <v>0.75</v>
      </c>
      <c r="Z9">
        <v>66978087484.248009</v>
      </c>
      <c r="AA9">
        <v>0</v>
      </c>
      <c r="AB9">
        <v>0</v>
      </c>
      <c r="AC9">
        <v>17.395154999999999</v>
      </c>
      <c r="AD9">
        <v>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1</v>
      </c>
      <c r="BB9" t="b">
        <v>1</v>
      </c>
    </row>
    <row r="10" spans="1:54" x14ac:dyDescent="0.25">
      <c r="A10">
        <v>109</v>
      </c>
      <c r="B10" t="s">
        <v>328</v>
      </c>
      <c r="C10" t="s">
        <v>356</v>
      </c>
      <c r="D10" t="s">
        <v>384</v>
      </c>
      <c r="E10" t="s">
        <v>89</v>
      </c>
      <c r="F10">
        <v>2435285011</v>
      </c>
      <c r="G10">
        <v>21.62</v>
      </c>
      <c r="H10" t="s">
        <v>97</v>
      </c>
      <c r="I10">
        <v>91648028.187862799</v>
      </c>
      <c r="J10">
        <v>104576195.347067</v>
      </c>
      <c r="M10">
        <v>79798898.469393998</v>
      </c>
      <c r="N10">
        <v>16.273924000000001</v>
      </c>
      <c r="O10">
        <v>16.579367000000001</v>
      </c>
      <c r="P10">
        <v>77569150.878999993</v>
      </c>
      <c r="Q10">
        <v>19.988634000000001</v>
      </c>
      <c r="R10">
        <v>80919661.931818202</v>
      </c>
      <c r="S10">
        <v>94211911.034526795</v>
      </c>
      <c r="T10" t="s">
        <v>96</v>
      </c>
      <c r="U10" t="s">
        <v>413</v>
      </c>
      <c r="V10">
        <v>1</v>
      </c>
      <c r="W10">
        <v>21.73</v>
      </c>
      <c r="X10">
        <v>21.62</v>
      </c>
      <c r="Y10">
        <v>0.75</v>
      </c>
      <c r="Z10">
        <v>39488146453.365013</v>
      </c>
      <c r="AA10">
        <v>0</v>
      </c>
      <c r="AB10">
        <v>0</v>
      </c>
      <c r="AC10">
        <v>22.7907175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1</v>
      </c>
      <c r="BB10" t="b">
        <v>1</v>
      </c>
    </row>
    <row r="11" spans="1:54" x14ac:dyDescent="0.25">
      <c r="A11">
        <v>125</v>
      </c>
      <c r="B11" t="s">
        <v>329</v>
      </c>
      <c r="C11" t="s">
        <v>357</v>
      </c>
      <c r="D11" t="s">
        <v>385</v>
      </c>
      <c r="E11" t="s">
        <v>95</v>
      </c>
      <c r="F11">
        <v>897264470</v>
      </c>
      <c r="G11">
        <v>18.195</v>
      </c>
      <c r="H11" t="s">
        <v>97</v>
      </c>
      <c r="I11">
        <v>22002573.401726902</v>
      </c>
      <c r="J11">
        <v>29582141.493333299</v>
      </c>
      <c r="M11">
        <v>20811119.825538501</v>
      </c>
      <c r="N11">
        <v>22.80518</v>
      </c>
      <c r="O11">
        <v>24.145807000000001</v>
      </c>
      <c r="P11">
        <v>20988319.094500002</v>
      </c>
      <c r="Q11">
        <v>27.318342000000001</v>
      </c>
      <c r="R11">
        <v>22992144.2504545</v>
      </c>
      <c r="S11">
        <v>26754344.346135799</v>
      </c>
      <c r="T11" t="s">
        <v>96</v>
      </c>
      <c r="U11" t="s">
        <v>414</v>
      </c>
      <c r="V11">
        <v>1</v>
      </c>
      <c r="W11">
        <v>18.055</v>
      </c>
      <c r="X11">
        <v>18.195</v>
      </c>
      <c r="Y11">
        <v>0.5</v>
      </c>
      <c r="Z11">
        <v>8162863515.8249998</v>
      </c>
      <c r="AA11">
        <v>0</v>
      </c>
      <c r="AB11">
        <v>0</v>
      </c>
      <c r="AC11">
        <v>26.02259501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1</v>
      </c>
      <c r="BB11" t="b">
        <v>1</v>
      </c>
    </row>
    <row r="12" spans="1:54" x14ac:dyDescent="0.25">
      <c r="A12">
        <v>145</v>
      </c>
      <c r="B12" t="s">
        <v>330</v>
      </c>
      <c r="C12" t="s">
        <v>358</v>
      </c>
      <c r="D12" t="s">
        <v>386</v>
      </c>
      <c r="E12" t="s">
        <v>88</v>
      </c>
      <c r="F12">
        <v>115500000</v>
      </c>
      <c r="G12">
        <v>72.5</v>
      </c>
      <c r="H12" t="s">
        <v>97</v>
      </c>
      <c r="I12">
        <v>54041310.321482196</v>
      </c>
      <c r="J12">
        <v>49693964.490000002</v>
      </c>
      <c r="M12">
        <v>60542832.916287899</v>
      </c>
      <c r="N12">
        <v>53.905945000000003</v>
      </c>
      <c r="O12">
        <v>52.049182999999999</v>
      </c>
      <c r="P12">
        <v>52695790.730750002</v>
      </c>
      <c r="Q12">
        <v>58.235455000000002</v>
      </c>
      <c r="R12">
        <v>53971996.031060599</v>
      </c>
      <c r="S12">
        <v>62942364.179218702</v>
      </c>
      <c r="T12" t="s">
        <v>96</v>
      </c>
      <c r="U12" t="s">
        <v>415</v>
      </c>
      <c r="V12">
        <v>1</v>
      </c>
      <c r="W12">
        <v>69.599999999999994</v>
      </c>
      <c r="X12">
        <v>72.5</v>
      </c>
      <c r="Y12">
        <v>0.5</v>
      </c>
      <c r="Z12">
        <v>4186875000</v>
      </c>
      <c r="AA12">
        <v>0</v>
      </c>
      <c r="AB12">
        <v>0</v>
      </c>
      <c r="AC12">
        <v>21.753833319999998</v>
      </c>
      <c r="AD12">
        <v>0</v>
      </c>
      <c r="AE12">
        <v>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b">
        <v>0</v>
      </c>
      <c r="AP12" t="b">
        <v>0</v>
      </c>
      <c r="AQ12" t="b">
        <v>0</v>
      </c>
      <c r="AR12" t="b">
        <v>0</v>
      </c>
      <c r="AS12" t="b">
        <v>1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1</v>
      </c>
    </row>
    <row r="13" spans="1:54" x14ac:dyDescent="0.25">
      <c r="A13">
        <v>153</v>
      </c>
      <c r="B13" t="s">
        <v>331</v>
      </c>
      <c r="C13" t="s">
        <v>359</v>
      </c>
      <c r="D13" t="s">
        <v>387</v>
      </c>
      <c r="E13" t="s">
        <v>90</v>
      </c>
      <c r="F13">
        <v>176654400</v>
      </c>
      <c r="G13">
        <v>45.06</v>
      </c>
      <c r="H13" t="s">
        <v>97</v>
      </c>
      <c r="I13">
        <v>29629564.182098001</v>
      </c>
      <c r="J13">
        <v>38603396.063666701</v>
      </c>
      <c r="M13">
        <v>35811037.666174203</v>
      </c>
      <c r="N13">
        <v>38.426051999999999</v>
      </c>
      <c r="O13">
        <v>36.721539999999997</v>
      </c>
      <c r="P13">
        <v>33961984.443149999</v>
      </c>
      <c r="Q13">
        <v>38.923267000000003</v>
      </c>
      <c r="R13">
        <v>35652333.819621198</v>
      </c>
      <c r="S13">
        <v>41510373.511022203</v>
      </c>
      <c r="T13" t="s">
        <v>96</v>
      </c>
      <c r="U13" t="s">
        <v>416</v>
      </c>
      <c r="V13">
        <v>1</v>
      </c>
      <c r="W13">
        <v>46.26</v>
      </c>
      <c r="X13">
        <v>45.06</v>
      </c>
      <c r="Y13">
        <v>0.45</v>
      </c>
      <c r="Z13">
        <v>3582021268.8000002</v>
      </c>
      <c r="AA13">
        <v>0</v>
      </c>
      <c r="AB13">
        <v>0</v>
      </c>
      <c r="AC13">
        <v>11.39230375</v>
      </c>
      <c r="AD13">
        <v>2</v>
      </c>
      <c r="AE13">
        <v>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b">
        <v>0</v>
      </c>
      <c r="AP13" t="b">
        <v>0</v>
      </c>
      <c r="AQ13" t="b">
        <v>0</v>
      </c>
      <c r="AR13" t="b">
        <v>0</v>
      </c>
      <c r="AS13" t="b">
        <v>1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1</v>
      </c>
    </row>
    <row r="14" spans="1:54" x14ac:dyDescent="0.25">
      <c r="A14">
        <v>162</v>
      </c>
      <c r="B14" t="s">
        <v>332</v>
      </c>
      <c r="C14" t="s">
        <v>360</v>
      </c>
      <c r="D14" t="s">
        <v>388</v>
      </c>
      <c r="E14" t="s">
        <v>93</v>
      </c>
      <c r="F14">
        <v>271215400</v>
      </c>
      <c r="G14">
        <v>18.295000000000002</v>
      </c>
      <c r="H14" t="s">
        <v>97</v>
      </c>
      <c r="I14">
        <v>37869729.092462301</v>
      </c>
      <c r="J14">
        <v>24668736.057333302</v>
      </c>
      <c r="M14">
        <v>38485106.009828202</v>
      </c>
      <c r="N14">
        <v>29.714762</v>
      </c>
      <c r="O14">
        <v>30.119679999999999</v>
      </c>
      <c r="P14">
        <v>40731027.871250004</v>
      </c>
      <c r="Q14">
        <v>35.903779999999998</v>
      </c>
      <c r="R14">
        <v>27121194.128636401</v>
      </c>
      <c r="S14">
        <v>31619089.749928098</v>
      </c>
      <c r="T14" t="s">
        <v>96</v>
      </c>
      <c r="U14" t="s">
        <v>417</v>
      </c>
      <c r="V14">
        <v>1</v>
      </c>
      <c r="W14">
        <v>18.75</v>
      </c>
      <c r="X14">
        <v>18.295000000000002</v>
      </c>
      <c r="Y14">
        <v>0.65</v>
      </c>
      <c r="Z14">
        <v>3225225732.9499998</v>
      </c>
      <c r="AA14">
        <v>0</v>
      </c>
      <c r="AB14">
        <v>0</v>
      </c>
      <c r="AC14">
        <v>20.56444969</v>
      </c>
      <c r="AD14">
        <v>3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b">
        <v>0</v>
      </c>
      <c r="AP14" t="b">
        <v>0</v>
      </c>
      <c r="AQ14" t="b">
        <v>0</v>
      </c>
      <c r="AR14" t="b">
        <v>1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1</v>
      </c>
    </row>
    <row r="15" spans="1:54" x14ac:dyDescent="0.25">
      <c r="A15">
        <v>179</v>
      </c>
      <c r="B15" t="s">
        <v>333</v>
      </c>
      <c r="C15" t="s">
        <v>361</v>
      </c>
      <c r="D15" t="s">
        <v>389</v>
      </c>
      <c r="E15" t="s">
        <v>93</v>
      </c>
      <c r="F15">
        <v>578150395</v>
      </c>
      <c r="G15">
        <v>46.04</v>
      </c>
      <c r="H15" t="s">
        <v>97</v>
      </c>
      <c r="I15">
        <v>158062457.061766</v>
      </c>
      <c r="J15">
        <v>154808178.62900001</v>
      </c>
      <c r="M15">
        <v>157570240.05633599</v>
      </c>
      <c r="N15">
        <v>40.725814999999997</v>
      </c>
      <c r="O15">
        <v>41.131774999999998</v>
      </c>
      <c r="P15">
        <v>152622164.83995</v>
      </c>
      <c r="Q15">
        <v>44.153632999999999</v>
      </c>
      <c r="R15">
        <v>150931707.70424199</v>
      </c>
      <c r="S15">
        <v>175977655.27555001</v>
      </c>
      <c r="T15" t="s">
        <v>96</v>
      </c>
      <c r="U15" t="s">
        <v>418</v>
      </c>
      <c r="V15">
        <v>1</v>
      </c>
      <c r="W15">
        <v>46.27</v>
      </c>
      <c r="X15">
        <v>46.04</v>
      </c>
      <c r="Y15">
        <v>0.70000000000000007</v>
      </c>
      <c r="Z15">
        <v>18632630930.060001</v>
      </c>
      <c r="AA15">
        <v>0</v>
      </c>
      <c r="AB15" t="s">
        <v>433</v>
      </c>
      <c r="AC15">
        <v>22.308118889999999</v>
      </c>
      <c r="AD15">
        <v>2</v>
      </c>
      <c r="AE15">
        <v>0</v>
      </c>
      <c r="AF15">
        <v>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b">
        <v>0</v>
      </c>
      <c r="AP15" t="b">
        <v>0</v>
      </c>
      <c r="AQ15" t="b">
        <v>0</v>
      </c>
      <c r="AR15" t="b">
        <v>1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1</v>
      </c>
    </row>
    <row r="16" spans="1:54" x14ac:dyDescent="0.25">
      <c r="A16">
        <v>195</v>
      </c>
      <c r="B16" t="s">
        <v>334</v>
      </c>
      <c r="C16" t="s">
        <v>362</v>
      </c>
      <c r="D16" t="s">
        <v>390</v>
      </c>
      <c r="E16" t="s">
        <v>88</v>
      </c>
      <c r="F16">
        <v>53824490</v>
      </c>
      <c r="G16">
        <v>348.6</v>
      </c>
      <c r="H16" t="s">
        <v>97</v>
      </c>
      <c r="I16">
        <v>47259076.806521699</v>
      </c>
      <c r="J16">
        <v>44143374.1133333</v>
      </c>
      <c r="M16">
        <v>44819134.711742401</v>
      </c>
      <c r="N16">
        <v>25.211673999999999</v>
      </c>
      <c r="O16">
        <v>25.682967999999999</v>
      </c>
      <c r="P16">
        <v>43049156.994499996</v>
      </c>
      <c r="Q16">
        <v>31.613240999999999</v>
      </c>
      <c r="R16">
        <v>42760035.616666697</v>
      </c>
      <c r="S16">
        <v>49830169.221571296</v>
      </c>
      <c r="T16" t="s">
        <v>96</v>
      </c>
      <c r="U16" t="s">
        <v>419</v>
      </c>
      <c r="V16">
        <v>1</v>
      </c>
      <c r="W16">
        <v>351.2</v>
      </c>
      <c r="X16">
        <v>348.6</v>
      </c>
      <c r="Y16">
        <v>1</v>
      </c>
      <c r="Z16">
        <v>18763217214</v>
      </c>
      <c r="AA16">
        <v>0</v>
      </c>
      <c r="AB16">
        <v>0</v>
      </c>
      <c r="AC16">
        <v>24.317205489999999</v>
      </c>
      <c r="AD16">
        <v>2</v>
      </c>
      <c r="AE16">
        <v>0</v>
      </c>
      <c r="AF16">
        <v>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b">
        <v>0</v>
      </c>
      <c r="AP16" t="b">
        <v>0</v>
      </c>
      <c r="AQ16" t="b">
        <v>0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1</v>
      </c>
    </row>
    <row r="17" spans="1:54" x14ac:dyDescent="0.25">
      <c r="A17">
        <v>211</v>
      </c>
      <c r="B17" t="s">
        <v>335</v>
      </c>
      <c r="C17" t="s">
        <v>363</v>
      </c>
      <c r="D17" t="s">
        <v>391</v>
      </c>
      <c r="E17" t="s">
        <v>91</v>
      </c>
      <c r="F17">
        <v>962920132</v>
      </c>
      <c r="G17">
        <v>23.49</v>
      </c>
      <c r="H17" t="s">
        <v>97</v>
      </c>
      <c r="I17">
        <v>39174317.974490203</v>
      </c>
      <c r="J17">
        <v>32619392.986666601</v>
      </c>
      <c r="M17">
        <v>34216113.830606103</v>
      </c>
      <c r="N17">
        <v>26.182175000000001</v>
      </c>
      <c r="O17">
        <v>26.881195000000002</v>
      </c>
      <c r="P17">
        <v>32729478.7487</v>
      </c>
      <c r="Q17">
        <v>27.408553999999999</v>
      </c>
      <c r="R17">
        <v>32230025.666818202</v>
      </c>
      <c r="S17">
        <v>37563228.149794899</v>
      </c>
      <c r="T17" t="s">
        <v>96</v>
      </c>
      <c r="U17" t="s">
        <v>420</v>
      </c>
      <c r="V17">
        <v>1</v>
      </c>
      <c r="W17">
        <v>22.55</v>
      </c>
      <c r="X17">
        <v>23.49</v>
      </c>
      <c r="Y17">
        <v>0.8</v>
      </c>
      <c r="Z17">
        <v>18095195120.543999</v>
      </c>
      <c r="AA17">
        <v>0</v>
      </c>
      <c r="AB17">
        <v>0</v>
      </c>
      <c r="AC17">
        <v>20.2915375</v>
      </c>
      <c r="AD17">
        <v>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t="b">
        <v>1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1</v>
      </c>
    </row>
    <row r="18" spans="1:54" x14ac:dyDescent="0.25">
      <c r="A18">
        <v>227</v>
      </c>
      <c r="B18" t="s">
        <v>336</v>
      </c>
      <c r="C18" t="s">
        <v>364</v>
      </c>
      <c r="D18" t="s">
        <v>392</v>
      </c>
      <c r="E18" t="s">
        <v>88</v>
      </c>
      <c r="F18">
        <v>100000000</v>
      </c>
      <c r="G18">
        <v>50.86</v>
      </c>
      <c r="H18" t="s">
        <v>97</v>
      </c>
      <c r="I18">
        <v>61430635.406021699</v>
      </c>
      <c r="J18">
        <v>42935216.07</v>
      </c>
      <c r="M18">
        <v>75259847.829999998</v>
      </c>
      <c r="N18">
        <v>55.012714000000003</v>
      </c>
      <c r="O18">
        <v>52.51135</v>
      </c>
      <c r="P18">
        <v>60812996.468699999</v>
      </c>
      <c r="Q18">
        <v>62.250743999999997</v>
      </c>
      <c r="R18">
        <v>54480742.826287903</v>
      </c>
      <c r="S18">
        <v>63562657.345713302</v>
      </c>
      <c r="T18" t="s">
        <v>96</v>
      </c>
      <c r="U18" t="s">
        <v>421</v>
      </c>
      <c r="V18">
        <v>1</v>
      </c>
      <c r="W18">
        <v>51.62</v>
      </c>
      <c r="X18">
        <v>50.86</v>
      </c>
      <c r="Y18">
        <v>0.85</v>
      </c>
      <c r="Z18">
        <v>4323100000</v>
      </c>
      <c r="AA18">
        <v>0</v>
      </c>
      <c r="AB18">
        <v>0</v>
      </c>
      <c r="AD18">
        <v>0</v>
      </c>
      <c r="AE18">
        <v>0</v>
      </c>
      <c r="AF18">
        <v>4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b">
        <v>0</v>
      </c>
      <c r="AP18" t="b">
        <v>0</v>
      </c>
      <c r="AQ18" t="b">
        <v>0</v>
      </c>
      <c r="AR18" t="b">
        <v>1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1</v>
      </c>
    </row>
    <row r="19" spans="1:54" x14ac:dyDescent="0.25">
      <c r="A19">
        <v>231</v>
      </c>
      <c r="B19" t="s">
        <v>337</v>
      </c>
      <c r="C19" t="s">
        <v>365</v>
      </c>
      <c r="D19" t="s">
        <v>393</v>
      </c>
      <c r="E19" t="s">
        <v>88</v>
      </c>
      <c r="F19">
        <v>46002533</v>
      </c>
      <c r="G19">
        <v>1519.5</v>
      </c>
      <c r="H19" t="s">
        <v>97</v>
      </c>
      <c r="I19">
        <v>441109219.53063202</v>
      </c>
      <c r="J19">
        <v>428647618.11666697</v>
      </c>
      <c r="M19">
        <v>450486791.65151501</v>
      </c>
      <c r="N19">
        <v>42.579740000000001</v>
      </c>
      <c r="O19">
        <v>39.891370000000002</v>
      </c>
      <c r="P19">
        <v>406969931.77499998</v>
      </c>
      <c r="Q19">
        <v>47.267519999999998</v>
      </c>
      <c r="R19">
        <v>395799948.12121201</v>
      </c>
      <c r="S19">
        <v>461550881.07191098</v>
      </c>
      <c r="T19" t="s">
        <v>96</v>
      </c>
      <c r="U19" t="s">
        <v>422</v>
      </c>
      <c r="V19">
        <v>1</v>
      </c>
      <c r="W19">
        <v>1502</v>
      </c>
      <c r="X19">
        <v>1519.5</v>
      </c>
      <c r="Y19">
        <v>1</v>
      </c>
      <c r="Z19">
        <v>69900848893.5</v>
      </c>
      <c r="AA19">
        <v>0</v>
      </c>
      <c r="AB19">
        <v>0</v>
      </c>
      <c r="AC19">
        <v>26.507280189999999</v>
      </c>
      <c r="AD19">
        <v>2</v>
      </c>
      <c r="AE19">
        <v>0</v>
      </c>
      <c r="AF19">
        <v>5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b">
        <v>0</v>
      </c>
      <c r="AP19" t="b">
        <v>0</v>
      </c>
      <c r="AQ19" t="b">
        <v>0</v>
      </c>
      <c r="AR19" t="b">
        <v>1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1</v>
      </c>
    </row>
    <row r="20" spans="1:54" x14ac:dyDescent="0.25">
      <c r="A20">
        <v>233</v>
      </c>
      <c r="B20" t="s">
        <v>338</v>
      </c>
      <c r="C20" t="s">
        <v>366</v>
      </c>
      <c r="D20" t="s">
        <v>394</v>
      </c>
      <c r="E20" t="s">
        <v>88</v>
      </c>
      <c r="F20">
        <v>743841200</v>
      </c>
      <c r="G20">
        <v>44.04</v>
      </c>
      <c r="H20" t="s">
        <v>97</v>
      </c>
      <c r="I20">
        <v>77436450.368181795</v>
      </c>
      <c r="J20">
        <v>95247136.475999996</v>
      </c>
      <c r="M20">
        <v>68392421.3998864</v>
      </c>
      <c r="N20">
        <v>22.598922999999999</v>
      </c>
      <c r="O20">
        <v>24.297080000000001</v>
      </c>
      <c r="P20">
        <v>66190049.507799998</v>
      </c>
      <c r="Q20">
        <v>23.352789000000001</v>
      </c>
      <c r="R20">
        <v>71529820.676515102</v>
      </c>
      <c r="S20">
        <v>83313798.456460893</v>
      </c>
      <c r="T20" t="s">
        <v>96</v>
      </c>
      <c r="U20" t="s">
        <v>423</v>
      </c>
      <c r="V20">
        <v>1</v>
      </c>
      <c r="W20">
        <v>43.88</v>
      </c>
      <c r="X20">
        <v>44.04</v>
      </c>
      <c r="Y20">
        <v>0.9</v>
      </c>
      <c r="Z20">
        <v>29482889803.200001</v>
      </c>
      <c r="AA20">
        <v>0</v>
      </c>
      <c r="AB20">
        <v>0</v>
      </c>
      <c r="AC20">
        <v>22.380076469999999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3</v>
      </c>
      <c r="AM20">
        <v>0</v>
      </c>
      <c r="AN20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1</v>
      </c>
      <c r="BB20" t="b">
        <v>1</v>
      </c>
    </row>
    <row r="21" spans="1:54" x14ac:dyDescent="0.25">
      <c r="A21">
        <v>235</v>
      </c>
      <c r="B21" t="s">
        <v>339</v>
      </c>
      <c r="C21" t="s">
        <v>367</v>
      </c>
      <c r="D21" t="s">
        <v>395</v>
      </c>
      <c r="E21" t="s">
        <v>89</v>
      </c>
      <c r="F21">
        <v>423632587</v>
      </c>
      <c r="G21">
        <v>289.39999999999998</v>
      </c>
      <c r="H21" t="s">
        <v>97</v>
      </c>
      <c r="I21">
        <v>149366068.56733301</v>
      </c>
      <c r="J21">
        <v>122167439.483787</v>
      </c>
      <c r="M21">
        <v>133110218.095415</v>
      </c>
      <c r="N21">
        <v>20.578779999999998</v>
      </c>
      <c r="O21">
        <v>20.293333000000001</v>
      </c>
      <c r="P21">
        <v>131784930.993448</v>
      </c>
      <c r="Q21">
        <v>28.38711</v>
      </c>
      <c r="R21">
        <v>133887965.56734499</v>
      </c>
      <c r="S21">
        <v>156120652.26238501</v>
      </c>
      <c r="T21" t="s">
        <v>96</v>
      </c>
      <c r="U21" t="s">
        <v>424</v>
      </c>
      <c r="V21">
        <v>1</v>
      </c>
      <c r="W21">
        <v>293.7</v>
      </c>
      <c r="X21">
        <v>289.39999999999998</v>
      </c>
      <c r="Y21">
        <v>0.75</v>
      </c>
      <c r="Z21">
        <v>91949453008.349991</v>
      </c>
      <c r="AA21">
        <v>0</v>
      </c>
      <c r="AB21" t="s">
        <v>433</v>
      </c>
      <c r="AC21">
        <v>27.085362450000002</v>
      </c>
      <c r="AD21">
        <v>2</v>
      </c>
      <c r="AE21">
        <v>0</v>
      </c>
      <c r="AF21">
        <v>3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b">
        <v>0</v>
      </c>
      <c r="AP21" t="b">
        <v>0</v>
      </c>
      <c r="AQ21" t="b">
        <v>0</v>
      </c>
      <c r="AR21" t="b">
        <v>1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1</v>
      </c>
    </row>
    <row r="22" spans="1:54" x14ac:dyDescent="0.25">
      <c r="A22">
        <v>249</v>
      </c>
      <c r="B22" t="s">
        <v>340</v>
      </c>
      <c r="C22" t="s">
        <v>368</v>
      </c>
      <c r="D22" t="s">
        <v>396</v>
      </c>
      <c r="E22" t="s">
        <v>91</v>
      </c>
      <c r="F22">
        <v>5977723229</v>
      </c>
      <c r="G22">
        <v>31.774999999999999</v>
      </c>
      <c r="H22" t="s">
        <v>97</v>
      </c>
      <c r="I22">
        <v>174086225.613637</v>
      </c>
      <c r="J22">
        <v>169329266.650166</v>
      </c>
      <c r="M22">
        <v>149643206.46572</v>
      </c>
      <c r="N22">
        <v>17.12968</v>
      </c>
      <c r="O22">
        <v>16.406609</v>
      </c>
      <c r="P22">
        <v>149490466.630375</v>
      </c>
      <c r="Q22">
        <v>22.196853999999998</v>
      </c>
      <c r="R22">
        <v>158275615.95306799</v>
      </c>
      <c r="S22">
        <v>184421550.05613601</v>
      </c>
      <c r="T22" t="s">
        <v>96</v>
      </c>
      <c r="U22" t="s">
        <v>425</v>
      </c>
      <c r="V22">
        <v>1</v>
      </c>
      <c r="W22">
        <v>30.1</v>
      </c>
      <c r="X22">
        <v>31.774999999999999</v>
      </c>
      <c r="Y22">
        <v>1</v>
      </c>
      <c r="Z22">
        <v>189942155601.47501</v>
      </c>
      <c r="AA22">
        <v>0</v>
      </c>
      <c r="AB22">
        <v>0</v>
      </c>
      <c r="AC22">
        <v>31.377847500000001</v>
      </c>
      <c r="AD22">
        <v>4</v>
      </c>
      <c r="AE22">
        <v>0</v>
      </c>
      <c r="AF22">
        <v>0</v>
      </c>
      <c r="AG22" t="s">
        <v>434</v>
      </c>
      <c r="AH22" t="s">
        <v>319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 t="b">
        <v>1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1</v>
      </c>
    </row>
    <row r="23" spans="1:54" x14ac:dyDescent="0.25">
      <c r="A23">
        <v>251</v>
      </c>
      <c r="B23" t="s">
        <v>341</v>
      </c>
      <c r="C23" t="s">
        <v>369</v>
      </c>
      <c r="D23" t="s">
        <v>397</v>
      </c>
      <c r="E23" t="s">
        <v>88</v>
      </c>
      <c r="F23">
        <v>861104900</v>
      </c>
      <c r="G23">
        <v>100.8</v>
      </c>
      <c r="H23" t="s">
        <v>97</v>
      </c>
      <c r="I23">
        <v>212036144.72002</v>
      </c>
      <c r="J23">
        <v>272690777.11666697</v>
      </c>
      <c r="M23">
        <v>210262953.379848</v>
      </c>
      <c r="N23">
        <v>45.854773999999999</v>
      </c>
      <c r="O23">
        <v>48.048842999999998</v>
      </c>
      <c r="P23">
        <v>213577981.57269999</v>
      </c>
      <c r="Q23">
        <v>48.263446999999999</v>
      </c>
      <c r="R23">
        <v>232526896.06818199</v>
      </c>
      <c r="S23">
        <v>271067388.24797499</v>
      </c>
      <c r="T23" t="s">
        <v>96</v>
      </c>
      <c r="U23" t="s">
        <v>426</v>
      </c>
      <c r="V23">
        <v>1</v>
      </c>
      <c r="W23">
        <v>119.4</v>
      </c>
      <c r="X23">
        <v>100.8</v>
      </c>
      <c r="Y23">
        <v>0.9</v>
      </c>
      <c r="Z23">
        <v>78119436528</v>
      </c>
      <c r="AA23">
        <v>0</v>
      </c>
      <c r="AB23">
        <v>0</v>
      </c>
      <c r="AC23">
        <v>12.4080125</v>
      </c>
      <c r="AD23">
        <v>2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1</v>
      </c>
    </row>
    <row r="24" spans="1:54" x14ac:dyDescent="0.25">
      <c r="A24">
        <v>272</v>
      </c>
      <c r="B24" t="s">
        <v>342</v>
      </c>
      <c r="C24" t="s">
        <v>370</v>
      </c>
      <c r="D24" t="s">
        <v>398</v>
      </c>
      <c r="E24" t="s">
        <v>89</v>
      </c>
      <c r="F24">
        <v>205941913</v>
      </c>
      <c r="G24">
        <v>226.9</v>
      </c>
      <c r="H24" t="s">
        <v>97</v>
      </c>
      <c r="I24">
        <v>69087379.125162795</v>
      </c>
      <c r="J24">
        <v>55917788.865000099</v>
      </c>
      <c r="M24">
        <v>64935701.041981198</v>
      </c>
      <c r="N24">
        <v>29.593423999999999</v>
      </c>
      <c r="O24">
        <v>28.835087000000001</v>
      </c>
      <c r="P24">
        <v>59951230.420415103</v>
      </c>
      <c r="Q24">
        <v>32.040750000000003</v>
      </c>
      <c r="R24">
        <v>62307304.815780297</v>
      </c>
      <c r="S24">
        <v>72690523.382163197</v>
      </c>
      <c r="T24" t="s">
        <v>96</v>
      </c>
      <c r="U24" t="s">
        <v>427</v>
      </c>
      <c r="V24">
        <v>1</v>
      </c>
      <c r="W24">
        <v>227.5</v>
      </c>
      <c r="X24">
        <v>226.9</v>
      </c>
      <c r="Y24">
        <v>0.45</v>
      </c>
      <c r="Z24">
        <v>21027699026.865002</v>
      </c>
      <c r="AA24">
        <v>0</v>
      </c>
      <c r="AB24" t="s">
        <v>433</v>
      </c>
      <c r="AC24">
        <v>26.521620110000001</v>
      </c>
      <c r="AD24">
        <v>2</v>
      </c>
      <c r="AE24">
        <v>0</v>
      </c>
      <c r="AF24">
        <v>5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b">
        <v>0</v>
      </c>
      <c r="AP24" t="b">
        <v>0</v>
      </c>
      <c r="AQ24" t="b">
        <v>0</v>
      </c>
      <c r="AR24" t="b">
        <v>1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1</v>
      </c>
    </row>
    <row r="25" spans="1:54" x14ac:dyDescent="0.25">
      <c r="A25">
        <v>273</v>
      </c>
      <c r="B25" t="s">
        <v>343</v>
      </c>
      <c r="C25" t="s">
        <v>371</v>
      </c>
      <c r="D25" t="s">
        <v>399</v>
      </c>
      <c r="E25" t="s">
        <v>88</v>
      </c>
      <c r="F25">
        <v>622531741</v>
      </c>
      <c r="G25">
        <v>8.4760000000000009</v>
      </c>
      <c r="H25" t="s">
        <v>97</v>
      </c>
      <c r="I25">
        <v>39768707.581031598</v>
      </c>
      <c r="J25">
        <v>20966147.244133301</v>
      </c>
      <c r="M25">
        <v>34010980.729272701</v>
      </c>
      <c r="N25">
        <v>46.996516999999997</v>
      </c>
      <c r="O25">
        <v>47.914143000000003</v>
      </c>
      <c r="P25">
        <v>34160944.896430001</v>
      </c>
      <c r="Q25">
        <v>53.888249999999999</v>
      </c>
      <c r="R25">
        <v>32841207.785606101</v>
      </c>
      <c r="S25">
        <v>38324643.247607</v>
      </c>
      <c r="T25" t="s">
        <v>96</v>
      </c>
      <c r="U25" t="s">
        <v>428</v>
      </c>
      <c r="V25">
        <v>1</v>
      </c>
      <c r="W25">
        <v>8.8620000000000001</v>
      </c>
      <c r="X25">
        <v>8.4760000000000009</v>
      </c>
      <c r="Y25">
        <v>0.8</v>
      </c>
      <c r="Z25">
        <v>4221263229.3727999</v>
      </c>
      <c r="AA25">
        <v>0</v>
      </c>
      <c r="AB25">
        <v>0</v>
      </c>
      <c r="AC25">
        <v>39.500115630000003</v>
      </c>
      <c r="AD25">
        <v>2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1</v>
      </c>
    </row>
    <row r="26" spans="1:54" x14ac:dyDescent="0.25">
      <c r="A26">
        <v>285</v>
      </c>
      <c r="B26" t="s">
        <v>344</v>
      </c>
      <c r="C26" t="s">
        <v>372</v>
      </c>
      <c r="D26" t="s">
        <v>400</v>
      </c>
      <c r="E26" t="s">
        <v>95</v>
      </c>
      <c r="F26">
        <v>527735699</v>
      </c>
      <c r="G26">
        <v>22.91</v>
      </c>
      <c r="H26" t="s">
        <v>97</v>
      </c>
      <c r="I26">
        <v>30225478.005863499</v>
      </c>
      <c r="J26">
        <v>27171560.037333298</v>
      </c>
      <c r="M26">
        <v>26320010.4696154</v>
      </c>
      <c r="N26">
        <v>24.522085000000001</v>
      </c>
      <c r="O26">
        <v>23.884415000000001</v>
      </c>
      <c r="P26">
        <v>25694420.038899999</v>
      </c>
      <c r="Q26">
        <v>24.849062</v>
      </c>
      <c r="R26">
        <v>26600242.754393902</v>
      </c>
      <c r="S26">
        <v>31007463.622887399</v>
      </c>
      <c r="T26" t="s">
        <v>96</v>
      </c>
      <c r="U26" t="s">
        <v>429</v>
      </c>
      <c r="V26">
        <v>1</v>
      </c>
      <c r="W26">
        <v>23.81</v>
      </c>
      <c r="X26">
        <v>22.91</v>
      </c>
      <c r="Y26">
        <v>1</v>
      </c>
      <c r="Z26">
        <v>12090424864.09</v>
      </c>
      <c r="AA26">
        <v>0</v>
      </c>
      <c r="AB26">
        <v>0</v>
      </c>
      <c r="AC26">
        <v>13.567207140000001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1</v>
      </c>
      <c r="BB26" t="b">
        <v>1</v>
      </c>
    </row>
    <row r="27" spans="1:54" x14ac:dyDescent="0.25">
      <c r="A27">
        <v>289</v>
      </c>
      <c r="B27" t="s">
        <v>345</v>
      </c>
      <c r="C27" t="s">
        <v>373</v>
      </c>
      <c r="D27" t="s">
        <v>401</v>
      </c>
      <c r="E27" t="s">
        <v>89</v>
      </c>
      <c r="F27">
        <v>741723437</v>
      </c>
      <c r="G27">
        <v>28.5</v>
      </c>
      <c r="H27" t="s">
        <v>97</v>
      </c>
      <c r="I27">
        <v>58896826.106892198</v>
      </c>
      <c r="J27">
        <v>46180184.9393133</v>
      </c>
      <c r="M27">
        <v>50096507.089337103</v>
      </c>
      <c r="N27">
        <v>16.383662999999999</v>
      </c>
      <c r="O27">
        <v>17.2179</v>
      </c>
      <c r="P27">
        <v>46294505.968924999</v>
      </c>
      <c r="Q27">
        <v>21.446539999999999</v>
      </c>
      <c r="R27">
        <v>46730857.720113598</v>
      </c>
      <c r="S27">
        <v>54455934.867097497</v>
      </c>
      <c r="T27" t="s">
        <v>96</v>
      </c>
      <c r="U27" t="s">
        <v>430</v>
      </c>
      <c r="V27">
        <v>1</v>
      </c>
      <c r="W27">
        <v>29.52</v>
      </c>
      <c r="X27">
        <v>28.5</v>
      </c>
      <c r="Y27">
        <v>0.85000000000000009</v>
      </c>
      <c r="Z27">
        <v>17968250261.325001</v>
      </c>
      <c r="AA27">
        <v>0</v>
      </c>
      <c r="AB27">
        <v>0</v>
      </c>
      <c r="AC27">
        <v>21.559280000000001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1</v>
      </c>
      <c r="BB27" t="b">
        <v>1</v>
      </c>
    </row>
    <row r="28" spans="1:54" x14ac:dyDescent="0.25">
      <c r="A28">
        <v>293</v>
      </c>
      <c r="B28" t="s">
        <v>346</v>
      </c>
      <c r="C28" t="s">
        <v>374</v>
      </c>
      <c r="D28" t="s">
        <v>402</v>
      </c>
      <c r="E28" t="s">
        <v>88</v>
      </c>
      <c r="F28">
        <v>206205440</v>
      </c>
      <c r="G28">
        <v>94.72</v>
      </c>
      <c r="H28" t="s">
        <v>97</v>
      </c>
      <c r="I28">
        <v>106358868.972707</v>
      </c>
      <c r="J28">
        <v>77857253.620666698</v>
      </c>
      <c r="M28">
        <v>92138931.579280198</v>
      </c>
      <c r="N28">
        <v>26.58747</v>
      </c>
      <c r="O28">
        <v>27.139807000000001</v>
      </c>
      <c r="P28">
        <v>94898815.369749993</v>
      </c>
      <c r="Q28">
        <v>28.323456</v>
      </c>
      <c r="R28">
        <v>89581759.1755303</v>
      </c>
      <c r="S28">
        <v>104503890.649014</v>
      </c>
      <c r="T28" t="s">
        <v>96</v>
      </c>
      <c r="U28" t="s">
        <v>431</v>
      </c>
      <c r="V28">
        <v>1</v>
      </c>
      <c r="W28">
        <v>106.7</v>
      </c>
      <c r="X28">
        <v>94.72</v>
      </c>
      <c r="Y28">
        <v>1</v>
      </c>
      <c r="Z28">
        <v>19531779276.799999</v>
      </c>
      <c r="AA28">
        <v>0</v>
      </c>
      <c r="AB28">
        <v>0</v>
      </c>
      <c r="AC28">
        <v>23.645696879999999</v>
      </c>
      <c r="AD28">
        <v>3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b">
        <v>0</v>
      </c>
      <c r="AP28" t="b">
        <v>0</v>
      </c>
      <c r="AQ28" t="b">
        <v>0</v>
      </c>
      <c r="AR28" t="b">
        <v>1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1</v>
      </c>
    </row>
    <row r="29" spans="1:54" x14ac:dyDescent="0.25">
      <c r="A29">
        <v>295</v>
      </c>
      <c r="B29" t="s">
        <v>347</v>
      </c>
      <c r="C29" t="s">
        <v>375</v>
      </c>
      <c r="D29" t="s">
        <v>403</v>
      </c>
      <c r="E29" t="s">
        <v>95</v>
      </c>
      <c r="F29">
        <v>591723400</v>
      </c>
      <c r="G29">
        <v>26.54</v>
      </c>
      <c r="H29" t="s">
        <v>97</v>
      </c>
      <c r="I29">
        <v>18692744.871807199</v>
      </c>
      <c r="J29">
        <v>20924976.016666699</v>
      </c>
      <c r="M29">
        <v>19463306.8415385</v>
      </c>
      <c r="N29">
        <v>30.729417999999999</v>
      </c>
      <c r="O29">
        <v>33.040050000000001</v>
      </c>
      <c r="P29">
        <v>20054408.528200001</v>
      </c>
      <c r="Q29">
        <v>32.223681999999997</v>
      </c>
      <c r="R29">
        <v>21511029.5495455</v>
      </c>
      <c r="S29">
        <v>25058669.519553501</v>
      </c>
      <c r="T29" t="s">
        <v>96</v>
      </c>
      <c r="U29" t="s">
        <v>432</v>
      </c>
      <c r="V29">
        <v>1</v>
      </c>
      <c r="W29">
        <v>30.08</v>
      </c>
      <c r="X29">
        <v>26.54</v>
      </c>
      <c r="Y29">
        <v>0.8</v>
      </c>
      <c r="Z29">
        <v>12563471228.799999</v>
      </c>
      <c r="AA29">
        <v>0</v>
      </c>
      <c r="AB29">
        <v>0</v>
      </c>
      <c r="AC29">
        <v>23.3640875</v>
      </c>
      <c r="AD29">
        <v>2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t="b">
        <v>0</v>
      </c>
      <c r="AP29" t="b">
        <v>0</v>
      </c>
      <c r="AQ29" t="b">
        <v>0</v>
      </c>
      <c r="AR29" t="b">
        <v>1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F273"/>
  <sheetViews>
    <sheetView topLeftCell="A34" workbookViewId="0">
      <selection activeCell="C2" sqref="C2:D62"/>
    </sheetView>
  </sheetViews>
  <sheetFormatPr defaultRowHeight="15" x14ac:dyDescent="0.25"/>
  <cols>
    <col min="1" max="1" width="5.28515625" bestFit="1" customWidth="1"/>
    <col min="2" max="2" width="10.71093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7" bestFit="1" customWidth="1"/>
    <col min="7" max="7" width="12" bestFit="1" customWidth="1"/>
    <col min="8" max="8" width="8.85546875" bestFit="1" customWidth="1"/>
    <col min="9" max="9" width="26.85546875" hidden="1" customWidth="1"/>
    <col min="10" max="11" width="20.7109375" hidden="1" customWidth="1"/>
    <col min="12" max="12" width="19.7109375" hidden="1" customWidth="1"/>
    <col min="13" max="13" width="25.85546875" hidden="1" customWidth="1"/>
    <col min="14" max="15" width="16.85546875" hidden="1" customWidth="1"/>
    <col min="16" max="16" width="21.85546875" hidden="1" customWidth="1"/>
    <col min="17" max="17" width="16.85546875" hidden="1" customWidth="1"/>
    <col min="18" max="18" width="27" hidden="1" customWidth="1"/>
    <col min="19" max="19" width="27.140625" hidden="1" customWidth="1"/>
    <col min="20" max="20" width="23.140625" hidden="1" customWidth="1"/>
    <col min="21" max="21" width="11.140625" hidden="1" customWidth="1"/>
    <col min="22" max="22" width="12.42578125" bestFit="1" customWidth="1"/>
    <col min="23" max="23" width="13.85546875" bestFit="1" customWidth="1"/>
    <col min="24" max="24" width="12.5703125" bestFit="1" customWidth="1"/>
    <col min="25" max="25" width="16.7109375" bestFit="1" customWidth="1"/>
    <col min="26" max="26" width="12" style="3" bestFit="1" customWidth="1"/>
    <col min="27" max="27" width="92.42578125" bestFit="1" customWidth="1"/>
    <col min="28" max="28" width="85.85546875" bestFit="1" customWidth="1"/>
    <col min="29" max="29" width="27.85546875" bestFit="1" customWidth="1"/>
    <col min="30" max="30" width="54.85546875" bestFit="1" customWidth="1"/>
    <col min="31" max="31" width="93.85546875" bestFit="1" customWidth="1"/>
    <col min="32" max="32" width="64.42578125" bestFit="1" customWidth="1"/>
    <col min="33" max="33" width="58.28515625" bestFit="1" customWidth="1"/>
    <col min="34" max="34" width="61.5703125" bestFit="1" customWidth="1"/>
    <col min="35" max="35" width="81.7109375" bestFit="1" customWidth="1"/>
    <col min="36" max="36" width="86" bestFit="1" customWidth="1"/>
    <col min="37" max="37" width="56" bestFit="1" customWidth="1"/>
    <col min="38" max="38" width="66.28515625" bestFit="1" customWidth="1"/>
    <col min="39" max="39" width="63.42578125" bestFit="1" customWidth="1"/>
    <col min="40" max="40" width="58.7109375" bestFit="1" customWidth="1"/>
    <col min="41" max="41" width="16.140625" bestFit="1" customWidth="1"/>
    <col min="42" max="42" width="23.5703125" bestFit="1" customWidth="1"/>
    <col min="43" max="43" width="18.42578125" bestFit="1" customWidth="1"/>
    <col min="44" max="44" width="21.85546875" bestFit="1" customWidth="1"/>
    <col min="45" max="45" width="20.140625" bestFit="1" customWidth="1"/>
    <col min="46" max="46" width="31" bestFit="1" customWidth="1"/>
    <col min="47" max="47" width="35.5703125" bestFit="1" customWidth="1"/>
    <col min="48" max="48" width="23.140625" bestFit="1" customWidth="1"/>
    <col min="49" max="49" width="27.7109375" bestFit="1" customWidth="1"/>
    <col min="50" max="50" width="14" bestFit="1" customWidth="1"/>
    <col min="51" max="51" width="17.7109375" bestFit="1" customWidth="1"/>
    <col min="52" max="52" width="27.7109375" bestFit="1" customWidth="1"/>
    <col min="53" max="53" width="24.28515625" bestFit="1" customWidth="1"/>
  </cols>
  <sheetData>
    <row r="1" spans="1:58" x14ac:dyDescent="0.25">
      <c r="A1" s="1" t="s">
        <v>111</v>
      </c>
      <c r="B1" s="1" t="s">
        <v>112</v>
      </c>
      <c r="C1" s="1" t="s">
        <v>0</v>
      </c>
      <c r="D1" s="1" t="s">
        <v>98</v>
      </c>
      <c r="E1" s="1" t="s">
        <v>2</v>
      </c>
      <c r="F1" s="1" t="s">
        <v>3</v>
      </c>
      <c r="G1" s="1" t="s">
        <v>113</v>
      </c>
      <c r="H1" s="1" t="s">
        <v>7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6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2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</row>
    <row r="2" spans="1:58" x14ac:dyDescent="0.25">
      <c r="A2">
        <v>36</v>
      </c>
      <c r="B2" t="s">
        <v>167</v>
      </c>
      <c r="C2" t="s">
        <v>12</v>
      </c>
      <c r="D2" t="s">
        <v>52</v>
      </c>
      <c r="E2" t="s">
        <v>91</v>
      </c>
      <c r="F2">
        <v>388147674</v>
      </c>
      <c r="G2">
        <v>834</v>
      </c>
      <c r="H2" t="s">
        <v>97</v>
      </c>
      <c r="I2">
        <v>507485028.18274498</v>
      </c>
      <c r="J2">
        <v>519075447.359999</v>
      </c>
      <c r="M2">
        <v>476870092.68939298</v>
      </c>
      <c r="N2">
        <v>35.690429999999999</v>
      </c>
      <c r="O2">
        <v>37.997826000000003</v>
      </c>
      <c r="P2">
        <v>498206589.87099898</v>
      </c>
      <c r="Q2">
        <v>36.628566999999997</v>
      </c>
      <c r="R2">
        <v>539381837.15833199</v>
      </c>
      <c r="S2">
        <v>628790744.55153298</v>
      </c>
      <c r="T2" t="s">
        <v>96</v>
      </c>
      <c r="U2" t="s">
        <v>207</v>
      </c>
      <c r="V2">
        <v>1</v>
      </c>
      <c r="W2">
        <v>908.6</v>
      </c>
      <c r="X2">
        <v>834</v>
      </c>
      <c r="Y2">
        <v>1</v>
      </c>
      <c r="Z2" s="3">
        <v>323715160116</v>
      </c>
      <c r="AA2">
        <v>0</v>
      </c>
      <c r="AB2">
        <v>0</v>
      </c>
      <c r="AC2">
        <v>8.9289450000000006</v>
      </c>
      <c r="AD2">
        <v>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D2" t="e">
        <f>_xlfn.XLOOKUP(BE2,'Excluded Companies'!$D$2:$D$29,'Excluded Companies'!$C$2:$C$29)</f>
        <v>#N/A</v>
      </c>
      <c r="BE2" t="s">
        <v>52</v>
      </c>
      <c r="BF2" t="b">
        <f>ISNUMBER(MATCH(BE2,$D$2:$D$273,0))</f>
        <v>1</v>
      </c>
    </row>
    <row r="3" spans="1:58" x14ac:dyDescent="0.25">
      <c r="A3">
        <v>240</v>
      </c>
      <c r="B3" t="s">
        <v>177</v>
      </c>
      <c r="C3" t="s">
        <v>41</v>
      </c>
      <c r="D3" t="s">
        <v>81</v>
      </c>
      <c r="E3" t="s">
        <v>88</v>
      </c>
      <c r="F3">
        <v>1228504300</v>
      </c>
      <c r="G3">
        <v>205</v>
      </c>
      <c r="H3" t="s">
        <v>97</v>
      </c>
      <c r="I3">
        <v>395853899.51620603</v>
      </c>
      <c r="J3">
        <v>268025642.47166699</v>
      </c>
      <c r="M3">
        <v>348416609.12954497</v>
      </c>
      <c r="N3">
        <v>27.421091000000001</v>
      </c>
      <c r="O3">
        <v>28.854689</v>
      </c>
      <c r="P3">
        <v>325568946.30524999</v>
      </c>
      <c r="Q3">
        <v>31.971903000000001</v>
      </c>
      <c r="R3">
        <v>322309689.85303003</v>
      </c>
      <c r="S3">
        <v>376029939.132653</v>
      </c>
      <c r="T3" t="s">
        <v>96</v>
      </c>
      <c r="U3" t="s">
        <v>217</v>
      </c>
      <c r="V3">
        <v>1</v>
      </c>
      <c r="W3">
        <v>206.65</v>
      </c>
      <c r="X3">
        <v>205</v>
      </c>
      <c r="Y3">
        <v>0.9</v>
      </c>
      <c r="Z3" s="3">
        <v>226659043350</v>
      </c>
      <c r="AA3">
        <v>0</v>
      </c>
      <c r="AB3">
        <v>0</v>
      </c>
      <c r="AC3">
        <v>11.225540000000001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D3" t="e">
        <f>_xlfn.XLOOKUP(BE3,'Excluded Companies'!$D$2:$D$29,'Excluded Companies'!$C$2:$C$29)</f>
        <v>#N/A</v>
      </c>
      <c r="BE3" t="s">
        <v>81</v>
      </c>
      <c r="BF3" t="b">
        <f t="shared" ref="BF3:BF66" si="0">ISNUMBER(MATCH(BE3,$D$2:$D$273,0))</f>
        <v>1</v>
      </c>
    </row>
    <row r="4" spans="1:58" x14ac:dyDescent="0.25">
      <c r="A4">
        <v>250</v>
      </c>
      <c r="B4" t="s">
        <v>257</v>
      </c>
      <c r="C4" t="s">
        <v>274</v>
      </c>
      <c r="D4" t="s">
        <v>291</v>
      </c>
      <c r="E4" t="s">
        <v>88</v>
      </c>
      <c r="F4">
        <v>800000000</v>
      </c>
      <c r="G4">
        <v>219.15</v>
      </c>
      <c r="H4" t="s">
        <v>97</v>
      </c>
      <c r="I4">
        <v>264848633.28389299</v>
      </c>
      <c r="J4">
        <v>268313966.54666701</v>
      </c>
      <c r="M4">
        <v>218932841.02083299</v>
      </c>
      <c r="N4">
        <v>28.991219999999998</v>
      </c>
      <c r="O4">
        <v>30.539899999999999</v>
      </c>
      <c r="P4">
        <v>210631163.00424999</v>
      </c>
      <c r="Q4">
        <v>32.528100000000002</v>
      </c>
      <c r="R4">
        <v>213773879.309091</v>
      </c>
      <c r="S4">
        <v>249155427.71931601</v>
      </c>
      <c r="T4" t="s">
        <v>96</v>
      </c>
      <c r="U4" t="s">
        <v>312</v>
      </c>
      <c r="V4">
        <v>1</v>
      </c>
      <c r="W4">
        <v>237.5</v>
      </c>
      <c r="X4">
        <v>219.15</v>
      </c>
      <c r="Y4">
        <v>0.95</v>
      </c>
      <c r="Z4" s="3">
        <v>166554000000</v>
      </c>
      <c r="AA4">
        <v>0</v>
      </c>
      <c r="AB4">
        <v>0</v>
      </c>
      <c r="AC4">
        <v>22.9672175</v>
      </c>
      <c r="AD4">
        <v>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D4" t="str">
        <f>_xlfn.XLOOKUP(BE4,'Excluded Companies'!$D$2:$D$29,'Excluded Companies'!$C$2:$C$29)</f>
        <v>SHELL PLC</v>
      </c>
      <c r="BE4" t="s">
        <v>396</v>
      </c>
      <c r="BF4" t="b">
        <f t="shared" si="0"/>
        <v>0</v>
      </c>
    </row>
    <row r="5" spans="1:58" x14ac:dyDescent="0.25">
      <c r="A5">
        <v>184</v>
      </c>
      <c r="B5" t="s">
        <v>190</v>
      </c>
      <c r="C5" t="s">
        <v>32</v>
      </c>
      <c r="D5" t="s">
        <v>72</v>
      </c>
      <c r="E5" t="s">
        <v>89</v>
      </c>
      <c r="F5">
        <v>497686940</v>
      </c>
      <c r="G5">
        <v>623</v>
      </c>
      <c r="H5" t="s">
        <v>97</v>
      </c>
      <c r="I5">
        <v>296179580.149634</v>
      </c>
      <c r="J5">
        <v>232671821.4138</v>
      </c>
      <c r="M5">
        <v>255572100.37997499</v>
      </c>
      <c r="N5">
        <v>32.682704999999999</v>
      </c>
      <c r="O5">
        <v>33.556435</v>
      </c>
      <c r="P5">
        <v>251737340.45981699</v>
      </c>
      <c r="Q5">
        <v>34.114150000000002</v>
      </c>
      <c r="R5">
        <v>269027301.10464698</v>
      </c>
      <c r="S5">
        <v>313555952.450616</v>
      </c>
      <c r="T5" t="s">
        <v>96</v>
      </c>
      <c r="U5" t="s">
        <v>230</v>
      </c>
      <c r="V5">
        <v>1</v>
      </c>
      <c r="W5">
        <v>636.5</v>
      </c>
      <c r="X5">
        <v>623</v>
      </c>
      <c r="Y5">
        <v>0.5</v>
      </c>
      <c r="Z5" s="3">
        <v>155029481810</v>
      </c>
      <c r="AA5">
        <v>0</v>
      </c>
      <c r="AB5">
        <v>0</v>
      </c>
      <c r="AC5">
        <v>13.552071249999999</v>
      </c>
      <c r="AD5">
        <v>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D5" t="e">
        <f>_xlfn.XLOOKUP(BE5,'Excluded Companies'!$D$2:$D$29,'Excluded Companies'!$C$2:$C$29)</f>
        <v>#N/A</v>
      </c>
      <c r="BE5" t="s">
        <v>291</v>
      </c>
      <c r="BF5" t="b">
        <f t="shared" si="0"/>
        <v>1</v>
      </c>
    </row>
    <row r="6" spans="1:58" x14ac:dyDescent="0.25">
      <c r="A6">
        <v>24</v>
      </c>
      <c r="B6" t="s">
        <v>186</v>
      </c>
      <c r="C6" t="s">
        <v>10</v>
      </c>
      <c r="D6" t="s">
        <v>50</v>
      </c>
      <c r="E6" t="s">
        <v>88</v>
      </c>
      <c r="F6">
        <v>386166700</v>
      </c>
      <c r="G6">
        <v>363.1</v>
      </c>
      <c r="H6" t="s">
        <v>97</v>
      </c>
      <c r="I6">
        <v>236156018.20276701</v>
      </c>
      <c r="J6">
        <v>172849275.063333</v>
      </c>
      <c r="M6">
        <v>192105221.688636</v>
      </c>
      <c r="N6">
        <v>18.476724999999998</v>
      </c>
      <c r="O6">
        <v>19.508807999999998</v>
      </c>
      <c r="P6">
        <v>178096131.97499999</v>
      </c>
      <c r="Q6">
        <v>21.759954</v>
      </c>
      <c r="R6">
        <v>168303975.97878799</v>
      </c>
      <c r="S6">
        <v>196175264.25025299</v>
      </c>
      <c r="T6" t="s">
        <v>96</v>
      </c>
      <c r="U6" t="s">
        <v>226</v>
      </c>
      <c r="V6">
        <v>1</v>
      </c>
      <c r="W6">
        <v>383.3</v>
      </c>
      <c r="X6">
        <v>363.1</v>
      </c>
      <c r="Y6">
        <v>1</v>
      </c>
      <c r="Z6" s="3">
        <v>140217128770</v>
      </c>
      <c r="AA6">
        <v>0</v>
      </c>
      <c r="AB6">
        <v>0</v>
      </c>
      <c r="AC6">
        <v>13.164099999999999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D6" t="e">
        <f>_xlfn.XLOOKUP(BE6,'Excluded Companies'!$D$2:$D$29,'Excluded Companies'!$C$2:$C$29)</f>
        <v>#N/A</v>
      </c>
      <c r="BE6" t="s">
        <v>72</v>
      </c>
      <c r="BF6" t="b">
        <f t="shared" si="0"/>
        <v>1</v>
      </c>
    </row>
    <row r="7" spans="1:58" x14ac:dyDescent="0.25">
      <c r="A7">
        <v>283</v>
      </c>
      <c r="B7" t="s">
        <v>201</v>
      </c>
      <c r="C7" t="s">
        <v>47</v>
      </c>
      <c r="D7" t="s">
        <v>87</v>
      </c>
      <c r="E7" t="s">
        <v>91</v>
      </c>
      <c r="F7">
        <v>2637743772</v>
      </c>
      <c r="G7">
        <v>49.238591399999997</v>
      </c>
      <c r="H7" t="s">
        <v>97</v>
      </c>
      <c r="I7">
        <v>57583133.890000001</v>
      </c>
      <c r="J7">
        <v>50496488.359999999</v>
      </c>
      <c r="M7">
        <v>46827107.869999997</v>
      </c>
      <c r="N7">
        <v>12.71262377</v>
      </c>
      <c r="O7">
        <v>13.102429600000001</v>
      </c>
      <c r="P7">
        <v>48659108.119999997</v>
      </c>
      <c r="Q7">
        <v>15.492692379999999</v>
      </c>
      <c r="R7">
        <v>50959180.020000003</v>
      </c>
      <c r="S7">
        <v>0</v>
      </c>
      <c r="T7" t="s">
        <v>96</v>
      </c>
      <c r="U7" t="s">
        <v>241</v>
      </c>
      <c r="V7">
        <v>1</v>
      </c>
      <c r="W7">
        <v>54.72</v>
      </c>
      <c r="X7">
        <v>52.36</v>
      </c>
      <c r="Y7">
        <v>1</v>
      </c>
      <c r="Z7" s="3">
        <v>138112263901.92001</v>
      </c>
      <c r="AA7">
        <v>0</v>
      </c>
      <c r="AB7">
        <v>0</v>
      </c>
      <c r="AC7">
        <v>16.078095000000001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D7" t="e">
        <f>_xlfn.XLOOKUP(BE7,'Excluded Companies'!$D$2:$D$29,'Excluded Companies'!$C$2:$C$29)</f>
        <v>#N/A</v>
      </c>
      <c r="BE7" t="s">
        <v>50</v>
      </c>
      <c r="BF7" t="b">
        <f t="shared" si="0"/>
        <v>1</v>
      </c>
    </row>
    <row r="8" spans="1:58" x14ac:dyDescent="0.25">
      <c r="A8">
        <v>51</v>
      </c>
      <c r="B8" t="s">
        <v>173</v>
      </c>
      <c r="C8" t="s">
        <v>14</v>
      </c>
      <c r="D8" t="s">
        <v>54</v>
      </c>
      <c r="E8" t="s">
        <v>90</v>
      </c>
      <c r="F8">
        <v>14885325000</v>
      </c>
      <c r="G8">
        <v>8.8049999999999997</v>
      </c>
      <c r="H8" t="s">
        <v>97</v>
      </c>
      <c r="I8">
        <v>199340830.08776501</v>
      </c>
      <c r="J8">
        <v>248319441.05223399</v>
      </c>
      <c r="M8">
        <v>193680299.884783</v>
      </c>
      <c r="N8">
        <v>26.540150000000001</v>
      </c>
      <c r="O8">
        <v>26.308454999999999</v>
      </c>
      <c r="P8">
        <v>199845154.79542801</v>
      </c>
      <c r="Q8">
        <v>31.747720000000001</v>
      </c>
      <c r="R8">
        <v>217400667.12145901</v>
      </c>
      <c r="S8">
        <v>253325577.49467301</v>
      </c>
      <c r="T8" t="s">
        <v>96</v>
      </c>
      <c r="U8" t="s">
        <v>213</v>
      </c>
      <c r="V8">
        <v>1</v>
      </c>
      <c r="W8">
        <v>9.8170000000000002</v>
      </c>
      <c r="X8">
        <v>8.8049999999999997</v>
      </c>
      <c r="Y8">
        <v>1</v>
      </c>
      <c r="Z8" s="3">
        <v>131065286625</v>
      </c>
      <c r="AA8">
        <v>0</v>
      </c>
      <c r="AB8">
        <v>0</v>
      </c>
      <c r="AC8">
        <v>9.8890124999999998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D8" t="e">
        <f>_xlfn.XLOOKUP(BE8,'Excluded Companies'!$D$2:$D$29,'Excluded Companies'!$C$2:$C$29)</f>
        <v>#N/A</v>
      </c>
      <c r="BE8" t="s">
        <v>87</v>
      </c>
      <c r="BF8" t="b">
        <f t="shared" si="0"/>
        <v>1</v>
      </c>
    </row>
    <row r="9" spans="1:58" x14ac:dyDescent="0.25">
      <c r="A9">
        <v>245</v>
      </c>
      <c r="B9" t="s">
        <v>164</v>
      </c>
      <c r="C9" t="s">
        <v>42</v>
      </c>
      <c r="D9" t="s">
        <v>82</v>
      </c>
      <c r="E9" t="s">
        <v>89</v>
      </c>
      <c r="F9">
        <v>577122512</v>
      </c>
      <c r="G9">
        <v>222.3</v>
      </c>
      <c r="H9" t="s">
        <v>97</v>
      </c>
      <c r="I9">
        <v>225947074.68548301</v>
      </c>
      <c r="J9">
        <v>207404730.509267</v>
      </c>
      <c r="M9">
        <v>199844949.36271399</v>
      </c>
      <c r="N9">
        <v>29.388895000000002</v>
      </c>
      <c r="O9">
        <v>29.795259999999999</v>
      </c>
      <c r="P9">
        <v>200348532.41978201</v>
      </c>
      <c r="Q9">
        <v>33.028824</v>
      </c>
      <c r="R9">
        <v>200335742.54664001</v>
      </c>
      <c r="S9">
        <v>233582043.159466</v>
      </c>
      <c r="T9" t="s">
        <v>96</v>
      </c>
      <c r="U9" t="s">
        <v>204</v>
      </c>
      <c r="V9">
        <v>1</v>
      </c>
      <c r="W9">
        <v>239.25</v>
      </c>
      <c r="X9">
        <v>222.3</v>
      </c>
      <c r="Y9">
        <v>1</v>
      </c>
      <c r="Z9" s="3">
        <v>128294334417.60001</v>
      </c>
      <c r="AA9">
        <v>0</v>
      </c>
      <c r="AB9">
        <v>0</v>
      </c>
      <c r="AC9">
        <v>7.1448087500000002</v>
      </c>
      <c r="AD9">
        <v>2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D9" t="e">
        <f>_xlfn.XLOOKUP(BE9,'Excluded Companies'!$D$2:$D$29,'Excluded Companies'!$C$2:$C$29)</f>
        <v>#N/A</v>
      </c>
      <c r="BE9" t="s">
        <v>54</v>
      </c>
      <c r="BF9" t="b">
        <f t="shared" si="0"/>
        <v>1</v>
      </c>
    </row>
    <row r="10" spans="1:58" x14ac:dyDescent="0.25">
      <c r="A10">
        <v>275</v>
      </c>
      <c r="B10" t="s">
        <v>260</v>
      </c>
      <c r="C10" t="s">
        <v>277</v>
      </c>
      <c r="D10" t="s">
        <v>294</v>
      </c>
      <c r="E10" t="s">
        <v>89</v>
      </c>
      <c r="F10">
        <v>2206585543</v>
      </c>
      <c r="G10">
        <v>55.97</v>
      </c>
      <c r="H10" t="s">
        <v>97</v>
      </c>
      <c r="I10">
        <v>237626570.41657299</v>
      </c>
      <c r="J10">
        <v>183714280.666767</v>
      </c>
      <c r="M10">
        <v>212683881.01150501</v>
      </c>
      <c r="N10">
        <v>18.864146999999999</v>
      </c>
      <c r="O10">
        <v>18.458822000000001</v>
      </c>
      <c r="P10">
        <v>192680641.18713701</v>
      </c>
      <c r="Q10">
        <v>22.570004000000001</v>
      </c>
      <c r="R10">
        <v>204092811.375662</v>
      </c>
      <c r="S10">
        <v>238066227.053754</v>
      </c>
      <c r="T10" t="s">
        <v>96</v>
      </c>
      <c r="U10" t="s">
        <v>315</v>
      </c>
      <c r="V10">
        <v>1</v>
      </c>
      <c r="W10">
        <v>54.5</v>
      </c>
      <c r="X10">
        <v>55.97</v>
      </c>
      <c r="Y10">
        <v>0.9</v>
      </c>
      <c r="Z10" s="3">
        <v>111152333557.539</v>
      </c>
      <c r="AA10">
        <v>0</v>
      </c>
      <c r="AB10">
        <v>0</v>
      </c>
      <c r="AC10">
        <v>24.461062500000001</v>
      </c>
      <c r="AD10">
        <v>3</v>
      </c>
      <c r="AE10">
        <v>1</v>
      </c>
      <c r="AF10">
        <v>0</v>
      </c>
      <c r="AG10">
        <v>0</v>
      </c>
      <c r="AH10" t="s">
        <v>319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D10" t="e">
        <f>_xlfn.XLOOKUP(BE10,'Excluded Companies'!$D$2:$D$29,'Excluded Companies'!$C$2:$C$29)</f>
        <v>#N/A</v>
      </c>
      <c r="BE10" t="s">
        <v>82</v>
      </c>
      <c r="BF10" t="b">
        <f t="shared" si="0"/>
        <v>1</v>
      </c>
    </row>
    <row r="11" spans="1:58" x14ac:dyDescent="0.25">
      <c r="A11">
        <v>150</v>
      </c>
      <c r="B11" t="s">
        <v>254</v>
      </c>
      <c r="C11" t="s">
        <v>271</v>
      </c>
      <c r="D11" t="s">
        <v>288</v>
      </c>
      <c r="E11" t="s">
        <v>90</v>
      </c>
      <c r="F11">
        <v>6681227500</v>
      </c>
      <c r="G11">
        <v>17.934999999999999</v>
      </c>
      <c r="H11" t="s">
        <v>97</v>
      </c>
      <c r="I11">
        <v>155009095.523449</v>
      </c>
      <c r="J11">
        <v>137052913.82774699</v>
      </c>
      <c r="M11">
        <v>145795917.95197299</v>
      </c>
      <c r="N11">
        <v>14.332402999999999</v>
      </c>
      <c r="O11">
        <v>14.399872999999999</v>
      </c>
      <c r="P11">
        <v>143534435.44280499</v>
      </c>
      <c r="Q11">
        <v>17.798939000000001</v>
      </c>
      <c r="R11">
        <v>138769853.966824</v>
      </c>
      <c r="S11">
        <v>161812322.55946299</v>
      </c>
      <c r="T11" t="s">
        <v>96</v>
      </c>
      <c r="U11" t="s">
        <v>309</v>
      </c>
      <c r="V11">
        <v>1</v>
      </c>
      <c r="W11">
        <v>17.975000000000001</v>
      </c>
      <c r="X11">
        <v>17.934999999999999</v>
      </c>
      <c r="Y11">
        <v>0.9</v>
      </c>
      <c r="Z11" s="3">
        <v>107845033691.25</v>
      </c>
      <c r="AA11">
        <v>0</v>
      </c>
      <c r="AB11">
        <v>0</v>
      </c>
      <c r="AC11">
        <v>20.991965629999999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D11" t="str">
        <f>_xlfn.XLOOKUP(BE11,'Excluded Companies'!$D$2:$D$29,'Excluded Companies'!$C$2:$C$29)</f>
        <v>AIRBUS</v>
      </c>
      <c r="BE11" t="s">
        <v>377</v>
      </c>
      <c r="BF11" t="b">
        <f t="shared" si="0"/>
        <v>0</v>
      </c>
    </row>
    <row r="12" spans="1:58" x14ac:dyDescent="0.25">
      <c r="A12">
        <v>57</v>
      </c>
      <c r="B12" t="s">
        <v>170</v>
      </c>
      <c r="C12" t="s">
        <v>15</v>
      </c>
      <c r="D12" t="s">
        <v>55</v>
      </c>
      <c r="E12" t="s">
        <v>90</v>
      </c>
      <c r="F12">
        <v>5763285600</v>
      </c>
      <c r="G12">
        <v>17.704999999999998</v>
      </c>
      <c r="H12" t="s">
        <v>97</v>
      </c>
      <c r="I12">
        <v>135662523.73262399</v>
      </c>
      <c r="J12">
        <v>367133785.72883302</v>
      </c>
      <c r="M12">
        <v>143930722.37119299</v>
      </c>
      <c r="N12">
        <v>27.777552</v>
      </c>
      <c r="O12">
        <v>28.950481</v>
      </c>
      <c r="P12">
        <v>154705054.66154999</v>
      </c>
      <c r="Q12">
        <v>31.000454000000001</v>
      </c>
      <c r="R12">
        <v>178076885.36534101</v>
      </c>
      <c r="S12">
        <v>206870092.04022601</v>
      </c>
      <c r="T12" t="s">
        <v>96</v>
      </c>
      <c r="U12" t="s">
        <v>210</v>
      </c>
      <c r="V12">
        <v>1</v>
      </c>
      <c r="W12">
        <v>19.305</v>
      </c>
      <c r="X12">
        <v>17.704999999999998</v>
      </c>
      <c r="Y12">
        <v>1</v>
      </c>
      <c r="Z12" s="3">
        <v>102038971548</v>
      </c>
      <c r="AA12">
        <v>0</v>
      </c>
      <c r="AB12">
        <v>0</v>
      </c>
      <c r="AC12">
        <v>9.5642499999999995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D12" t="e">
        <f>_xlfn.XLOOKUP(BE12,'Excluded Companies'!$D$2:$D$29,'Excluded Companies'!$C$2:$C$29)</f>
        <v>#N/A</v>
      </c>
      <c r="BE12" t="s">
        <v>294</v>
      </c>
      <c r="BF12" t="b">
        <f t="shared" si="0"/>
        <v>1</v>
      </c>
    </row>
    <row r="13" spans="1:58" x14ac:dyDescent="0.25">
      <c r="A13">
        <v>239</v>
      </c>
      <c r="B13" t="s">
        <v>187</v>
      </c>
      <c r="C13" t="s">
        <v>40</v>
      </c>
      <c r="D13" t="s">
        <v>80</v>
      </c>
      <c r="E13" t="s">
        <v>89</v>
      </c>
      <c r="F13">
        <v>1227468973</v>
      </c>
      <c r="G13">
        <v>86.32</v>
      </c>
      <c r="H13" t="s">
        <v>97</v>
      </c>
      <c r="I13">
        <v>178130166.87086701</v>
      </c>
      <c r="J13">
        <v>147147863.87253299</v>
      </c>
      <c r="M13">
        <v>161115065.88894701</v>
      </c>
      <c r="N13">
        <v>27.717334999999999</v>
      </c>
      <c r="O13">
        <v>28.988537000000001</v>
      </c>
      <c r="P13">
        <v>155693899.83570999</v>
      </c>
      <c r="Q13">
        <v>28.241544999999999</v>
      </c>
      <c r="R13">
        <v>162557819.54956099</v>
      </c>
      <c r="S13">
        <v>189528580.930825</v>
      </c>
      <c r="T13" t="s">
        <v>96</v>
      </c>
      <c r="U13" t="s">
        <v>227</v>
      </c>
      <c r="V13">
        <v>1</v>
      </c>
      <c r="W13">
        <v>80.94</v>
      </c>
      <c r="X13">
        <v>86.32</v>
      </c>
      <c r="Y13">
        <v>0.95000000000000007</v>
      </c>
      <c r="Z13" s="3">
        <v>100657365661.892</v>
      </c>
      <c r="AA13">
        <v>0</v>
      </c>
      <c r="AB13">
        <v>0</v>
      </c>
      <c r="AC13">
        <v>13.1702175</v>
      </c>
      <c r="AD13">
        <v>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D13" t="e">
        <f>_xlfn.XLOOKUP(BE13,'Excluded Companies'!$D$2:$D$29,'Excluded Companies'!$C$2:$C$29)</f>
        <v>#N/A</v>
      </c>
      <c r="BE13" t="s">
        <v>288</v>
      </c>
      <c r="BF13" t="b">
        <f t="shared" si="0"/>
        <v>1</v>
      </c>
    </row>
    <row r="14" spans="1:58" x14ac:dyDescent="0.25">
      <c r="A14">
        <v>112</v>
      </c>
      <c r="B14" t="s">
        <v>183</v>
      </c>
      <c r="C14" t="s">
        <v>23</v>
      </c>
      <c r="D14" t="s">
        <v>63</v>
      </c>
      <c r="E14" t="s">
        <v>89</v>
      </c>
      <c r="F14">
        <v>463145529</v>
      </c>
      <c r="G14">
        <v>306</v>
      </c>
      <c r="H14" t="s">
        <v>97</v>
      </c>
      <c r="I14">
        <v>136933038.349944</v>
      </c>
      <c r="J14">
        <v>111826623.93328699</v>
      </c>
      <c r="M14">
        <v>119144642.46958899</v>
      </c>
      <c r="N14">
        <v>28.494783000000002</v>
      </c>
      <c r="O14">
        <v>30.682514000000001</v>
      </c>
      <c r="P14">
        <v>107596969.978358</v>
      </c>
      <c r="Q14">
        <v>30.263120000000001</v>
      </c>
      <c r="R14">
        <v>110011448.09751201</v>
      </c>
      <c r="S14">
        <v>128240726.61354201</v>
      </c>
      <c r="T14" t="s">
        <v>96</v>
      </c>
      <c r="U14" t="s">
        <v>223</v>
      </c>
      <c r="V14">
        <v>1</v>
      </c>
      <c r="W14">
        <v>278.2</v>
      </c>
      <c r="X14">
        <v>306</v>
      </c>
      <c r="Y14">
        <v>0.70000000000000007</v>
      </c>
      <c r="Z14" s="3">
        <v>99205772311.800003</v>
      </c>
      <c r="AA14">
        <v>0</v>
      </c>
      <c r="AB14">
        <v>0</v>
      </c>
      <c r="AC14">
        <v>12.911462500000001</v>
      </c>
      <c r="AD14">
        <v>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D14" t="e">
        <f>_xlfn.XLOOKUP(BE14,'Excluded Companies'!$D$2:$D$29,'Excluded Companies'!$C$2:$C$29)</f>
        <v>#N/A</v>
      </c>
      <c r="BE14" t="s">
        <v>55</v>
      </c>
      <c r="BF14" t="b">
        <f t="shared" si="0"/>
        <v>1</v>
      </c>
    </row>
    <row r="15" spans="1:58" x14ac:dyDescent="0.25">
      <c r="A15">
        <v>282</v>
      </c>
      <c r="B15" t="s">
        <v>175</v>
      </c>
      <c r="C15" t="s">
        <v>46</v>
      </c>
      <c r="D15" t="s">
        <v>86</v>
      </c>
      <c r="E15" t="s">
        <v>93</v>
      </c>
      <c r="F15">
        <v>1557675176</v>
      </c>
      <c r="G15">
        <v>62.85</v>
      </c>
      <c r="H15" t="s">
        <v>97</v>
      </c>
      <c r="I15">
        <v>359104838.19417602</v>
      </c>
      <c r="J15">
        <v>333318301.37566602</v>
      </c>
      <c r="M15">
        <v>314367458.98908401</v>
      </c>
      <c r="N15">
        <v>26.839243</v>
      </c>
      <c r="O15">
        <v>26.80322</v>
      </c>
      <c r="P15">
        <v>320104027.33350003</v>
      </c>
      <c r="Q15">
        <v>33.478299999999997</v>
      </c>
      <c r="R15">
        <v>320233546.05310601</v>
      </c>
      <c r="S15">
        <v>373375769.30038702</v>
      </c>
      <c r="T15" t="s">
        <v>96</v>
      </c>
      <c r="U15" t="s">
        <v>215</v>
      </c>
      <c r="V15">
        <v>1</v>
      </c>
      <c r="W15">
        <v>69.5</v>
      </c>
      <c r="X15">
        <v>62.85</v>
      </c>
      <c r="Y15">
        <v>1</v>
      </c>
      <c r="Z15" s="3">
        <v>97899884811.600006</v>
      </c>
      <c r="AA15">
        <v>0</v>
      </c>
      <c r="AB15">
        <v>0</v>
      </c>
      <c r="AC15">
        <v>10.5530875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D15" t="e">
        <f>_xlfn.XLOOKUP(BE15,'Excluded Companies'!$D$2:$D$29,'Excluded Companies'!$C$2:$C$29)</f>
        <v>#N/A</v>
      </c>
      <c r="BE15" t="s">
        <v>80</v>
      </c>
      <c r="BF15" t="b">
        <f t="shared" si="0"/>
        <v>1</v>
      </c>
    </row>
    <row r="16" spans="1:58" x14ac:dyDescent="0.25">
      <c r="A16">
        <v>20</v>
      </c>
      <c r="B16" t="s">
        <v>189</v>
      </c>
      <c r="C16" t="s">
        <v>9</v>
      </c>
      <c r="D16" t="s">
        <v>49</v>
      </c>
      <c r="E16" t="s">
        <v>89</v>
      </c>
      <c r="F16">
        <v>578534275</v>
      </c>
      <c r="G16">
        <v>165.94</v>
      </c>
      <c r="H16" t="s">
        <v>97</v>
      </c>
      <c r="I16">
        <v>119505514.533602</v>
      </c>
      <c r="J16">
        <v>92896515.384959996</v>
      </c>
      <c r="M16">
        <v>103003521.114912</v>
      </c>
      <c r="N16">
        <v>14.127079999999999</v>
      </c>
      <c r="O16">
        <v>14.407667</v>
      </c>
      <c r="P16">
        <v>96960052.230783895</v>
      </c>
      <c r="Q16">
        <v>18.233885000000001</v>
      </c>
      <c r="R16">
        <v>98286987.256642297</v>
      </c>
      <c r="S16">
        <v>114554343.79323301</v>
      </c>
      <c r="T16" t="s">
        <v>96</v>
      </c>
      <c r="U16" t="s">
        <v>229</v>
      </c>
      <c r="V16">
        <v>1</v>
      </c>
      <c r="W16">
        <v>159.4</v>
      </c>
      <c r="X16">
        <v>165.94</v>
      </c>
      <c r="Y16">
        <v>1</v>
      </c>
      <c r="Z16" s="3">
        <v>96001977593.5</v>
      </c>
      <c r="AA16">
        <v>0</v>
      </c>
      <c r="AB16">
        <v>0</v>
      </c>
      <c r="AC16">
        <v>13.37985625</v>
      </c>
      <c r="AD16">
        <v>2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D16" t="e">
        <f>_xlfn.XLOOKUP(BE16,'Excluded Companies'!$D$2:$D$29,'Excluded Companies'!$C$2:$C$29)</f>
        <v>#N/A</v>
      </c>
      <c r="BE16" t="s">
        <v>63</v>
      </c>
      <c r="BF16" t="b">
        <f t="shared" si="0"/>
        <v>1</v>
      </c>
    </row>
    <row r="17" spans="1:58" x14ac:dyDescent="0.25">
      <c r="A17">
        <v>95</v>
      </c>
      <c r="B17" t="s">
        <v>202</v>
      </c>
      <c r="C17" t="s">
        <v>21</v>
      </c>
      <c r="D17" t="s">
        <v>61</v>
      </c>
      <c r="E17" t="s">
        <v>88</v>
      </c>
      <c r="F17">
        <v>4905190400</v>
      </c>
      <c r="G17">
        <v>27.62</v>
      </c>
      <c r="H17" t="s">
        <v>97</v>
      </c>
      <c r="I17">
        <v>213139391.34502</v>
      </c>
      <c r="J17">
        <v>174615927.30533299</v>
      </c>
      <c r="M17">
        <v>177859678.17185599</v>
      </c>
      <c r="N17">
        <v>20.588774000000001</v>
      </c>
      <c r="O17">
        <v>20.002012000000001</v>
      </c>
      <c r="P17">
        <v>168756818.14930001</v>
      </c>
      <c r="Q17">
        <v>22.332177999999999</v>
      </c>
      <c r="R17">
        <v>167579093.45007601</v>
      </c>
      <c r="S17">
        <v>195339529.84979901</v>
      </c>
      <c r="T17" t="s">
        <v>96</v>
      </c>
      <c r="U17" t="s">
        <v>242</v>
      </c>
      <c r="V17">
        <v>1</v>
      </c>
      <c r="W17">
        <v>26.74</v>
      </c>
      <c r="X17">
        <v>27.62</v>
      </c>
      <c r="Y17">
        <v>0.7</v>
      </c>
      <c r="Z17" s="3">
        <v>94836951193.600006</v>
      </c>
      <c r="AA17">
        <v>0</v>
      </c>
      <c r="AB17">
        <v>0</v>
      </c>
      <c r="AC17">
        <v>16.2697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D17" t="e">
        <f>_xlfn.XLOOKUP(BE17,'Excluded Companies'!$D$2:$D$29,'Excluded Companies'!$C$2:$C$29)</f>
        <v>#N/A</v>
      </c>
      <c r="BE17" t="s">
        <v>86</v>
      </c>
      <c r="BF17" t="b">
        <f t="shared" si="0"/>
        <v>1</v>
      </c>
    </row>
    <row r="18" spans="1:58" x14ac:dyDescent="0.25">
      <c r="A18">
        <v>180</v>
      </c>
      <c r="B18" t="s">
        <v>244</v>
      </c>
      <c r="C18" t="s">
        <v>102</v>
      </c>
      <c r="D18" t="s">
        <v>108</v>
      </c>
      <c r="E18" t="s">
        <v>89</v>
      </c>
      <c r="F18">
        <v>533783024</v>
      </c>
      <c r="G18">
        <v>361.5</v>
      </c>
      <c r="H18" t="s">
        <v>97</v>
      </c>
      <c r="I18">
        <v>139975623.991936</v>
      </c>
      <c r="J18">
        <v>105679464.682613</v>
      </c>
      <c r="M18">
        <v>115668594.987452</v>
      </c>
      <c r="N18">
        <v>23.4039</v>
      </c>
      <c r="O18">
        <v>23.904568000000001</v>
      </c>
      <c r="P18">
        <v>112340319.76193599</v>
      </c>
      <c r="Q18">
        <v>25.882712999999999</v>
      </c>
      <c r="R18">
        <v>120144617.37831201</v>
      </c>
      <c r="S18">
        <v>140136487.22382599</v>
      </c>
      <c r="T18" t="s">
        <v>96</v>
      </c>
      <c r="U18" t="s">
        <v>299</v>
      </c>
      <c r="V18">
        <v>1</v>
      </c>
      <c r="W18">
        <v>373.7</v>
      </c>
      <c r="X18">
        <v>361.5</v>
      </c>
      <c r="Y18">
        <v>0.45</v>
      </c>
      <c r="Z18" s="3">
        <v>86833153429.199997</v>
      </c>
      <c r="AA18">
        <v>0</v>
      </c>
      <c r="AB18">
        <v>0</v>
      </c>
      <c r="AC18">
        <v>16.898518750000001</v>
      </c>
      <c r="AD18">
        <v>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D18" t="e">
        <f>_xlfn.XLOOKUP(BE18,'Excluded Companies'!$D$2:$D$29,'Excluded Companies'!$C$2:$C$29)</f>
        <v>#N/A</v>
      </c>
      <c r="BE18" t="s">
        <v>49</v>
      </c>
      <c r="BF18" t="b">
        <f t="shared" si="0"/>
        <v>1</v>
      </c>
    </row>
    <row r="19" spans="1:58" x14ac:dyDescent="0.25">
      <c r="A19">
        <v>158</v>
      </c>
      <c r="B19" t="s">
        <v>165</v>
      </c>
      <c r="C19" t="s">
        <v>29</v>
      </c>
      <c r="D19" t="s">
        <v>69</v>
      </c>
      <c r="E19" t="s">
        <v>93</v>
      </c>
      <c r="F19">
        <v>17413389613</v>
      </c>
      <c r="G19">
        <v>5.6189999999999998</v>
      </c>
      <c r="H19" t="s">
        <v>97</v>
      </c>
      <c r="I19">
        <v>293767090.16672999</v>
      </c>
      <c r="J19">
        <v>325066381.92893302</v>
      </c>
      <c r="M19">
        <v>268153499.05000001</v>
      </c>
      <c r="N19">
        <v>23.324428999999999</v>
      </c>
      <c r="O19">
        <v>24.010738</v>
      </c>
      <c r="P19">
        <v>268929667.19718999</v>
      </c>
      <c r="Q19">
        <v>28.28163</v>
      </c>
      <c r="R19">
        <v>282868481.63398498</v>
      </c>
      <c r="S19">
        <v>329523646.21244597</v>
      </c>
      <c r="T19" t="s">
        <v>96</v>
      </c>
      <c r="U19" t="s">
        <v>205</v>
      </c>
      <c r="V19">
        <v>1</v>
      </c>
      <c r="W19">
        <v>5.7830000000000004</v>
      </c>
      <c r="X19">
        <v>5.6189999999999998</v>
      </c>
      <c r="Y19">
        <v>0.8</v>
      </c>
      <c r="Z19" s="3">
        <v>78276668988.357605</v>
      </c>
      <c r="AA19">
        <v>0</v>
      </c>
      <c r="AB19">
        <v>0</v>
      </c>
      <c r="AC19">
        <v>8.09</v>
      </c>
      <c r="AD19">
        <v>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D19" t="e">
        <f>_xlfn.XLOOKUP(BE19,'Excluded Companies'!$D$2:$D$29,'Excluded Companies'!$C$2:$C$29)</f>
        <v>#N/A</v>
      </c>
      <c r="BE19" t="s">
        <v>61</v>
      </c>
      <c r="BF19" t="b">
        <f t="shared" si="0"/>
        <v>1</v>
      </c>
    </row>
    <row r="20" spans="1:58" x14ac:dyDescent="0.25">
      <c r="A20">
        <v>64</v>
      </c>
      <c r="B20" t="s">
        <v>180</v>
      </c>
      <c r="C20" t="s">
        <v>16</v>
      </c>
      <c r="D20" t="s">
        <v>56</v>
      </c>
      <c r="E20" t="s">
        <v>89</v>
      </c>
      <c r="F20">
        <v>1116784757</v>
      </c>
      <c r="G20">
        <v>70.47</v>
      </c>
      <c r="H20" t="s">
        <v>97</v>
      </c>
      <c r="I20">
        <v>212917894.392795</v>
      </c>
      <c r="J20">
        <v>193406350.51875299</v>
      </c>
      <c r="M20">
        <v>196214994.42096701</v>
      </c>
      <c r="N20">
        <v>26.853807</v>
      </c>
      <c r="O20">
        <v>27.375444000000002</v>
      </c>
      <c r="P20">
        <v>192976695.211927</v>
      </c>
      <c r="Q20">
        <v>30.013380000000002</v>
      </c>
      <c r="R20">
        <v>208626228.82238901</v>
      </c>
      <c r="S20">
        <v>243014105.80956301</v>
      </c>
      <c r="T20" t="s">
        <v>96</v>
      </c>
      <c r="U20" t="s">
        <v>220</v>
      </c>
      <c r="V20">
        <v>1</v>
      </c>
      <c r="W20">
        <v>78.86</v>
      </c>
      <c r="X20">
        <v>70.47</v>
      </c>
      <c r="Y20">
        <v>0.95000000000000007</v>
      </c>
      <c r="Z20" s="3">
        <v>74764830734.500504</v>
      </c>
      <c r="AA20">
        <v>0</v>
      </c>
      <c r="AB20">
        <v>0</v>
      </c>
      <c r="AC20">
        <v>12.27173125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D20" t="str">
        <f>_xlfn.XLOOKUP(BE20,'Excluded Companies'!$D$2:$D$29,'Excluded Companies'!$C$2:$C$29)</f>
        <v>SAFRAN</v>
      </c>
      <c r="BE20" t="s">
        <v>395</v>
      </c>
      <c r="BF20" t="b">
        <f t="shared" si="0"/>
        <v>0</v>
      </c>
    </row>
    <row r="21" spans="1:58" x14ac:dyDescent="0.25">
      <c r="A21">
        <v>196</v>
      </c>
      <c r="B21" t="s">
        <v>178</v>
      </c>
      <c r="C21" t="s">
        <v>34</v>
      </c>
      <c r="D21" t="s">
        <v>74</v>
      </c>
      <c r="E21" t="s">
        <v>88</v>
      </c>
      <c r="F21">
        <v>130645070</v>
      </c>
      <c r="G21">
        <v>532.4</v>
      </c>
      <c r="H21" t="s">
        <v>97</v>
      </c>
      <c r="I21">
        <v>142614499.850593</v>
      </c>
      <c r="J21">
        <v>124943892.553333</v>
      </c>
      <c r="M21">
        <v>130284135.80833299</v>
      </c>
      <c r="N21">
        <v>21.038910000000001</v>
      </c>
      <c r="O21">
        <v>21.719397000000001</v>
      </c>
      <c r="P21">
        <v>125067300.40700001</v>
      </c>
      <c r="Q21">
        <v>25.573225000000001</v>
      </c>
      <c r="R21">
        <v>126417449.87424199</v>
      </c>
      <c r="S21">
        <v>147461314.67462799</v>
      </c>
      <c r="T21" t="s">
        <v>96</v>
      </c>
      <c r="U21" t="s">
        <v>218</v>
      </c>
      <c r="V21">
        <v>1</v>
      </c>
      <c r="W21">
        <v>557.79999999999995</v>
      </c>
      <c r="X21">
        <v>532.4</v>
      </c>
      <c r="Y21">
        <v>1</v>
      </c>
      <c r="Z21" s="3">
        <v>69555435268</v>
      </c>
      <c r="AA21">
        <v>0</v>
      </c>
      <c r="AB21">
        <v>0</v>
      </c>
      <c r="AC21">
        <v>11.755625</v>
      </c>
      <c r="AD21">
        <v>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D21" t="e">
        <f>_xlfn.XLOOKUP(BE21,'Excluded Companies'!$D$2:$D$29,'Excluded Companies'!$C$2:$C$29)</f>
        <v>#N/A</v>
      </c>
      <c r="BE21" t="s">
        <v>108</v>
      </c>
      <c r="BF21" t="b">
        <f t="shared" si="0"/>
        <v>1</v>
      </c>
    </row>
    <row r="22" spans="1:58" x14ac:dyDescent="0.25">
      <c r="A22">
        <v>41</v>
      </c>
      <c r="B22" t="s">
        <v>194</v>
      </c>
      <c r="C22" t="s">
        <v>13</v>
      </c>
      <c r="D22" t="s">
        <v>53</v>
      </c>
      <c r="E22" t="s">
        <v>89</v>
      </c>
      <c r="F22">
        <v>2123594281</v>
      </c>
      <c r="G22">
        <v>38.14</v>
      </c>
      <c r="H22" t="s">
        <v>97</v>
      </c>
      <c r="I22">
        <v>159939019.05349001</v>
      </c>
      <c r="J22">
        <v>162393494.675733</v>
      </c>
      <c r="M22">
        <v>151563173.118258</v>
      </c>
      <c r="N22">
        <v>20.694818000000001</v>
      </c>
      <c r="O22">
        <v>21.842217999999999</v>
      </c>
      <c r="P22">
        <v>144296844.14829999</v>
      </c>
      <c r="Q22">
        <v>23.645367</v>
      </c>
      <c r="R22">
        <v>151847210.35128799</v>
      </c>
      <c r="S22">
        <v>176913247.69380099</v>
      </c>
      <c r="T22" t="s">
        <v>96</v>
      </c>
      <c r="U22" t="s">
        <v>234</v>
      </c>
      <c r="V22">
        <v>1</v>
      </c>
      <c r="W22">
        <v>40.549999999999997</v>
      </c>
      <c r="X22">
        <v>38.14</v>
      </c>
      <c r="Y22">
        <v>0.85000000000000009</v>
      </c>
      <c r="Z22" s="3">
        <v>68844802995.739014</v>
      </c>
      <c r="AA22">
        <v>0</v>
      </c>
      <c r="AB22">
        <v>0</v>
      </c>
      <c r="AC22">
        <v>13.9274375</v>
      </c>
      <c r="AD22">
        <v>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D22" t="e">
        <f>_xlfn.XLOOKUP(BE22,'Excluded Companies'!$D$2:$D$29,'Excluded Companies'!$C$2:$C$29)</f>
        <v>#N/A</v>
      </c>
      <c r="BE22" t="s">
        <v>69</v>
      </c>
      <c r="BF22" t="b">
        <f t="shared" si="0"/>
        <v>1</v>
      </c>
    </row>
    <row r="23" spans="1:58" x14ac:dyDescent="0.25">
      <c r="A23">
        <v>216</v>
      </c>
      <c r="B23" t="s">
        <v>197</v>
      </c>
      <c r="C23" t="s">
        <v>37</v>
      </c>
      <c r="D23" t="s">
        <v>77</v>
      </c>
      <c r="E23" t="s">
        <v>91</v>
      </c>
      <c r="F23">
        <v>2378947836</v>
      </c>
      <c r="G23">
        <v>56.62</v>
      </c>
      <c r="H23" t="s">
        <v>97</v>
      </c>
      <c r="I23">
        <v>131511670.27002899</v>
      </c>
      <c r="J23">
        <v>107177149.638</v>
      </c>
      <c r="M23">
        <v>115867344.15424199</v>
      </c>
      <c r="N23">
        <v>23.927814000000001</v>
      </c>
      <c r="O23">
        <v>24.204713999999999</v>
      </c>
      <c r="P23">
        <v>111492686.25077499</v>
      </c>
      <c r="Q23">
        <v>29.40259</v>
      </c>
      <c r="R23">
        <v>119234242.236591</v>
      </c>
      <c r="S23">
        <v>139066300.627534</v>
      </c>
      <c r="T23" t="s">
        <v>96</v>
      </c>
      <c r="U23" t="s">
        <v>237</v>
      </c>
      <c r="V23">
        <v>1</v>
      </c>
      <c r="W23">
        <v>52.46</v>
      </c>
      <c r="X23">
        <v>56.62</v>
      </c>
      <c r="Y23">
        <v>0.5</v>
      </c>
      <c r="Z23" s="3">
        <v>67348013237.160004</v>
      </c>
      <c r="AA23">
        <v>0</v>
      </c>
      <c r="AB23">
        <v>0</v>
      </c>
      <c r="AC23">
        <v>14.346012500000001</v>
      </c>
      <c r="AD23">
        <v>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D23" t="str">
        <f>_xlfn.XLOOKUP(BE23,'Excluded Companies'!$D$2:$D$29,'Excluded Companies'!$C$2:$C$29)</f>
        <v>SIEMENS ENERGY AG</v>
      </c>
      <c r="BE23" t="s">
        <v>397</v>
      </c>
      <c r="BF23" t="b">
        <f t="shared" si="0"/>
        <v>0</v>
      </c>
    </row>
    <row r="24" spans="1:58" x14ac:dyDescent="0.25">
      <c r="A24">
        <v>225</v>
      </c>
      <c r="B24" t="s">
        <v>166</v>
      </c>
      <c r="C24" t="s">
        <v>38</v>
      </c>
      <c r="D24" t="s">
        <v>78</v>
      </c>
      <c r="E24" t="s">
        <v>91</v>
      </c>
      <c r="F24">
        <v>1907070957</v>
      </c>
      <c r="G24">
        <v>35.28</v>
      </c>
      <c r="H24" t="s">
        <v>97</v>
      </c>
      <c r="I24">
        <v>35151618.017999999</v>
      </c>
      <c r="J24">
        <v>38042578.714666702</v>
      </c>
      <c r="M24">
        <v>29814886.367424201</v>
      </c>
      <c r="N24">
        <v>20.830658</v>
      </c>
      <c r="O24">
        <v>22.413506000000002</v>
      </c>
      <c r="P24">
        <v>31979316.750999998</v>
      </c>
      <c r="Q24">
        <v>23.983384999999998</v>
      </c>
      <c r="R24">
        <v>32638215.1919697</v>
      </c>
      <c r="S24">
        <v>38012064.798709601</v>
      </c>
      <c r="T24" t="s">
        <v>96</v>
      </c>
      <c r="U24" t="s">
        <v>206</v>
      </c>
      <c r="V24">
        <v>1</v>
      </c>
      <c r="W24">
        <v>34.659999999999997</v>
      </c>
      <c r="X24">
        <v>35.28</v>
      </c>
      <c r="Y24">
        <v>1</v>
      </c>
      <c r="Z24" s="3">
        <v>67281463362.959999</v>
      </c>
      <c r="AA24">
        <v>0</v>
      </c>
      <c r="AB24">
        <v>0</v>
      </c>
      <c r="AC24">
        <v>8.1090937499999995</v>
      </c>
      <c r="AD24">
        <v>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D24" t="e">
        <f>_xlfn.XLOOKUP(BE24,'Excluded Companies'!$D$2:$D$29,'Excluded Companies'!$C$2:$C$29)</f>
        <v>#N/A</v>
      </c>
      <c r="BE24" t="s">
        <v>56</v>
      </c>
      <c r="BF24" t="b">
        <f t="shared" si="0"/>
        <v>1</v>
      </c>
    </row>
    <row r="25" spans="1:58" x14ac:dyDescent="0.25">
      <c r="A25">
        <v>147</v>
      </c>
      <c r="B25" t="s">
        <v>181</v>
      </c>
      <c r="C25" t="s">
        <v>25</v>
      </c>
      <c r="D25" t="s">
        <v>65</v>
      </c>
      <c r="E25" t="s">
        <v>89</v>
      </c>
      <c r="F25">
        <v>105569412</v>
      </c>
      <c r="G25">
        <v>2124</v>
      </c>
      <c r="H25" t="s">
        <v>97</v>
      </c>
      <c r="I25">
        <v>140008736.488242</v>
      </c>
      <c r="J25">
        <v>99979651.600199997</v>
      </c>
      <c r="M25">
        <v>119493976.65531699</v>
      </c>
      <c r="N25">
        <v>26.302942000000002</v>
      </c>
      <c r="O25">
        <v>28.087807000000002</v>
      </c>
      <c r="P25">
        <v>114540131.815018</v>
      </c>
      <c r="Q25">
        <v>27.303678999999999</v>
      </c>
      <c r="R25">
        <v>113541795.810633</v>
      </c>
      <c r="S25">
        <v>132334098.846276</v>
      </c>
      <c r="T25" t="s">
        <v>96</v>
      </c>
      <c r="U25" t="s">
        <v>221</v>
      </c>
      <c r="V25">
        <v>1</v>
      </c>
      <c r="W25">
        <v>2159</v>
      </c>
      <c r="X25">
        <v>2124</v>
      </c>
      <c r="Y25">
        <v>0.3</v>
      </c>
      <c r="Z25" s="3">
        <v>67268829326.400009</v>
      </c>
      <c r="AA25">
        <v>0</v>
      </c>
      <c r="AB25">
        <v>0</v>
      </c>
      <c r="AC25">
        <v>12.35406036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D25" t="str">
        <f>_xlfn.XLOOKUP(BE25,'Excluded Companies'!$D$2:$D$29,'Excluded Companies'!$C$2:$C$29)</f>
        <v>RHEINMETALL</v>
      </c>
      <c r="BE25" t="s">
        <v>393</v>
      </c>
      <c r="BF25" t="b">
        <f t="shared" si="0"/>
        <v>0</v>
      </c>
    </row>
    <row r="26" spans="1:58" x14ac:dyDescent="0.25">
      <c r="A26">
        <v>155</v>
      </c>
      <c r="B26" t="s">
        <v>200</v>
      </c>
      <c r="C26" t="s">
        <v>28</v>
      </c>
      <c r="D26" t="s">
        <v>68</v>
      </c>
      <c r="E26" t="s">
        <v>91</v>
      </c>
      <c r="F26">
        <v>3021542868</v>
      </c>
      <c r="G26">
        <v>21.515000000000001</v>
      </c>
      <c r="H26" t="s">
        <v>97</v>
      </c>
      <c r="I26">
        <v>170408597.703926</v>
      </c>
      <c r="J26">
        <v>152586669.825167</v>
      </c>
      <c r="M26">
        <v>155114984.77874199</v>
      </c>
      <c r="N26">
        <v>20.634764000000001</v>
      </c>
      <c r="O26">
        <v>21.073732</v>
      </c>
      <c r="P26">
        <v>153214078.20695001</v>
      </c>
      <c r="Q26">
        <v>26.629899999999999</v>
      </c>
      <c r="R26">
        <v>159444477.67242399</v>
      </c>
      <c r="S26">
        <v>185876374.37553799</v>
      </c>
      <c r="T26" t="s">
        <v>96</v>
      </c>
      <c r="U26" t="s">
        <v>240</v>
      </c>
      <c r="V26">
        <v>1</v>
      </c>
      <c r="W26">
        <v>23.38</v>
      </c>
      <c r="X26">
        <v>21.515000000000001</v>
      </c>
      <c r="Y26">
        <v>1</v>
      </c>
      <c r="Z26" s="3">
        <v>65008494805.019997</v>
      </c>
      <c r="AA26">
        <v>0</v>
      </c>
      <c r="AB26">
        <v>0</v>
      </c>
      <c r="AC26">
        <v>15.399255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D26" t="e">
        <f>_xlfn.XLOOKUP(BE26,'Excluded Companies'!$D$2:$D$29,'Excluded Companies'!$C$2:$C$29)</f>
        <v>#N/A</v>
      </c>
      <c r="BE26" t="s">
        <v>74</v>
      </c>
      <c r="BF26" t="b">
        <f t="shared" si="0"/>
        <v>1</v>
      </c>
    </row>
    <row r="27" spans="1:58" x14ac:dyDescent="0.25">
      <c r="A27">
        <v>291</v>
      </c>
      <c r="B27" t="s">
        <v>259</v>
      </c>
      <c r="C27" t="s">
        <v>276</v>
      </c>
      <c r="D27" t="s">
        <v>293</v>
      </c>
      <c r="E27" t="s">
        <v>89</v>
      </c>
      <c r="F27">
        <v>586933775</v>
      </c>
      <c r="G27">
        <v>119.2</v>
      </c>
      <c r="H27" t="s">
        <v>97</v>
      </c>
      <c r="I27">
        <v>113543783.84716199</v>
      </c>
      <c r="J27">
        <v>82508689.396653295</v>
      </c>
      <c r="M27">
        <v>105480357.709933</v>
      </c>
      <c r="N27">
        <v>19.922636000000001</v>
      </c>
      <c r="O27">
        <v>21.265522000000001</v>
      </c>
      <c r="P27">
        <v>100628671.517362</v>
      </c>
      <c r="Q27">
        <v>20.998957000000001</v>
      </c>
      <c r="R27">
        <v>102877582.43767001</v>
      </c>
      <c r="S27">
        <v>119926911.732161</v>
      </c>
      <c r="T27" t="s">
        <v>96</v>
      </c>
      <c r="U27" t="s">
        <v>314</v>
      </c>
      <c r="V27">
        <v>1</v>
      </c>
      <c r="W27">
        <v>120.45</v>
      </c>
      <c r="X27">
        <v>119.2</v>
      </c>
      <c r="Y27">
        <v>0.9</v>
      </c>
      <c r="Z27" s="3">
        <v>62966255382</v>
      </c>
      <c r="AA27">
        <v>0</v>
      </c>
      <c r="AB27">
        <v>0</v>
      </c>
      <c r="AC27">
        <v>23.81601165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D27" t="e">
        <f>_xlfn.XLOOKUP(BE27,'Excluded Companies'!$D$2:$D$29,'Excluded Companies'!$C$2:$C$29)</f>
        <v>#N/A</v>
      </c>
      <c r="BE27" t="s">
        <v>53</v>
      </c>
      <c r="BF27" t="b">
        <f t="shared" si="0"/>
        <v>1</v>
      </c>
    </row>
    <row r="28" spans="1:58" x14ac:dyDescent="0.25">
      <c r="A28">
        <v>92</v>
      </c>
      <c r="B28" t="s">
        <v>168</v>
      </c>
      <c r="C28" t="s">
        <v>19</v>
      </c>
      <c r="D28" t="s">
        <v>59</v>
      </c>
      <c r="E28" t="s">
        <v>88</v>
      </c>
      <c r="F28">
        <v>1948252900</v>
      </c>
      <c r="G28">
        <v>29.385000000000002</v>
      </c>
      <c r="H28" t="s">
        <v>97</v>
      </c>
      <c r="I28">
        <v>170153144.36817199</v>
      </c>
      <c r="J28">
        <v>162831730.796</v>
      </c>
      <c r="M28">
        <v>168472774.81662899</v>
      </c>
      <c r="N28">
        <v>30.730796999999999</v>
      </c>
      <c r="O28">
        <v>30.842863000000001</v>
      </c>
      <c r="P28">
        <v>170715450.21277499</v>
      </c>
      <c r="Q28">
        <v>36.20055</v>
      </c>
      <c r="R28">
        <v>177981689.83113599</v>
      </c>
      <c r="S28">
        <v>207685531.526611</v>
      </c>
      <c r="T28" t="s">
        <v>96</v>
      </c>
      <c r="U28" t="s">
        <v>208</v>
      </c>
      <c r="V28">
        <v>1</v>
      </c>
      <c r="W28">
        <v>31.81</v>
      </c>
      <c r="X28">
        <v>29.385000000000002</v>
      </c>
      <c r="Y28">
        <v>1</v>
      </c>
      <c r="Z28" s="3">
        <v>57249411466.5</v>
      </c>
      <c r="AA28">
        <v>0</v>
      </c>
      <c r="AB28">
        <v>0</v>
      </c>
      <c r="AC28">
        <v>8.9654924999999999</v>
      </c>
      <c r="AD28">
        <v>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D28" t="e">
        <f>_xlfn.XLOOKUP(BE28,'Excluded Companies'!$D$2:$D$29,'Excluded Companies'!$C$2:$C$29)</f>
        <v>#N/A</v>
      </c>
      <c r="BE28" t="s">
        <v>77</v>
      </c>
      <c r="BF28" t="b">
        <f t="shared" si="0"/>
        <v>1</v>
      </c>
    </row>
    <row r="29" spans="1:58" x14ac:dyDescent="0.25">
      <c r="A29">
        <v>3</v>
      </c>
      <c r="B29" t="s">
        <v>256</v>
      </c>
      <c r="C29" t="s">
        <v>273</v>
      </c>
      <c r="D29" t="s">
        <v>290</v>
      </c>
      <c r="E29" t="s">
        <v>94</v>
      </c>
      <c r="F29">
        <v>1797199973</v>
      </c>
      <c r="G29">
        <v>54.4</v>
      </c>
      <c r="H29" t="s">
        <v>97</v>
      </c>
      <c r="I29">
        <v>99692315.117411703</v>
      </c>
      <c r="J29">
        <v>86159215.122666702</v>
      </c>
      <c r="M29">
        <v>85234178.569962099</v>
      </c>
      <c r="N29">
        <v>24.127241000000001</v>
      </c>
      <c r="O29">
        <v>26.022393999999998</v>
      </c>
      <c r="P29">
        <v>76696295.864549994</v>
      </c>
      <c r="Q29">
        <v>23.205466999999999</v>
      </c>
      <c r="R29">
        <v>73898708.7979545</v>
      </c>
      <c r="S29">
        <v>86128671.132137001</v>
      </c>
      <c r="T29" t="s">
        <v>96</v>
      </c>
      <c r="U29" t="s">
        <v>311</v>
      </c>
      <c r="V29">
        <v>1</v>
      </c>
      <c r="W29">
        <v>54.86</v>
      </c>
      <c r="X29">
        <v>54.4</v>
      </c>
      <c r="Y29">
        <v>0.55000000000000004</v>
      </c>
      <c r="Z29" s="3">
        <v>53772223192.160004</v>
      </c>
      <c r="AA29">
        <v>0</v>
      </c>
      <c r="AB29">
        <v>0</v>
      </c>
      <c r="AC29">
        <v>21.5287425</v>
      </c>
      <c r="AD29">
        <v>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D29" t="e">
        <f>_xlfn.XLOOKUP(BE29,'Excluded Companies'!$D$2:$D$29,'Excluded Companies'!$C$2:$C$29)</f>
        <v>#N/A</v>
      </c>
      <c r="BE29" t="s">
        <v>78</v>
      </c>
      <c r="BF29" t="b">
        <f t="shared" si="0"/>
        <v>1</v>
      </c>
    </row>
    <row r="30" spans="1:58" x14ac:dyDescent="0.25">
      <c r="A30">
        <v>87</v>
      </c>
      <c r="B30" t="s">
        <v>182</v>
      </c>
      <c r="C30" t="s">
        <v>18</v>
      </c>
      <c r="D30" t="s">
        <v>58</v>
      </c>
      <c r="E30" t="s">
        <v>89</v>
      </c>
      <c r="F30">
        <v>681394483</v>
      </c>
      <c r="G30">
        <v>78.459999999999994</v>
      </c>
      <c r="H30" t="s">
        <v>97</v>
      </c>
      <c r="I30">
        <v>89187470.845429093</v>
      </c>
      <c r="J30">
        <v>77875664.540000007</v>
      </c>
      <c r="M30">
        <v>76458845.763063699</v>
      </c>
      <c r="N30">
        <v>18.218976999999999</v>
      </c>
      <c r="O30">
        <v>19.518609999999999</v>
      </c>
      <c r="P30">
        <v>75441701.222443998</v>
      </c>
      <c r="Q30">
        <v>19.109919999999999</v>
      </c>
      <c r="R30">
        <v>74833743.850218207</v>
      </c>
      <c r="S30">
        <v>87189947.560488701</v>
      </c>
      <c r="T30" t="s">
        <v>96</v>
      </c>
      <c r="U30" t="s">
        <v>222</v>
      </c>
      <c r="V30">
        <v>1</v>
      </c>
      <c r="W30">
        <v>76.98</v>
      </c>
      <c r="X30">
        <v>78.459999999999994</v>
      </c>
      <c r="Y30">
        <v>0.95000000000000007</v>
      </c>
      <c r="Z30" s="3">
        <v>50789100579.370987</v>
      </c>
      <c r="AA30">
        <v>0</v>
      </c>
      <c r="AB30">
        <v>0</v>
      </c>
      <c r="AC30">
        <v>12.54371181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D30" t="e">
        <f>_xlfn.XLOOKUP(BE30,'Excluded Companies'!$D$2:$D$29,'Excluded Companies'!$C$2:$C$29)</f>
        <v>#N/A</v>
      </c>
      <c r="BE30" t="s">
        <v>65</v>
      </c>
      <c r="BF30" t="b">
        <f t="shared" si="0"/>
        <v>1</v>
      </c>
    </row>
    <row r="31" spans="1:58" x14ac:dyDescent="0.25">
      <c r="A31">
        <v>152</v>
      </c>
      <c r="B31" t="s">
        <v>176</v>
      </c>
      <c r="C31" t="s">
        <v>26</v>
      </c>
      <c r="D31" t="s">
        <v>66</v>
      </c>
      <c r="E31" t="s">
        <v>90</v>
      </c>
      <c r="F31">
        <v>3116652000</v>
      </c>
      <c r="G31">
        <v>46.54</v>
      </c>
      <c r="H31" t="s">
        <v>97</v>
      </c>
      <c r="I31">
        <v>109772676.08406</v>
      </c>
      <c r="J31">
        <v>142026480.02399999</v>
      </c>
      <c r="M31">
        <v>106887525.11382601</v>
      </c>
      <c r="N31">
        <v>23.16405</v>
      </c>
      <c r="O31">
        <v>23.343883999999999</v>
      </c>
      <c r="P31">
        <v>107928229.6776</v>
      </c>
      <c r="Q31">
        <v>25.288754999999998</v>
      </c>
      <c r="R31">
        <v>121435820.174242</v>
      </c>
      <c r="S31">
        <v>141326631.93808499</v>
      </c>
      <c r="T31" t="s">
        <v>96</v>
      </c>
      <c r="U31" t="s">
        <v>216</v>
      </c>
      <c r="V31">
        <v>1</v>
      </c>
      <c r="W31">
        <v>54.56</v>
      </c>
      <c r="X31">
        <v>46.54</v>
      </c>
      <c r="Y31">
        <v>0.35</v>
      </c>
      <c r="Z31" s="3">
        <v>50767144428</v>
      </c>
      <c r="AA31">
        <v>0</v>
      </c>
      <c r="AB31">
        <v>0</v>
      </c>
      <c r="AC31">
        <v>10.810387499999999</v>
      </c>
      <c r="AD31">
        <v>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D31" t="str">
        <f>_xlfn.XLOOKUP(BE31,'Excluded Companies'!$D$2:$D$29,'Excluded Companies'!$C$2:$C$29)</f>
        <v>ENEL</v>
      </c>
      <c r="BE31" t="s">
        <v>383</v>
      </c>
      <c r="BF31" t="b">
        <f t="shared" si="0"/>
        <v>0</v>
      </c>
    </row>
    <row r="32" spans="1:58" x14ac:dyDescent="0.25">
      <c r="A32">
        <v>32</v>
      </c>
      <c r="B32" t="s">
        <v>261</v>
      </c>
      <c r="C32" t="s">
        <v>278</v>
      </c>
      <c r="D32" t="s">
        <v>295</v>
      </c>
      <c r="E32" t="s">
        <v>94</v>
      </c>
      <c r="F32">
        <v>61568926</v>
      </c>
      <c r="G32">
        <v>800.4</v>
      </c>
      <c r="H32" t="s">
        <v>97</v>
      </c>
      <c r="I32">
        <v>49963237.465294197</v>
      </c>
      <c r="J32">
        <v>55411929.293333299</v>
      </c>
      <c r="M32">
        <v>56477555.834469698</v>
      </c>
      <c r="N32">
        <v>32.719334000000003</v>
      </c>
      <c r="O32">
        <v>33.887419999999999</v>
      </c>
      <c r="P32">
        <v>62904879.689000003</v>
      </c>
      <c r="Q32">
        <v>36.607117000000002</v>
      </c>
      <c r="R32">
        <v>71799660.425757498</v>
      </c>
      <c r="S32">
        <v>83818950.664562598</v>
      </c>
      <c r="T32" t="s">
        <v>96</v>
      </c>
      <c r="U32" t="s">
        <v>316</v>
      </c>
      <c r="V32">
        <v>1</v>
      </c>
      <c r="W32">
        <v>726.6</v>
      </c>
      <c r="X32">
        <v>800.4</v>
      </c>
      <c r="Y32">
        <v>1</v>
      </c>
      <c r="Z32" s="3">
        <v>49279768370.400002</v>
      </c>
      <c r="AA32">
        <v>0</v>
      </c>
      <c r="AB32">
        <v>0</v>
      </c>
      <c r="AC32">
        <v>24.860810619999999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D32" t="e">
        <f>_xlfn.XLOOKUP(BE32,'Excluded Companies'!$D$2:$D$29,'Excluded Companies'!$C$2:$C$29)</f>
        <v>#N/A</v>
      </c>
      <c r="BE32" t="s">
        <v>68</v>
      </c>
      <c r="BF32" t="b">
        <f t="shared" si="0"/>
        <v>1</v>
      </c>
    </row>
    <row r="33" spans="1:58" x14ac:dyDescent="0.25">
      <c r="A33">
        <v>204</v>
      </c>
      <c r="B33" t="s">
        <v>185</v>
      </c>
      <c r="C33" t="s">
        <v>36</v>
      </c>
      <c r="D33" t="s">
        <v>76</v>
      </c>
      <c r="E33" t="s">
        <v>95</v>
      </c>
      <c r="F33">
        <v>3442514600</v>
      </c>
      <c r="G33">
        <v>14.69</v>
      </c>
      <c r="H33" t="s">
        <v>97</v>
      </c>
      <c r="I33">
        <v>66453499.368433803</v>
      </c>
      <c r="J33">
        <v>63414555.982666701</v>
      </c>
      <c r="M33">
        <v>54290958.423692301</v>
      </c>
      <c r="N33">
        <v>18.596834000000001</v>
      </c>
      <c r="O33">
        <v>18.859200999999999</v>
      </c>
      <c r="P33">
        <v>52763447.971100003</v>
      </c>
      <c r="Q33">
        <v>23.394123</v>
      </c>
      <c r="R33">
        <v>54685575.574848503</v>
      </c>
      <c r="S33">
        <v>63718870.813999698</v>
      </c>
      <c r="T33" t="s">
        <v>96</v>
      </c>
      <c r="U33" t="s">
        <v>225</v>
      </c>
      <c r="V33">
        <v>1</v>
      </c>
      <c r="W33">
        <v>15.49</v>
      </c>
      <c r="X33">
        <v>14.69</v>
      </c>
      <c r="Y33">
        <v>0.95</v>
      </c>
      <c r="Z33" s="3">
        <v>48042012500.300003</v>
      </c>
      <c r="AA33">
        <v>0</v>
      </c>
      <c r="AB33">
        <v>0</v>
      </c>
      <c r="AC33">
        <v>13.146229999999999</v>
      </c>
      <c r="AD33">
        <v>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D33" t="e">
        <f>_xlfn.XLOOKUP(BE33,'Excluded Companies'!$D$2:$D$29,'Excluded Companies'!$C$2:$C$29)</f>
        <v>#N/A</v>
      </c>
      <c r="BE33" t="s">
        <v>293</v>
      </c>
      <c r="BF33" t="b">
        <f t="shared" si="0"/>
        <v>1</v>
      </c>
    </row>
    <row r="34" spans="1:58" x14ac:dyDescent="0.25">
      <c r="A34">
        <v>94</v>
      </c>
      <c r="B34" t="s">
        <v>246</v>
      </c>
      <c r="C34" t="s">
        <v>100</v>
      </c>
      <c r="D34" t="s">
        <v>106</v>
      </c>
      <c r="E34" t="s">
        <v>88</v>
      </c>
      <c r="F34">
        <v>1200000000</v>
      </c>
      <c r="G34">
        <v>43</v>
      </c>
      <c r="H34" t="s">
        <v>97</v>
      </c>
      <c r="I34">
        <v>87052822.919011801</v>
      </c>
      <c r="J34">
        <v>78161804.726999998</v>
      </c>
      <c r="M34">
        <v>68178803.427992404</v>
      </c>
      <c r="N34">
        <v>23.509927999999999</v>
      </c>
      <c r="O34">
        <v>24.419294000000001</v>
      </c>
      <c r="P34">
        <v>63448323.867550001</v>
      </c>
      <c r="Q34">
        <v>26.919172</v>
      </c>
      <c r="R34">
        <v>61781740.444696903</v>
      </c>
      <c r="S34">
        <v>71999492.791794896</v>
      </c>
      <c r="T34" t="s">
        <v>96</v>
      </c>
      <c r="U34" t="s">
        <v>301</v>
      </c>
      <c r="V34">
        <v>1</v>
      </c>
      <c r="W34">
        <v>46.72</v>
      </c>
      <c r="X34">
        <v>43</v>
      </c>
      <c r="Y34">
        <v>0.85</v>
      </c>
      <c r="Z34" s="3">
        <v>43860000000</v>
      </c>
      <c r="AA34">
        <v>0</v>
      </c>
      <c r="AB34">
        <v>0</v>
      </c>
      <c r="AC34">
        <v>17.27393125</v>
      </c>
      <c r="AD34">
        <v>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D34" t="e">
        <f>_xlfn.XLOOKUP(BE34,'Excluded Companies'!$D$2:$D$29,'Excluded Companies'!$C$2:$C$29)</f>
        <v>#N/A</v>
      </c>
      <c r="BE34" t="s">
        <v>59</v>
      </c>
      <c r="BF34" t="b">
        <f t="shared" si="0"/>
        <v>1</v>
      </c>
    </row>
    <row r="35" spans="1:58" x14ac:dyDescent="0.25">
      <c r="A35">
        <v>154</v>
      </c>
      <c r="B35" t="s">
        <v>203</v>
      </c>
      <c r="C35" t="s">
        <v>27</v>
      </c>
      <c r="D35" t="s">
        <v>67</v>
      </c>
      <c r="E35" t="s">
        <v>88</v>
      </c>
      <c r="F35">
        <v>1305921100</v>
      </c>
      <c r="G35">
        <v>31.695</v>
      </c>
      <c r="H35" t="s">
        <v>97</v>
      </c>
      <c r="I35">
        <v>142818936.84270799</v>
      </c>
      <c r="J35">
        <v>154722964.08966699</v>
      </c>
      <c r="M35">
        <v>130403003.532235</v>
      </c>
      <c r="N35">
        <v>32.71463</v>
      </c>
      <c r="O35">
        <v>34.115989999999996</v>
      </c>
      <c r="P35">
        <v>126611680.444575</v>
      </c>
      <c r="Q35">
        <v>38.333489999999998</v>
      </c>
      <c r="R35">
        <v>125630830.533409</v>
      </c>
      <c r="S35">
        <v>146351395.30293599</v>
      </c>
      <c r="T35" t="s">
        <v>96</v>
      </c>
      <c r="U35" t="s">
        <v>243</v>
      </c>
      <c r="V35">
        <v>1</v>
      </c>
      <c r="W35">
        <v>36</v>
      </c>
      <c r="X35">
        <v>31.695</v>
      </c>
      <c r="Y35">
        <v>1</v>
      </c>
      <c r="Z35" s="3">
        <v>41391169264.5</v>
      </c>
      <c r="AA35">
        <v>0</v>
      </c>
      <c r="AB35">
        <v>0</v>
      </c>
      <c r="AC35">
        <v>16.601476250000001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D35" t="e">
        <f>_xlfn.XLOOKUP(BE35,'Excluded Companies'!$D$2:$D$29,'Excluded Companies'!$C$2:$C$29)</f>
        <v>#N/A</v>
      </c>
      <c r="BE35" t="s">
        <v>290</v>
      </c>
      <c r="BF35" t="b">
        <f t="shared" si="0"/>
        <v>1</v>
      </c>
    </row>
    <row r="36" spans="1:58" x14ac:dyDescent="0.25">
      <c r="A36">
        <v>93</v>
      </c>
      <c r="B36" t="s">
        <v>184</v>
      </c>
      <c r="C36" t="s">
        <v>20</v>
      </c>
      <c r="D36" t="s">
        <v>60</v>
      </c>
      <c r="E36" t="s">
        <v>88</v>
      </c>
      <c r="F36">
        <v>188300000</v>
      </c>
      <c r="G36">
        <v>218.9</v>
      </c>
      <c r="H36" t="s">
        <v>97</v>
      </c>
      <c r="I36">
        <v>92217904.973122507</v>
      </c>
      <c r="J36">
        <v>87659123.730000004</v>
      </c>
      <c r="M36">
        <v>82567655.923484802</v>
      </c>
      <c r="N36">
        <v>18.901009999999999</v>
      </c>
      <c r="O36">
        <v>19.265366</v>
      </c>
      <c r="P36">
        <v>80430486.472000003</v>
      </c>
      <c r="Q36">
        <v>23.373327</v>
      </c>
      <c r="R36">
        <v>80560922.512878805</v>
      </c>
      <c r="S36">
        <v>93941883.061751395</v>
      </c>
      <c r="T36" t="s">
        <v>96</v>
      </c>
      <c r="U36" t="s">
        <v>224</v>
      </c>
      <c r="V36">
        <v>1</v>
      </c>
      <c r="W36">
        <v>217.4</v>
      </c>
      <c r="X36">
        <v>218.9</v>
      </c>
      <c r="Y36">
        <v>1</v>
      </c>
      <c r="Z36" s="3">
        <v>41218870000</v>
      </c>
      <c r="AA36">
        <v>0</v>
      </c>
      <c r="AB36">
        <v>0</v>
      </c>
      <c r="AC36">
        <v>12.979156250000001</v>
      </c>
      <c r="AD36">
        <v>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D36" t="e">
        <f>_xlfn.XLOOKUP(BE36,'Excluded Companies'!$D$2:$D$29,'Excluded Companies'!$C$2:$C$29)</f>
        <v>#N/A</v>
      </c>
      <c r="BE36" t="s">
        <v>58</v>
      </c>
      <c r="BF36" t="b">
        <f t="shared" si="0"/>
        <v>1</v>
      </c>
    </row>
    <row r="37" spans="1:58" x14ac:dyDescent="0.25">
      <c r="A37">
        <v>189</v>
      </c>
      <c r="B37" t="s">
        <v>199</v>
      </c>
      <c r="C37" t="s">
        <v>33</v>
      </c>
      <c r="D37" t="s">
        <v>73</v>
      </c>
      <c r="E37" t="s">
        <v>88</v>
      </c>
      <c r="F37">
        <v>962903700</v>
      </c>
      <c r="G37">
        <v>57.02</v>
      </c>
      <c r="H37" t="s">
        <v>97</v>
      </c>
      <c r="I37">
        <v>136324185.154773</v>
      </c>
      <c r="J37">
        <v>120781586.081</v>
      </c>
      <c r="M37">
        <v>108912429.66178</v>
      </c>
      <c r="N37">
        <v>25.013836000000001</v>
      </c>
      <c r="O37">
        <v>25.060022</v>
      </c>
      <c r="P37">
        <v>108855975.98317499</v>
      </c>
      <c r="Q37">
        <v>27.681898</v>
      </c>
      <c r="R37">
        <v>111281305.090985</v>
      </c>
      <c r="S37">
        <v>129699924.29912101</v>
      </c>
      <c r="T37" t="s">
        <v>96</v>
      </c>
      <c r="U37" t="s">
        <v>239</v>
      </c>
      <c r="V37">
        <v>1</v>
      </c>
      <c r="W37">
        <v>60.53</v>
      </c>
      <c r="X37">
        <v>57.02</v>
      </c>
      <c r="Y37">
        <v>0.75</v>
      </c>
      <c r="Z37" s="3">
        <v>41178576730.5</v>
      </c>
      <c r="AA37">
        <v>0</v>
      </c>
      <c r="AB37">
        <v>0</v>
      </c>
      <c r="AC37">
        <v>15.077518749999999</v>
      </c>
      <c r="AD37">
        <v>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D37" t="e">
        <f>_xlfn.XLOOKUP(BE37,'Excluded Companies'!$D$2:$D$29,'Excluded Companies'!$C$2:$C$29)</f>
        <v>#N/A</v>
      </c>
      <c r="BE37" t="s">
        <v>66</v>
      </c>
      <c r="BF37" t="b">
        <f t="shared" si="0"/>
        <v>1</v>
      </c>
    </row>
    <row r="38" spans="1:58" x14ac:dyDescent="0.25">
      <c r="A38">
        <v>13</v>
      </c>
      <c r="B38" t="s">
        <v>253</v>
      </c>
      <c r="C38" t="s">
        <v>270</v>
      </c>
      <c r="D38" t="s">
        <v>287</v>
      </c>
      <c r="E38" t="s">
        <v>91</v>
      </c>
      <c r="F38">
        <v>31523640</v>
      </c>
      <c r="G38">
        <v>1301</v>
      </c>
      <c r="H38" t="s">
        <v>97</v>
      </c>
      <c r="I38">
        <v>109823749.781176</v>
      </c>
      <c r="J38">
        <v>95677391.346666694</v>
      </c>
      <c r="M38">
        <v>104933001.11287899</v>
      </c>
      <c r="N38">
        <v>32.805312999999998</v>
      </c>
      <c r="O38">
        <v>33.215983999999999</v>
      </c>
      <c r="P38">
        <v>99682518.983999893</v>
      </c>
      <c r="Q38">
        <v>35.799624999999999</v>
      </c>
      <c r="R38">
        <v>91669504.327272698</v>
      </c>
      <c r="S38">
        <v>106864711.33240899</v>
      </c>
      <c r="T38" t="s">
        <v>96</v>
      </c>
      <c r="U38" t="s">
        <v>308</v>
      </c>
      <c r="V38">
        <v>1</v>
      </c>
      <c r="W38">
        <v>1350.4</v>
      </c>
      <c r="X38">
        <v>1301</v>
      </c>
      <c r="Y38">
        <v>1</v>
      </c>
      <c r="Z38" s="3">
        <v>41012255640</v>
      </c>
      <c r="AA38">
        <v>0</v>
      </c>
      <c r="AB38">
        <v>0</v>
      </c>
      <c r="AC38">
        <v>19.638052779999999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D38" t="e">
        <f>_xlfn.XLOOKUP(BE38,'Excluded Companies'!$D$2:$D$29,'Excluded Companies'!$C$2:$C$29)</f>
        <v>#N/A</v>
      </c>
      <c r="BE38" t="s">
        <v>295</v>
      </c>
      <c r="BF38" t="b">
        <f t="shared" si="0"/>
        <v>1</v>
      </c>
    </row>
    <row r="39" spans="1:58" x14ac:dyDescent="0.25">
      <c r="A39">
        <v>119</v>
      </c>
      <c r="B39" t="s">
        <v>255</v>
      </c>
      <c r="C39" t="s">
        <v>272</v>
      </c>
      <c r="D39" t="s">
        <v>289</v>
      </c>
      <c r="E39" t="s">
        <v>93</v>
      </c>
      <c r="F39">
        <v>193923499</v>
      </c>
      <c r="G39">
        <v>337.2</v>
      </c>
      <c r="H39" t="s">
        <v>97</v>
      </c>
      <c r="I39">
        <v>159191933.28095201</v>
      </c>
      <c r="J39">
        <v>196710223.32333401</v>
      </c>
      <c r="M39">
        <v>161076798.34389299</v>
      </c>
      <c r="N39">
        <v>36.226227000000002</v>
      </c>
      <c r="O39">
        <v>39.110584000000003</v>
      </c>
      <c r="P39">
        <v>175205141.329</v>
      </c>
      <c r="Q39">
        <v>34.986396999999997</v>
      </c>
      <c r="R39">
        <v>196771513.91818199</v>
      </c>
      <c r="S39">
        <v>228887602.858601</v>
      </c>
      <c r="T39" t="s">
        <v>96</v>
      </c>
      <c r="U39" t="s">
        <v>310</v>
      </c>
      <c r="V39">
        <v>1</v>
      </c>
      <c r="W39">
        <v>314.5</v>
      </c>
      <c r="X39">
        <v>337.2</v>
      </c>
      <c r="Y39">
        <v>0.60000000000000009</v>
      </c>
      <c r="Z39" s="3">
        <v>39234602317.680008</v>
      </c>
      <c r="AA39">
        <v>0</v>
      </c>
      <c r="AB39">
        <v>0</v>
      </c>
      <c r="AC39">
        <v>21.344762500000002</v>
      </c>
      <c r="AD39">
        <v>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D39" t="e">
        <f>_xlfn.XLOOKUP(BE39,'Excluded Companies'!$D$2:$D$29,'Excluded Companies'!$C$2:$C$29)</f>
        <v>#N/A</v>
      </c>
      <c r="BE39" t="s">
        <v>76</v>
      </c>
      <c r="BF39" t="b">
        <f t="shared" si="0"/>
        <v>1</v>
      </c>
    </row>
    <row r="40" spans="1:58" x14ac:dyDescent="0.25">
      <c r="A40">
        <v>54</v>
      </c>
      <c r="B40" t="s">
        <v>263</v>
      </c>
      <c r="C40" t="s">
        <v>280</v>
      </c>
      <c r="D40" t="s">
        <v>297</v>
      </c>
      <c r="E40" t="s">
        <v>88</v>
      </c>
      <c r="F40">
        <v>893854900</v>
      </c>
      <c r="G40">
        <v>43.79</v>
      </c>
      <c r="H40" t="s">
        <v>97</v>
      </c>
      <c r="I40">
        <v>122880079.22833</v>
      </c>
      <c r="J40">
        <v>99043942.280333295</v>
      </c>
      <c r="M40">
        <v>102948988.85159101</v>
      </c>
      <c r="N40">
        <v>24.359500000000001</v>
      </c>
      <c r="O40">
        <v>24.48902</v>
      </c>
      <c r="P40">
        <v>102183569.09805</v>
      </c>
      <c r="Q40">
        <v>26.716286</v>
      </c>
      <c r="R40">
        <v>92868303.067121193</v>
      </c>
      <c r="S40">
        <v>108191934.593705</v>
      </c>
      <c r="T40" t="s">
        <v>96</v>
      </c>
      <c r="U40" t="s">
        <v>318</v>
      </c>
      <c r="V40">
        <v>1</v>
      </c>
      <c r="W40">
        <v>44.52</v>
      </c>
      <c r="X40">
        <v>43.79</v>
      </c>
      <c r="Y40">
        <v>1</v>
      </c>
      <c r="Z40" s="3">
        <v>39141906071</v>
      </c>
      <c r="AA40">
        <v>0</v>
      </c>
      <c r="AB40">
        <v>0</v>
      </c>
      <c r="AC40">
        <v>25.368255000000001</v>
      </c>
      <c r="AD40">
        <v>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D40" t="e">
        <f>_xlfn.XLOOKUP(BE40,'Excluded Companies'!$D$2:$D$29,'Excluded Companies'!$C$2:$C$29)</f>
        <v>#N/A</v>
      </c>
      <c r="BE40" t="s">
        <v>106</v>
      </c>
      <c r="BF40" t="b">
        <f t="shared" si="0"/>
        <v>1</v>
      </c>
    </row>
    <row r="41" spans="1:58" x14ac:dyDescent="0.25">
      <c r="A41">
        <v>255</v>
      </c>
      <c r="B41" t="s">
        <v>188</v>
      </c>
      <c r="C41" t="s">
        <v>43</v>
      </c>
      <c r="D41" t="s">
        <v>83</v>
      </c>
      <c r="E41" t="s">
        <v>89</v>
      </c>
      <c r="F41">
        <v>766894786</v>
      </c>
      <c r="G41">
        <v>56.54</v>
      </c>
      <c r="H41" t="s">
        <v>97</v>
      </c>
      <c r="I41">
        <v>116670932.84463499</v>
      </c>
      <c r="J41">
        <v>106274498.25399999</v>
      </c>
      <c r="M41">
        <v>110451050.100033</v>
      </c>
      <c r="N41">
        <v>31.680330000000001</v>
      </c>
      <c r="O41">
        <v>32.316142999999997</v>
      </c>
      <c r="P41">
        <v>112619549.641993</v>
      </c>
      <c r="Q41">
        <v>34.544589999999999</v>
      </c>
      <c r="R41">
        <v>120101190.28756499</v>
      </c>
      <c r="S41">
        <v>139982609.69790301</v>
      </c>
      <c r="T41" t="s">
        <v>96</v>
      </c>
      <c r="U41" t="s">
        <v>228</v>
      </c>
      <c r="V41">
        <v>1</v>
      </c>
      <c r="W41">
        <v>64.36</v>
      </c>
      <c r="X41">
        <v>56.54</v>
      </c>
      <c r="Y41">
        <v>0.9</v>
      </c>
      <c r="Z41" s="3">
        <v>39024208080.396004</v>
      </c>
      <c r="AA41">
        <v>0</v>
      </c>
      <c r="AB41">
        <v>0</v>
      </c>
      <c r="AC41">
        <v>13.18949375</v>
      </c>
      <c r="AD41">
        <v>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D41" t="e">
        <f>_xlfn.XLOOKUP(BE41,'Excluded Companies'!$D$2:$D$29,'Excluded Companies'!$C$2:$C$29)</f>
        <v>#N/A</v>
      </c>
      <c r="BE41" t="s">
        <v>67</v>
      </c>
      <c r="BF41" t="b">
        <f t="shared" si="0"/>
        <v>1</v>
      </c>
    </row>
    <row r="42" spans="1:58" x14ac:dyDescent="0.25">
      <c r="A42">
        <v>236</v>
      </c>
      <c r="B42" t="s">
        <v>250</v>
      </c>
      <c r="C42" t="s">
        <v>267</v>
      </c>
      <c r="D42" t="s">
        <v>284</v>
      </c>
      <c r="E42" t="s">
        <v>89</v>
      </c>
      <c r="F42">
        <v>499067417</v>
      </c>
      <c r="G42">
        <v>81.3</v>
      </c>
      <c r="H42" t="s">
        <v>97</v>
      </c>
      <c r="I42">
        <v>98532482.2670753</v>
      </c>
      <c r="J42">
        <v>82994862.638079897</v>
      </c>
      <c r="M42">
        <v>86660199.673592404</v>
      </c>
      <c r="N42">
        <v>28.463395999999999</v>
      </c>
      <c r="O42">
        <v>28.772099999999998</v>
      </c>
      <c r="P42">
        <v>87159863.752391994</v>
      </c>
      <c r="Q42">
        <v>32.910170000000001</v>
      </c>
      <c r="R42">
        <v>90561594.383093998</v>
      </c>
      <c r="S42">
        <v>105516015.84645601</v>
      </c>
      <c r="T42" t="s">
        <v>96</v>
      </c>
      <c r="U42" t="s">
        <v>305</v>
      </c>
      <c r="V42">
        <v>1</v>
      </c>
      <c r="W42">
        <v>89.16</v>
      </c>
      <c r="X42">
        <v>81.3</v>
      </c>
      <c r="Y42">
        <v>0.9</v>
      </c>
      <c r="Z42" s="3">
        <v>36516762901.889999</v>
      </c>
      <c r="AA42">
        <v>0</v>
      </c>
      <c r="AB42">
        <v>0</v>
      </c>
      <c r="AC42">
        <v>18.306936610000001</v>
      </c>
      <c r="AD42">
        <v>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D42" t="e">
        <f>_xlfn.XLOOKUP(BE42,'Excluded Companies'!$D$2:$D$29,'Excluded Companies'!$C$2:$C$29)</f>
        <v>#N/A</v>
      </c>
      <c r="BE42" t="s">
        <v>60</v>
      </c>
      <c r="BF42" t="b">
        <f t="shared" si="0"/>
        <v>1</v>
      </c>
    </row>
    <row r="43" spans="1:58" x14ac:dyDescent="0.25">
      <c r="A43">
        <v>178</v>
      </c>
      <c r="B43" t="s">
        <v>191</v>
      </c>
      <c r="C43" t="s">
        <v>31</v>
      </c>
      <c r="D43" t="s">
        <v>71</v>
      </c>
      <c r="E43" t="s">
        <v>89</v>
      </c>
      <c r="F43">
        <v>262245733</v>
      </c>
      <c r="G43">
        <v>126.85</v>
      </c>
      <c r="H43" t="s">
        <v>97</v>
      </c>
      <c r="I43">
        <v>65263619.848812602</v>
      </c>
      <c r="J43">
        <v>97086327.625039905</v>
      </c>
      <c r="M43">
        <v>70383967.219751507</v>
      </c>
      <c r="N43">
        <v>29.225881999999999</v>
      </c>
      <c r="O43">
        <v>31.214537</v>
      </c>
      <c r="P43">
        <v>75273279.681071997</v>
      </c>
      <c r="Q43">
        <v>29.133050000000001</v>
      </c>
      <c r="R43">
        <v>80639088.683821201</v>
      </c>
      <c r="S43">
        <v>93970508.512403801</v>
      </c>
      <c r="T43" t="s">
        <v>96</v>
      </c>
      <c r="U43" t="s">
        <v>231</v>
      </c>
      <c r="V43">
        <v>1</v>
      </c>
      <c r="W43">
        <v>125.3</v>
      </c>
      <c r="X43">
        <v>126.85</v>
      </c>
      <c r="Y43">
        <v>1</v>
      </c>
      <c r="Z43" s="3">
        <v>33265871231.049999</v>
      </c>
      <c r="AA43">
        <v>0</v>
      </c>
      <c r="AB43">
        <v>0</v>
      </c>
      <c r="AC43">
        <v>13.664225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D43" t="e">
        <f>_xlfn.XLOOKUP(BE43,'Excluded Companies'!$D$2:$D$29,'Excluded Companies'!$C$2:$C$29)</f>
        <v>#N/A</v>
      </c>
      <c r="BE43" t="s">
        <v>73</v>
      </c>
      <c r="BF43" t="b">
        <f t="shared" si="0"/>
        <v>1</v>
      </c>
    </row>
    <row r="44" spans="1:58" x14ac:dyDescent="0.25">
      <c r="A44">
        <v>135</v>
      </c>
      <c r="B44" t="s">
        <v>196</v>
      </c>
      <c r="C44" t="s">
        <v>24</v>
      </c>
      <c r="D44" t="s">
        <v>64</v>
      </c>
      <c r="E44" t="s">
        <v>93</v>
      </c>
      <c r="F44">
        <v>1549784923</v>
      </c>
      <c r="G44">
        <v>33.01</v>
      </c>
      <c r="H44" t="s">
        <v>97</v>
      </c>
      <c r="I44">
        <v>108863246.977956</v>
      </c>
      <c r="J44">
        <v>75523745.457000002</v>
      </c>
      <c r="M44">
        <v>91219974.853320599</v>
      </c>
      <c r="N44">
        <v>17.125050000000002</v>
      </c>
      <c r="O44">
        <v>17.546258999999999</v>
      </c>
      <c r="P44">
        <v>73615634.569900006</v>
      </c>
      <c r="Q44">
        <v>21.65898</v>
      </c>
      <c r="R44">
        <v>74009122.535757601</v>
      </c>
      <c r="S44">
        <v>86287613.120007694</v>
      </c>
      <c r="T44" t="s">
        <v>96</v>
      </c>
      <c r="U44" t="s">
        <v>236</v>
      </c>
      <c r="V44">
        <v>1</v>
      </c>
      <c r="W44">
        <v>34.49</v>
      </c>
      <c r="X44">
        <v>33.01</v>
      </c>
      <c r="Y44">
        <v>0.65</v>
      </c>
      <c r="Z44" s="3">
        <v>33252960200.349499</v>
      </c>
      <c r="AA44">
        <v>0</v>
      </c>
      <c r="AB44">
        <v>0</v>
      </c>
      <c r="AC44">
        <v>14.212459369999999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D44" t="e">
        <f>_xlfn.XLOOKUP(BE44,'Excluded Companies'!$D$2:$D$29,'Excluded Companies'!$C$2:$C$29)</f>
        <v>#N/A</v>
      </c>
      <c r="BE44" t="s">
        <v>287</v>
      </c>
      <c r="BF44" t="b">
        <f t="shared" si="0"/>
        <v>1</v>
      </c>
    </row>
    <row r="45" spans="1:58" x14ac:dyDescent="0.25">
      <c r="A45">
        <v>110</v>
      </c>
      <c r="B45" t="s">
        <v>262</v>
      </c>
      <c r="C45" t="s">
        <v>279</v>
      </c>
      <c r="D45" t="s">
        <v>296</v>
      </c>
      <c r="E45" t="s">
        <v>93</v>
      </c>
      <c r="F45">
        <v>3146765114</v>
      </c>
      <c r="G45">
        <v>16.096</v>
      </c>
      <c r="H45" t="s">
        <v>97</v>
      </c>
      <c r="I45">
        <v>166761658.73912701</v>
      </c>
      <c r="J45">
        <v>142515621.64340001</v>
      </c>
      <c r="M45">
        <v>155468087.447649</v>
      </c>
      <c r="N45">
        <v>14.851141999999999</v>
      </c>
      <c r="O45">
        <v>14.622597000000001</v>
      </c>
      <c r="P45">
        <v>151581012.86406001</v>
      </c>
      <c r="Q45">
        <v>21.121368</v>
      </c>
      <c r="R45">
        <v>161055156.45449999</v>
      </c>
      <c r="S45">
        <v>187677318.683135</v>
      </c>
      <c r="T45" t="s">
        <v>96</v>
      </c>
      <c r="U45" t="s">
        <v>317</v>
      </c>
      <c r="V45">
        <v>1</v>
      </c>
      <c r="W45">
        <v>15.6</v>
      </c>
      <c r="X45">
        <v>16.096</v>
      </c>
      <c r="Y45">
        <v>0.65</v>
      </c>
      <c r="Z45" s="3">
        <v>32922715328.7136</v>
      </c>
      <c r="AA45">
        <v>0</v>
      </c>
      <c r="AB45">
        <v>0</v>
      </c>
      <c r="AC45">
        <v>24.906737499999998</v>
      </c>
      <c r="AD45">
        <v>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D45" t="str">
        <f>_xlfn.XLOOKUP(BE45,'Excluded Companies'!$D$2:$D$29,'Excluded Companies'!$C$2:$C$29)</f>
        <v>ENGIE</v>
      </c>
      <c r="BE45" t="s">
        <v>384</v>
      </c>
      <c r="BF45" t="b">
        <f t="shared" si="0"/>
        <v>0</v>
      </c>
    </row>
    <row r="46" spans="1:58" x14ac:dyDescent="0.25">
      <c r="A46">
        <v>72</v>
      </c>
      <c r="B46" t="s">
        <v>169</v>
      </c>
      <c r="C46" t="s">
        <v>17</v>
      </c>
      <c r="D46" t="s">
        <v>57</v>
      </c>
      <c r="E46" t="s">
        <v>90</v>
      </c>
      <c r="F46">
        <v>7085565400</v>
      </c>
      <c r="G46">
        <v>9.2539999999999996</v>
      </c>
      <c r="H46" t="s">
        <v>97</v>
      </c>
      <c r="I46">
        <v>62448678.087694898</v>
      </c>
      <c r="J46">
        <v>135073762.49853301</v>
      </c>
      <c r="M46">
        <v>58951377.241015203</v>
      </c>
      <c r="N46">
        <v>22.261782</v>
      </c>
      <c r="O46">
        <v>21.866230000000002</v>
      </c>
      <c r="P46">
        <v>59991050.236759998</v>
      </c>
      <c r="Q46">
        <v>29.400314000000002</v>
      </c>
      <c r="R46">
        <v>67273797.403015196</v>
      </c>
      <c r="S46">
        <v>78123008.163468003</v>
      </c>
      <c r="T46" t="s">
        <v>96</v>
      </c>
      <c r="U46" t="s">
        <v>209</v>
      </c>
      <c r="V46">
        <v>1</v>
      </c>
      <c r="W46">
        <v>10.16</v>
      </c>
      <c r="X46">
        <v>9.2539999999999996</v>
      </c>
      <c r="Y46">
        <v>0.5</v>
      </c>
      <c r="Z46" s="3">
        <v>32784911105.799999</v>
      </c>
      <c r="AA46">
        <v>0</v>
      </c>
      <c r="AB46">
        <v>0</v>
      </c>
      <c r="AC46">
        <v>9.5090000000000003</v>
      </c>
      <c r="AD46">
        <v>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D46" t="e">
        <f>_xlfn.XLOOKUP(BE46,'Excluded Companies'!$D$2:$D$29,'Excluded Companies'!$C$2:$C$29)</f>
        <v>#N/A</v>
      </c>
      <c r="BE46" t="s">
        <v>289</v>
      </c>
      <c r="BF46" t="b">
        <f t="shared" si="0"/>
        <v>1</v>
      </c>
    </row>
    <row r="47" spans="1:58" x14ac:dyDescent="0.25">
      <c r="A47">
        <v>18</v>
      </c>
      <c r="B47" t="s">
        <v>248</v>
      </c>
      <c r="C47" t="s">
        <v>266</v>
      </c>
      <c r="D47" t="s">
        <v>283</v>
      </c>
      <c r="E47" t="s">
        <v>91</v>
      </c>
      <c r="F47">
        <v>896939468</v>
      </c>
      <c r="G47">
        <v>35.32</v>
      </c>
      <c r="H47" t="s">
        <v>97</v>
      </c>
      <c r="I47">
        <v>72184738.335451007</v>
      </c>
      <c r="J47">
        <v>58839060.653666697</v>
      </c>
      <c r="M47">
        <v>61311080.764507599</v>
      </c>
      <c r="N47">
        <v>13.654821</v>
      </c>
      <c r="O47">
        <v>13.567313</v>
      </c>
      <c r="P47">
        <v>59486377.781999998</v>
      </c>
      <c r="Q47">
        <v>16.369812</v>
      </c>
      <c r="R47">
        <v>58854184.471287899</v>
      </c>
      <c r="S47">
        <v>68591726.965471104</v>
      </c>
      <c r="T47" t="s">
        <v>96</v>
      </c>
      <c r="U47" t="s">
        <v>303</v>
      </c>
      <c r="V47">
        <v>1</v>
      </c>
      <c r="W47">
        <v>34.67</v>
      </c>
      <c r="X47">
        <v>35.32</v>
      </c>
      <c r="Y47">
        <v>1</v>
      </c>
      <c r="Z47" s="3">
        <v>31679902009.759998</v>
      </c>
      <c r="AA47">
        <v>0</v>
      </c>
      <c r="AB47">
        <v>0</v>
      </c>
      <c r="AC47">
        <v>17.824124999999999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D47" t="e">
        <f>_xlfn.XLOOKUP(BE47,'Excluded Companies'!$D$2:$D$29,'Excluded Companies'!$C$2:$C$29)</f>
        <v>#N/A</v>
      </c>
      <c r="BE47" t="s">
        <v>297</v>
      </c>
      <c r="BF47" t="b">
        <f t="shared" si="0"/>
        <v>1</v>
      </c>
    </row>
    <row r="48" spans="1:58" x14ac:dyDescent="0.25">
      <c r="A48">
        <v>278</v>
      </c>
      <c r="B48" t="s">
        <v>193</v>
      </c>
      <c r="C48" t="s">
        <v>44</v>
      </c>
      <c r="D48" t="s">
        <v>84</v>
      </c>
      <c r="E48" t="s">
        <v>94</v>
      </c>
      <c r="F48">
        <v>194505658</v>
      </c>
      <c r="G48">
        <v>233</v>
      </c>
      <c r="H48" t="s">
        <v>97</v>
      </c>
      <c r="I48">
        <v>46280059.667941198</v>
      </c>
      <c r="J48">
        <v>71796824.333333299</v>
      </c>
      <c r="M48">
        <v>47399485.4778409</v>
      </c>
      <c r="N48">
        <v>35.705143</v>
      </c>
      <c r="O48">
        <v>37.489359999999998</v>
      </c>
      <c r="P48">
        <v>50837791.406499997</v>
      </c>
      <c r="Q48">
        <v>40.620586000000003</v>
      </c>
      <c r="R48">
        <v>58454084.428030297</v>
      </c>
      <c r="S48">
        <v>68076770.024208993</v>
      </c>
      <c r="T48" t="s">
        <v>96</v>
      </c>
      <c r="U48" t="s">
        <v>233</v>
      </c>
      <c r="V48">
        <v>1</v>
      </c>
      <c r="W48">
        <v>237.5</v>
      </c>
      <c r="X48">
        <v>233</v>
      </c>
      <c r="Y48">
        <v>0.65</v>
      </c>
      <c r="Z48" s="3">
        <v>29457881904.099998</v>
      </c>
      <c r="AA48">
        <v>0</v>
      </c>
      <c r="AB48">
        <v>0</v>
      </c>
      <c r="AC48">
        <v>13.747198750000001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D48" t="e">
        <f>_xlfn.XLOOKUP(BE48,'Excluded Companies'!$D$2:$D$29,'Excluded Companies'!$C$2:$C$29)</f>
        <v>#N/A</v>
      </c>
      <c r="BE48" t="s">
        <v>83</v>
      </c>
      <c r="BF48" t="b">
        <f t="shared" si="0"/>
        <v>1</v>
      </c>
    </row>
    <row r="49" spans="1:58" x14ac:dyDescent="0.25">
      <c r="A49">
        <v>111</v>
      </c>
      <c r="B49" t="s">
        <v>195</v>
      </c>
      <c r="C49" t="s">
        <v>22</v>
      </c>
      <c r="D49" t="s">
        <v>62</v>
      </c>
      <c r="E49" t="s">
        <v>92</v>
      </c>
      <c r="F49">
        <v>410514370</v>
      </c>
      <c r="G49">
        <v>89.1</v>
      </c>
      <c r="H49" t="s">
        <v>97</v>
      </c>
      <c r="I49">
        <v>31702419.823537499</v>
      </c>
      <c r="J49">
        <v>25312122.309999999</v>
      </c>
      <c r="M49">
        <v>28344772.147348501</v>
      </c>
      <c r="N49">
        <v>24.85248</v>
      </c>
      <c r="O49">
        <v>25.278890000000001</v>
      </c>
      <c r="P49">
        <v>26797077.719000001</v>
      </c>
      <c r="Q49">
        <v>31.482230000000001</v>
      </c>
      <c r="R49">
        <v>27409353.796969701</v>
      </c>
      <c r="S49">
        <v>31962163.378448799</v>
      </c>
      <c r="T49" t="s">
        <v>96</v>
      </c>
      <c r="U49" t="s">
        <v>235</v>
      </c>
      <c r="V49">
        <v>1</v>
      </c>
      <c r="W49">
        <v>98.6</v>
      </c>
      <c r="X49">
        <v>89.1</v>
      </c>
      <c r="Y49">
        <v>0.8</v>
      </c>
      <c r="Z49" s="3">
        <v>29261464293.599998</v>
      </c>
      <c r="AA49">
        <v>0</v>
      </c>
      <c r="AB49">
        <v>0</v>
      </c>
      <c r="AC49">
        <v>14.175106250000001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D49" t="e">
        <f>_xlfn.XLOOKUP(BE49,'Excluded Companies'!$D$2:$D$29,'Excluded Companies'!$C$2:$C$29)</f>
        <v>#N/A</v>
      </c>
      <c r="BE49" t="s">
        <v>284</v>
      </c>
      <c r="BF49" t="b">
        <f t="shared" si="0"/>
        <v>1</v>
      </c>
    </row>
    <row r="50" spans="1:58" x14ac:dyDescent="0.25">
      <c r="A50">
        <v>203</v>
      </c>
      <c r="B50" t="s">
        <v>171</v>
      </c>
      <c r="C50" t="s">
        <v>35</v>
      </c>
      <c r="D50" t="s">
        <v>75</v>
      </c>
      <c r="E50" t="s">
        <v>95</v>
      </c>
      <c r="F50">
        <v>5742239700</v>
      </c>
      <c r="G50">
        <v>5.13</v>
      </c>
      <c r="H50" t="s">
        <v>97</v>
      </c>
      <c r="I50">
        <v>57797345.7651807</v>
      </c>
      <c r="J50">
        <v>77090096.5693333</v>
      </c>
      <c r="M50">
        <v>60440865.205615401</v>
      </c>
      <c r="N50">
        <v>44.634284999999998</v>
      </c>
      <c r="O50">
        <v>48.75582</v>
      </c>
      <c r="P50">
        <v>67323848.028799996</v>
      </c>
      <c r="Q50">
        <v>42.792059999999999</v>
      </c>
      <c r="R50">
        <v>83697742.174999997</v>
      </c>
      <c r="S50">
        <v>97482564.918623894</v>
      </c>
      <c r="T50" t="s">
        <v>96</v>
      </c>
      <c r="U50" t="s">
        <v>211</v>
      </c>
      <c r="V50">
        <v>1</v>
      </c>
      <c r="W50">
        <v>5.2779999999999996</v>
      </c>
      <c r="X50">
        <v>5.13</v>
      </c>
      <c r="Y50">
        <v>0.95</v>
      </c>
      <c r="Z50" s="3">
        <v>27984805177.950001</v>
      </c>
      <c r="AA50">
        <v>0</v>
      </c>
      <c r="AB50">
        <v>0</v>
      </c>
      <c r="AC50">
        <v>9.6503237500000001</v>
      </c>
      <c r="AD50">
        <v>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D50" t="str">
        <f>_xlfn.XLOOKUP(BE50,'Excluded Companies'!$D$2:$D$29,'Excluded Companies'!$C$2:$C$29)</f>
        <v>E.ON SE</v>
      </c>
      <c r="BE50" t="s">
        <v>380</v>
      </c>
      <c r="BF50" t="b">
        <f t="shared" si="0"/>
        <v>0</v>
      </c>
    </row>
    <row r="51" spans="1:58" x14ac:dyDescent="0.25">
      <c r="A51">
        <v>234</v>
      </c>
      <c r="B51" t="s">
        <v>251</v>
      </c>
      <c r="C51" t="s">
        <v>268</v>
      </c>
      <c r="D51" t="s">
        <v>285</v>
      </c>
      <c r="E51" t="s">
        <v>298</v>
      </c>
      <c r="F51">
        <v>1052132848</v>
      </c>
      <c r="G51">
        <v>26.54</v>
      </c>
      <c r="H51" t="s">
        <v>97</v>
      </c>
      <c r="I51">
        <v>51215041.609991297</v>
      </c>
      <c r="J51">
        <v>40648881.130053297</v>
      </c>
      <c r="M51">
        <v>57538913.375477999</v>
      </c>
      <c r="N51">
        <v>26.424123999999999</v>
      </c>
      <c r="O51">
        <v>26.347276999999998</v>
      </c>
      <c r="P51">
        <v>42718725.341025002</v>
      </c>
      <c r="Q51">
        <v>28.947744</v>
      </c>
      <c r="R51">
        <v>45869902.577095501</v>
      </c>
      <c r="S51">
        <v>53505816.884655297</v>
      </c>
      <c r="T51" t="s">
        <v>96</v>
      </c>
      <c r="U51" t="s">
        <v>306</v>
      </c>
      <c r="V51">
        <v>1</v>
      </c>
      <c r="W51">
        <v>29.52</v>
      </c>
      <c r="X51">
        <v>26.54</v>
      </c>
      <c r="Y51">
        <v>1</v>
      </c>
      <c r="Z51" s="3">
        <v>27923605785.919998</v>
      </c>
      <c r="AA51">
        <v>0</v>
      </c>
      <c r="AB51">
        <v>0</v>
      </c>
      <c r="AC51">
        <v>19.444175000000001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D51" t="e">
        <f>_xlfn.XLOOKUP(BE51,'Excluded Companies'!$D$2:$D$29,'Excluded Companies'!$C$2:$C$29)</f>
        <v>#N/A</v>
      </c>
      <c r="BE51" t="s">
        <v>71</v>
      </c>
      <c r="BF51" t="b">
        <f t="shared" si="0"/>
        <v>1</v>
      </c>
    </row>
    <row r="52" spans="1:58" x14ac:dyDescent="0.25">
      <c r="A52">
        <v>27</v>
      </c>
      <c r="B52" t="s">
        <v>198</v>
      </c>
      <c r="C52" t="s">
        <v>11</v>
      </c>
      <c r="D52" t="s">
        <v>51</v>
      </c>
      <c r="E52" t="s">
        <v>90</v>
      </c>
      <c r="F52">
        <v>450499200</v>
      </c>
      <c r="G52">
        <v>61.84</v>
      </c>
      <c r="H52" t="s">
        <v>97</v>
      </c>
      <c r="I52">
        <v>47681926.781686299</v>
      </c>
      <c r="J52">
        <v>42585387.600000001</v>
      </c>
      <c r="M52">
        <v>41836326.664696999</v>
      </c>
      <c r="N52">
        <v>20.287405</v>
      </c>
      <c r="O52">
        <v>18.934443000000002</v>
      </c>
      <c r="P52">
        <v>39456026.0022</v>
      </c>
      <c r="Q52">
        <v>25.379947999999999</v>
      </c>
      <c r="R52">
        <v>40071937.1187879</v>
      </c>
      <c r="S52">
        <v>46709167.596201099</v>
      </c>
      <c r="T52" t="s">
        <v>96</v>
      </c>
      <c r="U52" t="s">
        <v>238</v>
      </c>
      <c r="V52">
        <v>1</v>
      </c>
      <c r="W52">
        <v>62.2</v>
      </c>
      <c r="X52">
        <v>61.84</v>
      </c>
      <c r="Y52">
        <v>1</v>
      </c>
      <c r="Z52" s="3">
        <v>27858870528</v>
      </c>
      <c r="AA52">
        <v>0</v>
      </c>
      <c r="AB52">
        <v>0</v>
      </c>
      <c r="AC52">
        <v>14.366175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D52" t="e">
        <f>_xlfn.XLOOKUP(BE52,'Excluded Companies'!$D$2:$D$29,'Excluded Companies'!$C$2:$C$29)</f>
        <v>#N/A</v>
      </c>
      <c r="BE52" t="s">
        <v>64</v>
      </c>
      <c r="BF52" t="b">
        <f t="shared" si="0"/>
        <v>1</v>
      </c>
    </row>
    <row r="53" spans="1:58" x14ac:dyDescent="0.25">
      <c r="A53">
        <v>11</v>
      </c>
      <c r="B53" t="s">
        <v>179</v>
      </c>
      <c r="C53" t="s">
        <v>8</v>
      </c>
      <c r="D53" t="s">
        <v>48</v>
      </c>
      <c r="E53" t="s">
        <v>88</v>
      </c>
      <c r="F53">
        <v>180000000</v>
      </c>
      <c r="G53">
        <v>151.6</v>
      </c>
      <c r="H53" t="s">
        <v>97</v>
      </c>
      <c r="I53">
        <v>107899259.43547399</v>
      </c>
      <c r="J53">
        <v>89920548.676666707</v>
      </c>
      <c r="M53">
        <v>100136664.235227</v>
      </c>
      <c r="N53">
        <v>33.168934</v>
      </c>
      <c r="O53">
        <v>34.763446999999999</v>
      </c>
      <c r="P53">
        <v>102936456.99225</v>
      </c>
      <c r="Q53">
        <v>35.543674000000003</v>
      </c>
      <c r="R53">
        <v>99318391.576894</v>
      </c>
      <c r="S53">
        <v>115732872.619123</v>
      </c>
      <c r="T53" t="s">
        <v>96</v>
      </c>
      <c r="U53" t="s">
        <v>219</v>
      </c>
      <c r="V53">
        <v>1</v>
      </c>
      <c r="W53">
        <v>168.55</v>
      </c>
      <c r="X53">
        <v>151.6</v>
      </c>
      <c r="Y53">
        <v>0.95</v>
      </c>
      <c r="Z53" s="3">
        <v>25923600000</v>
      </c>
      <c r="AA53">
        <v>0</v>
      </c>
      <c r="AB53">
        <v>0</v>
      </c>
      <c r="AC53">
        <v>11.92034643</v>
      </c>
      <c r="AD53">
        <v>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D53" t="e">
        <f>_xlfn.XLOOKUP(BE53,'Excluded Companies'!$D$2:$D$29,'Excluded Companies'!$C$2:$C$29)</f>
        <v>#N/A</v>
      </c>
      <c r="BE53" t="s">
        <v>296</v>
      </c>
      <c r="BF53" t="b">
        <f t="shared" si="0"/>
        <v>1</v>
      </c>
    </row>
    <row r="54" spans="1:58" x14ac:dyDescent="0.25">
      <c r="A54">
        <v>120</v>
      </c>
      <c r="B54" t="s">
        <v>249</v>
      </c>
      <c r="C54" t="s">
        <v>101</v>
      </c>
      <c r="D54" t="s">
        <v>107</v>
      </c>
      <c r="E54" t="s">
        <v>90</v>
      </c>
      <c r="F54">
        <v>733755400</v>
      </c>
      <c r="G54">
        <v>54.12</v>
      </c>
      <c r="H54" t="s">
        <v>97</v>
      </c>
      <c r="I54">
        <v>51002020.729353704</v>
      </c>
      <c r="J54">
        <v>58492804.093999997</v>
      </c>
      <c r="M54">
        <v>54577960.631919697</v>
      </c>
      <c r="N54">
        <v>15.262444</v>
      </c>
      <c r="O54">
        <v>16.152155</v>
      </c>
      <c r="P54">
        <v>54200476.420649998</v>
      </c>
      <c r="Q54">
        <v>20.350206</v>
      </c>
      <c r="R54">
        <v>66943113.751287803</v>
      </c>
      <c r="S54">
        <v>78004976.785517395</v>
      </c>
      <c r="T54" t="s">
        <v>96</v>
      </c>
      <c r="U54" t="s">
        <v>304</v>
      </c>
      <c r="V54">
        <v>1</v>
      </c>
      <c r="W54">
        <v>57.08</v>
      </c>
      <c r="X54">
        <v>54.12</v>
      </c>
      <c r="Y54">
        <v>0.65</v>
      </c>
      <c r="Z54" s="3">
        <v>25812047461.200001</v>
      </c>
      <c r="AA54">
        <v>0</v>
      </c>
      <c r="AB54">
        <v>0</v>
      </c>
      <c r="AC54">
        <v>17.844826550000001</v>
      </c>
      <c r="AD54">
        <v>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D54" t="e">
        <f>_xlfn.XLOOKUP(BE54,'Excluded Companies'!$D$2:$D$29,'Excluded Companies'!$C$2:$C$29)</f>
        <v>#N/A</v>
      </c>
      <c r="BE54" t="s">
        <v>57</v>
      </c>
      <c r="BF54" t="b">
        <f t="shared" si="0"/>
        <v>1</v>
      </c>
    </row>
    <row r="55" spans="1:58" x14ac:dyDescent="0.25">
      <c r="A55">
        <v>142</v>
      </c>
      <c r="B55" t="s">
        <v>258</v>
      </c>
      <c r="C55" t="s">
        <v>275</v>
      </c>
      <c r="D55" t="s">
        <v>292</v>
      </c>
      <c r="E55" t="s">
        <v>88</v>
      </c>
      <c r="F55">
        <v>178430760</v>
      </c>
      <c r="G55">
        <v>206.3</v>
      </c>
      <c r="H55" t="s">
        <v>97</v>
      </c>
      <c r="I55">
        <v>69702260.553656206</v>
      </c>
      <c r="J55">
        <v>72000492.670000002</v>
      </c>
      <c r="M55">
        <v>66718540.974431798</v>
      </c>
      <c r="N55">
        <v>30.315538</v>
      </c>
      <c r="O55">
        <v>29.516715999999999</v>
      </c>
      <c r="P55">
        <v>62431880.27375</v>
      </c>
      <c r="Q55">
        <v>34.222735999999998</v>
      </c>
      <c r="R55">
        <v>61645977.8102272</v>
      </c>
      <c r="S55">
        <v>71836006.321187899</v>
      </c>
      <c r="T55" t="s">
        <v>96</v>
      </c>
      <c r="U55" t="s">
        <v>313</v>
      </c>
      <c r="V55">
        <v>1</v>
      </c>
      <c r="W55">
        <v>223.8</v>
      </c>
      <c r="X55">
        <v>206.3</v>
      </c>
      <c r="Y55">
        <v>0.7</v>
      </c>
      <c r="Z55" s="3">
        <v>25767186051.599998</v>
      </c>
      <c r="AA55">
        <v>0</v>
      </c>
      <c r="AB55">
        <v>0</v>
      </c>
      <c r="AC55">
        <v>23.745904110000001</v>
      </c>
      <c r="AD55">
        <v>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D55" t="e">
        <f>_xlfn.XLOOKUP(BE55,'Excluded Companies'!$D$2:$D$29,'Excluded Companies'!$C$2:$C$29)</f>
        <v>#N/A</v>
      </c>
      <c r="BE55" t="s">
        <v>283</v>
      </c>
      <c r="BF55" t="b">
        <f t="shared" si="0"/>
        <v>1</v>
      </c>
    </row>
    <row r="56" spans="1:58" x14ac:dyDescent="0.25">
      <c r="A56">
        <v>238</v>
      </c>
      <c r="B56" t="s">
        <v>192</v>
      </c>
      <c r="C56" t="s">
        <v>39</v>
      </c>
      <c r="D56" t="s">
        <v>79</v>
      </c>
      <c r="E56" t="s">
        <v>95</v>
      </c>
      <c r="F56">
        <v>2669754000</v>
      </c>
      <c r="G56">
        <v>9.9540000000000006</v>
      </c>
      <c r="H56" t="s">
        <v>97</v>
      </c>
      <c r="I56">
        <v>29063627.203413598</v>
      </c>
      <c r="J56">
        <v>30247059.484666701</v>
      </c>
      <c r="M56">
        <v>27726956.0843077</v>
      </c>
      <c r="N56">
        <v>13.247197999999999</v>
      </c>
      <c r="O56">
        <v>13.865957999999999</v>
      </c>
      <c r="P56">
        <v>27315858.8838</v>
      </c>
      <c r="Q56">
        <v>17.619641999999999</v>
      </c>
      <c r="R56">
        <v>27913699.4480303</v>
      </c>
      <c r="S56">
        <v>32527837.379808702</v>
      </c>
      <c r="T56" t="s">
        <v>96</v>
      </c>
      <c r="U56" t="s">
        <v>232</v>
      </c>
      <c r="V56">
        <v>1</v>
      </c>
      <c r="W56">
        <v>10.039999999999999</v>
      </c>
      <c r="X56">
        <v>9.9540000000000006</v>
      </c>
      <c r="Y56">
        <v>0.95</v>
      </c>
      <c r="Z56" s="3">
        <v>25245994750.200001</v>
      </c>
      <c r="AA56">
        <v>0</v>
      </c>
      <c r="AB56">
        <v>0</v>
      </c>
      <c r="AC56">
        <v>13.718951880000001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D56" t="str">
        <f>_xlfn.XLOOKUP(BE56,'Excluded Companies'!$D$2:$D$29,'Excluded Companies'!$C$2:$C$29)</f>
        <v>RWE AG</v>
      </c>
      <c r="BE56" t="s">
        <v>394</v>
      </c>
      <c r="BF56" t="b">
        <f t="shared" si="0"/>
        <v>0</v>
      </c>
    </row>
    <row r="57" spans="1:58" x14ac:dyDescent="0.25">
      <c r="A57">
        <v>279</v>
      </c>
      <c r="B57" t="s">
        <v>172</v>
      </c>
      <c r="C57" t="s">
        <v>45</v>
      </c>
      <c r="D57" t="s">
        <v>85</v>
      </c>
      <c r="E57" t="s">
        <v>91</v>
      </c>
      <c r="F57">
        <v>1834181554</v>
      </c>
      <c r="G57">
        <v>22.61</v>
      </c>
      <c r="H57" t="s">
        <v>97</v>
      </c>
      <c r="I57">
        <v>46598460.615490198</v>
      </c>
      <c r="J57">
        <v>39786466.410666697</v>
      </c>
      <c r="M57">
        <v>47611055.378674202</v>
      </c>
      <c r="N57">
        <v>25.067509000000001</v>
      </c>
      <c r="O57">
        <v>25.950218</v>
      </c>
      <c r="P57">
        <v>39603259.70025</v>
      </c>
      <c r="Q57">
        <v>26.648779999999999</v>
      </c>
      <c r="R57">
        <v>39325563.061590903</v>
      </c>
      <c r="S57">
        <v>45813287.164494</v>
      </c>
      <c r="T57" t="s">
        <v>96</v>
      </c>
      <c r="U57" t="s">
        <v>212</v>
      </c>
      <c r="V57">
        <v>1</v>
      </c>
      <c r="W57">
        <v>21.72</v>
      </c>
      <c r="X57">
        <v>22.61</v>
      </c>
      <c r="Y57">
        <v>0.60000000000000009</v>
      </c>
      <c r="Z57" s="3">
        <v>24882506961.563999</v>
      </c>
      <c r="AA57">
        <v>0</v>
      </c>
      <c r="AB57">
        <v>0</v>
      </c>
      <c r="AC57">
        <v>9.7401696399999995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D57" t="e">
        <f>_xlfn.XLOOKUP(BE57,'Excluded Companies'!$D$2:$D$29,'Excluded Companies'!$C$2:$C$29)</f>
        <v>#N/A</v>
      </c>
      <c r="BE57" t="s">
        <v>84</v>
      </c>
      <c r="BF57" t="b">
        <f t="shared" si="0"/>
        <v>1</v>
      </c>
    </row>
    <row r="58" spans="1:58" x14ac:dyDescent="0.25">
      <c r="A58">
        <v>165</v>
      </c>
      <c r="B58" t="s">
        <v>174</v>
      </c>
      <c r="C58" t="s">
        <v>30</v>
      </c>
      <c r="D58" t="s">
        <v>70</v>
      </c>
      <c r="E58" t="s">
        <v>94</v>
      </c>
      <c r="F58">
        <v>417544151</v>
      </c>
      <c r="G58">
        <v>105.35</v>
      </c>
      <c r="H58" t="s">
        <v>97</v>
      </c>
      <c r="I58">
        <v>39495466.120313801</v>
      </c>
      <c r="J58">
        <v>40066030.393333301</v>
      </c>
      <c r="M58">
        <v>36083655.993257597</v>
      </c>
      <c r="N58">
        <v>19.155403</v>
      </c>
      <c r="O58">
        <v>19.713436000000002</v>
      </c>
      <c r="P58">
        <v>36288231.053900003</v>
      </c>
      <c r="Q58">
        <v>24.682182000000001</v>
      </c>
      <c r="R58">
        <v>37189984.759242401</v>
      </c>
      <c r="S58">
        <v>43359474.1252959</v>
      </c>
      <c r="T58" t="s">
        <v>96</v>
      </c>
      <c r="U58" t="s">
        <v>214</v>
      </c>
      <c r="V58">
        <v>1</v>
      </c>
      <c r="W58">
        <v>110.5</v>
      </c>
      <c r="X58">
        <v>105.35</v>
      </c>
      <c r="Y58">
        <v>0.55000000000000004</v>
      </c>
      <c r="Z58" s="3">
        <v>24193551969.317501</v>
      </c>
      <c r="AA58">
        <v>0</v>
      </c>
      <c r="AB58">
        <v>0</v>
      </c>
      <c r="AC58">
        <v>10.209262499999999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D58" t="e">
        <f>_xlfn.XLOOKUP(BE58,'Excluded Companies'!$D$2:$D$29,'Excluded Companies'!$C$2:$C$29)</f>
        <v>#N/A</v>
      </c>
      <c r="BE58" t="s">
        <v>62</v>
      </c>
      <c r="BF58" t="b">
        <f t="shared" si="0"/>
        <v>1</v>
      </c>
    </row>
    <row r="59" spans="1:58" x14ac:dyDescent="0.25">
      <c r="A59">
        <v>208</v>
      </c>
      <c r="B59" t="s">
        <v>247</v>
      </c>
      <c r="C59" t="s">
        <v>265</v>
      </c>
      <c r="D59" t="s">
        <v>282</v>
      </c>
      <c r="E59" t="s">
        <v>89</v>
      </c>
      <c r="F59">
        <v>2660056599</v>
      </c>
      <c r="G59">
        <v>13.945</v>
      </c>
      <c r="H59" t="s">
        <v>97</v>
      </c>
      <c r="I59">
        <v>75056638.7531216</v>
      </c>
      <c r="J59">
        <v>48459845.354386702</v>
      </c>
      <c r="M59">
        <v>61756594.0257046</v>
      </c>
      <c r="N59">
        <v>17.694931</v>
      </c>
      <c r="O59">
        <v>17.979196999999999</v>
      </c>
      <c r="P59">
        <v>59153987.216454998</v>
      </c>
      <c r="Q59">
        <v>18.257435000000001</v>
      </c>
      <c r="R59">
        <v>56226846.004855998</v>
      </c>
      <c r="S59">
        <v>65550218.294033103</v>
      </c>
      <c r="T59" t="s">
        <v>96</v>
      </c>
      <c r="U59" t="s">
        <v>302</v>
      </c>
      <c r="V59">
        <v>1</v>
      </c>
      <c r="W59">
        <v>13.695</v>
      </c>
      <c r="X59">
        <v>13.945</v>
      </c>
      <c r="Y59">
        <v>0.65</v>
      </c>
      <c r="Z59" s="3">
        <v>24111418027.485748</v>
      </c>
      <c r="AA59">
        <v>0</v>
      </c>
      <c r="AB59">
        <v>0</v>
      </c>
      <c r="AC59">
        <v>17.560700000000001</v>
      </c>
      <c r="AD59">
        <v>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D59" t="e">
        <f>_xlfn.XLOOKUP(BE59,'Excluded Companies'!$D$2:$D$29,'Excluded Companies'!$C$2:$C$29)</f>
        <v>#N/A</v>
      </c>
      <c r="BE59" t="s">
        <v>75</v>
      </c>
      <c r="BF59" t="b">
        <f t="shared" si="0"/>
        <v>1</v>
      </c>
    </row>
    <row r="60" spans="1:58" x14ac:dyDescent="0.25">
      <c r="A60">
        <v>217</v>
      </c>
      <c r="B60" t="s">
        <v>245</v>
      </c>
      <c r="C60" t="s">
        <v>264</v>
      </c>
      <c r="D60" t="s">
        <v>281</v>
      </c>
      <c r="E60" t="s">
        <v>93</v>
      </c>
      <c r="F60">
        <v>296401348</v>
      </c>
      <c r="G60">
        <v>80.8</v>
      </c>
      <c r="H60" t="s">
        <v>97</v>
      </c>
      <c r="I60">
        <v>78425732.163829401</v>
      </c>
      <c r="J60">
        <v>95228454.573333398</v>
      </c>
      <c r="M60">
        <v>76796458.360076398</v>
      </c>
      <c r="N60">
        <v>31.866934000000001</v>
      </c>
      <c r="O60">
        <v>32.119689999999999</v>
      </c>
      <c r="P60">
        <v>82630527.644299999</v>
      </c>
      <c r="Q60">
        <v>39.058166999999997</v>
      </c>
      <c r="R60">
        <v>88246995.895454496</v>
      </c>
      <c r="S60">
        <v>102784721.398377</v>
      </c>
      <c r="T60" t="s">
        <v>96</v>
      </c>
      <c r="U60" t="s">
        <v>300</v>
      </c>
      <c r="V60">
        <v>1</v>
      </c>
      <c r="W60">
        <v>83.76</v>
      </c>
      <c r="X60">
        <v>80.8</v>
      </c>
      <c r="Y60">
        <v>1</v>
      </c>
      <c r="Z60" s="3">
        <v>23949228918.400002</v>
      </c>
      <c r="AA60">
        <v>0</v>
      </c>
      <c r="AB60">
        <v>0</v>
      </c>
      <c r="AC60">
        <v>17.244359549999999</v>
      </c>
      <c r="AD60">
        <v>2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D60" t="e">
        <f>_xlfn.XLOOKUP(BE60,'Excluded Companies'!$D$2:$D$29,'Excluded Companies'!$C$2:$C$29)</f>
        <v>#N/A</v>
      </c>
      <c r="BE60" t="s">
        <v>285</v>
      </c>
      <c r="BF60" t="b">
        <f t="shared" si="0"/>
        <v>1</v>
      </c>
    </row>
    <row r="61" spans="1:58" x14ac:dyDescent="0.25">
      <c r="A61">
        <v>63</v>
      </c>
      <c r="B61" t="s">
        <v>252</v>
      </c>
      <c r="C61" t="s">
        <v>269</v>
      </c>
      <c r="D61" t="s">
        <v>286</v>
      </c>
      <c r="E61" t="s">
        <v>88</v>
      </c>
      <c r="F61">
        <v>561134950</v>
      </c>
      <c r="G61">
        <v>85.08</v>
      </c>
      <c r="H61" t="s">
        <v>97</v>
      </c>
      <c r="I61">
        <v>96091436.636086807</v>
      </c>
      <c r="J61">
        <v>70224766.568000004</v>
      </c>
      <c r="M61">
        <v>83732697.914090902</v>
      </c>
      <c r="N61">
        <v>28.764462999999999</v>
      </c>
      <c r="O61">
        <v>28.80359</v>
      </c>
      <c r="P61">
        <v>86135291.106600001</v>
      </c>
      <c r="Q61">
        <v>31.023952000000001</v>
      </c>
      <c r="R61">
        <v>83149015.699697003</v>
      </c>
      <c r="S61">
        <v>96887741.330895305</v>
      </c>
      <c r="T61" t="s">
        <v>96</v>
      </c>
      <c r="U61" t="s">
        <v>307</v>
      </c>
      <c r="V61">
        <v>1</v>
      </c>
      <c r="W61">
        <v>94.26</v>
      </c>
      <c r="X61">
        <v>85.08</v>
      </c>
      <c r="Y61">
        <v>0.5</v>
      </c>
      <c r="Z61" s="3">
        <v>23870680773</v>
      </c>
      <c r="AA61">
        <v>0</v>
      </c>
      <c r="AB61">
        <v>0</v>
      </c>
      <c r="AC61">
        <v>19.494399999999999</v>
      </c>
      <c r="AD61">
        <v>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D61" t="e">
        <f>_xlfn.XLOOKUP(BE61,'Excluded Companies'!$D$2:$D$29,'Excluded Companies'!$C$2:$C$29)</f>
        <v>#N/A</v>
      </c>
      <c r="BE61" t="s">
        <v>51</v>
      </c>
      <c r="BF61" t="b">
        <f t="shared" si="0"/>
        <v>1</v>
      </c>
    </row>
    <row r="62" spans="1:58" x14ac:dyDescent="0.25">
      <c r="A62">
        <v>35</v>
      </c>
      <c r="B62" t="s">
        <v>459</v>
      </c>
      <c r="C62" t="s">
        <v>671</v>
      </c>
      <c r="D62" t="s">
        <v>880</v>
      </c>
      <c r="E62" t="s">
        <v>91</v>
      </c>
      <c r="F62">
        <v>49328548</v>
      </c>
      <c r="G62">
        <v>475.3</v>
      </c>
      <c r="H62" t="s">
        <v>97</v>
      </c>
      <c r="I62">
        <v>79359002.633333296</v>
      </c>
      <c r="J62">
        <v>71844740.079999998</v>
      </c>
      <c r="M62">
        <v>75521118.170454606</v>
      </c>
      <c r="N62">
        <v>38.023650000000004</v>
      </c>
      <c r="O62">
        <v>40.219543000000002</v>
      </c>
      <c r="P62">
        <v>77123750.350999996</v>
      </c>
      <c r="Q62">
        <v>39.99456</v>
      </c>
      <c r="R62">
        <v>80390254.263636395</v>
      </c>
      <c r="S62">
        <v>93759694.750503898</v>
      </c>
      <c r="T62" t="s">
        <v>96</v>
      </c>
      <c r="U62" t="s">
        <v>1089</v>
      </c>
      <c r="V62">
        <v>1</v>
      </c>
      <c r="W62">
        <v>516.4</v>
      </c>
      <c r="X62">
        <v>475.3</v>
      </c>
      <c r="Y62">
        <v>1</v>
      </c>
      <c r="Z62" s="3">
        <v>23445858864.400002</v>
      </c>
      <c r="AA62">
        <v>0</v>
      </c>
      <c r="AB62">
        <v>0</v>
      </c>
      <c r="AC62">
        <v>7.5522687499999996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D62" t="str">
        <f>_xlfn.XLOOKUP(BE62,'Excluded Companies'!$D$2:$D$29,'Excluded Companies'!$C$2:$C$29)</f>
        <v>BAYER AG</v>
      </c>
      <c r="BE62" t="s">
        <v>378</v>
      </c>
      <c r="BF62" t="b">
        <f t="shared" si="0"/>
        <v>0</v>
      </c>
    </row>
    <row r="63" spans="1:58" x14ac:dyDescent="0.25">
      <c r="A63">
        <v>174</v>
      </c>
      <c r="B63" t="s">
        <v>560</v>
      </c>
      <c r="C63" t="s">
        <v>771</v>
      </c>
      <c r="D63" t="s">
        <v>980</v>
      </c>
      <c r="E63" t="s">
        <v>95</v>
      </c>
      <c r="F63">
        <v>453187130</v>
      </c>
      <c r="G63">
        <v>57.46</v>
      </c>
      <c r="H63" t="s">
        <v>97</v>
      </c>
      <c r="I63">
        <v>27405118.5165863</v>
      </c>
      <c r="J63">
        <v>24952677.513333298</v>
      </c>
      <c r="M63">
        <v>26147586.283538502</v>
      </c>
      <c r="N63">
        <v>15.563115</v>
      </c>
      <c r="O63">
        <v>16.449133</v>
      </c>
      <c r="P63">
        <v>26657606.0101</v>
      </c>
      <c r="Q63">
        <v>18.864716000000001</v>
      </c>
      <c r="R63">
        <v>28671765.237272698</v>
      </c>
      <c r="S63">
        <v>33426966.275331799</v>
      </c>
      <c r="T63" t="s">
        <v>96</v>
      </c>
      <c r="U63" t="s">
        <v>1190</v>
      </c>
      <c r="V63">
        <v>1</v>
      </c>
      <c r="W63">
        <v>59.3</v>
      </c>
      <c r="X63">
        <v>57.46</v>
      </c>
      <c r="Y63">
        <v>0.85</v>
      </c>
      <c r="Z63" s="3">
        <v>22134112616.330002</v>
      </c>
      <c r="AA63">
        <v>0</v>
      </c>
      <c r="AB63">
        <v>0</v>
      </c>
      <c r="AC63">
        <v>19.607778750000001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D63" t="e">
        <f>_xlfn.XLOOKUP(BE63,'Excluded Companies'!$D$2:$D$29,'Excluded Companies'!$C$2:$C$29)</f>
        <v>#N/A</v>
      </c>
      <c r="BE63" t="s">
        <v>48</v>
      </c>
      <c r="BF63" t="b">
        <f t="shared" si="0"/>
        <v>1</v>
      </c>
    </row>
    <row r="64" spans="1:58" x14ac:dyDescent="0.25">
      <c r="A64">
        <v>167</v>
      </c>
      <c r="B64" t="s">
        <v>553</v>
      </c>
      <c r="C64" t="s">
        <v>764</v>
      </c>
      <c r="D64" t="s">
        <v>973</v>
      </c>
      <c r="E64" t="s">
        <v>89</v>
      </c>
      <c r="F64">
        <v>123420778</v>
      </c>
      <c r="G64">
        <v>296.2</v>
      </c>
      <c r="H64" t="s">
        <v>97</v>
      </c>
      <c r="I64">
        <v>82748117.804730594</v>
      </c>
      <c r="J64">
        <v>83916918.500019997</v>
      </c>
      <c r="M64">
        <v>81308641.942017406</v>
      </c>
      <c r="N64">
        <v>42.064529999999998</v>
      </c>
      <c r="O64">
        <v>38.086544000000004</v>
      </c>
      <c r="P64">
        <v>81692566.344312996</v>
      </c>
      <c r="Q64">
        <v>44.721760000000003</v>
      </c>
      <c r="R64">
        <v>94416000.267671198</v>
      </c>
      <c r="S64">
        <v>110033129.397947</v>
      </c>
      <c r="T64" t="s">
        <v>96</v>
      </c>
      <c r="U64" t="s">
        <v>1183</v>
      </c>
      <c r="V64">
        <v>1</v>
      </c>
      <c r="W64">
        <v>309.89999999999998</v>
      </c>
      <c r="X64">
        <v>296.2</v>
      </c>
      <c r="Y64">
        <v>0.60000000000000009</v>
      </c>
      <c r="Z64" s="3">
        <v>21934340666.16</v>
      </c>
      <c r="AA64">
        <v>0</v>
      </c>
      <c r="AB64">
        <v>0</v>
      </c>
      <c r="AC64">
        <v>9.7392562500000004</v>
      </c>
      <c r="AD64">
        <v>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D64" t="e">
        <f>_xlfn.XLOOKUP(BE64,'Excluded Companies'!$D$2:$D$29,'Excluded Companies'!$C$2:$C$29)</f>
        <v>#N/A</v>
      </c>
      <c r="BE64" t="s">
        <v>107</v>
      </c>
      <c r="BF64" t="b">
        <f t="shared" si="0"/>
        <v>1</v>
      </c>
    </row>
    <row r="65" spans="1:58" x14ac:dyDescent="0.25">
      <c r="A65">
        <v>299</v>
      </c>
      <c r="B65" t="s">
        <v>645</v>
      </c>
      <c r="C65" t="s">
        <v>104</v>
      </c>
      <c r="D65" t="s">
        <v>110</v>
      </c>
      <c r="E65" t="s">
        <v>91</v>
      </c>
      <c r="F65">
        <v>232516153</v>
      </c>
      <c r="G65">
        <v>92.76</v>
      </c>
      <c r="H65" t="s">
        <v>97</v>
      </c>
      <c r="I65">
        <v>89760213.108254895</v>
      </c>
      <c r="J65">
        <v>92817046.1503333</v>
      </c>
      <c r="M65">
        <v>85672332.305719703</v>
      </c>
      <c r="N65">
        <v>29.477754999999998</v>
      </c>
      <c r="O65">
        <v>31.801214000000002</v>
      </c>
      <c r="P65">
        <v>85708924.989800006</v>
      </c>
      <c r="Q65">
        <v>27.697527000000001</v>
      </c>
      <c r="R65">
        <v>84694846.164469704</v>
      </c>
      <c r="S65">
        <v>98733923.395418704</v>
      </c>
      <c r="T65" t="s">
        <v>96</v>
      </c>
      <c r="U65" t="s">
        <v>1275</v>
      </c>
      <c r="V65">
        <v>1</v>
      </c>
      <c r="W65">
        <v>90.5</v>
      </c>
      <c r="X65">
        <v>92.76</v>
      </c>
      <c r="Y65">
        <v>1</v>
      </c>
      <c r="Z65" s="3">
        <v>21568198352.279999</v>
      </c>
      <c r="AA65">
        <v>0</v>
      </c>
      <c r="AB65">
        <v>0</v>
      </c>
      <c r="AC65">
        <v>11.029574999999999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D65" t="e">
        <f>_xlfn.XLOOKUP(BE65,'Excluded Companies'!$D$2:$D$29,'Excluded Companies'!$C$2:$C$29)</f>
        <v>#N/A</v>
      </c>
      <c r="BE65" t="s">
        <v>292</v>
      </c>
      <c r="BF65" t="b">
        <f t="shared" si="0"/>
        <v>1</v>
      </c>
    </row>
    <row r="66" spans="1:58" x14ac:dyDescent="0.25">
      <c r="A66">
        <v>78</v>
      </c>
      <c r="B66" t="s">
        <v>493</v>
      </c>
      <c r="C66" t="s">
        <v>99</v>
      </c>
      <c r="D66" t="s">
        <v>105</v>
      </c>
      <c r="E66" t="s">
        <v>88</v>
      </c>
      <c r="F66">
        <v>1127496200</v>
      </c>
      <c r="G66">
        <v>31.84</v>
      </c>
      <c r="H66" t="s">
        <v>97</v>
      </c>
      <c r="I66">
        <v>124322164.938122</v>
      </c>
      <c r="J66">
        <v>104576397.55599999</v>
      </c>
      <c r="M66">
        <v>124180519.554583</v>
      </c>
      <c r="N66">
        <v>37.409230000000001</v>
      </c>
      <c r="O66">
        <v>38.505290000000002</v>
      </c>
      <c r="P66">
        <v>127560834.85535</v>
      </c>
      <c r="Q66">
        <v>38.903309999999998</v>
      </c>
      <c r="R66">
        <v>118183874.52378801</v>
      </c>
      <c r="S66">
        <v>137861147.53916299</v>
      </c>
      <c r="T66" t="s">
        <v>96</v>
      </c>
      <c r="U66" t="s">
        <v>1123</v>
      </c>
      <c r="V66">
        <v>1</v>
      </c>
      <c r="W66">
        <v>34.520000000000003</v>
      </c>
      <c r="X66">
        <v>31.84</v>
      </c>
      <c r="Y66">
        <v>0.6</v>
      </c>
      <c r="Z66" s="3">
        <v>21539687404.799999</v>
      </c>
      <c r="AA66">
        <v>0</v>
      </c>
      <c r="AB66">
        <v>0</v>
      </c>
      <c r="AC66">
        <v>16.601581249999999</v>
      </c>
      <c r="AD66">
        <v>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D66" t="e">
        <f>_xlfn.XLOOKUP(BE66,'Excluded Companies'!$D$2:$D$29,'Excluded Companies'!$C$2:$C$29)</f>
        <v>#N/A</v>
      </c>
      <c r="BE66" t="s">
        <v>79</v>
      </c>
      <c r="BF66" t="b">
        <f t="shared" si="0"/>
        <v>1</v>
      </c>
    </row>
    <row r="67" spans="1:58" x14ac:dyDescent="0.25">
      <c r="A67">
        <v>143</v>
      </c>
      <c r="B67" t="s">
        <v>539</v>
      </c>
      <c r="C67" t="s">
        <v>750</v>
      </c>
      <c r="D67" t="s">
        <v>959</v>
      </c>
      <c r="E67" t="s">
        <v>91</v>
      </c>
      <c r="F67">
        <v>576002613</v>
      </c>
      <c r="G67">
        <v>70.680000000000007</v>
      </c>
      <c r="H67" t="s">
        <v>97</v>
      </c>
      <c r="I67">
        <v>59610234.200705901</v>
      </c>
      <c r="J67">
        <v>46694337.714000002</v>
      </c>
      <c r="M67">
        <v>57381019.319090903</v>
      </c>
      <c r="N67">
        <v>21.789797</v>
      </c>
      <c r="O67">
        <v>20.817098999999999</v>
      </c>
      <c r="P67">
        <v>57580976.658299997</v>
      </c>
      <c r="Q67">
        <v>21.569004</v>
      </c>
      <c r="R67">
        <v>55443952.526212104</v>
      </c>
      <c r="S67">
        <v>64625963.888559699</v>
      </c>
      <c r="T67" t="s">
        <v>96</v>
      </c>
      <c r="U67" t="s">
        <v>1169</v>
      </c>
      <c r="V67">
        <v>1</v>
      </c>
      <c r="W67">
        <v>69.94</v>
      </c>
      <c r="X67">
        <v>70.680000000000007</v>
      </c>
      <c r="Y67">
        <v>0.5</v>
      </c>
      <c r="Z67" s="3">
        <v>20355932343.419998</v>
      </c>
      <c r="AA67">
        <v>0</v>
      </c>
      <c r="AB67">
        <v>0</v>
      </c>
      <c r="AC67">
        <v>18.083594999999999</v>
      </c>
      <c r="AD67">
        <v>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D67" t="e">
        <f>_xlfn.XLOOKUP(BE67,'Excluded Companies'!$D$2:$D$29,'Excluded Companies'!$C$2:$C$29)</f>
        <v>#N/A</v>
      </c>
      <c r="BE67" t="s">
        <v>85</v>
      </c>
      <c r="BF67" t="b">
        <f t="shared" ref="BF67:BF72" si="1">ISNUMBER(MATCH(BE67,$D$2:$D$273,0))</f>
        <v>1</v>
      </c>
    </row>
    <row r="68" spans="1:58" x14ac:dyDescent="0.25">
      <c r="A68">
        <v>218</v>
      </c>
      <c r="B68" t="s">
        <v>591</v>
      </c>
      <c r="C68" t="s">
        <v>801</v>
      </c>
      <c r="D68" t="s">
        <v>1010</v>
      </c>
      <c r="E68" t="s">
        <v>89</v>
      </c>
      <c r="F68">
        <v>254311860</v>
      </c>
      <c r="G68">
        <v>84.1</v>
      </c>
      <c r="H68" t="s">
        <v>97</v>
      </c>
      <c r="I68">
        <v>53786231.729810603</v>
      </c>
      <c r="J68">
        <v>43991494.3490467</v>
      </c>
      <c r="M68">
        <v>52016744.5958841</v>
      </c>
      <c r="N68">
        <v>25.559087999999999</v>
      </c>
      <c r="O68">
        <v>24.497368000000002</v>
      </c>
      <c r="P68">
        <v>50153992.784267001</v>
      </c>
      <c r="Q68">
        <v>28.126394000000001</v>
      </c>
      <c r="R68">
        <v>44678395.794343904</v>
      </c>
      <c r="S68">
        <v>52070196.316010803</v>
      </c>
      <c r="T68" t="s">
        <v>96</v>
      </c>
      <c r="U68" t="s">
        <v>1221</v>
      </c>
      <c r="V68">
        <v>1</v>
      </c>
      <c r="W68">
        <v>88.5</v>
      </c>
      <c r="X68">
        <v>84.1</v>
      </c>
      <c r="Y68">
        <v>0.95000000000000007</v>
      </c>
      <c r="Z68" s="3">
        <v>20318246054.700001</v>
      </c>
      <c r="AA68">
        <v>0</v>
      </c>
      <c r="AB68">
        <v>0</v>
      </c>
      <c r="AC68">
        <v>9.1312857100000002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D68" t="e">
        <f>_xlfn.XLOOKUP(BE68,'Excluded Companies'!$D$2:$D$29,'Excluded Companies'!$C$2:$C$29)</f>
        <v>#N/A</v>
      </c>
      <c r="BE68" t="s">
        <v>70</v>
      </c>
      <c r="BF68" t="b">
        <f t="shared" si="1"/>
        <v>1</v>
      </c>
    </row>
    <row r="69" spans="1:58" x14ac:dyDescent="0.25">
      <c r="A69">
        <v>129</v>
      </c>
      <c r="B69" t="s">
        <v>527</v>
      </c>
      <c r="C69" t="s">
        <v>738</v>
      </c>
      <c r="D69" t="s">
        <v>947</v>
      </c>
      <c r="E69" t="s">
        <v>88</v>
      </c>
      <c r="F69">
        <v>563237300</v>
      </c>
      <c r="G69">
        <v>46.94</v>
      </c>
      <c r="H69" t="s">
        <v>97</v>
      </c>
      <c r="I69">
        <v>37738159.059604697</v>
      </c>
      <c r="J69">
        <v>36352445.630666703</v>
      </c>
      <c r="M69">
        <v>33091482.436704598</v>
      </c>
      <c r="N69">
        <v>17.504190000000001</v>
      </c>
      <c r="O69">
        <v>17.747108000000001</v>
      </c>
      <c r="P69">
        <v>33009553.495099999</v>
      </c>
      <c r="Q69">
        <v>21.602419999999999</v>
      </c>
      <c r="R69">
        <v>32629837.190757599</v>
      </c>
      <c r="S69">
        <v>38009452.814037599</v>
      </c>
      <c r="T69" t="s">
        <v>96</v>
      </c>
      <c r="U69" t="s">
        <v>1157</v>
      </c>
      <c r="V69">
        <v>1</v>
      </c>
      <c r="W69">
        <v>47.43</v>
      </c>
      <c r="X69">
        <v>46.94</v>
      </c>
      <c r="Y69">
        <v>0.75</v>
      </c>
      <c r="Z69" s="3">
        <v>19828769146.5</v>
      </c>
      <c r="AA69">
        <v>0</v>
      </c>
      <c r="AB69">
        <v>0</v>
      </c>
      <c r="AC69">
        <v>11.6635492</v>
      </c>
      <c r="AD69">
        <v>2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D69" t="e">
        <f>_xlfn.XLOOKUP(BE69,'Excluded Companies'!$D$2:$D$29,'Excluded Companies'!$C$2:$C$29)</f>
        <v>#N/A</v>
      </c>
      <c r="BE69" t="s">
        <v>282</v>
      </c>
      <c r="BF69" t="b">
        <f t="shared" si="1"/>
        <v>1</v>
      </c>
    </row>
    <row r="70" spans="1:58" x14ac:dyDescent="0.25">
      <c r="A70">
        <v>193</v>
      </c>
      <c r="B70" t="s">
        <v>574</v>
      </c>
      <c r="C70" t="s">
        <v>103</v>
      </c>
      <c r="D70" t="s">
        <v>109</v>
      </c>
      <c r="E70" t="s">
        <v>89</v>
      </c>
      <c r="F70">
        <v>710514537</v>
      </c>
      <c r="G70">
        <v>27.66</v>
      </c>
      <c r="H70" t="s">
        <v>97</v>
      </c>
      <c r="I70">
        <v>51737207.335516103</v>
      </c>
      <c r="J70">
        <v>59824734.747820102</v>
      </c>
      <c r="M70">
        <v>46849294.650959097</v>
      </c>
      <c r="N70">
        <v>22.235147000000001</v>
      </c>
      <c r="O70">
        <v>23.342983</v>
      </c>
      <c r="P70">
        <v>48230999.140515998</v>
      </c>
      <c r="Q70">
        <v>24.702656000000001</v>
      </c>
      <c r="R70">
        <v>53278726.615402997</v>
      </c>
      <c r="S70">
        <v>62021916.1128987</v>
      </c>
      <c r="T70" t="s">
        <v>96</v>
      </c>
      <c r="U70" t="s">
        <v>1204</v>
      </c>
      <c r="V70">
        <v>1</v>
      </c>
      <c r="W70">
        <v>28.35</v>
      </c>
      <c r="X70">
        <v>27.66</v>
      </c>
      <c r="Y70">
        <v>1</v>
      </c>
      <c r="Z70" s="3">
        <v>19652832093.419998</v>
      </c>
      <c r="AA70">
        <v>0</v>
      </c>
      <c r="AB70">
        <v>0</v>
      </c>
      <c r="AC70">
        <v>14.33596036</v>
      </c>
      <c r="AD70">
        <v>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D70" t="e">
        <f>_xlfn.XLOOKUP(BE70,'Excluded Companies'!$D$2:$D$29,'Excluded Companies'!$C$2:$C$29)</f>
        <v>#N/A</v>
      </c>
      <c r="BE70" t="s">
        <v>281</v>
      </c>
      <c r="BF70" t="b">
        <f t="shared" si="1"/>
        <v>1</v>
      </c>
    </row>
    <row r="71" spans="1:58" x14ac:dyDescent="0.25">
      <c r="A71">
        <v>74</v>
      </c>
      <c r="B71" t="s">
        <v>489</v>
      </c>
      <c r="C71" t="s">
        <v>701</v>
      </c>
      <c r="D71" t="s">
        <v>910</v>
      </c>
      <c r="E71" t="s">
        <v>89</v>
      </c>
      <c r="F71">
        <v>171347471</v>
      </c>
      <c r="G71">
        <v>131.5</v>
      </c>
      <c r="H71" t="s">
        <v>97</v>
      </c>
      <c r="I71">
        <v>68618805.063947499</v>
      </c>
      <c r="J71">
        <v>50440521.519066699</v>
      </c>
      <c r="M71">
        <v>57786122.206868201</v>
      </c>
      <c r="N71">
        <v>29.167458</v>
      </c>
      <c r="O71">
        <v>30.909140000000001</v>
      </c>
      <c r="P71">
        <v>58167259.959066004</v>
      </c>
      <c r="Q71">
        <v>31.147483999999999</v>
      </c>
      <c r="R71">
        <v>54330509.319797002</v>
      </c>
      <c r="S71">
        <v>63352843.131319202</v>
      </c>
      <c r="T71" t="s">
        <v>96</v>
      </c>
      <c r="U71" t="s">
        <v>1119</v>
      </c>
      <c r="V71">
        <v>1</v>
      </c>
      <c r="W71">
        <v>147.69999999999999</v>
      </c>
      <c r="X71">
        <v>131.5</v>
      </c>
      <c r="Y71">
        <v>0.85000000000000009</v>
      </c>
      <c r="Z71" s="3">
        <v>19152363571.025002</v>
      </c>
      <c r="AA71">
        <v>0</v>
      </c>
      <c r="AB71">
        <v>0</v>
      </c>
      <c r="AC71">
        <v>11.20086</v>
      </c>
      <c r="AD71">
        <v>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D71" t="e">
        <f>_xlfn.XLOOKUP(BE71,'Excluded Companies'!$D$2:$D$29,'Excluded Companies'!$C$2:$C$29)</f>
        <v>#N/A</v>
      </c>
      <c r="BE71" t="s">
        <v>286</v>
      </c>
      <c r="BF71" t="b">
        <f t="shared" si="1"/>
        <v>1</v>
      </c>
    </row>
    <row r="72" spans="1:58" x14ac:dyDescent="0.25">
      <c r="A72">
        <v>294</v>
      </c>
      <c r="B72" t="s">
        <v>641</v>
      </c>
      <c r="C72" t="s">
        <v>851</v>
      </c>
      <c r="D72" t="s">
        <v>1060</v>
      </c>
      <c r="E72" t="s">
        <v>88</v>
      </c>
      <c r="F72">
        <v>847785030</v>
      </c>
      <c r="G72">
        <v>26.05</v>
      </c>
      <c r="H72" t="s">
        <v>97</v>
      </c>
      <c r="I72">
        <v>70900219.141936794</v>
      </c>
      <c r="J72">
        <v>64892531.855666697</v>
      </c>
      <c r="M72">
        <v>59305191.750909097</v>
      </c>
      <c r="N72">
        <v>19.689352</v>
      </c>
      <c r="O72">
        <v>19.257833000000002</v>
      </c>
      <c r="P72">
        <v>56007882.788149998</v>
      </c>
      <c r="Q72">
        <v>24.525839000000001</v>
      </c>
      <c r="R72">
        <v>54950206.889924198</v>
      </c>
      <c r="S72">
        <v>64013895.233723097</v>
      </c>
      <c r="T72" t="s">
        <v>96</v>
      </c>
      <c r="U72" t="s">
        <v>1271</v>
      </c>
      <c r="V72">
        <v>1</v>
      </c>
      <c r="W72">
        <v>23.89</v>
      </c>
      <c r="X72">
        <v>26.05</v>
      </c>
      <c r="Y72">
        <v>0.85</v>
      </c>
      <c r="Z72" s="3">
        <v>18772080026.775002</v>
      </c>
      <c r="AA72">
        <v>0</v>
      </c>
      <c r="AB72">
        <v>0</v>
      </c>
      <c r="AC72">
        <v>6.3556999999999997</v>
      </c>
      <c r="AD72">
        <v>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D72" t="e">
        <f>_xlfn.XLOOKUP(BE72,'Excluded Companies'!$D$2:$D$29,'Excluded Companies'!$C$2:$C$29)</f>
        <v>#N/A</v>
      </c>
      <c r="BE72" t="s">
        <v>880</v>
      </c>
      <c r="BF72" t="b">
        <f t="shared" si="1"/>
        <v>1</v>
      </c>
    </row>
    <row r="73" spans="1:58" x14ac:dyDescent="0.25">
      <c r="A73">
        <v>19</v>
      </c>
      <c r="B73" t="s">
        <v>448</v>
      </c>
      <c r="C73" t="s">
        <v>660</v>
      </c>
      <c r="D73" t="s">
        <v>869</v>
      </c>
      <c r="E73" t="s">
        <v>298</v>
      </c>
      <c r="F73">
        <v>2136766718</v>
      </c>
      <c r="G73">
        <v>8.3849999999999998</v>
      </c>
      <c r="H73" t="s">
        <v>97</v>
      </c>
      <c r="I73">
        <v>34265749.081349202</v>
      </c>
      <c r="J73">
        <v>33623690.338653304</v>
      </c>
      <c r="M73">
        <v>31078317.808056802</v>
      </c>
      <c r="N73">
        <v>25.314684</v>
      </c>
      <c r="O73">
        <v>25.073443999999999</v>
      </c>
      <c r="P73">
        <v>30250354.957504999</v>
      </c>
      <c r="Q73">
        <v>32.461468000000004</v>
      </c>
      <c r="R73">
        <v>33113797.439849999</v>
      </c>
      <c r="S73">
        <v>38604765.560353503</v>
      </c>
      <c r="T73" t="s">
        <v>96</v>
      </c>
      <c r="U73" t="s">
        <v>1078</v>
      </c>
      <c r="V73">
        <v>1</v>
      </c>
      <c r="W73">
        <v>9.0299999999999994</v>
      </c>
      <c r="X73">
        <v>8.3849999999999998</v>
      </c>
      <c r="Y73">
        <v>1</v>
      </c>
      <c r="Z73" s="3">
        <v>17916788930.43</v>
      </c>
      <c r="AA73">
        <v>0</v>
      </c>
      <c r="AB73">
        <v>0</v>
      </c>
      <c r="AC73">
        <v>13.17438628</v>
      </c>
      <c r="AD73">
        <v>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</row>
    <row r="74" spans="1:58" x14ac:dyDescent="0.25">
      <c r="A74">
        <v>229</v>
      </c>
      <c r="B74" t="s">
        <v>600</v>
      </c>
      <c r="C74" t="s">
        <v>810</v>
      </c>
      <c r="D74" t="s">
        <v>1019</v>
      </c>
      <c r="E74" t="s">
        <v>90</v>
      </c>
      <c r="F74">
        <v>1128372300</v>
      </c>
      <c r="G74">
        <v>15.7</v>
      </c>
      <c r="H74" t="s">
        <v>97</v>
      </c>
      <c r="I74">
        <v>61525438.021741197</v>
      </c>
      <c r="J74">
        <v>58728985.977366701</v>
      </c>
      <c r="M74">
        <v>63147040.436012097</v>
      </c>
      <c r="N74">
        <v>21.564209999999999</v>
      </c>
      <c r="O74">
        <v>21.742211999999999</v>
      </c>
      <c r="P74">
        <v>58111880.668295003</v>
      </c>
      <c r="Q74">
        <v>25.062836000000001</v>
      </c>
      <c r="R74">
        <v>56722036.635921203</v>
      </c>
      <c r="S74">
        <v>66115113.262213998</v>
      </c>
      <c r="T74" t="s">
        <v>96</v>
      </c>
      <c r="U74" t="s">
        <v>1230</v>
      </c>
      <c r="V74">
        <v>1</v>
      </c>
      <c r="W74">
        <v>15.335000000000001</v>
      </c>
      <c r="X74">
        <v>15.7</v>
      </c>
      <c r="Y74">
        <v>1</v>
      </c>
      <c r="Z74" s="3">
        <v>17715445110</v>
      </c>
      <c r="AA74">
        <v>0</v>
      </c>
      <c r="AB74">
        <v>0</v>
      </c>
      <c r="AC74">
        <v>28.67359063</v>
      </c>
      <c r="AD74">
        <v>3</v>
      </c>
      <c r="AE74">
        <v>0</v>
      </c>
      <c r="AF74">
        <v>0</v>
      </c>
      <c r="AG74">
        <v>0</v>
      </c>
      <c r="AH74" t="s">
        <v>319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</row>
    <row r="75" spans="1:58" x14ac:dyDescent="0.25">
      <c r="A75">
        <v>16</v>
      </c>
      <c r="B75" t="s">
        <v>446</v>
      </c>
      <c r="C75" t="s">
        <v>658</v>
      </c>
      <c r="D75" t="s">
        <v>867</v>
      </c>
      <c r="E75" t="s">
        <v>90</v>
      </c>
      <c r="F75">
        <v>1500000000</v>
      </c>
      <c r="G75">
        <v>23.12</v>
      </c>
      <c r="H75" t="s">
        <v>97</v>
      </c>
      <c r="I75">
        <v>39706025.309029497</v>
      </c>
      <c r="J75">
        <v>28281240.473333299</v>
      </c>
      <c r="M75">
        <v>37325011.397935599</v>
      </c>
      <c r="N75">
        <v>20.283370999999999</v>
      </c>
      <c r="O75">
        <v>21.414873</v>
      </c>
      <c r="P75">
        <v>29919751.029375002</v>
      </c>
      <c r="Q75">
        <v>21.801853000000001</v>
      </c>
      <c r="R75">
        <v>32059232.1465909</v>
      </c>
      <c r="S75">
        <v>37403210.168830097</v>
      </c>
      <c r="T75" t="s">
        <v>96</v>
      </c>
      <c r="U75" t="s">
        <v>1076</v>
      </c>
      <c r="V75">
        <v>1</v>
      </c>
      <c r="W75">
        <v>23.47</v>
      </c>
      <c r="X75">
        <v>23.12</v>
      </c>
      <c r="Y75">
        <v>0.5</v>
      </c>
      <c r="Z75" s="3">
        <v>17340000000</v>
      </c>
      <c r="AA75">
        <v>0</v>
      </c>
      <c r="AB75">
        <v>0</v>
      </c>
      <c r="AC75">
        <v>12.548419109999999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</row>
    <row r="76" spans="1:58" x14ac:dyDescent="0.25">
      <c r="A76">
        <v>259</v>
      </c>
      <c r="B76" t="s">
        <v>617</v>
      </c>
      <c r="C76" t="s">
        <v>827</v>
      </c>
      <c r="D76" t="s">
        <v>1036</v>
      </c>
      <c r="E76" t="s">
        <v>93</v>
      </c>
      <c r="F76">
        <v>2896073567</v>
      </c>
      <c r="G76">
        <v>8.4529999999999994</v>
      </c>
      <c r="H76" t="s">
        <v>97</v>
      </c>
      <c r="I76">
        <v>219821756.141139</v>
      </c>
      <c r="J76">
        <v>178513768.01339999</v>
      </c>
      <c r="M76">
        <v>213967400.78360301</v>
      </c>
      <c r="N76">
        <v>46.304189999999998</v>
      </c>
      <c r="O76">
        <v>48.161459999999998</v>
      </c>
      <c r="P76">
        <v>221281151.13585499</v>
      </c>
      <c r="Q76">
        <v>47.984062000000002</v>
      </c>
      <c r="R76">
        <v>234617162.41391701</v>
      </c>
      <c r="S76">
        <v>273553778.58005297</v>
      </c>
      <c r="T76" t="s">
        <v>96</v>
      </c>
      <c r="U76" t="s">
        <v>1247</v>
      </c>
      <c r="V76">
        <v>1</v>
      </c>
      <c r="W76">
        <v>10.11</v>
      </c>
      <c r="X76">
        <v>8.4529999999999994</v>
      </c>
      <c r="Y76">
        <v>0.70000000000000007</v>
      </c>
      <c r="Z76" s="3">
        <v>17136356903.2957</v>
      </c>
      <c r="AA76">
        <v>0</v>
      </c>
      <c r="AB76">
        <v>0</v>
      </c>
      <c r="AC76">
        <v>21.399206249999999</v>
      </c>
      <c r="AD76">
        <v>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</row>
    <row r="77" spans="1:58" x14ac:dyDescent="0.25">
      <c r="A77">
        <v>48</v>
      </c>
      <c r="B77" t="s">
        <v>470</v>
      </c>
      <c r="C77" t="s">
        <v>682</v>
      </c>
      <c r="D77" t="s">
        <v>891</v>
      </c>
      <c r="E77" t="s">
        <v>93</v>
      </c>
      <c r="F77">
        <v>3038418183</v>
      </c>
      <c r="G77">
        <v>8.4130000000000003</v>
      </c>
      <c r="H77" t="s">
        <v>97</v>
      </c>
      <c r="I77">
        <v>154877686.02612901</v>
      </c>
      <c r="J77">
        <v>279798875.79470003</v>
      </c>
      <c r="M77">
        <v>176112107.98606101</v>
      </c>
      <c r="N77">
        <v>30.940843999999998</v>
      </c>
      <c r="O77">
        <v>30.540946999999999</v>
      </c>
      <c r="P77">
        <v>202184074.34628999</v>
      </c>
      <c r="Q77">
        <v>37.461320000000001</v>
      </c>
      <c r="R77">
        <v>245862528.75407499</v>
      </c>
      <c r="S77">
        <v>286921509.29607397</v>
      </c>
      <c r="T77" t="s">
        <v>96</v>
      </c>
      <c r="U77" t="s">
        <v>1100</v>
      </c>
      <c r="V77">
        <v>1</v>
      </c>
      <c r="W77">
        <v>8.4480000000000004</v>
      </c>
      <c r="X77">
        <v>8.4130000000000003</v>
      </c>
      <c r="Y77">
        <v>0.65</v>
      </c>
      <c r="Z77" s="3">
        <v>16615437912.826349</v>
      </c>
      <c r="AA77">
        <v>0</v>
      </c>
      <c r="AB77">
        <v>0</v>
      </c>
      <c r="AC77">
        <v>18.007362499999999</v>
      </c>
      <c r="AD77">
        <v>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</row>
    <row r="78" spans="1:58" x14ac:dyDescent="0.25">
      <c r="A78">
        <v>210</v>
      </c>
      <c r="B78" t="s">
        <v>586</v>
      </c>
      <c r="C78" t="s">
        <v>796</v>
      </c>
      <c r="D78" t="s">
        <v>1005</v>
      </c>
      <c r="E78" t="s">
        <v>89</v>
      </c>
      <c r="F78">
        <v>252269195</v>
      </c>
      <c r="G78">
        <v>81.22</v>
      </c>
      <c r="H78" t="s">
        <v>97</v>
      </c>
      <c r="I78">
        <v>58477164.856031001</v>
      </c>
      <c r="J78">
        <v>45299528.785333298</v>
      </c>
      <c r="M78">
        <v>51741142.203999199</v>
      </c>
      <c r="N78">
        <v>27.100142000000002</v>
      </c>
      <c r="O78">
        <v>26.243893</v>
      </c>
      <c r="P78">
        <v>52609602.074979</v>
      </c>
      <c r="Q78">
        <v>26.95833</v>
      </c>
      <c r="R78">
        <v>53980023.169816703</v>
      </c>
      <c r="S78">
        <v>62995884.734736897</v>
      </c>
      <c r="T78" t="s">
        <v>96</v>
      </c>
      <c r="U78" t="s">
        <v>1216</v>
      </c>
      <c r="V78">
        <v>1</v>
      </c>
      <c r="W78">
        <v>76.900000000000006</v>
      </c>
      <c r="X78">
        <v>81.22</v>
      </c>
      <c r="Y78">
        <v>0.8</v>
      </c>
      <c r="Z78" s="3">
        <v>16391443214.32</v>
      </c>
      <c r="AA78">
        <v>0</v>
      </c>
      <c r="AB78">
        <v>0</v>
      </c>
      <c r="AC78">
        <v>17.4401975</v>
      </c>
      <c r="AD78">
        <v>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</row>
    <row r="79" spans="1:58" x14ac:dyDescent="0.25">
      <c r="A79">
        <v>86</v>
      </c>
      <c r="B79" t="s">
        <v>501</v>
      </c>
      <c r="C79" t="s">
        <v>712</v>
      </c>
      <c r="D79" t="s">
        <v>921</v>
      </c>
      <c r="E79" t="s">
        <v>88</v>
      </c>
      <c r="F79">
        <v>765600400</v>
      </c>
      <c r="G79">
        <v>35.549999999999997</v>
      </c>
      <c r="H79" t="s">
        <v>97</v>
      </c>
      <c r="I79">
        <v>52595254.2658301</v>
      </c>
      <c r="J79">
        <v>44550194.223999999</v>
      </c>
      <c r="M79">
        <v>44311122.3355681</v>
      </c>
      <c r="N79">
        <v>30.24823</v>
      </c>
      <c r="O79">
        <v>29.740227000000001</v>
      </c>
      <c r="P79">
        <v>42833332.2733</v>
      </c>
      <c r="Q79">
        <v>31.390463</v>
      </c>
      <c r="R79">
        <v>40637190.203030303</v>
      </c>
      <c r="S79">
        <v>47356527.306202903</v>
      </c>
      <c r="T79" t="s">
        <v>96</v>
      </c>
      <c r="U79" t="s">
        <v>1131</v>
      </c>
      <c r="V79">
        <v>1</v>
      </c>
      <c r="W79">
        <v>37.409999999999997</v>
      </c>
      <c r="X79">
        <v>35.549999999999997</v>
      </c>
      <c r="Y79">
        <v>0.6</v>
      </c>
      <c r="Z79" s="3">
        <v>16330256532</v>
      </c>
      <c r="AA79">
        <v>0</v>
      </c>
      <c r="AB79">
        <v>0</v>
      </c>
      <c r="AC79">
        <v>20.012174689999998</v>
      </c>
      <c r="AD79">
        <v>3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</row>
    <row r="80" spans="1:58" x14ac:dyDescent="0.25">
      <c r="A80">
        <v>5</v>
      </c>
      <c r="B80" t="s">
        <v>437</v>
      </c>
      <c r="C80" t="s">
        <v>649</v>
      </c>
      <c r="D80" t="s">
        <v>858</v>
      </c>
      <c r="E80" t="s">
        <v>91</v>
      </c>
      <c r="F80">
        <v>597116328</v>
      </c>
      <c r="G80">
        <v>26.89</v>
      </c>
      <c r="H80" t="s">
        <v>97</v>
      </c>
      <c r="I80">
        <v>62479204.487451002</v>
      </c>
      <c r="J80">
        <v>60705309.911666602</v>
      </c>
      <c r="M80">
        <v>64391116.950265102</v>
      </c>
      <c r="N80">
        <v>22.814223999999999</v>
      </c>
      <c r="O80">
        <v>23.861287999999998</v>
      </c>
      <c r="P80">
        <v>62986226.871799998</v>
      </c>
      <c r="Q80">
        <v>26.866129999999998</v>
      </c>
      <c r="R80">
        <v>63475442.832197003</v>
      </c>
      <c r="S80">
        <v>74011533.285271406</v>
      </c>
      <c r="T80" t="s">
        <v>96</v>
      </c>
      <c r="U80" t="s">
        <v>1067</v>
      </c>
      <c r="V80">
        <v>1</v>
      </c>
      <c r="W80">
        <v>29.12</v>
      </c>
      <c r="X80">
        <v>26.89</v>
      </c>
      <c r="Y80">
        <v>1</v>
      </c>
      <c r="Z80" s="3">
        <v>16056458059.92</v>
      </c>
      <c r="AA80">
        <v>0</v>
      </c>
      <c r="AB80">
        <v>0</v>
      </c>
      <c r="AC80">
        <v>14.14515851</v>
      </c>
      <c r="AD80">
        <v>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</row>
    <row r="81" spans="1:54" x14ac:dyDescent="0.25">
      <c r="A81">
        <v>89</v>
      </c>
      <c r="B81" t="s">
        <v>502</v>
      </c>
      <c r="C81" t="s">
        <v>713</v>
      </c>
      <c r="D81" t="s">
        <v>922</v>
      </c>
      <c r="E81" t="s">
        <v>89</v>
      </c>
      <c r="F81">
        <v>1341456065</v>
      </c>
      <c r="G81">
        <v>23.49</v>
      </c>
      <c r="H81" t="s">
        <v>97</v>
      </c>
      <c r="I81">
        <v>53612171.262199603</v>
      </c>
      <c r="J81">
        <v>50799496.072606601</v>
      </c>
      <c r="M81">
        <v>49073401.304173499</v>
      </c>
      <c r="N81">
        <v>29.123843999999998</v>
      </c>
      <c r="O81">
        <v>31.38166</v>
      </c>
      <c r="P81">
        <v>48129517.322958998</v>
      </c>
      <c r="Q81">
        <v>29.081903000000001</v>
      </c>
      <c r="R81">
        <v>50366548.276301503</v>
      </c>
      <c r="S81">
        <v>58683000.949091703</v>
      </c>
      <c r="T81" t="s">
        <v>96</v>
      </c>
      <c r="U81" t="s">
        <v>1132</v>
      </c>
      <c r="V81">
        <v>1</v>
      </c>
      <c r="W81">
        <v>23.39</v>
      </c>
      <c r="X81">
        <v>23.49</v>
      </c>
      <c r="Y81">
        <v>0.5</v>
      </c>
      <c r="Z81" s="3">
        <v>15755401483.424999</v>
      </c>
      <c r="AA81">
        <v>0</v>
      </c>
      <c r="AB81">
        <v>0</v>
      </c>
      <c r="AC81">
        <v>12.844440000000001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</row>
    <row r="82" spans="1:54" x14ac:dyDescent="0.25">
      <c r="A82">
        <v>50</v>
      </c>
      <c r="B82" t="s">
        <v>472</v>
      </c>
      <c r="C82" t="s">
        <v>684</v>
      </c>
      <c r="D82" t="s">
        <v>893</v>
      </c>
      <c r="E82" t="s">
        <v>90</v>
      </c>
      <c r="F82">
        <v>5023677700</v>
      </c>
      <c r="G82">
        <v>3.0939999999999999</v>
      </c>
      <c r="H82" t="s">
        <v>97</v>
      </c>
      <c r="I82">
        <v>42258777.3951298</v>
      </c>
      <c r="J82">
        <v>52006493.146866702</v>
      </c>
      <c r="M82">
        <v>46430482.898830302</v>
      </c>
      <c r="N82">
        <v>28.580698000000002</v>
      </c>
      <c r="O82">
        <v>29.244661000000001</v>
      </c>
      <c r="P82">
        <v>48183965.247700997</v>
      </c>
      <c r="Q82">
        <v>32.883209999999998</v>
      </c>
      <c r="R82">
        <v>48883824.0883727</v>
      </c>
      <c r="S82">
        <v>57007826.622915402</v>
      </c>
      <c r="T82" t="s">
        <v>96</v>
      </c>
      <c r="U82" t="s">
        <v>1102</v>
      </c>
      <c r="V82">
        <v>1</v>
      </c>
      <c r="W82">
        <v>3.339</v>
      </c>
      <c r="X82">
        <v>3.0939999999999999</v>
      </c>
      <c r="Y82">
        <v>1</v>
      </c>
      <c r="Z82" s="3">
        <v>15543258803.799999</v>
      </c>
      <c r="AA82">
        <v>0</v>
      </c>
      <c r="AB82">
        <v>0</v>
      </c>
      <c r="AC82">
        <v>13.376625000000001</v>
      </c>
      <c r="AD82">
        <v>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</row>
    <row r="83" spans="1:54" x14ac:dyDescent="0.25">
      <c r="A83">
        <v>202</v>
      </c>
      <c r="B83" t="s">
        <v>581</v>
      </c>
      <c r="C83" t="s">
        <v>791</v>
      </c>
      <c r="D83" t="s">
        <v>1000</v>
      </c>
      <c r="E83" t="s">
        <v>91</v>
      </c>
      <c r="F83">
        <v>269000000</v>
      </c>
      <c r="G83">
        <v>60.62</v>
      </c>
      <c r="H83" t="s">
        <v>97</v>
      </c>
      <c r="I83">
        <v>39571077.3167255</v>
      </c>
      <c r="J83">
        <v>27579731.541333299</v>
      </c>
      <c r="M83">
        <v>35065780.337575696</v>
      </c>
      <c r="N83">
        <v>15.632864</v>
      </c>
      <c r="O83">
        <v>16.346111000000001</v>
      </c>
      <c r="P83">
        <v>32862378.903000001</v>
      </c>
      <c r="Q83">
        <v>19.825168999999999</v>
      </c>
      <c r="R83">
        <v>31486046.267727301</v>
      </c>
      <c r="S83">
        <v>36729280.716433503</v>
      </c>
      <c r="T83" t="s">
        <v>96</v>
      </c>
      <c r="U83" t="s">
        <v>1211</v>
      </c>
      <c r="V83">
        <v>1</v>
      </c>
      <c r="W83">
        <v>64.180000000000007</v>
      </c>
      <c r="X83">
        <v>60.62</v>
      </c>
      <c r="Y83">
        <v>0.95000000000000007</v>
      </c>
      <c r="Z83" s="3">
        <v>15491441000</v>
      </c>
      <c r="AA83">
        <v>0</v>
      </c>
      <c r="AB83">
        <v>0</v>
      </c>
      <c r="AC83">
        <v>16.160325</v>
      </c>
      <c r="AD83">
        <v>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</row>
    <row r="84" spans="1:54" x14ac:dyDescent="0.25">
      <c r="A84">
        <v>76</v>
      </c>
      <c r="B84" t="s">
        <v>491</v>
      </c>
      <c r="C84" t="s">
        <v>703</v>
      </c>
      <c r="D84" t="s">
        <v>912</v>
      </c>
      <c r="E84" t="s">
        <v>90</v>
      </c>
      <c r="F84">
        <v>706475400</v>
      </c>
      <c r="G84">
        <v>25.63</v>
      </c>
      <c r="H84" t="s">
        <v>97</v>
      </c>
      <c r="I84">
        <v>38450299.7925639</v>
      </c>
      <c r="J84">
        <v>44715686.855999999</v>
      </c>
      <c r="M84">
        <v>31797454.522727299</v>
      </c>
      <c r="N84">
        <v>20.983460000000001</v>
      </c>
      <c r="O84">
        <v>21.673152999999999</v>
      </c>
      <c r="P84">
        <v>30198140.196899999</v>
      </c>
      <c r="Q84">
        <v>25.224395999999999</v>
      </c>
      <c r="R84">
        <v>30521395.460227299</v>
      </c>
      <c r="S84">
        <v>35548691.2316847</v>
      </c>
      <c r="T84" t="s">
        <v>96</v>
      </c>
      <c r="U84" t="s">
        <v>1121</v>
      </c>
      <c r="V84">
        <v>1</v>
      </c>
      <c r="W84">
        <v>25.65</v>
      </c>
      <c r="X84">
        <v>25.63</v>
      </c>
      <c r="Y84">
        <v>0.85</v>
      </c>
      <c r="Z84" s="3">
        <v>15390919826.700001</v>
      </c>
      <c r="AA84">
        <v>0</v>
      </c>
      <c r="AB84">
        <v>0</v>
      </c>
      <c r="AC84">
        <v>13.331149999999999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</row>
    <row r="85" spans="1:54" x14ac:dyDescent="0.25">
      <c r="A85">
        <v>141</v>
      </c>
      <c r="B85" t="s">
        <v>538</v>
      </c>
      <c r="C85" t="s">
        <v>749</v>
      </c>
      <c r="D85" t="s">
        <v>958</v>
      </c>
      <c r="E85" t="s">
        <v>88</v>
      </c>
      <c r="F85">
        <v>120597140</v>
      </c>
      <c r="G85">
        <v>254.6</v>
      </c>
      <c r="H85" t="s">
        <v>97</v>
      </c>
      <c r="I85">
        <v>27907164.986363702</v>
      </c>
      <c r="J85">
        <v>26163772.666666701</v>
      </c>
      <c r="M85">
        <v>24838025.306060601</v>
      </c>
      <c r="N85">
        <v>18.355081999999999</v>
      </c>
      <c r="O85">
        <v>19.463856</v>
      </c>
      <c r="P85">
        <v>25449524.059</v>
      </c>
      <c r="Q85">
        <v>22.801618999999999</v>
      </c>
      <c r="R85">
        <v>25959879.548484799</v>
      </c>
      <c r="S85">
        <v>30252378.632888999</v>
      </c>
      <c r="T85" t="s">
        <v>96</v>
      </c>
      <c r="U85" t="s">
        <v>1168</v>
      </c>
      <c r="V85">
        <v>1</v>
      </c>
      <c r="W85">
        <v>261.2</v>
      </c>
      <c r="X85">
        <v>254.6</v>
      </c>
      <c r="Y85">
        <v>0.5</v>
      </c>
      <c r="Z85" s="3">
        <v>15352015922</v>
      </c>
      <c r="AA85">
        <v>0</v>
      </c>
      <c r="AB85">
        <v>0</v>
      </c>
      <c r="AC85">
        <v>16.30064063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</row>
    <row r="86" spans="1:54" x14ac:dyDescent="0.25">
      <c r="A86">
        <v>176</v>
      </c>
      <c r="B86" t="s">
        <v>562</v>
      </c>
      <c r="C86" t="s">
        <v>773</v>
      </c>
      <c r="D86" t="s">
        <v>982</v>
      </c>
      <c r="E86" t="s">
        <v>91</v>
      </c>
      <c r="F86">
        <v>3888930422</v>
      </c>
      <c r="G86">
        <v>3.93</v>
      </c>
      <c r="H86" t="s">
        <v>97</v>
      </c>
      <c r="I86">
        <v>35658391.302615702</v>
      </c>
      <c r="J86">
        <v>32373195.695466701</v>
      </c>
      <c r="M86">
        <v>35087463.435541697</v>
      </c>
      <c r="N86">
        <v>15.176304</v>
      </c>
      <c r="O86">
        <v>15.927899</v>
      </c>
      <c r="P86">
        <v>33374075.161474999</v>
      </c>
      <c r="Q86">
        <v>17.283166999999999</v>
      </c>
      <c r="R86">
        <v>32497206.350340899</v>
      </c>
      <c r="S86">
        <v>37882663.331041902</v>
      </c>
      <c r="T86" t="s">
        <v>96</v>
      </c>
      <c r="U86" t="s">
        <v>1192</v>
      </c>
      <c r="V86">
        <v>1</v>
      </c>
      <c r="W86">
        <v>3.8969999999999998</v>
      </c>
      <c r="X86">
        <v>3.93</v>
      </c>
      <c r="Y86">
        <v>1</v>
      </c>
      <c r="Z86" s="3">
        <v>15283496558.459999</v>
      </c>
      <c r="AA86">
        <v>0</v>
      </c>
      <c r="AB86">
        <v>0</v>
      </c>
      <c r="AC86">
        <v>17.80593125</v>
      </c>
      <c r="AD86">
        <v>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</row>
    <row r="87" spans="1:54" x14ac:dyDescent="0.25">
      <c r="A87">
        <v>67</v>
      </c>
      <c r="B87" t="s">
        <v>483</v>
      </c>
      <c r="C87" t="s">
        <v>695</v>
      </c>
      <c r="D87" t="s">
        <v>904</v>
      </c>
      <c r="E87" t="s">
        <v>93</v>
      </c>
      <c r="F87">
        <v>1964323646</v>
      </c>
      <c r="G87">
        <v>10.185</v>
      </c>
      <c r="H87" t="s">
        <v>97</v>
      </c>
      <c r="I87">
        <v>118002533.07871599</v>
      </c>
      <c r="J87">
        <v>138615756.881567</v>
      </c>
      <c r="M87">
        <v>117505340.483454</v>
      </c>
      <c r="N87">
        <v>29.015180000000001</v>
      </c>
      <c r="O87">
        <v>29.567595000000001</v>
      </c>
      <c r="P87">
        <v>128384546.882495</v>
      </c>
      <c r="Q87">
        <v>33.109596000000003</v>
      </c>
      <c r="R87">
        <v>118452609.213038</v>
      </c>
      <c r="S87">
        <v>137925878.805994</v>
      </c>
      <c r="T87" t="s">
        <v>96</v>
      </c>
      <c r="U87" t="s">
        <v>1113</v>
      </c>
      <c r="V87">
        <v>1</v>
      </c>
      <c r="W87">
        <v>10.914999999999999</v>
      </c>
      <c r="X87">
        <v>10.185</v>
      </c>
      <c r="Y87">
        <v>0.75</v>
      </c>
      <c r="Z87" s="3">
        <v>15004977250.8825</v>
      </c>
      <c r="AA87">
        <v>0</v>
      </c>
      <c r="AB87">
        <v>0</v>
      </c>
      <c r="AC87">
        <v>14.90606828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</row>
    <row r="88" spans="1:54" x14ac:dyDescent="0.25">
      <c r="A88">
        <v>10</v>
      </c>
      <c r="B88" t="s">
        <v>442</v>
      </c>
      <c r="C88" t="s">
        <v>654</v>
      </c>
      <c r="D88" t="s">
        <v>863</v>
      </c>
      <c r="E88" t="s">
        <v>90</v>
      </c>
      <c r="F88">
        <v>271664580</v>
      </c>
      <c r="G88">
        <v>72.3</v>
      </c>
      <c r="H88" t="s">
        <v>97</v>
      </c>
      <c r="I88">
        <v>20246957.9770298</v>
      </c>
      <c r="J88">
        <v>29953648.618333299</v>
      </c>
      <c r="M88">
        <v>20198479.027867399</v>
      </c>
      <c r="N88">
        <v>24.410724999999999</v>
      </c>
      <c r="O88">
        <v>25.172602000000001</v>
      </c>
      <c r="P88">
        <v>20028280.788249999</v>
      </c>
      <c r="Q88">
        <v>26.763634</v>
      </c>
      <c r="R88">
        <v>22012304.692802999</v>
      </c>
      <c r="S88">
        <v>25638744.9053693</v>
      </c>
      <c r="T88" t="s">
        <v>96</v>
      </c>
      <c r="U88" t="s">
        <v>1072</v>
      </c>
      <c r="V88">
        <v>1</v>
      </c>
      <c r="W88">
        <v>85.25</v>
      </c>
      <c r="X88">
        <v>72.3</v>
      </c>
      <c r="Y88">
        <v>0.75</v>
      </c>
      <c r="Z88" s="3">
        <v>14731011850.5</v>
      </c>
      <c r="AA88">
        <v>0</v>
      </c>
      <c r="AB88">
        <v>0</v>
      </c>
      <c r="AC88">
        <v>24.903425729999999</v>
      </c>
      <c r="AD88">
        <v>2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</row>
    <row r="89" spans="1:54" x14ac:dyDescent="0.25">
      <c r="A89">
        <v>82</v>
      </c>
      <c r="B89" t="s">
        <v>497</v>
      </c>
      <c r="C89" t="s">
        <v>708</v>
      </c>
      <c r="D89" t="s">
        <v>917</v>
      </c>
      <c r="E89" t="s">
        <v>89</v>
      </c>
      <c r="F89">
        <v>3025902350</v>
      </c>
      <c r="G89">
        <v>16.100000000000001</v>
      </c>
      <c r="H89" t="s">
        <v>97</v>
      </c>
      <c r="I89">
        <v>84339066.058767796</v>
      </c>
      <c r="J89">
        <v>59516636.676700003</v>
      </c>
      <c r="M89">
        <v>68980903.918074206</v>
      </c>
      <c r="N89">
        <v>21.676100000000002</v>
      </c>
      <c r="O89">
        <v>22.055337999999999</v>
      </c>
      <c r="P89">
        <v>66604680.209233001</v>
      </c>
      <c r="Q89">
        <v>23.28988</v>
      </c>
      <c r="R89">
        <v>70719482.2160348</v>
      </c>
      <c r="S89">
        <v>82418820.723665595</v>
      </c>
      <c r="T89" t="s">
        <v>96</v>
      </c>
      <c r="U89" t="s">
        <v>1127</v>
      </c>
      <c r="V89">
        <v>1</v>
      </c>
      <c r="W89">
        <v>17.239999999999998</v>
      </c>
      <c r="X89">
        <v>16.100000000000001</v>
      </c>
      <c r="Y89">
        <v>0.3</v>
      </c>
      <c r="Z89" s="3">
        <v>14615108350.5</v>
      </c>
      <c r="AA89">
        <v>0</v>
      </c>
      <c r="AB89">
        <v>0</v>
      </c>
      <c r="AC89">
        <v>17.679375</v>
      </c>
      <c r="AD89">
        <v>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</row>
    <row r="90" spans="1:54" x14ac:dyDescent="0.25">
      <c r="A90">
        <v>31</v>
      </c>
      <c r="B90" t="s">
        <v>456</v>
      </c>
      <c r="C90" t="s">
        <v>668</v>
      </c>
      <c r="D90" t="s">
        <v>877</v>
      </c>
      <c r="E90" t="s">
        <v>91</v>
      </c>
      <c r="F90">
        <v>852809772</v>
      </c>
      <c r="G90">
        <v>34.049999999999997</v>
      </c>
      <c r="H90" t="s">
        <v>97</v>
      </c>
      <c r="I90">
        <v>62468386.297103196</v>
      </c>
      <c r="J90">
        <v>64674461.322366603</v>
      </c>
      <c r="M90">
        <v>53981579.3471689</v>
      </c>
      <c r="N90">
        <v>29.976787999999999</v>
      </c>
      <c r="O90">
        <v>30.287752000000001</v>
      </c>
      <c r="P90">
        <v>55963210.089063004</v>
      </c>
      <c r="Q90">
        <v>33.902442999999998</v>
      </c>
      <c r="R90">
        <v>60438822.291762099</v>
      </c>
      <c r="S90">
        <v>70415381.574164093</v>
      </c>
      <c r="T90" t="s">
        <v>96</v>
      </c>
      <c r="U90" t="s">
        <v>1086</v>
      </c>
      <c r="V90">
        <v>1</v>
      </c>
      <c r="W90">
        <v>38.78</v>
      </c>
      <c r="X90">
        <v>34.049999999999997</v>
      </c>
      <c r="Y90">
        <v>0.5</v>
      </c>
      <c r="Z90" s="3">
        <v>14519086368.299999</v>
      </c>
      <c r="AA90">
        <v>0</v>
      </c>
      <c r="AB90">
        <v>0</v>
      </c>
      <c r="AC90">
        <v>28.544374999999999</v>
      </c>
      <c r="AD90">
        <v>3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</row>
    <row r="91" spans="1:54" x14ac:dyDescent="0.25">
      <c r="A91">
        <v>190</v>
      </c>
      <c r="B91" t="s">
        <v>571</v>
      </c>
      <c r="C91" t="s">
        <v>782</v>
      </c>
      <c r="D91" t="s">
        <v>991</v>
      </c>
      <c r="E91" t="s">
        <v>88</v>
      </c>
      <c r="F91">
        <v>129242250</v>
      </c>
      <c r="G91">
        <v>112.3</v>
      </c>
      <c r="H91" t="s">
        <v>97</v>
      </c>
      <c r="I91">
        <v>40151267.4671937</v>
      </c>
      <c r="J91">
        <v>36774655.226666696</v>
      </c>
      <c r="M91">
        <v>35465716.520265199</v>
      </c>
      <c r="N91">
        <v>28.107320000000001</v>
      </c>
      <c r="O91">
        <v>29.944199999999999</v>
      </c>
      <c r="P91">
        <v>35914347.717249997</v>
      </c>
      <c r="Q91">
        <v>29.159431000000001</v>
      </c>
      <c r="R91">
        <v>34517666.854924202</v>
      </c>
      <c r="S91">
        <v>40228548.298423097</v>
      </c>
      <c r="T91" t="s">
        <v>96</v>
      </c>
      <c r="U91" t="s">
        <v>1201</v>
      </c>
      <c r="V91">
        <v>1</v>
      </c>
      <c r="W91">
        <v>121.1</v>
      </c>
      <c r="X91">
        <v>112.3</v>
      </c>
      <c r="Y91">
        <v>1</v>
      </c>
      <c r="Z91" s="3">
        <v>14513904675</v>
      </c>
      <c r="AA91">
        <v>0</v>
      </c>
      <c r="AB91">
        <v>0</v>
      </c>
      <c r="AC91">
        <v>13.395031380000001</v>
      </c>
      <c r="AD91">
        <v>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</row>
    <row r="92" spans="1:54" x14ac:dyDescent="0.25">
      <c r="A92">
        <v>49</v>
      </c>
      <c r="B92" t="s">
        <v>471</v>
      </c>
      <c r="C92" t="s">
        <v>683</v>
      </c>
      <c r="D92" t="s">
        <v>892</v>
      </c>
      <c r="E92" t="s">
        <v>93</v>
      </c>
      <c r="F92">
        <v>1515182126</v>
      </c>
      <c r="G92">
        <v>12.49</v>
      </c>
      <c r="H92" t="s">
        <v>97</v>
      </c>
      <c r="I92">
        <v>93365593.060613096</v>
      </c>
      <c r="J92">
        <v>98183842.557333395</v>
      </c>
      <c r="M92">
        <v>78059309.205129802</v>
      </c>
      <c r="N92">
        <v>26.154765999999999</v>
      </c>
      <c r="O92">
        <v>27.14386</v>
      </c>
      <c r="P92">
        <v>81810215.015719995</v>
      </c>
      <c r="Q92">
        <v>31.017101</v>
      </c>
      <c r="R92">
        <v>86464567.5744697</v>
      </c>
      <c r="S92">
        <v>100818039.01477601</v>
      </c>
      <c r="T92" t="s">
        <v>96</v>
      </c>
      <c r="U92" t="s">
        <v>1101</v>
      </c>
      <c r="V92">
        <v>1</v>
      </c>
      <c r="W92">
        <v>12.515000000000001</v>
      </c>
      <c r="X92">
        <v>12.49</v>
      </c>
      <c r="Y92">
        <v>0.75</v>
      </c>
      <c r="Z92" s="3">
        <v>14193468565.305</v>
      </c>
      <c r="AA92">
        <v>0</v>
      </c>
      <c r="AB92">
        <v>0</v>
      </c>
      <c r="AC92">
        <v>16.013312500000001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</row>
    <row r="93" spans="1:54" x14ac:dyDescent="0.25">
      <c r="A93">
        <v>97</v>
      </c>
      <c r="B93" t="s">
        <v>506</v>
      </c>
      <c r="C93" t="s">
        <v>717</v>
      </c>
      <c r="D93" t="s">
        <v>926</v>
      </c>
      <c r="E93" t="s">
        <v>91</v>
      </c>
      <c r="F93">
        <v>265676388</v>
      </c>
      <c r="G93">
        <v>71.14</v>
      </c>
      <c r="H93" t="s">
        <v>97</v>
      </c>
      <c r="I93">
        <v>45570748.620960802</v>
      </c>
      <c r="J93">
        <v>44527239.684</v>
      </c>
      <c r="M93">
        <v>45048724.642424203</v>
      </c>
      <c r="N93">
        <v>18.854927</v>
      </c>
      <c r="O93">
        <v>18.559045999999999</v>
      </c>
      <c r="P93">
        <v>45027008.140500002</v>
      </c>
      <c r="Q93">
        <v>21.092438000000001</v>
      </c>
      <c r="R93">
        <v>48035208.430909097</v>
      </c>
      <c r="S93">
        <v>56032442.922977298</v>
      </c>
      <c r="T93" t="s">
        <v>96</v>
      </c>
      <c r="U93" t="s">
        <v>1136</v>
      </c>
      <c r="V93">
        <v>1</v>
      </c>
      <c r="W93">
        <v>68.3</v>
      </c>
      <c r="X93">
        <v>71.14</v>
      </c>
      <c r="Y93">
        <v>0.75</v>
      </c>
      <c r="Z93" s="3">
        <v>14175163681.74</v>
      </c>
      <c r="AA93">
        <v>0</v>
      </c>
      <c r="AB93">
        <v>0</v>
      </c>
      <c r="AC93">
        <v>13.741619999999999</v>
      </c>
      <c r="AD93">
        <v>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</row>
    <row r="94" spans="1:54" x14ac:dyDescent="0.25">
      <c r="A94">
        <v>252</v>
      </c>
      <c r="B94" t="s">
        <v>611</v>
      </c>
      <c r="C94" t="s">
        <v>821</v>
      </c>
      <c r="D94" t="s">
        <v>1030</v>
      </c>
      <c r="E94" t="s">
        <v>88</v>
      </c>
      <c r="F94">
        <v>1128000000</v>
      </c>
      <c r="G94">
        <v>41.77</v>
      </c>
      <c r="H94" t="s">
        <v>97</v>
      </c>
      <c r="I94">
        <v>42332557.685039498</v>
      </c>
      <c r="J94">
        <v>64344610.32</v>
      </c>
      <c r="M94">
        <v>40603151.479583301</v>
      </c>
      <c r="N94">
        <v>23.769058000000001</v>
      </c>
      <c r="O94">
        <v>25.931077999999999</v>
      </c>
      <c r="P94">
        <v>39621447.7227</v>
      </c>
      <c r="Q94">
        <v>25.930225</v>
      </c>
      <c r="R94">
        <v>40522478.966515198</v>
      </c>
      <c r="S94">
        <v>47164247.441929802</v>
      </c>
      <c r="T94" t="s">
        <v>96</v>
      </c>
      <c r="U94" t="s">
        <v>1241</v>
      </c>
      <c r="V94">
        <v>1</v>
      </c>
      <c r="W94">
        <v>44.21</v>
      </c>
      <c r="X94">
        <v>41.77</v>
      </c>
      <c r="Y94">
        <v>0.3</v>
      </c>
      <c r="Z94" s="3">
        <v>14134968000</v>
      </c>
      <c r="AA94">
        <v>0</v>
      </c>
      <c r="AB94">
        <v>0</v>
      </c>
      <c r="AC94">
        <v>16.79945</v>
      </c>
      <c r="AD94">
        <v>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</row>
    <row r="95" spans="1:54" x14ac:dyDescent="0.25">
      <c r="A95">
        <v>52</v>
      </c>
      <c r="B95" t="s">
        <v>473</v>
      </c>
      <c r="C95" t="s">
        <v>685</v>
      </c>
      <c r="D95" t="s">
        <v>894</v>
      </c>
      <c r="E95" t="s">
        <v>298</v>
      </c>
      <c r="F95">
        <v>952667062</v>
      </c>
      <c r="G95">
        <v>15.285</v>
      </c>
      <c r="H95" t="s">
        <v>97</v>
      </c>
      <c r="I95">
        <v>26379539.3269106</v>
      </c>
      <c r="J95">
        <v>34890746.173193403</v>
      </c>
      <c r="M95">
        <v>24393214.927760601</v>
      </c>
      <c r="N95">
        <v>27.000996000000001</v>
      </c>
      <c r="O95">
        <v>27.034369999999999</v>
      </c>
      <c r="P95">
        <v>24540544.156133998</v>
      </c>
      <c r="Q95">
        <v>31.422450999999999</v>
      </c>
      <c r="R95">
        <v>27427016.812621199</v>
      </c>
      <c r="S95">
        <v>31954007.670451399</v>
      </c>
      <c r="T95" t="s">
        <v>96</v>
      </c>
      <c r="U95" t="s">
        <v>1103</v>
      </c>
      <c r="V95">
        <v>1</v>
      </c>
      <c r="W95">
        <v>16.03</v>
      </c>
      <c r="X95">
        <v>15.285</v>
      </c>
      <c r="Y95">
        <v>0.95000000000000007</v>
      </c>
      <c r="Z95" s="3">
        <v>13833440240.536501</v>
      </c>
      <c r="AA95">
        <v>0</v>
      </c>
      <c r="AB95">
        <v>0</v>
      </c>
      <c r="AC95">
        <v>15.908151869999999</v>
      </c>
      <c r="AD95">
        <v>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</row>
    <row r="96" spans="1:54" x14ac:dyDescent="0.25">
      <c r="A96">
        <v>268</v>
      </c>
      <c r="B96" t="s">
        <v>626</v>
      </c>
      <c r="C96" t="s">
        <v>836</v>
      </c>
      <c r="D96" t="s">
        <v>1045</v>
      </c>
      <c r="E96" t="s">
        <v>90</v>
      </c>
      <c r="F96">
        <v>5670161600</v>
      </c>
      <c r="G96">
        <v>3.6739999999999999</v>
      </c>
      <c r="H96" t="s">
        <v>97</v>
      </c>
      <c r="I96">
        <v>48287553.194833398</v>
      </c>
      <c r="J96">
        <v>74422798.889666602</v>
      </c>
      <c r="M96">
        <v>44619545.7789886</v>
      </c>
      <c r="N96">
        <v>25.740437</v>
      </c>
      <c r="O96">
        <v>27.109938</v>
      </c>
      <c r="P96">
        <v>39811048.662450999</v>
      </c>
      <c r="Q96">
        <v>25.548386000000001</v>
      </c>
      <c r="R96">
        <v>43947815.967125803</v>
      </c>
      <c r="S96">
        <v>51083976.447846003</v>
      </c>
      <c r="T96" t="s">
        <v>96</v>
      </c>
      <c r="U96" t="s">
        <v>1256</v>
      </c>
      <c r="V96">
        <v>1</v>
      </c>
      <c r="W96">
        <v>3.4580000000000002</v>
      </c>
      <c r="X96">
        <v>3.6739999999999999</v>
      </c>
      <c r="Y96">
        <v>0.65</v>
      </c>
      <c r="Z96" s="3">
        <v>13540912916.959999</v>
      </c>
      <c r="AA96">
        <v>0</v>
      </c>
      <c r="AB96">
        <v>0</v>
      </c>
      <c r="AC96">
        <v>13.30714375</v>
      </c>
      <c r="AD96">
        <v>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</row>
    <row r="97" spans="1:54" x14ac:dyDescent="0.25">
      <c r="A97">
        <v>271</v>
      </c>
      <c r="B97" t="s">
        <v>629</v>
      </c>
      <c r="C97" t="s">
        <v>839</v>
      </c>
      <c r="D97" t="s">
        <v>1048</v>
      </c>
      <c r="E97" t="s">
        <v>93</v>
      </c>
      <c r="F97">
        <v>2009992000</v>
      </c>
      <c r="G97">
        <v>9.1760000000000002</v>
      </c>
      <c r="H97" t="s">
        <v>97</v>
      </c>
      <c r="I97">
        <v>33349787.930555601</v>
      </c>
      <c r="J97">
        <v>31217390.522999998</v>
      </c>
      <c r="M97">
        <v>29523792.740114499</v>
      </c>
      <c r="N97">
        <v>11.922724000000001</v>
      </c>
      <c r="O97">
        <v>11.499551</v>
      </c>
      <c r="P97">
        <v>28453589.722240001</v>
      </c>
      <c r="Q97">
        <v>16.657817999999999</v>
      </c>
      <c r="R97">
        <v>29841574.285136402</v>
      </c>
      <c r="S97">
        <v>34776647.883451797</v>
      </c>
      <c r="T97" t="s">
        <v>96</v>
      </c>
      <c r="U97" t="s">
        <v>1259</v>
      </c>
      <c r="V97">
        <v>1</v>
      </c>
      <c r="W97">
        <v>8.7959999999999994</v>
      </c>
      <c r="X97">
        <v>9.1760000000000002</v>
      </c>
      <c r="Y97">
        <v>0.70000000000000007</v>
      </c>
      <c r="Z97" s="3">
        <v>12910580614.4</v>
      </c>
      <c r="AA97">
        <v>0</v>
      </c>
      <c r="AB97">
        <v>0</v>
      </c>
      <c r="AC97">
        <v>9.5906313000000001</v>
      </c>
      <c r="AD97">
        <v>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</row>
    <row r="98" spans="1:54" x14ac:dyDescent="0.25">
      <c r="A98">
        <v>168</v>
      </c>
      <c r="B98" t="s">
        <v>554</v>
      </c>
      <c r="C98" t="s">
        <v>765</v>
      </c>
      <c r="D98" t="s">
        <v>974</v>
      </c>
      <c r="E98" t="s">
        <v>298</v>
      </c>
      <c r="F98">
        <v>161600095</v>
      </c>
      <c r="G98">
        <v>78.25</v>
      </c>
      <c r="H98" t="s">
        <v>97</v>
      </c>
      <c r="I98">
        <v>30157993.116264202</v>
      </c>
      <c r="J98">
        <v>23326289.014433298</v>
      </c>
      <c r="M98">
        <v>27834502.186459102</v>
      </c>
      <c r="N98">
        <v>19.796541000000001</v>
      </c>
      <c r="O98">
        <v>21.020389999999999</v>
      </c>
      <c r="P98">
        <v>27464914.078428999</v>
      </c>
      <c r="Q98">
        <v>21.261040000000001</v>
      </c>
      <c r="R98">
        <v>27954651.848604601</v>
      </c>
      <c r="S98">
        <v>32578410.796717498</v>
      </c>
      <c r="T98" t="s">
        <v>96</v>
      </c>
      <c r="U98" t="s">
        <v>1184</v>
      </c>
      <c r="V98">
        <v>1</v>
      </c>
      <c r="W98">
        <v>76.150000000000006</v>
      </c>
      <c r="X98">
        <v>78.25</v>
      </c>
      <c r="Y98">
        <v>1</v>
      </c>
      <c r="Z98" s="3">
        <v>12645207433.75</v>
      </c>
      <c r="AA98">
        <v>0</v>
      </c>
      <c r="AB98">
        <v>0</v>
      </c>
      <c r="AC98">
        <v>19.603209719999999</v>
      </c>
      <c r="AD98">
        <v>2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</row>
    <row r="99" spans="1:54" x14ac:dyDescent="0.25">
      <c r="A99">
        <v>121</v>
      </c>
      <c r="B99" t="s">
        <v>520</v>
      </c>
      <c r="C99" t="s">
        <v>731</v>
      </c>
      <c r="D99" t="s">
        <v>940</v>
      </c>
      <c r="E99" t="s">
        <v>93</v>
      </c>
      <c r="F99">
        <v>611575321</v>
      </c>
      <c r="G99">
        <v>20.61</v>
      </c>
      <c r="H99" t="s">
        <v>97</v>
      </c>
      <c r="I99">
        <v>33440077.465277798</v>
      </c>
      <c r="J99">
        <v>40610685.044833302</v>
      </c>
      <c r="M99">
        <v>29734704.708759502</v>
      </c>
      <c r="N99">
        <v>21.358699999999999</v>
      </c>
      <c r="O99">
        <v>21.838647999999999</v>
      </c>
      <c r="P99">
        <v>29737565.6063</v>
      </c>
      <c r="Q99">
        <v>28.248255</v>
      </c>
      <c r="R99">
        <v>30768075.203522701</v>
      </c>
      <c r="S99">
        <v>35827355.485031597</v>
      </c>
      <c r="T99" t="s">
        <v>96</v>
      </c>
      <c r="U99" t="s">
        <v>1150</v>
      </c>
      <c r="V99">
        <v>1</v>
      </c>
      <c r="W99">
        <v>21.42</v>
      </c>
      <c r="X99">
        <v>20.61</v>
      </c>
      <c r="Y99">
        <v>1</v>
      </c>
      <c r="Z99" s="3">
        <v>12604567365.809999</v>
      </c>
      <c r="AA99">
        <v>0</v>
      </c>
      <c r="AB99">
        <v>0</v>
      </c>
      <c r="AC99">
        <v>11.39868437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</row>
    <row r="100" spans="1:54" x14ac:dyDescent="0.25">
      <c r="A100">
        <v>194</v>
      </c>
      <c r="B100" t="s">
        <v>575</v>
      </c>
      <c r="C100" t="s">
        <v>785</v>
      </c>
      <c r="D100" t="s">
        <v>994</v>
      </c>
      <c r="E100" t="s">
        <v>93</v>
      </c>
      <c r="F100">
        <v>274805954</v>
      </c>
      <c r="G100">
        <v>56.22</v>
      </c>
      <c r="H100" t="s">
        <v>97</v>
      </c>
      <c r="I100">
        <v>54061411.519027799</v>
      </c>
      <c r="J100">
        <v>50778959.577333301</v>
      </c>
      <c r="M100">
        <v>46942750.371832103</v>
      </c>
      <c r="N100">
        <v>30.377077</v>
      </c>
      <c r="O100">
        <v>30.969805000000001</v>
      </c>
      <c r="P100">
        <v>48704269.212049998</v>
      </c>
      <c r="Q100">
        <v>31.709493999999999</v>
      </c>
      <c r="R100">
        <v>52477234.572196901</v>
      </c>
      <c r="S100">
        <v>61166985.025174297</v>
      </c>
      <c r="T100" t="s">
        <v>96</v>
      </c>
      <c r="U100" t="s">
        <v>1205</v>
      </c>
      <c r="V100">
        <v>1</v>
      </c>
      <c r="W100">
        <v>57.82</v>
      </c>
      <c r="X100">
        <v>56.22</v>
      </c>
      <c r="Y100">
        <v>0.8</v>
      </c>
      <c r="Z100" s="3">
        <v>12359672587.104</v>
      </c>
      <c r="AA100">
        <v>0</v>
      </c>
      <c r="AB100">
        <v>0</v>
      </c>
      <c r="AC100">
        <v>8.4797075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</row>
    <row r="101" spans="1:54" x14ac:dyDescent="0.25">
      <c r="A101">
        <v>260</v>
      </c>
      <c r="B101" t="s">
        <v>618</v>
      </c>
      <c r="C101" t="s">
        <v>828</v>
      </c>
      <c r="D101" t="s">
        <v>1037</v>
      </c>
      <c r="E101" t="s">
        <v>89</v>
      </c>
      <c r="F101">
        <v>911281920</v>
      </c>
      <c r="G101">
        <v>18.809999999999999</v>
      </c>
      <c r="H101" t="s">
        <v>97</v>
      </c>
      <c r="I101">
        <v>64778778.149163499</v>
      </c>
      <c r="J101">
        <v>50209176.565833397</v>
      </c>
      <c r="M101">
        <v>59554164.741278</v>
      </c>
      <c r="N101">
        <v>47.060696</v>
      </c>
      <c r="O101">
        <v>46.846195000000002</v>
      </c>
      <c r="P101">
        <v>59355774.194086999</v>
      </c>
      <c r="Q101">
        <v>46.632854000000002</v>
      </c>
      <c r="R101">
        <v>55956716.336646996</v>
      </c>
      <c r="S101">
        <v>65220854.741007604</v>
      </c>
      <c r="T101" t="s">
        <v>96</v>
      </c>
      <c r="U101" t="s">
        <v>1248</v>
      </c>
      <c r="V101">
        <v>1</v>
      </c>
      <c r="W101">
        <v>22.045000000000002</v>
      </c>
      <c r="X101">
        <v>18.809999999999999</v>
      </c>
      <c r="Y101">
        <v>0.70000000000000007</v>
      </c>
      <c r="Z101" s="3">
        <v>11998849040.639999</v>
      </c>
      <c r="AA101">
        <v>0</v>
      </c>
      <c r="AB101">
        <v>0</v>
      </c>
      <c r="AC101">
        <v>14.93642625</v>
      </c>
      <c r="AD101">
        <v>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</row>
    <row r="102" spans="1:54" x14ac:dyDescent="0.25">
      <c r="A102">
        <v>254</v>
      </c>
      <c r="B102" t="s">
        <v>613</v>
      </c>
      <c r="C102" t="s">
        <v>823</v>
      </c>
      <c r="D102" t="s">
        <v>1032</v>
      </c>
      <c r="E102" t="s">
        <v>93</v>
      </c>
      <c r="F102">
        <v>3360857809</v>
      </c>
      <c r="G102">
        <v>5.7220000000000004</v>
      </c>
      <c r="H102" t="s">
        <v>97</v>
      </c>
      <c r="I102">
        <v>33964139.3940873</v>
      </c>
      <c r="J102">
        <v>31908615.6106667</v>
      </c>
      <c r="M102">
        <v>29086309.5383511</v>
      </c>
      <c r="N102">
        <v>12.133817000000001</v>
      </c>
      <c r="O102">
        <v>11.111743000000001</v>
      </c>
      <c r="P102">
        <v>26729653.414209999</v>
      </c>
      <c r="Q102">
        <v>15.706580000000001</v>
      </c>
      <c r="R102">
        <v>28391556.612893999</v>
      </c>
      <c r="S102">
        <v>33079949.500856601</v>
      </c>
      <c r="T102" t="s">
        <v>96</v>
      </c>
      <c r="U102" t="s">
        <v>1243</v>
      </c>
      <c r="V102">
        <v>1</v>
      </c>
      <c r="W102">
        <v>5.56</v>
      </c>
      <c r="X102">
        <v>5.7220000000000004</v>
      </c>
      <c r="Y102">
        <v>0.60000000000000009</v>
      </c>
      <c r="Z102" s="3">
        <v>11538497029.858801</v>
      </c>
      <c r="AA102">
        <v>0</v>
      </c>
      <c r="AB102">
        <v>0</v>
      </c>
      <c r="AC102">
        <v>16.654717439999999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</row>
    <row r="103" spans="1:54" x14ac:dyDescent="0.25">
      <c r="A103">
        <v>144</v>
      </c>
      <c r="B103" t="s">
        <v>540</v>
      </c>
      <c r="C103" t="s">
        <v>751</v>
      </c>
      <c r="D103" t="s">
        <v>960</v>
      </c>
      <c r="E103" t="s">
        <v>88</v>
      </c>
      <c r="F103">
        <v>178162870</v>
      </c>
      <c r="G103">
        <v>70.22</v>
      </c>
      <c r="H103" t="s">
        <v>97</v>
      </c>
      <c r="I103">
        <v>32154117.8947035</v>
      </c>
      <c r="J103">
        <v>27743753.193333302</v>
      </c>
      <c r="M103">
        <v>29354170.522121198</v>
      </c>
      <c r="N103">
        <v>14.580662999999999</v>
      </c>
      <c r="O103">
        <v>14.910209</v>
      </c>
      <c r="P103">
        <v>27521956.030000001</v>
      </c>
      <c r="Q103">
        <v>17.433138</v>
      </c>
      <c r="R103">
        <v>27490733.013030302</v>
      </c>
      <c r="S103">
        <v>32049005.612376198</v>
      </c>
      <c r="T103" t="s">
        <v>96</v>
      </c>
      <c r="U103" t="s">
        <v>1170</v>
      </c>
      <c r="V103">
        <v>1</v>
      </c>
      <c r="W103">
        <v>70.34</v>
      </c>
      <c r="X103">
        <v>70.22</v>
      </c>
      <c r="Y103">
        <v>0.9</v>
      </c>
      <c r="Z103" s="3">
        <v>11259537058.26</v>
      </c>
      <c r="AA103">
        <v>0</v>
      </c>
      <c r="AB103">
        <v>0</v>
      </c>
      <c r="AC103">
        <v>17.338355320000002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</row>
    <row r="104" spans="1:54" x14ac:dyDescent="0.25">
      <c r="A104">
        <v>281</v>
      </c>
      <c r="B104" t="s">
        <v>634</v>
      </c>
      <c r="C104" t="s">
        <v>844</v>
      </c>
      <c r="D104" t="s">
        <v>1053</v>
      </c>
      <c r="E104" t="s">
        <v>89</v>
      </c>
      <c r="F104">
        <v>143244727</v>
      </c>
      <c r="G104">
        <v>89.4</v>
      </c>
      <c r="H104" t="s">
        <v>97</v>
      </c>
      <c r="I104">
        <v>28306035.552867498</v>
      </c>
      <c r="J104">
        <v>32210410.493866701</v>
      </c>
      <c r="M104">
        <v>30257286.661221199</v>
      </c>
      <c r="N104">
        <v>14.066682</v>
      </c>
      <c r="O104">
        <v>13.979574</v>
      </c>
      <c r="P104">
        <v>29591643.248512</v>
      </c>
      <c r="Q104">
        <v>22.941590000000001</v>
      </c>
      <c r="R104">
        <v>30261930.0130485</v>
      </c>
      <c r="S104">
        <v>35274239.8868424</v>
      </c>
      <c r="T104" t="s">
        <v>96</v>
      </c>
      <c r="U104" t="s">
        <v>1264</v>
      </c>
      <c r="V104">
        <v>1</v>
      </c>
      <c r="W104">
        <v>92.08</v>
      </c>
      <c r="X104">
        <v>89.4</v>
      </c>
      <c r="Y104">
        <v>0.85000000000000009</v>
      </c>
      <c r="Z104" s="3">
        <v>10885166804.73</v>
      </c>
      <c r="AA104">
        <v>0</v>
      </c>
      <c r="AB104">
        <v>0</v>
      </c>
      <c r="AC104">
        <v>7.0345874999999998</v>
      </c>
      <c r="AD104">
        <v>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</row>
    <row r="105" spans="1:54" x14ac:dyDescent="0.25">
      <c r="A105">
        <v>170</v>
      </c>
      <c r="B105" t="s">
        <v>556</v>
      </c>
      <c r="C105" t="s">
        <v>767</v>
      </c>
      <c r="D105" t="s">
        <v>976</v>
      </c>
      <c r="E105" t="s">
        <v>298</v>
      </c>
      <c r="F105">
        <v>180396053</v>
      </c>
      <c r="G105">
        <v>66.650000000000006</v>
      </c>
      <c r="H105" t="s">
        <v>97</v>
      </c>
      <c r="I105">
        <v>29569493.0857535</v>
      </c>
      <c r="J105">
        <v>34033474.891393401</v>
      </c>
      <c r="M105">
        <v>27582771.624606799</v>
      </c>
      <c r="N105">
        <v>31.069759999999999</v>
      </c>
      <c r="O105">
        <v>32.048541999999998</v>
      </c>
      <c r="P105">
        <v>27576234.435449999</v>
      </c>
      <c r="Q105">
        <v>32.419617000000002</v>
      </c>
      <c r="R105">
        <v>27975130.233648501</v>
      </c>
      <c r="S105">
        <v>32583250.155760601</v>
      </c>
      <c r="T105" t="s">
        <v>96</v>
      </c>
      <c r="U105" t="s">
        <v>1186</v>
      </c>
      <c r="V105">
        <v>1</v>
      </c>
      <c r="W105">
        <v>75.349999999999994</v>
      </c>
      <c r="X105">
        <v>66.650000000000006</v>
      </c>
      <c r="Y105">
        <v>0.85000000000000009</v>
      </c>
      <c r="Z105" s="3">
        <v>10219887392.5825</v>
      </c>
      <c r="AA105">
        <v>0</v>
      </c>
      <c r="AB105">
        <v>0</v>
      </c>
      <c r="AC105">
        <v>19.335958120000001</v>
      </c>
      <c r="AD105">
        <v>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</row>
    <row r="106" spans="1:54" x14ac:dyDescent="0.25">
      <c r="A106">
        <v>115</v>
      </c>
      <c r="B106" t="s">
        <v>516</v>
      </c>
      <c r="C106" t="s">
        <v>727</v>
      </c>
      <c r="D106" t="s">
        <v>936</v>
      </c>
      <c r="E106" t="s">
        <v>89</v>
      </c>
      <c r="F106">
        <v>101542528</v>
      </c>
      <c r="G106">
        <v>128.80000000000001</v>
      </c>
      <c r="H106" t="s">
        <v>97</v>
      </c>
      <c r="I106">
        <v>30339637.472068202</v>
      </c>
      <c r="J106">
        <v>38258975.255000003</v>
      </c>
      <c r="M106">
        <v>30233125.232025798</v>
      </c>
      <c r="N106">
        <v>17.764621999999999</v>
      </c>
      <c r="O106">
        <v>18.336711999999999</v>
      </c>
      <c r="P106">
        <v>30195717.813274</v>
      </c>
      <c r="Q106">
        <v>19.705159999999999</v>
      </c>
      <c r="R106">
        <v>32354510.698899999</v>
      </c>
      <c r="S106">
        <v>37697742.792461701</v>
      </c>
      <c r="T106" t="s">
        <v>96</v>
      </c>
      <c r="U106" t="s">
        <v>1146</v>
      </c>
      <c r="V106">
        <v>1</v>
      </c>
      <c r="W106">
        <v>124.4</v>
      </c>
      <c r="X106">
        <v>128.80000000000001</v>
      </c>
      <c r="Y106">
        <v>0.75</v>
      </c>
      <c r="Z106" s="3">
        <v>9809008204.8000011</v>
      </c>
      <c r="AA106">
        <v>0</v>
      </c>
      <c r="AB106">
        <v>0</v>
      </c>
      <c r="AC106">
        <v>13.10279875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</row>
    <row r="107" spans="1:54" x14ac:dyDescent="0.25">
      <c r="A107">
        <v>215</v>
      </c>
      <c r="B107" t="s">
        <v>590</v>
      </c>
      <c r="C107" t="s">
        <v>800</v>
      </c>
      <c r="D107" t="s">
        <v>1009</v>
      </c>
      <c r="E107" t="s">
        <v>93</v>
      </c>
      <c r="F107">
        <v>1306110000</v>
      </c>
      <c r="G107">
        <v>20.86</v>
      </c>
      <c r="H107" t="s">
        <v>97</v>
      </c>
      <c r="I107">
        <v>34943885.177004002</v>
      </c>
      <c r="J107">
        <v>44417594.620666698</v>
      </c>
      <c r="M107">
        <v>34852640.504408397</v>
      </c>
      <c r="N107">
        <v>16.150262999999999</v>
      </c>
      <c r="O107">
        <v>13.916665999999999</v>
      </c>
      <c r="P107">
        <v>32311767.558075</v>
      </c>
      <c r="Q107">
        <v>18.185117999999999</v>
      </c>
      <c r="R107">
        <v>32700162.815340899</v>
      </c>
      <c r="S107">
        <v>38085130.555267602</v>
      </c>
      <c r="T107" t="s">
        <v>96</v>
      </c>
      <c r="U107" t="s">
        <v>1220</v>
      </c>
      <c r="V107">
        <v>1</v>
      </c>
      <c r="W107">
        <v>20.82</v>
      </c>
      <c r="X107">
        <v>20.86</v>
      </c>
      <c r="Y107">
        <v>0.35</v>
      </c>
      <c r="Z107" s="3">
        <v>9535909110.0000019</v>
      </c>
      <c r="AA107">
        <v>0</v>
      </c>
      <c r="AB107">
        <v>0</v>
      </c>
      <c r="AC107">
        <v>13.451750000000001</v>
      </c>
      <c r="AD107">
        <v>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</row>
    <row r="108" spans="1:54" x14ac:dyDescent="0.25">
      <c r="A108">
        <v>263</v>
      </c>
      <c r="B108" t="s">
        <v>621</v>
      </c>
      <c r="C108" t="s">
        <v>831</v>
      </c>
      <c r="D108" t="s">
        <v>1040</v>
      </c>
      <c r="E108" t="s">
        <v>88</v>
      </c>
      <c r="F108">
        <v>139772050</v>
      </c>
      <c r="G108">
        <v>70.84</v>
      </c>
      <c r="H108" t="s">
        <v>97</v>
      </c>
      <c r="I108">
        <v>32404363.147035599</v>
      </c>
      <c r="J108">
        <v>25714003.912</v>
      </c>
      <c r="M108">
        <v>30797189.517878801</v>
      </c>
      <c r="N108">
        <v>26.827255000000001</v>
      </c>
      <c r="O108">
        <v>26.668620000000001</v>
      </c>
      <c r="P108">
        <v>30584407.894699998</v>
      </c>
      <c r="Q108">
        <v>25.776744999999998</v>
      </c>
      <c r="R108">
        <v>31672296.056060601</v>
      </c>
      <c r="S108">
        <v>36930000.690362602</v>
      </c>
      <c r="T108" t="s">
        <v>96</v>
      </c>
      <c r="U108" t="s">
        <v>1251</v>
      </c>
      <c r="V108">
        <v>1</v>
      </c>
      <c r="W108">
        <v>67</v>
      </c>
      <c r="X108">
        <v>70.84</v>
      </c>
      <c r="Y108">
        <v>0.95</v>
      </c>
      <c r="Z108" s="3">
        <v>9406379420.8999996</v>
      </c>
      <c r="AA108">
        <v>0</v>
      </c>
      <c r="AB108">
        <v>0</v>
      </c>
      <c r="AC108">
        <v>18.733754999999999</v>
      </c>
      <c r="AD108">
        <v>2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</row>
    <row r="109" spans="1:54" x14ac:dyDescent="0.25">
      <c r="A109">
        <v>17</v>
      </c>
      <c r="B109" t="s">
        <v>447</v>
      </c>
      <c r="C109" t="s">
        <v>659</v>
      </c>
      <c r="D109" t="s">
        <v>868</v>
      </c>
      <c r="E109" t="s">
        <v>94</v>
      </c>
      <c r="F109">
        <v>198938286</v>
      </c>
      <c r="G109">
        <v>58.2</v>
      </c>
      <c r="H109" t="s">
        <v>97</v>
      </c>
      <c r="I109">
        <v>19128312.273058798</v>
      </c>
      <c r="J109">
        <v>14317874.028333301</v>
      </c>
      <c r="M109">
        <v>15672484.81875</v>
      </c>
      <c r="N109">
        <v>13.920139000000001</v>
      </c>
      <c r="O109">
        <v>12.620889</v>
      </c>
      <c r="P109">
        <v>14089185.64325</v>
      </c>
      <c r="Q109">
        <v>17.524519999999999</v>
      </c>
      <c r="R109">
        <v>14629298.595454499</v>
      </c>
      <c r="S109">
        <v>17054765.9102805</v>
      </c>
      <c r="T109" t="s">
        <v>96</v>
      </c>
      <c r="U109" t="s">
        <v>1077</v>
      </c>
      <c r="V109">
        <v>1</v>
      </c>
      <c r="W109">
        <v>58.25</v>
      </c>
      <c r="X109">
        <v>58.2</v>
      </c>
      <c r="Y109">
        <v>0.8</v>
      </c>
      <c r="Z109" s="3">
        <v>9262566596.1600018</v>
      </c>
      <c r="AA109">
        <v>0</v>
      </c>
      <c r="AB109">
        <v>0</v>
      </c>
      <c r="AC109">
        <v>12.549737500000001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</row>
    <row r="110" spans="1:54" x14ac:dyDescent="0.25">
      <c r="A110">
        <v>70</v>
      </c>
      <c r="B110" t="s">
        <v>486</v>
      </c>
      <c r="C110" t="s">
        <v>698</v>
      </c>
      <c r="D110" t="s">
        <v>907</v>
      </c>
      <c r="E110" t="s">
        <v>89</v>
      </c>
      <c r="F110">
        <v>453871520</v>
      </c>
      <c r="G110">
        <v>27.08</v>
      </c>
      <c r="H110" t="s">
        <v>97</v>
      </c>
      <c r="I110">
        <v>29922019.682402398</v>
      </c>
      <c r="J110">
        <v>18940476.3288933</v>
      </c>
      <c r="M110">
        <v>24294406.259868201</v>
      </c>
      <c r="N110">
        <v>15.504042999999999</v>
      </c>
      <c r="O110">
        <v>15.029253000000001</v>
      </c>
      <c r="P110">
        <v>22756372.822225999</v>
      </c>
      <c r="Q110">
        <v>19.580254</v>
      </c>
      <c r="R110">
        <v>23901528.872463599</v>
      </c>
      <c r="S110">
        <v>27905628.0882218</v>
      </c>
      <c r="T110" t="s">
        <v>96</v>
      </c>
      <c r="U110" t="s">
        <v>1116</v>
      </c>
      <c r="V110">
        <v>1</v>
      </c>
      <c r="W110">
        <v>26.64</v>
      </c>
      <c r="X110">
        <v>27.08</v>
      </c>
      <c r="Y110">
        <v>0.75</v>
      </c>
      <c r="Z110" s="3">
        <v>9218130571.1999989</v>
      </c>
      <c r="AA110">
        <v>0</v>
      </c>
      <c r="AB110">
        <v>0</v>
      </c>
      <c r="AC110">
        <v>10.1023625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</row>
    <row r="111" spans="1:54" x14ac:dyDescent="0.25">
      <c r="A111">
        <v>75</v>
      </c>
      <c r="B111" t="s">
        <v>490</v>
      </c>
      <c r="C111" t="s">
        <v>702</v>
      </c>
      <c r="D111" t="s">
        <v>911</v>
      </c>
      <c r="E111" t="s">
        <v>89</v>
      </c>
      <c r="F111">
        <v>736314789</v>
      </c>
      <c r="G111">
        <v>12.984999999999999</v>
      </c>
      <c r="H111" t="s">
        <v>97</v>
      </c>
      <c r="I111">
        <v>37541819.934989803</v>
      </c>
      <c r="J111">
        <v>28321516.230640002</v>
      </c>
      <c r="M111">
        <v>34834093.925340198</v>
      </c>
      <c r="N111">
        <v>24.050322000000001</v>
      </c>
      <c r="O111">
        <v>18.931732</v>
      </c>
      <c r="P111">
        <v>30849225.684599001</v>
      </c>
      <c r="Q111">
        <v>22.433056000000001</v>
      </c>
      <c r="R111">
        <v>31618996.200301498</v>
      </c>
      <c r="S111">
        <v>36871077.798372298</v>
      </c>
      <c r="T111" t="s">
        <v>96</v>
      </c>
      <c r="U111" t="s">
        <v>1120</v>
      </c>
      <c r="V111">
        <v>1</v>
      </c>
      <c r="W111">
        <v>14.35</v>
      </c>
      <c r="X111">
        <v>12.984999999999999</v>
      </c>
      <c r="Y111">
        <v>0.95000000000000007</v>
      </c>
      <c r="Z111" s="3">
        <v>9082995158.4067497</v>
      </c>
      <c r="AA111">
        <v>0</v>
      </c>
      <c r="AB111">
        <v>0</v>
      </c>
      <c r="AC111">
        <v>16.519187500000001</v>
      </c>
      <c r="AD111">
        <v>2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</row>
    <row r="112" spans="1:54" x14ac:dyDescent="0.25">
      <c r="A112">
        <v>58</v>
      </c>
      <c r="B112" t="s">
        <v>476</v>
      </c>
      <c r="C112" t="s">
        <v>688</v>
      </c>
      <c r="D112" t="s">
        <v>897</v>
      </c>
      <c r="E112" t="s">
        <v>91</v>
      </c>
      <c r="F112">
        <v>81146738</v>
      </c>
      <c r="G112">
        <v>122.8</v>
      </c>
      <c r="H112" t="s">
        <v>97</v>
      </c>
      <c r="I112">
        <v>57150646.3234118</v>
      </c>
      <c r="J112">
        <v>53220086.113333397</v>
      </c>
      <c r="M112">
        <v>55637346.0594697</v>
      </c>
      <c r="N112">
        <v>44.553173000000001</v>
      </c>
      <c r="O112">
        <v>46.747230000000002</v>
      </c>
      <c r="P112">
        <v>56191432.636500001</v>
      </c>
      <c r="Q112">
        <v>48.745471999999999</v>
      </c>
      <c r="R112">
        <v>60249187.567045502</v>
      </c>
      <c r="S112">
        <v>70226437.618759006</v>
      </c>
      <c r="T112" t="s">
        <v>96</v>
      </c>
      <c r="U112" t="s">
        <v>1106</v>
      </c>
      <c r="V112">
        <v>1</v>
      </c>
      <c r="W112">
        <v>133.6</v>
      </c>
      <c r="X112">
        <v>122.8</v>
      </c>
      <c r="Y112">
        <v>0.9</v>
      </c>
      <c r="Z112" s="3">
        <v>8968337483.7600002</v>
      </c>
      <c r="AA112">
        <v>0</v>
      </c>
      <c r="AB112">
        <v>0</v>
      </c>
      <c r="AC112">
        <v>9.3803774999999998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</row>
    <row r="113" spans="1:54" x14ac:dyDescent="0.25">
      <c r="A113">
        <v>219</v>
      </c>
      <c r="B113" t="s">
        <v>592</v>
      </c>
      <c r="C113" t="s">
        <v>802</v>
      </c>
      <c r="D113" t="s">
        <v>1011</v>
      </c>
      <c r="E113" t="s">
        <v>88</v>
      </c>
      <c r="F113">
        <v>216841000</v>
      </c>
      <c r="G113">
        <v>40.380000000000003</v>
      </c>
      <c r="H113" t="s">
        <v>97</v>
      </c>
      <c r="I113">
        <v>20834691.048992101</v>
      </c>
      <c r="J113">
        <v>19522887.445333298</v>
      </c>
      <c r="M113">
        <v>18531135.955606099</v>
      </c>
      <c r="N113">
        <v>21.019917</v>
      </c>
      <c r="O113">
        <v>22.585272</v>
      </c>
      <c r="P113">
        <v>17652069.930799998</v>
      </c>
      <c r="Q113">
        <v>21.634716000000001</v>
      </c>
      <c r="R113">
        <v>18033050.166439399</v>
      </c>
      <c r="S113">
        <v>21011196.583819602</v>
      </c>
      <c r="T113" t="s">
        <v>96</v>
      </c>
      <c r="U113" t="s">
        <v>1222</v>
      </c>
      <c r="V113">
        <v>1</v>
      </c>
      <c r="W113">
        <v>37.99</v>
      </c>
      <c r="X113">
        <v>40.380000000000003</v>
      </c>
      <c r="Y113">
        <v>1</v>
      </c>
      <c r="Z113" s="3">
        <v>8756039580</v>
      </c>
      <c r="AA113">
        <v>0</v>
      </c>
      <c r="AB113">
        <v>0</v>
      </c>
      <c r="AC113">
        <v>13.04523625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</row>
    <row r="114" spans="1:54" x14ac:dyDescent="0.25">
      <c r="A114">
        <v>22</v>
      </c>
      <c r="B114" t="s">
        <v>449</v>
      </c>
      <c r="C114" t="s">
        <v>661</v>
      </c>
      <c r="D114" t="s">
        <v>870</v>
      </c>
      <c r="E114" t="s">
        <v>91</v>
      </c>
      <c r="F114">
        <v>171052308</v>
      </c>
      <c r="G114">
        <v>53.86</v>
      </c>
      <c r="H114" t="s">
        <v>97</v>
      </c>
      <c r="I114">
        <v>26116176.439019602</v>
      </c>
      <c r="J114">
        <v>26636037.8386667</v>
      </c>
      <c r="M114">
        <v>24032936.720151499</v>
      </c>
      <c r="N114">
        <v>21.590055</v>
      </c>
      <c r="O114">
        <v>21.870743000000001</v>
      </c>
      <c r="P114">
        <v>22935438.763799999</v>
      </c>
      <c r="Q114">
        <v>26.721869999999999</v>
      </c>
      <c r="R114">
        <v>23898204.626363698</v>
      </c>
      <c r="S114">
        <v>27850274.641827401</v>
      </c>
      <c r="T114" t="s">
        <v>96</v>
      </c>
      <c r="U114" t="s">
        <v>1079</v>
      </c>
      <c r="V114">
        <v>1</v>
      </c>
      <c r="W114">
        <v>57.26</v>
      </c>
      <c r="X114">
        <v>53.86</v>
      </c>
      <c r="Y114">
        <v>0.95000000000000007</v>
      </c>
      <c r="Z114" s="3">
        <v>8752233443.4360008</v>
      </c>
      <c r="AA114">
        <v>0</v>
      </c>
      <c r="AB114">
        <v>0</v>
      </c>
      <c r="AC114">
        <v>22.975715000000001</v>
      </c>
      <c r="AD114">
        <v>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</row>
    <row r="115" spans="1:54" x14ac:dyDescent="0.25">
      <c r="A115">
        <v>55</v>
      </c>
      <c r="B115" t="s">
        <v>475</v>
      </c>
      <c r="C115" t="s">
        <v>687</v>
      </c>
      <c r="D115" t="s">
        <v>896</v>
      </c>
      <c r="E115" t="s">
        <v>92</v>
      </c>
      <c r="F115">
        <v>77000000</v>
      </c>
      <c r="G115">
        <v>111</v>
      </c>
      <c r="H115" t="s">
        <v>97</v>
      </c>
      <c r="I115">
        <v>13553443.4614625</v>
      </c>
      <c r="J115">
        <v>10606246.553333299</v>
      </c>
      <c r="M115">
        <v>13972351.804166701</v>
      </c>
      <c r="N115">
        <v>22.648457000000001</v>
      </c>
      <c r="O115">
        <v>23.196583</v>
      </c>
      <c r="P115">
        <v>14749831.171499999</v>
      </c>
      <c r="Q115">
        <v>29.434715000000001</v>
      </c>
      <c r="R115">
        <v>15120729.487878799</v>
      </c>
      <c r="S115">
        <v>17643251.667031601</v>
      </c>
      <c r="T115" t="s">
        <v>96</v>
      </c>
      <c r="U115" t="s">
        <v>1105</v>
      </c>
      <c r="V115">
        <v>1</v>
      </c>
      <c r="W115">
        <v>121.7</v>
      </c>
      <c r="X115">
        <v>111</v>
      </c>
      <c r="Y115">
        <v>1</v>
      </c>
      <c r="Z115" s="3">
        <v>8547000000</v>
      </c>
      <c r="AA115">
        <v>0</v>
      </c>
      <c r="AB115">
        <v>0</v>
      </c>
      <c r="AC115">
        <v>15.578099999999999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</row>
    <row r="116" spans="1:54" x14ac:dyDescent="0.25">
      <c r="A116">
        <v>133</v>
      </c>
      <c r="B116" t="s">
        <v>531</v>
      </c>
      <c r="C116" t="s">
        <v>742</v>
      </c>
      <c r="D116" t="s">
        <v>951</v>
      </c>
      <c r="E116" t="s">
        <v>88</v>
      </c>
      <c r="F116">
        <v>162801670</v>
      </c>
      <c r="G116">
        <v>57.35</v>
      </c>
      <c r="H116" t="s">
        <v>97</v>
      </c>
      <c r="I116">
        <v>21197104.523419</v>
      </c>
      <c r="J116">
        <v>18872270.7466667</v>
      </c>
      <c r="M116">
        <v>21077984.202840898</v>
      </c>
      <c r="N116">
        <v>19.657412999999998</v>
      </c>
      <c r="O116">
        <v>20.384402999999999</v>
      </c>
      <c r="P116">
        <v>21460903.050749999</v>
      </c>
      <c r="Q116">
        <v>22.913181000000002</v>
      </c>
      <c r="R116">
        <v>24199504.788257599</v>
      </c>
      <c r="S116">
        <v>28261011.471990298</v>
      </c>
      <c r="T116" t="s">
        <v>96</v>
      </c>
      <c r="U116" t="s">
        <v>1161</v>
      </c>
      <c r="V116">
        <v>1</v>
      </c>
      <c r="W116">
        <v>56.8</v>
      </c>
      <c r="X116">
        <v>57.35</v>
      </c>
      <c r="Y116">
        <v>0.9</v>
      </c>
      <c r="Z116" s="3">
        <v>8403008197.0500002</v>
      </c>
      <c r="AA116">
        <v>0</v>
      </c>
      <c r="AB116">
        <v>0</v>
      </c>
      <c r="AC116">
        <v>13.50915625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</row>
    <row r="117" spans="1:54" x14ac:dyDescent="0.25">
      <c r="A117">
        <v>37</v>
      </c>
      <c r="B117" t="s">
        <v>460</v>
      </c>
      <c r="C117" t="s">
        <v>672</v>
      </c>
      <c r="D117" t="s">
        <v>881</v>
      </c>
      <c r="E117" t="s">
        <v>91</v>
      </c>
      <c r="F117">
        <v>209113565</v>
      </c>
      <c r="G117">
        <v>57.4</v>
      </c>
      <c r="H117" t="s">
        <v>97</v>
      </c>
      <c r="I117">
        <v>23462466.003313702</v>
      </c>
      <c r="J117">
        <v>19694030.068</v>
      </c>
      <c r="M117">
        <v>22533627.779318199</v>
      </c>
      <c r="N117">
        <v>14.517404000000001</v>
      </c>
      <c r="O117">
        <v>15.414694000000001</v>
      </c>
      <c r="P117">
        <v>22478012.581999999</v>
      </c>
      <c r="Q117">
        <v>19.294231</v>
      </c>
      <c r="R117">
        <v>24437387.573484801</v>
      </c>
      <c r="S117">
        <v>28518085.073169298</v>
      </c>
      <c r="T117" t="s">
        <v>96</v>
      </c>
      <c r="U117" t="s">
        <v>1090</v>
      </c>
      <c r="V117">
        <v>1</v>
      </c>
      <c r="W117">
        <v>59.52</v>
      </c>
      <c r="X117">
        <v>57.4</v>
      </c>
      <c r="Y117">
        <v>0.70000000000000007</v>
      </c>
      <c r="Z117" s="3">
        <v>8402183041.6999998</v>
      </c>
      <c r="AA117">
        <v>0</v>
      </c>
      <c r="AB117">
        <v>0</v>
      </c>
      <c r="AC117">
        <v>11.538705670000001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</row>
    <row r="118" spans="1:54" x14ac:dyDescent="0.25">
      <c r="A118">
        <v>53</v>
      </c>
      <c r="B118" t="s">
        <v>474</v>
      </c>
      <c r="C118" t="s">
        <v>686</v>
      </c>
      <c r="D118" t="s">
        <v>895</v>
      </c>
      <c r="E118" t="s">
        <v>90</v>
      </c>
      <c r="F118">
        <v>898866150</v>
      </c>
      <c r="G118">
        <v>13.35</v>
      </c>
      <c r="H118" t="s">
        <v>97</v>
      </c>
      <c r="I118">
        <v>23672312.835145101</v>
      </c>
      <c r="J118">
        <v>30538660.5319</v>
      </c>
      <c r="M118">
        <v>24741654.534212101</v>
      </c>
      <c r="N118">
        <v>22.560836999999999</v>
      </c>
      <c r="O118">
        <v>22.159320000000001</v>
      </c>
      <c r="P118">
        <v>19780685.879659999</v>
      </c>
      <c r="Q118">
        <v>28.39949</v>
      </c>
      <c r="R118">
        <v>21167419.294939399</v>
      </c>
      <c r="S118">
        <v>24645872.701529101</v>
      </c>
      <c r="T118" t="s">
        <v>96</v>
      </c>
      <c r="U118" t="s">
        <v>1104</v>
      </c>
      <c r="V118">
        <v>1</v>
      </c>
      <c r="W118">
        <v>14.01</v>
      </c>
      <c r="X118">
        <v>13.35</v>
      </c>
      <c r="Y118">
        <v>0.7</v>
      </c>
      <c r="Z118" s="3">
        <v>8399904171.75</v>
      </c>
      <c r="AA118">
        <v>0</v>
      </c>
      <c r="AB118">
        <v>0</v>
      </c>
      <c r="AC118">
        <v>18.437237499999998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</row>
    <row r="119" spans="1:54" x14ac:dyDescent="0.25">
      <c r="A119">
        <v>7</v>
      </c>
      <c r="B119" t="s">
        <v>439</v>
      </c>
      <c r="C119" t="s">
        <v>651</v>
      </c>
      <c r="D119" t="s">
        <v>860</v>
      </c>
      <c r="E119" t="s">
        <v>89</v>
      </c>
      <c r="F119">
        <v>245000143</v>
      </c>
      <c r="G119">
        <v>45.58</v>
      </c>
      <c r="H119" t="s">
        <v>97</v>
      </c>
      <c r="I119">
        <v>29700475.999486599</v>
      </c>
      <c r="J119">
        <v>23109380.158300001</v>
      </c>
      <c r="M119">
        <v>29330138.828818999</v>
      </c>
      <c r="N119">
        <v>29.258669000000001</v>
      </c>
      <c r="O119">
        <v>28.700243</v>
      </c>
      <c r="P119">
        <v>30049161.107740998</v>
      </c>
      <c r="Q119">
        <v>31.554563999999999</v>
      </c>
      <c r="R119">
        <v>27763299.3161227</v>
      </c>
      <c r="S119">
        <v>32368096.481348298</v>
      </c>
      <c r="T119" t="s">
        <v>96</v>
      </c>
      <c r="U119" t="s">
        <v>1069</v>
      </c>
      <c r="V119">
        <v>1</v>
      </c>
      <c r="W119">
        <v>47.49</v>
      </c>
      <c r="X119">
        <v>45.58</v>
      </c>
      <c r="Y119">
        <v>0.75</v>
      </c>
      <c r="Z119" s="3">
        <v>8375329888.4549999</v>
      </c>
      <c r="AA119">
        <v>0</v>
      </c>
      <c r="AB119">
        <v>0</v>
      </c>
      <c r="AC119">
        <v>19.652875000000002</v>
      </c>
      <c r="AD119">
        <v>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</row>
    <row r="120" spans="1:54" x14ac:dyDescent="0.25">
      <c r="A120">
        <v>192</v>
      </c>
      <c r="B120" t="s">
        <v>573</v>
      </c>
      <c r="C120" t="s">
        <v>784</v>
      </c>
      <c r="D120" t="s">
        <v>993</v>
      </c>
      <c r="E120" t="s">
        <v>95</v>
      </c>
      <c r="F120">
        <v>828972400</v>
      </c>
      <c r="G120">
        <v>13.45</v>
      </c>
      <c r="H120" t="s">
        <v>97</v>
      </c>
      <c r="I120">
        <v>14540008.4360241</v>
      </c>
      <c r="J120">
        <v>15360870.936000001</v>
      </c>
      <c r="M120">
        <v>14719540.906153901</v>
      </c>
      <c r="N120">
        <v>29.147362000000001</v>
      </c>
      <c r="O120">
        <v>31.026627000000001</v>
      </c>
      <c r="P120">
        <v>15415892.361500001</v>
      </c>
      <c r="Q120">
        <v>33.758459999999999</v>
      </c>
      <c r="R120">
        <v>16897198.876363602</v>
      </c>
      <c r="S120">
        <v>19685886.144303899</v>
      </c>
      <c r="T120" t="s">
        <v>96</v>
      </c>
      <c r="U120" t="s">
        <v>1203</v>
      </c>
      <c r="V120">
        <v>1</v>
      </c>
      <c r="W120">
        <v>14.67</v>
      </c>
      <c r="X120">
        <v>13.45</v>
      </c>
      <c r="Y120">
        <v>0.75</v>
      </c>
      <c r="Z120" s="3">
        <v>8362259085</v>
      </c>
      <c r="AA120">
        <v>0</v>
      </c>
      <c r="AB120">
        <v>0</v>
      </c>
      <c r="AC120">
        <v>20.876375629999998</v>
      </c>
      <c r="AD120">
        <v>2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</row>
    <row r="121" spans="1:54" x14ac:dyDescent="0.25">
      <c r="A121">
        <v>128</v>
      </c>
      <c r="B121" t="s">
        <v>526</v>
      </c>
      <c r="C121" t="s">
        <v>737</v>
      </c>
      <c r="D121" t="s">
        <v>946</v>
      </c>
      <c r="E121" t="s">
        <v>88</v>
      </c>
      <c r="F121">
        <v>293413450</v>
      </c>
      <c r="G121">
        <v>40.54</v>
      </c>
      <c r="H121" t="s">
        <v>97</v>
      </c>
      <c r="I121">
        <v>25059011.7273518</v>
      </c>
      <c r="J121">
        <v>34232908.235333301</v>
      </c>
      <c r="M121">
        <v>25336766.956250001</v>
      </c>
      <c r="N121">
        <v>24.675846</v>
      </c>
      <c r="O121">
        <v>25.894017999999999</v>
      </c>
      <c r="P121">
        <v>24916709.261799999</v>
      </c>
      <c r="Q121">
        <v>29.208756999999999</v>
      </c>
      <c r="R121">
        <v>26445790.910530299</v>
      </c>
      <c r="S121">
        <v>30791339.970476702</v>
      </c>
      <c r="T121" t="s">
        <v>96</v>
      </c>
      <c r="U121" t="s">
        <v>1156</v>
      </c>
      <c r="V121">
        <v>1</v>
      </c>
      <c r="W121">
        <v>40.18</v>
      </c>
      <c r="X121">
        <v>40.54</v>
      </c>
      <c r="Y121">
        <v>0.7</v>
      </c>
      <c r="Z121" s="3">
        <v>8326486884.0999994</v>
      </c>
      <c r="AA121">
        <v>0</v>
      </c>
      <c r="AB121">
        <v>0</v>
      </c>
      <c r="AC121">
        <v>9.3490812499999993</v>
      </c>
      <c r="AD121">
        <v>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</row>
    <row r="122" spans="1:54" x14ac:dyDescent="0.25">
      <c r="A122">
        <v>102</v>
      </c>
      <c r="B122" t="s">
        <v>509</v>
      </c>
      <c r="C122" t="s">
        <v>720</v>
      </c>
      <c r="D122" t="s">
        <v>929</v>
      </c>
      <c r="E122" t="s">
        <v>89</v>
      </c>
      <c r="F122">
        <v>98000000</v>
      </c>
      <c r="G122">
        <v>112.45</v>
      </c>
      <c r="H122" t="s">
        <v>97</v>
      </c>
      <c r="I122">
        <v>23439724.687254898</v>
      </c>
      <c r="J122">
        <v>18755064.379999999</v>
      </c>
      <c r="M122">
        <v>22686797.129356101</v>
      </c>
      <c r="N122">
        <v>22.665806</v>
      </c>
      <c r="O122">
        <v>23.623010000000001</v>
      </c>
      <c r="P122">
        <v>22402107.146000002</v>
      </c>
      <c r="Q122">
        <v>24.378485000000001</v>
      </c>
      <c r="R122">
        <v>23513957.023106098</v>
      </c>
      <c r="S122">
        <v>27421460.150026601</v>
      </c>
      <c r="T122" t="s">
        <v>96</v>
      </c>
      <c r="U122" t="s">
        <v>1139</v>
      </c>
      <c r="V122">
        <v>1</v>
      </c>
      <c r="W122">
        <v>122.1</v>
      </c>
      <c r="X122">
        <v>112.45</v>
      </c>
      <c r="Y122">
        <v>0.75</v>
      </c>
      <c r="Z122" s="3">
        <v>8265075000</v>
      </c>
      <c r="AA122">
        <v>0</v>
      </c>
      <c r="AB122">
        <v>0</v>
      </c>
      <c r="AC122">
        <v>27.247233510000001</v>
      </c>
      <c r="AD122">
        <v>2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</row>
    <row r="123" spans="1:54" x14ac:dyDescent="0.25">
      <c r="A123">
        <v>183</v>
      </c>
      <c r="B123" t="s">
        <v>566</v>
      </c>
      <c r="C123" t="s">
        <v>777</v>
      </c>
      <c r="D123" t="s">
        <v>986</v>
      </c>
      <c r="E123" t="s">
        <v>88</v>
      </c>
      <c r="F123">
        <v>1200249100</v>
      </c>
      <c r="G123">
        <v>7.9420000000000002</v>
      </c>
      <c r="H123" t="s">
        <v>97</v>
      </c>
      <c r="I123">
        <v>41973964.376359701</v>
      </c>
      <c r="J123">
        <v>34118715.152800001</v>
      </c>
      <c r="M123">
        <v>34941302.626772702</v>
      </c>
      <c r="N123">
        <v>31.270502</v>
      </c>
      <c r="O123">
        <v>30.724437999999999</v>
      </c>
      <c r="P123">
        <v>32984971.151859999</v>
      </c>
      <c r="Q123">
        <v>32.810206999999998</v>
      </c>
      <c r="R123">
        <v>30871418.865060601</v>
      </c>
      <c r="S123">
        <v>35955045.639815398</v>
      </c>
      <c r="T123" t="s">
        <v>96</v>
      </c>
      <c r="U123" t="s">
        <v>1196</v>
      </c>
      <c r="V123">
        <v>1</v>
      </c>
      <c r="W123">
        <v>8.5980000000000008</v>
      </c>
      <c r="X123">
        <v>7.9420000000000002</v>
      </c>
      <c r="Y123">
        <v>0.85</v>
      </c>
      <c r="Z123" s="3">
        <v>8102521599.3699999</v>
      </c>
      <c r="AA123">
        <v>0</v>
      </c>
      <c r="AB123">
        <v>0</v>
      </c>
      <c r="AC123">
        <v>23.4348375</v>
      </c>
      <c r="AD123">
        <v>2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</row>
    <row r="124" spans="1:54" x14ac:dyDescent="0.25">
      <c r="A124">
        <v>15</v>
      </c>
      <c r="B124" t="s">
        <v>445</v>
      </c>
      <c r="C124" t="s">
        <v>657</v>
      </c>
      <c r="D124" t="s">
        <v>866</v>
      </c>
      <c r="E124" t="s">
        <v>91</v>
      </c>
      <c r="F124">
        <v>1652797432</v>
      </c>
      <c r="G124">
        <v>6.52</v>
      </c>
      <c r="H124" t="s">
        <v>97</v>
      </c>
      <c r="I124">
        <v>34026737.616503902</v>
      </c>
      <c r="J124">
        <v>32758188.3395999</v>
      </c>
      <c r="M124">
        <v>32558550.446121201</v>
      </c>
      <c r="N124">
        <v>22.844964999999998</v>
      </c>
      <c r="O124">
        <v>22.433506000000001</v>
      </c>
      <c r="P124">
        <v>32368743.134009998</v>
      </c>
      <c r="Q124">
        <v>27.671600000000002</v>
      </c>
      <c r="R124">
        <v>33583524.2566818</v>
      </c>
      <c r="S124">
        <v>39166035.996399403</v>
      </c>
      <c r="T124" t="s">
        <v>96</v>
      </c>
      <c r="U124" t="s">
        <v>1075</v>
      </c>
      <c r="V124">
        <v>1</v>
      </c>
      <c r="W124">
        <v>6.47</v>
      </c>
      <c r="X124">
        <v>6.52</v>
      </c>
      <c r="Y124">
        <v>0.75</v>
      </c>
      <c r="Z124" s="3">
        <v>8082179442.4799995</v>
      </c>
      <c r="AA124">
        <v>0</v>
      </c>
      <c r="AB124">
        <v>0</v>
      </c>
      <c r="AC124">
        <v>13.258868420000001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</row>
    <row r="125" spans="1:54" x14ac:dyDescent="0.25">
      <c r="A125">
        <v>66</v>
      </c>
      <c r="B125" t="s">
        <v>482</v>
      </c>
      <c r="C125" t="s">
        <v>694</v>
      </c>
      <c r="D125" t="s">
        <v>903</v>
      </c>
      <c r="E125" t="s">
        <v>89</v>
      </c>
      <c r="F125">
        <v>383620188</v>
      </c>
      <c r="G125">
        <v>41.75</v>
      </c>
      <c r="H125" t="s">
        <v>97</v>
      </c>
      <c r="I125">
        <v>29607676.6053898</v>
      </c>
      <c r="J125">
        <v>32453716.200479999</v>
      </c>
      <c r="M125">
        <v>28324183.382306099</v>
      </c>
      <c r="N125">
        <v>23.032550000000001</v>
      </c>
      <c r="O125">
        <v>24.684715000000001</v>
      </c>
      <c r="P125">
        <v>28143007.760294002</v>
      </c>
      <c r="Q125">
        <v>22.173158999999998</v>
      </c>
      <c r="R125">
        <v>29558698.538248502</v>
      </c>
      <c r="S125">
        <v>34427168.6140991</v>
      </c>
      <c r="T125" t="s">
        <v>96</v>
      </c>
      <c r="U125" t="s">
        <v>1112</v>
      </c>
      <c r="V125">
        <v>1</v>
      </c>
      <c r="W125">
        <v>44</v>
      </c>
      <c r="X125">
        <v>41.75</v>
      </c>
      <c r="Y125">
        <v>0.5</v>
      </c>
      <c r="Z125" s="3">
        <v>8008071424.5</v>
      </c>
      <c r="AA125">
        <v>0</v>
      </c>
      <c r="AB125">
        <v>0</v>
      </c>
      <c r="AC125">
        <v>31.68472637</v>
      </c>
      <c r="AD125">
        <v>2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</row>
    <row r="126" spans="1:54" x14ac:dyDescent="0.25">
      <c r="A126">
        <v>25</v>
      </c>
      <c r="B126" t="s">
        <v>451</v>
      </c>
      <c r="C126" t="s">
        <v>663</v>
      </c>
      <c r="D126" t="s">
        <v>872</v>
      </c>
      <c r="E126" t="s">
        <v>89</v>
      </c>
      <c r="F126">
        <v>462029966</v>
      </c>
      <c r="G126">
        <v>22.48</v>
      </c>
      <c r="H126" t="s">
        <v>97</v>
      </c>
      <c r="I126">
        <v>26811988.372921601</v>
      </c>
      <c r="J126">
        <v>25798607.846000001</v>
      </c>
      <c r="M126">
        <v>23426464.2625947</v>
      </c>
      <c r="N126">
        <v>31.63599</v>
      </c>
      <c r="O126">
        <v>31.2363</v>
      </c>
      <c r="P126">
        <v>21778391.44545</v>
      </c>
      <c r="Q126">
        <v>41.366646000000003</v>
      </c>
      <c r="R126">
        <v>22392934.507424202</v>
      </c>
      <c r="S126">
        <v>26113386.405836798</v>
      </c>
      <c r="T126" t="s">
        <v>96</v>
      </c>
      <c r="U126" t="s">
        <v>1081</v>
      </c>
      <c r="V126">
        <v>1</v>
      </c>
      <c r="W126">
        <v>24.45</v>
      </c>
      <c r="X126">
        <v>22.48</v>
      </c>
      <c r="Y126">
        <v>0.75</v>
      </c>
      <c r="Z126" s="3">
        <v>7789825226.7600002</v>
      </c>
      <c r="AA126">
        <v>0</v>
      </c>
      <c r="AB126">
        <v>0</v>
      </c>
      <c r="AC126">
        <v>20.620465630000002</v>
      </c>
      <c r="AD126">
        <v>2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</row>
    <row r="127" spans="1:54" x14ac:dyDescent="0.25">
      <c r="A127">
        <v>60</v>
      </c>
      <c r="B127" t="s">
        <v>478</v>
      </c>
      <c r="C127" t="s">
        <v>690</v>
      </c>
      <c r="D127" t="s">
        <v>899</v>
      </c>
      <c r="E127" t="s">
        <v>88</v>
      </c>
      <c r="F127">
        <v>242600000</v>
      </c>
      <c r="G127">
        <v>89.2</v>
      </c>
      <c r="H127" t="s">
        <v>97</v>
      </c>
      <c r="I127">
        <v>33743309.449288502</v>
      </c>
      <c r="J127">
        <v>26020244.853333302</v>
      </c>
      <c r="M127">
        <v>33694217.848636404</v>
      </c>
      <c r="N127">
        <v>21.462543</v>
      </c>
      <c r="O127">
        <v>21.750036000000001</v>
      </c>
      <c r="P127">
        <v>32999391.838950001</v>
      </c>
      <c r="Q127">
        <v>23.400476000000001</v>
      </c>
      <c r="R127">
        <v>30574490.583484799</v>
      </c>
      <c r="S127">
        <v>35662448.505756803</v>
      </c>
      <c r="T127" t="s">
        <v>96</v>
      </c>
      <c r="U127" t="s">
        <v>1108</v>
      </c>
      <c r="V127">
        <v>1</v>
      </c>
      <c r="W127">
        <v>93.46</v>
      </c>
      <c r="X127">
        <v>89.2</v>
      </c>
      <c r="Y127">
        <v>0.35</v>
      </c>
      <c r="Z127" s="3">
        <v>7573972000</v>
      </c>
      <c r="AA127">
        <v>0</v>
      </c>
      <c r="AB127">
        <v>0</v>
      </c>
      <c r="AC127">
        <v>28.2510075</v>
      </c>
      <c r="AD127">
        <v>2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</row>
    <row r="128" spans="1:54" x14ac:dyDescent="0.25">
      <c r="A128">
        <v>172</v>
      </c>
      <c r="B128" t="s">
        <v>558</v>
      </c>
      <c r="C128" t="s">
        <v>769</v>
      </c>
      <c r="D128" t="s">
        <v>978</v>
      </c>
      <c r="E128" t="s">
        <v>89</v>
      </c>
      <c r="F128">
        <v>286861172</v>
      </c>
      <c r="G128">
        <v>32.840000000000003</v>
      </c>
      <c r="H128" t="s">
        <v>97</v>
      </c>
      <c r="I128">
        <v>17714316.864274502</v>
      </c>
      <c r="J128">
        <v>13307742.369999999</v>
      </c>
      <c r="M128">
        <v>16604150.5862121</v>
      </c>
      <c r="N128">
        <v>14.858325000000001</v>
      </c>
      <c r="O128">
        <v>15.157425999999999</v>
      </c>
      <c r="P128">
        <v>15872535.5485</v>
      </c>
      <c r="Q128">
        <v>16.785225000000001</v>
      </c>
      <c r="R128">
        <v>16477831.3022727</v>
      </c>
      <c r="S128">
        <v>19212903.468168199</v>
      </c>
      <c r="T128" t="s">
        <v>96</v>
      </c>
      <c r="U128" t="s">
        <v>1188</v>
      </c>
      <c r="V128">
        <v>1</v>
      </c>
      <c r="W128">
        <v>33.380000000000003</v>
      </c>
      <c r="X128">
        <v>32.840000000000003</v>
      </c>
      <c r="Y128">
        <v>0.8</v>
      </c>
      <c r="Z128" s="3">
        <v>7536416710.7840014</v>
      </c>
      <c r="AA128">
        <v>0</v>
      </c>
      <c r="AB128">
        <v>0</v>
      </c>
      <c r="AC128">
        <v>6.3198999999999996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</row>
    <row r="129" spans="1:54" x14ac:dyDescent="0.25">
      <c r="A129">
        <v>284</v>
      </c>
      <c r="B129" t="s">
        <v>635</v>
      </c>
      <c r="C129" t="s">
        <v>845</v>
      </c>
      <c r="D129" t="s">
        <v>1054</v>
      </c>
      <c r="E129" t="s">
        <v>93</v>
      </c>
      <c r="F129">
        <v>717473508</v>
      </c>
      <c r="G129">
        <v>18.87</v>
      </c>
      <c r="H129" t="s">
        <v>97</v>
      </c>
      <c r="I129">
        <v>28546441.161190499</v>
      </c>
      <c r="J129">
        <v>29231753.535999998</v>
      </c>
      <c r="M129">
        <v>24501332.398950402</v>
      </c>
      <c r="N129">
        <v>22.72015</v>
      </c>
      <c r="O129">
        <v>23.032153999999998</v>
      </c>
      <c r="P129">
        <v>24022930.343575001</v>
      </c>
      <c r="Q129">
        <v>29.840038</v>
      </c>
      <c r="R129">
        <v>24493687.2690151</v>
      </c>
      <c r="S129">
        <v>28516371.935224801</v>
      </c>
      <c r="T129" t="s">
        <v>96</v>
      </c>
      <c r="U129" t="s">
        <v>1265</v>
      </c>
      <c r="V129">
        <v>1</v>
      </c>
      <c r="W129">
        <v>19.77</v>
      </c>
      <c r="X129">
        <v>18.87</v>
      </c>
      <c r="Y129">
        <v>0.55000000000000004</v>
      </c>
      <c r="Z129" s="3">
        <v>7446298802.7780008</v>
      </c>
      <c r="AA129">
        <v>0</v>
      </c>
      <c r="AB129">
        <v>0</v>
      </c>
      <c r="AC129">
        <v>13.94077813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</row>
    <row r="130" spans="1:54" x14ac:dyDescent="0.25">
      <c r="A130">
        <v>131</v>
      </c>
      <c r="B130" t="s">
        <v>529</v>
      </c>
      <c r="C130" t="s">
        <v>740</v>
      </c>
      <c r="D130" t="s">
        <v>949</v>
      </c>
      <c r="E130" t="s">
        <v>404</v>
      </c>
      <c r="F130">
        <v>695415645</v>
      </c>
      <c r="G130">
        <v>17.495000000000001</v>
      </c>
      <c r="H130" t="s">
        <v>97</v>
      </c>
      <c r="I130">
        <v>22854564.6613039</v>
      </c>
      <c r="J130">
        <v>23600568.408333302</v>
      </c>
      <c r="M130">
        <v>23230906.087499999</v>
      </c>
      <c r="N130">
        <v>23.370263999999999</v>
      </c>
      <c r="O130">
        <v>22.334067999999998</v>
      </c>
      <c r="P130">
        <v>22913628.820175</v>
      </c>
      <c r="Q130">
        <v>27.496956000000001</v>
      </c>
      <c r="R130">
        <v>23730208.5079167</v>
      </c>
      <c r="S130">
        <v>27646243.243147101</v>
      </c>
      <c r="T130" t="s">
        <v>96</v>
      </c>
      <c r="U130" t="s">
        <v>1159</v>
      </c>
      <c r="V130">
        <v>1</v>
      </c>
      <c r="W130">
        <v>14.095000000000001</v>
      </c>
      <c r="X130">
        <v>17.495000000000001</v>
      </c>
      <c r="Y130">
        <v>0.60000000000000009</v>
      </c>
      <c r="Z130" s="3">
        <v>7299778025.5650005</v>
      </c>
      <c r="AA130">
        <v>0</v>
      </c>
      <c r="AB130">
        <v>0</v>
      </c>
      <c r="AC130">
        <v>44.138740060000003</v>
      </c>
      <c r="AD130">
        <v>2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</row>
    <row r="131" spans="1:54" x14ac:dyDescent="0.25">
      <c r="A131">
        <v>44</v>
      </c>
      <c r="B131" t="s">
        <v>466</v>
      </c>
      <c r="C131" t="s">
        <v>678</v>
      </c>
      <c r="D131" t="s">
        <v>887</v>
      </c>
      <c r="E131" t="s">
        <v>404</v>
      </c>
      <c r="F131">
        <v>15113989952</v>
      </c>
      <c r="G131">
        <v>0.78239999999999998</v>
      </c>
      <c r="H131" t="s">
        <v>97</v>
      </c>
      <c r="I131">
        <v>43425704.267117999</v>
      </c>
      <c r="J131">
        <v>42281788.368146703</v>
      </c>
      <c r="M131">
        <v>47513541.516732603</v>
      </c>
      <c r="N131">
        <v>25.329969999999999</v>
      </c>
      <c r="O131">
        <v>23.794456</v>
      </c>
      <c r="P131">
        <v>47052440.681533001</v>
      </c>
      <c r="Q131">
        <v>32.068035000000002</v>
      </c>
      <c r="R131">
        <v>44410570.451725803</v>
      </c>
      <c r="S131">
        <v>51753046.606706403</v>
      </c>
      <c r="T131" t="s">
        <v>96</v>
      </c>
      <c r="U131" t="s">
        <v>1096</v>
      </c>
      <c r="V131">
        <v>1</v>
      </c>
      <c r="W131">
        <v>0.86599999999999999</v>
      </c>
      <c r="X131">
        <v>0.78239999999999998</v>
      </c>
      <c r="Y131">
        <v>0.60000000000000009</v>
      </c>
      <c r="Z131" s="3">
        <v>7095111443.0668802</v>
      </c>
      <c r="AA131">
        <v>0</v>
      </c>
      <c r="AB131">
        <v>0</v>
      </c>
      <c r="AC131">
        <v>14.900556249999999</v>
      </c>
      <c r="AD131">
        <v>2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</row>
    <row r="132" spans="1:54" x14ac:dyDescent="0.25">
      <c r="A132">
        <v>199</v>
      </c>
      <c r="B132" t="s">
        <v>578</v>
      </c>
      <c r="C132" t="s">
        <v>788</v>
      </c>
      <c r="D132" t="s">
        <v>997</v>
      </c>
      <c r="E132" t="s">
        <v>95</v>
      </c>
      <c r="F132">
        <v>769211060</v>
      </c>
      <c r="G132">
        <v>16.725000000000001</v>
      </c>
      <c r="H132" t="s">
        <v>97</v>
      </c>
      <c r="I132">
        <v>24419469.960602399</v>
      </c>
      <c r="J132">
        <v>21349515.247333299</v>
      </c>
      <c r="M132">
        <v>22538713.2328462</v>
      </c>
      <c r="N132">
        <v>40.389319999999998</v>
      </c>
      <c r="O132">
        <v>39.816173999999997</v>
      </c>
      <c r="P132">
        <v>20441555.6226</v>
      </c>
      <c r="Q132">
        <v>44.044815</v>
      </c>
      <c r="R132">
        <v>21570648.8080303</v>
      </c>
      <c r="S132">
        <v>25132208.8937556</v>
      </c>
      <c r="T132" t="s">
        <v>96</v>
      </c>
      <c r="U132" t="s">
        <v>1208</v>
      </c>
      <c r="V132">
        <v>1</v>
      </c>
      <c r="W132">
        <v>18.215</v>
      </c>
      <c r="X132">
        <v>16.725000000000001</v>
      </c>
      <c r="Y132">
        <v>0.55000000000000004</v>
      </c>
      <c r="Z132" s="3">
        <v>7075780238.1750011</v>
      </c>
      <c r="AA132">
        <v>0</v>
      </c>
      <c r="AB132">
        <v>0</v>
      </c>
      <c r="AC132">
        <v>26.099279370000001</v>
      </c>
      <c r="AD132">
        <v>2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</row>
    <row r="133" spans="1:54" x14ac:dyDescent="0.25">
      <c r="A133">
        <v>207</v>
      </c>
      <c r="B133" t="s">
        <v>584</v>
      </c>
      <c r="C133" t="s">
        <v>794</v>
      </c>
      <c r="D133" t="s">
        <v>1003</v>
      </c>
      <c r="E133" t="s">
        <v>92</v>
      </c>
      <c r="F133">
        <v>327272740</v>
      </c>
      <c r="G133">
        <v>47.86</v>
      </c>
      <c r="H133" t="s">
        <v>97</v>
      </c>
      <c r="I133">
        <v>18842573.0675494</v>
      </c>
      <c r="J133">
        <v>15597631.1706667</v>
      </c>
      <c r="M133">
        <v>16669788.3775758</v>
      </c>
      <c r="N133">
        <v>23.819239</v>
      </c>
      <c r="O133">
        <v>17.926953999999999</v>
      </c>
      <c r="P133">
        <v>14995039.578600001</v>
      </c>
      <c r="Q133">
        <v>24.09375</v>
      </c>
      <c r="R133">
        <v>15422104.2469697</v>
      </c>
      <c r="S133">
        <v>17979998.471455801</v>
      </c>
      <c r="T133" t="s">
        <v>96</v>
      </c>
      <c r="U133" t="s">
        <v>1214</v>
      </c>
      <c r="V133">
        <v>1</v>
      </c>
      <c r="W133">
        <v>46.2</v>
      </c>
      <c r="X133">
        <v>47.86</v>
      </c>
      <c r="Y133">
        <v>0.45</v>
      </c>
      <c r="Z133" s="3">
        <v>7048473001.3800001</v>
      </c>
      <c r="AA133">
        <v>0</v>
      </c>
      <c r="AB133">
        <v>0</v>
      </c>
      <c r="AC133">
        <v>30.189755000000002</v>
      </c>
      <c r="AD133">
        <v>2</v>
      </c>
      <c r="AE133">
        <v>0</v>
      </c>
      <c r="AF133">
        <v>0</v>
      </c>
      <c r="AG133">
        <v>0</v>
      </c>
      <c r="AH133" t="s">
        <v>319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</row>
    <row r="134" spans="1:54" x14ac:dyDescent="0.25">
      <c r="A134">
        <v>265</v>
      </c>
      <c r="B134" t="s">
        <v>623</v>
      </c>
      <c r="C134" t="s">
        <v>833</v>
      </c>
      <c r="D134" t="s">
        <v>1042</v>
      </c>
      <c r="E134" t="s">
        <v>88</v>
      </c>
      <c r="F134">
        <v>258229000</v>
      </c>
      <c r="G134">
        <v>108.4</v>
      </c>
      <c r="H134" t="s">
        <v>97</v>
      </c>
      <c r="I134">
        <v>11423268.4578063</v>
      </c>
      <c r="J134">
        <v>12567344.586666699</v>
      </c>
      <c r="M134">
        <v>11333176.800378799</v>
      </c>
      <c r="N134">
        <v>22.543479999999999</v>
      </c>
      <c r="O134">
        <v>24.115027999999999</v>
      </c>
      <c r="P134">
        <v>10959341.527000001</v>
      </c>
      <c r="Q134">
        <v>27.561188000000001</v>
      </c>
      <c r="R134">
        <v>11651616.394696999</v>
      </c>
      <c r="S134">
        <v>13575571.803157801</v>
      </c>
      <c r="T134" t="s">
        <v>96</v>
      </c>
      <c r="U134" t="s">
        <v>1253</v>
      </c>
      <c r="V134">
        <v>1</v>
      </c>
      <c r="W134">
        <v>111.3</v>
      </c>
      <c r="X134">
        <v>108.4</v>
      </c>
      <c r="Y134">
        <v>0.25</v>
      </c>
      <c r="Z134" s="3">
        <v>6998005900</v>
      </c>
      <c r="AA134">
        <v>0</v>
      </c>
      <c r="AB134">
        <v>0</v>
      </c>
      <c r="AC134">
        <v>19.596866250000001</v>
      </c>
      <c r="AD134">
        <v>2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</row>
    <row r="135" spans="1:54" x14ac:dyDescent="0.25">
      <c r="A135">
        <v>230</v>
      </c>
      <c r="B135" t="s">
        <v>601</v>
      </c>
      <c r="C135" t="s">
        <v>811</v>
      </c>
      <c r="D135" t="s">
        <v>1020</v>
      </c>
      <c r="E135" t="s">
        <v>89</v>
      </c>
      <c r="F135">
        <v>299036619</v>
      </c>
      <c r="G135">
        <v>30.81</v>
      </c>
      <c r="H135" t="s">
        <v>97</v>
      </c>
      <c r="I135">
        <v>17441069.230568599</v>
      </c>
      <c r="J135">
        <v>27420409.192000002</v>
      </c>
      <c r="M135">
        <v>18436868.736060601</v>
      </c>
      <c r="N135">
        <v>24.821928</v>
      </c>
      <c r="O135">
        <v>24.891577000000002</v>
      </c>
      <c r="P135">
        <v>20052147.3215</v>
      </c>
      <c r="Q135">
        <v>30.508102000000001</v>
      </c>
      <c r="R135">
        <v>22394471.6219697</v>
      </c>
      <c r="S135">
        <v>26077578.705306999</v>
      </c>
      <c r="T135" t="s">
        <v>96</v>
      </c>
      <c r="U135" t="s">
        <v>1231</v>
      </c>
      <c r="V135">
        <v>1</v>
      </c>
      <c r="W135">
        <v>32.86</v>
      </c>
      <c r="X135">
        <v>30.81</v>
      </c>
      <c r="Y135">
        <v>0.75</v>
      </c>
      <c r="Z135" s="3">
        <v>6909988673.5424995</v>
      </c>
      <c r="AA135">
        <v>0</v>
      </c>
      <c r="AB135">
        <v>0</v>
      </c>
      <c r="AC135">
        <v>13.0263875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</row>
    <row r="136" spans="1:54" x14ac:dyDescent="0.25">
      <c r="A136">
        <v>79</v>
      </c>
      <c r="B136" t="s">
        <v>494</v>
      </c>
      <c r="C136" t="s">
        <v>705</v>
      </c>
      <c r="D136" t="s">
        <v>914</v>
      </c>
      <c r="E136" t="s">
        <v>88</v>
      </c>
      <c r="F136">
        <v>200005980</v>
      </c>
      <c r="G136">
        <v>62.74</v>
      </c>
      <c r="H136" t="s">
        <v>97</v>
      </c>
      <c r="I136">
        <v>31100613.4235573</v>
      </c>
      <c r="J136">
        <v>34426394.800666697</v>
      </c>
      <c r="M136">
        <v>31231243.5466667</v>
      </c>
      <c r="N136">
        <v>26.616506999999999</v>
      </c>
      <c r="O136">
        <v>27.984470000000002</v>
      </c>
      <c r="P136">
        <v>30871653.999000002</v>
      </c>
      <c r="Q136">
        <v>28.186989000000001</v>
      </c>
      <c r="R136">
        <v>35230529.134393901</v>
      </c>
      <c r="S136">
        <v>41084452.856529303</v>
      </c>
      <c r="T136" t="s">
        <v>96</v>
      </c>
      <c r="U136" t="s">
        <v>1124</v>
      </c>
      <c r="V136">
        <v>1</v>
      </c>
      <c r="W136">
        <v>66.52</v>
      </c>
      <c r="X136">
        <v>62.74</v>
      </c>
      <c r="Y136">
        <v>0.55000000000000004</v>
      </c>
      <c r="Z136" s="3">
        <v>6901606351.8600016</v>
      </c>
      <c r="AA136">
        <v>0</v>
      </c>
      <c r="AB136">
        <v>0</v>
      </c>
      <c r="AC136">
        <v>21.61647</v>
      </c>
      <c r="AD136">
        <v>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</row>
    <row r="137" spans="1:54" x14ac:dyDescent="0.25">
      <c r="A137">
        <v>114</v>
      </c>
      <c r="B137" t="s">
        <v>515</v>
      </c>
      <c r="C137" t="s">
        <v>726</v>
      </c>
      <c r="D137" t="s">
        <v>935</v>
      </c>
      <c r="E137" t="s">
        <v>89</v>
      </c>
      <c r="F137">
        <v>182163000</v>
      </c>
      <c r="G137">
        <v>57.78</v>
      </c>
      <c r="H137" t="s">
        <v>97</v>
      </c>
      <c r="I137">
        <v>18993258.805584699</v>
      </c>
      <c r="J137">
        <v>12830068.064200001</v>
      </c>
      <c r="M137">
        <v>17759378.006546199</v>
      </c>
      <c r="N137">
        <v>22.78565</v>
      </c>
      <c r="O137">
        <v>23.707242999999998</v>
      </c>
      <c r="P137">
        <v>16505614.963540999</v>
      </c>
      <c r="Q137">
        <v>28.449369999999998</v>
      </c>
      <c r="R137">
        <v>16100546.470819701</v>
      </c>
      <c r="S137">
        <v>18760218.054551098</v>
      </c>
      <c r="T137" t="s">
        <v>96</v>
      </c>
      <c r="U137" t="s">
        <v>1145</v>
      </c>
      <c r="V137">
        <v>1</v>
      </c>
      <c r="W137">
        <v>58.3</v>
      </c>
      <c r="X137">
        <v>57.78</v>
      </c>
      <c r="Y137">
        <v>0.65</v>
      </c>
      <c r="Z137" s="3">
        <v>6841495791</v>
      </c>
      <c r="AA137">
        <v>0</v>
      </c>
      <c r="AB137">
        <v>0</v>
      </c>
      <c r="AC137">
        <v>17.61841875</v>
      </c>
      <c r="AD137">
        <v>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</row>
    <row r="138" spans="1:54" x14ac:dyDescent="0.25">
      <c r="A138">
        <v>258</v>
      </c>
      <c r="B138" t="s">
        <v>616</v>
      </c>
      <c r="C138" t="s">
        <v>826</v>
      </c>
      <c r="D138" t="s">
        <v>1035</v>
      </c>
      <c r="E138" t="s">
        <v>89</v>
      </c>
      <c r="F138">
        <v>168073514</v>
      </c>
      <c r="G138">
        <v>43.88</v>
      </c>
      <c r="H138" t="s">
        <v>97</v>
      </c>
      <c r="I138">
        <v>14289435.1971961</v>
      </c>
      <c r="J138">
        <v>16826309.056000002</v>
      </c>
      <c r="M138">
        <v>16363782.918901499</v>
      </c>
      <c r="N138">
        <v>22.219111999999999</v>
      </c>
      <c r="O138">
        <v>23.511006999999999</v>
      </c>
      <c r="P138">
        <v>16922745.71195</v>
      </c>
      <c r="Q138">
        <v>24.113453</v>
      </c>
      <c r="R138">
        <v>17836970.733787902</v>
      </c>
      <c r="S138">
        <v>20802082.001544502</v>
      </c>
      <c r="T138" t="s">
        <v>96</v>
      </c>
      <c r="U138" t="s">
        <v>1246</v>
      </c>
      <c r="V138">
        <v>1</v>
      </c>
      <c r="W138">
        <v>48.66</v>
      </c>
      <c r="X138">
        <v>43.88</v>
      </c>
      <c r="Y138">
        <v>0.9</v>
      </c>
      <c r="Z138" s="3">
        <v>6637559214.8879995</v>
      </c>
      <c r="AA138">
        <v>0</v>
      </c>
      <c r="AB138">
        <v>0</v>
      </c>
      <c r="AC138">
        <v>9.5158124999999991</v>
      </c>
      <c r="AD138">
        <v>2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</row>
    <row r="139" spans="1:54" x14ac:dyDescent="0.25">
      <c r="A139">
        <v>226</v>
      </c>
      <c r="B139" t="s">
        <v>598</v>
      </c>
      <c r="C139" t="s">
        <v>808</v>
      </c>
      <c r="D139" t="s">
        <v>1017</v>
      </c>
      <c r="E139" t="s">
        <v>89</v>
      </c>
      <c r="F139">
        <v>295722284</v>
      </c>
      <c r="G139">
        <v>34.32</v>
      </c>
      <c r="H139" t="s">
        <v>97</v>
      </c>
      <c r="I139">
        <v>45622595.530854903</v>
      </c>
      <c r="J139">
        <v>36855498.896666698</v>
      </c>
      <c r="M139">
        <v>42389915.706234798</v>
      </c>
      <c r="N139">
        <v>38.844563000000001</v>
      </c>
      <c r="O139">
        <v>39.254604</v>
      </c>
      <c r="P139">
        <v>40778256.695029996</v>
      </c>
      <c r="Q139">
        <v>36.397713000000003</v>
      </c>
      <c r="R139">
        <v>36942796.285651498</v>
      </c>
      <c r="S139">
        <v>43064169.281303599</v>
      </c>
      <c r="T139" t="s">
        <v>96</v>
      </c>
      <c r="U139" t="s">
        <v>1228</v>
      </c>
      <c r="V139">
        <v>1</v>
      </c>
      <c r="W139">
        <v>36.69</v>
      </c>
      <c r="X139">
        <v>34.32</v>
      </c>
      <c r="Y139">
        <v>0.65</v>
      </c>
      <c r="Z139" s="3">
        <v>6596972711.4720001</v>
      </c>
      <c r="AA139">
        <v>0</v>
      </c>
      <c r="AB139">
        <v>0</v>
      </c>
      <c r="AC139">
        <v>18.861249999999998</v>
      </c>
      <c r="AD139">
        <v>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</row>
    <row r="140" spans="1:54" x14ac:dyDescent="0.25">
      <c r="A140">
        <v>117</v>
      </c>
      <c r="B140" t="s">
        <v>518</v>
      </c>
      <c r="C140" t="s">
        <v>729</v>
      </c>
      <c r="D140" t="s">
        <v>938</v>
      </c>
      <c r="E140" t="s">
        <v>91</v>
      </c>
      <c r="F140">
        <v>207779752</v>
      </c>
      <c r="G140">
        <v>70.45</v>
      </c>
      <c r="H140" t="s">
        <v>97</v>
      </c>
      <c r="I140">
        <v>16136344.962156899</v>
      </c>
      <c r="J140">
        <v>14137700.936666699</v>
      </c>
      <c r="M140">
        <v>15281437.025</v>
      </c>
      <c r="N140">
        <v>24.417304999999999</v>
      </c>
      <c r="O140">
        <v>24.951609000000001</v>
      </c>
      <c r="P140">
        <v>15558977.466</v>
      </c>
      <c r="Q140">
        <v>25.376162000000001</v>
      </c>
      <c r="R140">
        <v>17027083.012878802</v>
      </c>
      <c r="S140">
        <v>19831143.265164498</v>
      </c>
      <c r="T140" t="s">
        <v>96</v>
      </c>
      <c r="U140" t="s">
        <v>1148</v>
      </c>
      <c r="V140">
        <v>1</v>
      </c>
      <c r="W140">
        <v>72.3</v>
      </c>
      <c r="X140">
        <v>70.45</v>
      </c>
      <c r="Y140">
        <v>0.45</v>
      </c>
      <c r="Z140" s="3">
        <v>6587137587.7800007</v>
      </c>
      <c r="AA140">
        <v>0</v>
      </c>
      <c r="AB140">
        <v>0</v>
      </c>
      <c r="AC140">
        <v>15.086639419999999</v>
      </c>
      <c r="AD140">
        <v>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</row>
    <row r="141" spans="1:54" x14ac:dyDescent="0.25">
      <c r="A141">
        <v>209</v>
      </c>
      <c r="B141" t="s">
        <v>585</v>
      </c>
      <c r="C141" t="s">
        <v>795</v>
      </c>
      <c r="D141" t="s">
        <v>1004</v>
      </c>
      <c r="E141" t="s">
        <v>95</v>
      </c>
      <c r="F141">
        <v>109292460</v>
      </c>
      <c r="G141">
        <v>59.95</v>
      </c>
      <c r="H141" t="s">
        <v>97</v>
      </c>
      <c r="I141">
        <v>12719607.939036099</v>
      </c>
      <c r="J141">
        <v>13465058.312666699</v>
      </c>
      <c r="M141">
        <v>13606497.1789231</v>
      </c>
      <c r="N141">
        <v>28.161732000000001</v>
      </c>
      <c r="O141">
        <v>30.191777999999999</v>
      </c>
      <c r="P141">
        <v>13163966.3562</v>
      </c>
      <c r="Q141">
        <v>31.369931999999999</v>
      </c>
      <c r="R141">
        <v>13479906.0063636</v>
      </c>
      <c r="S141">
        <v>15704445.2192131</v>
      </c>
      <c r="T141" t="s">
        <v>96</v>
      </c>
      <c r="U141" t="s">
        <v>1215</v>
      </c>
      <c r="V141">
        <v>1</v>
      </c>
      <c r="W141">
        <v>61.55</v>
      </c>
      <c r="X141">
        <v>59.95</v>
      </c>
      <c r="Y141">
        <v>1</v>
      </c>
      <c r="Z141" s="3">
        <v>6552082977</v>
      </c>
      <c r="AA141">
        <v>0</v>
      </c>
      <c r="AB141">
        <v>0</v>
      </c>
      <c r="AC141">
        <v>20.441442500000001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</row>
    <row r="142" spans="1:54" x14ac:dyDescent="0.25">
      <c r="A142">
        <v>270</v>
      </c>
      <c r="B142" t="s">
        <v>628</v>
      </c>
      <c r="C142" t="s">
        <v>838</v>
      </c>
      <c r="D142" t="s">
        <v>1047</v>
      </c>
      <c r="E142" t="s">
        <v>93</v>
      </c>
      <c r="F142">
        <v>1071994930</v>
      </c>
      <c r="G142">
        <v>17.175000000000001</v>
      </c>
      <c r="H142" t="s">
        <v>97</v>
      </c>
      <c r="I142">
        <v>36836182.3769444</v>
      </c>
      <c r="J142">
        <v>28335291.907833301</v>
      </c>
      <c r="M142">
        <v>31805865.971603099</v>
      </c>
      <c r="N142">
        <v>25.243342999999999</v>
      </c>
      <c r="O142">
        <v>25.267416000000001</v>
      </c>
      <c r="P142">
        <v>28743977.722424999</v>
      </c>
      <c r="Q142">
        <v>29.725180000000002</v>
      </c>
      <c r="R142">
        <v>30481411.415833302</v>
      </c>
      <c r="S142">
        <v>35524318.817839101</v>
      </c>
      <c r="T142" t="s">
        <v>96</v>
      </c>
      <c r="U142" t="s">
        <v>1258</v>
      </c>
      <c r="V142">
        <v>1</v>
      </c>
      <c r="W142">
        <v>16.79</v>
      </c>
      <c r="X142">
        <v>17.175000000000001</v>
      </c>
      <c r="Y142">
        <v>0.35</v>
      </c>
      <c r="Z142" s="3">
        <v>6444029522.9625015</v>
      </c>
      <c r="AA142">
        <v>0</v>
      </c>
      <c r="AB142">
        <v>0</v>
      </c>
      <c r="AC142">
        <v>23.667701529999999</v>
      </c>
      <c r="AD142">
        <v>2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</row>
    <row r="143" spans="1:54" x14ac:dyDescent="0.25">
      <c r="A143">
        <v>197</v>
      </c>
      <c r="B143" t="s">
        <v>576</v>
      </c>
      <c r="C143" t="s">
        <v>786</v>
      </c>
      <c r="D143" t="s">
        <v>995</v>
      </c>
      <c r="E143" t="s">
        <v>90</v>
      </c>
      <c r="F143">
        <v>969613830</v>
      </c>
      <c r="G143">
        <v>26.42</v>
      </c>
      <c r="H143" t="s">
        <v>97</v>
      </c>
      <c r="I143">
        <v>13852216.288274501</v>
      </c>
      <c r="J143">
        <v>37344411.473333403</v>
      </c>
      <c r="M143">
        <v>19505923.206893899</v>
      </c>
      <c r="N143">
        <v>18.60859</v>
      </c>
      <c r="O143">
        <v>19.726510000000001</v>
      </c>
      <c r="P143">
        <v>22175621.187100001</v>
      </c>
      <c r="Q143">
        <v>19.160485999999999</v>
      </c>
      <c r="R143">
        <v>26224195.8225758</v>
      </c>
      <c r="S143">
        <v>30508956.581627399</v>
      </c>
      <c r="T143" t="s">
        <v>96</v>
      </c>
      <c r="U143" t="s">
        <v>1206</v>
      </c>
      <c r="V143">
        <v>1</v>
      </c>
      <c r="W143">
        <v>24.56</v>
      </c>
      <c r="X143">
        <v>26.42</v>
      </c>
      <c r="Y143">
        <v>0.25</v>
      </c>
      <c r="Z143" s="3">
        <v>6404299347.1500006</v>
      </c>
      <c r="AA143">
        <v>0</v>
      </c>
      <c r="AB143">
        <v>0</v>
      </c>
      <c r="AC143">
        <v>17.660401879999998</v>
      </c>
      <c r="AD143">
        <v>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</row>
    <row r="144" spans="1:54" x14ac:dyDescent="0.25">
      <c r="A144">
        <v>139</v>
      </c>
      <c r="B144" t="s">
        <v>536</v>
      </c>
      <c r="C144" t="s">
        <v>747</v>
      </c>
      <c r="D144" t="s">
        <v>956</v>
      </c>
      <c r="E144" t="s">
        <v>89</v>
      </c>
      <c r="F144">
        <v>37117772</v>
      </c>
      <c r="G144">
        <v>171.5</v>
      </c>
      <c r="H144" t="s">
        <v>97</v>
      </c>
      <c r="I144">
        <v>14814529.3152941</v>
      </c>
      <c r="J144">
        <v>16908998.239999998</v>
      </c>
      <c r="M144">
        <v>14393984.8700758</v>
      </c>
      <c r="N144">
        <v>24.652318999999999</v>
      </c>
      <c r="O144">
        <v>25.923399</v>
      </c>
      <c r="P144">
        <v>14132908.4385</v>
      </c>
      <c r="Q144">
        <v>25.450111</v>
      </c>
      <c r="R144">
        <v>14928211.098484799</v>
      </c>
      <c r="S144">
        <v>17392151.250797998</v>
      </c>
      <c r="T144" t="s">
        <v>96</v>
      </c>
      <c r="U144" t="s">
        <v>1166</v>
      </c>
      <c r="V144">
        <v>1</v>
      </c>
      <c r="W144">
        <v>157.69999999999999</v>
      </c>
      <c r="X144">
        <v>171.5</v>
      </c>
      <c r="Y144">
        <v>1</v>
      </c>
      <c r="Z144" s="3">
        <v>6365697898</v>
      </c>
      <c r="AA144">
        <v>0</v>
      </c>
      <c r="AB144">
        <v>0</v>
      </c>
      <c r="AC144">
        <v>21.917621950000001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</row>
    <row r="145" spans="1:54" x14ac:dyDescent="0.25">
      <c r="A145">
        <v>247</v>
      </c>
      <c r="B145" t="s">
        <v>609</v>
      </c>
      <c r="C145" t="s">
        <v>819</v>
      </c>
      <c r="D145" t="s">
        <v>1028</v>
      </c>
      <c r="E145" t="s">
        <v>88</v>
      </c>
      <c r="F145">
        <v>75000000</v>
      </c>
      <c r="G145">
        <v>88.65</v>
      </c>
      <c r="H145" t="s">
        <v>97</v>
      </c>
      <c r="I145">
        <v>18585919.0483202</v>
      </c>
      <c r="J145">
        <v>19839266.510000002</v>
      </c>
      <c r="M145">
        <v>20170684.7132576</v>
      </c>
      <c r="N145">
        <v>22.325441000000001</v>
      </c>
      <c r="O145">
        <v>23.428820000000002</v>
      </c>
      <c r="P145">
        <v>20861949.670000002</v>
      </c>
      <c r="Q145">
        <v>23.955051000000001</v>
      </c>
      <c r="R145">
        <v>23896968.468939401</v>
      </c>
      <c r="S145">
        <v>27893833.302464601</v>
      </c>
      <c r="T145" t="s">
        <v>96</v>
      </c>
      <c r="U145" t="s">
        <v>1239</v>
      </c>
      <c r="V145">
        <v>1</v>
      </c>
      <c r="W145">
        <v>85.85</v>
      </c>
      <c r="X145">
        <v>88.65</v>
      </c>
      <c r="Y145">
        <v>0.95</v>
      </c>
      <c r="Z145" s="3">
        <v>6316312500</v>
      </c>
      <c r="AA145">
        <v>0</v>
      </c>
      <c r="AB145">
        <v>0</v>
      </c>
      <c r="AC145">
        <v>14.205575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</row>
    <row r="146" spans="1:54" x14ac:dyDescent="0.25">
      <c r="A146">
        <v>161</v>
      </c>
      <c r="B146" t="s">
        <v>549</v>
      </c>
      <c r="C146" t="s">
        <v>760</v>
      </c>
      <c r="D146" t="s">
        <v>969</v>
      </c>
      <c r="E146" t="s">
        <v>93</v>
      </c>
      <c r="F146">
        <v>1015518043</v>
      </c>
      <c r="G146">
        <v>9.5350000000000001</v>
      </c>
      <c r="H146" t="s">
        <v>97</v>
      </c>
      <c r="I146">
        <v>21609231.064404801</v>
      </c>
      <c r="J146">
        <v>27171555.4396667</v>
      </c>
      <c r="M146">
        <v>23146230.601355001</v>
      </c>
      <c r="N146">
        <v>16.721419999999998</v>
      </c>
      <c r="O146">
        <v>16.183053999999998</v>
      </c>
      <c r="P146">
        <v>21258210.962949999</v>
      </c>
      <c r="Q146">
        <v>19.43449</v>
      </c>
      <c r="R146">
        <v>22052264.6651894</v>
      </c>
      <c r="S146">
        <v>25669456.921825301</v>
      </c>
      <c r="T146" t="s">
        <v>96</v>
      </c>
      <c r="U146" t="s">
        <v>1179</v>
      </c>
      <c r="V146">
        <v>1</v>
      </c>
      <c r="W146">
        <v>9.23</v>
      </c>
      <c r="X146">
        <v>9.5350000000000001</v>
      </c>
      <c r="Y146">
        <v>0.65</v>
      </c>
      <c r="Z146" s="3">
        <v>6293926951.0032501</v>
      </c>
      <c r="AA146">
        <v>0</v>
      </c>
      <c r="AB146">
        <v>0</v>
      </c>
      <c r="AC146">
        <v>15.16311685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</row>
    <row r="147" spans="1:54" x14ac:dyDescent="0.25">
      <c r="A147">
        <v>198</v>
      </c>
      <c r="B147" t="s">
        <v>577</v>
      </c>
      <c r="C147" t="s">
        <v>787</v>
      </c>
      <c r="D147" t="s">
        <v>996</v>
      </c>
      <c r="E147" t="s">
        <v>88</v>
      </c>
      <c r="F147">
        <v>115500000</v>
      </c>
      <c r="G147">
        <v>89.7</v>
      </c>
      <c r="H147" t="s">
        <v>97</v>
      </c>
      <c r="I147">
        <v>14970005.4399209</v>
      </c>
      <c r="J147">
        <v>17203387.760000002</v>
      </c>
      <c r="M147">
        <v>15339412.595075799</v>
      </c>
      <c r="N147">
        <v>30.504541</v>
      </c>
      <c r="O147">
        <v>31.347321999999998</v>
      </c>
      <c r="P147">
        <v>15792137.710000001</v>
      </c>
      <c r="Q147">
        <v>32.099620000000002</v>
      </c>
      <c r="R147">
        <v>16117017.8181818</v>
      </c>
      <c r="S147">
        <v>18786460.605107501</v>
      </c>
      <c r="T147" t="s">
        <v>96</v>
      </c>
      <c r="U147" t="s">
        <v>1207</v>
      </c>
      <c r="V147">
        <v>1</v>
      </c>
      <c r="W147">
        <v>92.5</v>
      </c>
      <c r="X147">
        <v>89.7</v>
      </c>
      <c r="Y147">
        <v>0.6</v>
      </c>
      <c r="Z147" s="3">
        <v>6216210000</v>
      </c>
      <c r="AA147">
        <v>0</v>
      </c>
      <c r="AB147">
        <v>0</v>
      </c>
      <c r="AC147">
        <v>16.459455680000001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</row>
    <row r="148" spans="1:54" x14ac:dyDescent="0.25">
      <c r="A148">
        <v>163</v>
      </c>
      <c r="B148" t="s">
        <v>550</v>
      </c>
      <c r="C148" t="s">
        <v>761</v>
      </c>
      <c r="D148" t="s">
        <v>970</v>
      </c>
      <c r="E148" t="s">
        <v>404</v>
      </c>
      <c r="F148">
        <v>629293220</v>
      </c>
      <c r="G148">
        <v>21.56</v>
      </c>
      <c r="H148" t="s">
        <v>97</v>
      </c>
      <c r="I148">
        <v>13792718.220058801</v>
      </c>
      <c r="J148">
        <v>12892775.6493333</v>
      </c>
      <c r="M148">
        <v>13872006.6682576</v>
      </c>
      <c r="N148">
        <v>25.289158</v>
      </c>
      <c r="O148">
        <v>25.825835999999999</v>
      </c>
      <c r="P148">
        <v>14223002.494000001</v>
      </c>
      <c r="Q148">
        <v>26.815560999999999</v>
      </c>
      <c r="R148">
        <v>15132199.9930303</v>
      </c>
      <c r="S148">
        <v>17638061.149832699</v>
      </c>
      <c r="T148" t="s">
        <v>96</v>
      </c>
      <c r="U148" t="s">
        <v>1180</v>
      </c>
      <c r="V148">
        <v>1</v>
      </c>
      <c r="W148">
        <v>19.95</v>
      </c>
      <c r="X148">
        <v>21.56</v>
      </c>
      <c r="Y148">
        <v>0.45</v>
      </c>
      <c r="Z148" s="3">
        <v>6105402820.4399996</v>
      </c>
      <c r="AA148">
        <v>0</v>
      </c>
      <c r="AB148">
        <v>0</v>
      </c>
      <c r="AC148">
        <v>16.500191489999999</v>
      </c>
      <c r="AD148">
        <v>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</row>
    <row r="149" spans="1:54" x14ac:dyDescent="0.25">
      <c r="A149">
        <v>224</v>
      </c>
      <c r="B149" t="s">
        <v>597</v>
      </c>
      <c r="C149" t="s">
        <v>807</v>
      </c>
      <c r="D149" t="s">
        <v>1016</v>
      </c>
      <c r="E149" t="s">
        <v>90</v>
      </c>
      <c r="F149">
        <v>541080000</v>
      </c>
      <c r="G149">
        <v>15.04</v>
      </c>
      <c r="H149" t="s">
        <v>97</v>
      </c>
      <c r="I149">
        <v>20858209.913476098</v>
      </c>
      <c r="J149">
        <v>21820398.837333299</v>
      </c>
      <c r="M149">
        <v>22486093.633484799</v>
      </c>
      <c r="N149">
        <v>15.454675</v>
      </c>
      <c r="O149">
        <v>15.540634000000001</v>
      </c>
      <c r="P149">
        <v>21175320.826400001</v>
      </c>
      <c r="Q149">
        <v>18.319248000000002</v>
      </c>
      <c r="R149">
        <v>23572127.948409099</v>
      </c>
      <c r="S149">
        <v>27461394.009672899</v>
      </c>
      <c r="T149" t="s">
        <v>96</v>
      </c>
      <c r="U149" t="s">
        <v>1227</v>
      </c>
      <c r="V149">
        <v>1</v>
      </c>
      <c r="W149">
        <v>14.99</v>
      </c>
      <c r="X149">
        <v>15.04</v>
      </c>
      <c r="Y149">
        <v>0.75</v>
      </c>
      <c r="Z149" s="3">
        <v>6103382400</v>
      </c>
      <c r="AA149">
        <v>0</v>
      </c>
      <c r="AB149">
        <v>0</v>
      </c>
      <c r="AC149">
        <v>8.1825828900000008</v>
      </c>
      <c r="AD149">
        <v>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</row>
    <row r="150" spans="1:54" x14ac:dyDescent="0.25">
      <c r="A150">
        <v>68</v>
      </c>
      <c r="B150" t="s">
        <v>484</v>
      </c>
      <c r="C150" t="s">
        <v>696</v>
      </c>
      <c r="D150" t="s">
        <v>905</v>
      </c>
      <c r="E150" t="s">
        <v>88</v>
      </c>
      <c r="F150">
        <v>144385380</v>
      </c>
      <c r="G150">
        <v>48.81</v>
      </c>
      <c r="H150" t="s">
        <v>97</v>
      </c>
      <c r="I150">
        <v>17233360.262292501</v>
      </c>
      <c r="J150">
        <v>13038797.859333299</v>
      </c>
      <c r="M150">
        <v>15386033.5562879</v>
      </c>
      <c r="N150">
        <v>24.887277999999998</v>
      </c>
      <c r="O150">
        <v>25.662775</v>
      </c>
      <c r="P150">
        <v>14501062.662699999</v>
      </c>
      <c r="Q150">
        <v>26.769469999999998</v>
      </c>
      <c r="R150">
        <v>15054805.371363601</v>
      </c>
      <c r="S150">
        <v>17559125.184292998</v>
      </c>
      <c r="T150" t="s">
        <v>96</v>
      </c>
      <c r="U150" t="s">
        <v>1114</v>
      </c>
      <c r="V150">
        <v>1</v>
      </c>
      <c r="W150">
        <v>49.56</v>
      </c>
      <c r="X150">
        <v>48.81</v>
      </c>
      <c r="Y150">
        <v>0.85</v>
      </c>
      <c r="Z150" s="3">
        <v>5990332838.1300001</v>
      </c>
      <c r="AA150">
        <v>0</v>
      </c>
      <c r="AB150">
        <v>0</v>
      </c>
      <c r="AC150">
        <v>12.551892499999999</v>
      </c>
      <c r="AD150">
        <v>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</row>
    <row r="151" spans="1:54" x14ac:dyDescent="0.25">
      <c r="A151">
        <v>4</v>
      </c>
      <c r="B151" t="s">
        <v>436</v>
      </c>
      <c r="C151" t="s">
        <v>648</v>
      </c>
      <c r="D151" t="s">
        <v>857</v>
      </c>
      <c r="E151" t="s">
        <v>89</v>
      </c>
      <c r="F151">
        <v>77828918</v>
      </c>
      <c r="G151">
        <v>102.6</v>
      </c>
      <c r="H151" t="s">
        <v>97</v>
      </c>
      <c r="I151">
        <v>3706595.6888039201</v>
      </c>
      <c r="J151">
        <v>13327452.813333301</v>
      </c>
      <c r="M151">
        <v>6869296.5653409101</v>
      </c>
      <c r="N151">
        <v>728.34059999999999</v>
      </c>
      <c r="O151">
        <v>816.31946000000005</v>
      </c>
      <c r="P151">
        <v>8926486.8140500002</v>
      </c>
      <c r="Q151">
        <v>611.03290000000004</v>
      </c>
      <c r="R151">
        <v>8272085.2946969699</v>
      </c>
      <c r="S151">
        <v>9626963.10094372</v>
      </c>
      <c r="T151" t="s">
        <v>96</v>
      </c>
      <c r="U151" t="s">
        <v>1066</v>
      </c>
      <c r="V151">
        <v>1</v>
      </c>
      <c r="W151">
        <v>94.1</v>
      </c>
      <c r="X151">
        <v>102.6</v>
      </c>
      <c r="Y151">
        <v>0.75</v>
      </c>
      <c r="Z151" s="3">
        <v>5988935240.0999994</v>
      </c>
      <c r="AA151">
        <v>0</v>
      </c>
      <c r="AB151">
        <v>0</v>
      </c>
      <c r="AC151">
        <v>35.379820729999999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</row>
    <row r="152" spans="1:54" x14ac:dyDescent="0.25">
      <c r="A152">
        <v>261</v>
      </c>
      <c r="B152" t="s">
        <v>619</v>
      </c>
      <c r="C152" t="s">
        <v>829</v>
      </c>
      <c r="D152" t="s">
        <v>1038</v>
      </c>
      <c r="E152" t="s">
        <v>95</v>
      </c>
      <c r="F152">
        <v>613077400</v>
      </c>
      <c r="G152">
        <v>9.6539999999999999</v>
      </c>
      <c r="H152" t="s">
        <v>97</v>
      </c>
      <c r="I152">
        <v>18457670.523052201</v>
      </c>
      <c r="J152">
        <v>17488415.489333302</v>
      </c>
      <c r="M152">
        <v>17520138.881230801</v>
      </c>
      <c r="N152">
        <v>40.124924</v>
      </c>
      <c r="O152">
        <v>34.050452999999997</v>
      </c>
      <c r="P152">
        <v>16458522.8967</v>
      </c>
      <c r="Q152">
        <v>39.115139999999997</v>
      </c>
      <c r="R152">
        <v>16076122.1674242</v>
      </c>
      <c r="S152">
        <v>18741468.933080599</v>
      </c>
      <c r="T152" t="s">
        <v>96</v>
      </c>
      <c r="U152" t="s">
        <v>1249</v>
      </c>
      <c r="V152">
        <v>1</v>
      </c>
      <c r="W152">
        <v>10.164999999999999</v>
      </c>
      <c r="X152">
        <v>9.6539999999999999</v>
      </c>
      <c r="Y152">
        <v>1</v>
      </c>
      <c r="Z152" s="3">
        <v>5918649219.6000004</v>
      </c>
      <c r="AA152">
        <v>0</v>
      </c>
      <c r="AB152">
        <v>0</v>
      </c>
      <c r="AC152">
        <v>14.2960317</v>
      </c>
      <c r="AD152">
        <v>2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</row>
    <row r="153" spans="1:54" x14ac:dyDescent="0.25">
      <c r="A153">
        <v>244</v>
      </c>
      <c r="B153" t="s">
        <v>607</v>
      </c>
      <c r="C153" t="s">
        <v>817</v>
      </c>
      <c r="D153" t="s">
        <v>1026</v>
      </c>
      <c r="E153" t="s">
        <v>88</v>
      </c>
      <c r="F153">
        <v>944884640</v>
      </c>
      <c r="G153">
        <v>6.2350000000000003</v>
      </c>
      <c r="H153" t="s">
        <v>97</v>
      </c>
      <c r="I153">
        <v>3993377.4977905098</v>
      </c>
      <c r="J153">
        <v>4023622.7779999999</v>
      </c>
      <c r="M153">
        <v>3770908.97593561</v>
      </c>
      <c r="N153">
        <v>34.792071999999997</v>
      </c>
      <c r="O153">
        <v>35.547348</v>
      </c>
      <c r="P153">
        <v>4236620.5961800003</v>
      </c>
      <c r="Q153">
        <v>38.331482000000001</v>
      </c>
      <c r="R153">
        <v>4914718.4549242398</v>
      </c>
      <c r="S153">
        <v>5727171.8011633698</v>
      </c>
      <c r="T153" t="s">
        <v>96</v>
      </c>
      <c r="U153" t="s">
        <v>1237</v>
      </c>
      <c r="V153">
        <v>1</v>
      </c>
      <c r="W153">
        <v>7.5449999999999999</v>
      </c>
      <c r="X153">
        <v>6.2350000000000003</v>
      </c>
      <c r="Y153">
        <v>1</v>
      </c>
      <c r="Z153" s="3">
        <v>5891355730.4000006</v>
      </c>
      <c r="AA153">
        <v>0</v>
      </c>
      <c r="AB153">
        <v>0</v>
      </c>
      <c r="AC153">
        <v>17.734127409999999</v>
      </c>
      <c r="AD153">
        <v>2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</row>
    <row r="154" spans="1:54" x14ac:dyDescent="0.25">
      <c r="A154">
        <v>223</v>
      </c>
      <c r="B154" t="s">
        <v>596</v>
      </c>
      <c r="C154" t="s">
        <v>806</v>
      </c>
      <c r="D154" t="s">
        <v>1015</v>
      </c>
      <c r="E154" t="s">
        <v>93</v>
      </c>
      <c r="F154">
        <v>209125156</v>
      </c>
      <c r="G154">
        <v>50.75</v>
      </c>
      <c r="H154" t="s">
        <v>97</v>
      </c>
      <c r="I154">
        <v>16587632.777400799</v>
      </c>
      <c r="J154">
        <v>14483043.484333299</v>
      </c>
      <c r="M154">
        <v>13201030.415534399</v>
      </c>
      <c r="N154">
        <v>20.678699999999999</v>
      </c>
      <c r="O154">
        <v>20.984175</v>
      </c>
      <c r="P154">
        <v>12670616.46785</v>
      </c>
      <c r="Q154">
        <v>24.068729999999999</v>
      </c>
      <c r="R154">
        <v>12983731.630151501</v>
      </c>
      <c r="S154">
        <v>15126664.1112363</v>
      </c>
      <c r="T154" t="s">
        <v>96</v>
      </c>
      <c r="U154" t="s">
        <v>1226</v>
      </c>
      <c r="V154">
        <v>1</v>
      </c>
      <c r="W154">
        <v>47.94</v>
      </c>
      <c r="X154">
        <v>50.75</v>
      </c>
      <c r="Y154">
        <v>0.55000000000000004</v>
      </c>
      <c r="Z154" s="3">
        <v>5837205916.8500004</v>
      </c>
      <c r="AA154">
        <v>0</v>
      </c>
      <c r="AB154">
        <v>0</v>
      </c>
      <c r="AC154">
        <v>23.996252500000001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</row>
    <row r="155" spans="1:54" x14ac:dyDescent="0.25">
      <c r="A155">
        <v>175</v>
      </c>
      <c r="B155" t="s">
        <v>561</v>
      </c>
      <c r="C155" t="s">
        <v>772</v>
      </c>
      <c r="D155" t="s">
        <v>981</v>
      </c>
      <c r="E155" t="s">
        <v>95</v>
      </c>
      <c r="F155">
        <v>79221900</v>
      </c>
      <c r="G155">
        <v>81.75</v>
      </c>
      <c r="H155" t="s">
        <v>97</v>
      </c>
      <c r="I155">
        <v>7755584.0265060198</v>
      </c>
      <c r="J155">
        <v>7107346.2166666696</v>
      </c>
      <c r="M155">
        <v>7699475.7207692303</v>
      </c>
      <c r="N155">
        <v>34.796214999999997</v>
      </c>
      <c r="O155">
        <v>37.351948</v>
      </c>
      <c r="P155">
        <v>6774994.3724999996</v>
      </c>
      <c r="Q155">
        <v>39.698264999999999</v>
      </c>
      <c r="R155">
        <v>7355238.3295454504</v>
      </c>
      <c r="S155">
        <v>8564949.6186064109</v>
      </c>
      <c r="T155" t="s">
        <v>96</v>
      </c>
      <c r="U155" t="s">
        <v>1191</v>
      </c>
      <c r="V155">
        <v>1</v>
      </c>
      <c r="W155">
        <v>90.25</v>
      </c>
      <c r="X155">
        <v>81.75</v>
      </c>
      <c r="Y155">
        <v>0.9</v>
      </c>
      <c r="Z155" s="3">
        <v>5828751292.5</v>
      </c>
      <c r="AA155">
        <v>0</v>
      </c>
      <c r="AB155">
        <v>0</v>
      </c>
      <c r="AC155">
        <v>13.789334999999999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</row>
    <row r="156" spans="1:54" x14ac:dyDescent="0.25">
      <c r="A156">
        <v>105</v>
      </c>
      <c r="B156" t="s">
        <v>512</v>
      </c>
      <c r="C156" t="s">
        <v>723</v>
      </c>
      <c r="D156" t="s">
        <v>932</v>
      </c>
      <c r="E156" t="s">
        <v>95</v>
      </c>
      <c r="F156">
        <v>167335070</v>
      </c>
      <c r="G156">
        <v>38.340000000000003</v>
      </c>
      <c r="H156" t="s">
        <v>97</v>
      </c>
      <c r="I156">
        <v>12387486.915020101</v>
      </c>
      <c r="J156">
        <v>13510330.858666699</v>
      </c>
      <c r="M156">
        <v>12122686.694384599</v>
      </c>
      <c r="N156">
        <v>19.882355</v>
      </c>
      <c r="O156">
        <v>19.977302999999999</v>
      </c>
      <c r="P156">
        <v>12043035.305</v>
      </c>
      <c r="Q156">
        <v>19.878772999999999</v>
      </c>
      <c r="R156">
        <v>13419933.2242424</v>
      </c>
      <c r="S156">
        <v>15635697.707981501</v>
      </c>
      <c r="T156" t="s">
        <v>96</v>
      </c>
      <c r="U156" t="s">
        <v>1142</v>
      </c>
      <c r="V156">
        <v>1</v>
      </c>
      <c r="W156">
        <v>37.619999999999997</v>
      </c>
      <c r="X156">
        <v>38.340000000000003</v>
      </c>
      <c r="Y156">
        <v>0.9</v>
      </c>
      <c r="Z156" s="3">
        <v>5774063925.4200001</v>
      </c>
      <c r="AA156">
        <v>0</v>
      </c>
      <c r="AB156">
        <v>0</v>
      </c>
      <c r="AC156">
        <v>16.496022870000001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</row>
    <row r="157" spans="1:54" x14ac:dyDescent="0.25">
      <c r="A157">
        <v>267</v>
      </c>
      <c r="B157" t="s">
        <v>625</v>
      </c>
      <c r="C157" t="s">
        <v>835</v>
      </c>
      <c r="D157" t="s">
        <v>1044</v>
      </c>
      <c r="E157" t="s">
        <v>93</v>
      </c>
      <c r="F157">
        <v>15329466496</v>
      </c>
      <c r="G157">
        <v>0.48670000000000002</v>
      </c>
      <c r="H157" t="s">
        <v>97</v>
      </c>
      <c r="I157">
        <v>79884425.773120403</v>
      </c>
      <c r="J157">
        <v>89149533.706523195</v>
      </c>
      <c r="M157">
        <v>74288722.579064101</v>
      </c>
      <c r="N157">
        <v>31.177655999999999</v>
      </c>
      <c r="O157">
        <v>31.535319999999999</v>
      </c>
      <c r="P157">
        <v>74143260.029286996</v>
      </c>
      <c r="Q157">
        <v>33.608924999999999</v>
      </c>
      <c r="R157">
        <v>85386216.692768201</v>
      </c>
      <c r="S157">
        <v>99442220.578639597</v>
      </c>
      <c r="T157" t="s">
        <v>96</v>
      </c>
      <c r="U157" t="s">
        <v>1255</v>
      </c>
      <c r="V157">
        <v>1</v>
      </c>
      <c r="W157">
        <v>0.50039999999999996</v>
      </c>
      <c r="X157">
        <v>0.48670000000000002</v>
      </c>
      <c r="Y157">
        <v>0.75</v>
      </c>
      <c r="Z157" s="3">
        <v>5595638507.7024002</v>
      </c>
      <c r="AA157">
        <v>0</v>
      </c>
      <c r="AB157">
        <v>0</v>
      </c>
      <c r="AC157">
        <v>19.87641094</v>
      </c>
      <c r="AD157">
        <v>3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</row>
    <row r="158" spans="1:54" x14ac:dyDescent="0.25">
      <c r="A158">
        <v>242</v>
      </c>
      <c r="B158" t="s">
        <v>605</v>
      </c>
      <c r="C158" t="s">
        <v>815</v>
      </c>
      <c r="D158" t="s">
        <v>1024</v>
      </c>
      <c r="E158" t="s">
        <v>89</v>
      </c>
      <c r="F158">
        <v>97330405</v>
      </c>
      <c r="G158">
        <v>190</v>
      </c>
      <c r="H158" t="s">
        <v>97</v>
      </c>
      <c r="I158">
        <v>13162245.5902941</v>
      </c>
      <c r="J158">
        <v>13233035.91</v>
      </c>
      <c r="M158">
        <v>13011477.0231061</v>
      </c>
      <c r="N158">
        <v>34.094634999999997</v>
      </c>
      <c r="O158">
        <v>35.769604000000001</v>
      </c>
      <c r="P158">
        <v>13388988.752250001</v>
      </c>
      <c r="Q158">
        <v>38.450423999999998</v>
      </c>
      <c r="R158">
        <v>13643625.1367424</v>
      </c>
      <c r="S158">
        <v>15901132.7781434</v>
      </c>
      <c r="T158" t="s">
        <v>96</v>
      </c>
      <c r="U158" t="s">
        <v>1235</v>
      </c>
      <c r="V158">
        <v>1</v>
      </c>
      <c r="W158">
        <v>208.3</v>
      </c>
      <c r="X158">
        <v>190</v>
      </c>
      <c r="Y158">
        <v>0.3</v>
      </c>
      <c r="Z158" s="3">
        <v>5547833085.000001</v>
      </c>
      <c r="AA158">
        <v>0</v>
      </c>
      <c r="AB158">
        <v>0</v>
      </c>
      <c r="AC158">
        <v>15.35620625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</row>
    <row r="159" spans="1:54" x14ac:dyDescent="0.25">
      <c r="A159">
        <v>241</v>
      </c>
      <c r="B159" t="s">
        <v>604</v>
      </c>
      <c r="C159" t="s">
        <v>814</v>
      </c>
      <c r="D159" t="s">
        <v>1023</v>
      </c>
      <c r="E159" t="s">
        <v>88</v>
      </c>
      <c r="F159">
        <v>37440000</v>
      </c>
      <c r="G159">
        <v>225.3</v>
      </c>
      <c r="H159" t="s">
        <v>97</v>
      </c>
      <c r="I159">
        <v>25729492.995158099</v>
      </c>
      <c r="J159">
        <v>19438397.193333302</v>
      </c>
      <c r="M159">
        <v>27512970.0636364</v>
      </c>
      <c r="N159">
        <v>36.175530000000002</v>
      </c>
      <c r="O159">
        <v>37.773887999999999</v>
      </c>
      <c r="P159">
        <v>27385506.568999998</v>
      </c>
      <c r="Q159">
        <v>40.315593999999997</v>
      </c>
      <c r="R159">
        <v>26591285.218939401</v>
      </c>
      <c r="S159">
        <v>31032647.224663999</v>
      </c>
      <c r="T159" t="s">
        <v>96</v>
      </c>
      <c r="U159" t="s">
        <v>1234</v>
      </c>
      <c r="V159">
        <v>1</v>
      </c>
      <c r="W159">
        <v>240.2</v>
      </c>
      <c r="X159">
        <v>225.3</v>
      </c>
      <c r="Y159">
        <v>0.65</v>
      </c>
      <c r="Z159" s="3">
        <v>5482900800</v>
      </c>
      <c r="AA159">
        <v>0</v>
      </c>
      <c r="AB159">
        <v>0</v>
      </c>
      <c r="AC159">
        <v>18.228606249999999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</row>
    <row r="160" spans="1:54" x14ac:dyDescent="0.25">
      <c r="A160">
        <v>214</v>
      </c>
      <c r="B160" t="s">
        <v>589</v>
      </c>
      <c r="C160" t="s">
        <v>799</v>
      </c>
      <c r="D160" t="s">
        <v>1008</v>
      </c>
      <c r="E160" t="s">
        <v>88</v>
      </c>
      <c r="F160">
        <v>153124980</v>
      </c>
      <c r="G160">
        <v>35.78</v>
      </c>
      <c r="H160" t="s">
        <v>97</v>
      </c>
      <c r="I160">
        <v>23765057.449268799</v>
      </c>
      <c r="J160">
        <v>21121931.1106667</v>
      </c>
      <c r="M160">
        <v>19435690.348030299</v>
      </c>
      <c r="N160">
        <v>23.006883999999999</v>
      </c>
      <c r="O160">
        <v>23.910375999999999</v>
      </c>
      <c r="P160">
        <v>19617606.202399999</v>
      </c>
      <c r="Q160">
        <v>23.591629999999999</v>
      </c>
      <c r="R160">
        <v>20394351.6435606</v>
      </c>
      <c r="S160">
        <v>23779570.769689001</v>
      </c>
      <c r="T160" t="s">
        <v>96</v>
      </c>
      <c r="U160" t="s">
        <v>1219</v>
      </c>
      <c r="V160">
        <v>1</v>
      </c>
      <c r="W160">
        <v>40.51</v>
      </c>
      <c r="X160">
        <v>35.78</v>
      </c>
      <c r="Y160">
        <v>1</v>
      </c>
      <c r="Z160" s="3">
        <v>5478811784.4000006</v>
      </c>
      <c r="AA160">
        <v>0</v>
      </c>
      <c r="AB160">
        <v>0</v>
      </c>
      <c r="AC160">
        <v>20.436002890000001</v>
      </c>
      <c r="AD160">
        <v>2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</row>
    <row r="161" spans="1:54" x14ac:dyDescent="0.25">
      <c r="A161">
        <v>173</v>
      </c>
      <c r="B161" t="s">
        <v>559</v>
      </c>
      <c r="C161" t="s">
        <v>770</v>
      </c>
      <c r="D161" t="s">
        <v>979</v>
      </c>
      <c r="E161" t="s">
        <v>88</v>
      </c>
      <c r="F161">
        <v>161200000</v>
      </c>
      <c r="G161">
        <v>83.6</v>
      </c>
      <c r="H161" t="s">
        <v>97</v>
      </c>
      <c r="I161">
        <v>12473492.321146199</v>
      </c>
      <c r="J161">
        <v>12200192.279999999</v>
      </c>
      <c r="M161">
        <v>11286558.402840899</v>
      </c>
      <c r="N161">
        <v>25.234553999999999</v>
      </c>
      <c r="O161">
        <v>26.106667000000002</v>
      </c>
      <c r="P161">
        <v>11372932.728</v>
      </c>
      <c r="Q161">
        <v>27.876166999999999</v>
      </c>
      <c r="R161">
        <v>11824021.804924199</v>
      </c>
      <c r="S161">
        <v>13785256.555536</v>
      </c>
      <c r="T161" t="s">
        <v>96</v>
      </c>
      <c r="U161" t="s">
        <v>1189</v>
      </c>
      <c r="V161">
        <v>1</v>
      </c>
      <c r="W161">
        <v>93.8</v>
      </c>
      <c r="X161">
        <v>83.6</v>
      </c>
      <c r="Y161">
        <v>0.4</v>
      </c>
      <c r="Z161" s="3">
        <v>5390528000</v>
      </c>
      <c r="AA161">
        <v>0</v>
      </c>
      <c r="AB161">
        <v>0</v>
      </c>
      <c r="AC161">
        <v>16.894670000000001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</row>
    <row r="162" spans="1:54" x14ac:dyDescent="0.25">
      <c r="A162">
        <v>132</v>
      </c>
      <c r="B162" t="s">
        <v>530</v>
      </c>
      <c r="C162" t="s">
        <v>741</v>
      </c>
      <c r="D162" t="s">
        <v>950</v>
      </c>
      <c r="E162" t="s">
        <v>94</v>
      </c>
      <c r="F162">
        <v>133200000</v>
      </c>
      <c r="G162">
        <v>72.8</v>
      </c>
      <c r="H162" t="s">
        <v>97</v>
      </c>
      <c r="I162">
        <v>7517353.5729411803</v>
      </c>
      <c r="J162">
        <v>7485468.6366666704</v>
      </c>
      <c r="M162">
        <v>6975185.5409090901</v>
      </c>
      <c r="N162">
        <v>14.536296</v>
      </c>
      <c r="O162">
        <v>15.113106999999999</v>
      </c>
      <c r="P162">
        <v>6538035.5884999996</v>
      </c>
      <c r="Q162">
        <v>19.993625999999999</v>
      </c>
      <c r="R162">
        <v>7191750.4462121204</v>
      </c>
      <c r="S162">
        <v>8383617.1785413204</v>
      </c>
      <c r="T162" t="s">
        <v>96</v>
      </c>
      <c r="U162" t="s">
        <v>1160</v>
      </c>
      <c r="V162">
        <v>1</v>
      </c>
      <c r="W162">
        <v>74.45</v>
      </c>
      <c r="X162">
        <v>72.8</v>
      </c>
      <c r="Y162">
        <v>0.55000000000000004</v>
      </c>
      <c r="Z162" s="3">
        <v>5333328000</v>
      </c>
      <c r="AA162">
        <v>0</v>
      </c>
      <c r="AB162">
        <v>0</v>
      </c>
      <c r="AC162">
        <v>8.6685031699999993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</row>
    <row r="163" spans="1:54" x14ac:dyDescent="0.25">
      <c r="A163">
        <v>300</v>
      </c>
      <c r="B163" t="s">
        <v>646</v>
      </c>
      <c r="C163" t="s">
        <v>855</v>
      </c>
      <c r="D163" t="s">
        <v>1064</v>
      </c>
      <c r="E163" t="s">
        <v>88</v>
      </c>
      <c r="F163">
        <v>264169980</v>
      </c>
      <c r="G163">
        <v>22.14</v>
      </c>
      <c r="H163" t="s">
        <v>97</v>
      </c>
      <c r="I163">
        <v>32520847.3251976</v>
      </c>
      <c r="J163">
        <v>40216170.895999998</v>
      </c>
      <c r="M163">
        <v>30106903.0276515</v>
      </c>
      <c r="N163">
        <v>38.068095999999997</v>
      </c>
      <c r="O163">
        <v>39.351410000000001</v>
      </c>
      <c r="P163">
        <v>30169107.62145</v>
      </c>
      <c r="Q163">
        <v>38.952987999999998</v>
      </c>
      <c r="R163">
        <v>30502397.586515099</v>
      </c>
      <c r="S163">
        <v>35541095.3339165</v>
      </c>
      <c r="T163" t="s">
        <v>96</v>
      </c>
      <c r="U163" t="s">
        <v>1276</v>
      </c>
      <c r="V163">
        <v>1</v>
      </c>
      <c r="W163">
        <v>24.69</v>
      </c>
      <c r="X163">
        <v>22.14</v>
      </c>
      <c r="Y163">
        <v>0.9</v>
      </c>
      <c r="Z163" s="3">
        <v>5263851021.4799995</v>
      </c>
      <c r="AA163">
        <v>0</v>
      </c>
      <c r="AB163">
        <v>0</v>
      </c>
      <c r="AC163">
        <v>18.527259369999999</v>
      </c>
      <c r="AD163">
        <v>2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</row>
    <row r="164" spans="1:54" x14ac:dyDescent="0.25">
      <c r="A164">
        <v>181</v>
      </c>
      <c r="B164" t="s">
        <v>564</v>
      </c>
      <c r="C164" t="s">
        <v>775</v>
      </c>
      <c r="D164" t="s">
        <v>984</v>
      </c>
      <c r="E164" t="s">
        <v>93</v>
      </c>
      <c r="F164">
        <v>251630412</v>
      </c>
      <c r="G164">
        <v>20.64</v>
      </c>
      <c r="H164" t="s">
        <v>97</v>
      </c>
      <c r="I164">
        <v>14879792.0818056</v>
      </c>
      <c r="J164">
        <v>30997998.358333301</v>
      </c>
      <c r="M164">
        <v>20600471.513167899</v>
      </c>
      <c r="N164">
        <v>27.652964000000001</v>
      </c>
      <c r="O164">
        <v>28.998094999999999</v>
      </c>
      <c r="P164">
        <v>20107186.354850002</v>
      </c>
      <c r="Q164">
        <v>30.230433999999999</v>
      </c>
      <c r="R164">
        <v>22827505.095075801</v>
      </c>
      <c r="S164">
        <v>26604952.888617601</v>
      </c>
      <c r="T164" t="s">
        <v>96</v>
      </c>
      <c r="U164" t="s">
        <v>1194</v>
      </c>
      <c r="V164">
        <v>1</v>
      </c>
      <c r="W164">
        <v>22.08</v>
      </c>
      <c r="X164">
        <v>20.64</v>
      </c>
      <c r="Y164">
        <v>1</v>
      </c>
      <c r="Z164" s="3">
        <v>5193651703.6800003</v>
      </c>
      <c r="AA164">
        <v>0</v>
      </c>
      <c r="AB164">
        <v>0</v>
      </c>
      <c r="AC164">
        <v>12.503914999999999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</row>
    <row r="165" spans="1:54" x14ac:dyDescent="0.25">
      <c r="A165">
        <v>103</v>
      </c>
      <c r="B165" t="s">
        <v>510</v>
      </c>
      <c r="C165" t="s">
        <v>721</v>
      </c>
      <c r="D165" t="s">
        <v>930</v>
      </c>
      <c r="E165" t="s">
        <v>94</v>
      </c>
      <c r="F165">
        <v>109072607</v>
      </c>
      <c r="G165">
        <v>103.9</v>
      </c>
      <c r="H165" t="s">
        <v>97</v>
      </c>
      <c r="I165">
        <v>12195647.9060784</v>
      </c>
      <c r="J165">
        <v>9564452.2933333293</v>
      </c>
      <c r="M165">
        <v>12394648.9007576</v>
      </c>
      <c r="N165">
        <v>18.015560000000001</v>
      </c>
      <c r="O165">
        <v>18.319077</v>
      </c>
      <c r="P165">
        <v>9434928.0105000008</v>
      </c>
      <c r="Q165">
        <v>26.893421</v>
      </c>
      <c r="R165">
        <v>9541016.1356060598</v>
      </c>
      <c r="S165">
        <v>11123013.0874385</v>
      </c>
      <c r="T165" t="s">
        <v>96</v>
      </c>
      <c r="U165" t="s">
        <v>1140</v>
      </c>
      <c r="V165">
        <v>1</v>
      </c>
      <c r="W165">
        <v>103.8</v>
      </c>
      <c r="X165">
        <v>103.9</v>
      </c>
      <c r="Y165">
        <v>0.45</v>
      </c>
      <c r="Z165" s="3">
        <v>5099689740.2849998</v>
      </c>
      <c r="AA165">
        <v>0</v>
      </c>
      <c r="AB165">
        <v>0</v>
      </c>
      <c r="AC165">
        <v>17.646921630000001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</row>
    <row r="166" spans="1:54" x14ac:dyDescent="0.25">
      <c r="A166">
        <v>62</v>
      </c>
      <c r="B166" t="s">
        <v>480</v>
      </c>
      <c r="C166" t="s">
        <v>692</v>
      </c>
      <c r="D166" t="s">
        <v>901</v>
      </c>
      <c r="E166" t="s">
        <v>89</v>
      </c>
      <c r="F166">
        <v>118361220</v>
      </c>
      <c r="G166">
        <v>107.7</v>
      </c>
      <c r="H166" t="s">
        <v>97</v>
      </c>
      <c r="I166">
        <v>12523160.947156901</v>
      </c>
      <c r="J166">
        <v>12616678.439999999</v>
      </c>
      <c r="M166">
        <v>12541267.269318201</v>
      </c>
      <c r="N166">
        <v>20.311115000000001</v>
      </c>
      <c r="O166">
        <v>21.772963000000001</v>
      </c>
      <c r="P166">
        <v>12232492.916999999</v>
      </c>
      <c r="Q166">
        <v>22.091443999999999</v>
      </c>
      <c r="R166">
        <v>12375744.7818182</v>
      </c>
      <c r="S166">
        <v>14416670.843463801</v>
      </c>
      <c r="T166" t="s">
        <v>96</v>
      </c>
      <c r="U166" t="s">
        <v>1110</v>
      </c>
      <c r="V166">
        <v>1</v>
      </c>
      <c r="W166">
        <v>107.2</v>
      </c>
      <c r="X166">
        <v>107.7</v>
      </c>
      <c r="Y166">
        <v>0.4</v>
      </c>
      <c r="Z166" s="3">
        <v>5099001357.6000004</v>
      </c>
      <c r="AA166">
        <v>0</v>
      </c>
      <c r="AB166">
        <v>0</v>
      </c>
      <c r="AC166">
        <v>20.43776875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</row>
    <row r="167" spans="1:54" x14ac:dyDescent="0.25">
      <c r="A167">
        <v>262</v>
      </c>
      <c r="B167" t="s">
        <v>620</v>
      </c>
      <c r="C167" t="s">
        <v>830</v>
      </c>
      <c r="D167" t="s">
        <v>1039</v>
      </c>
      <c r="E167" t="s">
        <v>94</v>
      </c>
      <c r="F167">
        <v>103921273</v>
      </c>
      <c r="G167">
        <v>68.540000000000006</v>
      </c>
      <c r="H167" t="s">
        <v>97</v>
      </c>
      <c r="I167">
        <v>10060802.3494706</v>
      </c>
      <c r="J167">
        <v>7641726.1886666697</v>
      </c>
      <c r="M167">
        <v>9226669.2762121297</v>
      </c>
      <c r="N167">
        <v>26.712911999999999</v>
      </c>
      <c r="O167">
        <v>24.956636</v>
      </c>
      <c r="P167">
        <v>9139068.8191</v>
      </c>
      <c r="Q167">
        <v>27.510662</v>
      </c>
      <c r="R167">
        <v>8926871.3128787894</v>
      </c>
      <c r="S167">
        <v>10417287.665442299</v>
      </c>
      <c r="T167" t="s">
        <v>96</v>
      </c>
      <c r="U167" t="s">
        <v>1250</v>
      </c>
      <c r="V167">
        <v>1</v>
      </c>
      <c r="W167">
        <v>68.739999999999995</v>
      </c>
      <c r="X167">
        <v>68.540000000000006</v>
      </c>
      <c r="Y167">
        <v>0.70000000000000007</v>
      </c>
      <c r="Z167" s="3">
        <v>4985934835.9940014</v>
      </c>
      <c r="AA167">
        <v>0</v>
      </c>
      <c r="AB167">
        <v>0</v>
      </c>
      <c r="AC167">
        <v>28.00949125</v>
      </c>
      <c r="AD167">
        <v>2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</row>
    <row r="168" spans="1:54" x14ac:dyDescent="0.25">
      <c r="A168">
        <v>169</v>
      </c>
      <c r="B168" t="s">
        <v>555</v>
      </c>
      <c r="C168" t="s">
        <v>766</v>
      </c>
      <c r="D168" t="s">
        <v>975</v>
      </c>
      <c r="E168" t="s">
        <v>95</v>
      </c>
      <c r="F168">
        <v>273130980</v>
      </c>
      <c r="G168">
        <v>18.09</v>
      </c>
      <c r="H168" t="s">
        <v>97</v>
      </c>
      <c r="I168">
        <v>9694186.16975905</v>
      </c>
      <c r="J168">
        <v>7439558.2886666702</v>
      </c>
      <c r="M168">
        <v>8843306.0848461501</v>
      </c>
      <c r="N168">
        <v>16.512177000000001</v>
      </c>
      <c r="O168">
        <v>16.778790999999998</v>
      </c>
      <c r="P168">
        <v>8518502.3461000007</v>
      </c>
      <c r="Q168">
        <v>18.69669</v>
      </c>
      <c r="R168">
        <v>8764587.0051515196</v>
      </c>
      <c r="S168">
        <v>10219431.937639499</v>
      </c>
      <c r="T168" t="s">
        <v>96</v>
      </c>
      <c r="U168" t="s">
        <v>1185</v>
      </c>
      <c r="V168">
        <v>1</v>
      </c>
      <c r="W168">
        <v>18.72</v>
      </c>
      <c r="X168">
        <v>18.09</v>
      </c>
      <c r="Y168">
        <v>1</v>
      </c>
      <c r="Z168" s="3">
        <v>4940939428.1999998</v>
      </c>
      <c r="AA168">
        <v>0</v>
      </c>
      <c r="AB168">
        <v>0</v>
      </c>
      <c r="AC168">
        <v>18.612954999999999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</row>
    <row r="169" spans="1:54" x14ac:dyDescent="0.25">
      <c r="A169">
        <v>213</v>
      </c>
      <c r="B169" t="s">
        <v>588</v>
      </c>
      <c r="C169" t="s">
        <v>798</v>
      </c>
      <c r="D169" t="s">
        <v>1007</v>
      </c>
      <c r="E169" t="s">
        <v>88</v>
      </c>
      <c r="F169">
        <v>455500000</v>
      </c>
      <c r="G169">
        <v>43.21</v>
      </c>
      <c r="H169" t="s">
        <v>97</v>
      </c>
      <c r="I169">
        <v>39298577.155316196</v>
      </c>
      <c r="J169">
        <v>22614719.889666699</v>
      </c>
      <c r="M169">
        <v>32735949.561136398</v>
      </c>
      <c r="N169">
        <v>32.993899999999996</v>
      </c>
      <c r="O169">
        <v>33.079329999999999</v>
      </c>
      <c r="P169">
        <v>33007070.571699999</v>
      </c>
      <c r="Q169">
        <v>32.686680000000003</v>
      </c>
      <c r="R169">
        <v>32563740.766666699</v>
      </c>
      <c r="S169">
        <v>37993071.589299902</v>
      </c>
      <c r="T169" t="s">
        <v>96</v>
      </c>
      <c r="U169" t="s">
        <v>1218</v>
      </c>
      <c r="V169">
        <v>1</v>
      </c>
      <c r="W169">
        <v>46.1</v>
      </c>
      <c r="X169">
        <v>43.21</v>
      </c>
      <c r="Y169">
        <v>0.25</v>
      </c>
      <c r="Z169" s="3">
        <v>4920538750</v>
      </c>
      <c r="AA169">
        <v>0</v>
      </c>
      <c r="AB169">
        <v>0</v>
      </c>
      <c r="AC169">
        <v>17.1728375</v>
      </c>
      <c r="AD169">
        <v>2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</row>
    <row r="170" spans="1:54" x14ac:dyDescent="0.25">
      <c r="A170">
        <v>177</v>
      </c>
      <c r="B170" t="s">
        <v>563</v>
      </c>
      <c r="C170" t="s">
        <v>774</v>
      </c>
      <c r="D170" t="s">
        <v>983</v>
      </c>
      <c r="E170" t="s">
        <v>88</v>
      </c>
      <c r="F170">
        <v>75570800</v>
      </c>
      <c r="G170">
        <v>64.599999999999994</v>
      </c>
      <c r="H170" t="s">
        <v>97</v>
      </c>
      <c r="I170">
        <v>15631363.749921</v>
      </c>
      <c r="J170">
        <v>16130247.946666701</v>
      </c>
      <c r="M170">
        <v>13083774.7320076</v>
      </c>
      <c r="N170">
        <v>20.665939999999999</v>
      </c>
      <c r="O170">
        <v>19.458067</v>
      </c>
      <c r="P170">
        <v>12261355.329</v>
      </c>
      <c r="Q170">
        <v>24.488</v>
      </c>
      <c r="R170">
        <v>13129277.932197001</v>
      </c>
      <c r="S170">
        <v>15294876.845135299</v>
      </c>
      <c r="T170" t="s">
        <v>96</v>
      </c>
      <c r="U170" t="s">
        <v>1193</v>
      </c>
      <c r="V170">
        <v>1</v>
      </c>
      <c r="W170">
        <v>61.2</v>
      </c>
      <c r="X170">
        <v>64.599999999999994</v>
      </c>
      <c r="Y170">
        <v>1</v>
      </c>
      <c r="Z170" s="3">
        <v>4881873680</v>
      </c>
      <c r="AA170">
        <v>0</v>
      </c>
      <c r="AB170">
        <v>0</v>
      </c>
      <c r="AC170">
        <v>10.059642500000001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</row>
    <row r="171" spans="1:54" x14ac:dyDescent="0.25">
      <c r="A171">
        <v>84</v>
      </c>
      <c r="B171" t="s">
        <v>499</v>
      </c>
      <c r="C171" t="s">
        <v>710</v>
      </c>
      <c r="D171" t="s">
        <v>919</v>
      </c>
      <c r="E171" t="s">
        <v>88</v>
      </c>
      <c r="F171">
        <v>96000000</v>
      </c>
      <c r="G171">
        <v>84.65</v>
      </c>
      <c r="H171" t="s">
        <v>97</v>
      </c>
      <c r="I171">
        <v>14829547.5210474</v>
      </c>
      <c r="J171">
        <v>17247201.190000001</v>
      </c>
      <c r="M171">
        <v>15709150.931060599</v>
      </c>
      <c r="N171">
        <v>37.152977</v>
      </c>
      <c r="O171">
        <v>40.206603999999999</v>
      </c>
      <c r="P171">
        <v>16416208.912249999</v>
      </c>
      <c r="Q171">
        <v>36.157974000000003</v>
      </c>
      <c r="R171">
        <v>18611678.3719697</v>
      </c>
      <c r="S171">
        <v>21704225.058465902</v>
      </c>
      <c r="T171" t="s">
        <v>96</v>
      </c>
      <c r="U171" t="s">
        <v>1129</v>
      </c>
      <c r="V171">
        <v>1</v>
      </c>
      <c r="W171">
        <v>76.55</v>
      </c>
      <c r="X171">
        <v>84.65</v>
      </c>
      <c r="Y171">
        <v>0.6</v>
      </c>
      <c r="Z171" s="3">
        <v>4875840000</v>
      </c>
      <c r="AA171">
        <v>0</v>
      </c>
      <c r="AB171">
        <v>0</v>
      </c>
      <c r="AC171">
        <v>14.40897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</row>
    <row r="172" spans="1:54" x14ac:dyDescent="0.25">
      <c r="A172">
        <v>164</v>
      </c>
      <c r="B172" t="s">
        <v>551</v>
      </c>
      <c r="C172" t="s">
        <v>762</v>
      </c>
      <c r="D172" t="s">
        <v>971</v>
      </c>
      <c r="E172" t="s">
        <v>91</v>
      </c>
      <c r="F172">
        <v>488178642</v>
      </c>
      <c r="G172">
        <v>31.48</v>
      </c>
      <c r="H172" t="s">
        <v>97</v>
      </c>
      <c r="I172">
        <v>13324283.411588199</v>
      </c>
      <c r="J172">
        <v>12258952.3173333</v>
      </c>
      <c r="M172">
        <v>17108731.5492424</v>
      </c>
      <c r="N172">
        <v>31.562141</v>
      </c>
      <c r="O172">
        <v>34.127026000000001</v>
      </c>
      <c r="P172">
        <v>19796956.0506</v>
      </c>
      <c r="Q172">
        <v>28.75337</v>
      </c>
      <c r="R172">
        <v>25565746.558636401</v>
      </c>
      <c r="S172">
        <v>29843764.134474799</v>
      </c>
      <c r="T172" t="s">
        <v>96</v>
      </c>
      <c r="U172" t="s">
        <v>1181</v>
      </c>
      <c r="V172">
        <v>1</v>
      </c>
      <c r="W172">
        <v>31.68</v>
      </c>
      <c r="X172">
        <v>31.48</v>
      </c>
      <c r="Y172">
        <v>0.3</v>
      </c>
      <c r="Z172" s="3">
        <v>4610359095.0480013</v>
      </c>
      <c r="AA172">
        <v>0</v>
      </c>
      <c r="AB172">
        <v>0</v>
      </c>
      <c r="AC172">
        <v>18.003841250000001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</row>
    <row r="173" spans="1:54" x14ac:dyDescent="0.25">
      <c r="A173">
        <v>136</v>
      </c>
      <c r="B173" t="s">
        <v>533</v>
      </c>
      <c r="C173" t="s">
        <v>744</v>
      </c>
      <c r="D173" t="s">
        <v>953</v>
      </c>
      <c r="E173" t="s">
        <v>89</v>
      </c>
      <c r="F173">
        <v>550000000</v>
      </c>
      <c r="G173">
        <v>15.23</v>
      </c>
      <c r="H173" t="s">
        <v>97</v>
      </c>
      <c r="I173">
        <v>9295656.25253921</v>
      </c>
      <c r="J173">
        <v>7272470.2283333298</v>
      </c>
      <c r="M173">
        <v>8203128.18079546</v>
      </c>
      <c r="N173">
        <v>13.171885</v>
      </c>
      <c r="O173">
        <v>13.683085999999999</v>
      </c>
      <c r="P173">
        <v>7741882.6259500002</v>
      </c>
      <c r="Q173">
        <v>16.540099999999999</v>
      </c>
      <c r="R173">
        <v>8187562.7026515203</v>
      </c>
      <c r="S173">
        <v>9545440.1789268106</v>
      </c>
      <c r="T173" t="s">
        <v>96</v>
      </c>
      <c r="U173" t="s">
        <v>1163</v>
      </c>
      <c r="V173">
        <v>1</v>
      </c>
      <c r="W173">
        <v>15.32</v>
      </c>
      <c r="X173">
        <v>15.23</v>
      </c>
      <c r="Y173">
        <v>0.55000000000000004</v>
      </c>
      <c r="Z173" s="3">
        <v>4607075000</v>
      </c>
      <c r="AA173">
        <v>0</v>
      </c>
      <c r="AB173">
        <v>0</v>
      </c>
      <c r="AC173">
        <v>10.34705187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</row>
    <row r="174" spans="1:54" x14ac:dyDescent="0.25">
      <c r="A174">
        <v>9</v>
      </c>
      <c r="B174" t="s">
        <v>441</v>
      </c>
      <c r="C174" t="s">
        <v>653</v>
      </c>
      <c r="D174" t="s">
        <v>862</v>
      </c>
      <c r="E174" t="s">
        <v>94</v>
      </c>
      <c r="F174">
        <v>33157750</v>
      </c>
      <c r="G174">
        <v>212.6</v>
      </c>
      <c r="H174" t="s">
        <v>97</v>
      </c>
      <c r="I174">
        <v>5754465.6805882296</v>
      </c>
      <c r="J174">
        <v>6203310.2933333302</v>
      </c>
      <c r="M174">
        <v>5948486.5356060602</v>
      </c>
      <c r="N174">
        <v>17.175433999999999</v>
      </c>
      <c r="O174">
        <v>18.232588</v>
      </c>
      <c r="P174">
        <v>5349930.2860000003</v>
      </c>
      <c r="Q174">
        <v>21.312393</v>
      </c>
      <c r="R174">
        <v>5601057.9318181798</v>
      </c>
      <c r="S174">
        <v>6529131.6772357104</v>
      </c>
      <c r="T174" t="s">
        <v>96</v>
      </c>
      <c r="U174" t="s">
        <v>1071</v>
      </c>
      <c r="V174">
        <v>1</v>
      </c>
      <c r="W174">
        <v>231.6</v>
      </c>
      <c r="X174">
        <v>212.6</v>
      </c>
      <c r="Y174">
        <v>0.65</v>
      </c>
      <c r="Z174" s="3">
        <v>4582069472.5</v>
      </c>
      <c r="AA174">
        <v>0</v>
      </c>
      <c r="AB174">
        <v>0</v>
      </c>
      <c r="AC174">
        <v>8.8753762500000004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</row>
    <row r="175" spans="1:54" x14ac:dyDescent="0.25">
      <c r="A175">
        <v>191</v>
      </c>
      <c r="B175" t="s">
        <v>572</v>
      </c>
      <c r="C175" t="s">
        <v>783</v>
      </c>
      <c r="D175" t="s">
        <v>992</v>
      </c>
      <c r="E175" t="s">
        <v>90</v>
      </c>
      <c r="F175">
        <v>563724900</v>
      </c>
      <c r="G175">
        <v>12.37</v>
      </c>
      <c r="H175" t="s">
        <v>97</v>
      </c>
      <c r="I175">
        <v>9602842.5979717709</v>
      </c>
      <c r="J175">
        <v>12263301.823999999</v>
      </c>
      <c r="M175">
        <v>9675354.2053484805</v>
      </c>
      <c r="N175">
        <v>17.844307000000001</v>
      </c>
      <c r="O175">
        <v>18.284949999999998</v>
      </c>
      <c r="P175">
        <v>9964786.5449999999</v>
      </c>
      <c r="Q175">
        <v>21.618894999999998</v>
      </c>
      <c r="R175">
        <v>10075941.896363599</v>
      </c>
      <c r="S175">
        <v>11739247.0689968</v>
      </c>
      <c r="T175" t="s">
        <v>96</v>
      </c>
      <c r="U175" t="s">
        <v>1202</v>
      </c>
      <c r="V175">
        <v>1</v>
      </c>
      <c r="W175">
        <v>12.16</v>
      </c>
      <c r="X175">
        <v>12.37</v>
      </c>
      <c r="Y175">
        <v>0.65</v>
      </c>
      <c r="Z175" s="3">
        <v>4532630058.4499998</v>
      </c>
      <c r="AA175">
        <v>0</v>
      </c>
      <c r="AB175">
        <v>0</v>
      </c>
      <c r="AC175">
        <v>9.8940000000000001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</row>
    <row r="176" spans="1:54" x14ac:dyDescent="0.25">
      <c r="A176">
        <v>266</v>
      </c>
      <c r="B176" t="s">
        <v>624</v>
      </c>
      <c r="C176" t="s">
        <v>834</v>
      </c>
      <c r="D176" t="s">
        <v>1043</v>
      </c>
      <c r="E176" t="s">
        <v>89</v>
      </c>
      <c r="F176">
        <v>178378708</v>
      </c>
      <c r="G176">
        <v>33.56</v>
      </c>
      <c r="H176" t="s">
        <v>97</v>
      </c>
      <c r="I176">
        <v>9891415.5229019709</v>
      </c>
      <c r="J176">
        <v>11750933.946666701</v>
      </c>
      <c r="M176">
        <v>10488123.5011364</v>
      </c>
      <c r="N176">
        <v>28.396045999999998</v>
      </c>
      <c r="O176">
        <v>30.023489000000001</v>
      </c>
      <c r="P176">
        <v>10873127.9366</v>
      </c>
      <c r="Q176">
        <v>30.336400000000001</v>
      </c>
      <c r="R176">
        <v>11682292.7645455</v>
      </c>
      <c r="S176">
        <v>13614008.3381174</v>
      </c>
      <c r="T176" t="s">
        <v>96</v>
      </c>
      <c r="U176" t="s">
        <v>1254</v>
      </c>
      <c r="V176">
        <v>1</v>
      </c>
      <c r="W176">
        <v>32</v>
      </c>
      <c r="X176">
        <v>33.56</v>
      </c>
      <c r="Y176">
        <v>0.75</v>
      </c>
      <c r="Z176" s="3">
        <v>4489792080.3600006</v>
      </c>
      <c r="AA176">
        <v>0</v>
      </c>
      <c r="AB176">
        <v>0</v>
      </c>
      <c r="AC176">
        <v>19.75210315</v>
      </c>
      <c r="AD176">
        <v>2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</row>
    <row r="177" spans="1:54" x14ac:dyDescent="0.25">
      <c r="A177">
        <v>200</v>
      </c>
      <c r="B177" t="s">
        <v>579</v>
      </c>
      <c r="C177" t="s">
        <v>789</v>
      </c>
      <c r="D177" t="s">
        <v>998</v>
      </c>
      <c r="E177" t="s">
        <v>89</v>
      </c>
      <c r="F177">
        <v>43744779</v>
      </c>
      <c r="G177">
        <v>119.6</v>
      </c>
      <c r="H177" t="s">
        <v>97</v>
      </c>
      <c r="I177">
        <v>15101871.328921599</v>
      </c>
      <c r="J177">
        <v>15409725.939999999</v>
      </c>
      <c r="M177">
        <v>14671819.1003788</v>
      </c>
      <c r="N177">
        <v>36.548447000000003</v>
      </c>
      <c r="O177">
        <v>36.704903000000002</v>
      </c>
      <c r="P177">
        <v>16101558.283</v>
      </c>
      <c r="Q177">
        <v>37.956738000000001</v>
      </c>
      <c r="R177">
        <v>17905051.605303001</v>
      </c>
      <c r="S177">
        <v>20852135.443474699</v>
      </c>
      <c r="T177" t="s">
        <v>96</v>
      </c>
      <c r="U177" t="s">
        <v>1209</v>
      </c>
      <c r="V177">
        <v>1</v>
      </c>
      <c r="W177">
        <v>123.8</v>
      </c>
      <c r="X177">
        <v>119.6</v>
      </c>
      <c r="Y177">
        <v>0.85000000000000009</v>
      </c>
      <c r="Z177" s="3">
        <v>4447094233.1400003</v>
      </c>
      <c r="AA177">
        <v>0</v>
      </c>
      <c r="AB177">
        <v>0</v>
      </c>
      <c r="AC177">
        <v>22.634561519999998</v>
      </c>
      <c r="AD177">
        <v>3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</row>
    <row r="178" spans="1:54" x14ac:dyDescent="0.25">
      <c r="A178">
        <v>99</v>
      </c>
      <c r="B178" t="s">
        <v>507</v>
      </c>
      <c r="C178" t="s">
        <v>718</v>
      </c>
      <c r="D178" t="s">
        <v>927</v>
      </c>
      <c r="E178" t="s">
        <v>89</v>
      </c>
      <c r="F178">
        <v>239891064</v>
      </c>
      <c r="G178">
        <v>18.425000000000001</v>
      </c>
      <c r="H178" t="s">
        <v>97</v>
      </c>
      <c r="I178">
        <v>20873416.556024302</v>
      </c>
      <c r="J178">
        <v>26782259.464000098</v>
      </c>
      <c r="M178">
        <v>18927004.089137901</v>
      </c>
      <c r="N178">
        <v>44.799639999999997</v>
      </c>
      <c r="O178">
        <v>47.804653000000002</v>
      </c>
      <c r="P178">
        <v>19430427.481961999</v>
      </c>
      <c r="Q178">
        <v>45.290447</v>
      </c>
      <c r="R178">
        <v>22514341.857896999</v>
      </c>
      <c r="S178">
        <v>26229885.021113802</v>
      </c>
      <c r="T178" t="s">
        <v>96</v>
      </c>
      <c r="U178" t="s">
        <v>1137</v>
      </c>
      <c r="V178">
        <v>1</v>
      </c>
      <c r="W178">
        <v>18.600000000000001</v>
      </c>
      <c r="X178">
        <v>18.425000000000001</v>
      </c>
      <c r="Y178">
        <v>1</v>
      </c>
      <c r="Z178" s="3">
        <v>4419992854.1999998</v>
      </c>
      <c r="AA178">
        <v>0</v>
      </c>
      <c r="AB178">
        <v>0</v>
      </c>
      <c r="AC178">
        <v>13.04068</v>
      </c>
      <c r="AD178">
        <v>2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</row>
    <row r="179" spans="1:54" x14ac:dyDescent="0.25">
      <c r="A179">
        <v>151</v>
      </c>
      <c r="B179" t="s">
        <v>544</v>
      </c>
      <c r="C179" t="s">
        <v>755</v>
      </c>
      <c r="D179" t="s">
        <v>964</v>
      </c>
      <c r="E179" t="s">
        <v>91</v>
      </c>
      <c r="F179">
        <v>59107999</v>
      </c>
      <c r="G179">
        <v>77.5</v>
      </c>
      <c r="H179" t="s">
        <v>97</v>
      </c>
      <c r="I179">
        <v>17830496.7414314</v>
      </c>
      <c r="J179">
        <v>28267436.908</v>
      </c>
      <c r="M179">
        <v>20618390.433257598</v>
      </c>
      <c r="N179">
        <v>31.149010000000001</v>
      </c>
      <c r="O179">
        <v>33.302467</v>
      </c>
      <c r="P179">
        <v>23058963.628150001</v>
      </c>
      <c r="Q179">
        <v>33.698708000000003</v>
      </c>
      <c r="R179">
        <v>23282585.8775758</v>
      </c>
      <c r="S179">
        <v>27130606.973647799</v>
      </c>
      <c r="T179" t="s">
        <v>96</v>
      </c>
      <c r="U179" t="s">
        <v>1174</v>
      </c>
      <c r="V179">
        <v>1</v>
      </c>
      <c r="W179">
        <v>76.760000000000005</v>
      </c>
      <c r="X179">
        <v>77.5</v>
      </c>
      <c r="Y179">
        <v>0.95000000000000007</v>
      </c>
      <c r="Z179" s="3">
        <v>4351826426.375</v>
      </c>
      <c r="AA179">
        <v>0</v>
      </c>
      <c r="AB179">
        <v>0</v>
      </c>
      <c r="AC179">
        <v>11.576882940000001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</row>
    <row r="180" spans="1:54" x14ac:dyDescent="0.25">
      <c r="A180">
        <v>220</v>
      </c>
      <c r="B180" t="s">
        <v>593</v>
      </c>
      <c r="C180" t="s">
        <v>803</v>
      </c>
      <c r="D180" t="s">
        <v>1012</v>
      </c>
      <c r="E180" t="s">
        <v>92</v>
      </c>
      <c r="F180">
        <v>328939640</v>
      </c>
      <c r="G180">
        <v>33</v>
      </c>
      <c r="H180" t="s">
        <v>97</v>
      </c>
      <c r="I180">
        <v>9669850.2623320203</v>
      </c>
      <c r="J180">
        <v>11313381.473333299</v>
      </c>
      <c r="M180">
        <v>9036298.2121212091</v>
      </c>
      <c r="N180">
        <v>37.912117000000002</v>
      </c>
      <c r="O180">
        <v>40.187564999999999</v>
      </c>
      <c r="P180">
        <v>9893756.8224000093</v>
      </c>
      <c r="Q180">
        <v>40.064450000000001</v>
      </c>
      <c r="R180">
        <v>9685565.1972727291</v>
      </c>
      <c r="S180">
        <v>11284589.6398986</v>
      </c>
      <c r="T180" t="s">
        <v>96</v>
      </c>
      <c r="U180" t="s">
        <v>1223</v>
      </c>
      <c r="V180">
        <v>1</v>
      </c>
      <c r="W180">
        <v>37.74</v>
      </c>
      <c r="X180">
        <v>33</v>
      </c>
      <c r="Y180">
        <v>0.4</v>
      </c>
      <c r="Z180" s="3">
        <v>4342003248</v>
      </c>
      <c r="AA180">
        <v>0</v>
      </c>
      <c r="AB180">
        <v>0</v>
      </c>
      <c r="AC180">
        <v>17.112909999999999</v>
      </c>
      <c r="AD180">
        <v>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</row>
    <row r="181" spans="1:54" x14ac:dyDescent="0.25">
      <c r="A181">
        <v>171</v>
      </c>
      <c r="B181" t="s">
        <v>557</v>
      </c>
      <c r="C181" t="s">
        <v>768</v>
      </c>
      <c r="D181" t="s">
        <v>977</v>
      </c>
      <c r="E181" t="s">
        <v>88</v>
      </c>
      <c r="F181">
        <v>131198650</v>
      </c>
      <c r="G181">
        <v>59.3</v>
      </c>
      <c r="H181" t="s">
        <v>97</v>
      </c>
      <c r="I181">
        <v>14136262.286304301</v>
      </c>
      <c r="J181">
        <v>14126804.3333333</v>
      </c>
      <c r="M181">
        <v>14086858.512916701</v>
      </c>
      <c r="N181">
        <v>34.964849999999998</v>
      </c>
      <c r="O181">
        <v>35.202939999999998</v>
      </c>
      <c r="P181">
        <v>14544350.086999999</v>
      </c>
      <c r="Q181">
        <v>39.721995999999997</v>
      </c>
      <c r="R181">
        <v>13000384.601136399</v>
      </c>
      <c r="S181">
        <v>15137430.665752901</v>
      </c>
      <c r="T181" t="s">
        <v>96</v>
      </c>
      <c r="U181" t="s">
        <v>1187</v>
      </c>
      <c r="V181">
        <v>1</v>
      </c>
      <c r="W181">
        <v>63.7</v>
      </c>
      <c r="X181">
        <v>59.3</v>
      </c>
      <c r="Y181">
        <v>0.55000000000000004</v>
      </c>
      <c r="Z181" s="3">
        <v>4279043969.75</v>
      </c>
      <c r="AA181">
        <v>0</v>
      </c>
      <c r="AB181">
        <v>0</v>
      </c>
      <c r="AC181">
        <v>24.463116880000001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</row>
    <row r="182" spans="1:54" x14ac:dyDescent="0.25">
      <c r="A182">
        <v>160</v>
      </c>
      <c r="B182" t="s">
        <v>548</v>
      </c>
      <c r="C182" t="s">
        <v>759</v>
      </c>
      <c r="D182" t="s">
        <v>968</v>
      </c>
      <c r="E182" t="s">
        <v>89</v>
      </c>
      <c r="F182">
        <v>83814526</v>
      </c>
      <c r="G182">
        <v>127.1</v>
      </c>
      <c r="H182" t="s">
        <v>97</v>
      </c>
      <c r="I182">
        <v>8360941.0311764702</v>
      </c>
      <c r="J182">
        <v>9404201.0666666701</v>
      </c>
      <c r="M182">
        <v>8024828.7492424203</v>
      </c>
      <c r="N182">
        <v>23.903165999999999</v>
      </c>
      <c r="O182">
        <v>25.479548000000001</v>
      </c>
      <c r="P182">
        <v>8187489.5889999997</v>
      </c>
      <c r="Q182">
        <v>27.127613</v>
      </c>
      <c r="R182">
        <v>8723568.5833333302</v>
      </c>
      <c r="S182">
        <v>10164291.477043699</v>
      </c>
      <c r="T182" t="s">
        <v>96</v>
      </c>
      <c r="U182" t="s">
        <v>1178</v>
      </c>
      <c r="V182">
        <v>1</v>
      </c>
      <c r="W182">
        <v>120.6</v>
      </c>
      <c r="X182">
        <v>127.1</v>
      </c>
      <c r="Y182">
        <v>0.4</v>
      </c>
      <c r="Z182" s="3">
        <v>4261130501.8400002</v>
      </c>
      <c r="AA182">
        <v>0</v>
      </c>
      <c r="AB182">
        <v>0</v>
      </c>
      <c r="AC182">
        <v>21.926671249999998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</row>
    <row r="183" spans="1:54" x14ac:dyDescent="0.25">
      <c r="A183">
        <v>290</v>
      </c>
      <c r="B183" t="s">
        <v>639</v>
      </c>
      <c r="C183" t="s">
        <v>849</v>
      </c>
      <c r="D183" t="s">
        <v>1058</v>
      </c>
      <c r="E183" t="s">
        <v>92</v>
      </c>
      <c r="F183">
        <v>170233686</v>
      </c>
      <c r="G183">
        <v>62.4</v>
      </c>
      <c r="H183" t="s">
        <v>97</v>
      </c>
      <c r="I183">
        <v>8485253.5915019792</v>
      </c>
      <c r="J183">
        <v>8902790.6033333298</v>
      </c>
      <c r="M183">
        <v>7858322.3617424201</v>
      </c>
      <c r="N183">
        <v>19.9724</v>
      </c>
      <c r="O183">
        <v>20.681844999999999</v>
      </c>
      <c r="P183">
        <v>7388560.2189999996</v>
      </c>
      <c r="Q183">
        <v>22.619672999999999</v>
      </c>
      <c r="R183">
        <v>7774778.7575757597</v>
      </c>
      <c r="S183">
        <v>9060374.0084394999</v>
      </c>
      <c r="T183" t="s">
        <v>96</v>
      </c>
      <c r="U183" t="s">
        <v>1269</v>
      </c>
      <c r="V183">
        <v>1</v>
      </c>
      <c r="W183">
        <v>60.9</v>
      </c>
      <c r="X183">
        <v>62.4</v>
      </c>
      <c r="Y183">
        <v>0.4</v>
      </c>
      <c r="Z183" s="3">
        <v>4249032802.5599999</v>
      </c>
      <c r="AA183">
        <v>0</v>
      </c>
      <c r="AB183">
        <v>0</v>
      </c>
      <c r="AC183">
        <v>20.104955879999999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</row>
    <row r="184" spans="1:54" x14ac:dyDescent="0.25">
      <c r="A184">
        <v>148</v>
      </c>
      <c r="B184" t="s">
        <v>542</v>
      </c>
      <c r="C184" t="s">
        <v>753</v>
      </c>
      <c r="D184" t="s">
        <v>962</v>
      </c>
      <c r="E184" t="s">
        <v>88</v>
      </c>
      <c r="F184">
        <v>77711300</v>
      </c>
      <c r="G184">
        <v>270</v>
      </c>
      <c r="H184" t="s">
        <v>97</v>
      </c>
      <c r="I184">
        <v>13142718.4416996</v>
      </c>
      <c r="J184">
        <v>21590321.0666667</v>
      </c>
      <c r="M184">
        <v>12969032.503409101</v>
      </c>
      <c r="N184">
        <v>34.89922</v>
      </c>
      <c r="O184">
        <v>37.018856</v>
      </c>
      <c r="P184">
        <v>14396818.562999999</v>
      </c>
      <c r="Q184">
        <v>36.24579</v>
      </c>
      <c r="R184">
        <v>15993660.5712121</v>
      </c>
      <c r="S184">
        <v>18616217.258075301</v>
      </c>
      <c r="T184" t="s">
        <v>96</v>
      </c>
      <c r="U184" t="s">
        <v>1172</v>
      </c>
      <c r="V184">
        <v>1</v>
      </c>
      <c r="W184">
        <v>332.2</v>
      </c>
      <c r="X184">
        <v>270</v>
      </c>
      <c r="Y184">
        <v>0.2</v>
      </c>
      <c r="Z184" s="3">
        <v>4196410200</v>
      </c>
      <c r="AA184">
        <v>0</v>
      </c>
      <c r="AB184">
        <v>0</v>
      </c>
      <c r="AC184">
        <v>26.418542219999999</v>
      </c>
      <c r="AD184">
        <v>2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</row>
    <row r="185" spans="1:54" x14ac:dyDescent="0.25">
      <c r="A185">
        <v>6</v>
      </c>
      <c r="B185" t="s">
        <v>438</v>
      </c>
      <c r="C185" t="s">
        <v>650</v>
      </c>
      <c r="D185" t="s">
        <v>859</v>
      </c>
      <c r="E185" t="s">
        <v>90</v>
      </c>
      <c r="F185">
        <v>54856650</v>
      </c>
      <c r="G185">
        <v>169.1</v>
      </c>
      <c r="H185" t="s">
        <v>97</v>
      </c>
      <c r="I185">
        <v>13009983.6</v>
      </c>
      <c r="J185">
        <v>20203485.563333299</v>
      </c>
      <c r="M185">
        <v>15024953.231818199</v>
      </c>
      <c r="N185">
        <v>26.088149999999999</v>
      </c>
      <c r="O185">
        <v>26.661535000000001</v>
      </c>
      <c r="P185">
        <v>14441957.300000001</v>
      </c>
      <c r="Q185">
        <v>29.449766</v>
      </c>
      <c r="R185">
        <v>12771372.6219697</v>
      </c>
      <c r="S185">
        <v>14870504.708213501</v>
      </c>
      <c r="T185" t="s">
        <v>96</v>
      </c>
      <c r="U185" t="s">
        <v>1068</v>
      </c>
      <c r="V185">
        <v>1</v>
      </c>
      <c r="W185">
        <v>184.3</v>
      </c>
      <c r="X185">
        <v>169.1</v>
      </c>
      <c r="Y185">
        <v>0.45</v>
      </c>
      <c r="Z185" s="3">
        <v>4174316781.75</v>
      </c>
      <c r="AA185">
        <v>0</v>
      </c>
      <c r="AB185">
        <v>0</v>
      </c>
      <c r="AC185">
        <v>19.900585329999998</v>
      </c>
      <c r="AD185">
        <v>2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</row>
    <row r="186" spans="1:54" x14ac:dyDescent="0.25">
      <c r="A186">
        <v>47</v>
      </c>
      <c r="B186" t="s">
        <v>469</v>
      </c>
      <c r="C186" t="s">
        <v>681</v>
      </c>
      <c r="D186" t="s">
        <v>890</v>
      </c>
      <c r="E186" t="s">
        <v>93</v>
      </c>
      <c r="F186">
        <v>745388391</v>
      </c>
      <c r="G186">
        <v>18.47</v>
      </c>
      <c r="H186" t="s">
        <v>97</v>
      </c>
      <c r="I186">
        <v>21600473.7042659</v>
      </c>
      <c r="J186">
        <v>27151546.544</v>
      </c>
      <c r="M186">
        <v>22012948.9138931</v>
      </c>
      <c r="N186">
        <v>18.856698999999999</v>
      </c>
      <c r="O186">
        <v>18.859034000000001</v>
      </c>
      <c r="P186">
        <v>18639151.426899999</v>
      </c>
      <c r="Q186">
        <v>28.076840000000001</v>
      </c>
      <c r="R186">
        <v>18701062.451742399</v>
      </c>
      <c r="S186">
        <v>21774070.150373701</v>
      </c>
      <c r="T186" t="s">
        <v>96</v>
      </c>
      <c r="U186" t="s">
        <v>1099</v>
      </c>
      <c r="V186">
        <v>1</v>
      </c>
      <c r="W186">
        <v>18.940000000000001</v>
      </c>
      <c r="X186">
        <v>18.47</v>
      </c>
      <c r="Y186">
        <v>0.3</v>
      </c>
      <c r="Z186" s="3">
        <v>4130197074.5310011</v>
      </c>
      <c r="AA186">
        <v>0</v>
      </c>
      <c r="AB186">
        <v>0</v>
      </c>
      <c r="AC186">
        <v>23.980443359999999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</row>
    <row r="187" spans="1:54" x14ac:dyDescent="0.25">
      <c r="A187">
        <v>296</v>
      </c>
      <c r="B187" t="s">
        <v>642</v>
      </c>
      <c r="C187" t="s">
        <v>852</v>
      </c>
      <c r="D187" t="s">
        <v>1061</v>
      </c>
      <c r="E187" t="s">
        <v>94</v>
      </c>
      <c r="F187">
        <v>235139589</v>
      </c>
      <c r="G187">
        <v>21.88</v>
      </c>
      <c r="H187" t="s">
        <v>97</v>
      </c>
      <c r="I187">
        <v>9127323.0964117609</v>
      </c>
      <c r="J187">
        <v>8643934.09333333</v>
      </c>
      <c r="M187">
        <v>7286816.4301515101</v>
      </c>
      <c r="N187">
        <v>17.020994000000002</v>
      </c>
      <c r="O187">
        <v>17.535678999999998</v>
      </c>
      <c r="P187">
        <v>7698153.4426999995</v>
      </c>
      <c r="Q187">
        <v>21.772473999999999</v>
      </c>
      <c r="R187">
        <v>8936144.5634848401</v>
      </c>
      <c r="S187">
        <v>10421719.621392399</v>
      </c>
      <c r="T187" t="s">
        <v>96</v>
      </c>
      <c r="U187" t="s">
        <v>1272</v>
      </c>
      <c r="V187">
        <v>1</v>
      </c>
      <c r="W187">
        <v>21.28</v>
      </c>
      <c r="X187">
        <v>21.88</v>
      </c>
      <c r="Y187">
        <v>0.8</v>
      </c>
      <c r="Z187" s="3">
        <v>4115883365.8559999</v>
      </c>
      <c r="AA187">
        <v>0</v>
      </c>
      <c r="AB187">
        <v>0</v>
      </c>
      <c r="AC187">
        <v>9.8425750000000001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</row>
    <row r="188" spans="1:54" x14ac:dyDescent="0.25">
      <c r="A188">
        <v>246</v>
      </c>
      <c r="B188" t="s">
        <v>608</v>
      </c>
      <c r="C188" t="s">
        <v>818</v>
      </c>
      <c r="D188" t="s">
        <v>1027</v>
      </c>
      <c r="E188" t="s">
        <v>89</v>
      </c>
      <c r="F188">
        <v>179363695</v>
      </c>
      <c r="G188">
        <v>26.96</v>
      </c>
      <c r="H188" t="s">
        <v>97</v>
      </c>
      <c r="I188">
        <v>13566297.4111373</v>
      </c>
      <c r="J188">
        <v>18060463.3386667</v>
      </c>
      <c r="M188">
        <v>12697196.849545401</v>
      </c>
      <c r="N188">
        <v>26.427033999999999</v>
      </c>
      <c r="O188">
        <v>28.424765000000001</v>
      </c>
      <c r="P188">
        <v>13309524.524</v>
      </c>
      <c r="Q188">
        <v>32.644848000000003</v>
      </c>
      <c r="R188">
        <v>14409693.755000001</v>
      </c>
      <c r="S188">
        <v>16764843.785968199</v>
      </c>
      <c r="T188" t="s">
        <v>96</v>
      </c>
      <c r="U188" t="s">
        <v>1238</v>
      </c>
      <c r="V188">
        <v>1</v>
      </c>
      <c r="W188">
        <v>27.7</v>
      </c>
      <c r="X188">
        <v>26.96</v>
      </c>
      <c r="Y188">
        <v>0.85000000000000009</v>
      </c>
      <c r="Z188" s="3">
        <v>4110298434.6200008</v>
      </c>
      <c r="AA188">
        <v>0</v>
      </c>
      <c r="AB188">
        <v>0</v>
      </c>
      <c r="AC188">
        <v>15.546765629999999</v>
      </c>
      <c r="AD188">
        <v>2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</row>
    <row r="189" spans="1:54" x14ac:dyDescent="0.25">
      <c r="A189">
        <v>28</v>
      </c>
      <c r="B189" t="s">
        <v>453</v>
      </c>
      <c r="C189" t="s">
        <v>665</v>
      </c>
      <c r="D189" t="s">
        <v>874</v>
      </c>
      <c r="E189" t="s">
        <v>89</v>
      </c>
      <c r="F189">
        <v>206386326</v>
      </c>
      <c r="G189">
        <v>66.25</v>
      </c>
      <c r="H189" t="s">
        <v>97</v>
      </c>
      <c r="I189">
        <v>10530572.874902001</v>
      </c>
      <c r="J189">
        <v>10009129.311666699</v>
      </c>
      <c r="M189">
        <v>9684013.2856060602</v>
      </c>
      <c r="N189">
        <v>24.513743999999999</v>
      </c>
      <c r="O189">
        <v>24.088664999999999</v>
      </c>
      <c r="P189">
        <v>9541041.1339999996</v>
      </c>
      <c r="Q189">
        <v>28.198796999999999</v>
      </c>
      <c r="R189">
        <v>9759199.2999999896</v>
      </c>
      <c r="S189">
        <v>11376216.524367001</v>
      </c>
      <c r="T189" t="s">
        <v>96</v>
      </c>
      <c r="U189" t="s">
        <v>1083</v>
      </c>
      <c r="V189">
        <v>1</v>
      </c>
      <c r="W189">
        <v>68.150000000000006</v>
      </c>
      <c r="X189">
        <v>66.25</v>
      </c>
      <c r="Y189">
        <v>0.3</v>
      </c>
      <c r="Z189" s="3">
        <v>4101928229.250001</v>
      </c>
      <c r="AA189">
        <v>0</v>
      </c>
      <c r="AB189">
        <v>0</v>
      </c>
      <c r="AC189">
        <v>19.534512500000002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</row>
    <row r="190" spans="1:54" x14ac:dyDescent="0.25">
      <c r="A190">
        <v>104</v>
      </c>
      <c r="B190" t="s">
        <v>511</v>
      </c>
      <c r="C190" t="s">
        <v>722</v>
      </c>
      <c r="D190" t="s">
        <v>931</v>
      </c>
      <c r="E190" t="s">
        <v>89</v>
      </c>
      <c r="F190">
        <v>237553695</v>
      </c>
      <c r="G190">
        <v>24.64</v>
      </c>
      <c r="H190" t="s">
        <v>97</v>
      </c>
      <c r="I190">
        <v>7013110.7796274498</v>
      </c>
      <c r="J190">
        <v>5679848.0706666699</v>
      </c>
      <c r="M190">
        <v>6516968.4265909102</v>
      </c>
      <c r="N190">
        <v>19.047689999999999</v>
      </c>
      <c r="O190">
        <v>20.227371000000002</v>
      </c>
      <c r="P190">
        <v>5936664.9371999996</v>
      </c>
      <c r="Q190">
        <v>21.465371999999999</v>
      </c>
      <c r="R190">
        <v>6005931.3142424198</v>
      </c>
      <c r="S190">
        <v>7001269.8666899297</v>
      </c>
      <c r="T190" t="s">
        <v>96</v>
      </c>
      <c r="U190" t="s">
        <v>1141</v>
      </c>
      <c r="V190">
        <v>1</v>
      </c>
      <c r="W190">
        <v>23.46</v>
      </c>
      <c r="X190">
        <v>24.64</v>
      </c>
      <c r="Y190">
        <v>0.70000000000000007</v>
      </c>
      <c r="Z190" s="3">
        <v>4097326131.3600011</v>
      </c>
      <c r="AA190">
        <v>0</v>
      </c>
      <c r="AB190">
        <v>0</v>
      </c>
      <c r="AC190">
        <v>15.64975188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</row>
    <row r="191" spans="1:54" x14ac:dyDescent="0.25">
      <c r="A191">
        <v>288</v>
      </c>
      <c r="B191" t="s">
        <v>638</v>
      </c>
      <c r="C191" t="s">
        <v>848</v>
      </c>
      <c r="D191" t="s">
        <v>1057</v>
      </c>
      <c r="E191" t="s">
        <v>95</v>
      </c>
      <c r="F191">
        <v>184529605</v>
      </c>
      <c r="G191">
        <v>27.55</v>
      </c>
      <c r="H191" t="s">
        <v>97</v>
      </c>
      <c r="I191">
        <v>9277063.5724096391</v>
      </c>
      <c r="J191">
        <v>7579685.9606666705</v>
      </c>
      <c r="M191">
        <v>8218672.4543076996</v>
      </c>
      <c r="N191">
        <v>29.451027</v>
      </c>
      <c r="O191">
        <v>30.749179999999999</v>
      </c>
      <c r="P191">
        <v>7872406.4499000004</v>
      </c>
      <c r="Q191">
        <v>32.256504</v>
      </c>
      <c r="R191">
        <v>7133328.8018181799</v>
      </c>
      <c r="S191">
        <v>8308738.5850508204</v>
      </c>
      <c r="T191" t="s">
        <v>96</v>
      </c>
      <c r="U191" t="s">
        <v>1268</v>
      </c>
      <c r="V191">
        <v>1</v>
      </c>
      <c r="W191">
        <v>26.38</v>
      </c>
      <c r="X191">
        <v>27.55</v>
      </c>
      <c r="Y191">
        <v>0.8</v>
      </c>
      <c r="Z191" s="3">
        <v>4067032494.1999998</v>
      </c>
      <c r="AA191">
        <v>0</v>
      </c>
      <c r="AB191">
        <v>0</v>
      </c>
      <c r="AC191">
        <v>23.057971869999999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</row>
    <row r="192" spans="1:54" x14ac:dyDescent="0.25">
      <c r="A192">
        <v>276</v>
      </c>
      <c r="B192" t="s">
        <v>631</v>
      </c>
      <c r="C192" t="s">
        <v>841</v>
      </c>
      <c r="D192" t="s">
        <v>1050</v>
      </c>
      <c r="E192" t="s">
        <v>94</v>
      </c>
      <c r="F192">
        <v>44512598</v>
      </c>
      <c r="G192">
        <v>201</v>
      </c>
      <c r="H192" t="s">
        <v>97</v>
      </c>
      <c r="I192">
        <v>5617493.1035294104</v>
      </c>
      <c r="J192">
        <v>19188894.789999999</v>
      </c>
      <c r="M192">
        <v>6959385.5962121198</v>
      </c>
      <c r="N192">
        <v>38.847709999999999</v>
      </c>
      <c r="O192">
        <v>42.015300000000003</v>
      </c>
      <c r="P192">
        <v>8634267.4279999994</v>
      </c>
      <c r="Q192">
        <v>40.870227999999997</v>
      </c>
      <c r="R192">
        <v>11840647.6</v>
      </c>
      <c r="S192">
        <v>13748167.7079682</v>
      </c>
      <c r="T192" t="s">
        <v>96</v>
      </c>
      <c r="U192" t="s">
        <v>1261</v>
      </c>
      <c r="V192">
        <v>1</v>
      </c>
      <c r="W192">
        <v>213</v>
      </c>
      <c r="X192">
        <v>201</v>
      </c>
      <c r="Y192">
        <v>0.45</v>
      </c>
      <c r="Z192" s="3">
        <v>4026164489.0999999</v>
      </c>
      <c r="AA192">
        <v>0</v>
      </c>
      <c r="AB192">
        <v>0</v>
      </c>
      <c r="AC192">
        <v>13.747198750000001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</row>
    <row r="193" spans="1:54" x14ac:dyDescent="0.25">
      <c r="A193">
        <v>42</v>
      </c>
      <c r="B193" t="s">
        <v>464</v>
      </c>
      <c r="C193" t="s">
        <v>676</v>
      </c>
      <c r="D193" t="s">
        <v>885</v>
      </c>
      <c r="E193" t="s">
        <v>89</v>
      </c>
      <c r="F193">
        <v>816960428</v>
      </c>
      <c r="G193">
        <v>10.65</v>
      </c>
      <c r="H193" t="s">
        <v>97</v>
      </c>
      <c r="I193">
        <v>4911043.7208921602</v>
      </c>
      <c r="J193">
        <v>15253304.192</v>
      </c>
      <c r="M193">
        <v>6393652.9684090903</v>
      </c>
      <c r="N193">
        <v>30.70346</v>
      </c>
      <c r="O193">
        <v>30.163343000000001</v>
      </c>
      <c r="P193">
        <v>7069279.017275</v>
      </c>
      <c r="Q193">
        <v>31.662996</v>
      </c>
      <c r="R193">
        <v>8883229.2442802992</v>
      </c>
      <c r="S193">
        <v>10329901.4169861</v>
      </c>
      <c r="T193" t="s">
        <v>96</v>
      </c>
      <c r="U193" t="s">
        <v>1094</v>
      </c>
      <c r="V193">
        <v>1</v>
      </c>
      <c r="W193">
        <v>10.79</v>
      </c>
      <c r="X193">
        <v>10.65</v>
      </c>
      <c r="Y193">
        <v>0.45</v>
      </c>
      <c r="Z193" s="3">
        <v>3915282851.190001</v>
      </c>
      <c r="AA193">
        <v>0</v>
      </c>
      <c r="AB193">
        <v>0</v>
      </c>
      <c r="AC193">
        <v>10.223156250000001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</row>
    <row r="194" spans="1:54" x14ac:dyDescent="0.25">
      <c r="A194">
        <v>274</v>
      </c>
      <c r="B194" t="s">
        <v>630</v>
      </c>
      <c r="C194" t="s">
        <v>840</v>
      </c>
      <c r="D194" t="s">
        <v>1049</v>
      </c>
      <c r="E194" t="s">
        <v>88</v>
      </c>
      <c r="F194">
        <v>63523647</v>
      </c>
      <c r="G194">
        <v>61</v>
      </c>
      <c r="H194" t="s">
        <v>97</v>
      </c>
      <c r="I194">
        <v>38189624.542800002</v>
      </c>
      <c r="J194">
        <v>13202184.483333301</v>
      </c>
      <c r="M194">
        <v>38189624.542800002</v>
      </c>
      <c r="N194">
        <v>62.069015999999998</v>
      </c>
      <c r="O194">
        <v>62.069015999999998</v>
      </c>
      <c r="P194">
        <v>38189624.542800002</v>
      </c>
      <c r="Q194">
        <v>62.069015999999998</v>
      </c>
      <c r="R194">
        <v>38189624.542800002</v>
      </c>
      <c r="S194">
        <v>44359118.754685603</v>
      </c>
      <c r="T194" t="s">
        <v>96</v>
      </c>
      <c r="U194" t="s">
        <v>1260</v>
      </c>
      <c r="V194">
        <v>1</v>
      </c>
      <c r="W194">
        <v>64.7</v>
      </c>
      <c r="X194">
        <v>61</v>
      </c>
      <c r="Y194">
        <v>1</v>
      </c>
      <c r="Z194" s="3">
        <v>3874942467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</row>
    <row r="195" spans="1:54" x14ac:dyDescent="0.25">
      <c r="A195">
        <v>71</v>
      </c>
      <c r="B195" t="s">
        <v>487</v>
      </c>
      <c r="C195" t="s">
        <v>699</v>
      </c>
      <c r="D195" t="s">
        <v>908</v>
      </c>
      <c r="E195" t="s">
        <v>93</v>
      </c>
      <c r="F195">
        <v>192626154</v>
      </c>
      <c r="G195">
        <v>49.96</v>
      </c>
      <c r="H195" t="s">
        <v>97</v>
      </c>
      <c r="I195">
        <v>23111633.744285699</v>
      </c>
      <c r="J195">
        <v>23942157.5253333</v>
      </c>
      <c r="M195">
        <v>22778912.141793899</v>
      </c>
      <c r="N195">
        <v>33.619520000000001</v>
      </c>
      <c r="O195">
        <v>33.515723999999999</v>
      </c>
      <c r="P195">
        <v>24514151.200350001</v>
      </c>
      <c r="Q195">
        <v>36.906852999999998</v>
      </c>
      <c r="R195">
        <v>23959602.1205303</v>
      </c>
      <c r="S195">
        <v>27903209.310544901</v>
      </c>
      <c r="T195" t="s">
        <v>96</v>
      </c>
      <c r="U195" t="s">
        <v>1117</v>
      </c>
      <c r="V195">
        <v>1</v>
      </c>
      <c r="W195">
        <v>53.25</v>
      </c>
      <c r="X195">
        <v>49.96</v>
      </c>
      <c r="Y195">
        <v>0.4</v>
      </c>
      <c r="Z195" s="3">
        <v>3849441061.5360012</v>
      </c>
      <c r="AA195">
        <v>0</v>
      </c>
      <c r="AB195">
        <v>0</v>
      </c>
      <c r="AC195">
        <v>28.256759720000002</v>
      </c>
      <c r="AD195">
        <v>2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</row>
    <row r="196" spans="1:54" x14ac:dyDescent="0.25">
      <c r="A196">
        <v>256</v>
      </c>
      <c r="B196" t="s">
        <v>614</v>
      </c>
      <c r="C196" t="s">
        <v>824</v>
      </c>
      <c r="D196" t="s">
        <v>1033</v>
      </c>
      <c r="E196" t="s">
        <v>89</v>
      </c>
      <c r="F196">
        <v>147454887</v>
      </c>
      <c r="G196">
        <v>47.24</v>
      </c>
      <c r="H196" t="s">
        <v>97</v>
      </c>
      <c r="I196">
        <v>14966976.9630196</v>
      </c>
      <c r="J196">
        <v>11021546.961333301</v>
      </c>
      <c r="M196">
        <v>11172566.792803001</v>
      </c>
      <c r="N196">
        <v>22.721933</v>
      </c>
      <c r="O196">
        <v>23.135597000000001</v>
      </c>
      <c r="P196">
        <v>10369019.750499999</v>
      </c>
      <c r="Q196">
        <v>30.814163000000001</v>
      </c>
      <c r="R196">
        <v>11827808.420833301</v>
      </c>
      <c r="S196">
        <v>13774006.5100777</v>
      </c>
      <c r="T196" t="s">
        <v>96</v>
      </c>
      <c r="U196" t="s">
        <v>1244</v>
      </c>
      <c r="V196">
        <v>1</v>
      </c>
      <c r="W196">
        <v>45.64</v>
      </c>
      <c r="X196">
        <v>47.24</v>
      </c>
      <c r="Y196">
        <v>0.55000000000000004</v>
      </c>
      <c r="Z196" s="3">
        <v>3831172874.0339999</v>
      </c>
      <c r="AA196">
        <v>0</v>
      </c>
      <c r="AB196">
        <v>0</v>
      </c>
      <c r="AC196">
        <v>24.310162500000001</v>
      </c>
      <c r="AD196">
        <v>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</row>
    <row r="197" spans="1:54" x14ac:dyDescent="0.25">
      <c r="A197">
        <v>29</v>
      </c>
      <c r="B197" t="s">
        <v>454</v>
      </c>
      <c r="C197" t="s">
        <v>666</v>
      </c>
      <c r="D197" t="s">
        <v>875</v>
      </c>
      <c r="E197" t="s">
        <v>92</v>
      </c>
      <c r="F197">
        <v>104000000</v>
      </c>
      <c r="G197">
        <v>61.35</v>
      </c>
      <c r="H197" t="s">
        <v>97</v>
      </c>
      <c r="I197">
        <v>5184055.7083399203</v>
      </c>
      <c r="J197">
        <v>4583619.33</v>
      </c>
      <c r="M197">
        <v>4494458.6848484902</v>
      </c>
      <c r="N197">
        <v>25.618568</v>
      </c>
      <c r="O197">
        <v>27.466280000000001</v>
      </c>
      <c r="P197">
        <v>4454658.176</v>
      </c>
      <c r="Q197">
        <v>29.473928000000001</v>
      </c>
      <c r="R197">
        <v>4415337.4227272701</v>
      </c>
      <c r="S197">
        <v>5143482.27414372</v>
      </c>
      <c r="T197" t="s">
        <v>96</v>
      </c>
      <c r="U197" t="s">
        <v>1084</v>
      </c>
      <c r="V197">
        <v>1</v>
      </c>
      <c r="W197">
        <v>64.45</v>
      </c>
      <c r="X197">
        <v>61.35</v>
      </c>
      <c r="Y197">
        <v>0.6</v>
      </c>
      <c r="Z197" s="3">
        <v>3828240000</v>
      </c>
      <c r="AA197">
        <v>0</v>
      </c>
      <c r="AB197">
        <v>0</v>
      </c>
      <c r="AC197">
        <v>20.522260630000002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</row>
    <row r="198" spans="1:54" x14ac:dyDescent="0.25">
      <c r="A198">
        <v>85</v>
      </c>
      <c r="B198" t="s">
        <v>500</v>
      </c>
      <c r="C198" t="s">
        <v>711</v>
      </c>
      <c r="D198" t="s">
        <v>920</v>
      </c>
      <c r="E198" t="s">
        <v>91</v>
      </c>
      <c r="F198">
        <v>1062984492</v>
      </c>
      <c r="G198">
        <v>13.86</v>
      </c>
      <c r="H198" t="s">
        <v>97</v>
      </c>
      <c r="I198">
        <v>11480625.7327647</v>
      </c>
      <c r="J198">
        <v>8333347.1806666702</v>
      </c>
      <c r="M198">
        <v>8448128.5825757608</v>
      </c>
      <c r="N198">
        <v>30.491682000000001</v>
      </c>
      <c r="O198">
        <v>30.560110000000002</v>
      </c>
      <c r="P198">
        <v>8446041.7333000004</v>
      </c>
      <c r="Q198">
        <v>36.438377000000003</v>
      </c>
      <c r="R198">
        <v>9861011.8649999909</v>
      </c>
      <c r="S198">
        <v>11503476.1689096</v>
      </c>
      <c r="T198" t="s">
        <v>96</v>
      </c>
      <c r="U198" t="s">
        <v>1130</v>
      </c>
      <c r="V198">
        <v>1</v>
      </c>
      <c r="W198">
        <v>14.34</v>
      </c>
      <c r="X198">
        <v>13.86</v>
      </c>
      <c r="Y198">
        <v>0.25</v>
      </c>
      <c r="Z198" s="3">
        <v>3683241264.7800002</v>
      </c>
      <c r="AA198">
        <v>0</v>
      </c>
      <c r="AB198">
        <v>0</v>
      </c>
      <c r="AC198">
        <v>25.314857929999999</v>
      </c>
      <c r="AD198">
        <v>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</row>
    <row r="199" spans="1:54" x14ac:dyDescent="0.25">
      <c r="A199">
        <v>292</v>
      </c>
      <c r="B199" t="s">
        <v>640</v>
      </c>
      <c r="C199" t="s">
        <v>850</v>
      </c>
      <c r="D199" t="s">
        <v>1059</v>
      </c>
      <c r="E199" t="s">
        <v>92</v>
      </c>
      <c r="F199">
        <v>178549160</v>
      </c>
      <c r="G199">
        <v>34.28</v>
      </c>
      <c r="H199" t="s">
        <v>97</v>
      </c>
      <c r="I199">
        <v>8455710.6622134391</v>
      </c>
      <c r="J199">
        <v>11788075.1613333</v>
      </c>
      <c r="M199">
        <v>8137427.8014393896</v>
      </c>
      <c r="N199">
        <v>30.90596</v>
      </c>
      <c r="O199">
        <v>32.37106</v>
      </c>
      <c r="P199">
        <v>8725993.3838999905</v>
      </c>
      <c r="Q199">
        <v>31.960653000000001</v>
      </c>
      <c r="R199">
        <v>9465144.8883333299</v>
      </c>
      <c r="S199">
        <v>11030886.414287901</v>
      </c>
      <c r="T199" t="s">
        <v>96</v>
      </c>
      <c r="U199" t="s">
        <v>1270</v>
      </c>
      <c r="V199">
        <v>1</v>
      </c>
      <c r="W199">
        <v>38.56</v>
      </c>
      <c r="X199">
        <v>34.28</v>
      </c>
      <c r="Y199">
        <v>0.6</v>
      </c>
      <c r="Z199" s="3">
        <v>3672399122.8800001</v>
      </c>
      <c r="AA199">
        <v>0</v>
      </c>
      <c r="AB199">
        <v>0</v>
      </c>
      <c r="AC199">
        <v>24.90216903</v>
      </c>
      <c r="AD199">
        <v>2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</row>
    <row r="200" spans="1:54" x14ac:dyDescent="0.25">
      <c r="A200">
        <v>80</v>
      </c>
      <c r="B200" t="s">
        <v>495</v>
      </c>
      <c r="C200" t="s">
        <v>706</v>
      </c>
      <c r="D200" t="s">
        <v>915</v>
      </c>
      <c r="E200" t="s">
        <v>90</v>
      </c>
      <c r="F200">
        <v>3079553200</v>
      </c>
      <c r="G200">
        <v>3.9380000000000002</v>
      </c>
      <c r="H200" t="s">
        <v>97</v>
      </c>
      <c r="I200">
        <v>9923733.9973490201</v>
      </c>
      <c r="J200">
        <v>20217356.2874</v>
      </c>
      <c r="M200">
        <v>12579749.407749999</v>
      </c>
      <c r="N200">
        <v>18.947657</v>
      </c>
      <c r="O200">
        <v>19.294650000000001</v>
      </c>
      <c r="P200">
        <v>11894046.8763</v>
      </c>
      <c r="Q200">
        <v>24.514212000000001</v>
      </c>
      <c r="R200">
        <v>13557306.961575801</v>
      </c>
      <c r="S200">
        <v>15779156.306249</v>
      </c>
      <c r="T200" t="s">
        <v>96</v>
      </c>
      <c r="U200" t="s">
        <v>1125</v>
      </c>
      <c r="V200">
        <v>1</v>
      </c>
      <c r="W200">
        <v>4.17</v>
      </c>
      <c r="X200">
        <v>3.9380000000000002</v>
      </c>
      <c r="Y200">
        <v>0.3</v>
      </c>
      <c r="Z200" s="3">
        <v>3638184150.48</v>
      </c>
      <c r="AA200">
        <v>0</v>
      </c>
      <c r="AB200">
        <v>0</v>
      </c>
      <c r="AC200">
        <v>17.818165619999998</v>
      </c>
      <c r="AD200">
        <v>2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</row>
    <row r="201" spans="1:54" x14ac:dyDescent="0.25">
      <c r="A201">
        <v>134</v>
      </c>
      <c r="B201" t="s">
        <v>532</v>
      </c>
      <c r="C201" t="s">
        <v>743</v>
      </c>
      <c r="D201" t="s">
        <v>952</v>
      </c>
      <c r="E201" t="s">
        <v>89</v>
      </c>
      <c r="F201">
        <v>76792337</v>
      </c>
      <c r="G201">
        <v>78.8</v>
      </c>
      <c r="H201" t="s">
        <v>97</v>
      </c>
      <c r="I201">
        <v>11583352.9740196</v>
      </c>
      <c r="J201">
        <v>10203922.8333333</v>
      </c>
      <c r="M201">
        <v>11649920.6361742</v>
      </c>
      <c r="N201">
        <v>15.508024000000001</v>
      </c>
      <c r="O201">
        <v>15.294494</v>
      </c>
      <c r="P201">
        <v>11087050.336750001</v>
      </c>
      <c r="Q201">
        <v>19.638895000000002</v>
      </c>
      <c r="R201">
        <v>12136513.163636399</v>
      </c>
      <c r="S201">
        <v>14153034.2508728</v>
      </c>
      <c r="T201" t="s">
        <v>96</v>
      </c>
      <c r="U201" t="s">
        <v>1162</v>
      </c>
      <c r="V201">
        <v>1</v>
      </c>
      <c r="W201">
        <v>79.8</v>
      </c>
      <c r="X201">
        <v>78.8</v>
      </c>
      <c r="Y201">
        <v>0.60000000000000009</v>
      </c>
      <c r="Z201" s="3">
        <v>3630741693.3600011</v>
      </c>
      <c r="AA201">
        <v>0</v>
      </c>
      <c r="AB201">
        <v>0</v>
      </c>
      <c r="AC201">
        <v>9.8726874999999996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</row>
    <row r="202" spans="1:54" x14ac:dyDescent="0.25">
      <c r="A202">
        <v>43</v>
      </c>
      <c r="B202" t="s">
        <v>465</v>
      </c>
      <c r="C202" t="s">
        <v>677</v>
      </c>
      <c r="D202" t="s">
        <v>886</v>
      </c>
      <c r="E202" t="s">
        <v>93</v>
      </c>
      <c r="F202">
        <v>143254497</v>
      </c>
      <c r="G202">
        <v>33.65</v>
      </c>
      <c r="H202" t="s">
        <v>97</v>
      </c>
      <c r="I202">
        <v>24274357.566527799</v>
      </c>
      <c r="J202">
        <v>76835928.244333595</v>
      </c>
      <c r="M202">
        <v>27019509.310572501</v>
      </c>
      <c r="N202">
        <v>27.528573999999999</v>
      </c>
      <c r="O202">
        <v>28.297772999999999</v>
      </c>
      <c r="P202">
        <v>28988469.221700002</v>
      </c>
      <c r="Q202">
        <v>33.13926</v>
      </c>
      <c r="R202">
        <v>33510024.624924298</v>
      </c>
      <c r="S202">
        <v>39005921.812812701</v>
      </c>
      <c r="T202" t="s">
        <v>96</v>
      </c>
      <c r="U202" t="s">
        <v>1095</v>
      </c>
      <c r="V202">
        <v>1</v>
      </c>
      <c r="W202">
        <v>35.049999999999997</v>
      </c>
      <c r="X202">
        <v>33.65</v>
      </c>
      <c r="Y202">
        <v>0.75</v>
      </c>
      <c r="Z202" s="3">
        <v>3615385368.0374999</v>
      </c>
      <c r="AA202">
        <v>0</v>
      </c>
      <c r="AB202">
        <v>0</v>
      </c>
      <c r="AC202">
        <v>20.126179520000001</v>
      </c>
      <c r="AD202">
        <v>2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</row>
    <row r="203" spans="1:54" x14ac:dyDescent="0.25">
      <c r="A203">
        <v>90</v>
      </c>
      <c r="B203" t="s">
        <v>503</v>
      </c>
      <c r="C203" t="s">
        <v>714</v>
      </c>
      <c r="D203" t="s">
        <v>923</v>
      </c>
      <c r="E203" t="s">
        <v>88</v>
      </c>
      <c r="F203">
        <v>298230930</v>
      </c>
      <c r="G203">
        <v>16.02</v>
      </c>
      <c r="H203" t="s">
        <v>97</v>
      </c>
      <c r="I203">
        <v>20598770.191284601</v>
      </c>
      <c r="J203">
        <v>26293718.397999998</v>
      </c>
      <c r="M203">
        <v>18721885.054166701</v>
      </c>
      <c r="N203">
        <v>53.679752000000001</v>
      </c>
      <c r="O203">
        <v>55.503788</v>
      </c>
      <c r="P203">
        <v>19592829.702649999</v>
      </c>
      <c r="Q203">
        <v>53.647117999999999</v>
      </c>
      <c r="R203">
        <v>19005802.532045498</v>
      </c>
      <c r="S203">
        <v>22147223.294928201</v>
      </c>
      <c r="T203" t="s">
        <v>96</v>
      </c>
      <c r="U203" t="s">
        <v>1133</v>
      </c>
      <c r="V203">
        <v>1</v>
      </c>
      <c r="W203">
        <v>21.69</v>
      </c>
      <c r="X203">
        <v>16.02</v>
      </c>
      <c r="Y203">
        <v>0.75</v>
      </c>
      <c r="Z203" s="3">
        <v>3583244623.9499998</v>
      </c>
      <c r="AA203">
        <v>0</v>
      </c>
      <c r="AB203">
        <v>0</v>
      </c>
      <c r="AC203">
        <v>21.724184619999999</v>
      </c>
      <c r="AD203">
        <v>3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</row>
    <row r="204" spans="1:54" x14ac:dyDescent="0.25">
      <c r="A204">
        <v>269</v>
      </c>
      <c r="B204" t="s">
        <v>627</v>
      </c>
      <c r="C204" t="s">
        <v>837</v>
      </c>
      <c r="D204" t="s">
        <v>1046</v>
      </c>
      <c r="E204" t="s">
        <v>89</v>
      </c>
      <c r="F204">
        <v>59874365</v>
      </c>
      <c r="G204">
        <v>59.8</v>
      </c>
      <c r="H204" t="s">
        <v>97</v>
      </c>
      <c r="I204">
        <v>22199564.112274501</v>
      </c>
      <c r="J204">
        <v>16786188.517333299</v>
      </c>
      <c r="M204">
        <v>21776180.518939398</v>
      </c>
      <c r="N204">
        <v>48.367710000000002</v>
      </c>
      <c r="O204">
        <v>46.278744000000003</v>
      </c>
      <c r="P204">
        <v>19922656.467099998</v>
      </c>
      <c r="Q204">
        <v>45.176673999999998</v>
      </c>
      <c r="R204">
        <v>18222941.307121199</v>
      </c>
      <c r="S204">
        <v>21258459.807868101</v>
      </c>
      <c r="T204" t="s">
        <v>96</v>
      </c>
      <c r="U204" t="s">
        <v>1257</v>
      </c>
      <c r="V204">
        <v>1</v>
      </c>
      <c r="W204">
        <v>60.1</v>
      </c>
      <c r="X204">
        <v>59.8</v>
      </c>
      <c r="Y204">
        <v>1</v>
      </c>
      <c r="Z204" s="3">
        <v>3580487027</v>
      </c>
      <c r="AA204">
        <v>0</v>
      </c>
      <c r="AB204">
        <v>0</v>
      </c>
      <c r="AC204">
        <v>12.2392</v>
      </c>
      <c r="AD204">
        <v>2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</row>
    <row r="205" spans="1:54" x14ac:dyDescent="0.25">
      <c r="A205">
        <v>12</v>
      </c>
      <c r="B205" t="s">
        <v>443</v>
      </c>
      <c r="C205" t="s">
        <v>655</v>
      </c>
      <c r="D205" t="s">
        <v>864</v>
      </c>
      <c r="E205" t="s">
        <v>89</v>
      </c>
      <c r="F205">
        <v>98960602</v>
      </c>
      <c r="G205">
        <v>120.5</v>
      </c>
      <c r="H205" t="s">
        <v>97</v>
      </c>
      <c r="I205">
        <v>10553959.6384314</v>
      </c>
      <c r="J205">
        <v>7949613.7533333302</v>
      </c>
      <c r="M205">
        <v>9938521.4935605992</v>
      </c>
      <c r="N205">
        <v>22.798660000000002</v>
      </c>
      <c r="O205">
        <v>21.999624000000001</v>
      </c>
      <c r="P205">
        <v>8955430.1135000009</v>
      </c>
      <c r="Q205">
        <v>22.367429999999999</v>
      </c>
      <c r="R205">
        <v>8833649.3098484799</v>
      </c>
      <c r="S205">
        <v>10291722.1112567</v>
      </c>
      <c r="T205" t="s">
        <v>96</v>
      </c>
      <c r="U205" t="s">
        <v>1073</v>
      </c>
      <c r="V205">
        <v>1</v>
      </c>
      <c r="W205">
        <v>129.5</v>
      </c>
      <c r="X205">
        <v>120.5</v>
      </c>
      <c r="Y205">
        <v>0.3</v>
      </c>
      <c r="Z205" s="3">
        <v>3577425762.3000011</v>
      </c>
      <c r="AA205">
        <v>0</v>
      </c>
      <c r="AB205">
        <v>0</v>
      </c>
      <c r="AC205">
        <v>20.39825063</v>
      </c>
      <c r="AD205">
        <v>2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</row>
    <row r="206" spans="1:54" x14ac:dyDescent="0.25">
      <c r="A206">
        <v>101</v>
      </c>
      <c r="B206" t="s">
        <v>508</v>
      </c>
      <c r="C206" t="s">
        <v>719</v>
      </c>
      <c r="D206" t="s">
        <v>928</v>
      </c>
      <c r="E206" t="s">
        <v>404</v>
      </c>
      <c r="F206">
        <v>1051033116</v>
      </c>
      <c r="G206">
        <v>11.29</v>
      </c>
      <c r="H206" t="s">
        <v>97</v>
      </c>
      <c r="I206">
        <v>13247506.448421599</v>
      </c>
      <c r="J206">
        <v>15077442.970000001</v>
      </c>
      <c r="M206">
        <v>14145309.662689401</v>
      </c>
      <c r="N206">
        <v>33.044469999999997</v>
      </c>
      <c r="O206">
        <v>33.367503999999997</v>
      </c>
      <c r="P206">
        <v>14137698.835899999</v>
      </c>
      <c r="Q206">
        <v>37.852108000000001</v>
      </c>
      <c r="R206">
        <v>15758458.252045499</v>
      </c>
      <c r="S206">
        <v>18368607.126767401</v>
      </c>
      <c r="T206" t="s">
        <v>96</v>
      </c>
      <c r="U206" t="s">
        <v>1138</v>
      </c>
      <c r="V206">
        <v>1</v>
      </c>
      <c r="W206">
        <v>11.73</v>
      </c>
      <c r="X206">
        <v>11.29</v>
      </c>
      <c r="Y206">
        <v>0.3</v>
      </c>
      <c r="Z206" s="3">
        <v>3559849163.8920012</v>
      </c>
      <c r="AA206">
        <v>0</v>
      </c>
      <c r="AB206">
        <v>0</v>
      </c>
      <c r="AC206">
        <v>14.528235</v>
      </c>
      <c r="AD206">
        <v>3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</row>
    <row r="207" spans="1:54" x14ac:dyDescent="0.25">
      <c r="A207">
        <v>257</v>
      </c>
      <c r="B207" t="s">
        <v>615</v>
      </c>
      <c r="C207" t="s">
        <v>825</v>
      </c>
      <c r="D207" t="s">
        <v>1034</v>
      </c>
      <c r="E207" t="s">
        <v>94</v>
      </c>
      <c r="F207">
        <v>36696428</v>
      </c>
      <c r="G207">
        <v>239.4</v>
      </c>
      <c r="H207" t="s">
        <v>97</v>
      </c>
      <c r="I207">
        <v>6412336.5356862703</v>
      </c>
      <c r="J207">
        <v>5008298.1533333296</v>
      </c>
      <c r="M207">
        <v>7362866.2477272702</v>
      </c>
      <c r="N207">
        <v>23.716707</v>
      </c>
      <c r="O207">
        <v>22.835101999999999</v>
      </c>
      <c r="P207">
        <v>6513028.9910000004</v>
      </c>
      <c r="Q207">
        <v>28.086082000000001</v>
      </c>
      <c r="R207">
        <v>6959841.2666666601</v>
      </c>
      <c r="S207">
        <v>8116989.2840193398</v>
      </c>
      <c r="T207" t="s">
        <v>96</v>
      </c>
      <c r="U207" t="s">
        <v>1245</v>
      </c>
      <c r="V207">
        <v>1</v>
      </c>
      <c r="W207">
        <v>242.2</v>
      </c>
      <c r="X207">
        <v>239.4</v>
      </c>
      <c r="Y207">
        <v>0.4</v>
      </c>
      <c r="Z207" s="3">
        <v>3514049945.2800002</v>
      </c>
      <c r="AA207">
        <v>0</v>
      </c>
      <c r="AB207">
        <v>0</v>
      </c>
      <c r="AC207">
        <v>10.94545553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</row>
    <row r="208" spans="1:54" x14ac:dyDescent="0.25">
      <c r="A208">
        <v>116</v>
      </c>
      <c r="B208" t="s">
        <v>517</v>
      </c>
      <c r="C208" t="s">
        <v>728</v>
      </c>
      <c r="D208" t="s">
        <v>937</v>
      </c>
      <c r="E208" t="s">
        <v>88</v>
      </c>
      <c r="F208">
        <v>466000000</v>
      </c>
      <c r="G208">
        <v>13.42</v>
      </c>
      <c r="H208" t="s">
        <v>97</v>
      </c>
      <c r="I208">
        <v>19245390.199930798</v>
      </c>
      <c r="J208">
        <v>16687116.4453333</v>
      </c>
      <c r="M208">
        <v>17796055.2553409</v>
      </c>
      <c r="N208">
        <v>22.044218000000001</v>
      </c>
      <c r="O208">
        <v>22.089366999999999</v>
      </c>
      <c r="P208">
        <v>17228422.303300001</v>
      </c>
      <c r="Q208">
        <v>24.008251000000001</v>
      </c>
      <c r="R208">
        <v>17318615.341060601</v>
      </c>
      <c r="S208">
        <v>20192181.8741065</v>
      </c>
      <c r="T208" t="s">
        <v>96</v>
      </c>
      <c r="U208" t="s">
        <v>1147</v>
      </c>
      <c r="V208">
        <v>1</v>
      </c>
      <c r="W208">
        <v>13.27</v>
      </c>
      <c r="X208">
        <v>13.42</v>
      </c>
      <c r="Y208">
        <v>0.55000000000000004</v>
      </c>
      <c r="Z208" s="3">
        <v>3439546000</v>
      </c>
      <c r="AA208">
        <v>0</v>
      </c>
      <c r="AB208">
        <v>0</v>
      </c>
      <c r="AC208">
        <v>25.833694999999999</v>
      </c>
      <c r="AD208">
        <v>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</row>
    <row r="209" spans="1:54" x14ac:dyDescent="0.25">
      <c r="A209">
        <v>277</v>
      </c>
      <c r="B209" t="s">
        <v>632</v>
      </c>
      <c r="C209" t="s">
        <v>842</v>
      </c>
      <c r="D209" t="s">
        <v>1051</v>
      </c>
      <c r="E209" t="s">
        <v>88</v>
      </c>
      <c r="F209">
        <v>507431033</v>
      </c>
      <c r="G209">
        <v>7.5220000000000002</v>
      </c>
      <c r="H209" t="s">
        <v>97</v>
      </c>
      <c r="I209">
        <v>28547525.021201599</v>
      </c>
      <c r="J209">
        <v>18767610.085866701</v>
      </c>
      <c r="M209">
        <v>25385583.332401499</v>
      </c>
      <c r="N209">
        <v>39.116990000000001</v>
      </c>
      <c r="O209">
        <v>32.453682000000001</v>
      </c>
      <c r="P209">
        <v>22642682.268399999</v>
      </c>
      <c r="Q209">
        <v>41.361412000000001</v>
      </c>
      <c r="R209">
        <v>18388114.4051667</v>
      </c>
      <c r="S209">
        <v>21443974.599983901</v>
      </c>
      <c r="T209" t="s">
        <v>96</v>
      </c>
      <c r="U209" t="s">
        <v>1262</v>
      </c>
      <c r="V209">
        <v>1</v>
      </c>
      <c r="W209">
        <v>8.99</v>
      </c>
      <c r="X209">
        <v>7.5220000000000002</v>
      </c>
      <c r="Y209">
        <v>0.9</v>
      </c>
      <c r="Z209" s="3">
        <v>3435206607.2034001</v>
      </c>
      <c r="AA209">
        <v>0</v>
      </c>
      <c r="AB209">
        <v>0</v>
      </c>
      <c r="AC209">
        <v>27.041824999999999</v>
      </c>
      <c r="AD209">
        <v>2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</row>
    <row r="210" spans="1:54" x14ac:dyDescent="0.25">
      <c r="A210">
        <v>157</v>
      </c>
      <c r="B210" t="s">
        <v>546</v>
      </c>
      <c r="C210" t="s">
        <v>757</v>
      </c>
      <c r="D210" t="s">
        <v>966</v>
      </c>
      <c r="E210" t="s">
        <v>93</v>
      </c>
      <c r="F210">
        <v>108879294</v>
      </c>
      <c r="G210">
        <v>41.74</v>
      </c>
      <c r="H210" t="s">
        <v>97</v>
      </c>
      <c r="I210">
        <v>10958035.246587301</v>
      </c>
      <c r="J210">
        <v>10379469.778000001</v>
      </c>
      <c r="M210">
        <v>10260315.134274799</v>
      </c>
      <c r="N210">
        <v>28.323316999999999</v>
      </c>
      <c r="O210">
        <v>29.572099999999999</v>
      </c>
      <c r="P210">
        <v>10317370.0384</v>
      </c>
      <c r="Q210">
        <v>32.767445000000002</v>
      </c>
      <c r="R210">
        <v>9719437.5242424197</v>
      </c>
      <c r="S210">
        <v>11316306.7015</v>
      </c>
      <c r="T210" t="s">
        <v>96</v>
      </c>
      <c r="U210" t="s">
        <v>1176</v>
      </c>
      <c r="V210">
        <v>1</v>
      </c>
      <c r="W210">
        <v>46.82</v>
      </c>
      <c r="X210">
        <v>41.74</v>
      </c>
      <c r="Y210">
        <v>0.75</v>
      </c>
      <c r="Z210" s="3">
        <v>3408466298.6700001</v>
      </c>
      <c r="AA210">
        <v>0</v>
      </c>
      <c r="AB210">
        <v>0</v>
      </c>
      <c r="AC210">
        <v>30.89155938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</row>
    <row r="211" spans="1:54" x14ac:dyDescent="0.25">
      <c r="A211">
        <v>73</v>
      </c>
      <c r="B211" t="s">
        <v>488</v>
      </c>
      <c r="C211" t="s">
        <v>700</v>
      </c>
      <c r="D211" t="s">
        <v>909</v>
      </c>
      <c r="E211" t="s">
        <v>93</v>
      </c>
      <c r="F211">
        <v>1231267738</v>
      </c>
      <c r="G211">
        <v>5.5279999999999996</v>
      </c>
      <c r="H211" t="s">
        <v>97</v>
      </c>
      <c r="I211">
        <v>43642221.788817503</v>
      </c>
      <c r="J211">
        <v>38314146.117933303</v>
      </c>
      <c r="M211">
        <v>40881608.302076302</v>
      </c>
      <c r="N211">
        <v>34.090781999999997</v>
      </c>
      <c r="O211">
        <v>33.99033</v>
      </c>
      <c r="P211">
        <v>40839650.455150001</v>
      </c>
      <c r="Q211">
        <v>34.774833999999998</v>
      </c>
      <c r="R211">
        <v>40209536.571939401</v>
      </c>
      <c r="S211">
        <v>46839594.640638903</v>
      </c>
      <c r="T211" t="s">
        <v>96</v>
      </c>
      <c r="U211" t="s">
        <v>1118</v>
      </c>
      <c r="V211">
        <v>1</v>
      </c>
      <c r="W211">
        <v>5.83</v>
      </c>
      <c r="X211">
        <v>5.5279999999999996</v>
      </c>
      <c r="Y211">
        <v>0.5</v>
      </c>
      <c r="Z211" s="3">
        <v>3403224027.8319998</v>
      </c>
      <c r="AA211">
        <v>0</v>
      </c>
      <c r="AB211">
        <v>0</v>
      </c>
      <c r="AC211">
        <v>19.3584475</v>
      </c>
      <c r="AD211">
        <v>2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</row>
    <row r="212" spans="1:54" x14ac:dyDescent="0.25">
      <c r="A212">
        <v>146</v>
      </c>
      <c r="B212" t="s">
        <v>541</v>
      </c>
      <c r="C212" t="s">
        <v>752</v>
      </c>
      <c r="D212" t="s">
        <v>961</v>
      </c>
      <c r="E212" t="s">
        <v>93</v>
      </c>
      <c r="F212">
        <v>1489538745</v>
      </c>
      <c r="G212">
        <v>4.1180000000000003</v>
      </c>
      <c r="H212" t="s">
        <v>97</v>
      </c>
      <c r="I212">
        <v>11439630.743194399</v>
      </c>
      <c r="J212">
        <v>16041576.7914</v>
      </c>
      <c r="M212">
        <v>10737129.005931299</v>
      </c>
      <c r="N212">
        <v>15.115721000000001</v>
      </c>
      <c r="O212">
        <v>14.615188</v>
      </c>
      <c r="P212">
        <v>10394722.95861</v>
      </c>
      <c r="Q212">
        <v>19.539507</v>
      </c>
      <c r="R212">
        <v>10674701.3799091</v>
      </c>
      <c r="S212">
        <v>12427795.170078401</v>
      </c>
      <c r="T212" t="s">
        <v>96</v>
      </c>
      <c r="U212" t="s">
        <v>1171</v>
      </c>
      <c r="V212">
        <v>1</v>
      </c>
      <c r="W212">
        <v>3.9660000000000002</v>
      </c>
      <c r="X212">
        <v>4.1180000000000003</v>
      </c>
      <c r="Y212">
        <v>0.55000000000000004</v>
      </c>
      <c r="Z212" s="3">
        <v>3373656303.5505009</v>
      </c>
      <c r="AA212">
        <v>0</v>
      </c>
      <c r="AB212">
        <v>0</v>
      </c>
      <c r="AC212">
        <v>28.205146280000001</v>
      </c>
      <c r="AD212">
        <v>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</row>
    <row r="213" spans="1:54" x14ac:dyDescent="0.25">
      <c r="A213">
        <v>40</v>
      </c>
      <c r="B213" t="s">
        <v>463</v>
      </c>
      <c r="C213" t="s">
        <v>675</v>
      </c>
      <c r="D213" t="s">
        <v>884</v>
      </c>
      <c r="E213" t="s">
        <v>88</v>
      </c>
      <c r="F213">
        <v>220337920</v>
      </c>
      <c r="G213">
        <v>23.4</v>
      </c>
      <c r="H213" t="s">
        <v>97</v>
      </c>
      <c r="I213">
        <v>9169638.1167984195</v>
      </c>
      <c r="J213">
        <v>15974745.266666699</v>
      </c>
      <c r="M213">
        <v>9007107.1643939391</v>
      </c>
      <c r="N213">
        <v>41.824620000000003</v>
      </c>
      <c r="O213">
        <v>39.563389999999998</v>
      </c>
      <c r="P213">
        <v>9339027.2872000001</v>
      </c>
      <c r="Q213">
        <v>51.675902999999998</v>
      </c>
      <c r="R213">
        <v>10470942.9709091</v>
      </c>
      <c r="S213">
        <v>12181076.340442801</v>
      </c>
      <c r="T213" t="s">
        <v>96</v>
      </c>
      <c r="U213" t="s">
        <v>1093</v>
      </c>
      <c r="V213">
        <v>1</v>
      </c>
      <c r="W213">
        <v>26.66</v>
      </c>
      <c r="X213">
        <v>23.4</v>
      </c>
      <c r="Y213">
        <v>0.65</v>
      </c>
      <c r="Z213" s="3">
        <v>3351339763.1999998</v>
      </c>
      <c r="AA213">
        <v>0</v>
      </c>
      <c r="AB213">
        <v>0</v>
      </c>
      <c r="AC213">
        <v>11.78565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</row>
    <row r="214" spans="1:54" x14ac:dyDescent="0.25">
      <c r="A214">
        <v>106</v>
      </c>
      <c r="B214" t="s">
        <v>513</v>
      </c>
      <c r="C214" t="s">
        <v>724</v>
      </c>
      <c r="D214" t="s">
        <v>933</v>
      </c>
      <c r="E214" t="s">
        <v>90</v>
      </c>
      <c r="F214">
        <v>261990080</v>
      </c>
      <c r="G214">
        <v>14.06</v>
      </c>
      <c r="H214" t="s">
        <v>97</v>
      </c>
      <c r="I214">
        <v>12742226.241860799</v>
      </c>
      <c r="J214">
        <v>11957999.3945667</v>
      </c>
      <c r="M214">
        <v>11002104.072246199</v>
      </c>
      <c r="N214">
        <v>13.894174</v>
      </c>
      <c r="O214">
        <v>12.881824</v>
      </c>
      <c r="P214">
        <v>10271571.257785</v>
      </c>
      <c r="Q214">
        <v>17.311222000000001</v>
      </c>
      <c r="R214">
        <v>10726324.909446999</v>
      </c>
      <c r="S214">
        <v>12497925.8644452</v>
      </c>
      <c r="T214" t="s">
        <v>96</v>
      </c>
      <c r="U214" t="s">
        <v>1143</v>
      </c>
      <c r="V214">
        <v>1</v>
      </c>
      <c r="W214">
        <v>13.44</v>
      </c>
      <c r="X214">
        <v>14.06</v>
      </c>
      <c r="Y214">
        <v>0.9</v>
      </c>
      <c r="Z214" s="3">
        <v>3315222472.3200002</v>
      </c>
      <c r="AA214">
        <v>0</v>
      </c>
      <c r="AB214">
        <v>0</v>
      </c>
      <c r="AC214">
        <v>15.68571178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</row>
    <row r="215" spans="1:54" x14ac:dyDescent="0.25">
      <c r="A215">
        <v>205</v>
      </c>
      <c r="B215" t="s">
        <v>582</v>
      </c>
      <c r="C215" t="s">
        <v>792</v>
      </c>
      <c r="D215" t="s">
        <v>1001</v>
      </c>
      <c r="E215" t="s">
        <v>88</v>
      </c>
      <c r="F215">
        <v>236450360</v>
      </c>
      <c r="G215">
        <v>25.48</v>
      </c>
      <c r="H215" t="s">
        <v>97</v>
      </c>
      <c r="I215">
        <v>13104563.380336</v>
      </c>
      <c r="J215">
        <v>14408179.354666701</v>
      </c>
      <c r="M215">
        <v>12873541.8443182</v>
      </c>
      <c r="N215">
        <v>47.236719999999998</v>
      </c>
      <c r="O215">
        <v>49.733604</v>
      </c>
      <c r="P215">
        <v>13862075.6271</v>
      </c>
      <c r="Q215">
        <v>44.723419999999997</v>
      </c>
      <c r="R215">
        <v>13775861.410606099</v>
      </c>
      <c r="S215">
        <v>16046482.3012782</v>
      </c>
      <c r="T215" t="s">
        <v>96</v>
      </c>
      <c r="U215" t="s">
        <v>1212</v>
      </c>
      <c r="V215">
        <v>1</v>
      </c>
      <c r="W215">
        <v>29.18</v>
      </c>
      <c r="X215">
        <v>25.48</v>
      </c>
      <c r="Y215">
        <v>0.55000000000000004</v>
      </c>
      <c r="Z215" s="3">
        <v>3313615345.04</v>
      </c>
      <c r="AA215">
        <v>0</v>
      </c>
      <c r="AB215">
        <v>0</v>
      </c>
      <c r="AC215">
        <v>20.510333620000001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</row>
    <row r="216" spans="1:54" x14ac:dyDescent="0.25">
      <c r="A216">
        <v>127</v>
      </c>
      <c r="B216" t="s">
        <v>525</v>
      </c>
      <c r="C216" t="s">
        <v>736</v>
      </c>
      <c r="D216" t="s">
        <v>945</v>
      </c>
      <c r="E216" t="s">
        <v>88</v>
      </c>
      <c r="F216">
        <v>118900600</v>
      </c>
      <c r="G216">
        <v>27.42</v>
      </c>
      <c r="H216" t="s">
        <v>97</v>
      </c>
      <c r="I216">
        <v>9974345.1520553306</v>
      </c>
      <c r="J216">
        <v>8157888.5839999998</v>
      </c>
      <c r="M216">
        <v>9286912.9539393894</v>
      </c>
      <c r="N216">
        <v>17.828832999999999</v>
      </c>
      <c r="O216">
        <v>17.450039</v>
      </c>
      <c r="P216">
        <v>7700819.4160000002</v>
      </c>
      <c r="Q216">
        <v>28.750064999999999</v>
      </c>
      <c r="R216">
        <v>7515490.9859090904</v>
      </c>
      <c r="S216">
        <v>8758389.5432763994</v>
      </c>
      <c r="T216" t="s">
        <v>96</v>
      </c>
      <c r="U216" t="s">
        <v>1155</v>
      </c>
      <c r="V216">
        <v>1</v>
      </c>
      <c r="W216">
        <v>28.86</v>
      </c>
      <c r="X216">
        <v>27.42</v>
      </c>
      <c r="Y216">
        <v>1</v>
      </c>
      <c r="Z216" s="3">
        <v>3260254452</v>
      </c>
      <c r="AA216">
        <v>0</v>
      </c>
      <c r="AB216">
        <v>0</v>
      </c>
      <c r="AC216">
        <v>24.589736250000001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</row>
    <row r="217" spans="1:54" x14ac:dyDescent="0.25">
      <c r="A217">
        <v>221</v>
      </c>
      <c r="B217" t="s">
        <v>594</v>
      </c>
      <c r="C217" t="s">
        <v>804</v>
      </c>
      <c r="D217" t="s">
        <v>1013</v>
      </c>
      <c r="E217" t="s">
        <v>91</v>
      </c>
      <c r="F217">
        <v>175977424</v>
      </c>
      <c r="G217">
        <v>33.57</v>
      </c>
      <c r="H217" t="s">
        <v>97</v>
      </c>
      <c r="I217">
        <v>16158247.779843099</v>
      </c>
      <c r="J217">
        <v>10795778.7493333</v>
      </c>
      <c r="M217">
        <v>14380986.8412879</v>
      </c>
      <c r="N217">
        <v>26.435886</v>
      </c>
      <c r="O217">
        <v>25.112425000000002</v>
      </c>
      <c r="P217">
        <v>14455387.09715</v>
      </c>
      <c r="Q217">
        <v>32.717776999999998</v>
      </c>
      <c r="R217">
        <v>14145529.173257601</v>
      </c>
      <c r="S217">
        <v>16491483.172831999</v>
      </c>
      <c r="T217" t="s">
        <v>96</v>
      </c>
      <c r="U217" t="s">
        <v>1224</v>
      </c>
      <c r="V217">
        <v>1</v>
      </c>
      <c r="W217">
        <v>32.549999999999997</v>
      </c>
      <c r="X217">
        <v>33.57</v>
      </c>
      <c r="Y217">
        <v>0.55000000000000004</v>
      </c>
      <c r="Z217" s="3">
        <v>3249159168.0240002</v>
      </c>
      <c r="AA217">
        <v>0</v>
      </c>
      <c r="AB217">
        <v>0</v>
      </c>
      <c r="AC217">
        <v>7.6025937499999996</v>
      </c>
      <c r="AD217">
        <v>2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</row>
    <row r="218" spans="1:54" x14ac:dyDescent="0.25">
      <c r="A218">
        <v>222</v>
      </c>
      <c r="B218" t="s">
        <v>595</v>
      </c>
      <c r="C218" t="s">
        <v>805</v>
      </c>
      <c r="D218" t="s">
        <v>1014</v>
      </c>
      <c r="E218" t="s">
        <v>88</v>
      </c>
      <c r="F218">
        <v>11370000</v>
      </c>
      <c r="G218">
        <v>620</v>
      </c>
      <c r="H218" t="s">
        <v>97</v>
      </c>
      <c r="I218">
        <v>8593125.8438735195</v>
      </c>
      <c r="J218">
        <v>7248253.13333333</v>
      </c>
      <c r="M218">
        <v>6844649.0757575799</v>
      </c>
      <c r="N218">
        <v>25.448097000000001</v>
      </c>
      <c r="O218">
        <v>26.768597</v>
      </c>
      <c r="P218">
        <v>6372641.7649999997</v>
      </c>
      <c r="Q218">
        <v>26.633253</v>
      </c>
      <c r="R218">
        <v>7049536.3977272697</v>
      </c>
      <c r="S218">
        <v>8217416.9222722296</v>
      </c>
      <c r="T218" t="s">
        <v>96</v>
      </c>
      <c r="U218" t="s">
        <v>1225</v>
      </c>
      <c r="V218">
        <v>1</v>
      </c>
      <c r="W218">
        <v>640.5</v>
      </c>
      <c r="X218">
        <v>620</v>
      </c>
      <c r="Y218">
        <v>0.45</v>
      </c>
      <c r="Z218" s="3">
        <v>3172230000</v>
      </c>
      <c r="AA218">
        <v>0</v>
      </c>
      <c r="AB218">
        <v>0</v>
      </c>
      <c r="AC218">
        <v>31.181985229999999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</row>
    <row r="219" spans="1:54" x14ac:dyDescent="0.25">
      <c r="A219">
        <v>96</v>
      </c>
      <c r="B219" t="s">
        <v>505</v>
      </c>
      <c r="C219" t="s">
        <v>716</v>
      </c>
      <c r="D219" t="s">
        <v>925</v>
      </c>
      <c r="E219" t="s">
        <v>94</v>
      </c>
      <c r="F219">
        <v>53690082</v>
      </c>
      <c r="G219">
        <v>147</v>
      </c>
      <c r="H219" t="s">
        <v>97</v>
      </c>
      <c r="I219">
        <v>9421398.8741176408</v>
      </c>
      <c r="J219">
        <v>6258339.4933333397</v>
      </c>
      <c r="M219">
        <v>7417091.21060606</v>
      </c>
      <c r="N219">
        <v>23.649595000000001</v>
      </c>
      <c r="O219">
        <v>24.997892</v>
      </c>
      <c r="P219">
        <v>6982086.8739999998</v>
      </c>
      <c r="Q219">
        <v>26.315714</v>
      </c>
      <c r="R219">
        <v>7404246.2606060598</v>
      </c>
      <c r="S219">
        <v>8636841.5969372895</v>
      </c>
      <c r="T219" t="s">
        <v>96</v>
      </c>
      <c r="U219" t="s">
        <v>1135</v>
      </c>
      <c r="V219">
        <v>1</v>
      </c>
      <c r="W219">
        <v>147.4</v>
      </c>
      <c r="X219">
        <v>147</v>
      </c>
      <c r="Y219">
        <v>0.4</v>
      </c>
      <c r="Z219" s="3">
        <v>3156976821.5999999</v>
      </c>
      <c r="AA219">
        <v>0</v>
      </c>
      <c r="AB219">
        <v>0</v>
      </c>
      <c r="AC219">
        <v>11.24335808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</row>
    <row r="220" spans="1:54" x14ac:dyDescent="0.25">
      <c r="A220">
        <v>182</v>
      </c>
      <c r="B220" t="s">
        <v>565</v>
      </c>
      <c r="C220" t="s">
        <v>776</v>
      </c>
      <c r="D220" t="s">
        <v>985</v>
      </c>
      <c r="E220" t="s">
        <v>94</v>
      </c>
      <c r="F220">
        <v>816013</v>
      </c>
      <c r="G220">
        <v>7710</v>
      </c>
      <c r="H220" t="s">
        <v>97</v>
      </c>
      <c r="I220">
        <v>6315620</v>
      </c>
      <c r="J220">
        <v>4505298</v>
      </c>
      <c r="M220">
        <v>5687923.9015151504</v>
      </c>
      <c r="N220">
        <v>28.371051999999999</v>
      </c>
      <c r="O220">
        <v>30.238869000000001</v>
      </c>
      <c r="P220">
        <v>5776494.2000000002</v>
      </c>
      <c r="Q220">
        <v>26.560666999999999</v>
      </c>
      <c r="R220">
        <v>5439278.7121212101</v>
      </c>
      <c r="S220">
        <v>6341485.3406119896</v>
      </c>
      <c r="T220" t="s">
        <v>96</v>
      </c>
      <c r="U220" t="s">
        <v>1195</v>
      </c>
      <c r="V220">
        <v>1</v>
      </c>
      <c r="W220">
        <v>7670</v>
      </c>
      <c r="X220">
        <v>7710</v>
      </c>
      <c r="Y220">
        <v>0.5</v>
      </c>
      <c r="Z220" s="3">
        <v>3145730115</v>
      </c>
      <c r="AA220">
        <v>0</v>
      </c>
      <c r="AB220">
        <v>0</v>
      </c>
      <c r="AC220">
        <v>25.03658639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</row>
    <row r="221" spans="1:54" x14ac:dyDescent="0.25">
      <c r="A221">
        <v>59</v>
      </c>
      <c r="B221" t="s">
        <v>477</v>
      </c>
      <c r="C221" t="s">
        <v>689</v>
      </c>
      <c r="D221" t="s">
        <v>898</v>
      </c>
      <c r="E221" t="s">
        <v>88</v>
      </c>
      <c r="F221">
        <v>126000000</v>
      </c>
      <c r="G221">
        <v>38.380000000000003</v>
      </c>
      <c r="H221" t="s">
        <v>97</v>
      </c>
      <c r="I221">
        <v>9415332.1258102693</v>
      </c>
      <c r="J221">
        <v>9220214.6559999995</v>
      </c>
      <c r="M221">
        <v>7494662.7396212099</v>
      </c>
      <c r="N221">
        <v>40.760449999999999</v>
      </c>
      <c r="O221">
        <v>43.754047</v>
      </c>
      <c r="P221">
        <v>7471312.8624999998</v>
      </c>
      <c r="Q221">
        <v>38.909526999999997</v>
      </c>
      <c r="R221">
        <v>7306780.7277272698</v>
      </c>
      <c r="S221">
        <v>8511177.0973675996</v>
      </c>
      <c r="T221" t="s">
        <v>96</v>
      </c>
      <c r="U221" t="s">
        <v>1107</v>
      </c>
      <c r="V221">
        <v>1</v>
      </c>
      <c r="W221">
        <v>43.62</v>
      </c>
      <c r="X221">
        <v>38.380000000000003</v>
      </c>
      <c r="Y221">
        <v>0.65</v>
      </c>
      <c r="Z221" s="3">
        <v>3143322000</v>
      </c>
      <c r="AA221">
        <v>0</v>
      </c>
      <c r="AB221">
        <v>0</v>
      </c>
      <c r="AC221">
        <v>24.229451730000001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</row>
    <row r="222" spans="1:54" x14ac:dyDescent="0.25">
      <c r="A222">
        <v>61</v>
      </c>
      <c r="B222" t="s">
        <v>479</v>
      </c>
      <c r="C222" t="s">
        <v>691</v>
      </c>
      <c r="D222" t="s">
        <v>900</v>
      </c>
      <c r="E222" t="s">
        <v>88</v>
      </c>
      <c r="F222">
        <v>37606373</v>
      </c>
      <c r="G222">
        <v>92.2</v>
      </c>
      <c r="H222" t="s">
        <v>97</v>
      </c>
      <c r="I222">
        <v>8216139.5595849799</v>
      </c>
      <c r="J222">
        <v>8373236.3816666696</v>
      </c>
      <c r="M222">
        <v>9489384.4553030301</v>
      </c>
      <c r="N222">
        <v>35.316257</v>
      </c>
      <c r="O222">
        <v>36.863075000000002</v>
      </c>
      <c r="P222">
        <v>9255431.8635000009</v>
      </c>
      <c r="Q222">
        <v>36.637999999999998</v>
      </c>
      <c r="R222">
        <v>8076432.9833333297</v>
      </c>
      <c r="S222">
        <v>9416024.6575329807</v>
      </c>
      <c r="T222" t="s">
        <v>96</v>
      </c>
      <c r="U222" t="s">
        <v>1109</v>
      </c>
      <c r="V222">
        <v>1</v>
      </c>
      <c r="W222">
        <v>109.4</v>
      </c>
      <c r="X222">
        <v>92.2</v>
      </c>
      <c r="Y222">
        <v>0.9</v>
      </c>
      <c r="Z222" s="3">
        <v>3120576831.54</v>
      </c>
      <c r="AA222">
        <v>0</v>
      </c>
      <c r="AB222">
        <v>0</v>
      </c>
      <c r="AC222">
        <v>37.787467739999997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</row>
    <row r="223" spans="1:54" x14ac:dyDescent="0.25">
      <c r="A223">
        <v>14</v>
      </c>
      <c r="B223" t="s">
        <v>444</v>
      </c>
      <c r="C223" t="s">
        <v>656</v>
      </c>
      <c r="D223" t="s">
        <v>865</v>
      </c>
      <c r="E223" t="s">
        <v>94</v>
      </c>
      <c r="F223">
        <v>47550119</v>
      </c>
      <c r="G223">
        <v>65.5</v>
      </c>
      <c r="H223" t="s">
        <v>97</v>
      </c>
      <c r="I223">
        <v>5138735.4206862804</v>
      </c>
      <c r="J223">
        <v>5684020.5833333302</v>
      </c>
      <c r="M223">
        <v>5517442.9460227303</v>
      </c>
      <c r="N223">
        <v>15.02093</v>
      </c>
      <c r="O223">
        <v>14.802875</v>
      </c>
      <c r="P223">
        <v>4983047.0975000001</v>
      </c>
      <c r="Q223">
        <v>20.311243000000001</v>
      </c>
      <c r="R223">
        <v>5321382.4344696999</v>
      </c>
      <c r="S223">
        <v>6202526.7586991899</v>
      </c>
      <c r="T223" t="s">
        <v>96</v>
      </c>
      <c r="U223" t="s">
        <v>1074</v>
      </c>
      <c r="V223">
        <v>1</v>
      </c>
      <c r="W223">
        <v>64.55</v>
      </c>
      <c r="X223">
        <v>65.5</v>
      </c>
      <c r="Y223">
        <v>1</v>
      </c>
      <c r="Z223" s="3">
        <v>3114532794.5</v>
      </c>
      <c r="AA223">
        <v>0</v>
      </c>
      <c r="AB223">
        <v>0</v>
      </c>
      <c r="AC223">
        <v>9.5510000000000002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</row>
    <row r="224" spans="1:54" x14ac:dyDescent="0.25">
      <c r="A224">
        <v>81</v>
      </c>
      <c r="B224" t="s">
        <v>496</v>
      </c>
      <c r="C224" t="s">
        <v>707</v>
      </c>
      <c r="D224" t="s">
        <v>916</v>
      </c>
      <c r="E224" t="s">
        <v>89</v>
      </c>
      <c r="F224">
        <v>111623468</v>
      </c>
      <c r="G224">
        <v>54.95</v>
      </c>
      <c r="H224" t="s">
        <v>97</v>
      </c>
      <c r="I224">
        <v>6272787.7815097999</v>
      </c>
      <c r="J224">
        <v>4614693.3166666701</v>
      </c>
      <c r="M224">
        <v>5953693.8298484804</v>
      </c>
      <c r="N224">
        <v>16.505737</v>
      </c>
      <c r="O224">
        <v>17.020154999999999</v>
      </c>
      <c r="P224">
        <v>5877319.5010000002</v>
      </c>
      <c r="Q224">
        <v>22.905457999999999</v>
      </c>
      <c r="R224">
        <v>5959366.6962121204</v>
      </c>
      <c r="S224">
        <v>6954787.1301461002</v>
      </c>
      <c r="T224" t="s">
        <v>96</v>
      </c>
      <c r="U224" t="s">
        <v>1126</v>
      </c>
      <c r="V224">
        <v>1</v>
      </c>
      <c r="W224">
        <v>54.65</v>
      </c>
      <c r="X224">
        <v>54.95</v>
      </c>
      <c r="Y224">
        <v>0.5</v>
      </c>
      <c r="Z224" s="3">
        <v>3066854783.3000002</v>
      </c>
      <c r="AA224">
        <v>0</v>
      </c>
      <c r="AB224">
        <v>0</v>
      </c>
      <c r="AC224">
        <v>3.9646875000000001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</row>
    <row r="225" spans="1:54" x14ac:dyDescent="0.25">
      <c r="A225">
        <v>69</v>
      </c>
      <c r="B225" t="s">
        <v>485</v>
      </c>
      <c r="C225" t="s">
        <v>697</v>
      </c>
      <c r="D225" t="s">
        <v>906</v>
      </c>
      <c r="E225" t="s">
        <v>93</v>
      </c>
      <c r="F225">
        <v>68000000</v>
      </c>
      <c r="G225">
        <v>88.6</v>
      </c>
      <c r="H225" t="s">
        <v>97</v>
      </c>
      <c r="I225">
        <v>27036336.9174405</v>
      </c>
      <c r="J225">
        <v>29975036.480000101</v>
      </c>
      <c r="M225">
        <v>32632467.0136641</v>
      </c>
      <c r="N225">
        <v>38.637954999999998</v>
      </c>
      <c r="O225">
        <v>41.474409999999999</v>
      </c>
      <c r="P225">
        <v>38558810.932750002</v>
      </c>
      <c r="Q225">
        <v>37.814728000000002</v>
      </c>
      <c r="R225">
        <v>51841673.110303096</v>
      </c>
      <c r="S225">
        <v>60516741.810162596</v>
      </c>
      <c r="T225" t="s">
        <v>96</v>
      </c>
      <c r="U225" t="s">
        <v>1115</v>
      </c>
      <c r="V225">
        <v>1</v>
      </c>
      <c r="W225">
        <v>99.28</v>
      </c>
      <c r="X225">
        <v>88.6</v>
      </c>
      <c r="Y225">
        <v>0.5</v>
      </c>
      <c r="Z225" s="3">
        <v>3012400000</v>
      </c>
      <c r="AA225">
        <v>0</v>
      </c>
      <c r="AB225">
        <v>0</v>
      </c>
      <c r="AC225">
        <v>20.998899999999999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</row>
    <row r="226" spans="1:54" x14ac:dyDescent="0.25">
      <c r="A226">
        <v>298</v>
      </c>
      <c r="B226" t="s">
        <v>644</v>
      </c>
      <c r="C226" t="s">
        <v>854</v>
      </c>
      <c r="D226" t="s">
        <v>1063</v>
      </c>
      <c r="E226" t="s">
        <v>92</v>
      </c>
      <c r="F226">
        <v>109497696</v>
      </c>
      <c r="G226">
        <v>27.5</v>
      </c>
      <c r="H226" t="s">
        <v>97</v>
      </c>
      <c r="I226">
        <v>6393005.7917391304</v>
      </c>
      <c r="J226">
        <v>5937005.6440000003</v>
      </c>
      <c r="M226">
        <v>5192862.0305303</v>
      </c>
      <c r="N226">
        <v>30.400509</v>
      </c>
      <c r="O226">
        <v>31.466799000000002</v>
      </c>
      <c r="P226">
        <v>5087217.3641999997</v>
      </c>
      <c r="Q226">
        <v>34.302146999999998</v>
      </c>
      <c r="R226">
        <v>5003959.9593939399</v>
      </c>
      <c r="S226">
        <v>5830430.4162761997</v>
      </c>
      <c r="T226" t="s">
        <v>96</v>
      </c>
      <c r="U226" t="s">
        <v>1274</v>
      </c>
      <c r="V226">
        <v>1</v>
      </c>
      <c r="W226">
        <v>31.12</v>
      </c>
      <c r="X226">
        <v>27.5</v>
      </c>
      <c r="Y226">
        <v>1</v>
      </c>
      <c r="Z226" s="3">
        <v>3011186640</v>
      </c>
      <c r="AA226">
        <v>0</v>
      </c>
      <c r="AB226">
        <v>0</v>
      </c>
      <c r="AC226">
        <v>19.244164999999999</v>
      </c>
      <c r="AD226">
        <v>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</row>
    <row r="227" spans="1:54" x14ac:dyDescent="0.25">
      <c r="A227">
        <v>237</v>
      </c>
      <c r="B227" t="s">
        <v>603</v>
      </c>
      <c r="C227" t="s">
        <v>813</v>
      </c>
      <c r="D227" t="s">
        <v>1022</v>
      </c>
      <c r="E227" t="s">
        <v>93</v>
      </c>
      <c r="F227">
        <v>1995631862</v>
      </c>
      <c r="G227">
        <v>2.2610000000000001</v>
      </c>
      <c r="H227" t="s">
        <v>97</v>
      </c>
      <c r="I227">
        <v>89680356.7398303</v>
      </c>
      <c r="J227">
        <v>66097233.327866599</v>
      </c>
      <c r="M227">
        <v>88066278.451175496</v>
      </c>
      <c r="N227">
        <v>26.853832000000001</v>
      </c>
      <c r="O227">
        <v>27.545725000000001</v>
      </c>
      <c r="P227">
        <v>82879276.994749904</v>
      </c>
      <c r="Q227">
        <v>34.780552</v>
      </c>
      <c r="R227">
        <v>81295887.763128802</v>
      </c>
      <c r="S227">
        <v>94785995.945916906</v>
      </c>
      <c r="T227" t="s">
        <v>96</v>
      </c>
      <c r="U227" t="s">
        <v>1233</v>
      </c>
      <c r="V227">
        <v>1</v>
      </c>
      <c r="W227">
        <v>2.3149999999999999</v>
      </c>
      <c r="X227">
        <v>2.2610000000000001</v>
      </c>
      <c r="Y227">
        <v>0.65</v>
      </c>
      <c r="Z227" s="3">
        <v>2932880365.9882998</v>
      </c>
      <c r="AA227">
        <v>0</v>
      </c>
      <c r="AB227">
        <v>0</v>
      </c>
      <c r="AC227">
        <v>20.777644339999998</v>
      </c>
      <c r="AD227">
        <v>2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</row>
    <row r="228" spans="1:54" x14ac:dyDescent="0.25">
      <c r="A228">
        <v>77</v>
      </c>
      <c r="B228" t="s">
        <v>492</v>
      </c>
      <c r="C228" t="s">
        <v>704</v>
      </c>
      <c r="D228" t="s">
        <v>913</v>
      </c>
      <c r="E228" t="s">
        <v>94</v>
      </c>
      <c r="F228">
        <v>38096217</v>
      </c>
      <c r="G228">
        <v>76.95</v>
      </c>
      <c r="H228" t="s">
        <v>97</v>
      </c>
      <c r="I228">
        <v>5589693.9735294096</v>
      </c>
      <c r="J228">
        <v>3701443.8366666702</v>
      </c>
      <c r="M228">
        <v>4742218.5314394003</v>
      </c>
      <c r="N228">
        <v>15.105551999999999</v>
      </c>
      <c r="O228">
        <v>14.417464000000001</v>
      </c>
      <c r="P228">
        <v>3809485.5602500001</v>
      </c>
      <c r="Q228">
        <v>24.935915000000001</v>
      </c>
      <c r="R228">
        <v>4075256.86666667</v>
      </c>
      <c r="S228">
        <v>4756284.3246490704</v>
      </c>
      <c r="T228" t="s">
        <v>96</v>
      </c>
      <c r="U228" t="s">
        <v>1122</v>
      </c>
      <c r="V228">
        <v>1</v>
      </c>
      <c r="W228">
        <v>75</v>
      </c>
      <c r="X228">
        <v>76.95</v>
      </c>
      <c r="Y228">
        <v>1</v>
      </c>
      <c r="Z228" s="3">
        <v>2931503898.1500001</v>
      </c>
      <c r="AA228">
        <v>0</v>
      </c>
      <c r="AB228">
        <v>0</v>
      </c>
      <c r="AC228">
        <v>8.2628299999999992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</row>
    <row r="229" spans="1:54" x14ac:dyDescent="0.25">
      <c r="A229">
        <v>118</v>
      </c>
      <c r="B229" t="s">
        <v>519</v>
      </c>
      <c r="C229" t="s">
        <v>730</v>
      </c>
      <c r="D229" t="s">
        <v>939</v>
      </c>
      <c r="E229" t="s">
        <v>89</v>
      </c>
      <c r="F229">
        <v>185270000</v>
      </c>
      <c r="G229">
        <v>24.16</v>
      </c>
      <c r="H229" t="s">
        <v>97</v>
      </c>
      <c r="I229">
        <v>10496025.933568601</v>
      </c>
      <c r="J229">
        <v>12093758.6446667</v>
      </c>
      <c r="M229">
        <v>10969048.3311364</v>
      </c>
      <c r="N229">
        <v>20.920670000000001</v>
      </c>
      <c r="O229">
        <v>21.651406999999999</v>
      </c>
      <c r="P229">
        <v>10921710.987600001</v>
      </c>
      <c r="Q229">
        <v>20.644030000000001</v>
      </c>
      <c r="R229">
        <v>10490366.8443939</v>
      </c>
      <c r="S229">
        <v>12220150.906341201</v>
      </c>
      <c r="T229" t="s">
        <v>96</v>
      </c>
      <c r="U229" t="s">
        <v>1149</v>
      </c>
      <c r="V229">
        <v>1</v>
      </c>
      <c r="W229">
        <v>23.3</v>
      </c>
      <c r="X229">
        <v>24.16</v>
      </c>
      <c r="Y229">
        <v>0.65</v>
      </c>
      <c r="Z229" s="3">
        <v>2909480080</v>
      </c>
      <c r="AA229">
        <v>0</v>
      </c>
      <c r="AB229">
        <v>0</v>
      </c>
      <c r="AC229">
        <v>15.58236125</v>
      </c>
      <c r="AD229">
        <v>2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</row>
    <row r="230" spans="1:54" x14ac:dyDescent="0.25">
      <c r="A230">
        <v>243</v>
      </c>
      <c r="B230" t="s">
        <v>606</v>
      </c>
      <c r="C230" t="s">
        <v>816</v>
      </c>
      <c r="D230" t="s">
        <v>1025</v>
      </c>
      <c r="E230" t="s">
        <v>91</v>
      </c>
      <c r="F230">
        <v>171361365</v>
      </c>
      <c r="G230">
        <v>24.06</v>
      </c>
      <c r="H230" t="s">
        <v>97</v>
      </c>
      <c r="I230">
        <v>7369807.3042548997</v>
      </c>
      <c r="J230">
        <v>7838837.1373333298</v>
      </c>
      <c r="M230">
        <v>7010102.6098484797</v>
      </c>
      <c r="N230">
        <v>23.739519999999999</v>
      </c>
      <c r="O230">
        <v>24.506195000000002</v>
      </c>
      <c r="P230">
        <v>6444725.3447000002</v>
      </c>
      <c r="Q230">
        <v>27.816960999999999</v>
      </c>
      <c r="R230">
        <v>6052024.9559090901</v>
      </c>
      <c r="S230">
        <v>7052201.1369832298</v>
      </c>
      <c r="T230" t="s">
        <v>96</v>
      </c>
      <c r="U230" t="s">
        <v>1236</v>
      </c>
      <c r="V230">
        <v>1</v>
      </c>
      <c r="W230">
        <v>23.88</v>
      </c>
      <c r="X230">
        <v>24.06</v>
      </c>
      <c r="Y230">
        <v>0.70000000000000007</v>
      </c>
      <c r="Z230" s="3">
        <v>2886068109.3299999</v>
      </c>
      <c r="AA230">
        <v>0</v>
      </c>
      <c r="AB230">
        <v>0</v>
      </c>
      <c r="AC230">
        <v>18.447085439999999</v>
      </c>
      <c r="AD230">
        <v>2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</row>
    <row r="231" spans="1:54" x14ac:dyDescent="0.25">
      <c r="A231">
        <v>39</v>
      </c>
      <c r="B231" t="s">
        <v>462</v>
      </c>
      <c r="C231" t="s">
        <v>674</v>
      </c>
      <c r="D231" t="s">
        <v>883</v>
      </c>
      <c r="E231" t="s">
        <v>88</v>
      </c>
      <c r="F231">
        <v>44956722</v>
      </c>
      <c r="G231">
        <v>106</v>
      </c>
      <c r="H231" t="s">
        <v>97</v>
      </c>
      <c r="I231">
        <v>12374300.1275692</v>
      </c>
      <c r="J231">
        <v>19739091.393333301</v>
      </c>
      <c r="M231">
        <v>12734498.5751894</v>
      </c>
      <c r="N231">
        <v>32.291595000000001</v>
      </c>
      <c r="O231">
        <v>32.784762999999998</v>
      </c>
      <c r="P231">
        <v>13670279.317500001</v>
      </c>
      <c r="Q231">
        <v>31.732669999999999</v>
      </c>
      <c r="R231">
        <v>15614295.3431818</v>
      </c>
      <c r="S231">
        <v>18172411.928061198</v>
      </c>
      <c r="T231" t="s">
        <v>96</v>
      </c>
      <c r="U231" t="s">
        <v>1092</v>
      </c>
      <c r="V231">
        <v>1</v>
      </c>
      <c r="W231">
        <v>117.2</v>
      </c>
      <c r="X231">
        <v>106</v>
      </c>
      <c r="Y231">
        <v>0.6</v>
      </c>
      <c r="Z231" s="3">
        <v>2859247519.1999998</v>
      </c>
      <c r="AA231">
        <v>0</v>
      </c>
      <c r="AB231">
        <v>0</v>
      </c>
      <c r="AC231">
        <v>21.848880250000001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</row>
    <row r="232" spans="1:54" x14ac:dyDescent="0.25">
      <c r="A232">
        <v>187</v>
      </c>
      <c r="B232" t="s">
        <v>569</v>
      </c>
      <c r="C232" t="s">
        <v>780</v>
      </c>
      <c r="D232" t="s">
        <v>989</v>
      </c>
      <c r="E232" t="s">
        <v>95</v>
      </c>
      <c r="F232">
        <v>502696750</v>
      </c>
      <c r="G232">
        <v>6.3079999999999998</v>
      </c>
      <c r="H232" t="s">
        <v>97</v>
      </c>
      <c r="I232">
        <v>6702345.9277108395</v>
      </c>
      <c r="J232">
        <v>5359356.8619999997</v>
      </c>
      <c r="M232">
        <v>6085318.7402307699</v>
      </c>
      <c r="N232">
        <v>21.060891999999999</v>
      </c>
      <c r="O232">
        <v>18.227982000000001</v>
      </c>
      <c r="P232">
        <v>4502276.0941000003</v>
      </c>
      <c r="Q232">
        <v>23.417027000000001</v>
      </c>
      <c r="R232">
        <v>4183884.8686363599</v>
      </c>
      <c r="S232">
        <v>4874991.6236339202</v>
      </c>
      <c r="T232" t="s">
        <v>96</v>
      </c>
      <c r="U232" t="s">
        <v>1199</v>
      </c>
      <c r="V232">
        <v>1</v>
      </c>
      <c r="W232">
        <v>6.62</v>
      </c>
      <c r="X232">
        <v>6.3079999999999998</v>
      </c>
      <c r="Y232">
        <v>0.9</v>
      </c>
      <c r="Z232" s="3">
        <v>2853909989.0999999</v>
      </c>
      <c r="AA232">
        <v>0</v>
      </c>
      <c r="AB232">
        <v>0</v>
      </c>
      <c r="AC232">
        <v>12.33788625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</row>
    <row r="233" spans="1:54" x14ac:dyDescent="0.25">
      <c r="A233">
        <v>122</v>
      </c>
      <c r="B233" t="s">
        <v>521</v>
      </c>
      <c r="C233" t="s">
        <v>732</v>
      </c>
      <c r="D233" t="s">
        <v>941</v>
      </c>
      <c r="E233" t="s">
        <v>88</v>
      </c>
      <c r="F233">
        <v>110134544</v>
      </c>
      <c r="G233">
        <v>30.26</v>
      </c>
      <c r="H233" t="s">
        <v>97</v>
      </c>
      <c r="I233">
        <v>7560653.0070059299</v>
      </c>
      <c r="J233">
        <v>8300116.2626666697</v>
      </c>
      <c r="M233">
        <v>7671159.8659848496</v>
      </c>
      <c r="N233">
        <v>32.190693000000003</v>
      </c>
      <c r="O233">
        <v>31.935842999999998</v>
      </c>
      <c r="P233">
        <v>7907874.1929000001</v>
      </c>
      <c r="Q233">
        <v>34.487133</v>
      </c>
      <c r="R233">
        <v>8138825.32075758</v>
      </c>
      <c r="S233">
        <v>9479255.9263503607</v>
      </c>
      <c r="T233" t="s">
        <v>96</v>
      </c>
      <c r="U233" t="s">
        <v>1151</v>
      </c>
      <c r="V233">
        <v>1</v>
      </c>
      <c r="W233">
        <v>34.74</v>
      </c>
      <c r="X233">
        <v>30.26</v>
      </c>
      <c r="Y233">
        <v>0.85</v>
      </c>
      <c r="Z233" s="3">
        <v>2832770606.224</v>
      </c>
      <c r="AA233">
        <v>0</v>
      </c>
      <c r="AB233">
        <v>0</v>
      </c>
      <c r="AC233">
        <v>15.620593749999999</v>
      </c>
      <c r="AD233">
        <v>2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</row>
    <row r="234" spans="1:54" x14ac:dyDescent="0.25">
      <c r="A234">
        <v>138</v>
      </c>
      <c r="B234" t="s">
        <v>535</v>
      </c>
      <c r="C234" t="s">
        <v>746</v>
      </c>
      <c r="D234" t="s">
        <v>955</v>
      </c>
      <c r="E234" t="s">
        <v>90</v>
      </c>
      <c r="F234">
        <v>426129800</v>
      </c>
      <c r="G234">
        <v>10.145</v>
      </c>
      <c r="H234" t="s">
        <v>97</v>
      </c>
      <c r="I234">
        <v>19697675.853313699</v>
      </c>
      <c r="J234">
        <v>17469773.296266701</v>
      </c>
      <c r="M234">
        <v>18179023.175333299</v>
      </c>
      <c r="N234">
        <v>30.346806000000001</v>
      </c>
      <c r="O234">
        <v>30.327345000000001</v>
      </c>
      <c r="P234">
        <v>17868358.962639999</v>
      </c>
      <c r="Q234">
        <v>34.106586</v>
      </c>
      <c r="R234">
        <v>14643376.6960833</v>
      </c>
      <c r="S234">
        <v>17047447.201814398</v>
      </c>
      <c r="T234" t="s">
        <v>96</v>
      </c>
      <c r="U234" t="s">
        <v>1165</v>
      </c>
      <c r="V234">
        <v>1</v>
      </c>
      <c r="W234">
        <v>10.805</v>
      </c>
      <c r="X234">
        <v>10.145</v>
      </c>
      <c r="Y234">
        <v>0.65</v>
      </c>
      <c r="Z234" s="3">
        <v>2810006433.6500001</v>
      </c>
      <c r="AA234">
        <v>0</v>
      </c>
      <c r="AB234">
        <v>0</v>
      </c>
      <c r="AC234">
        <v>13.251455</v>
      </c>
      <c r="AD234">
        <v>2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</row>
    <row r="235" spans="1:54" x14ac:dyDescent="0.25">
      <c r="A235">
        <v>137</v>
      </c>
      <c r="B235" t="s">
        <v>534</v>
      </c>
      <c r="C235" t="s">
        <v>745</v>
      </c>
      <c r="D235" t="s">
        <v>954</v>
      </c>
      <c r="E235" t="s">
        <v>298</v>
      </c>
      <c r="F235">
        <v>243793804</v>
      </c>
      <c r="G235">
        <v>14.38</v>
      </c>
      <c r="H235" t="s">
        <v>97</v>
      </c>
      <c r="I235">
        <v>8544095.7178992108</v>
      </c>
      <c r="J235">
        <v>4863683.9328800002</v>
      </c>
      <c r="M235">
        <v>9581658.6524575707</v>
      </c>
      <c r="N235">
        <v>31.189959000000002</v>
      </c>
      <c r="O235">
        <v>32.352159999999998</v>
      </c>
      <c r="P235">
        <v>10724818.116002999</v>
      </c>
      <c r="Q235">
        <v>34.008800000000001</v>
      </c>
      <c r="R235">
        <v>13419585.6965273</v>
      </c>
      <c r="S235">
        <v>15712323.266307199</v>
      </c>
      <c r="T235" t="s">
        <v>96</v>
      </c>
      <c r="U235" t="s">
        <v>1164</v>
      </c>
      <c r="V235">
        <v>1</v>
      </c>
      <c r="W235">
        <v>14.53</v>
      </c>
      <c r="X235">
        <v>14.38</v>
      </c>
      <c r="Y235">
        <v>0.8</v>
      </c>
      <c r="Z235" s="3">
        <v>2804603921.216001</v>
      </c>
      <c r="AA235">
        <v>0</v>
      </c>
      <c r="AB235">
        <v>0</v>
      </c>
      <c r="AC235">
        <v>26.146149999999999</v>
      </c>
      <c r="AD235">
        <v>2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</row>
    <row r="236" spans="1:54" x14ac:dyDescent="0.25">
      <c r="A236">
        <v>149</v>
      </c>
      <c r="B236" t="s">
        <v>543</v>
      </c>
      <c r="C236" t="s">
        <v>754</v>
      </c>
      <c r="D236" t="s">
        <v>963</v>
      </c>
      <c r="E236" t="s">
        <v>95</v>
      </c>
      <c r="F236">
        <v>107760380</v>
      </c>
      <c r="G236">
        <v>28.76</v>
      </c>
      <c r="H236" t="s">
        <v>97</v>
      </c>
      <c r="I236">
        <v>5587186.3767469898</v>
      </c>
      <c r="J236">
        <v>6600678.1393333301</v>
      </c>
      <c r="M236">
        <v>5746079.0540769203</v>
      </c>
      <c r="N236">
        <v>16.836493999999998</v>
      </c>
      <c r="O236">
        <v>16.193497000000001</v>
      </c>
      <c r="P236">
        <v>5348845.1117000002</v>
      </c>
      <c r="Q236">
        <v>20.576494</v>
      </c>
      <c r="R236">
        <v>5646016.23575758</v>
      </c>
      <c r="S236">
        <v>6578467.4263807898</v>
      </c>
      <c r="T236" t="s">
        <v>96</v>
      </c>
      <c r="U236" t="s">
        <v>1173</v>
      </c>
      <c r="V236">
        <v>1</v>
      </c>
      <c r="W236">
        <v>28.8</v>
      </c>
      <c r="X236">
        <v>28.76</v>
      </c>
      <c r="Y236">
        <v>0.9</v>
      </c>
      <c r="Z236" s="3">
        <v>2789269675.9200001</v>
      </c>
      <c r="AA236">
        <v>0</v>
      </c>
      <c r="AB236">
        <v>0</v>
      </c>
      <c r="AC236">
        <v>15.12518875</v>
      </c>
      <c r="AD236">
        <v>2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</row>
    <row r="237" spans="1:54" x14ac:dyDescent="0.25">
      <c r="A237">
        <v>228</v>
      </c>
      <c r="B237" t="s">
        <v>599</v>
      </c>
      <c r="C237" t="s">
        <v>809</v>
      </c>
      <c r="D237" t="s">
        <v>1018</v>
      </c>
      <c r="E237" t="s">
        <v>93</v>
      </c>
      <c r="F237">
        <v>37411428</v>
      </c>
      <c r="G237">
        <v>114.1</v>
      </c>
      <c r="H237" t="s">
        <v>97</v>
      </c>
      <c r="I237">
        <v>6826577.96011905</v>
      </c>
      <c r="J237">
        <v>9302252.2333333306</v>
      </c>
      <c r="M237">
        <v>7475855.7812977098</v>
      </c>
      <c r="N237">
        <v>24.758904999999999</v>
      </c>
      <c r="O237">
        <v>25.987909999999999</v>
      </c>
      <c r="P237">
        <v>7473276.7304999996</v>
      </c>
      <c r="Q237">
        <v>28.875381000000001</v>
      </c>
      <c r="R237">
        <v>8383193.50833333</v>
      </c>
      <c r="S237">
        <v>9780140.5844181795</v>
      </c>
      <c r="T237" t="s">
        <v>96</v>
      </c>
      <c r="U237" t="s">
        <v>1229</v>
      </c>
      <c r="V237">
        <v>1</v>
      </c>
      <c r="W237">
        <v>114.8</v>
      </c>
      <c r="X237">
        <v>114.1</v>
      </c>
      <c r="Y237">
        <v>0.65</v>
      </c>
      <c r="Z237" s="3">
        <v>2774618557.6199999</v>
      </c>
      <c r="AA237">
        <v>0</v>
      </c>
      <c r="AB237">
        <v>0</v>
      </c>
      <c r="AC237">
        <v>19.777048140000002</v>
      </c>
      <c r="AD237">
        <v>2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</row>
    <row r="238" spans="1:54" x14ac:dyDescent="0.25">
      <c r="A238">
        <v>46</v>
      </c>
      <c r="B238" t="s">
        <v>468</v>
      </c>
      <c r="C238" t="s">
        <v>680</v>
      </c>
      <c r="D238" t="s">
        <v>889</v>
      </c>
      <c r="E238" t="s">
        <v>93</v>
      </c>
      <c r="F238">
        <v>116851637</v>
      </c>
      <c r="G238">
        <v>52.65</v>
      </c>
      <c r="H238" t="s">
        <v>97</v>
      </c>
      <c r="I238">
        <v>11859153.2512103</v>
      </c>
      <c r="J238">
        <v>14090069.882333299</v>
      </c>
      <c r="M238">
        <v>10736037.6504962</v>
      </c>
      <c r="N238">
        <v>20.109794999999998</v>
      </c>
      <c r="O238">
        <v>20.020804999999999</v>
      </c>
      <c r="P238">
        <v>10851453.85005</v>
      </c>
      <c r="Q238">
        <v>26.867751999999999</v>
      </c>
      <c r="R238">
        <v>10746982.6590151</v>
      </c>
      <c r="S238">
        <v>12523029.696587799</v>
      </c>
      <c r="T238" t="s">
        <v>96</v>
      </c>
      <c r="U238" t="s">
        <v>1098</v>
      </c>
      <c r="V238">
        <v>1</v>
      </c>
      <c r="W238">
        <v>56.65</v>
      </c>
      <c r="X238">
        <v>52.65</v>
      </c>
      <c r="Y238">
        <v>0.45</v>
      </c>
      <c r="Z238" s="3">
        <v>2768507409.6224999</v>
      </c>
      <c r="AA238">
        <v>0</v>
      </c>
      <c r="AB238">
        <v>0</v>
      </c>
      <c r="AC238">
        <v>8.7317250000000008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</row>
    <row r="239" spans="1:54" x14ac:dyDescent="0.25">
      <c r="A239">
        <v>33</v>
      </c>
      <c r="B239" t="s">
        <v>457</v>
      </c>
      <c r="C239" t="s">
        <v>669</v>
      </c>
      <c r="D239" t="s">
        <v>878</v>
      </c>
      <c r="E239" t="s">
        <v>89</v>
      </c>
      <c r="F239">
        <v>76060831</v>
      </c>
      <c r="G239">
        <v>50.85</v>
      </c>
      <c r="H239" t="s">
        <v>97</v>
      </c>
      <c r="I239">
        <v>14979174.964</v>
      </c>
      <c r="J239">
        <v>12732192.393999999</v>
      </c>
      <c r="M239">
        <v>12571498.441628801</v>
      </c>
      <c r="N239">
        <v>29.559877</v>
      </c>
      <c r="O239">
        <v>28.545688999999999</v>
      </c>
      <c r="P239">
        <v>11970332.957699999</v>
      </c>
      <c r="Q239">
        <v>31.979915999999999</v>
      </c>
      <c r="R239">
        <v>11885349.458257601</v>
      </c>
      <c r="S239">
        <v>13855275.9499986</v>
      </c>
      <c r="T239" t="s">
        <v>96</v>
      </c>
      <c r="U239" t="s">
        <v>1087</v>
      </c>
      <c r="V239">
        <v>1</v>
      </c>
      <c r="W239">
        <v>52.3</v>
      </c>
      <c r="X239">
        <v>50.85</v>
      </c>
      <c r="Y239">
        <v>0.70000000000000007</v>
      </c>
      <c r="Z239" s="3">
        <v>2707385279.4450002</v>
      </c>
      <c r="AA239">
        <v>0</v>
      </c>
      <c r="AB239">
        <v>0</v>
      </c>
      <c r="AC239">
        <v>22.721599999999999</v>
      </c>
      <c r="AD239">
        <v>2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</row>
    <row r="240" spans="1:54" x14ac:dyDescent="0.25">
      <c r="A240">
        <v>264</v>
      </c>
      <c r="B240" t="s">
        <v>622</v>
      </c>
      <c r="C240" t="s">
        <v>832</v>
      </c>
      <c r="D240" t="s">
        <v>1041</v>
      </c>
      <c r="E240" t="s">
        <v>88</v>
      </c>
      <c r="F240">
        <v>189034940</v>
      </c>
      <c r="G240">
        <v>14.29</v>
      </c>
      <c r="H240" t="s">
        <v>97</v>
      </c>
      <c r="I240">
        <v>6940452.0743478201</v>
      </c>
      <c r="J240">
        <v>5718046.1540000001</v>
      </c>
      <c r="M240">
        <v>6141430.8962121196</v>
      </c>
      <c r="N240">
        <v>24.002172000000002</v>
      </c>
      <c r="O240">
        <v>24.414518000000001</v>
      </c>
      <c r="P240">
        <v>5903549.6766999997</v>
      </c>
      <c r="Q240">
        <v>30.83671</v>
      </c>
      <c r="R240">
        <v>6032397.9988636402</v>
      </c>
      <c r="S240">
        <v>7030362.8935225196</v>
      </c>
      <c r="T240" t="s">
        <v>96</v>
      </c>
      <c r="U240" t="s">
        <v>1252</v>
      </c>
      <c r="V240">
        <v>1</v>
      </c>
      <c r="W240">
        <v>13.13</v>
      </c>
      <c r="X240">
        <v>14.29</v>
      </c>
      <c r="Y240">
        <v>1</v>
      </c>
      <c r="Z240" s="3">
        <v>2701309292.5999999</v>
      </c>
      <c r="AA240">
        <v>0</v>
      </c>
      <c r="AB240">
        <v>0</v>
      </c>
      <c r="AC240">
        <v>8.08261875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</row>
    <row r="241" spans="1:54" x14ac:dyDescent="0.25">
      <c r="A241">
        <v>280</v>
      </c>
      <c r="B241" t="s">
        <v>633</v>
      </c>
      <c r="C241" t="s">
        <v>843</v>
      </c>
      <c r="D241" t="s">
        <v>1052</v>
      </c>
      <c r="E241" t="s">
        <v>94</v>
      </c>
      <c r="F241">
        <v>246400000</v>
      </c>
      <c r="G241">
        <v>14.52</v>
      </c>
      <c r="H241" t="s">
        <v>97</v>
      </c>
      <c r="I241">
        <v>7076091.5678431401</v>
      </c>
      <c r="J241">
        <v>9870881.7853333298</v>
      </c>
      <c r="M241">
        <v>7819496.1778408997</v>
      </c>
      <c r="N241">
        <v>47.918640000000003</v>
      </c>
      <c r="O241">
        <v>39.275948</v>
      </c>
      <c r="P241">
        <v>7657205.6112500001</v>
      </c>
      <c r="Q241">
        <v>48.148699999999998</v>
      </c>
      <c r="R241">
        <v>7782177.4205302997</v>
      </c>
      <c r="S241">
        <v>9055242.6541073993</v>
      </c>
      <c r="T241" t="s">
        <v>96</v>
      </c>
      <c r="U241" t="s">
        <v>1263</v>
      </c>
      <c r="V241">
        <v>1</v>
      </c>
      <c r="W241">
        <v>16.809999999999999</v>
      </c>
      <c r="X241">
        <v>14.52</v>
      </c>
      <c r="Y241">
        <v>0.75</v>
      </c>
      <c r="Z241" s="3">
        <v>2683296000</v>
      </c>
      <c r="AA241">
        <v>0</v>
      </c>
      <c r="AB241">
        <v>0</v>
      </c>
      <c r="AC241">
        <v>24.452770000000001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</row>
    <row r="242" spans="1:54" x14ac:dyDescent="0.25">
      <c r="A242">
        <v>113</v>
      </c>
      <c r="B242" t="s">
        <v>514</v>
      </c>
      <c r="C242" t="s">
        <v>725</v>
      </c>
      <c r="D242" t="s">
        <v>934</v>
      </c>
      <c r="E242" t="s">
        <v>89</v>
      </c>
      <c r="F242">
        <v>71925760</v>
      </c>
      <c r="G242">
        <v>52.85</v>
      </c>
      <c r="H242" t="s">
        <v>97</v>
      </c>
      <c r="I242">
        <v>8887482.4879411794</v>
      </c>
      <c r="J242">
        <v>5958809.9699999997</v>
      </c>
      <c r="M242">
        <v>9519752.6850378793</v>
      </c>
      <c r="N242">
        <v>32.700744999999998</v>
      </c>
      <c r="O242">
        <v>33.006855000000002</v>
      </c>
      <c r="P242">
        <v>10016247.129000001</v>
      </c>
      <c r="Q242">
        <v>34.371124000000002</v>
      </c>
      <c r="R242">
        <v>10764956.580303</v>
      </c>
      <c r="S242">
        <v>12553279.0836406</v>
      </c>
      <c r="T242" t="s">
        <v>96</v>
      </c>
      <c r="U242" t="s">
        <v>1144</v>
      </c>
      <c r="V242">
        <v>1</v>
      </c>
      <c r="W242">
        <v>53</v>
      </c>
      <c r="X242">
        <v>52.85</v>
      </c>
      <c r="Y242">
        <v>0.70000000000000007</v>
      </c>
      <c r="Z242" s="3">
        <v>2660893491.1999998</v>
      </c>
      <c r="AA242">
        <v>0</v>
      </c>
      <c r="AB242">
        <v>0</v>
      </c>
      <c r="AC242">
        <v>13.00503125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</row>
    <row r="243" spans="1:54" x14ac:dyDescent="0.25">
      <c r="A243">
        <v>232</v>
      </c>
      <c r="B243" t="s">
        <v>602</v>
      </c>
      <c r="C243" t="s">
        <v>812</v>
      </c>
      <c r="D243" t="s">
        <v>1021</v>
      </c>
      <c r="E243" t="s">
        <v>89</v>
      </c>
      <c r="F243">
        <v>103361773</v>
      </c>
      <c r="G243">
        <v>31.94</v>
      </c>
      <c r="H243" t="s">
        <v>97</v>
      </c>
      <c r="I243">
        <v>4386159.2411372503</v>
      </c>
      <c r="J243">
        <v>4383253.2426666701</v>
      </c>
      <c r="M243">
        <v>4317768.01575757</v>
      </c>
      <c r="N243">
        <v>20.891449000000001</v>
      </c>
      <c r="O243">
        <v>19.596872000000001</v>
      </c>
      <c r="P243">
        <v>3912921.3190000001</v>
      </c>
      <c r="Q243">
        <v>29.157532</v>
      </c>
      <c r="R243">
        <v>4434373.5004545404</v>
      </c>
      <c r="S243">
        <v>5175613.7247950304</v>
      </c>
      <c r="T243" t="s">
        <v>96</v>
      </c>
      <c r="U243" t="s">
        <v>1232</v>
      </c>
      <c r="V243">
        <v>1</v>
      </c>
      <c r="W243">
        <v>31.46</v>
      </c>
      <c r="X243">
        <v>31.94</v>
      </c>
      <c r="Y243">
        <v>0.8</v>
      </c>
      <c r="Z243" s="3">
        <v>2641100023.6960001</v>
      </c>
      <c r="AA243">
        <v>0</v>
      </c>
      <c r="AB243">
        <v>0</v>
      </c>
      <c r="AC243">
        <v>29.16775938</v>
      </c>
      <c r="AD243">
        <v>2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</row>
    <row r="244" spans="1:54" x14ac:dyDescent="0.25">
      <c r="A244">
        <v>126</v>
      </c>
      <c r="B244" t="s">
        <v>524</v>
      </c>
      <c r="C244" t="s">
        <v>735</v>
      </c>
      <c r="D244" t="s">
        <v>944</v>
      </c>
      <c r="E244" t="s">
        <v>88</v>
      </c>
      <c r="F244">
        <v>92468704</v>
      </c>
      <c r="G244">
        <v>71</v>
      </c>
      <c r="H244" t="s">
        <v>97</v>
      </c>
      <c r="I244">
        <v>9310752.6807707492</v>
      </c>
      <c r="J244">
        <v>11993853.25</v>
      </c>
      <c r="M244">
        <v>8137043.9714015201</v>
      </c>
      <c r="N244">
        <v>26.356162999999999</v>
      </c>
      <c r="O244">
        <v>26.572555999999999</v>
      </c>
      <c r="P244">
        <v>8502267.1732500009</v>
      </c>
      <c r="Q244">
        <v>25.879490000000001</v>
      </c>
      <c r="R244">
        <v>8912180.4803030305</v>
      </c>
      <c r="S244">
        <v>10384932.809961099</v>
      </c>
      <c r="T244" t="s">
        <v>96</v>
      </c>
      <c r="U244" t="s">
        <v>1154</v>
      </c>
      <c r="V244">
        <v>1</v>
      </c>
      <c r="W244">
        <v>67.8</v>
      </c>
      <c r="X244">
        <v>71</v>
      </c>
      <c r="Y244">
        <v>0.4</v>
      </c>
      <c r="Z244" s="3">
        <v>2626111193.5999999</v>
      </c>
      <c r="AA244">
        <v>0</v>
      </c>
      <c r="AB244">
        <v>0</v>
      </c>
      <c r="AC244">
        <v>16.715623749999999</v>
      </c>
      <c r="AD244">
        <v>2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</row>
    <row r="245" spans="1:54" x14ac:dyDescent="0.25">
      <c r="A245">
        <v>65</v>
      </c>
      <c r="B245" t="s">
        <v>481</v>
      </c>
      <c r="C245" t="s">
        <v>693</v>
      </c>
      <c r="D245" t="s">
        <v>902</v>
      </c>
      <c r="E245" t="s">
        <v>89</v>
      </c>
      <c r="F245">
        <v>2809072802</v>
      </c>
      <c r="G245">
        <v>4.6180000000000003</v>
      </c>
      <c r="H245" t="s">
        <v>97</v>
      </c>
      <c r="I245">
        <v>5293508.3242784301</v>
      </c>
      <c r="J245">
        <v>3421628.8653333299</v>
      </c>
      <c r="M245">
        <v>4478024.1905681798</v>
      </c>
      <c r="N245">
        <v>13.777302000000001</v>
      </c>
      <c r="O245">
        <v>14.441532</v>
      </c>
      <c r="P245">
        <v>3998417.7434</v>
      </c>
      <c r="Q245">
        <v>17.466926999999998</v>
      </c>
      <c r="R245">
        <v>4316268.9205681803</v>
      </c>
      <c r="S245">
        <v>5033370.2932292204</v>
      </c>
      <c r="T245" t="s">
        <v>96</v>
      </c>
      <c r="U245" t="s">
        <v>1111</v>
      </c>
      <c r="V245">
        <v>1</v>
      </c>
      <c r="W245">
        <v>4.6059999999999999</v>
      </c>
      <c r="X245">
        <v>4.6180000000000003</v>
      </c>
      <c r="Y245">
        <v>0.2</v>
      </c>
      <c r="Z245" s="3">
        <v>2594459639.9271998</v>
      </c>
      <c r="AA245">
        <v>0</v>
      </c>
      <c r="AB245">
        <v>0</v>
      </c>
      <c r="AC245">
        <v>11.952475</v>
      </c>
      <c r="AD245">
        <v>2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</row>
    <row r="246" spans="1:54" x14ac:dyDescent="0.25">
      <c r="A246">
        <v>30</v>
      </c>
      <c r="B246" t="s">
        <v>455</v>
      </c>
      <c r="C246" t="s">
        <v>667</v>
      </c>
      <c r="D246" t="s">
        <v>876</v>
      </c>
      <c r="E246" t="s">
        <v>91</v>
      </c>
      <c r="F246">
        <v>90442091</v>
      </c>
      <c r="G246">
        <v>35.58</v>
      </c>
      <c r="H246" t="s">
        <v>97</v>
      </c>
      <c r="I246">
        <v>7872950.0031764703</v>
      </c>
      <c r="J246">
        <v>12352314.402666699</v>
      </c>
      <c r="M246">
        <v>7940097.6257575797</v>
      </c>
      <c r="N246">
        <v>40.695793000000002</v>
      </c>
      <c r="O246">
        <v>42.486849999999997</v>
      </c>
      <c r="P246">
        <v>8668053.8672000002</v>
      </c>
      <c r="Q246">
        <v>38.659669999999998</v>
      </c>
      <c r="R246">
        <v>10376748.438181801</v>
      </c>
      <c r="S246">
        <v>12076211.867025301</v>
      </c>
      <c r="T246" t="s">
        <v>96</v>
      </c>
      <c r="U246" t="s">
        <v>1085</v>
      </c>
      <c r="V246">
        <v>1</v>
      </c>
      <c r="W246">
        <v>36.26</v>
      </c>
      <c r="X246">
        <v>35.58</v>
      </c>
      <c r="Y246">
        <v>0.8</v>
      </c>
      <c r="Z246" s="3">
        <v>2574343678.224</v>
      </c>
      <c r="AA246">
        <v>0</v>
      </c>
      <c r="AB246">
        <v>0</v>
      </c>
      <c r="AC246">
        <v>19.135375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</row>
    <row r="247" spans="1:54" x14ac:dyDescent="0.25">
      <c r="A247">
        <v>287</v>
      </c>
      <c r="B247" t="s">
        <v>637</v>
      </c>
      <c r="C247" t="s">
        <v>847</v>
      </c>
      <c r="D247" t="s">
        <v>1056</v>
      </c>
      <c r="E247" t="s">
        <v>89</v>
      </c>
      <c r="F247">
        <v>234359146</v>
      </c>
      <c r="G247">
        <v>15.654999999999999</v>
      </c>
      <c r="H247" t="s">
        <v>97</v>
      </c>
      <c r="I247">
        <v>9608715.4231078401</v>
      </c>
      <c r="J247">
        <v>9031487.7053333297</v>
      </c>
      <c r="M247">
        <v>8818995.0698863696</v>
      </c>
      <c r="N247">
        <v>24.992239000000001</v>
      </c>
      <c r="O247">
        <v>23.242252000000001</v>
      </c>
      <c r="P247">
        <v>7995507.7515500002</v>
      </c>
      <c r="Q247">
        <v>30.483312999999999</v>
      </c>
      <c r="R247">
        <v>8541811.1452272702</v>
      </c>
      <c r="S247">
        <v>9951458.5849702209</v>
      </c>
      <c r="T247" t="s">
        <v>96</v>
      </c>
      <c r="U247" t="s">
        <v>1267</v>
      </c>
      <c r="V247">
        <v>1</v>
      </c>
      <c r="W247">
        <v>15.68</v>
      </c>
      <c r="X247">
        <v>15.654999999999999</v>
      </c>
      <c r="Y247">
        <v>0.70000000000000007</v>
      </c>
      <c r="Z247" s="3">
        <v>2568224701.441</v>
      </c>
      <c r="AA247">
        <v>0</v>
      </c>
      <c r="AB247">
        <v>0</v>
      </c>
      <c r="AC247">
        <v>21.020111180000001</v>
      </c>
      <c r="AD247">
        <v>2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</row>
    <row r="248" spans="1:54" x14ac:dyDescent="0.25">
      <c r="A248">
        <v>130</v>
      </c>
      <c r="B248" t="s">
        <v>528</v>
      </c>
      <c r="C248" t="s">
        <v>739</v>
      </c>
      <c r="D248" t="s">
        <v>948</v>
      </c>
      <c r="E248" t="s">
        <v>88</v>
      </c>
      <c r="F248">
        <v>65500000</v>
      </c>
      <c r="G248">
        <v>38.5</v>
      </c>
      <c r="H248" t="s">
        <v>97</v>
      </c>
      <c r="I248">
        <v>4841604.8379051397</v>
      </c>
      <c r="J248">
        <v>4019414.9240000001</v>
      </c>
      <c r="M248">
        <v>4478026.2779545505</v>
      </c>
      <c r="N248">
        <v>28.176459999999999</v>
      </c>
      <c r="O248">
        <v>26.687602999999999</v>
      </c>
      <c r="P248">
        <v>4250961.5630999999</v>
      </c>
      <c r="Q248">
        <v>29.097398999999999</v>
      </c>
      <c r="R248">
        <v>4167147.3990909099</v>
      </c>
      <c r="S248">
        <v>4856786.7043745099</v>
      </c>
      <c r="T248" t="s">
        <v>96</v>
      </c>
      <c r="U248" t="s">
        <v>1158</v>
      </c>
      <c r="V248">
        <v>1</v>
      </c>
      <c r="W248">
        <v>38.380000000000003</v>
      </c>
      <c r="X248">
        <v>38.5</v>
      </c>
      <c r="Y248">
        <v>1</v>
      </c>
      <c r="Z248" s="3">
        <v>2521750000</v>
      </c>
      <c r="AA248">
        <v>0</v>
      </c>
      <c r="AB248">
        <v>0</v>
      </c>
      <c r="AC248">
        <v>26.609774999999999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</row>
    <row r="249" spans="1:54" x14ac:dyDescent="0.25">
      <c r="A249">
        <v>140</v>
      </c>
      <c r="B249" t="s">
        <v>537</v>
      </c>
      <c r="C249" t="s">
        <v>748</v>
      </c>
      <c r="D249" t="s">
        <v>957</v>
      </c>
      <c r="E249" t="s">
        <v>91</v>
      </c>
      <c r="F249">
        <v>90370864</v>
      </c>
      <c r="G249">
        <v>138</v>
      </c>
      <c r="H249" t="s">
        <v>97</v>
      </c>
      <c r="I249">
        <v>2132610.7105882298</v>
      </c>
      <c r="J249">
        <v>1212634</v>
      </c>
      <c r="M249">
        <v>1980369.625</v>
      </c>
      <c r="N249">
        <v>15.111317</v>
      </c>
      <c r="O249">
        <v>16.063939999999999</v>
      </c>
      <c r="P249">
        <v>1948543.3729999999</v>
      </c>
      <c r="Q249">
        <v>17.884018000000001</v>
      </c>
      <c r="R249">
        <v>2164771.5318181799</v>
      </c>
      <c r="S249">
        <v>2528696.4464222402</v>
      </c>
      <c r="T249" t="s">
        <v>96</v>
      </c>
      <c r="U249" t="s">
        <v>1167</v>
      </c>
      <c r="V249">
        <v>1</v>
      </c>
      <c r="W249">
        <v>137.80000000000001</v>
      </c>
      <c r="X249">
        <v>138</v>
      </c>
      <c r="Y249">
        <v>0.2</v>
      </c>
      <c r="Z249" s="3">
        <v>2494235846.4000001</v>
      </c>
      <c r="AA249">
        <v>0</v>
      </c>
      <c r="AB249">
        <v>0</v>
      </c>
      <c r="AC249">
        <v>21.311214469999999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</row>
    <row r="250" spans="1:54" x14ac:dyDescent="0.25">
      <c r="A250">
        <v>2</v>
      </c>
      <c r="B250" t="s">
        <v>435</v>
      </c>
      <c r="C250" t="s">
        <v>647</v>
      </c>
      <c r="D250" t="s">
        <v>856</v>
      </c>
      <c r="E250" t="s">
        <v>91</v>
      </c>
      <c r="F250">
        <v>110580102</v>
      </c>
      <c r="G250">
        <v>26.32</v>
      </c>
      <c r="H250" t="s">
        <v>97</v>
      </c>
      <c r="I250">
        <v>6992305.32941176</v>
      </c>
      <c r="J250">
        <v>6065672.44666667</v>
      </c>
      <c r="M250">
        <v>7263299.5584090902</v>
      </c>
      <c r="N250">
        <v>32.723784999999999</v>
      </c>
      <c r="O250">
        <v>34.940272999999998</v>
      </c>
      <c r="P250">
        <v>7823464.4468</v>
      </c>
      <c r="Q250">
        <v>33.573948000000001</v>
      </c>
      <c r="R250">
        <v>7122574.7718181796</v>
      </c>
      <c r="S250">
        <v>8305906.5983072501</v>
      </c>
      <c r="T250" t="s">
        <v>96</v>
      </c>
      <c r="U250" t="s">
        <v>1065</v>
      </c>
      <c r="V250">
        <v>1</v>
      </c>
      <c r="W250">
        <v>28.28</v>
      </c>
      <c r="X250">
        <v>26.32</v>
      </c>
      <c r="Y250">
        <v>0.85000000000000009</v>
      </c>
      <c r="Z250" s="3">
        <v>2473898041.9439998</v>
      </c>
      <c r="AA250">
        <v>0</v>
      </c>
      <c r="AB250">
        <v>0</v>
      </c>
      <c r="AC250">
        <v>26.150704999999999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</row>
    <row r="251" spans="1:54" x14ac:dyDescent="0.25">
      <c r="A251">
        <v>91</v>
      </c>
      <c r="B251" t="s">
        <v>504</v>
      </c>
      <c r="C251" t="s">
        <v>715</v>
      </c>
      <c r="D251" t="s">
        <v>924</v>
      </c>
      <c r="E251" t="s">
        <v>93</v>
      </c>
      <c r="F251">
        <v>151294737</v>
      </c>
      <c r="G251">
        <v>34.96</v>
      </c>
      <c r="H251" t="s">
        <v>97</v>
      </c>
      <c r="I251">
        <v>3595684.2467460302</v>
      </c>
      <c r="J251">
        <v>7209067.3946666699</v>
      </c>
      <c r="M251">
        <v>3526463.08</v>
      </c>
      <c r="N251">
        <v>31.621267</v>
      </c>
      <c r="O251">
        <v>33.987316</v>
      </c>
      <c r="P251">
        <v>3881064.0465000002</v>
      </c>
      <c r="Q251">
        <v>34.276516000000001</v>
      </c>
      <c r="R251">
        <v>4478477.80424242</v>
      </c>
      <c r="S251">
        <v>5215047.0280330405</v>
      </c>
      <c r="T251" t="s">
        <v>96</v>
      </c>
      <c r="U251" t="s">
        <v>1134</v>
      </c>
      <c r="V251">
        <v>1</v>
      </c>
      <c r="W251">
        <v>36.880000000000003</v>
      </c>
      <c r="X251">
        <v>34.96</v>
      </c>
      <c r="Y251">
        <v>0.45</v>
      </c>
      <c r="Z251" s="3">
        <v>2380168802.4840002</v>
      </c>
      <c r="AA251">
        <v>0</v>
      </c>
      <c r="AB251">
        <v>0</v>
      </c>
      <c r="AC251">
        <v>21.199421869999998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</row>
    <row r="252" spans="1:54" x14ac:dyDescent="0.25">
      <c r="A252">
        <v>156</v>
      </c>
      <c r="B252" t="s">
        <v>545</v>
      </c>
      <c r="C252" t="s">
        <v>756</v>
      </c>
      <c r="D252" t="s">
        <v>965</v>
      </c>
      <c r="E252" t="s">
        <v>91</v>
      </c>
      <c r="F252">
        <v>500000000</v>
      </c>
      <c r="G252">
        <v>9.4499999999999993</v>
      </c>
      <c r="H252" t="s">
        <v>97</v>
      </c>
      <c r="I252">
        <v>9586237.6746274494</v>
      </c>
      <c r="J252">
        <v>13776285.0766667</v>
      </c>
      <c r="M252">
        <v>10407552.9077652</v>
      </c>
      <c r="N252">
        <v>37.651980000000002</v>
      </c>
      <c r="O252">
        <v>39.076230000000002</v>
      </c>
      <c r="P252">
        <v>10648583.968800001</v>
      </c>
      <c r="Q252">
        <v>41.58905</v>
      </c>
      <c r="R252">
        <v>12901565.3501515</v>
      </c>
      <c r="S252">
        <v>15041166.292094501</v>
      </c>
      <c r="T252" t="s">
        <v>96</v>
      </c>
      <c r="U252" t="s">
        <v>1175</v>
      </c>
      <c r="V252">
        <v>1</v>
      </c>
      <c r="W252">
        <v>10.26</v>
      </c>
      <c r="X252">
        <v>9.4499999999999993</v>
      </c>
      <c r="Y252">
        <v>0.5</v>
      </c>
      <c r="Z252" s="3">
        <v>2362500000</v>
      </c>
      <c r="AA252">
        <v>0</v>
      </c>
      <c r="AB252">
        <v>0</v>
      </c>
      <c r="AC252">
        <v>17.281818749999999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</row>
    <row r="253" spans="1:54" x14ac:dyDescent="0.25">
      <c r="A253">
        <v>286</v>
      </c>
      <c r="B253" t="s">
        <v>636</v>
      </c>
      <c r="C253" t="s">
        <v>846</v>
      </c>
      <c r="D253" t="s">
        <v>1055</v>
      </c>
      <c r="E253" t="s">
        <v>89</v>
      </c>
      <c r="F253">
        <v>245607624</v>
      </c>
      <c r="G253">
        <v>10.505000000000001</v>
      </c>
      <c r="H253" t="s">
        <v>97</v>
      </c>
      <c r="I253">
        <v>11919507.146617601</v>
      </c>
      <c r="J253">
        <v>12622093.714</v>
      </c>
      <c r="M253">
        <v>10990305.640670501</v>
      </c>
      <c r="N253">
        <v>42.352004999999998</v>
      </c>
      <c r="O253">
        <v>42.748283000000001</v>
      </c>
      <c r="P253">
        <v>10952854.600555001</v>
      </c>
      <c r="Q253">
        <v>45.317368000000002</v>
      </c>
      <c r="R253">
        <v>11101725.592507601</v>
      </c>
      <c r="S253">
        <v>12931453.0095063</v>
      </c>
      <c r="T253" t="s">
        <v>96</v>
      </c>
      <c r="U253" t="s">
        <v>1266</v>
      </c>
      <c r="V253">
        <v>1</v>
      </c>
      <c r="W253">
        <v>11.345000000000001</v>
      </c>
      <c r="X253">
        <v>10.505000000000001</v>
      </c>
      <c r="Y253">
        <v>0.9</v>
      </c>
      <c r="Z253" s="3">
        <v>2322097281.1079998</v>
      </c>
      <c r="AA253">
        <v>0</v>
      </c>
      <c r="AB253">
        <v>0</v>
      </c>
      <c r="AC253">
        <v>17.29798662</v>
      </c>
      <c r="AD253">
        <v>2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</row>
    <row r="254" spans="1:54" x14ac:dyDescent="0.25">
      <c r="A254">
        <v>23</v>
      </c>
      <c r="B254" t="s">
        <v>450</v>
      </c>
      <c r="C254" t="s">
        <v>662</v>
      </c>
      <c r="D254" t="s">
        <v>871</v>
      </c>
      <c r="E254" t="s">
        <v>91</v>
      </c>
      <c r="F254">
        <v>601548734</v>
      </c>
      <c r="G254">
        <v>6.375</v>
      </c>
      <c r="H254" t="s">
        <v>97</v>
      </c>
      <c r="I254">
        <v>4230038.0908686304</v>
      </c>
      <c r="J254">
        <v>3407207.8753333301</v>
      </c>
      <c r="M254">
        <v>5032506.1046022698</v>
      </c>
      <c r="N254">
        <v>29.085781000000001</v>
      </c>
      <c r="O254">
        <v>29.267199000000002</v>
      </c>
      <c r="P254">
        <v>4987309.9564749999</v>
      </c>
      <c r="Q254">
        <v>31.33398</v>
      </c>
      <c r="R254">
        <v>4091663.3379166699</v>
      </c>
      <c r="S254">
        <v>4774508.9949065996</v>
      </c>
      <c r="T254" t="s">
        <v>96</v>
      </c>
      <c r="U254" t="s">
        <v>1080</v>
      </c>
      <c r="V254">
        <v>1</v>
      </c>
      <c r="W254">
        <v>7.7350000000000003</v>
      </c>
      <c r="X254">
        <v>6.375</v>
      </c>
      <c r="Y254">
        <v>0.60000000000000009</v>
      </c>
      <c r="Z254" s="3">
        <v>2300923907.5500002</v>
      </c>
      <c r="AA254">
        <v>0</v>
      </c>
      <c r="AB254">
        <v>0</v>
      </c>
      <c r="AC254">
        <v>19.32851526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</row>
    <row r="255" spans="1:54" x14ac:dyDescent="0.25">
      <c r="A255">
        <v>159</v>
      </c>
      <c r="B255" t="s">
        <v>547</v>
      </c>
      <c r="C255" t="s">
        <v>758</v>
      </c>
      <c r="D255" t="s">
        <v>967</v>
      </c>
      <c r="E255" t="s">
        <v>93</v>
      </c>
      <c r="F255">
        <v>931890010</v>
      </c>
      <c r="G255">
        <v>7.8949999999999996</v>
      </c>
      <c r="H255" t="s">
        <v>97</v>
      </c>
      <c r="I255">
        <v>14648754.818710299</v>
      </c>
      <c r="J255">
        <v>29574676.7808333</v>
      </c>
      <c r="M255">
        <v>15060122.766927499</v>
      </c>
      <c r="N255">
        <v>21.012090000000001</v>
      </c>
      <c r="O255">
        <v>22.51718</v>
      </c>
      <c r="P255">
        <v>14699707.007975001</v>
      </c>
      <c r="Q255">
        <v>23.457122999999999</v>
      </c>
      <c r="R255">
        <v>16730854.0285227</v>
      </c>
      <c r="S255">
        <v>19482986.3908378</v>
      </c>
      <c r="T255" t="s">
        <v>96</v>
      </c>
      <c r="U255" t="s">
        <v>1177</v>
      </c>
      <c r="V255">
        <v>1</v>
      </c>
      <c r="W255">
        <v>7.5949999999999998</v>
      </c>
      <c r="X255">
        <v>7.8949999999999996</v>
      </c>
      <c r="Y255">
        <v>0.3</v>
      </c>
      <c r="Z255" s="3">
        <v>2207181488.6849999</v>
      </c>
      <c r="AA255">
        <v>0</v>
      </c>
      <c r="AB255">
        <v>0</v>
      </c>
      <c r="AC255">
        <v>15.1733125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</row>
    <row r="256" spans="1:54" x14ac:dyDescent="0.25">
      <c r="A256">
        <v>166</v>
      </c>
      <c r="B256" t="s">
        <v>552</v>
      </c>
      <c r="C256" t="s">
        <v>763</v>
      </c>
      <c r="D256" t="s">
        <v>972</v>
      </c>
      <c r="E256" t="s">
        <v>95</v>
      </c>
      <c r="F256">
        <v>155342560</v>
      </c>
      <c r="G256">
        <v>18.940000000000001</v>
      </c>
      <c r="H256" t="s">
        <v>97</v>
      </c>
      <c r="I256">
        <v>3750466.3868273101</v>
      </c>
      <c r="J256">
        <v>4233562.9913333301</v>
      </c>
      <c r="M256">
        <v>3645423.6933076899</v>
      </c>
      <c r="N256">
        <v>21.343350000000001</v>
      </c>
      <c r="O256">
        <v>22.228974999999998</v>
      </c>
      <c r="P256">
        <v>3906002.6247999999</v>
      </c>
      <c r="Q256">
        <v>24.84198</v>
      </c>
      <c r="R256">
        <v>4142784.4575757599</v>
      </c>
      <c r="S256">
        <v>4828091.7523178002</v>
      </c>
      <c r="T256" t="s">
        <v>96</v>
      </c>
      <c r="U256" t="s">
        <v>1182</v>
      </c>
      <c r="V256">
        <v>1</v>
      </c>
      <c r="W256">
        <v>19.350000000000001</v>
      </c>
      <c r="X256">
        <v>18.940000000000001</v>
      </c>
      <c r="Y256">
        <v>0.75</v>
      </c>
      <c r="Z256" s="3">
        <v>2206641064.8000002</v>
      </c>
      <c r="AA256">
        <v>0</v>
      </c>
      <c r="AB256">
        <v>0</v>
      </c>
      <c r="AC256">
        <v>19.48558375</v>
      </c>
      <c r="AD256">
        <v>2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</row>
    <row r="257" spans="1:54" x14ac:dyDescent="0.25">
      <c r="A257">
        <v>8</v>
      </c>
      <c r="B257" t="s">
        <v>440</v>
      </c>
      <c r="C257" t="s">
        <v>652</v>
      </c>
      <c r="D257" t="s">
        <v>861</v>
      </c>
      <c r="E257" t="s">
        <v>90</v>
      </c>
      <c r="F257">
        <v>249335370</v>
      </c>
      <c r="G257">
        <v>11.53</v>
      </c>
      <c r="H257" t="s">
        <v>97</v>
      </c>
      <c r="I257">
        <v>9055712.9957435299</v>
      </c>
      <c r="J257">
        <v>7330625.3113333397</v>
      </c>
      <c r="M257">
        <v>8849271.9169378802</v>
      </c>
      <c r="N257">
        <v>26.326048</v>
      </c>
      <c r="O257">
        <v>25.235855000000001</v>
      </c>
      <c r="P257">
        <v>8998525.1054500099</v>
      </c>
      <c r="Q257">
        <v>30.498377000000001</v>
      </c>
      <c r="R257">
        <v>8393493.5888636392</v>
      </c>
      <c r="S257">
        <v>9778240.1873382293</v>
      </c>
      <c r="T257" t="s">
        <v>96</v>
      </c>
      <c r="U257" t="s">
        <v>1070</v>
      </c>
      <c r="V257">
        <v>1</v>
      </c>
      <c r="W257">
        <v>12.2</v>
      </c>
      <c r="X257">
        <v>11.53</v>
      </c>
      <c r="Y257">
        <v>0.75</v>
      </c>
      <c r="Z257" s="3">
        <v>2156127612.0749998</v>
      </c>
      <c r="AA257">
        <v>0</v>
      </c>
      <c r="AB257">
        <v>0</v>
      </c>
      <c r="AC257">
        <v>23.581217250000002</v>
      </c>
      <c r="AD257">
        <v>2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</row>
    <row r="258" spans="1:54" x14ac:dyDescent="0.25">
      <c r="A258">
        <v>206</v>
      </c>
      <c r="B258" t="s">
        <v>583</v>
      </c>
      <c r="C258" t="s">
        <v>793</v>
      </c>
      <c r="D258" t="s">
        <v>1002</v>
      </c>
      <c r="E258" t="s">
        <v>92</v>
      </c>
      <c r="F258">
        <v>70614600</v>
      </c>
      <c r="G258">
        <v>76.2</v>
      </c>
      <c r="H258" t="s">
        <v>97</v>
      </c>
      <c r="I258">
        <v>269848.24584980297</v>
      </c>
      <c r="J258">
        <v>275389.82666666701</v>
      </c>
      <c r="M258">
        <v>280189.58030302997</v>
      </c>
      <c r="N258">
        <v>2.0578699999999999</v>
      </c>
      <c r="O258">
        <v>1.8941121999999999</v>
      </c>
      <c r="P258">
        <v>292097.886</v>
      </c>
      <c r="Q258">
        <v>2.4824188</v>
      </c>
      <c r="R258">
        <v>303210.68787878798</v>
      </c>
      <c r="S258">
        <v>353552.48405910301</v>
      </c>
      <c r="T258" t="s">
        <v>96</v>
      </c>
      <c r="U258" t="s">
        <v>1213</v>
      </c>
      <c r="V258">
        <v>1</v>
      </c>
      <c r="W258">
        <v>76.2</v>
      </c>
      <c r="X258">
        <v>76.2</v>
      </c>
      <c r="Y258">
        <v>0.4</v>
      </c>
      <c r="Z258" s="3">
        <v>2152333008</v>
      </c>
      <c r="AA258">
        <v>0</v>
      </c>
      <c r="AB258">
        <v>0</v>
      </c>
      <c r="AC258">
        <v>22.456218750000001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</row>
    <row r="259" spans="1:54" x14ac:dyDescent="0.25">
      <c r="A259">
        <v>83</v>
      </c>
      <c r="B259" t="s">
        <v>498</v>
      </c>
      <c r="C259" t="s">
        <v>709</v>
      </c>
      <c r="D259" t="s">
        <v>918</v>
      </c>
      <c r="E259" t="s">
        <v>91</v>
      </c>
      <c r="F259">
        <v>485051488</v>
      </c>
      <c r="G259">
        <v>17.7</v>
      </c>
      <c r="H259" t="s">
        <v>97</v>
      </c>
      <c r="I259">
        <v>2097968.7466666698</v>
      </c>
      <c r="J259">
        <v>1895456.3053333301</v>
      </c>
      <c r="M259">
        <v>2072691.46825758</v>
      </c>
      <c r="N259">
        <v>17.917771999999999</v>
      </c>
      <c r="O259">
        <v>17.346304</v>
      </c>
      <c r="P259">
        <v>2086448.6473000001</v>
      </c>
      <c r="Q259">
        <v>24.133237999999999</v>
      </c>
      <c r="R259">
        <v>2199229.2065151501</v>
      </c>
      <c r="S259">
        <v>2562761.84067393</v>
      </c>
      <c r="T259" t="s">
        <v>96</v>
      </c>
      <c r="U259" t="s">
        <v>1128</v>
      </c>
      <c r="V259">
        <v>1</v>
      </c>
      <c r="W259">
        <v>17.82</v>
      </c>
      <c r="X259">
        <v>17.7</v>
      </c>
      <c r="Y259">
        <v>0.25</v>
      </c>
      <c r="Z259" s="3">
        <v>2146352834.4000001</v>
      </c>
      <c r="AA259">
        <v>0</v>
      </c>
      <c r="AB259">
        <v>0</v>
      </c>
      <c r="AC259">
        <v>9.6918531300000001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</row>
    <row r="260" spans="1:54" x14ac:dyDescent="0.25">
      <c r="A260">
        <v>188</v>
      </c>
      <c r="B260" t="s">
        <v>570</v>
      </c>
      <c r="C260" t="s">
        <v>781</v>
      </c>
      <c r="D260" t="s">
        <v>990</v>
      </c>
      <c r="E260" t="s">
        <v>93</v>
      </c>
      <c r="F260">
        <v>813279689</v>
      </c>
      <c r="G260">
        <v>17.425000000000001</v>
      </c>
      <c r="H260" t="s">
        <v>97</v>
      </c>
      <c r="I260">
        <v>72712589.896091297</v>
      </c>
      <c r="J260">
        <v>28946352.440166701</v>
      </c>
      <c r="M260">
        <v>82989087.649923697</v>
      </c>
      <c r="N260">
        <v>30.703972</v>
      </c>
      <c r="O260">
        <v>31.604578</v>
      </c>
      <c r="P260">
        <v>84219821.847650006</v>
      </c>
      <c r="Q260">
        <v>35.457726000000001</v>
      </c>
      <c r="R260">
        <v>92089128.027424306</v>
      </c>
      <c r="S260">
        <v>107828330.320908</v>
      </c>
      <c r="T260" t="s">
        <v>96</v>
      </c>
      <c r="U260" t="s">
        <v>1200</v>
      </c>
      <c r="V260">
        <v>1</v>
      </c>
      <c r="W260">
        <v>17.035</v>
      </c>
      <c r="X260">
        <v>17.425000000000001</v>
      </c>
      <c r="Y260">
        <v>0.15</v>
      </c>
      <c r="Z260" s="3">
        <v>2125709787.12375</v>
      </c>
      <c r="AA260">
        <v>0</v>
      </c>
      <c r="AB260">
        <v>0</v>
      </c>
      <c r="AC260">
        <v>12.61909539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</row>
    <row r="261" spans="1:54" x14ac:dyDescent="0.25">
      <c r="A261">
        <v>34</v>
      </c>
      <c r="B261" t="s">
        <v>458</v>
      </c>
      <c r="C261" t="s">
        <v>670</v>
      </c>
      <c r="D261" t="s">
        <v>879</v>
      </c>
      <c r="E261" t="s">
        <v>88</v>
      </c>
      <c r="F261">
        <v>1537025600</v>
      </c>
      <c r="G261">
        <v>3.0720000000000001</v>
      </c>
      <c r="H261" t="s">
        <v>97</v>
      </c>
      <c r="I261">
        <v>5531346.4808577001</v>
      </c>
      <c r="J261">
        <v>3878166.5453333301</v>
      </c>
      <c r="M261">
        <v>5212816.0271666702</v>
      </c>
      <c r="N261">
        <v>23.682245000000002</v>
      </c>
      <c r="O261">
        <v>23.146972999999999</v>
      </c>
      <c r="P261">
        <v>5208028.5726100001</v>
      </c>
      <c r="Q261">
        <v>34.203457</v>
      </c>
      <c r="R261">
        <v>5571267.5076818196</v>
      </c>
      <c r="S261">
        <v>6500677.80369737</v>
      </c>
      <c r="T261" t="s">
        <v>96</v>
      </c>
      <c r="U261" t="s">
        <v>1088</v>
      </c>
      <c r="V261">
        <v>1</v>
      </c>
      <c r="W261">
        <v>2.5939999999999999</v>
      </c>
      <c r="X261">
        <v>3.0720000000000001</v>
      </c>
      <c r="Y261">
        <v>0.45</v>
      </c>
      <c r="Z261" s="3">
        <v>2124784189.4400001</v>
      </c>
      <c r="AA261">
        <v>0</v>
      </c>
      <c r="AB261">
        <v>0</v>
      </c>
      <c r="AC261">
        <v>8.7208062500000008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</row>
    <row r="262" spans="1:54" x14ac:dyDescent="0.25">
      <c r="A262">
        <v>253</v>
      </c>
      <c r="B262" t="s">
        <v>612</v>
      </c>
      <c r="C262" t="s">
        <v>822</v>
      </c>
      <c r="D262" t="s">
        <v>1031</v>
      </c>
      <c r="E262" t="s">
        <v>91</v>
      </c>
      <c r="F262">
        <v>128344238</v>
      </c>
      <c r="G262">
        <v>19.47</v>
      </c>
      <c r="H262" t="s">
        <v>97</v>
      </c>
      <c r="I262">
        <v>11866342.467019601</v>
      </c>
      <c r="J262">
        <v>9853321.5879999995</v>
      </c>
      <c r="M262">
        <v>13988417.3864394</v>
      </c>
      <c r="N262">
        <v>31.465924999999999</v>
      </c>
      <c r="O262">
        <v>32.901980000000002</v>
      </c>
      <c r="P262">
        <v>10755588.851299999</v>
      </c>
      <c r="Q262">
        <v>33.859050000000003</v>
      </c>
      <c r="R262">
        <v>10302089.4271212</v>
      </c>
      <c r="S262">
        <v>12006081.856218699</v>
      </c>
      <c r="T262" t="s">
        <v>96</v>
      </c>
      <c r="U262" t="s">
        <v>1242</v>
      </c>
      <c r="V262">
        <v>1</v>
      </c>
      <c r="W262">
        <v>20.3</v>
      </c>
      <c r="X262">
        <v>19.47</v>
      </c>
      <c r="Y262">
        <v>0.85000000000000009</v>
      </c>
      <c r="Z262" s="3">
        <v>2124032966.7809999</v>
      </c>
      <c r="AA262">
        <v>0</v>
      </c>
      <c r="AB262">
        <v>0</v>
      </c>
      <c r="AC262">
        <v>13.777239639999999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</row>
    <row r="263" spans="1:54" x14ac:dyDescent="0.25">
      <c r="A263">
        <v>45</v>
      </c>
      <c r="B263" t="s">
        <v>467</v>
      </c>
      <c r="C263" t="s">
        <v>679</v>
      </c>
      <c r="D263" t="s">
        <v>888</v>
      </c>
      <c r="E263" t="s">
        <v>91</v>
      </c>
      <c r="F263">
        <v>272000000</v>
      </c>
      <c r="G263">
        <v>7.6449999999999996</v>
      </c>
      <c r="H263" t="s">
        <v>97</v>
      </c>
      <c r="I263">
        <v>6222419.0291627403</v>
      </c>
      <c r="J263">
        <v>5001089.53916666</v>
      </c>
      <c r="M263">
        <v>7208509.0312121203</v>
      </c>
      <c r="N263">
        <v>36.675353999999999</v>
      </c>
      <c r="O263">
        <v>38.882976999999997</v>
      </c>
      <c r="P263">
        <v>7149861.7374</v>
      </c>
      <c r="Q263">
        <v>36.519077000000003</v>
      </c>
      <c r="R263">
        <v>7266245.2727272697</v>
      </c>
      <c r="S263">
        <v>8474667.0883734208</v>
      </c>
      <c r="T263" t="s">
        <v>96</v>
      </c>
      <c r="U263" t="s">
        <v>1097</v>
      </c>
      <c r="V263">
        <v>1</v>
      </c>
      <c r="W263">
        <v>9.02</v>
      </c>
      <c r="X263">
        <v>7.6449999999999996</v>
      </c>
      <c r="Y263">
        <v>1</v>
      </c>
      <c r="Z263" s="3">
        <v>2079440000</v>
      </c>
      <c r="AA263">
        <v>0</v>
      </c>
      <c r="AB263">
        <v>0</v>
      </c>
      <c r="AC263">
        <v>23.55845386</v>
      </c>
      <c r="AD263">
        <v>2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</row>
    <row r="264" spans="1:54" x14ac:dyDescent="0.25">
      <c r="A264">
        <v>212</v>
      </c>
      <c r="B264" t="s">
        <v>587</v>
      </c>
      <c r="C264" t="s">
        <v>797</v>
      </c>
      <c r="D264" t="s">
        <v>1006</v>
      </c>
      <c r="E264" t="s">
        <v>93</v>
      </c>
      <c r="F264">
        <v>1000000000</v>
      </c>
      <c r="G264">
        <v>5.9320000000000004</v>
      </c>
      <c r="H264" t="s">
        <v>97</v>
      </c>
      <c r="I264">
        <v>12303575.171101199</v>
      </c>
      <c r="J264">
        <v>8878791.28606667</v>
      </c>
      <c r="M264">
        <v>11399724.2388626</v>
      </c>
      <c r="N264">
        <v>17.274463999999998</v>
      </c>
      <c r="O264">
        <v>15.019602000000001</v>
      </c>
      <c r="P264">
        <v>10757110.76496</v>
      </c>
      <c r="Q264">
        <v>21.684296</v>
      </c>
      <c r="R264">
        <v>11763946.4443636</v>
      </c>
      <c r="S264">
        <v>13731532.4358676</v>
      </c>
      <c r="T264" t="s">
        <v>96</v>
      </c>
      <c r="U264" t="s">
        <v>1217</v>
      </c>
      <c r="V264">
        <v>1</v>
      </c>
      <c r="W264">
        <v>5.9740000000000002</v>
      </c>
      <c r="X264">
        <v>5.9320000000000004</v>
      </c>
      <c r="Y264">
        <v>0.35</v>
      </c>
      <c r="Z264" s="3">
        <v>2076200000</v>
      </c>
      <c r="AA264">
        <v>0</v>
      </c>
      <c r="AB264">
        <v>0</v>
      </c>
      <c r="AC264">
        <v>8.0401799999999994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</row>
    <row r="265" spans="1:54" x14ac:dyDescent="0.25">
      <c r="A265">
        <v>297</v>
      </c>
      <c r="B265" t="s">
        <v>643</v>
      </c>
      <c r="C265" t="s">
        <v>853</v>
      </c>
      <c r="D265" t="s">
        <v>1062</v>
      </c>
      <c r="E265" t="s">
        <v>89</v>
      </c>
      <c r="F265">
        <v>44512038</v>
      </c>
      <c r="G265">
        <v>77.3</v>
      </c>
      <c r="H265" t="s">
        <v>97</v>
      </c>
      <c r="I265">
        <v>3753445.1177451001</v>
      </c>
      <c r="J265">
        <v>3439712.48833333</v>
      </c>
      <c r="M265">
        <v>3629933.5899621202</v>
      </c>
      <c r="N265">
        <v>21.994247000000001</v>
      </c>
      <c r="O265">
        <v>23.673897</v>
      </c>
      <c r="P265">
        <v>3597508.48575</v>
      </c>
      <c r="Q265">
        <v>24.131730999999998</v>
      </c>
      <c r="R265">
        <v>3601504.2715909099</v>
      </c>
      <c r="S265">
        <v>4203033.8504381096</v>
      </c>
      <c r="T265" t="s">
        <v>96</v>
      </c>
      <c r="U265" t="s">
        <v>1273</v>
      </c>
      <c r="V265">
        <v>1</v>
      </c>
      <c r="W265">
        <v>81.099999999999994</v>
      </c>
      <c r="X265">
        <v>77.3</v>
      </c>
      <c r="Y265">
        <v>0.60000000000000009</v>
      </c>
      <c r="Z265" s="3">
        <v>2064468322.4400001</v>
      </c>
      <c r="AA265">
        <v>0</v>
      </c>
      <c r="AB265">
        <v>0</v>
      </c>
      <c r="AC265">
        <v>9.7939423100000003</v>
      </c>
      <c r="AD265">
        <v>2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</row>
    <row r="266" spans="1:54" x14ac:dyDescent="0.25">
      <c r="A266">
        <v>186</v>
      </c>
      <c r="B266" t="s">
        <v>568</v>
      </c>
      <c r="C266" t="s">
        <v>779</v>
      </c>
      <c r="D266" t="s">
        <v>988</v>
      </c>
      <c r="E266" t="s">
        <v>93</v>
      </c>
      <c r="F266">
        <v>328640432</v>
      </c>
      <c r="G266">
        <v>12.56</v>
      </c>
      <c r="H266" t="s">
        <v>97</v>
      </c>
      <c r="I266">
        <v>6443480.5429563597</v>
      </c>
      <c r="J266">
        <v>4668608.3590000002</v>
      </c>
      <c r="M266">
        <v>5950397.7756870203</v>
      </c>
      <c r="N266">
        <v>25.138638</v>
      </c>
      <c r="O266">
        <v>26.326384000000001</v>
      </c>
      <c r="P266">
        <v>5244600.9850000003</v>
      </c>
      <c r="Q266">
        <v>33.705745999999998</v>
      </c>
      <c r="R266">
        <v>5367140.5198484799</v>
      </c>
      <c r="S266">
        <v>6248168.5033473801</v>
      </c>
      <c r="T266" t="s">
        <v>96</v>
      </c>
      <c r="U266" t="s">
        <v>1198</v>
      </c>
      <c r="V266">
        <v>1</v>
      </c>
      <c r="W266">
        <v>12.67</v>
      </c>
      <c r="X266">
        <v>12.56</v>
      </c>
      <c r="Y266">
        <v>0.5</v>
      </c>
      <c r="Z266" s="3">
        <v>2063861912.96</v>
      </c>
      <c r="AA266">
        <v>0</v>
      </c>
      <c r="AB266">
        <v>0</v>
      </c>
      <c r="AC266">
        <v>28.222245449999999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</row>
    <row r="267" spans="1:54" x14ac:dyDescent="0.25">
      <c r="A267">
        <v>248</v>
      </c>
      <c r="B267" t="s">
        <v>610</v>
      </c>
      <c r="C267" t="s">
        <v>820</v>
      </c>
      <c r="D267" t="s">
        <v>1029</v>
      </c>
      <c r="E267" t="s">
        <v>89</v>
      </c>
      <c r="F267">
        <v>383457600</v>
      </c>
      <c r="G267">
        <v>5.6550000000000002</v>
      </c>
      <c r="H267" t="s">
        <v>97</v>
      </c>
      <c r="I267">
        <v>2783088.07174118</v>
      </c>
      <c r="J267">
        <v>3774376.0438666702</v>
      </c>
      <c r="M267">
        <v>2690471.7744697002</v>
      </c>
      <c r="N267">
        <v>44.046356000000003</v>
      </c>
      <c r="O267">
        <v>44.257626000000002</v>
      </c>
      <c r="P267">
        <v>2686273.8563049999</v>
      </c>
      <c r="Q267">
        <v>46.122368000000002</v>
      </c>
      <c r="R267">
        <v>2878635.56398485</v>
      </c>
      <c r="S267">
        <v>3353799.8870693799</v>
      </c>
      <c r="T267" t="s">
        <v>96</v>
      </c>
      <c r="U267" t="s">
        <v>1240</v>
      </c>
      <c r="V267">
        <v>1</v>
      </c>
      <c r="W267">
        <v>5.23</v>
      </c>
      <c r="X267">
        <v>5.6550000000000002</v>
      </c>
      <c r="Y267">
        <v>0.95000000000000007</v>
      </c>
      <c r="Z267" s="3">
        <v>2060030091.5999999</v>
      </c>
      <c r="AA267">
        <v>0</v>
      </c>
      <c r="AB267">
        <v>0</v>
      </c>
      <c r="AC267">
        <v>14.926125000000001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</row>
    <row r="268" spans="1:54" x14ac:dyDescent="0.25">
      <c r="A268">
        <v>38</v>
      </c>
      <c r="B268" t="s">
        <v>461</v>
      </c>
      <c r="C268" t="s">
        <v>673</v>
      </c>
      <c r="D268" t="s">
        <v>882</v>
      </c>
      <c r="E268" t="s">
        <v>88</v>
      </c>
      <c r="F268">
        <v>100050990</v>
      </c>
      <c r="G268">
        <v>36.9</v>
      </c>
      <c r="H268" t="s">
        <v>97</v>
      </c>
      <c r="I268">
        <v>20381899.903616998</v>
      </c>
      <c r="J268">
        <v>8500731.8880000003</v>
      </c>
      <c r="M268">
        <v>20381899.903616998</v>
      </c>
      <c r="N268">
        <v>46.747996999999998</v>
      </c>
      <c r="O268">
        <v>46.747996999999998</v>
      </c>
      <c r="P268">
        <v>20381899.903616998</v>
      </c>
      <c r="Q268">
        <v>46.747996999999998</v>
      </c>
      <c r="R268">
        <v>20381899.903616998</v>
      </c>
      <c r="S268">
        <v>23842996.2616276</v>
      </c>
      <c r="T268" t="s">
        <v>96</v>
      </c>
      <c r="U268" t="s">
        <v>1091</v>
      </c>
      <c r="V268">
        <v>1</v>
      </c>
      <c r="W268">
        <v>42.68</v>
      </c>
      <c r="X268">
        <v>36.9</v>
      </c>
      <c r="Y268">
        <v>0.55000000000000004</v>
      </c>
      <c r="Z268" s="3">
        <v>2030534842.05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</row>
    <row r="269" spans="1:54" x14ac:dyDescent="0.25">
      <c r="A269">
        <v>201</v>
      </c>
      <c r="B269" t="s">
        <v>580</v>
      </c>
      <c r="C269" t="s">
        <v>790</v>
      </c>
      <c r="D269" t="s">
        <v>999</v>
      </c>
      <c r="E269" t="s">
        <v>93</v>
      </c>
      <c r="F269">
        <v>1172545414</v>
      </c>
      <c r="G269">
        <v>3.7919999999999998</v>
      </c>
      <c r="H269" t="s">
        <v>97</v>
      </c>
      <c r="I269">
        <v>33536187.893488102</v>
      </c>
      <c r="J269">
        <v>49051295.5480332</v>
      </c>
      <c r="M269">
        <v>33202180.499545801</v>
      </c>
      <c r="N269">
        <v>29.326761000000001</v>
      </c>
      <c r="O269">
        <v>29.978676</v>
      </c>
      <c r="P269">
        <v>32552187.039019998</v>
      </c>
      <c r="Q269">
        <v>35.002609999999997</v>
      </c>
      <c r="R269">
        <v>35373208.791060597</v>
      </c>
      <c r="S269">
        <v>41205760.263240904</v>
      </c>
      <c r="T269" t="s">
        <v>96</v>
      </c>
      <c r="U269" t="s">
        <v>1210</v>
      </c>
      <c r="V269">
        <v>1</v>
      </c>
      <c r="W269">
        <v>4.0060000000000002</v>
      </c>
      <c r="X269">
        <v>3.7919999999999998</v>
      </c>
      <c r="Y269">
        <v>0.45</v>
      </c>
      <c r="Z269" s="3">
        <v>2000831494.4496</v>
      </c>
      <c r="AA269">
        <v>0</v>
      </c>
      <c r="AB269">
        <v>0</v>
      </c>
      <c r="AC269">
        <v>22.177595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</row>
    <row r="270" spans="1:54" x14ac:dyDescent="0.25">
      <c r="A270">
        <v>124</v>
      </c>
      <c r="B270" t="s">
        <v>523</v>
      </c>
      <c r="C270" t="s">
        <v>734</v>
      </c>
      <c r="D270" t="s">
        <v>943</v>
      </c>
      <c r="E270" t="s">
        <v>90</v>
      </c>
      <c r="F270">
        <v>192129070</v>
      </c>
      <c r="G270">
        <v>23.08</v>
      </c>
      <c r="H270" t="s">
        <v>97</v>
      </c>
      <c r="I270">
        <v>7130279.5814313702</v>
      </c>
      <c r="J270">
        <v>5743717.1960000005</v>
      </c>
      <c r="M270">
        <v>6622754.0200757496</v>
      </c>
      <c r="N270">
        <v>27.132677000000001</v>
      </c>
      <c r="O270">
        <v>28.32197</v>
      </c>
      <c r="P270">
        <v>5962722.2652000003</v>
      </c>
      <c r="Q270">
        <v>31.471191000000001</v>
      </c>
      <c r="R270">
        <v>5779755.8416666696</v>
      </c>
      <c r="S270">
        <v>6728926.4620745098</v>
      </c>
      <c r="T270" t="s">
        <v>96</v>
      </c>
      <c r="U270" t="s">
        <v>1153</v>
      </c>
      <c r="V270">
        <v>1</v>
      </c>
      <c r="W270">
        <v>23.16</v>
      </c>
      <c r="X270">
        <v>23.08</v>
      </c>
      <c r="Y270">
        <v>0.45</v>
      </c>
      <c r="Z270" s="3">
        <v>1995452521.02</v>
      </c>
      <c r="AA270">
        <v>0</v>
      </c>
      <c r="AB270">
        <v>0</v>
      </c>
      <c r="AC270">
        <v>23.57982063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</row>
    <row r="271" spans="1:54" x14ac:dyDescent="0.25">
      <c r="A271">
        <v>26</v>
      </c>
      <c r="B271" t="s">
        <v>452</v>
      </c>
      <c r="C271" t="s">
        <v>664</v>
      </c>
      <c r="D271" t="s">
        <v>873</v>
      </c>
      <c r="E271" t="s">
        <v>89</v>
      </c>
      <c r="F271">
        <v>35343326</v>
      </c>
      <c r="G271">
        <v>64.8</v>
      </c>
      <c r="H271" t="s">
        <v>97</v>
      </c>
      <c r="I271">
        <v>3859277.7357843202</v>
      </c>
      <c r="J271">
        <v>4033029.72</v>
      </c>
      <c r="M271">
        <v>3542972.6875</v>
      </c>
      <c r="N271">
        <v>28.495096</v>
      </c>
      <c r="O271">
        <v>28.599943</v>
      </c>
      <c r="P271">
        <v>3590671.4937499999</v>
      </c>
      <c r="Q271">
        <v>36.466090000000001</v>
      </c>
      <c r="R271">
        <v>3965310.8556818198</v>
      </c>
      <c r="S271">
        <v>4618341.7751366599</v>
      </c>
      <c r="T271" t="s">
        <v>96</v>
      </c>
      <c r="U271" t="s">
        <v>1082</v>
      </c>
      <c r="V271">
        <v>1</v>
      </c>
      <c r="W271">
        <v>73</v>
      </c>
      <c r="X271">
        <v>64.8</v>
      </c>
      <c r="Y271">
        <v>0.85000000000000009</v>
      </c>
      <c r="Z271" s="3">
        <v>1946710396.0799999</v>
      </c>
      <c r="AA271">
        <v>0</v>
      </c>
      <c r="AB271">
        <v>0</v>
      </c>
      <c r="AC271">
        <v>17.645700000000001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</row>
    <row r="272" spans="1:54" x14ac:dyDescent="0.25">
      <c r="A272">
        <v>123</v>
      </c>
      <c r="B272" t="s">
        <v>522</v>
      </c>
      <c r="C272" t="s">
        <v>733</v>
      </c>
      <c r="D272" t="s">
        <v>942</v>
      </c>
      <c r="E272" t="s">
        <v>92</v>
      </c>
      <c r="F272">
        <v>84000000</v>
      </c>
      <c r="G272">
        <v>53</v>
      </c>
      <c r="H272" t="s">
        <v>97</v>
      </c>
      <c r="I272">
        <v>75155.840476190497</v>
      </c>
      <c r="J272">
        <v>33415.213333333297</v>
      </c>
      <c r="M272">
        <v>85432.868181818194</v>
      </c>
      <c r="N272">
        <v>21.176950000000001</v>
      </c>
      <c r="O272">
        <v>21.756851000000001</v>
      </c>
      <c r="P272">
        <v>95136.392000000007</v>
      </c>
      <c r="Q272">
        <v>22.035782000000001</v>
      </c>
      <c r="R272">
        <v>96474.418181818197</v>
      </c>
      <c r="S272">
        <v>112794.81500183399</v>
      </c>
      <c r="T272" t="s">
        <v>96</v>
      </c>
      <c r="U272" t="s">
        <v>1152</v>
      </c>
      <c r="V272">
        <v>1</v>
      </c>
      <c r="W272">
        <v>54.8</v>
      </c>
      <c r="Y272">
        <v>1</v>
      </c>
      <c r="AA272">
        <v>0</v>
      </c>
      <c r="AB272">
        <v>0</v>
      </c>
      <c r="AC272">
        <v>22.02930787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</row>
    <row r="273" spans="1:54" x14ac:dyDescent="0.25">
      <c r="A273">
        <v>185</v>
      </c>
      <c r="B273" t="s">
        <v>567</v>
      </c>
      <c r="C273" t="s">
        <v>778</v>
      </c>
      <c r="D273" t="s">
        <v>987</v>
      </c>
      <c r="E273" t="s">
        <v>91</v>
      </c>
      <c r="F273">
        <v>612259739</v>
      </c>
      <c r="G273">
        <v>13.44768515</v>
      </c>
      <c r="H273" t="s">
        <v>97</v>
      </c>
      <c r="I273">
        <v>3650398.736</v>
      </c>
      <c r="J273">
        <v>3201151.1850000001</v>
      </c>
      <c r="M273">
        <v>2968536.1639999999</v>
      </c>
      <c r="N273">
        <v>0.80589823100000002</v>
      </c>
      <c r="O273">
        <v>0.83060940299999997</v>
      </c>
      <c r="P273">
        <v>3084673.1460000002</v>
      </c>
      <c r="Q273">
        <v>0.98213662300000004</v>
      </c>
      <c r="R273">
        <v>3230482.8470000001</v>
      </c>
      <c r="S273">
        <v>0</v>
      </c>
      <c r="T273" t="s">
        <v>96</v>
      </c>
      <c r="U273" t="s">
        <v>1197</v>
      </c>
      <c r="V273">
        <v>1</v>
      </c>
      <c r="W273">
        <v>13.78</v>
      </c>
      <c r="Y273">
        <v>0.8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</row>
  </sheetData>
  <autoFilter ref="A1:BB273" xr:uid="{00000000-0001-0000-0700-000000000000}">
    <sortState xmlns:xlrd2="http://schemas.microsoft.com/office/spreadsheetml/2017/richdata2" ref="A2:BB273">
      <sortCondition descending="1" ref="Z1:Z273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301"/>
  <sheetViews>
    <sheetView tabSelected="1" topLeftCell="AI1" workbookViewId="0">
      <selection activeCell="AK12" sqref="AK12"/>
    </sheetView>
  </sheetViews>
  <sheetFormatPr defaultRowHeight="15" x14ac:dyDescent="0.25"/>
  <cols>
    <col min="1" max="1" width="9.85546875" bestFit="1" customWidth="1"/>
    <col min="2" max="2" width="10.85546875" bestFit="1" customWidth="1"/>
    <col min="3" max="3" width="24.140625" bestFit="1" customWidth="1"/>
    <col min="4" max="4" width="24.140625" customWidth="1"/>
    <col min="5" max="5" width="16.28515625" bestFit="1" customWidth="1"/>
    <col min="7" max="7" width="21.5703125" hidden="1" customWidth="1"/>
    <col min="8" max="8" width="12" hidden="1" customWidth="1"/>
    <col min="9" max="9" width="13.42578125" hidden="1" customWidth="1"/>
    <col min="10" max="10" width="31.42578125" hidden="1" customWidth="1"/>
    <col min="11" max="12" width="25.28515625" hidden="1" customWidth="1"/>
    <col min="13" max="13" width="24.28515625" hidden="1" customWidth="1"/>
    <col min="14" max="14" width="30.42578125" hidden="1" customWidth="1"/>
    <col min="15" max="16" width="21.42578125" hidden="1" customWidth="1"/>
    <col min="17" max="17" width="26.42578125" hidden="1" customWidth="1"/>
    <col min="18" max="18" width="21.42578125" hidden="1" customWidth="1"/>
    <col min="19" max="19" width="31.5703125" hidden="1" customWidth="1"/>
    <col min="20" max="20" width="31.7109375" hidden="1" customWidth="1"/>
    <col min="21" max="21" width="27.7109375" hidden="1" customWidth="1"/>
    <col min="22" max="22" width="13.140625" hidden="1" customWidth="1"/>
    <col min="23" max="23" width="17" bestFit="1" customWidth="1"/>
    <col min="24" max="24" width="18.42578125" bestFit="1" customWidth="1"/>
    <col min="25" max="25" width="17.140625" bestFit="1" customWidth="1"/>
    <col min="26" max="26" width="21.28515625" bestFit="1" customWidth="1"/>
    <col min="27" max="27" width="14.140625" bestFit="1" customWidth="1"/>
    <col min="28" max="29" width="14.140625" customWidth="1"/>
    <col min="30" max="30" width="97" bestFit="1" customWidth="1"/>
    <col min="31" max="31" width="90.42578125" bestFit="1" customWidth="1"/>
    <col min="32" max="32" width="32.42578125" bestFit="1" customWidth="1"/>
    <col min="33" max="33" width="59.42578125" bestFit="1" customWidth="1"/>
    <col min="34" max="34" width="98.42578125" bestFit="1" customWidth="1"/>
    <col min="35" max="35" width="69" bestFit="1" customWidth="1"/>
    <col min="36" max="36" width="62.85546875" bestFit="1" customWidth="1"/>
    <col min="37" max="37" width="66.140625" bestFit="1" customWidth="1"/>
    <col min="38" max="38" width="86.28515625" bestFit="1" customWidth="1"/>
    <col min="39" max="39" width="90.5703125" bestFit="1" customWidth="1"/>
    <col min="40" max="40" width="60.5703125" bestFit="1" customWidth="1"/>
    <col min="41" max="41" width="70.85546875" bestFit="1" customWidth="1"/>
    <col min="42" max="42" width="68" bestFit="1" customWidth="1"/>
    <col min="43" max="43" width="63.28515625" bestFit="1" customWidth="1"/>
    <col min="44" max="44" width="20.7109375" bestFit="1" customWidth="1"/>
    <col min="45" max="45" width="28.140625" bestFit="1" customWidth="1"/>
    <col min="46" max="46" width="23" bestFit="1" customWidth="1"/>
    <col min="47" max="47" width="26.42578125" bestFit="1" customWidth="1"/>
    <col min="48" max="48" width="24.7109375" bestFit="1" customWidth="1"/>
    <col min="49" max="49" width="35.5703125" bestFit="1" customWidth="1"/>
    <col min="50" max="50" width="40.140625" bestFit="1" customWidth="1"/>
    <col min="51" max="51" width="27.7109375" bestFit="1" customWidth="1"/>
    <col min="52" max="52" width="32.28515625" bestFit="1" customWidth="1"/>
    <col min="53" max="53" width="18.5703125" bestFit="1" customWidth="1"/>
    <col min="54" max="54" width="22.28515625" bestFit="1" customWidth="1"/>
    <col min="55" max="55" width="32.28515625" bestFit="1" customWidth="1"/>
    <col min="56" max="56" width="28.85546875" bestFit="1" customWidth="1"/>
    <col min="57" max="57" width="13.7109375" bestFit="1" customWidth="1"/>
  </cols>
  <sheetData>
    <row r="1" spans="1:57" x14ac:dyDescent="0.25">
      <c r="A1" s="1" t="s">
        <v>111</v>
      </c>
      <c r="B1" s="1" t="s">
        <v>112</v>
      </c>
      <c r="C1" s="1" t="s">
        <v>0</v>
      </c>
      <c r="D1" s="1"/>
      <c r="E1" s="1" t="s">
        <v>98</v>
      </c>
      <c r="F1" s="1" t="s">
        <v>2</v>
      </c>
      <c r="G1" s="1" t="s">
        <v>3</v>
      </c>
      <c r="H1" s="1" t="s">
        <v>113</v>
      </c>
      <c r="I1" s="1" t="s">
        <v>7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6</v>
      </c>
      <c r="V1" s="1" t="s">
        <v>125</v>
      </c>
      <c r="W1" s="1" t="s">
        <v>126</v>
      </c>
      <c r="X1" s="1" t="s">
        <v>127</v>
      </c>
      <c r="Y1" s="1" t="s">
        <v>128</v>
      </c>
      <c r="Z1" s="1" t="s">
        <v>129</v>
      </c>
      <c r="AA1" s="1" t="s">
        <v>130</v>
      </c>
      <c r="AB1" s="1"/>
      <c r="AC1" s="1" t="s">
        <v>133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</row>
    <row r="2" spans="1:57" x14ac:dyDescent="0.25">
      <c r="A2">
        <v>36</v>
      </c>
      <c r="B2" t="s">
        <v>167</v>
      </c>
      <c r="C2" t="s">
        <v>12</v>
      </c>
      <c r="E2" t="s">
        <v>52</v>
      </c>
      <c r="F2" t="s">
        <v>91</v>
      </c>
      <c r="G2">
        <v>388147674</v>
      </c>
      <c r="H2">
        <v>834</v>
      </c>
      <c r="I2" t="s">
        <v>97</v>
      </c>
      <c r="J2">
        <v>507485028.18274498</v>
      </c>
      <c r="K2">
        <v>519075447.359999</v>
      </c>
      <c r="N2">
        <v>476870092.68939298</v>
      </c>
      <c r="O2">
        <v>35.690429999999999</v>
      </c>
      <c r="P2">
        <v>37.997826000000003</v>
      </c>
      <c r="Q2">
        <v>498206589.87099898</v>
      </c>
      <c r="R2">
        <v>36.628566999999997</v>
      </c>
      <c r="S2">
        <v>539381837.15833199</v>
      </c>
      <c r="T2">
        <v>628790744.55153298</v>
      </c>
      <c r="U2" t="s">
        <v>96</v>
      </c>
      <c r="V2" t="s">
        <v>207</v>
      </c>
      <c r="W2">
        <v>1</v>
      </c>
      <c r="X2">
        <v>908.6</v>
      </c>
      <c r="Y2">
        <v>834</v>
      </c>
      <c r="Z2">
        <v>1</v>
      </c>
      <c r="AA2">
        <v>323715160116</v>
      </c>
      <c r="AB2">
        <f>_xlfn.XLOOKUP(E2,[2]generation_steps!$C$2:$C$5101,[2]generation_steps!$G$2:$G$5101)</f>
        <v>323715160116</v>
      </c>
      <c r="AC2">
        <v>8.9289450000000006</v>
      </c>
      <c r="AD2">
        <v>0</v>
      </c>
      <c r="AE2">
        <v>0</v>
      </c>
      <c r="AF2">
        <v>8.9289450000000006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</row>
    <row r="3" spans="1:57" x14ac:dyDescent="0.25">
      <c r="A3">
        <v>240</v>
      </c>
      <c r="B3" t="s">
        <v>177</v>
      </c>
      <c r="C3" t="s">
        <v>41</v>
      </c>
      <c r="E3" t="s">
        <v>81</v>
      </c>
      <c r="F3" t="s">
        <v>88</v>
      </c>
      <c r="G3">
        <v>1228504300</v>
      </c>
      <c r="H3">
        <v>205</v>
      </c>
      <c r="I3" t="s">
        <v>97</v>
      </c>
      <c r="J3">
        <v>395853899.51620603</v>
      </c>
      <c r="K3">
        <v>268025642.47166699</v>
      </c>
      <c r="N3">
        <v>348416609.12954497</v>
      </c>
      <c r="O3">
        <v>27.421091000000001</v>
      </c>
      <c r="P3">
        <v>28.854689</v>
      </c>
      <c r="Q3">
        <v>325568946.30524999</v>
      </c>
      <c r="R3">
        <v>31.971903000000001</v>
      </c>
      <c r="S3">
        <v>322309689.85303003</v>
      </c>
      <c r="T3">
        <v>376029939.132653</v>
      </c>
      <c r="U3" t="s">
        <v>96</v>
      </c>
      <c r="V3" t="s">
        <v>217</v>
      </c>
      <c r="W3">
        <v>1</v>
      </c>
      <c r="X3">
        <v>206.65</v>
      </c>
      <c r="Y3">
        <v>205</v>
      </c>
      <c r="Z3">
        <v>0.9</v>
      </c>
      <c r="AA3">
        <v>226659043350</v>
      </c>
      <c r="AB3">
        <f>_xlfn.XLOOKUP(E3,[2]generation_steps!$C$2:$C$5101,[2]generation_steps!$G$2:$G$5101)</f>
        <v>226659043350</v>
      </c>
      <c r="AC3">
        <v>11.225540000000001</v>
      </c>
      <c r="AD3">
        <v>0</v>
      </c>
      <c r="AE3">
        <v>0</v>
      </c>
      <c r="AF3">
        <v>11.225540000000001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</row>
    <row r="4" spans="1:57" x14ac:dyDescent="0.25">
      <c r="A4">
        <v>249</v>
      </c>
      <c r="B4" t="s">
        <v>340</v>
      </c>
      <c r="C4" t="s">
        <v>368</v>
      </c>
      <c r="E4" t="s">
        <v>396</v>
      </c>
      <c r="F4" t="s">
        <v>91</v>
      </c>
      <c r="G4">
        <v>5977723229</v>
      </c>
      <c r="H4">
        <v>31.774999999999999</v>
      </c>
      <c r="I4" t="s">
        <v>97</v>
      </c>
      <c r="J4">
        <v>174086225.613637</v>
      </c>
      <c r="K4">
        <v>169329266.650166</v>
      </c>
      <c r="N4">
        <v>149643206.46572</v>
      </c>
      <c r="O4">
        <v>17.12968</v>
      </c>
      <c r="P4">
        <v>16.406609</v>
      </c>
      <c r="Q4">
        <v>149490466.630375</v>
      </c>
      <c r="R4">
        <v>22.196853999999998</v>
      </c>
      <c r="S4">
        <v>158275615.95306799</v>
      </c>
      <c r="T4">
        <v>184421550.05613601</v>
      </c>
      <c r="U4" t="s">
        <v>96</v>
      </c>
      <c r="V4" t="s">
        <v>425</v>
      </c>
      <c r="W4">
        <v>1</v>
      </c>
      <c r="X4">
        <v>30.1</v>
      </c>
      <c r="Y4">
        <v>31.774999999999999</v>
      </c>
      <c r="Z4">
        <v>1</v>
      </c>
      <c r="AA4">
        <v>189942155601.47501</v>
      </c>
      <c r="AB4">
        <f>_xlfn.XLOOKUP(E4,[2]generation_steps!$C$2:$C$5101,[2]generation_steps!$G$2:$G$5101)</f>
        <v>189942155601.47501</v>
      </c>
      <c r="AC4">
        <v>31.377847500000001</v>
      </c>
      <c r="AD4">
        <v>0</v>
      </c>
      <c r="AE4">
        <v>0</v>
      </c>
      <c r="AF4">
        <v>31.377847500000001</v>
      </c>
      <c r="AG4">
        <v>4</v>
      </c>
      <c r="AH4">
        <v>0</v>
      </c>
      <c r="AI4">
        <v>0</v>
      </c>
      <c r="AJ4" t="s">
        <v>434</v>
      </c>
      <c r="AK4" t="s">
        <v>319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1</v>
      </c>
    </row>
    <row r="5" spans="1:57" x14ac:dyDescent="0.25">
      <c r="A5">
        <v>250</v>
      </c>
      <c r="B5" t="s">
        <v>257</v>
      </c>
      <c r="C5" t="s">
        <v>274</v>
      </c>
      <c r="E5" t="s">
        <v>291</v>
      </c>
      <c r="F5" t="s">
        <v>88</v>
      </c>
      <c r="G5">
        <v>800000000</v>
      </c>
      <c r="H5">
        <v>219.15</v>
      </c>
      <c r="I5" t="s">
        <v>97</v>
      </c>
      <c r="J5">
        <v>264848633.28389299</v>
      </c>
      <c r="K5">
        <v>268313966.54666701</v>
      </c>
      <c r="N5">
        <v>218932841.02083299</v>
      </c>
      <c r="O5">
        <v>28.991219999999998</v>
      </c>
      <c r="P5">
        <v>30.539899999999999</v>
      </c>
      <c r="Q5">
        <v>210631163.00424999</v>
      </c>
      <c r="R5">
        <v>32.528100000000002</v>
      </c>
      <c r="S5">
        <v>213773879.309091</v>
      </c>
      <c r="T5">
        <v>249155427.71931601</v>
      </c>
      <c r="U5" t="s">
        <v>96</v>
      </c>
      <c r="V5" t="s">
        <v>312</v>
      </c>
      <c r="W5">
        <v>1</v>
      </c>
      <c r="X5">
        <v>237.5</v>
      </c>
      <c r="Y5">
        <v>219.15</v>
      </c>
      <c r="Z5">
        <v>0.95</v>
      </c>
      <c r="AA5">
        <v>166554000000</v>
      </c>
      <c r="AB5">
        <f>_xlfn.XLOOKUP(E5,[2]generation_steps!$C$2:$C$5101,[2]generation_steps!$G$2:$G$5101)</f>
        <v>166554000000</v>
      </c>
      <c r="AC5">
        <v>22.9672175</v>
      </c>
      <c r="AD5">
        <v>0</v>
      </c>
      <c r="AE5">
        <v>0</v>
      </c>
      <c r="AF5">
        <v>22.9672175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</row>
    <row r="6" spans="1:57" x14ac:dyDescent="0.25">
      <c r="A6">
        <v>184</v>
      </c>
      <c r="B6" t="s">
        <v>190</v>
      </c>
      <c r="C6" t="s">
        <v>32</v>
      </c>
      <c r="E6" t="s">
        <v>72</v>
      </c>
      <c r="F6" t="s">
        <v>89</v>
      </c>
      <c r="G6">
        <v>497686940</v>
      </c>
      <c r="H6">
        <v>623</v>
      </c>
      <c r="I6" t="s">
        <v>97</v>
      </c>
      <c r="J6">
        <v>296179580.149634</v>
      </c>
      <c r="K6">
        <v>232671821.4138</v>
      </c>
      <c r="N6">
        <v>255572100.37997499</v>
      </c>
      <c r="O6">
        <v>32.682704999999999</v>
      </c>
      <c r="P6">
        <v>33.556435</v>
      </c>
      <c r="Q6">
        <v>251737340.45981699</v>
      </c>
      <c r="R6">
        <v>34.114150000000002</v>
      </c>
      <c r="S6">
        <v>269027301.10464698</v>
      </c>
      <c r="T6">
        <v>313555952.450616</v>
      </c>
      <c r="U6" t="s">
        <v>96</v>
      </c>
      <c r="V6" t="s">
        <v>230</v>
      </c>
      <c r="W6">
        <v>1</v>
      </c>
      <c r="X6">
        <v>636.5</v>
      </c>
      <c r="Y6">
        <v>623</v>
      </c>
      <c r="Z6">
        <v>0.5</v>
      </c>
      <c r="AA6">
        <v>155029481810</v>
      </c>
      <c r="AB6">
        <f>_xlfn.XLOOKUP(E6,[2]generation_steps!$C$2:$C$5101,[2]generation_steps!$G$2:$G$5101)</f>
        <v>155029481810</v>
      </c>
      <c r="AC6">
        <v>13.552071249999999</v>
      </c>
      <c r="AD6">
        <v>0</v>
      </c>
      <c r="AE6">
        <v>0</v>
      </c>
      <c r="AF6">
        <v>13.552071249999999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</row>
    <row r="7" spans="1:57" x14ac:dyDescent="0.25">
      <c r="A7">
        <v>24</v>
      </c>
      <c r="B7" t="s">
        <v>186</v>
      </c>
      <c r="C7" t="s">
        <v>10</v>
      </c>
      <c r="E7" t="s">
        <v>50</v>
      </c>
      <c r="F7" t="s">
        <v>88</v>
      </c>
      <c r="G7">
        <v>386166700</v>
      </c>
      <c r="H7">
        <v>363.1</v>
      </c>
      <c r="I7" t="s">
        <v>97</v>
      </c>
      <c r="J7">
        <v>236156018.20276701</v>
      </c>
      <c r="K7">
        <v>172849275.063333</v>
      </c>
      <c r="N7">
        <v>192105221.688636</v>
      </c>
      <c r="O7">
        <v>18.476724999999998</v>
      </c>
      <c r="P7">
        <v>19.508807999999998</v>
      </c>
      <c r="Q7">
        <v>178096131.97499999</v>
      </c>
      <c r="R7">
        <v>21.759954</v>
      </c>
      <c r="S7">
        <v>168303975.97878799</v>
      </c>
      <c r="T7">
        <v>196175264.25025299</v>
      </c>
      <c r="U7" t="s">
        <v>96</v>
      </c>
      <c r="V7" t="s">
        <v>226</v>
      </c>
      <c r="W7">
        <v>1</v>
      </c>
      <c r="X7">
        <v>383.3</v>
      </c>
      <c r="Y7">
        <v>363.1</v>
      </c>
      <c r="Z7">
        <v>1</v>
      </c>
      <c r="AA7">
        <v>140217128770</v>
      </c>
      <c r="AB7">
        <f>_xlfn.XLOOKUP(E7,[2]generation_steps!$C$2:$C$5101,[2]generation_steps!$G$2:$G$5101)</f>
        <v>140217128770</v>
      </c>
      <c r="AC7">
        <v>13.164099999999999</v>
      </c>
      <c r="AD7">
        <v>0</v>
      </c>
      <c r="AE7">
        <v>0</v>
      </c>
      <c r="AF7">
        <v>13.164099999999999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</row>
    <row r="8" spans="1:57" x14ac:dyDescent="0.25">
      <c r="A8">
        <v>283</v>
      </c>
      <c r="B8" t="s">
        <v>201</v>
      </c>
      <c r="C8" t="s">
        <v>47</v>
      </c>
      <c r="E8" t="s">
        <v>87</v>
      </c>
      <c r="F8" t="s">
        <v>91</v>
      </c>
      <c r="G8">
        <v>2637743772</v>
      </c>
      <c r="H8">
        <v>49.238591399999997</v>
      </c>
      <c r="I8" t="s">
        <v>97</v>
      </c>
      <c r="J8">
        <v>57583133.890000001</v>
      </c>
      <c r="K8">
        <v>50496488.359999999</v>
      </c>
      <c r="N8">
        <v>46827107.869999997</v>
      </c>
      <c r="O8">
        <v>12.71262377</v>
      </c>
      <c r="P8">
        <v>13.102429600000001</v>
      </c>
      <c r="Q8">
        <v>48659108.119999997</v>
      </c>
      <c r="R8">
        <v>15.492692379999999</v>
      </c>
      <c r="S8">
        <v>50959180.020000003</v>
      </c>
      <c r="T8">
        <v>0</v>
      </c>
      <c r="U8" t="s">
        <v>96</v>
      </c>
      <c r="V8" t="s">
        <v>241</v>
      </c>
      <c r="W8">
        <v>1</v>
      </c>
      <c r="X8">
        <v>54.72</v>
      </c>
      <c r="Y8">
        <v>52.36</v>
      </c>
      <c r="Z8">
        <v>1</v>
      </c>
      <c r="AA8">
        <v>138112263901.92001</v>
      </c>
      <c r="AB8">
        <f>_xlfn.XLOOKUP(E8,[2]generation_steps!$C$2:$C$5101,[2]generation_steps!$G$2:$G$5101)</f>
        <v>129878787701.27</v>
      </c>
      <c r="AC8">
        <v>16.078095000000001</v>
      </c>
      <c r="AD8">
        <v>0</v>
      </c>
      <c r="AE8">
        <v>0</v>
      </c>
      <c r="AF8">
        <v>16.078095000000001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</row>
    <row r="9" spans="1:57" x14ac:dyDescent="0.25">
      <c r="A9">
        <v>51</v>
      </c>
      <c r="B9" t="s">
        <v>173</v>
      </c>
      <c r="C9" t="s">
        <v>14</v>
      </c>
      <c r="E9" t="s">
        <v>54</v>
      </c>
      <c r="F9" t="s">
        <v>90</v>
      </c>
      <c r="G9">
        <v>14885325000</v>
      </c>
      <c r="H9">
        <v>8.8049999999999997</v>
      </c>
      <c r="I9" t="s">
        <v>97</v>
      </c>
      <c r="J9">
        <v>199340830.08776501</v>
      </c>
      <c r="K9">
        <v>248319441.05223399</v>
      </c>
      <c r="N9">
        <v>193680299.884783</v>
      </c>
      <c r="O9">
        <v>26.540150000000001</v>
      </c>
      <c r="P9">
        <v>26.308454999999999</v>
      </c>
      <c r="Q9">
        <v>199845154.79542801</v>
      </c>
      <c r="R9">
        <v>31.747720000000001</v>
      </c>
      <c r="S9">
        <v>217400667.12145901</v>
      </c>
      <c r="T9">
        <v>253325577.49467301</v>
      </c>
      <c r="U9" t="s">
        <v>96</v>
      </c>
      <c r="V9" t="s">
        <v>213</v>
      </c>
      <c r="W9">
        <v>1</v>
      </c>
      <c r="X9">
        <v>9.8170000000000002</v>
      </c>
      <c r="Y9">
        <v>8.8049999999999997</v>
      </c>
      <c r="Z9">
        <v>1</v>
      </c>
      <c r="AA9">
        <v>131065286625</v>
      </c>
      <c r="AB9">
        <f>_xlfn.XLOOKUP(E9,[2]generation_steps!$C$2:$C$5101,[2]generation_steps!$G$2:$G$5101)</f>
        <v>131065286625</v>
      </c>
      <c r="AC9">
        <v>9.8890124999999998</v>
      </c>
      <c r="AD9">
        <v>0</v>
      </c>
      <c r="AE9">
        <v>0</v>
      </c>
      <c r="AF9">
        <v>9.8890124999999998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</row>
    <row r="10" spans="1:57" x14ac:dyDescent="0.25">
      <c r="A10">
        <v>245</v>
      </c>
      <c r="B10" t="s">
        <v>164</v>
      </c>
      <c r="C10" t="s">
        <v>42</v>
      </c>
      <c r="E10" t="s">
        <v>82</v>
      </c>
      <c r="F10" t="s">
        <v>89</v>
      </c>
      <c r="G10">
        <v>577122512</v>
      </c>
      <c r="H10">
        <v>222.3</v>
      </c>
      <c r="I10" t="s">
        <v>97</v>
      </c>
      <c r="J10">
        <v>225947074.68548301</v>
      </c>
      <c r="K10">
        <v>207404730.509267</v>
      </c>
      <c r="N10">
        <v>199844949.36271399</v>
      </c>
      <c r="O10">
        <v>29.388895000000002</v>
      </c>
      <c r="P10">
        <v>29.795259999999999</v>
      </c>
      <c r="Q10">
        <v>200348532.41978201</v>
      </c>
      <c r="R10">
        <v>33.028824</v>
      </c>
      <c r="S10">
        <v>200335742.54664001</v>
      </c>
      <c r="T10">
        <v>233582043.159466</v>
      </c>
      <c r="U10" t="s">
        <v>96</v>
      </c>
      <c r="V10" t="s">
        <v>204</v>
      </c>
      <c r="W10">
        <v>1</v>
      </c>
      <c r="X10">
        <v>239.25</v>
      </c>
      <c r="Y10">
        <v>222.3</v>
      </c>
      <c r="Z10">
        <v>1</v>
      </c>
      <c r="AA10">
        <v>128294334417.60001</v>
      </c>
      <c r="AB10">
        <f>_xlfn.XLOOKUP(E10,[2]generation_steps!$C$2:$C$5101,[2]generation_steps!$G$2:$G$5101)</f>
        <v>128294334417.60001</v>
      </c>
      <c r="AC10">
        <v>7.1448087500000002</v>
      </c>
      <c r="AD10">
        <v>0</v>
      </c>
      <c r="AE10">
        <v>0</v>
      </c>
      <c r="AF10">
        <v>7.1448087500000002</v>
      </c>
      <c r="AG10">
        <v>2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</row>
    <row r="11" spans="1:57" x14ac:dyDescent="0.25">
      <c r="A11">
        <v>21</v>
      </c>
      <c r="B11" t="s">
        <v>321</v>
      </c>
      <c r="C11" t="s">
        <v>349</v>
      </c>
      <c r="E11" t="s">
        <v>377</v>
      </c>
      <c r="F11" t="s">
        <v>89</v>
      </c>
      <c r="G11">
        <v>792283683</v>
      </c>
      <c r="H11">
        <v>202.75</v>
      </c>
      <c r="I11" t="s">
        <v>97</v>
      </c>
      <c r="J11">
        <v>188719257.51472899</v>
      </c>
      <c r="K11">
        <v>167291165.44933301</v>
      </c>
      <c r="N11">
        <v>170951676.26156101</v>
      </c>
      <c r="O11">
        <v>21.418990000000001</v>
      </c>
      <c r="P11">
        <v>20.605274000000001</v>
      </c>
      <c r="Q11">
        <v>167366310.91666001</v>
      </c>
      <c r="R11">
        <v>28.784521000000002</v>
      </c>
      <c r="S11">
        <v>168850631.615242</v>
      </c>
      <c r="T11">
        <v>196902206.79192001</v>
      </c>
      <c r="U11" t="s">
        <v>96</v>
      </c>
      <c r="V11" t="s">
        <v>406</v>
      </c>
      <c r="W11">
        <v>1</v>
      </c>
      <c r="X11">
        <v>192.96</v>
      </c>
      <c r="Y11">
        <v>202.75</v>
      </c>
      <c r="Z11">
        <v>0.75</v>
      </c>
      <c r="AA11">
        <v>120476637546.1875</v>
      </c>
      <c r="AB11">
        <f>_xlfn.XLOOKUP(E11,[2]generation_steps!$C$2:$C$5101,[2]generation_steps!$G$2:$G$5101)</f>
        <v>120476637546.1875</v>
      </c>
      <c r="AC11">
        <v>20.33301788</v>
      </c>
      <c r="AD11">
        <v>0</v>
      </c>
      <c r="AE11" t="s">
        <v>433</v>
      </c>
      <c r="AF11">
        <v>20.33301788</v>
      </c>
      <c r="AG11">
        <v>2</v>
      </c>
      <c r="AH11">
        <v>0</v>
      </c>
      <c r="AI11">
        <v>3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1</v>
      </c>
    </row>
    <row r="12" spans="1:57" s="4" customFormat="1" x14ac:dyDescent="0.25">
      <c r="A12" s="4">
        <v>275</v>
      </c>
      <c r="B12" s="4" t="s">
        <v>260</v>
      </c>
      <c r="C12" s="4" t="s">
        <v>277</v>
      </c>
      <c r="E12" s="4" t="s">
        <v>294</v>
      </c>
      <c r="F12" s="4" t="s">
        <v>89</v>
      </c>
      <c r="G12" s="4">
        <v>2206585543</v>
      </c>
      <c r="H12" s="4">
        <v>55.97</v>
      </c>
      <c r="I12" s="4" t="s">
        <v>97</v>
      </c>
      <c r="J12" s="4">
        <v>237626570.41657299</v>
      </c>
      <c r="K12" s="4">
        <v>183714280.666767</v>
      </c>
      <c r="N12" s="4">
        <v>212683881.01150501</v>
      </c>
      <c r="O12" s="4">
        <v>18.864146999999999</v>
      </c>
      <c r="P12" s="4">
        <v>18.458822000000001</v>
      </c>
      <c r="Q12" s="4">
        <v>192680641.18713701</v>
      </c>
      <c r="R12" s="4">
        <v>22.570004000000001</v>
      </c>
      <c r="S12" s="4">
        <v>204092811.375662</v>
      </c>
      <c r="T12" s="4">
        <v>238066227.053754</v>
      </c>
      <c r="U12" s="4" t="s">
        <v>96</v>
      </c>
      <c r="V12" s="4" t="s">
        <v>315</v>
      </c>
      <c r="W12" s="4">
        <v>1</v>
      </c>
      <c r="X12" s="4">
        <v>54.5</v>
      </c>
      <c r="Y12" s="4">
        <v>55.97</v>
      </c>
      <c r="Z12" s="4">
        <v>0.9</v>
      </c>
      <c r="AA12" s="4">
        <v>111152333557.539</v>
      </c>
      <c r="AB12" s="4">
        <f>_xlfn.XLOOKUP(E12,[2]generation_steps!$C$2:$C$5101,[2]generation_steps!$G$2:$G$5101)</f>
        <v>111152333557.539</v>
      </c>
      <c r="AC12" s="4">
        <v>24.461062500000001</v>
      </c>
      <c r="AD12" s="4">
        <v>0</v>
      </c>
      <c r="AE12" s="4">
        <v>0</v>
      </c>
      <c r="AF12" s="4">
        <v>24.461062500000001</v>
      </c>
      <c r="AG12" s="4">
        <v>3</v>
      </c>
      <c r="AH12" s="4">
        <v>1</v>
      </c>
      <c r="AI12" s="4">
        <v>0</v>
      </c>
      <c r="AJ12" s="4">
        <v>0</v>
      </c>
      <c r="AK12" s="4" t="s">
        <v>319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1</v>
      </c>
      <c r="AR12" s="4" t="b">
        <v>0</v>
      </c>
      <c r="AS12" s="4" t="b">
        <v>0</v>
      </c>
      <c r="AT12" s="4" t="b">
        <v>0</v>
      </c>
      <c r="AU12" s="4" t="b">
        <v>0</v>
      </c>
      <c r="AV12" s="4" t="b">
        <v>0</v>
      </c>
      <c r="AW12" s="4" t="b">
        <v>0</v>
      </c>
      <c r="AX12" s="4" t="b">
        <v>0</v>
      </c>
      <c r="AY12" s="4" t="b">
        <v>0</v>
      </c>
      <c r="AZ12" s="4" t="b">
        <v>0</v>
      </c>
      <c r="BA12" s="4" t="b">
        <v>0</v>
      </c>
      <c r="BB12" s="4" t="b">
        <v>0</v>
      </c>
      <c r="BC12" s="4" t="b">
        <v>0</v>
      </c>
      <c r="BD12" s="4" t="b">
        <v>0</v>
      </c>
      <c r="BE12" s="4" t="b">
        <v>0</v>
      </c>
    </row>
    <row r="13" spans="1:57" x14ac:dyDescent="0.25">
      <c r="A13">
        <v>150</v>
      </c>
      <c r="B13" t="s">
        <v>254</v>
      </c>
      <c r="C13" t="s">
        <v>271</v>
      </c>
      <c r="E13" t="s">
        <v>288</v>
      </c>
      <c r="F13" t="s">
        <v>90</v>
      </c>
      <c r="G13">
        <v>6681227500</v>
      </c>
      <c r="H13">
        <v>17.934999999999999</v>
      </c>
      <c r="I13" t="s">
        <v>97</v>
      </c>
      <c r="J13">
        <v>155009095.523449</v>
      </c>
      <c r="K13">
        <v>137052913.82774699</v>
      </c>
      <c r="N13">
        <v>145795917.95197299</v>
      </c>
      <c r="O13">
        <v>14.332402999999999</v>
      </c>
      <c r="P13">
        <v>14.399872999999999</v>
      </c>
      <c r="Q13">
        <v>143534435.44280499</v>
      </c>
      <c r="R13">
        <v>17.798939000000001</v>
      </c>
      <c r="S13">
        <v>138769853.966824</v>
      </c>
      <c r="T13">
        <v>161812322.55946299</v>
      </c>
      <c r="U13" t="s">
        <v>96</v>
      </c>
      <c r="V13" t="s">
        <v>309</v>
      </c>
      <c r="W13">
        <v>1</v>
      </c>
      <c r="X13">
        <v>17.975000000000001</v>
      </c>
      <c r="Y13">
        <v>17.934999999999999</v>
      </c>
      <c r="Z13">
        <v>0.9</v>
      </c>
      <c r="AA13">
        <v>107845033691.25</v>
      </c>
      <c r="AB13">
        <f>_xlfn.XLOOKUP(E13,[2]generation_steps!$C$2:$C$5101,[2]generation_steps!$G$2:$G$5101)</f>
        <v>107845033691.25</v>
      </c>
      <c r="AC13">
        <v>20.991965629999999</v>
      </c>
      <c r="AD13">
        <v>0</v>
      </c>
      <c r="AE13">
        <v>0</v>
      </c>
      <c r="AF13">
        <v>20.991965629999999</v>
      </c>
      <c r="AG13">
        <v>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</row>
    <row r="14" spans="1:57" x14ac:dyDescent="0.25">
      <c r="A14">
        <v>57</v>
      </c>
      <c r="B14" t="s">
        <v>170</v>
      </c>
      <c r="C14" t="s">
        <v>15</v>
      </c>
      <c r="E14" t="s">
        <v>55</v>
      </c>
      <c r="F14" t="s">
        <v>90</v>
      </c>
      <c r="G14">
        <v>5763285600</v>
      </c>
      <c r="H14">
        <v>17.704999999999998</v>
      </c>
      <c r="I14" t="s">
        <v>97</v>
      </c>
      <c r="J14">
        <v>135662523.73262399</v>
      </c>
      <c r="K14">
        <v>367133785.72883302</v>
      </c>
      <c r="N14">
        <v>143930722.37119299</v>
      </c>
      <c r="O14">
        <v>27.777552</v>
      </c>
      <c r="P14">
        <v>28.950481</v>
      </c>
      <c r="Q14">
        <v>154705054.66154999</v>
      </c>
      <c r="R14">
        <v>31.000454000000001</v>
      </c>
      <c r="S14">
        <v>178076885.36534101</v>
      </c>
      <c r="T14">
        <v>206870092.04022601</v>
      </c>
      <c r="U14" t="s">
        <v>96</v>
      </c>
      <c r="V14" t="s">
        <v>210</v>
      </c>
      <c r="W14">
        <v>1</v>
      </c>
      <c r="X14">
        <v>19.305</v>
      </c>
      <c r="Y14">
        <v>17.704999999999998</v>
      </c>
      <c r="Z14">
        <v>1</v>
      </c>
      <c r="AA14">
        <v>102038971548</v>
      </c>
      <c r="AB14">
        <f>_xlfn.XLOOKUP(E14,[2]generation_steps!$C$2:$C$5101,[2]generation_steps!$G$2:$G$5101)</f>
        <v>102038971548</v>
      </c>
      <c r="AC14">
        <v>9.5642499999999995</v>
      </c>
      <c r="AD14">
        <v>0</v>
      </c>
      <c r="AE14">
        <v>0</v>
      </c>
      <c r="AF14">
        <v>9.5642499999999995</v>
      </c>
      <c r="AG14">
        <v>2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</row>
    <row r="15" spans="1:57" x14ac:dyDescent="0.25">
      <c r="A15">
        <v>239</v>
      </c>
      <c r="B15" t="s">
        <v>187</v>
      </c>
      <c r="C15" t="s">
        <v>40</v>
      </c>
      <c r="E15" t="s">
        <v>80</v>
      </c>
      <c r="F15" t="s">
        <v>89</v>
      </c>
      <c r="G15">
        <v>1227468973</v>
      </c>
      <c r="H15">
        <v>86.32</v>
      </c>
      <c r="I15" t="s">
        <v>97</v>
      </c>
      <c r="J15">
        <v>178130166.87086701</v>
      </c>
      <c r="K15">
        <v>147147863.87253299</v>
      </c>
      <c r="N15">
        <v>161115065.88894701</v>
      </c>
      <c r="O15">
        <v>27.717334999999999</v>
      </c>
      <c r="P15">
        <v>28.988537000000001</v>
      </c>
      <c r="Q15">
        <v>155693899.83570999</v>
      </c>
      <c r="R15">
        <v>28.241544999999999</v>
      </c>
      <c r="S15">
        <v>162557819.54956099</v>
      </c>
      <c r="T15">
        <v>189528580.930825</v>
      </c>
      <c r="U15" t="s">
        <v>96</v>
      </c>
      <c r="V15" t="s">
        <v>227</v>
      </c>
      <c r="W15">
        <v>1</v>
      </c>
      <c r="X15">
        <v>80.94</v>
      </c>
      <c r="Y15">
        <v>86.32</v>
      </c>
      <c r="Z15">
        <v>0.95000000000000007</v>
      </c>
      <c r="AA15">
        <v>100657365661.892</v>
      </c>
      <c r="AB15">
        <f>_xlfn.XLOOKUP(E15,[2]generation_steps!$C$2:$C$5101,[2]generation_steps!$G$2:$G$5101)</f>
        <v>100657365661.892</v>
      </c>
      <c r="AC15">
        <v>13.1702175</v>
      </c>
      <c r="AD15">
        <v>0</v>
      </c>
      <c r="AE15">
        <v>0</v>
      </c>
      <c r="AF15">
        <v>13.1702175</v>
      </c>
      <c r="AG15">
        <v>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</row>
    <row r="16" spans="1:57" x14ac:dyDescent="0.25">
      <c r="A16">
        <v>112</v>
      </c>
      <c r="B16" t="s">
        <v>183</v>
      </c>
      <c r="C16" t="s">
        <v>23</v>
      </c>
      <c r="E16" t="s">
        <v>63</v>
      </c>
      <c r="F16" t="s">
        <v>89</v>
      </c>
      <c r="G16">
        <v>463145529</v>
      </c>
      <c r="H16">
        <v>306</v>
      </c>
      <c r="I16" t="s">
        <v>97</v>
      </c>
      <c r="J16">
        <v>136933038.349944</v>
      </c>
      <c r="K16">
        <v>111826623.93328699</v>
      </c>
      <c r="N16">
        <v>119144642.46958899</v>
      </c>
      <c r="O16">
        <v>28.494783000000002</v>
      </c>
      <c r="P16">
        <v>30.682514000000001</v>
      </c>
      <c r="Q16">
        <v>107596969.978358</v>
      </c>
      <c r="R16">
        <v>30.263120000000001</v>
      </c>
      <c r="S16">
        <v>110011448.09751201</v>
      </c>
      <c r="T16">
        <v>128240726.61354201</v>
      </c>
      <c r="U16" t="s">
        <v>96</v>
      </c>
      <c r="V16" t="s">
        <v>223</v>
      </c>
      <c r="W16">
        <v>1</v>
      </c>
      <c r="X16">
        <v>278.2</v>
      </c>
      <c r="Y16">
        <v>306</v>
      </c>
      <c r="Z16">
        <v>0.70000000000000007</v>
      </c>
      <c r="AA16">
        <v>99205772311.800003</v>
      </c>
      <c r="AB16">
        <f>_xlfn.XLOOKUP(E16,[2]generation_steps!$C$2:$C$5101,[2]generation_steps!$G$2:$G$5101)</f>
        <v>99205772311.800003</v>
      </c>
      <c r="AC16">
        <v>12.911462500000001</v>
      </c>
      <c r="AD16">
        <v>0</v>
      </c>
      <c r="AE16">
        <v>0</v>
      </c>
      <c r="AF16">
        <v>12.911462500000001</v>
      </c>
      <c r="AG16">
        <v>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</row>
    <row r="17" spans="1:57" x14ac:dyDescent="0.25">
      <c r="A17">
        <v>282</v>
      </c>
      <c r="B17" t="s">
        <v>175</v>
      </c>
      <c r="C17" t="s">
        <v>46</v>
      </c>
      <c r="E17" t="s">
        <v>86</v>
      </c>
      <c r="F17" t="s">
        <v>93</v>
      </c>
      <c r="G17">
        <v>1557675176</v>
      </c>
      <c r="H17">
        <v>62.85</v>
      </c>
      <c r="I17" t="s">
        <v>97</v>
      </c>
      <c r="J17">
        <v>359104838.19417602</v>
      </c>
      <c r="K17">
        <v>333318301.37566602</v>
      </c>
      <c r="N17">
        <v>314367458.98908401</v>
      </c>
      <c r="O17">
        <v>26.839243</v>
      </c>
      <c r="P17">
        <v>26.80322</v>
      </c>
      <c r="Q17">
        <v>320104027.33350003</v>
      </c>
      <c r="R17">
        <v>33.478299999999997</v>
      </c>
      <c r="S17">
        <v>320233546.05310601</v>
      </c>
      <c r="T17">
        <v>373375769.30038702</v>
      </c>
      <c r="U17" t="s">
        <v>96</v>
      </c>
      <c r="V17" t="s">
        <v>215</v>
      </c>
      <c r="W17">
        <v>1</v>
      </c>
      <c r="X17">
        <v>69.5</v>
      </c>
      <c r="Y17">
        <v>62.85</v>
      </c>
      <c r="Z17">
        <v>1</v>
      </c>
      <c r="AA17">
        <v>97899884811.600006</v>
      </c>
      <c r="AB17">
        <f>_xlfn.XLOOKUP(E17,[2]generation_steps!$C$2:$C$5101,[2]generation_steps!$G$2:$G$5101)</f>
        <v>97899884811.600006</v>
      </c>
      <c r="AC17">
        <v>10.5530875</v>
      </c>
      <c r="AD17">
        <v>0</v>
      </c>
      <c r="AE17">
        <v>0</v>
      </c>
      <c r="AF17">
        <v>10.5530875</v>
      </c>
      <c r="AG17">
        <v>2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</row>
    <row r="18" spans="1:57" x14ac:dyDescent="0.25">
      <c r="A18">
        <v>20</v>
      </c>
      <c r="B18" t="s">
        <v>189</v>
      </c>
      <c r="C18" t="s">
        <v>9</v>
      </c>
      <c r="E18" t="s">
        <v>49</v>
      </c>
      <c r="F18" t="s">
        <v>89</v>
      </c>
      <c r="G18">
        <v>578534275</v>
      </c>
      <c r="H18">
        <v>165.94</v>
      </c>
      <c r="I18" t="s">
        <v>97</v>
      </c>
      <c r="J18">
        <v>119505514.533602</v>
      </c>
      <c r="K18">
        <v>92896515.384959996</v>
      </c>
      <c r="N18">
        <v>103003521.114912</v>
      </c>
      <c r="O18">
        <v>14.127079999999999</v>
      </c>
      <c r="P18">
        <v>14.407667</v>
      </c>
      <c r="Q18">
        <v>96960052.230783895</v>
      </c>
      <c r="R18">
        <v>18.233885000000001</v>
      </c>
      <c r="S18">
        <v>98286987.256642297</v>
      </c>
      <c r="T18">
        <v>114554343.79323301</v>
      </c>
      <c r="U18" t="s">
        <v>96</v>
      </c>
      <c r="V18" t="s">
        <v>229</v>
      </c>
      <c r="W18">
        <v>1</v>
      </c>
      <c r="X18">
        <v>159.4</v>
      </c>
      <c r="Y18">
        <v>165.94</v>
      </c>
      <c r="Z18">
        <v>1</v>
      </c>
      <c r="AA18">
        <v>96001977593.5</v>
      </c>
      <c r="AB18">
        <f>_xlfn.XLOOKUP(E18,[2]generation_steps!$C$2:$C$5101,[2]generation_steps!$G$2:$G$5101)</f>
        <v>96001977593.5</v>
      </c>
      <c r="AC18">
        <v>13.37985625</v>
      </c>
      <c r="AD18">
        <v>0</v>
      </c>
      <c r="AE18">
        <v>0</v>
      </c>
      <c r="AF18">
        <v>13.37985625</v>
      </c>
      <c r="AG18">
        <v>2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</row>
    <row r="19" spans="1:57" x14ac:dyDescent="0.25">
      <c r="A19">
        <v>95</v>
      </c>
      <c r="B19" t="s">
        <v>202</v>
      </c>
      <c r="C19" t="s">
        <v>21</v>
      </c>
      <c r="E19" t="s">
        <v>61</v>
      </c>
      <c r="F19" t="s">
        <v>88</v>
      </c>
      <c r="G19">
        <v>4905190400</v>
      </c>
      <c r="H19">
        <v>27.62</v>
      </c>
      <c r="I19" t="s">
        <v>97</v>
      </c>
      <c r="J19">
        <v>213139391.34502</v>
      </c>
      <c r="K19">
        <v>174615927.30533299</v>
      </c>
      <c r="N19">
        <v>177859678.17185599</v>
      </c>
      <c r="O19">
        <v>20.588774000000001</v>
      </c>
      <c r="P19">
        <v>20.002012000000001</v>
      </c>
      <c r="Q19">
        <v>168756818.14930001</v>
      </c>
      <c r="R19">
        <v>22.332177999999999</v>
      </c>
      <c r="S19">
        <v>167579093.45007601</v>
      </c>
      <c r="T19">
        <v>195339529.84979901</v>
      </c>
      <c r="U19" t="s">
        <v>96</v>
      </c>
      <c r="V19" t="s">
        <v>242</v>
      </c>
      <c r="W19">
        <v>1</v>
      </c>
      <c r="X19">
        <v>26.74</v>
      </c>
      <c r="Y19">
        <v>27.62</v>
      </c>
      <c r="Z19">
        <v>0.7</v>
      </c>
      <c r="AA19">
        <v>94836951193.600006</v>
      </c>
      <c r="AB19">
        <f>_xlfn.XLOOKUP(E19,[2]generation_steps!$C$2:$C$5101,[2]generation_steps!$G$2:$G$5101)</f>
        <v>94836951193.600006</v>
      </c>
      <c r="AC19">
        <v>16.2697</v>
      </c>
      <c r="AD19">
        <v>0</v>
      </c>
      <c r="AE19">
        <v>0</v>
      </c>
      <c r="AF19">
        <v>16.2697</v>
      </c>
      <c r="AG19">
        <v>2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</row>
    <row r="20" spans="1:57" x14ac:dyDescent="0.25">
      <c r="A20">
        <v>235</v>
      </c>
      <c r="B20" t="s">
        <v>339</v>
      </c>
      <c r="C20" t="s">
        <v>367</v>
      </c>
      <c r="E20" t="s">
        <v>395</v>
      </c>
      <c r="F20" t="s">
        <v>89</v>
      </c>
      <c r="G20">
        <v>423632587</v>
      </c>
      <c r="H20">
        <v>289.39999999999998</v>
      </c>
      <c r="I20" t="s">
        <v>97</v>
      </c>
      <c r="J20">
        <v>149366068.56733301</v>
      </c>
      <c r="K20">
        <v>122167439.483787</v>
      </c>
      <c r="N20">
        <v>133110218.095415</v>
      </c>
      <c r="O20">
        <v>20.578779999999998</v>
      </c>
      <c r="P20">
        <v>20.293333000000001</v>
      </c>
      <c r="Q20">
        <v>131784930.993448</v>
      </c>
      <c r="R20">
        <v>28.38711</v>
      </c>
      <c r="S20">
        <v>133887965.56734499</v>
      </c>
      <c r="T20">
        <v>156120652.26238501</v>
      </c>
      <c r="U20" t="s">
        <v>96</v>
      </c>
      <c r="V20" t="s">
        <v>424</v>
      </c>
      <c r="W20">
        <v>1</v>
      </c>
      <c r="X20">
        <v>293.7</v>
      </c>
      <c r="Y20">
        <v>289.39999999999998</v>
      </c>
      <c r="Z20">
        <v>0.75</v>
      </c>
      <c r="AA20">
        <v>91949453008.350006</v>
      </c>
      <c r="AB20">
        <f>_xlfn.XLOOKUP(E20,[2]generation_steps!$C$2:$C$5101,[2]generation_steps!$G$2:$G$5101)</f>
        <v>91949453008.350006</v>
      </c>
      <c r="AC20">
        <v>27.085362450000002</v>
      </c>
      <c r="AD20">
        <v>0</v>
      </c>
      <c r="AE20" t="s">
        <v>433</v>
      </c>
      <c r="AF20">
        <v>27.085362450000002</v>
      </c>
      <c r="AG20">
        <v>2</v>
      </c>
      <c r="AH20">
        <v>0</v>
      </c>
      <c r="AI20">
        <v>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1</v>
      </c>
    </row>
    <row r="21" spans="1:57" x14ac:dyDescent="0.25">
      <c r="A21">
        <v>180</v>
      </c>
      <c r="B21" t="s">
        <v>244</v>
      </c>
      <c r="C21" t="s">
        <v>102</v>
      </c>
      <c r="E21" t="s">
        <v>108</v>
      </c>
      <c r="F21" t="s">
        <v>89</v>
      </c>
      <c r="G21">
        <v>533783024</v>
      </c>
      <c r="H21">
        <v>361.5</v>
      </c>
      <c r="I21" t="s">
        <v>97</v>
      </c>
      <c r="J21">
        <v>139975623.991936</v>
      </c>
      <c r="K21">
        <v>105679464.682613</v>
      </c>
      <c r="N21">
        <v>115668594.987452</v>
      </c>
      <c r="O21">
        <v>23.4039</v>
      </c>
      <c r="P21">
        <v>23.904568000000001</v>
      </c>
      <c r="Q21">
        <v>112340319.76193599</v>
      </c>
      <c r="R21">
        <v>25.882712999999999</v>
      </c>
      <c r="S21">
        <v>120144617.37831201</v>
      </c>
      <c r="T21">
        <v>140136487.22382599</v>
      </c>
      <c r="U21" t="s">
        <v>96</v>
      </c>
      <c r="V21" t="s">
        <v>299</v>
      </c>
      <c r="W21">
        <v>1</v>
      </c>
      <c r="X21">
        <v>373.7</v>
      </c>
      <c r="Y21">
        <v>361.5</v>
      </c>
      <c r="Z21">
        <v>0.45</v>
      </c>
      <c r="AA21">
        <v>86833153429.199997</v>
      </c>
      <c r="AB21">
        <f>_xlfn.XLOOKUP(E21,[2]generation_steps!$C$2:$C$5101,[2]generation_steps!$G$2:$G$5101)</f>
        <v>86833153429.199997</v>
      </c>
      <c r="AC21">
        <v>16.898518750000001</v>
      </c>
      <c r="AD21">
        <v>0</v>
      </c>
      <c r="AE21">
        <v>0</v>
      </c>
      <c r="AF21">
        <v>16.898518750000001</v>
      </c>
      <c r="AG21">
        <v>3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</row>
    <row r="22" spans="1:57" x14ac:dyDescent="0.25">
      <c r="A22">
        <v>158</v>
      </c>
      <c r="B22" t="s">
        <v>165</v>
      </c>
      <c r="C22" t="s">
        <v>29</v>
      </c>
      <c r="E22" t="s">
        <v>69</v>
      </c>
      <c r="F22" t="s">
        <v>93</v>
      </c>
      <c r="G22">
        <v>17413389613</v>
      </c>
      <c r="H22">
        <v>5.6189999999999998</v>
      </c>
      <c r="I22" t="s">
        <v>97</v>
      </c>
      <c r="J22">
        <v>293767090.16672999</v>
      </c>
      <c r="K22">
        <v>325066381.92893302</v>
      </c>
      <c r="N22">
        <v>268153499.05000001</v>
      </c>
      <c r="O22">
        <v>23.324428999999999</v>
      </c>
      <c r="P22">
        <v>24.010738</v>
      </c>
      <c r="Q22">
        <v>268929667.19718999</v>
      </c>
      <c r="R22">
        <v>28.28163</v>
      </c>
      <c r="S22">
        <v>282868481.63398498</v>
      </c>
      <c r="T22">
        <v>329523646.21244597</v>
      </c>
      <c r="U22" t="s">
        <v>96</v>
      </c>
      <c r="V22" t="s">
        <v>205</v>
      </c>
      <c r="W22">
        <v>1</v>
      </c>
      <c r="X22">
        <v>5.7830000000000004</v>
      </c>
      <c r="Y22">
        <v>5.6189999999999998</v>
      </c>
      <c r="Z22">
        <v>0.8</v>
      </c>
      <c r="AA22">
        <v>78276668988.357605</v>
      </c>
      <c r="AB22">
        <f>_xlfn.XLOOKUP(E22,[2]generation_steps!$C$2:$C$5101,[2]generation_steps!$G$2:$G$5101)</f>
        <v>78276668988.35759</v>
      </c>
      <c r="AC22">
        <v>8.09</v>
      </c>
      <c r="AD22">
        <v>0</v>
      </c>
      <c r="AE22">
        <v>0</v>
      </c>
      <c r="AF22">
        <v>8.09</v>
      </c>
      <c r="AG22">
        <v>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</row>
    <row r="23" spans="1:57" x14ac:dyDescent="0.25">
      <c r="A23">
        <v>251</v>
      </c>
      <c r="B23" t="s">
        <v>341</v>
      </c>
      <c r="C23" t="s">
        <v>369</v>
      </c>
      <c r="E23" t="s">
        <v>397</v>
      </c>
      <c r="F23" t="s">
        <v>88</v>
      </c>
      <c r="G23">
        <v>861104900</v>
      </c>
      <c r="H23">
        <v>100.8</v>
      </c>
      <c r="I23" t="s">
        <v>97</v>
      </c>
      <c r="J23">
        <v>212036144.72002</v>
      </c>
      <c r="K23">
        <v>272690777.11666697</v>
      </c>
      <c r="N23">
        <v>210262953.379848</v>
      </c>
      <c r="O23">
        <v>45.854773999999999</v>
      </c>
      <c r="P23">
        <v>48.048842999999998</v>
      </c>
      <c r="Q23">
        <v>213577981.57269999</v>
      </c>
      <c r="R23">
        <v>48.263446999999999</v>
      </c>
      <c r="S23">
        <v>232526896.06818199</v>
      </c>
      <c r="T23">
        <v>271067388.24797499</v>
      </c>
      <c r="U23" t="s">
        <v>96</v>
      </c>
      <c r="V23" t="s">
        <v>426</v>
      </c>
      <c r="W23">
        <v>1</v>
      </c>
      <c r="X23">
        <v>119.4</v>
      </c>
      <c r="Y23">
        <v>100.8</v>
      </c>
      <c r="Z23">
        <v>0.9</v>
      </c>
      <c r="AA23">
        <v>78119436528</v>
      </c>
      <c r="AB23">
        <f>_xlfn.XLOOKUP(E23,[2]generation_steps!$C$2:$C$5101,[2]generation_steps!$G$2:$G$5101)</f>
        <v>78119436528</v>
      </c>
      <c r="AC23">
        <v>12.4080125</v>
      </c>
      <c r="AD23">
        <v>0</v>
      </c>
      <c r="AE23">
        <v>0</v>
      </c>
      <c r="AF23">
        <v>12.4080125</v>
      </c>
      <c r="AG23">
        <v>2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t="b">
        <v>0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1</v>
      </c>
    </row>
    <row r="24" spans="1:57" x14ac:dyDescent="0.25">
      <c r="A24">
        <v>64</v>
      </c>
      <c r="B24" t="s">
        <v>180</v>
      </c>
      <c r="C24" t="s">
        <v>16</v>
      </c>
      <c r="E24" t="s">
        <v>56</v>
      </c>
      <c r="F24" t="s">
        <v>89</v>
      </c>
      <c r="G24">
        <v>1116784757</v>
      </c>
      <c r="H24">
        <v>70.47</v>
      </c>
      <c r="I24" t="s">
        <v>97</v>
      </c>
      <c r="J24">
        <v>212917894.392795</v>
      </c>
      <c r="K24">
        <v>193406350.51875299</v>
      </c>
      <c r="N24">
        <v>196214994.42096701</v>
      </c>
      <c r="O24">
        <v>26.853807</v>
      </c>
      <c r="P24">
        <v>27.375444000000002</v>
      </c>
      <c r="Q24">
        <v>192976695.211927</v>
      </c>
      <c r="R24">
        <v>30.013380000000002</v>
      </c>
      <c r="S24">
        <v>208626228.82238901</v>
      </c>
      <c r="T24">
        <v>243014105.80956301</v>
      </c>
      <c r="U24" t="s">
        <v>96</v>
      </c>
      <c r="V24" t="s">
        <v>220</v>
      </c>
      <c r="W24">
        <v>1</v>
      </c>
      <c r="X24">
        <v>78.86</v>
      </c>
      <c r="Y24">
        <v>70.47</v>
      </c>
      <c r="Z24">
        <v>0.95000000000000007</v>
      </c>
      <c r="AA24">
        <v>74764830734.500504</v>
      </c>
      <c r="AB24">
        <f>_xlfn.XLOOKUP(E24,[2]generation_steps!$C$2:$C$5101,[2]generation_steps!$G$2:$G$5101)</f>
        <v>74764830734.500488</v>
      </c>
      <c r="AC24">
        <v>12.27173125</v>
      </c>
      <c r="AD24">
        <v>0</v>
      </c>
      <c r="AE24">
        <v>0</v>
      </c>
      <c r="AF24">
        <v>12.27173125</v>
      </c>
      <c r="AG24">
        <v>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</row>
    <row r="25" spans="1:57" x14ac:dyDescent="0.25">
      <c r="A25">
        <v>231</v>
      </c>
      <c r="B25" t="s">
        <v>337</v>
      </c>
      <c r="C25" t="s">
        <v>365</v>
      </c>
      <c r="E25" t="s">
        <v>393</v>
      </c>
      <c r="F25" t="s">
        <v>88</v>
      </c>
      <c r="G25">
        <v>46002533</v>
      </c>
      <c r="H25">
        <v>1519.5</v>
      </c>
      <c r="I25" t="s">
        <v>97</v>
      </c>
      <c r="J25">
        <v>441109219.53063202</v>
      </c>
      <c r="K25">
        <v>428647618.11666697</v>
      </c>
      <c r="N25">
        <v>450486791.65151501</v>
      </c>
      <c r="O25">
        <v>42.579740000000001</v>
      </c>
      <c r="P25">
        <v>39.891370000000002</v>
      </c>
      <c r="Q25">
        <v>406969931.77499998</v>
      </c>
      <c r="R25">
        <v>47.267519999999998</v>
      </c>
      <c r="S25">
        <v>395799948.12121201</v>
      </c>
      <c r="T25">
        <v>461550881.07191098</v>
      </c>
      <c r="U25" t="s">
        <v>96</v>
      </c>
      <c r="V25" t="s">
        <v>422</v>
      </c>
      <c r="W25">
        <v>1</v>
      </c>
      <c r="X25">
        <v>1502</v>
      </c>
      <c r="Y25">
        <v>1519.5</v>
      </c>
      <c r="Z25">
        <v>1</v>
      </c>
      <c r="AA25">
        <v>69900848893.5</v>
      </c>
      <c r="AB25">
        <f>_xlfn.XLOOKUP(E25,[2]generation_steps!$C$2:$C$5101,[2]generation_steps!$G$2:$G$5101)</f>
        <v>69900848893.5</v>
      </c>
      <c r="AC25">
        <v>26.507280189999999</v>
      </c>
      <c r="AD25">
        <v>0</v>
      </c>
      <c r="AE25">
        <v>0</v>
      </c>
      <c r="AF25">
        <v>26.507280189999999</v>
      </c>
      <c r="AG25">
        <v>2</v>
      </c>
      <c r="AH25">
        <v>0</v>
      </c>
      <c r="AI25">
        <v>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1</v>
      </c>
    </row>
    <row r="26" spans="1:57" x14ac:dyDescent="0.25">
      <c r="A26">
        <v>196</v>
      </c>
      <c r="B26" t="s">
        <v>178</v>
      </c>
      <c r="C26" t="s">
        <v>34</v>
      </c>
      <c r="E26" t="s">
        <v>74</v>
      </c>
      <c r="F26" t="s">
        <v>88</v>
      </c>
      <c r="G26">
        <v>130645070</v>
      </c>
      <c r="H26">
        <v>532.4</v>
      </c>
      <c r="I26" t="s">
        <v>97</v>
      </c>
      <c r="J26">
        <v>142614499.850593</v>
      </c>
      <c r="K26">
        <v>124943892.553333</v>
      </c>
      <c r="N26">
        <v>130284135.80833299</v>
      </c>
      <c r="O26">
        <v>21.038910000000001</v>
      </c>
      <c r="P26">
        <v>21.719397000000001</v>
      </c>
      <c r="Q26">
        <v>125067300.40700001</v>
      </c>
      <c r="R26">
        <v>25.573225000000001</v>
      </c>
      <c r="S26">
        <v>126417449.87424199</v>
      </c>
      <c r="T26">
        <v>147461314.67462799</v>
      </c>
      <c r="U26" t="s">
        <v>96</v>
      </c>
      <c r="V26" t="s">
        <v>218</v>
      </c>
      <c r="W26">
        <v>1</v>
      </c>
      <c r="X26">
        <v>557.79999999999995</v>
      </c>
      <c r="Y26">
        <v>532.4</v>
      </c>
      <c r="Z26">
        <v>1</v>
      </c>
      <c r="AA26">
        <v>69555435268</v>
      </c>
      <c r="AB26">
        <f>_xlfn.XLOOKUP(E26,[2]generation_steps!$C$2:$C$5101,[2]generation_steps!$G$2:$G$5101)</f>
        <v>69555435268</v>
      </c>
      <c r="AC26">
        <v>11.755625</v>
      </c>
      <c r="AD26">
        <v>0</v>
      </c>
      <c r="AE26">
        <v>0</v>
      </c>
      <c r="AF26">
        <v>11.755625</v>
      </c>
      <c r="AG26">
        <v>2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</row>
    <row r="27" spans="1:57" x14ac:dyDescent="0.25">
      <c r="A27">
        <v>41</v>
      </c>
      <c r="B27" t="s">
        <v>194</v>
      </c>
      <c r="C27" t="s">
        <v>13</v>
      </c>
      <c r="E27" t="s">
        <v>53</v>
      </c>
      <c r="F27" t="s">
        <v>89</v>
      </c>
      <c r="G27">
        <v>2123594281</v>
      </c>
      <c r="H27">
        <v>38.14</v>
      </c>
      <c r="I27" t="s">
        <v>97</v>
      </c>
      <c r="J27">
        <v>159939019.05349001</v>
      </c>
      <c r="K27">
        <v>162393494.675733</v>
      </c>
      <c r="N27">
        <v>151563173.118258</v>
      </c>
      <c r="O27">
        <v>20.694818000000001</v>
      </c>
      <c r="P27">
        <v>21.842217999999999</v>
      </c>
      <c r="Q27">
        <v>144296844.14829999</v>
      </c>
      <c r="R27">
        <v>23.645367</v>
      </c>
      <c r="S27">
        <v>151847210.35128799</v>
      </c>
      <c r="T27">
        <v>176913247.69380099</v>
      </c>
      <c r="U27" t="s">
        <v>96</v>
      </c>
      <c r="V27" t="s">
        <v>234</v>
      </c>
      <c r="W27">
        <v>1</v>
      </c>
      <c r="X27">
        <v>40.549999999999997</v>
      </c>
      <c r="Y27">
        <v>38.14</v>
      </c>
      <c r="Z27">
        <v>0.85000000000000009</v>
      </c>
      <c r="AA27">
        <v>68844802995.739014</v>
      </c>
      <c r="AB27">
        <f>_xlfn.XLOOKUP(E27,[2]generation_steps!$C$2:$C$5101,[2]generation_steps!$G$2:$G$5101)</f>
        <v>68844802995.738998</v>
      </c>
      <c r="AC27">
        <v>13.9274375</v>
      </c>
      <c r="AD27">
        <v>0</v>
      </c>
      <c r="AE27">
        <v>0</v>
      </c>
      <c r="AF27">
        <v>13.9274375</v>
      </c>
      <c r="AG27">
        <v>2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</row>
    <row r="28" spans="1:57" x14ac:dyDescent="0.25">
      <c r="A28">
        <v>216</v>
      </c>
      <c r="B28" t="s">
        <v>197</v>
      </c>
      <c r="C28" t="s">
        <v>37</v>
      </c>
      <c r="E28" t="s">
        <v>77</v>
      </c>
      <c r="F28" t="s">
        <v>91</v>
      </c>
      <c r="G28">
        <v>2378947836</v>
      </c>
      <c r="H28">
        <v>56.62</v>
      </c>
      <c r="I28" t="s">
        <v>97</v>
      </c>
      <c r="J28">
        <v>131511670.27002899</v>
      </c>
      <c r="K28">
        <v>107177149.638</v>
      </c>
      <c r="N28">
        <v>115867344.15424199</v>
      </c>
      <c r="O28">
        <v>23.927814000000001</v>
      </c>
      <c r="P28">
        <v>24.204713999999999</v>
      </c>
      <c r="Q28">
        <v>111492686.25077499</v>
      </c>
      <c r="R28">
        <v>29.40259</v>
      </c>
      <c r="S28">
        <v>119234242.236591</v>
      </c>
      <c r="T28">
        <v>139066300.627534</v>
      </c>
      <c r="U28" t="s">
        <v>96</v>
      </c>
      <c r="V28" t="s">
        <v>237</v>
      </c>
      <c r="W28">
        <v>1</v>
      </c>
      <c r="X28">
        <v>52.46</v>
      </c>
      <c r="Y28">
        <v>56.62</v>
      </c>
      <c r="Z28">
        <v>0.5</v>
      </c>
      <c r="AA28">
        <v>67348013237.160004</v>
      </c>
      <c r="AB28">
        <f>_xlfn.XLOOKUP(E28,[2]generation_steps!$C$2:$C$5101,[2]generation_steps!$G$2:$G$5101)</f>
        <v>67348013237.160004</v>
      </c>
      <c r="AC28">
        <v>14.346012500000001</v>
      </c>
      <c r="AD28">
        <v>0</v>
      </c>
      <c r="AE28">
        <v>0</v>
      </c>
      <c r="AF28">
        <v>14.346012500000001</v>
      </c>
      <c r="AG28">
        <v>2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</row>
    <row r="29" spans="1:57" x14ac:dyDescent="0.25">
      <c r="A29">
        <v>225</v>
      </c>
      <c r="B29" t="s">
        <v>166</v>
      </c>
      <c r="C29" t="s">
        <v>38</v>
      </c>
      <c r="E29" t="s">
        <v>78</v>
      </c>
      <c r="F29" t="s">
        <v>91</v>
      </c>
      <c r="G29">
        <v>1907070957</v>
      </c>
      <c r="H29">
        <v>35.28</v>
      </c>
      <c r="I29" t="s">
        <v>97</v>
      </c>
      <c r="J29">
        <v>35151618.017999999</v>
      </c>
      <c r="K29">
        <v>38042578.714666702</v>
      </c>
      <c r="N29">
        <v>29814886.367424201</v>
      </c>
      <c r="O29">
        <v>20.830658</v>
      </c>
      <c r="P29">
        <v>22.413506000000002</v>
      </c>
      <c r="Q29">
        <v>31979316.750999998</v>
      </c>
      <c r="R29">
        <v>23.983384999999998</v>
      </c>
      <c r="S29">
        <v>32638215.1919697</v>
      </c>
      <c r="T29">
        <v>38012064.798709601</v>
      </c>
      <c r="U29" t="s">
        <v>96</v>
      </c>
      <c r="V29" t="s">
        <v>206</v>
      </c>
      <c r="W29">
        <v>1</v>
      </c>
      <c r="X29">
        <v>34.659999999999997</v>
      </c>
      <c r="Y29">
        <v>35.28</v>
      </c>
      <c r="Z29">
        <v>1</v>
      </c>
      <c r="AA29">
        <v>67281463362.959999</v>
      </c>
      <c r="AB29">
        <f>_xlfn.XLOOKUP(E29,[2]generation_steps!$C$2:$C$5101,[2]generation_steps!$G$2:$G$5101)</f>
        <v>67281463362.959999</v>
      </c>
      <c r="AC29">
        <v>8.1090937499999995</v>
      </c>
      <c r="AD29">
        <v>0</v>
      </c>
      <c r="AE29">
        <v>0</v>
      </c>
      <c r="AF29">
        <v>8.1090937499999995</v>
      </c>
      <c r="AG29">
        <v>2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</row>
    <row r="30" spans="1:57" x14ac:dyDescent="0.25">
      <c r="A30">
        <v>147</v>
      </c>
      <c r="B30" t="s">
        <v>181</v>
      </c>
      <c r="C30" t="s">
        <v>25</v>
      </c>
      <c r="E30" t="s">
        <v>65</v>
      </c>
      <c r="F30" t="s">
        <v>89</v>
      </c>
      <c r="G30">
        <v>105569412</v>
      </c>
      <c r="H30">
        <v>2124</v>
      </c>
      <c r="I30" t="s">
        <v>97</v>
      </c>
      <c r="J30">
        <v>140008736.488242</v>
      </c>
      <c r="K30">
        <v>99979651.600199997</v>
      </c>
      <c r="N30">
        <v>119493976.65531699</v>
      </c>
      <c r="O30">
        <v>26.302942000000002</v>
      </c>
      <c r="P30">
        <v>28.087807000000002</v>
      </c>
      <c r="Q30">
        <v>114540131.815018</v>
      </c>
      <c r="R30">
        <v>27.303678999999999</v>
      </c>
      <c r="S30">
        <v>113541795.810633</v>
      </c>
      <c r="T30">
        <v>132334098.846276</v>
      </c>
      <c r="U30" t="s">
        <v>96</v>
      </c>
      <c r="V30" t="s">
        <v>221</v>
      </c>
      <c r="W30">
        <v>1</v>
      </c>
      <c r="X30">
        <v>2159</v>
      </c>
      <c r="Y30">
        <v>2124</v>
      </c>
      <c r="Z30">
        <v>0.3</v>
      </c>
      <c r="AA30">
        <v>67268829326.400009</v>
      </c>
      <c r="AB30">
        <f>_xlfn.XLOOKUP(E30,[2]generation_steps!$C$2:$C$5101,[2]generation_steps!$G$2:$G$5101)</f>
        <v>67268829326.400002</v>
      </c>
      <c r="AC30">
        <v>12.35406036</v>
      </c>
      <c r="AD30">
        <v>0</v>
      </c>
      <c r="AE30">
        <v>0</v>
      </c>
      <c r="AF30">
        <v>12.35406036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</row>
    <row r="31" spans="1:57" x14ac:dyDescent="0.25">
      <c r="A31">
        <v>108</v>
      </c>
      <c r="B31" t="s">
        <v>327</v>
      </c>
      <c r="C31" t="s">
        <v>355</v>
      </c>
      <c r="E31" t="s">
        <v>383</v>
      </c>
      <c r="F31" t="s">
        <v>93</v>
      </c>
      <c r="G31">
        <v>10166679946</v>
      </c>
      <c r="H31">
        <v>8.7840000000000007</v>
      </c>
      <c r="I31" t="s">
        <v>97</v>
      </c>
      <c r="J31">
        <v>178472124.09025201</v>
      </c>
      <c r="K31">
        <v>166540023.89559999</v>
      </c>
      <c r="N31">
        <v>151513143.60681701</v>
      </c>
      <c r="O31">
        <v>12.591810000000001</v>
      </c>
      <c r="P31">
        <v>12.996295999999999</v>
      </c>
      <c r="Q31">
        <v>149832237.82745501</v>
      </c>
      <c r="R31">
        <v>17.718805</v>
      </c>
      <c r="S31">
        <v>148575094.24025801</v>
      </c>
      <c r="T31">
        <v>173125633.060821</v>
      </c>
      <c r="U31" t="s">
        <v>96</v>
      </c>
      <c r="V31" t="s">
        <v>412</v>
      </c>
      <c r="W31">
        <v>1</v>
      </c>
      <c r="X31">
        <v>8.7780000000000005</v>
      </c>
      <c r="Y31">
        <v>8.7840000000000007</v>
      </c>
      <c r="Z31">
        <v>0.75</v>
      </c>
      <c r="AA31">
        <v>66978087484.248009</v>
      </c>
      <c r="AB31">
        <f>_xlfn.XLOOKUP(E31,[2]generation_steps!$C$2:$C$5101,[2]generation_steps!$G$2:$G$5101)</f>
        <v>66978087484.248001</v>
      </c>
      <c r="AC31">
        <v>17.395154999999999</v>
      </c>
      <c r="AD31">
        <v>0</v>
      </c>
      <c r="AE31">
        <v>0</v>
      </c>
      <c r="AF31">
        <v>17.395154999999999</v>
      </c>
      <c r="AG31">
        <v>3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1</v>
      </c>
      <c r="BE31" t="b">
        <v>1</v>
      </c>
    </row>
    <row r="32" spans="1:57" x14ac:dyDescent="0.25">
      <c r="A32">
        <v>155</v>
      </c>
      <c r="B32" t="s">
        <v>200</v>
      </c>
      <c r="C32" t="s">
        <v>28</v>
      </c>
      <c r="E32" t="s">
        <v>68</v>
      </c>
      <c r="F32" t="s">
        <v>91</v>
      </c>
      <c r="G32">
        <v>3021542868</v>
      </c>
      <c r="H32">
        <v>21.515000000000001</v>
      </c>
      <c r="I32" t="s">
        <v>97</v>
      </c>
      <c r="J32">
        <v>170408597.703926</v>
      </c>
      <c r="K32">
        <v>152586669.825167</v>
      </c>
      <c r="N32">
        <v>155114984.77874199</v>
      </c>
      <c r="O32">
        <v>20.634764000000001</v>
      </c>
      <c r="P32">
        <v>21.073732</v>
      </c>
      <c r="Q32">
        <v>153214078.20695001</v>
      </c>
      <c r="R32">
        <v>26.629899999999999</v>
      </c>
      <c r="S32">
        <v>159444477.67242399</v>
      </c>
      <c r="T32">
        <v>185876374.37553799</v>
      </c>
      <c r="U32" t="s">
        <v>96</v>
      </c>
      <c r="V32" t="s">
        <v>240</v>
      </c>
      <c r="W32">
        <v>1</v>
      </c>
      <c r="X32">
        <v>23.38</v>
      </c>
      <c r="Y32">
        <v>21.515000000000001</v>
      </c>
      <c r="Z32">
        <v>1</v>
      </c>
      <c r="AA32">
        <v>65008494805.019997</v>
      </c>
      <c r="AB32">
        <f>_xlfn.XLOOKUP(E32,[2]generation_steps!$C$2:$C$5101,[2]generation_steps!$G$2:$G$5101)</f>
        <v>65008494805.019997</v>
      </c>
      <c r="AC32">
        <v>15.399255</v>
      </c>
      <c r="AD32">
        <v>0</v>
      </c>
      <c r="AE32">
        <v>0</v>
      </c>
      <c r="AF32">
        <v>15.399255</v>
      </c>
      <c r="AG32">
        <v>2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</row>
    <row r="33" spans="1:57" x14ac:dyDescent="0.25">
      <c r="A33">
        <v>291</v>
      </c>
      <c r="B33" t="s">
        <v>259</v>
      </c>
      <c r="C33" t="s">
        <v>276</v>
      </c>
      <c r="E33" t="s">
        <v>293</v>
      </c>
      <c r="F33" t="s">
        <v>89</v>
      </c>
      <c r="G33">
        <v>586933775</v>
      </c>
      <c r="H33">
        <v>119.2</v>
      </c>
      <c r="I33" t="s">
        <v>97</v>
      </c>
      <c r="J33">
        <v>113543783.84716199</v>
      </c>
      <c r="K33">
        <v>82508689.396653295</v>
      </c>
      <c r="N33">
        <v>105480357.709933</v>
      </c>
      <c r="O33">
        <v>19.922636000000001</v>
      </c>
      <c r="P33">
        <v>21.265522000000001</v>
      </c>
      <c r="Q33">
        <v>100628671.517362</v>
      </c>
      <c r="R33">
        <v>20.998957000000001</v>
      </c>
      <c r="S33">
        <v>102877582.43767001</v>
      </c>
      <c r="T33">
        <v>119926911.732161</v>
      </c>
      <c r="U33" t="s">
        <v>96</v>
      </c>
      <c r="V33" t="s">
        <v>314</v>
      </c>
      <c r="W33">
        <v>1</v>
      </c>
      <c r="X33">
        <v>120.45</v>
      </c>
      <c r="Y33">
        <v>119.2</v>
      </c>
      <c r="Z33">
        <v>0.9</v>
      </c>
      <c r="AA33">
        <v>62966255382</v>
      </c>
      <c r="AB33">
        <f>_xlfn.XLOOKUP(E33,[2]generation_steps!$C$2:$C$5101,[2]generation_steps!$G$2:$G$5101)</f>
        <v>62966255382</v>
      </c>
      <c r="AC33">
        <v>23.81601165</v>
      </c>
      <c r="AD33">
        <v>0</v>
      </c>
      <c r="AE33">
        <v>0</v>
      </c>
      <c r="AF33">
        <v>23.81601165</v>
      </c>
      <c r="AG33">
        <v>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</row>
    <row r="34" spans="1:57" x14ac:dyDescent="0.25">
      <c r="A34">
        <v>92</v>
      </c>
      <c r="B34" t="s">
        <v>168</v>
      </c>
      <c r="C34" t="s">
        <v>19</v>
      </c>
      <c r="E34" t="s">
        <v>59</v>
      </c>
      <c r="F34" t="s">
        <v>88</v>
      </c>
      <c r="G34">
        <v>1948252900</v>
      </c>
      <c r="H34">
        <v>29.385000000000002</v>
      </c>
      <c r="I34" t="s">
        <v>97</v>
      </c>
      <c r="J34">
        <v>170153144.36817199</v>
      </c>
      <c r="K34">
        <v>162831730.796</v>
      </c>
      <c r="N34">
        <v>168472774.81662899</v>
      </c>
      <c r="O34">
        <v>30.730796999999999</v>
      </c>
      <c r="P34">
        <v>30.842863000000001</v>
      </c>
      <c r="Q34">
        <v>170715450.21277499</v>
      </c>
      <c r="R34">
        <v>36.20055</v>
      </c>
      <c r="S34">
        <v>177981689.83113599</v>
      </c>
      <c r="T34">
        <v>207685531.526611</v>
      </c>
      <c r="U34" t="s">
        <v>96</v>
      </c>
      <c r="V34" t="s">
        <v>208</v>
      </c>
      <c r="W34">
        <v>1</v>
      </c>
      <c r="X34">
        <v>31.81</v>
      </c>
      <c r="Y34">
        <v>29.385000000000002</v>
      </c>
      <c r="Z34">
        <v>1</v>
      </c>
      <c r="AA34">
        <v>57249411466.5</v>
      </c>
      <c r="AB34">
        <f>_xlfn.XLOOKUP(E34,[2]generation_steps!$C$2:$C$5101,[2]generation_steps!$G$2:$G$5101)</f>
        <v>57249411466.5</v>
      </c>
      <c r="AC34">
        <v>8.9654924999999999</v>
      </c>
      <c r="AD34">
        <v>0</v>
      </c>
      <c r="AE34">
        <v>0</v>
      </c>
      <c r="AF34">
        <v>8.9654924999999999</v>
      </c>
      <c r="AG34">
        <v>3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</row>
    <row r="35" spans="1:57" x14ac:dyDescent="0.25">
      <c r="A35">
        <v>3</v>
      </c>
      <c r="B35" t="s">
        <v>256</v>
      </c>
      <c r="C35" t="s">
        <v>273</v>
      </c>
      <c r="E35" t="s">
        <v>290</v>
      </c>
      <c r="F35" t="s">
        <v>94</v>
      </c>
      <c r="G35">
        <v>1797199973</v>
      </c>
      <c r="H35">
        <v>54.4</v>
      </c>
      <c r="I35" t="s">
        <v>97</v>
      </c>
      <c r="J35">
        <v>99692315.117411703</v>
      </c>
      <c r="K35">
        <v>86159215.122666702</v>
      </c>
      <c r="N35">
        <v>85234178.569962099</v>
      </c>
      <c r="O35">
        <v>24.127241000000001</v>
      </c>
      <c r="P35">
        <v>26.022393999999998</v>
      </c>
      <c r="Q35">
        <v>76696295.864549994</v>
      </c>
      <c r="R35">
        <v>23.205466999999999</v>
      </c>
      <c r="S35">
        <v>73898708.7979545</v>
      </c>
      <c r="T35">
        <v>86128671.132137001</v>
      </c>
      <c r="U35" t="s">
        <v>96</v>
      </c>
      <c r="V35" t="s">
        <v>311</v>
      </c>
      <c r="W35">
        <v>1</v>
      </c>
      <c r="X35">
        <v>54.86</v>
      </c>
      <c r="Y35">
        <v>54.4</v>
      </c>
      <c r="Z35">
        <v>0.55000000000000004</v>
      </c>
      <c r="AA35">
        <v>53772223192.160004</v>
      </c>
      <c r="AB35">
        <f>_xlfn.XLOOKUP(E35,[2]generation_steps!$C$2:$C$5101,[2]generation_steps!$G$2:$G$5101)</f>
        <v>53772223192.160004</v>
      </c>
      <c r="AC35">
        <v>21.5287425</v>
      </c>
      <c r="AD35">
        <v>0</v>
      </c>
      <c r="AE35">
        <v>0</v>
      </c>
      <c r="AF35">
        <v>21.5287425</v>
      </c>
      <c r="AG35">
        <v>2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</row>
    <row r="36" spans="1:57" x14ac:dyDescent="0.25">
      <c r="A36">
        <v>87</v>
      </c>
      <c r="B36" t="s">
        <v>182</v>
      </c>
      <c r="C36" t="s">
        <v>18</v>
      </c>
      <c r="E36" t="s">
        <v>58</v>
      </c>
      <c r="F36" t="s">
        <v>89</v>
      </c>
      <c r="G36">
        <v>681394483</v>
      </c>
      <c r="H36">
        <v>78.459999999999994</v>
      </c>
      <c r="I36" t="s">
        <v>97</v>
      </c>
      <c r="J36">
        <v>89187470.845429093</v>
      </c>
      <c r="K36">
        <v>77875664.540000007</v>
      </c>
      <c r="N36">
        <v>76458845.763063699</v>
      </c>
      <c r="O36">
        <v>18.218976999999999</v>
      </c>
      <c r="P36">
        <v>19.518609999999999</v>
      </c>
      <c r="Q36">
        <v>75441701.222443998</v>
      </c>
      <c r="R36">
        <v>19.109919999999999</v>
      </c>
      <c r="S36">
        <v>74833743.850218207</v>
      </c>
      <c r="T36">
        <v>87189947.560488701</v>
      </c>
      <c r="U36" t="s">
        <v>96</v>
      </c>
      <c r="V36" t="s">
        <v>222</v>
      </c>
      <c r="W36">
        <v>1</v>
      </c>
      <c r="X36">
        <v>76.98</v>
      </c>
      <c r="Y36">
        <v>78.459999999999994</v>
      </c>
      <c r="Z36">
        <v>0.95000000000000007</v>
      </c>
      <c r="AA36">
        <v>50789100579.370987</v>
      </c>
      <c r="AB36">
        <f>_xlfn.XLOOKUP(E36,[2]generation_steps!$C$2:$C$5101,[2]generation_steps!$G$2:$G$5101)</f>
        <v>50789100579.370987</v>
      </c>
      <c r="AC36">
        <v>12.54371181</v>
      </c>
      <c r="AD36">
        <v>0</v>
      </c>
      <c r="AE36">
        <v>0</v>
      </c>
      <c r="AF36">
        <v>12.54371181</v>
      </c>
      <c r="AG36">
        <v>2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</row>
    <row r="37" spans="1:57" x14ac:dyDescent="0.25">
      <c r="A37">
        <v>152</v>
      </c>
      <c r="B37" t="s">
        <v>176</v>
      </c>
      <c r="C37" t="s">
        <v>26</v>
      </c>
      <c r="E37" t="s">
        <v>66</v>
      </c>
      <c r="F37" t="s">
        <v>90</v>
      </c>
      <c r="G37">
        <v>3116652000</v>
      </c>
      <c r="H37">
        <v>46.54</v>
      </c>
      <c r="I37" t="s">
        <v>97</v>
      </c>
      <c r="J37">
        <v>109772676.08406</v>
      </c>
      <c r="K37">
        <v>142026480.02399999</v>
      </c>
      <c r="N37">
        <v>106887525.11382601</v>
      </c>
      <c r="O37">
        <v>23.16405</v>
      </c>
      <c r="P37">
        <v>23.343883999999999</v>
      </c>
      <c r="Q37">
        <v>107928229.6776</v>
      </c>
      <c r="R37">
        <v>25.288754999999998</v>
      </c>
      <c r="S37">
        <v>121435820.174242</v>
      </c>
      <c r="T37">
        <v>141326631.93808499</v>
      </c>
      <c r="U37" t="s">
        <v>96</v>
      </c>
      <c r="V37" t="s">
        <v>216</v>
      </c>
      <c r="W37">
        <v>1</v>
      </c>
      <c r="X37">
        <v>54.56</v>
      </c>
      <c r="Y37">
        <v>46.54</v>
      </c>
      <c r="Z37">
        <v>0.35</v>
      </c>
      <c r="AA37">
        <v>50767144428</v>
      </c>
      <c r="AB37">
        <f>_xlfn.XLOOKUP(E37,[2]generation_steps!$C$2:$C$5101,[2]generation_steps!$G$2:$G$5101)</f>
        <v>50767144428</v>
      </c>
      <c r="AC37">
        <v>10.810387499999999</v>
      </c>
      <c r="AD37">
        <v>0</v>
      </c>
      <c r="AE37">
        <v>0</v>
      </c>
      <c r="AF37">
        <v>10.810387499999999</v>
      </c>
      <c r="AG37">
        <v>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</row>
    <row r="38" spans="1:57" x14ac:dyDescent="0.25">
      <c r="A38">
        <v>32</v>
      </c>
      <c r="B38" t="s">
        <v>261</v>
      </c>
      <c r="C38" t="s">
        <v>278</v>
      </c>
      <c r="E38" t="s">
        <v>295</v>
      </c>
      <c r="F38" t="s">
        <v>94</v>
      </c>
      <c r="G38">
        <v>61568926</v>
      </c>
      <c r="H38">
        <v>800.4</v>
      </c>
      <c r="I38" t="s">
        <v>97</v>
      </c>
      <c r="J38">
        <v>49963237.465294197</v>
      </c>
      <c r="K38">
        <v>55411929.293333299</v>
      </c>
      <c r="N38">
        <v>56477555.834469698</v>
      </c>
      <c r="O38">
        <v>32.719334000000003</v>
      </c>
      <c r="P38">
        <v>33.887419999999999</v>
      </c>
      <c r="Q38">
        <v>62904879.689000003</v>
      </c>
      <c r="R38">
        <v>36.607117000000002</v>
      </c>
      <c r="S38">
        <v>71799660.425757498</v>
      </c>
      <c r="T38">
        <v>83818950.664562598</v>
      </c>
      <c r="U38" t="s">
        <v>96</v>
      </c>
      <c r="V38" t="s">
        <v>316</v>
      </c>
      <c r="W38">
        <v>1</v>
      </c>
      <c r="X38">
        <v>726.6</v>
      </c>
      <c r="Y38">
        <v>800.4</v>
      </c>
      <c r="Z38">
        <v>1</v>
      </c>
      <c r="AA38">
        <v>49279768370.400002</v>
      </c>
      <c r="AB38">
        <f>_xlfn.XLOOKUP(E38,[2]generation_steps!$C$2:$C$5101,[2]generation_steps!$G$2:$G$5101)</f>
        <v>49279768370.400002</v>
      </c>
      <c r="AC38">
        <v>24.860810619999999</v>
      </c>
      <c r="AD38">
        <v>0</v>
      </c>
      <c r="AE38">
        <v>0</v>
      </c>
      <c r="AF38">
        <v>24.860810619999999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</row>
    <row r="39" spans="1:57" x14ac:dyDescent="0.25">
      <c r="A39">
        <v>204</v>
      </c>
      <c r="B39" t="s">
        <v>185</v>
      </c>
      <c r="C39" t="s">
        <v>36</v>
      </c>
      <c r="E39" t="s">
        <v>76</v>
      </c>
      <c r="F39" t="s">
        <v>95</v>
      </c>
      <c r="G39">
        <v>3442514600</v>
      </c>
      <c r="H39">
        <v>14.69</v>
      </c>
      <c r="I39" t="s">
        <v>97</v>
      </c>
      <c r="J39">
        <v>66453499.368433803</v>
      </c>
      <c r="K39">
        <v>63414555.982666701</v>
      </c>
      <c r="N39">
        <v>54290958.423692301</v>
      </c>
      <c r="O39">
        <v>18.596834000000001</v>
      </c>
      <c r="P39">
        <v>18.859200999999999</v>
      </c>
      <c r="Q39">
        <v>52763447.971100003</v>
      </c>
      <c r="R39">
        <v>23.394123</v>
      </c>
      <c r="S39">
        <v>54685575.574848503</v>
      </c>
      <c r="T39">
        <v>63718870.813999698</v>
      </c>
      <c r="U39" t="s">
        <v>96</v>
      </c>
      <c r="V39" t="s">
        <v>225</v>
      </c>
      <c r="W39">
        <v>1</v>
      </c>
      <c r="X39">
        <v>15.49</v>
      </c>
      <c r="Y39">
        <v>14.69</v>
      </c>
      <c r="Z39">
        <v>0.95</v>
      </c>
      <c r="AA39">
        <v>48042012500.300003</v>
      </c>
      <c r="AB39">
        <f>_xlfn.XLOOKUP(E39,[2]generation_steps!$C$2:$C$5101,[2]generation_steps!$G$2:$G$5101)</f>
        <v>48042012500.300003</v>
      </c>
      <c r="AC39">
        <v>13.146229999999999</v>
      </c>
      <c r="AD39">
        <v>0</v>
      </c>
      <c r="AE39">
        <v>0</v>
      </c>
      <c r="AF39">
        <v>13.146229999999999</v>
      </c>
      <c r="AG39">
        <v>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</row>
    <row r="40" spans="1:57" x14ac:dyDescent="0.25">
      <c r="A40">
        <v>94</v>
      </c>
      <c r="B40" t="s">
        <v>246</v>
      </c>
      <c r="C40" t="s">
        <v>100</v>
      </c>
      <c r="E40" t="s">
        <v>106</v>
      </c>
      <c r="F40" t="s">
        <v>88</v>
      </c>
      <c r="G40">
        <v>1200000000</v>
      </c>
      <c r="H40">
        <v>43</v>
      </c>
      <c r="I40" t="s">
        <v>97</v>
      </c>
      <c r="J40">
        <v>87052822.919011801</v>
      </c>
      <c r="K40">
        <v>78161804.726999998</v>
      </c>
      <c r="N40">
        <v>68178803.427992404</v>
      </c>
      <c r="O40">
        <v>23.509927999999999</v>
      </c>
      <c r="P40">
        <v>24.419294000000001</v>
      </c>
      <c r="Q40">
        <v>63448323.867550001</v>
      </c>
      <c r="R40">
        <v>26.919172</v>
      </c>
      <c r="S40">
        <v>61781740.444696903</v>
      </c>
      <c r="T40">
        <v>71999492.791794896</v>
      </c>
      <c r="U40" t="s">
        <v>96</v>
      </c>
      <c r="V40" t="s">
        <v>301</v>
      </c>
      <c r="W40">
        <v>1</v>
      </c>
      <c r="X40">
        <v>46.72</v>
      </c>
      <c r="Y40">
        <v>43</v>
      </c>
      <c r="Z40">
        <v>0.85</v>
      </c>
      <c r="AA40">
        <v>43860000000</v>
      </c>
      <c r="AB40">
        <f>_xlfn.XLOOKUP(E40,[2]generation_steps!$C$2:$C$5101,[2]generation_steps!$G$2:$G$5101)</f>
        <v>43860000000</v>
      </c>
      <c r="AC40">
        <v>17.27393125</v>
      </c>
      <c r="AD40">
        <v>0</v>
      </c>
      <c r="AE40">
        <v>0</v>
      </c>
      <c r="AF40">
        <v>17.27393125</v>
      </c>
      <c r="AG40">
        <v>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</row>
    <row r="41" spans="1:57" x14ac:dyDescent="0.25">
      <c r="A41">
        <v>154</v>
      </c>
      <c r="B41" t="s">
        <v>203</v>
      </c>
      <c r="C41" t="s">
        <v>27</v>
      </c>
      <c r="E41" t="s">
        <v>67</v>
      </c>
      <c r="F41" t="s">
        <v>88</v>
      </c>
      <c r="G41">
        <v>1305921100</v>
      </c>
      <c r="H41">
        <v>31.695</v>
      </c>
      <c r="I41" t="s">
        <v>97</v>
      </c>
      <c r="J41">
        <v>142818936.84270799</v>
      </c>
      <c r="K41">
        <v>154722964.08966699</v>
      </c>
      <c r="N41">
        <v>130403003.532235</v>
      </c>
      <c r="O41">
        <v>32.71463</v>
      </c>
      <c r="P41">
        <v>34.115989999999996</v>
      </c>
      <c r="Q41">
        <v>126611680.444575</v>
      </c>
      <c r="R41">
        <v>38.333489999999998</v>
      </c>
      <c r="S41">
        <v>125630830.533409</v>
      </c>
      <c r="T41">
        <v>146351395.30293599</v>
      </c>
      <c r="U41" t="s">
        <v>96</v>
      </c>
      <c r="V41" t="s">
        <v>243</v>
      </c>
      <c r="W41">
        <v>1</v>
      </c>
      <c r="X41">
        <v>36</v>
      </c>
      <c r="Y41">
        <v>31.695</v>
      </c>
      <c r="Z41">
        <v>1</v>
      </c>
      <c r="AA41">
        <v>41391169264.5</v>
      </c>
      <c r="AB41">
        <f>_xlfn.XLOOKUP(E41,[2]generation_steps!$C$2:$C$5101,[2]generation_steps!$G$2:$G$5101)</f>
        <v>41391169264.5</v>
      </c>
      <c r="AC41">
        <v>16.601476250000001</v>
      </c>
      <c r="AD41">
        <v>0</v>
      </c>
      <c r="AE41">
        <v>0</v>
      </c>
      <c r="AF41">
        <v>16.601476250000001</v>
      </c>
      <c r="AG41">
        <v>1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</row>
    <row r="42" spans="1:57" x14ac:dyDescent="0.25">
      <c r="A42">
        <v>93</v>
      </c>
      <c r="B42" t="s">
        <v>184</v>
      </c>
      <c r="C42" t="s">
        <v>20</v>
      </c>
      <c r="E42" t="s">
        <v>60</v>
      </c>
      <c r="F42" t="s">
        <v>88</v>
      </c>
      <c r="G42">
        <v>188300000</v>
      </c>
      <c r="H42">
        <v>218.9</v>
      </c>
      <c r="I42" t="s">
        <v>97</v>
      </c>
      <c r="J42">
        <v>92217904.973122507</v>
      </c>
      <c r="K42">
        <v>87659123.730000004</v>
      </c>
      <c r="N42">
        <v>82567655.923484802</v>
      </c>
      <c r="O42">
        <v>18.901009999999999</v>
      </c>
      <c r="P42">
        <v>19.265366</v>
      </c>
      <c r="Q42">
        <v>80430486.472000003</v>
      </c>
      <c r="R42">
        <v>23.373327</v>
      </c>
      <c r="S42">
        <v>80560922.512878805</v>
      </c>
      <c r="T42">
        <v>93941883.061751395</v>
      </c>
      <c r="U42" t="s">
        <v>96</v>
      </c>
      <c r="V42" t="s">
        <v>224</v>
      </c>
      <c r="W42">
        <v>1</v>
      </c>
      <c r="X42">
        <v>217.4</v>
      </c>
      <c r="Y42">
        <v>218.9</v>
      </c>
      <c r="Z42">
        <v>1</v>
      </c>
      <c r="AA42">
        <v>41218870000</v>
      </c>
      <c r="AB42">
        <f>_xlfn.XLOOKUP(E42,[2]generation_steps!$C$2:$C$5101,[2]generation_steps!$G$2:$G$5101)</f>
        <v>41218870000</v>
      </c>
      <c r="AC42">
        <v>12.979156250000001</v>
      </c>
      <c r="AD42">
        <v>0</v>
      </c>
      <c r="AE42">
        <v>0</v>
      </c>
      <c r="AF42">
        <v>12.979156250000001</v>
      </c>
      <c r="AG42">
        <v>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</row>
    <row r="43" spans="1:57" x14ac:dyDescent="0.25">
      <c r="A43">
        <v>189</v>
      </c>
      <c r="B43" t="s">
        <v>199</v>
      </c>
      <c r="C43" t="s">
        <v>33</v>
      </c>
      <c r="E43" t="s">
        <v>73</v>
      </c>
      <c r="F43" t="s">
        <v>88</v>
      </c>
      <c r="G43">
        <v>962903700</v>
      </c>
      <c r="H43">
        <v>57.02</v>
      </c>
      <c r="I43" t="s">
        <v>97</v>
      </c>
      <c r="J43">
        <v>136324185.154773</v>
      </c>
      <c r="K43">
        <v>120781586.081</v>
      </c>
      <c r="N43">
        <v>108912429.66178</v>
      </c>
      <c r="O43">
        <v>25.013836000000001</v>
      </c>
      <c r="P43">
        <v>25.060022</v>
      </c>
      <c r="Q43">
        <v>108855975.98317499</v>
      </c>
      <c r="R43">
        <v>27.681898</v>
      </c>
      <c r="S43">
        <v>111281305.090985</v>
      </c>
      <c r="T43">
        <v>129699924.29912101</v>
      </c>
      <c r="U43" t="s">
        <v>96</v>
      </c>
      <c r="V43" t="s">
        <v>239</v>
      </c>
      <c r="W43">
        <v>1</v>
      </c>
      <c r="X43">
        <v>60.53</v>
      </c>
      <c r="Y43">
        <v>57.02</v>
      </c>
      <c r="Z43">
        <v>0.75</v>
      </c>
      <c r="AA43">
        <v>41178576730.5</v>
      </c>
      <c r="AB43">
        <f>_xlfn.XLOOKUP(E43,[2]generation_steps!$C$2:$C$5101,[2]generation_steps!$G$2:$G$5101)</f>
        <v>41178576730.5</v>
      </c>
      <c r="AC43">
        <v>15.077518749999999</v>
      </c>
      <c r="AD43">
        <v>0</v>
      </c>
      <c r="AE43">
        <v>0</v>
      </c>
      <c r="AF43">
        <v>15.077518749999999</v>
      </c>
      <c r="AG43">
        <v>3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</row>
    <row r="44" spans="1:57" x14ac:dyDescent="0.25">
      <c r="A44">
        <v>13</v>
      </c>
      <c r="B44" t="s">
        <v>253</v>
      </c>
      <c r="C44" t="s">
        <v>270</v>
      </c>
      <c r="E44" t="s">
        <v>287</v>
      </c>
      <c r="F44" t="s">
        <v>91</v>
      </c>
      <c r="G44">
        <v>31523640</v>
      </c>
      <c r="H44">
        <v>1301</v>
      </c>
      <c r="I44" t="s">
        <v>97</v>
      </c>
      <c r="J44">
        <v>109823749.781176</v>
      </c>
      <c r="K44">
        <v>95677391.346666694</v>
      </c>
      <c r="N44">
        <v>104933001.11287899</v>
      </c>
      <c r="O44">
        <v>32.805312999999998</v>
      </c>
      <c r="P44">
        <v>33.215983999999999</v>
      </c>
      <c r="Q44">
        <v>99682518.983999893</v>
      </c>
      <c r="R44">
        <v>35.799624999999999</v>
      </c>
      <c r="S44">
        <v>91669504.327272698</v>
      </c>
      <c r="T44">
        <v>106864711.33240899</v>
      </c>
      <c r="U44" t="s">
        <v>96</v>
      </c>
      <c r="V44" t="s">
        <v>308</v>
      </c>
      <c r="W44">
        <v>1</v>
      </c>
      <c r="X44">
        <v>1350.4</v>
      </c>
      <c r="Y44">
        <v>1301</v>
      </c>
      <c r="Z44">
        <v>1</v>
      </c>
      <c r="AA44">
        <v>41012255640</v>
      </c>
      <c r="AB44">
        <f>_xlfn.XLOOKUP(E44,[2]generation_steps!$C$2:$C$5101,[2]generation_steps!$G$2:$G$5101)</f>
        <v>41012255640</v>
      </c>
      <c r="AC44">
        <v>19.638052779999999</v>
      </c>
      <c r="AD44">
        <v>0</v>
      </c>
      <c r="AE44">
        <v>0</v>
      </c>
      <c r="AF44">
        <v>19.638052779999999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</row>
    <row r="45" spans="1:57" x14ac:dyDescent="0.25">
      <c r="A45">
        <v>109</v>
      </c>
      <c r="B45" t="s">
        <v>328</v>
      </c>
      <c r="C45" t="s">
        <v>356</v>
      </c>
      <c r="E45" t="s">
        <v>384</v>
      </c>
      <c r="F45" t="s">
        <v>89</v>
      </c>
      <c r="G45">
        <v>2435285011</v>
      </c>
      <c r="H45">
        <v>21.62</v>
      </c>
      <c r="I45" t="s">
        <v>97</v>
      </c>
      <c r="J45">
        <v>91648028.187862799</v>
      </c>
      <c r="K45">
        <v>104576195.347067</v>
      </c>
      <c r="N45">
        <v>79798898.469393998</v>
      </c>
      <c r="O45">
        <v>16.273924000000001</v>
      </c>
      <c r="P45">
        <v>16.579367000000001</v>
      </c>
      <c r="Q45">
        <v>77569150.878999993</v>
      </c>
      <c r="R45">
        <v>19.988634000000001</v>
      </c>
      <c r="S45">
        <v>80919661.931818202</v>
      </c>
      <c r="T45">
        <v>94211911.034526795</v>
      </c>
      <c r="U45" t="s">
        <v>96</v>
      </c>
      <c r="V45" t="s">
        <v>413</v>
      </c>
      <c r="W45">
        <v>1</v>
      </c>
      <c r="X45">
        <v>21.73</v>
      </c>
      <c r="Y45">
        <v>21.62</v>
      </c>
      <c r="Z45">
        <v>0.75</v>
      </c>
      <c r="AA45">
        <v>39488146453.365013</v>
      </c>
      <c r="AB45">
        <f>_xlfn.XLOOKUP(E45,[2]generation_steps!$C$2:$C$5101,[2]generation_steps!$G$2:$G$5101)</f>
        <v>39488146453.364998</v>
      </c>
      <c r="AC45">
        <v>22.7907175</v>
      </c>
      <c r="AD45">
        <v>0</v>
      </c>
      <c r="AE45">
        <v>0</v>
      </c>
      <c r="AF45">
        <v>22.7907175</v>
      </c>
      <c r="AG45">
        <v>2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1</v>
      </c>
      <c r="BE45" t="b">
        <v>1</v>
      </c>
    </row>
    <row r="46" spans="1:57" x14ac:dyDescent="0.25">
      <c r="A46">
        <v>119</v>
      </c>
      <c r="B46" t="s">
        <v>255</v>
      </c>
      <c r="C46" t="s">
        <v>272</v>
      </c>
      <c r="E46" t="s">
        <v>289</v>
      </c>
      <c r="F46" t="s">
        <v>93</v>
      </c>
      <c r="G46">
        <v>193923499</v>
      </c>
      <c r="H46">
        <v>337.2</v>
      </c>
      <c r="I46" t="s">
        <v>97</v>
      </c>
      <c r="J46">
        <v>159191933.28095201</v>
      </c>
      <c r="K46">
        <v>196710223.32333401</v>
      </c>
      <c r="N46">
        <v>161076798.34389299</v>
      </c>
      <c r="O46">
        <v>36.226227000000002</v>
      </c>
      <c r="P46">
        <v>39.110584000000003</v>
      </c>
      <c r="Q46">
        <v>175205141.329</v>
      </c>
      <c r="R46">
        <v>34.986396999999997</v>
      </c>
      <c r="S46">
        <v>196771513.91818199</v>
      </c>
      <c r="T46">
        <v>228887602.858601</v>
      </c>
      <c r="U46" t="s">
        <v>96</v>
      </c>
      <c r="V46" t="s">
        <v>310</v>
      </c>
      <c r="W46">
        <v>1</v>
      </c>
      <c r="X46">
        <v>314.5</v>
      </c>
      <c r="Y46">
        <v>337.2</v>
      </c>
      <c r="Z46">
        <v>0.60000000000000009</v>
      </c>
      <c r="AA46">
        <v>39234602317.680008</v>
      </c>
      <c r="AB46">
        <f>_xlfn.XLOOKUP(E46,[2]generation_steps!$C$2:$C$5101,[2]generation_steps!$G$2:$G$5101)</f>
        <v>39234602317.68</v>
      </c>
      <c r="AC46">
        <v>21.344762500000002</v>
      </c>
      <c r="AD46">
        <v>0</v>
      </c>
      <c r="AE46">
        <v>0</v>
      </c>
      <c r="AF46">
        <v>21.344762500000002</v>
      </c>
      <c r="AG46">
        <v>2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</row>
    <row r="47" spans="1:57" x14ac:dyDescent="0.25">
      <c r="A47">
        <v>54</v>
      </c>
      <c r="B47" t="s">
        <v>263</v>
      </c>
      <c r="C47" t="s">
        <v>280</v>
      </c>
      <c r="E47" t="s">
        <v>297</v>
      </c>
      <c r="F47" t="s">
        <v>88</v>
      </c>
      <c r="G47">
        <v>893854900</v>
      </c>
      <c r="H47">
        <v>43.79</v>
      </c>
      <c r="I47" t="s">
        <v>97</v>
      </c>
      <c r="J47">
        <v>122880079.22833</v>
      </c>
      <c r="K47">
        <v>99043942.280333295</v>
      </c>
      <c r="N47">
        <v>102948988.85159101</v>
      </c>
      <c r="O47">
        <v>24.359500000000001</v>
      </c>
      <c r="P47">
        <v>24.48902</v>
      </c>
      <c r="Q47">
        <v>102183569.09805</v>
      </c>
      <c r="R47">
        <v>26.716286</v>
      </c>
      <c r="S47">
        <v>92868303.067121193</v>
      </c>
      <c r="T47">
        <v>108191934.593705</v>
      </c>
      <c r="U47" t="s">
        <v>96</v>
      </c>
      <c r="V47" t="s">
        <v>318</v>
      </c>
      <c r="W47">
        <v>1</v>
      </c>
      <c r="X47">
        <v>44.52</v>
      </c>
      <c r="Y47">
        <v>43.79</v>
      </c>
      <c r="Z47">
        <v>1</v>
      </c>
      <c r="AA47">
        <v>39141906071</v>
      </c>
      <c r="AB47">
        <f>_xlfn.XLOOKUP(E47,[2]generation_steps!$C$2:$C$5101,[2]generation_steps!$G$2:$G$5101)</f>
        <v>39141906071</v>
      </c>
      <c r="AC47">
        <v>25.368255000000001</v>
      </c>
      <c r="AD47">
        <v>0</v>
      </c>
      <c r="AE47">
        <v>0</v>
      </c>
      <c r="AF47">
        <v>25.368255000000001</v>
      </c>
      <c r="AG47">
        <v>3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</row>
    <row r="48" spans="1:57" x14ac:dyDescent="0.25">
      <c r="A48">
        <v>255</v>
      </c>
      <c r="B48" t="s">
        <v>188</v>
      </c>
      <c r="C48" t="s">
        <v>43</v>
      </c>
      <c r="E48" t="s">
        <v>83</v>
      </c>
      <c r="F48" t="s">
        <v>89</v>
      </c>
      <c r="G48">
        <v>766894786</v>
      </c>
      <c r="H48">
        <v>56.54</v>
      </c>
      <c r="I48" t="s">
        <v>97</v>
      </c>
      <c r="J48">
        <v>116670932.84463499</v>
      </c>
      <c r="K48">
        <v>106274498.25399999</v>
      </c>
      <c r="N48">
        <v>110451050.100033</v>
      </c>
      <c r="O48">
        <v>31.680330000000001</v>
      </c>
      <c r="P48">
        <v>32.316142999999997</v>
      </c>
      <c r="Q48">
        <v>112619549.641993</v>
      </c>
      <c r="R48">
        <v>34.544589999999999</v>
      </c>
      <c r="S48">
        <v>120101190.28756499</v>
      </c>
      <c r="T48">
        <v>139982609.69790301</v>
      </c>
      <c r="U48" t="s">
        <v>96</v>
      </c>
      <c r="V48" t="s">
        <v>228</v>
      </c>
      <c r="W48">
        <v>1</v>
      </c>
      <c r="X48">
        <v>64.36</v>
      </c>
      <c r="Y48">
        <v>56.54</v>
      </c>
      <c r="Z48">
        <v>0.9</v>
      </c>
      <c r="AA48">
        <v>39024208080.396004</v>
      </c>
      <c r="AB48">
        <f>_xlfn.XLOOKUP(E48,[2]generation_steps!$C$2:$C$5101,[2]generation_steps!$G$2:$G$5101)</f>
        <v>39024208080.396004</v>
      </c>
      <c r="AC48">
        <v>13.18949375</v>
      </c>
      <c r="AD48">
        <v>0</v>
      </c>
      <c r="AE48">
        <v>0</v>
      </c>
      <c r="AF48">
        <v>13.18949375</v>
      </c>
      <c r="AG48">
        <v>2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</row>
    <row r="49" spans="1:57" x14ac:dyDescent="0.25">
      <c r="A49">
        <v>236</v>
      </c>
      <c r="B49" t="s">
        <v>250</v>
      </c>
      <c r="C49" t="s">
        <v>267</v>
      </c>
      <c r="E49" t="s">
        <v>284</v>
      </c>
      <c r="F49" t="s">
        <v>89</v>
      </c>
      <c r="G49">
        <v>499067417</v>
      </c>
      <c r="H49">
        <v>81.3</v>
      </c>
      <c r="I49" t="s">
        <v>97</v>
      </c>
      <c r="J49">
        <v>98532482.2670753</v>
      </c>
      <c r="K49">
        <v>82994862.638079897</v>
      </c>
      <c r="N49">
        <v>86660199.673592404</v>
      </c>
      <c r="O49">
        <v>28.463395999999999</v>
      </c>
      <c r="P49">
        <v>28.772099999999998</v>
      </c>
      <c r="Q49">
        <v>87159863.752391994</v>
      </c>
      <c r="R49">
        <v>32.910170000000001</v>
      </c>
      <c r="S49">
        <v>90561594.383093998</v>
      </c>
      <c r="T49">
        <v>105516015.84645601</v>
      </c>
      <c r="U49" t="s">
        <v>96</v>
      </c>
      <c r="V49" t="s">
        <v>305</v>
      </c>
      <c r="W49">
        <v>1</v>
      </c>
      <c r="X49">
        <v>89.16</v>
      </c>
      <c r="Y49">
        <v>81.3</v>
      </c>
      <c r="Z49">
        <v>0.9</v>
      </c>
      <c r="AA49">
        <v>36516762901.889999</v>
      </c>
      <c r="AB49">
        <f>_xlfn.XLOOKUP(E49,[2]generation_steps!$C$2:$C$5101,[2]generation_steps!$G$2:$G$5101)</f>
        <v>36516762901.889999</v>
      </c>
      <c r="AC49">
        <v>18.306936610000001</v>
      </c>
      <c r="AD49">
        <v>0</v>
      </c>
      <c r="AE49">
        <v>0</v>
      </c>
      <c r="AF49">
        <v>18.306936610000001</v>
      </c>
      <c r="AG49">
        <v>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</row>
    <row r="50" spans="1:57" x14ac:dyDescent="0.25">
      <c r="A50">
        <v>98</v>
      </c>
      <c r="B50" t="s">
        <v>324</v>
      </c>
      <c r="C50" t="s">
        <v>352</v>
      </c>
      <c r="E50" t="s">
        <v>380</v>
      </c>
      <c r="F50" t="s">
        <v>88</v>
      </c>
      <c r="G50">
        <v>2641318800</v>
      </c>
      <c r="H50">
        <v>15.5</v>
      </c>
      <c r="I50" t="s">
        <v>97</v>
      </c>
      <c r="J50">
        <v>75787240.674851805</v>
      </c>
      <c r="K50">
        <v>68178826.370000005</v>
      </c>
      <c r="N50">
        <v>64558929.0889204</v>
      </c>
      <c r="O50">
        <v>16.391392</v>
      </c>
      <c r="P50">
        <v>16.318871999999999</v>
      </c>
      <c r="Q50">
        <v>59693199.148474999</v>
      </c>
      <c r="R50">
        <v>19.656117999999999</v>
      </c>
      <c r="S50">
        <v>59440270.1259849</v>
      </c>
      <c r="T50">
        <v>69301798.764840096</v>
      </c>
      <c r="U50" t="s">
        <v>96</v>
      </c>
      <c r="V50" t="s">
        <v>409</v>
      </c>
      <c r="W50">
        <v>1</v>
      </c>
      <c r="X50">
        <v>15.39</v>
      </c>
      <c r="Y50">
        <v>15.5</v>
      </c>
      <c r="Z50">
        <v>0.85</v>
      </c>
      <c r="AA50">
        <v>34799375190</v>
      </c>
      <c r="AB50">
        <f>_xlfn.XLOOKUP(E50,[2]generation_steps!$C$2:$C$5101,[2]generation_steps!$G$2:$G$5101)</f>
        <v>34799375190</v>
      </c>
      <c r="AC50">
        <v>17.090985</v>
      </c>
      <c r="AD50">
        <v>0</v>
      </c>
      <c r="AE50">
        <v>0</v>
      </c>
      <c r="AF50">
        <v>17.090985</v>
      </c>
      <c r="AG50">
        <v>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1</v>
      </c>
      <c r="BE50" t="b">
        <v>1</v>
      </c>
    </row>
    <row r="51" spans="1:57" x14ac:dyDescent="0.25">
      <c r="A51">
        <v>178</v>
      </c>
      <c r="B51" t="s">
        <v>191</v>
      </c>
      <c r="C51" t="s">
        <v>31</v>
      </c>
      <c r="E51" t="s">
        <v>71</v>
      </c>
      <c r="F51" t="s">
        <v>89</v>
      </c>
      <c r="G51">
        <v>262245733</v>
      </c>
      <c r="H51">
        <v>126.85</v>
      </c>
      <c r="I51" t="s">
        <v>97</v>
      </c>
      <c r="J51">
        <v>65263619.848812602</v>
      </c>
      <c r="K51">
        <v>97086327.625039905</v>
      </c>
      <c r="N51">
        <v>70383967.219751507</v>
      </c>
      <c r="O51">
        <v>29.225881999999999</v>
      </c>
      <c r="P51">
        <v>31.214537</v>
      </c>
      <c r="Q51">
        <v>75273279.681071997</v>
      </c>
      <c r="R51">
        <v>29.133050000000001</v>
      </c>
      <c r="S51">
        <v>80639088.683821201</v>
      </c>
      <c r="T51">
        <v>93970508.512403801</v>
      </c>
      <c r="U51" t="s">
        <v>96</v>
      </c>
      <c r="V51" t="s">
        <v>231</v>
      </c>
      <c r="W51">
        <v>1</v>
      </c>
      <c r="X51">
        <v>125.3</v>
      </c>
      <c r="Y51">
        <v>126.85</v>
      </c>
      <c r="Z51">
        <v>1</v>
      </c>
      <c r="AA51">
        <v>33265871231.049999</v>
      </c>
      <c r="AB51">
        <f>_xlfn.XLOOKUP(E51,[2]generation_steps!$C$2:$C$5101,[2]generation_steps!$G$2:$G$5101)</f>
        <v>33265871231.049999</v>
      </c>
      <c r="AC51">
        <v>13.664225</v>
      </c>
      <c r="AD51">
        <v>0</v>
      </c>
      <c r="AE51">
        <v>0</v>
      </c>
      <c r="AF51">
        <v>13.664225</v>
      </c>
      <c r="AG51">
        <v>2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</row>
    <row r="52" spans="1:57" x14ac:dyDescent="0.25">
      <c r="A52">
        <v>135</v>
      </c>
      <c r="B52" t="s">
        <v>196</v>
      </c>
      <c r="C52" t="s">
        <v>24</v>
      </c>
      <c r="E52" t="s">
        <v>64</v>
      </c>
      <c r="F52" t="s">
        <v>93</v>
      </c>
      <c r="G52">
        <v>1549784923</v>
      </c>
      <c r="H52">
        <v>33.01</v>
      </c>
      <c r="I52" t="s">
        <v>97</v>
      </c>
      <c r="J52">
        <v>108863246.977956</v>
      </c>
      <c r="K52">
        <v>75523745.457000002</v>
      </c>
      <c r="N52">
        <v>91219974.853320599</v>
      </c>
      <c r="O52">
        <v>17.125050000000002</v>
      </c>
      <c r="P52">
        <v>17.546258999999999</v>
      </c>
      <c r="Q52">
        <v>73615634.569900006</v>
      </c>
      <c r="R52">
        <v>21.65898</v>
      </c>
      <c r="S52">
        <v>74009122.535757601</v>
      </c>
      <c r="T52">
        <v>86287613.120007694</v>
      </c>
      <c r="U52" t="s">
        <v>96</v>
      </c>
      <c r="V52" t="s">
        <v>236</v>
      </c>
      <c r="W52">
        <v>1</v>
      </c>
      <c r="X52">
        <v>34.49</v>
      </c>
      <c r="Y52">
        <v>33.01</v>
      </c>
      <c r="Z52">
        <v>0.65</v>
      </c>
      <c r="AA52">
        <v>33252960200.349499</v>
      </c>
      <c r="AB52">
        <f>_xlfn.XLOOKUP(E52,[2]generation_steps!$C$2:$C$5101,[2]generation_steps!$G$2:$G$5101)</f>
        <v>33252960200.349499</v>
      </c>
      <c r="AC52">
        <v>14.212459369999999</v>
      </c>
      <c r="AD52">
        <v>0</v>
      </c>
      <c r="AE52">
        <v>0</v>
      </c>
      <c r="AF52">
        <v>14.212459369999999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</row>
    <row r="53" spans="1:57" x14ac:dyDescent="0.25">
      <c r="A53">
        <v>110</v>
      </c>
      <c r="B53" t="s">
        <v>262</v>
      </c>
      <c r="C53" t="s">
        <v>279</v>
      </c>
      <c r="E53" t="s">
        <v>296</v>
      </c>
      <c r="F53" t="s">
        <v>93</v>
      </c>
      <c r="G53">
        <v>3146765114</v>
      </c>
      <c r="H53">
        <v>16.096</v>
      </c>
      <c r="I53" t="s">
        <v>97</v>
      </c>
      <c r="J53">
        <v>166761658.73912701</v>
      </c>
      <c r="K53">
        <v>142515621.64340001</v>
      </c>
      <c r="N53">
        <v>155468087.447649</v>
      </c>
      <c r="O53">
        <v>14.851141999999999</v>
      </c>
      <c r="P53">
        <v>14.622597000000001</v>
      </c>
      <c r="Q53">
        <v>151581012.86406001</v>
      </c>
      <c r="R53">
        <v>21.121368</v>
      </c>
      <c r="S53">
        <v>161055156.45449999</v>
      </c>
      <c r="T53">
        <v>187677318.683135</v>
      </c>
      <c r="U53" t="s">
        <v>96</v>
      </c>
      <c r="V53" t="s">
        <v>317</v>
      </c>
      <c r="W53">
        <v>1</v>
      </c>
      <c r="X53">
        <v>15.6</v>
      </c>
      <c r="Y53">
        <v>16.096</v>
      </c>
      <c r="Z53">
        <v>0.65</v>
      </c>
      <c r="AA53">
        <v>32922715328.7136</v>
      </c>
      <c r="AB53">
        <f>_xlfn.XLOOKUP(E53,[2]generation_steps!$C$2:$C$5101,[2]generation_steps!$G$2:$G$5101)</f>
        <v>32922715328.7136</v>
      </c>
      <c r="AC53">
        <v>24.906737499999998</v>
      </c>
      <c r="AD53">
        <v>0</v>
      </c>
      <c r="AE53">
        <v>0</v>
      </c>
      <c r="AF53">
        <v>24.906737499999998</v>
      </c>
      <c r="AG53">
        <v>2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</row>
    <row r="54" spans="1:57" x14ac:dyDescent="0.25">
      <c r="A54">
        <v>72</v>
      </c>
      <c r="B54" t="s">
        <v>169</v>
      </c>
      <c r="C54" t="s">
        <v>17</v>
      </c>
      <c r="E54" t="s">
        <v>57</v>
      </c>
      <c r="F54" t="s">
        <v>90</v>
      </c>
      <c r="G54">
        <v>7085565400</v>
      </c>
      <c r="H54">
        <v>9.2539999999999996</v>
      </c>
      <c r="I54" t="s">
        <v>97</v>
      </c>
      <c r="J54">
        <v>62448678.087694898</v>
      </c>
      <c r="K54">
        <v>135073762.49853301</v>
      </c>
      <c r="N54">
        <v>58951377.241015203</v>
      </c>
      <c r="O54">
        <v>22.261782</v>
      </c>
      <c r="P54">
        <v>21.866230000000002</v>
      </c>
      <c r="Q54">
        <v>59991050.236759998</v>
      </c>
      <c r="R54">
        <v>29.400314000000002</v>
      </c>
      <c r="S54">
        <v>67273797.403015196</v>
      </c>
      <c r="T54">
        <v>78123008.163468003</v>
      </c>
      <c r="U54" t="s">
        <v>96</v>
      </c>
      <c r="V54" t="s">
        <v>209</v>
      </c>
      <c r="W54">
        <v>1</v>
      </c>
      <c r="X54">
        <v>10.16</v>
      </c>
      <c r="Y54">
        <v>9.2539999999999996</v>
      </c>
      <c r="Z54">
        <v>0.5</v>
      </c>
      <c r="AA54">
        <v>32784911105.799999</v>
      </c>
      <c r="AB54">
        <f>_xlfn.XLOOKUP(E54,[2]generation_steps!$C$2:$C$5101,[2]generation_steps!$G$2:$G$5101)</f>
        <v>32784911105.799999</v>
      </c>
      <c r="AC54">
        <v>9.5090000000000003</v>
      </c>
      <c r="AD54">
        <v>0</v>
      </c>
      <c r="AE54">
        <v>0</v>
      </c>
      <c r="AF54">
        <v>9.5090000000000003</v>
      </c>
      <c r="AG54">
        <v>2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</row>
    <row r="55" spans="1:57" x14ac:dyDescent="0.25">
      <c r="A55">
        <v>18</v>
      </c>
      <c r="B55" t="s">
        <v>248</v>
      </c>
      <c r="C55" t="s">
        <v>266</v>
      </c>
      <c r="E55" t="s">
        <v>283</v>
      </c>
      <c r="F55" t="s">
        <v>91</v>
      </c>
      <c r="G55">
        <v>896939468</v>
      </c>
      <c r="H55">
        <v>35.32</v>
      </c>
      <c r="I55" t="s">
        <v>97</v>
      </c>
      <c r="J55">
        <v>72184738.335451007</v>
      </c>
      <c r="K55">
        <v>58839060.653666697</v>
      </c>
      <c r="N55">
        <v>61311080.764507599</v>
      </c>
      <c r="O55">
        <v>13.654821</v>
      </c>
      <c r="P55">
        <v>13.567313</v>
      </c>
      <c r="Q55">
        <v>59486377.781999998</v>
      </c>
      <c r="R55">
        <v>16.369812</v>
      </c>
      <c r="S55">
        <v>58854184.471287899</v>
      </c>
      <c r="T55">
        <v>68591726.965471104</v>
      </c>
      <c r="U55" t="s">
        <v>96</v>
      </c>
      <c r="V55" t="s">
        <v>303</v>
      </c>
      <c r="W55">
        <v>1</v>
      </c>
      <c r="X55">
        <v>34.67</v>
      </c>
      <c r="Y55">
        <v>35.32</v>
      </c>
      <c r="Z55">
        <v>1</v>
      </c>
      <c r="AA55">
        <v>31679902009.759998</v>
      </c>
      <c r="AB55">
        <f>_xlfn.XLOOKUP(E55,[2]generation_steps!$C$2:$C$5101,[2]generation_steps!$G$2:$G$5101)</f>
        <v>31679902009.759998</v>
      </c>
      <c r="AC55">
        <v>17.824124999999999</v>
      </c>
      <c r="AD55">
        <v>0</v>
      </c>
      <c r="AE55">
        <v>0</v>
      </c>
      <c r="AF55">
        <v>17.824124999999999</v>
      </c>
      <c r="AG55">
        <v>2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</row>
    <row r="56" spans="1:57" x14ac:dyDescent="0.25">
      <c r="A56">
        <v>233</v>
      </c>
      <c r="B56" t="s">
        <v>338</v>
      </c>
      <c r="C56" t="s">
        <v>366</v>
      </c>
      <c r="E56" t="s">
        <v>394</v>
      </c>
      <c r="F56" t="s">
        <v>88</v>
      </c>
      <c r="G56">
        <v>743841200</v>
      </c>
      <c r="H56">
        <v>44.04</v>
      </c>
      <c r="I56" t="s">
        <v>97</v>
      </c>
      <c r="J56">
        <v>77436450.368181795</v>
      </c>
      <c r="K56">
        <v>95247136.475999996</v>
      </c>
      <c r="N56">
        <v>68392421.3998864</v>
      </c>
      <c r="O56">
        <v>22.598922999999999</v>
      </c>
      <c r="P56">
        <v>24.297080000000001</v>
      </c>
      <c r="Q56">
        <v>66190049.507799998</v>
      </c>
      <c r="R56">
        <v>23.352789000000001</v>
      </c>
      <c r="S56">
        <v>71529820.676515102</v>
      </c>
      <c r="T56">
        <v>83313798.456460893</v>
      </c>
      <c r="U56" t="s">
        <v>96</v>
      </c>
      <c r="V56" t="s">
        <v>423</v>
      </c>
      <c r="W56">
        <v>1</v>
      </c>
      <c r="X56">
        <v>43.88</v>
      </c>
      <c r="Y56">
        <v>44.04</v>
      </c>
      <c r="Z56">
        <v>0.9</v>
      </c>
      <c r="AA56">
        <v>29482889803.200001</v>
      </c>
      <c r="AB56">
        <f>_xlfn.XLOOKUP(E56,[2]generation_steps!$C$2:$C$5101,[2]generation_steps!$G$2:$G$5101)</f>
        <v>29482889803.200001</v>
      </c>
      <c r="AC56">
        <v>22.380076469999999</v>
      </c>
      <c r="AD56">
        <v>0</v>
      </c>
      <c r="AE56">
        <v>0</v>
      </c>
      <c r="AF56">
        <v>22.380076469999999</v>
      </c>
      <c r="AG56">
        <v>2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3</v>
      </c>
      <c r="AP56">
        <v>0</v>
      </c>
      <c r="AQ56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1</v>
      </c>
      <c r="BE56" t="b">
        <v>1</v>
      </c>
    </row>
    <row r="57" spans="1:57" x14ac:dyDescent="0.25">
      <c r="A57">
        <v>278</v>
      </c>
      <c r="B57" t="s">
        <v>193</v>
      </c>
      <c r="C57" t="s">
        <v>44</v>
      </c>
      <c r="E57" t="s">
        <v>84</v>
      </c>
      <c r="F57" t="s">
        <v>94</v>
      </c>
      <c r="G57">
        <v>194505658</v>
      </c>
      <c r="H57">
        <v>233</v>
      </c>
      <c r="I57" t="s">
        <v>97</v>
      </c>
      <c r="J57">
        <v>46280059.667941198</v>
      </c>
      <c r="K57">
        <v>71796824.333333299</v>
      </c>
      <c r="N57">
        <v>47399485.4778409</v>
      </c>
      <c r="O57">
        <v>35.705143</v>
      </c>
      <c r="P57">
        <v>37.489359999999998</v>
      </c>
      <c r="Q57">
        <v>50837791.406499997</v>
      </c>
      <c r="R57">
        <v>40.620586000000003</v>
      </c>
      <c r="S57">
        <v>58454084.428030297</v>
      </c>
      <c r="T57">
        <v>68076770.024208993</v>
      </c>
      <c r="U57" t="s">
        <v>96</v>
      </c>
      <c r="V57" t="s">
        <v>233</v>
      </c>
      <c r="W57">
        <v>1</v>
      </c>
      <c r="X57">
        <v>237.5</v>
      </c>
      <c r="Y57">
        <v>233</v>
      </c>
      <c r="Z57">
        <v>0.65</v>
      </c>
      <c r="AA57">
        <v>29457881904.099998</v>
      </c>
      <c r="AB57">
        <f>_xlfn.XLOOKUP(E57,[2]generation_steps!$C$2:$C$5101,[2]generation_steps!$G$2:$G$5101)</f>
        <v>29457881904.099998</v>
      </c>
      <c r="AC57">
        <v>13.747198750000001</v>
      </c>
      <c r="AD57">
        <v>0</v>
      </c>
      <c r="AE57">
        <v>0</v>
      </c>
      <c r="AF57">
        <v>13.747198750000001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</row>
    <row r="58" spans="1:57" x14ac:dyDescent="0.25">
      <c r="A58">
        <v>111</v>
      </c>
      <c r="B58" t="s">
        <v>195</v>
      </c>
      <c r="C58" t="s">
        <v>22</v>
      </c>
      <c r="E58" t="s">
        <v>62</v>
      </c>
      <c r="F58" t="s">
        <v>92</v>
      </c>
      <c r="G58">
        <v>410514370</v>
      </c>
      <c r="H58">
        <v>89.1</v>
      </c>
      <c r="I58" t="s">
        <v>97</v>
      </c>
      <c r="J58">
        <v>31702419.823537499</v>
      </c>
      <c r="K58">
        <v>25312122.309999999</v>
      </c>
      <c r="N58">
        <v>28344772.147348501</v>
      </c>
      <c r="O58">
        <v>24.85248</v>
      </c>
      <c r="P58">
        <v>25.278890000000001</v>
      </c>
      <c r="Q58">
        <v>26797077.719000001</v>
      </c>
      <c r="R58">
        <v>31.482230000000001</v>
      </c>
      <c r="S58">
        <v>27409353.796969701</v>
      </c>
      <c r="T58">
        <v>31962163.378448799</v>
      </c>
      <c r="U58" t="s">
        <v>96</v>
      </c>
      <c r="V58" t="s">
        <v>235</v>
      </c>
      <c r="W58">
        <v>1</v>
      </c>
      <c r="X58">
        <v>98.6</v>
      </c>
      <c r="Y58">
        <v>89.1</v>
      </c>
      <c r="Z58">
        <v>0.8</v>
      </c>
      <c r="AA58">
        <v>29261464293.599998</v>
      </c>
      <c r="AB58">
        <f>_xlfn.XLOOKUP(E58,[2]generation_steps!$C$2:$C$5101,[2]generation_steps!$G$2:$G$5101)</f>
        <v>29261464293.599998</v>
      </c>
      <c r="AC58">
        <v>14.175106250000001</v>
      </c>
      <c r="AD58">
        <v>0</v>
      </c>
      <c r="AE58">
        <v>0</v>
      </c>
      <c r="AF58">
        <v>14.175106250000001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</row>
    <row r="59" spans="1:57" x14ac:dyDescent="0.25">
      <c r="A59">
        <v>203</v>
      </c>
      <c r="B59" t="s">
        <v>171</v>
      </c>
      <c r="C59" t="s">
        <v>35</v>
      </c>
      <c r="E59" t="s">
        <v>75</v>
      </c>
      <c r="F59" t="s">
        <v>95</v>
      </c>
      <c r="G59">
        <v>5742239700</v>
      </c>
      <c r="H59">
        <v>5.13</v>
      </c>
      <c r="I59" t="s">
        <v>97</v>
      </c>
      <c r="J59">
        <v>57797345.7651807</v>
      </c>
      <c r="K59">
        <v>77090096.5693333</v>
      </c>
      <c r="N59">
        <v>60440865.205615401</v>
      </c>
      <c r="O59">
        <v>44.634284999999998</v>
      </c>
      <c r="P59">
        <v>48.75582</v>
      </c>
      <c r="Q59">
        <v>67323848.028799996</v>
      </c>
      <c r="R59">
        <v>42.792059999999999</v>
      </c>
      <c r="S59">
        <v>83697742.174999997</v>
      </c>
      <c r="T59">
        <v>97482564.918623894</v>
      </c>
      <c r="U59" t="s">
        <v>96</v>
      </c>
      <c r="V59" t="s">
        <v>211</v>
      </c>
      <c r="W59">
        <v>1</v>
      </c>
      <c r="X59">
        <v>5.2779999999999996</v>
      </c>
      <c r="Y59">
        <v>5.13</v>
      </c>
      <c r="Z59">
        <v>0.95</v>
      </c>
      <c r="AA59">
        <v>27984805177.950001</v>
      </c>
      <c r="AB59">
        <f>_xlfn.XLOOKUP(E59,[2]generation_steps!$C$2:$C$5101,[2]generation_steps!$G$2:$G$5101)</f>
        <v>27984805177.950001</v>
      </c>
      <c r="AC59">
        <v>9.6503237500000001</v>
      </c>
      <c r="AD59">
        <v>0</v>
      </c>
      <c r="AE59">
        <v>0</v>
      </c>
      <c r="AF59">
        <v>9.6503237500000001</v>
      </c>
      <c r="AG59">
        <v>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</row>
    <row r="60" spans="1:57" x14ac:dyDescent="0.25">
      <c r="A60">
        <v>234</v>
      </c>
      <c r="B60" t="s">
        <v>251</v>
      </c>
      <c r="C60" t="s">
        <v>268</v>
      </c>
      <c r="E60" t="s">
        <v>285</v>
      </c>
      <c r="F60" t="s">
        <v>298</v>
      </c>
      <c r="G60">
        <v>1052132848</v>
      </c>
      <c r="H60">
        <v>26.54</v>
      </c>
      <c r="I60" t="s">
        <v>97</v>
      </c>
      <c r="J60">
        <v>51215041.609991297</v>
      </c>
      <c r="K60">
        <v>40648881.130053297</v>
      </c>
      <c r="N60">
        <v>57538913.375477999</v>
      </c>
      <c r="O60">
        <v>26.424123999999999</v>
      </c>
      <c r="P60">
        <v>26.347276999999998</v>
      </c>
      <c r="Q60">
        <v>42718725.341025002</v>
      </c>
      <c r="R60">
        <v>28.947744</v>
      </c>
      <c r="S60">
        <v>45869902.577095501</v>
      </c>
      <c r="T60">
        <v>53505816.884655297</v>
      </c>
      <c r="U60" t="s">
        <v>96</v>
      </c>
      <c r="V60" t="s">
        <v>306</v>
      </c>
      <c r="W60">
        <v>1</v>
      </c>
      <c r="X60">
        <v>29.52</v>
      </c>
      <c r="Y60">
        <v>26.54</v>
      </c>
      <c r="Z60">
        <v>1</v>
      </c>
      <c r="AA60">
        <v>27923605785.919998</v>
      </c>
      <c r="AB60">
        <f>_xlfn.XLOOKUP(E60,[2]generation_steps!$C$2:$C$5101,[2]generation_steps!$G$2:$G$5101)</f>
        <v>27923605785.919998</v>
      </c>
      <c r="AC60">
        <v>19.444175000000001</v>
      </c>
      <c r="AD60">
        <v>0</v>
      </c>
      <c r="AE60">
        <v>0</v>
      </c>
      <c r="AF60">
        <v>19.444175000000001</v>
      </c>
      <c r="AG60">
        <v>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</row>
    <row r="61" spans="1:57" x14ac:dyDescent="0.25">
      <c r="A61">
        <v>27</v>
      </c>
      <c r="B61" t="s">
        <v>198</v>
      </c>
      <c r="C61" t="s">
        <v>11</v>
      </c>
      <c r="E61" t="s">
        <v>51</v>
      </c>
      <c r="F61" t="s">
        <v>90</v>
      </c>
      <c r="G61">
        <v>450499200</v>
      </c>
      <c r="H61">
        <v>61.84</v>
      </c>
      <c r="I61" t="s">
        <v>97</v>
      </c>
      <c r="J61">
        <v>47681926.781686299</v>
      </c>
      <c r="K61">
        <v>42585387.600000001</v>
      </c>
      <c r="N61">
        <v>41836326.664696999</v>
      </c>
      <c r="O61">
        <v>20.287405</v>
      </c>
      <c r="P61">
        <v>18.934443000000002</v>
      </c>
      <c r="Q61">
        <v>39456026.0022</v>
      </c>
      <c r="R61">
        <v>25.379947999999999</v>
      </c>
      <c r="S61">
        <v>40071937.1187879</v>
      </c>
      <c r="T61">
        <v>46709167.596201099</v>
      </c>
      <c r="U61" t="s">
        <v>96</v>
      </c>
      <c r="V61" t="s">
        <v>238</v>
      </c>
      <c r="W61">
        <v>1</v>
      </c>
      <c r="X61">
        <v>62.2</v>
      </c>
      <c r="Y61">
        <v>61.84</v>
      </c>
      <c r="Z61">
        <v>1</v>
      </c>
      <c r="AA61">
        <v>27858870528</v>
      </c>
      <c r="AB61">
        <f>_xlfn.XLOOKUP(E61,[2]generation_steps!$C$2:$C$5101,[2]generation_steps!$G$2:$G$5101)</f>
        <v>27858870528</v>
      </c>
      <c r="AC61">
        <v>14.366175</v>
      </c>
      <c r="AD61">
        <v>0</v>
      </c>
      <c r="AE61">
        <v>0</v>
      </c>
      <c r="AF61">
        <v>14.366175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</row>
    <row r="62" spans="1:57" x14ac:dyDescent="0.25">
      <c r="A62">
        <v>56</v>
      </c>
      <c r="B62" t="s">
        <v>322</v>
      </c>
      <c r="C62" t="s">
        <v>350</v>
      </c>
      <c r="E62" t="s">
        <v>378</v>
      </c>
      <c r="F62" t="s">
        <v>88</v>
      </c>
      <c r="G62">
        <v>982424100</v>
      </c>
      <c r="H62">
        <v>27.585000000000001</v>
      </c>
      <c r="I62" t="s">
        <v>97</v>
      </c>
      <c r="J62">
        <v>80528977.131104693</v>
      </c>
      <c r="K62">
        <v>64711634.033</v>
      </c>
      <c r="N62">
        <v>70798654.328465894</v>
      </c>
      <c r="O62">
        <v>32.553542999999998</v>
      </c>
      <c r="P62">
        <v>32.919840000000001</v>
      </c>
      <c r="Q62">
        <v>65891736.374425001</v>
      </c>
      <c r="R62">
        <v>36.567383</v>
      </c>
      <c r="S62">
        <v>59831212.094962098</v>
      </c>
      <c r="T62">
        <v>69761047.993120596</v>
      </c>
      <c r="U62" t="s">
        <v>96</v>
      </c>
      <c r="V62" t="s">
        <v>407</v>
      </c>
      <c r="W62">
        <v>1</v>
      </c>
      <c r="X62">
        <v>35.055</v>
      </c>
      <c r="Y62">
        <v>27.585000000000001</v>
      </c>
      <c r="Z62">
        <v>1</v>
      </c>
      <c r="AA62">
        <v>27100168798.5</v>
      </c>
      <c r="AB62">
        <f>_xlfn.XLOOKUP(E62,[2]generation_steps!$C$2:$C$5101,[2]generation_steps!$G$2:$G$5101)</f>
        <v>27100168798.5</v>
      </c>
      <c r="AC62">
        <v>22.2272125</v>
      </c>
      <c r="AD62">
        <v>0</v>
      </c>
      <c r="AE62">
        <v>0</v>
      </c>
      <c r="AF62">
        <v>22.2272125</v>
      </c>
      <c r="AG62">
        <v>5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t="b">
        <v>1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1</v>
      </c>
    </row>
    <row r="63" spans="1:57" x14ac:dyDescent="0.25">
      <c r="A63">
        <v>11</v>
      </c>
      <c r="B63" t="s">
        <v>179</v>
      </c>
      <c r="C63" t="s">
        <v>8</v>
      </c>
      <c r="E63" t="s">
        <v>48</v>
      </c>
      <c r="F63" t="s">
        <v>88</v>
      </c>
      <c r="G63">
        <v>180000000</v>
      </c>
      <c r="H63">
        <v>151.6</v>
      </c>
      <c r="I63" t="s">
        <v>97</v>
      </c>
      <c r="J63">
        <v>107899259.43547399</v>
      </c>
      <c r="K63">
        <v>89920548.676666707</v>
      </c>
      <c r="N63">
        <v>100136664.235227</v>
      </c>
      <c r="O63">
        <v>33.168934</v>
      </c>
      <c r="P63">
        <v>34.763446999999999</v>
      </c>
      <c r="Q63">
        <v>102936456.99225</v>
      </c>
      <c r="R63">
        <v>35.543674000000003</v>
      </c>
      <c r="S63">
        <v>99318391.576894</v>
      </c>
      <c r="T63">
        <v>115732872.619123</v>
      </c>
      <c r="U63" t="s">
        <v>96</v>
      </c>
      <c r="V63" t="s">
        <v>219</v>
      </c>
      <c r="W63">
        <v>1</v>
      </c>
      <c r="X63">
        <v>168.55</v>
      </c>
      <c r="Y63">
        <v>151.6</v>
      </c>
      <c r="Z63">
        <v>0.95</v>
      </c>
      <c r="AA63">
        <v>25923600000</v>
      </c>
      <c r="AB63">
        <f>_xlfn.XLOOKUP(E63,[2]generation_steps!$C$2:$C$5101,[2]generation_steps!$G$2:$G$5101)</f>
        <v>25923600000</v>
      </c>
      <c r="AC63">
        <v>11.92034643</v>
      </c>
      <c r="AD63">
        <v>0</v>
      </c>
      <c r="AE63">
        <v>0</v>
      </c>
      <c r="AF63">
        <v>11.92034643</v>
      </c>
      <c r="AG63">
        <v>2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</row>
    <row r="64" spans="1:57" x14ac:dyDescent="0.25">
      <c r="A64">
        <v>120</v>
      </c>
      <c r="B64" t="s">
        <v>249</v>
      </c>
      <c r="C64" t="s">
        <v>101</v>
      </c>
      <c r="E64" t="s">
        <v>107</v>
      </c>
      <c r="F64" t="s">
        <v>90</v>
      </c>
      <c r="G64">
        <v>733755400</v>
      </c>
      <c r="H64">
        <v>54.12</v>
      </c>
      <c r="I64" t="s">
        <v>97</v>
      </c>
      <c r="J64">
        <v>51002020.729353704</v>
      </c>
      <c r="K64">
        <v>58492804.093999997</v>
      </c>
      <c r="N64">
        <v>54577960.631919697</v>
      </c>
      <c r="O64">
        <v>15.262444</v>
      </c>
      <c r="P64">
        <v>16.152155</v>
      </c>
      <c r="Q64">
        <v>54200476.420649998</v>
      </c>
      <c r="R64">
        <v>20.350206</v>
      </c>
      <c r="S64">
        <v>66943113.751287803</v>
      </c>
      <c r="T64">
        <v>78004976.785517395</v>
      </c>
      <c r="U64" t="s">
        <v>96</v>
      </c>
      <c r="V64" t="s">
        <v>304</v>
      </c>
      <c r="W64">
        <v>1</v>
      </c>
      <c r="X64">
        <v>57.08</v>
      </c>
      <c r="Y64">
        <v>54.12</v>
      </c>
      <c r="Z64">
        <v>0.65</v>
      </c>
      <c r="AA64">
        <v>25812047461.200001</v>
      </c>
      <c r="AB64">
        <f>_xlfn.XLOOKUP(E64,[2]generation_steps!$C$2:$C$5101,[2]generation_steps!$G$2:$G$5101)</f>
        <v>25812047461.200001</v>
      </c>
      <c r="AC64">
        <v>17.844826550000001</v>
      </c>
      <c r="AD64">
        <v>0</v>
      </c>
      <c r="AE64">
        <v>0</v>
      </c>
      <c r="AF64">
        <v>17.844826550000001</v>
      </c>
      <c r="AG64">
        <v>2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</row>
    <row r="65" spans="1:57" x14ac:dyDescent="0.25">
      <c r="A65">
        <v>142</v>
      </c>
      <c r="B65" t="s">
        <v>258</v>
      </c>
      <c r="C65" t="s">
        <v>275</v>
      </c>
      <c r="E65" t="s">
        <v>292</v>
      </c>
      <c r="F65" t="s">
        <v>88</v>
      </c>
      <c r="G65">
        <v>178430760</v>
      </c>
      <c r="H65">
        <v>206.3</v>
      </c>
      <c r="I65" t="s">
        <v>97</v>
      </c>
      <c r="J65">
        <v>69702260.553656206</v>
      </c>
      <c r="K65">
        <v>72000492.670000002</v>
      </c>
      <c r="N65">
        <v>66718540.974431798</v>
      </c>
      <c r="O65">
        <v>30.315538</v>
      </c>
      <c r="P65">
        <v>29.516715999999999</v>
      </c>
      <c r="Q65">
        <v>62431880.27375</v>
      </c>
      <c r="R65">
        <v>34.222735999999998</v>
      </c>
      <c r="S65">
        <v>61645977.8102272</v>
      </c>
      <c r="T65">
        <v>71836006.321187899</v>
      </c>
      <c r="U65" t="s">
        <v>96</v>
      </c>
      <c r="V65" t="s">
        <v>313</v>
      </c>
      <c r="W65">
        <v>1</v>
      </c>
      <c r="X65">
        <v>223.8</v>
      </c>
      <c r="Y65">
        <v>206.3</v>
      </c>
      <c r="Z65">
        <v>0.7</v>
      </c>
      <c r="AA65">
        <v>25767186051.599998</v>
      </c>
      <c r="AB65">
        <f>_xlfn.XLOOKUP(E65,[2]generation_steps!$C$2:$C$5101,[2]generation_steps!$G$2:$G$5101)</f>
        <v>25767186051.599998</v>
      </c>
      <c r="AC65">
        <v>23.745904110000001</v>
      </c>
      <c r="AD65">
        <v>0</v>
      </c>
      <c r="AE65">
        <v>0</v>
      </c>
      <c r="AF65">
        <v>23.745904110000001</v>
      </c>
      <c r="AG65">
        <v>2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</row>
    <row r="66" spans="1:57" x14ac:dyDescent="0.25">
      <c r="A66">
        <v>238</v>
      </c>
      <c r="B66" t="s">
        <v>192</v>
      </c>
      <c r="C66" t="s">
        <v>39</v>
      </c>
      <c r="E66" t="s">
        <v>79</v>
      </c>
      <c r="F66" t="s">
        <v>95</v>
      </c>
      <c r="G66">
        <v>2669754000</v>
      </c>
      <c r="H66">
        <v>9.9540000000000006</v>
      </c>
      <c r="I66" t="s">
        <v>97</v>
      </c>
      <c r="J66">
        <v>29063627.203413598</v>
      </c>
      <c r="K66">
        <v>30247059.484666701</v>
      </c>
      <c r="N66">
        <v>27726956.0843077</v>
      </c>
      <c r="O66">
        <v>13.247197999999999</v>
      </c>
      <c r="P66">
        <v>13.865957999999999</v>
      </c>
      <c r="Q66">
        <v>27315858.8838</v>
      </c>
      <c r="R66">
        <v>17.619641999999999</v>
      </c>
      <c r="S66">
        <v>27913699.4480303</v>
      </c>
      <c r="T66">
        <v>32527837.379808702</v>
      </c>
      <c r="U66" t="s">
        <v>96</v>
      </c>
      <c r="V66" t="s">
        <v>232</v>
      </c>
      <c r="W66">
        <v>1</v>
      </c>
      <c r="X66">
        <v>10.039999999999999</v>
      </c>
      <c r="Y66">
        <v>9.9540000000000006</v>
      </c>
      <c r="Z66">
        <v>0.95</v>
      </c>
      <c r="AA66">
        <v>25245994750.200001</v>
      </c>
      <c r="AB66">
        <f>_xlfn.XLOOKUP(E66,[2]generation_steps!$C$2:$C$5101,[2]generation_steps!$G$2:$G$5101)</f>
        <v>25245994750.200001</v>
      </c>
      <c r="AC66">
        <v>13.718951880000001</v>
      </c>
      <c r="AD66">
        <v>0</v>
      </c>
      <c r="AE66">
        <v>0</v>
      </c>
      <c r="AF66">
        <v>13.718951880000001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</row>
    <row r="67" spans="1:57" x14ac:dyDescent="0.25">
      <c r="A67">
        <v>279</v>
      </c>
      <c r="B67" t="s">
        <v>172</v>
      </c>
      <c r="C67" t="s">
        <v>45</v>
      </c>
      <c r="E67" t="s">
        <v>85</v>
      </c>
      <c r="F67" t="s">
        <v>91</v>
      </c>
      <c r="G67">
        <v>1834181554</v>
      </c>
      <c r="H67">
        <v>22.61</v>
      </c>
      <c r="I67" t="s">
        <v>97</v>
      </c>
      <c r="J67">
        <v>46598460.615490198</v>
      </c>
      <c r="K67">
        <v>39786466.410666697</v>
      </c>
      <c r="N67">
        <v>47611055.378674202</v>
      </c>
      <c r="O67">
        <v>25.067509000000001</v>
      </c>
      <c r="P67">
        <v>25.950218</v>
      </c>
      <c r="Q67">
        <v>39603259.70025</v>
      </c>
      <c r="R67">
        <v>26.648779999999999</v>
      </c>
      <c r="S67">
        <v>39325563.061590903</v>
      </c>
      <c r="T67">
        <v>45813287.164494</v>
      </c>
      <c r="U67" t="s">
        <v>96</v>
      </c>
      <c r="V67" t="s">
        <v>212</v>
      </c>
      <c r="W67">
        <v>1</v>
      </c>
      <c r="X67">
        <v>21.72</v>
      </c>
      <c r="Y67">
        <v>22.61</v>
      </c>
      <c r="Z67">
        <v>0.60000000000000009</v>
      </c>
      <c r="AA67">
        <v>24882506961.563999</v>
      </c>
      <c r="AB67">
        <f>_xlfn.XLOOKUP(E67,[2]generation_steps!$C$2:$C$5101,[2]generation_steps!$G$2:$G$5101)</f>
        <v>24882506961.564011</v>
      </c>
      <c r="AC67">
        <v>9.7401696399999995</v>
      </c>
      <c r="AD67">
        <v>0</v>
      </c>
      <c r="AE67">
        <v>0</v>
      </c>
      <c r="AF67">
        <v>9.7401696399999995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</row>
    <row r="68" spans="1:57" x14ac:dyDescent="0.25">
      <c r="A68">
        <v>165</v>
      </c>
      <c r="B68" t="s">
        <v>174</v>
      </c>
      <c r="C68" t="s">
        <v>30</v>
      </c>
      <c r="E68" t="s">
        <v>70</v>
      </c>
      <c r="F68" t="s">
        <v>94</v>
      </c>
      <c r="G68">
        <v>417544151</v>
      </c>
      <c r="H68">
        <v>105.35</v>
      </c>
      <c r="I68" t="s">
        <v>97</v>
      </c>
      <c r="J68">
        <v>39495466.120313801</v>
      </c>
      <c r="K68">
        <v>40066030.393333301</v>
      </c>
      <c r="N68">
        <v>36083655.993257597</v>
      </c>
      <c r="O68">
        <v>19.155403</v>
      </c>
      <c r="P68">
        <v>19.713436000000002</v>
      </c>
      <c r="Q68">
        <v>36288231.053900003</v>
      </c>
      <c r="R68">
        <v>24.682182000000001</v>
      </c>
      <c r="S68">
        <v>37189984.759242401</v>
      </c>
      <c r="T68">
        <v>43359474.1252959</v>
      </c>
      <c r="U68" t="s">
        <v>96</v>
      </c>
      <c r="V68" t="s">
        <v>214</v>
      </c>
      <c r="W68">
        <v>1</v>
      </c>
      <c r="X68">
        <v>110.5</v>
      </c>
      <c r="Y68">
        <v>105.35</v>
      </c>
      <c r="Z68">
        <v>0.55000000000000004</v>
      </c>
      <c r="AA68">
        <v>24193551969.317501</v>
      </c>
      <c r="AB68">
        <f>_xlfn.XLOOKUP(E68,[2]generation_steps!$C$2:$C$5101,[2]generation_steps!$G$2:$G$5101)</f>
        <v>24193551969.317501</v>
      </c>
      <c r="AC68">
        <v>10.209262499999999</v>
      </c>
      <c r="AD68">
        <v>0</v>
      </c>
      <c r="AE68">
        <v>0</v>
      </c>
      <c r="AF68">
        <v>10.209262499999999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</row>
    <row r="69" spans="1:57" x14ac:dyDescent="0.25">
      <c r="A69">
        <v>208</v>
      </c>
      <c r="B69" t="s">
        <v>247</v>
      </c>
      <c r="C69" t="s">
        <v>265</v>
      </c>
      <c r="E69" t="s">
        <v>282</v>
      </c>
      <c r="F69" t="s">
        <v>89</v>
      </c>
      <c r="G69">
        <v>2660056599</v>
      </c>
      <c r="H69">
        <v>13.945</v>
      </c>
      <c r="I69" t="s">
        <v>97</v>
      </c>
      <c r="J69">
        <v>75056638.7531216</v>
      </c>
      <c r="K69">
        <v>48459845.354386702</v>
      </c>
      <c r="N69">
        <v>61756594.0257046</v>
      </c>
      <c r="O69">
        <v>17.694931</v>
      </c>
      <c r="P69">
        <v>17.979196999999999</v>
      </c>
      <c r="Q69">
        <v>59153987.216454998</v>
      </c>
      <c r="R69">
        <v>18.257435000000001</v>
      </c>
      <c r="S69">
        <v>56226846.004855998</v>
      </c>
      <c r="T69">
        <v>65550218.294033103</v>
      </c>
      <c r="U69" t="s">
        <v>96</v>
      </c>
      <c r="V69" t="s">
        <v>302</v>
      </c>
      <c r="W69">
        <v>1</v>
      </c>
      <c r="X69">
        <v>13.695</v>
      </c>
      <c r="Y69">
        <v>13.945</v>
      </c>
      <c r="Z69">
        <v>0.65</v>
      </c>
      <c r="AA69">
        <v>24111418027.485748</v>
      </c>
      <c r="AB69">
        <f>_xlfn.XLOOKUP(E69,[2]generation_steps!$C$2:$C$5101,[2]generation_steps!$G$2:$G$5101)</f>
        <v>24111418027.485748</v>
      </c>
      <c r="AC69">
        <v>17.560700000000001</v>
      </c>
      <c r="AD69">
        <v>0</v>
      </c>
      <c r="AE69">
        <v>0</v>
      </c>
      <c r="AF69">
        <v>17.560700000000001</v>
      </c>
      <c r="AG69">
        <v>2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</row>
    <row r="70" spans="1:57" x14ac:dyDescent="0.25">
      <c r="A70">
        <v>217</v>
      </c>
      <c r="B70" t="s">
        <v>245</v>
      </c>
      <c r="C70" t="s">
        <v>264</v>
      </c>
      <c r="E70" t="s">
        <v>281</v>
      </c>
      <c r="F70" t="s">
        <v>93</v>
      </c>
      <c r="G70">
        <v>296401348</v>
      </c>
      <c r="H70">
        <v>80.8</v>
      </c>
      <c r="I70" t="s">
        <v>97</v>
      </c>
      <c r="J70">
        <v>78425732.163829401</v>
      </c>
      <c r="K70">
        <v>95228454.573333398</v>
      </c>
      <c r="N70">
        <v>76796458.360076398</v>
      </c>
      <c r="O70">
        <v>31.866934000000001</v>
      </c>
      <c r="P70">
        <v>32.119689999999999</v>
      </c>
      <c r="Q70">
        <v>82630527.644299999</v>
      </c>
      <c r="R70">
        <v>39.058166999999997</v>
      </c>
      <c r="S70">
        <v>88246995.895454496</v>
      </c>
      <c r="T70">
        <v>102784721.398377</v>
      </c>
      <c r="U70" t="s">
        <v>96</v>
      </c>
      <c r="V70" t="s">
        <v>300</v>
      </c>
      <c r="W70">
        <v>1</v>
      </c>
      <c r="X70">
        <v>83.76</v>
      </c>
      <c r="Y70">
        <v>80.8</v>
      </c>
      <c r="Z70">
        <v>1</v>
      </c>
      <c r="AA70">
        <v>23949228918.400002</v>
      </c>
      <c r="AB70">
        <f>_xlfn.XLOOKUP(E70,[2]generation_steps!$C$2:$C$5101,[2]generation_steps!$G$2:$G$5101)</f>
        <v>23949228918.400002</v>
      </c>
      <c r="AC70">
        <v>17.244359549999999</v>
      </c>
      <c r="AD70">
        <v>0</v>
      </c>
      <c r="AE70">
        <v>0</v>
      </c>
      <c r="AF70">
        <v>17.244359549999999</v>
      </c>
      <c r="AG70">
        <v>2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</row>
    <row r="71" spans="1:57" x14ac:dyDescent="0.25">
      <c r="A71">
        <v>63</v>
      </c>
      <c r="B71" t="s">
        <v>252</v>
      </c>
      <c r="C71" t="s">
        <v>269</v>
      </c>
      <c r="E71" t="s">
        <v>286</v>
      </c>
      <c r="F71" t="s">
        <v>88</v>
      </c>
      <c r="G71">
        <v>561134950</v>
      </c>
      <c r="H71">
        <v>85.08</v>
      </c>
      <c r="I71" t="s">
        <v>97</v>
      </c>
      <c r="J71">
        <v>96091436.636086807</v>
      </c>
      <c r="K71">
        <v>70224766.568000004</v>
      </c>
      <c r="N71">
        <v>83732697.914090902</v>
      </c>
      <c r="O71">
        <v>28.764462999999999</v>
      </c>
      <c r="P71">
        <v>28.80359</v>
      </c>
      <c r="Q71">
        <v>86135291.106600001</v>
      </c>
      <c r="R71">
        <v>31.023952000000001</v>
      </c>
      <c r="S71">
        <v>83149015.699697003</v>
      </c>
      <c r="T71">
        <v>96887741.330895305</v>
      </c>
      <c r="U71" t="s">
        <v>96</v>
      </c>
      <c r="V71" t="s">
        <v>307</v>
      </c>
      <c r="W71">
        <v>1</v>
      </c>
      <c r="X71">
        <v>94.26</v>
      </c>
      <c r="Y71">
        <v>85.08</v>
      </c>
      <c r="Z71">
        <v>0.5</v>
      </c>
      <c r="AA71">
        <v>23870680773</v>
      </c>
      <c r="AB71">
        <f>_xlfn.XLOOKUP(E71,[2]generation_steps!$C$2:$C$5101,[2]generation_steps!$G$2:$G$5101)</f>
        <v>23870680773</v>
      </c>
      <c r="AC71">
        <v>19.494399999999999</v>
      </c>
      <c r="AD71">
        <v>0</v>
      </c>
      <c r="AE71">
        <v>0</v>
      </c>
      <c r="AF71">
        <v>19.494399999999999</v>
      </c>
      <c r="AG71">
        <v>2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</row>
    <row r="72" spans="1:57" x14ac:dyDescent="0.25">
      <c r="A72">
        <v>35</v>
      </c>
      <c r="B72" t="s">
        <v>459</v>
      </c>
      <c r="C72" t="s">
        <v>671</v>
      </c>
      <c r="E72" t="s">
        <v>880</v>
      </c>
      <c r="F72" t="s">
        <v>91</v>
      </c>
      <c r="G72">
        <v>49328548</v>
      </c>
      <c r="H72">
        <v>475.3</v>
      </c>
      <c r="I72" t="s">
        <v>97</v>
      </c>
      <c r="J72">
        <v>79359002.633333296</v>
      </c>
      <c r="K72">
        <v>71844740.079999998</v>
      </c>
      <c r="N72">
        <v>75521118.170454606</v>
      </c>
      <c r="O72">
        <v>38.023650000000004</v>
      </c>
      <c r="P72">
        <v>40.219543000000002</v>
      </c>
      <c r="Q72">
        <v>77123750.350999996</v>
      </c>
      <c r="R72">
        <v>39.99456</v>
      </c>
      <c r="S72">
        <v>80390254.263636395</v>
      </c>
      <c r="T72">
        <v>93759694.750503898</v>
      </c>
      <c r="U72" t="s">
        <v>96</v>
      </c>
      <c r="V72" t="s">
        <v>1089</v>
      </c>
      <c r="W72">
        <v>1</v>
      </c>
      <c r="X72">
        <v>516.4</v>
      </c>
      <c r="Y72">
        <v>475.3</v>
      </c>
      <c r="Z72">
        <v>1</v>
      </c>
      <c r="AA72">
        <v>23445858864.400002</v>
      </c>
      <c r="AB72">
        <f>_xlfn.XLOOKUP(E72,[2]generation_steps!$C$2:$C$5101,[2]generation_steps!$G$2:$G$5101)</f>
        <v>23445858864.400002</v>
      </c>
      <c r="AC72">
        <v>7.5522687499999996</v>
      </c>
      <c r="AD72">
        <v>0</v>
      </c>
      <c r="AE72">
        <v>0</v>
      </c>
      <c r="AF72">
        <v>7.5522687499999996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</row>
    <row r="73" spans="1:57" x14ac:dyDescent="0.25">
      <c r="A73">
        <v>174</v>
      </c>
      <c r="B73" t="s">
        <v>560</v>
      </c>
      <c r="C73" t="s">
        <v>771</v>
      </c>
      <c r="E73" t="s">
        <v>980</v>
      </c>
      <c r="F73" t="s">
        <v>95</v>
      </c>
      <c r="G73">
        <v>453187130</v>
      </c>
      <c r="H73">
        <v>57.46</v>
      </c>
      <c r="I73" t="s">
        <v>97</v>
      </c>
      <c r="J73">
        <v>27405118.5165863</v>
      </c>
      <c r="K73">
        <v>24952677.513333298</v>
      </c>
      <c r="N73">
        <v>26147586.283538502</v>
      </c>
      <c r="O73">
        <v>15.563115</v>
      </c>
      <c r="P73">
        <v>16.449133</v>
      </c>
      <c r="Q73">
        <v>26657606.0101</v>
      </c>
      <c r="R73">
        <v>18.864716000000001</v>
      </c>
      <c r="S73">
        <v>28671765.237272698</v>
      </c>
      <c r="T73">
        <v>33426966.275331799</v>
      </c>
      <c r="U73" t="s">
        <v>96</v>
      </c>
      <c r="V73" t="s">
        <v>1190</v>
      </c>
      <c r="W73">
        <v>1</v>
      </c>
      <c r="X73">
        <v>59.3</v>
      </c>
      <c r="Y73">
        <v>57.46</v>
      </c>
      <c r="Z73">
        <v>0.85</v>
      </c>
      <c r="AA73">
        <v>22134112616.330002</v>
      </c>
      <c r="AB73">
        <f>_xlfn.XLOOKUP(E73,[2]generation_steps!$C$2:$C$5101,[2]generation_steps!$G$2:$G$5101)</f>
        <v>22134112616.330002</v>
      </c>
      <c r="AC73">
        <v>19.607778750000001</v>
      </c>
      <c r="AD73">
        <v>0</v>
      </c>
      <c r="AE73">
        <v>0</v>
      </c>
      <c r="AF73">
        <v>19.607778750000001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</row>
    <row r="74" spans="1:57" x14ac:dyDescent="0.25">
      <c r="A74">
        <v>167</v>
      </c>
      <c r="B74" t="s">
        <v>553</v>
      </c>
      <c r="C74" t="s">
        <v>764</v>
      </c>
      <c r="E74" t="s">
        <v>973</v>
      </c>
      <c r="F74" t="s">
        <v>89</v>
      </c>
      <c r="G74">
        <v>123420778</v>
      </c>
      <c r="H74">
        <v>296.2</v>
      </c>
      <c r="I74" t="s">
        <v>97</v>
      </c>
      <c r="J74">
        <v>82748117.804730594</v>
      </c>
      <c r="K74">
        <v>83916918.500019997</v>
      </c>
      <c r="N74">
        <v>81308641.942017406</v>
      </c>
      <c r="O74">
        <v>42.064529999999998</v>
      </c>
      <c r="P74">
        <v>38.086544000000004</v>
      </c>
      <c r="Q74">
        <v>81692566.344312996</v>
      </c>
      <c r="R74">
        <v>44.721760000000003</v>
      </c>
      <c r="S74">
        <v>94416000.267671198</v>
      </c>
      <c r="T74">
        <v>110033129.397947</v>
      </c>
      <c r="U74" t="s">
        <v>96</v>
      </c>
      <c r="V74" t="s">
        <v>1183</v>
      </c>
      <c r="W74">
        <v>1</v>
      </c>
      <c r="X74">
        <v>309.89999999999998</v>
      </c>
      <c r="Y74">
        <v>296.2</v>
      </c>
      <c r="Z74">
        <v>0.60000000000000009</v>
      </c>
      <c r="AA74">
        <v>21934340666.16</v>
      </c>
      <c r="AB74">
        <f>_xlfn.XLOOKUP(E74,[2]generation_steps!$C$2:$C$5101,[2]generation_steps!$G$2:$G$5101)</f>
        <v>21934340666.16</v>
      </c>
      <c r="AC74">
        <v>9.7392562500000004</v>
      </c>
      <c r="AD74">
        <v>0</v>
      </c>
      <c r="AE74">
        <v>0</v>
      </c>
      <c r="AF74">
        <v>9.7392562500000004</v>
      </c>
      <c r="AG74">
        <v>2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</row>
    <row r="75" spans="1:57" x14ac:dyDescent="0.25">
      <c r="A75">
        <v>299</v>
      </c>
      <c r="B75" t="s">
        <v>645</v>
      </c>
      <c r="C75" t="s">
        <v>104</v>
      </c>
      <c r="E75" t="s">
        <v>110</v>
      </c>
      <c r="F75" t="s">
        <v>91</v>
      </c>
      <c r="G75">
        <v>232516153</v>
      </c>
      <c r="H75">
        <v>92.76</v>
      </c>
      <c r="I75" t="s">
        <v>97</v>
      </c>
      <c r="J75">
        <v>89760213.108254895</v>
      </c>
      <c r="K75">
        <v>92817046.1503333</v>
      </c>
      <c r="N75">
        <v>85672332.305719703</v>
      </c>
      <c r="O75">
        <v>29.477754999999998</v>
      </c>
      <c r="P75">
        <v>31.801214000000002</v>
      </c>
      <c r="Q75">
        <v>85708924.989800006</v>
      </c>
      <c r="R75">
        <v>27.697527000000001</v>
      </c>
      <c r="S75">
        <v>84694846.164469704</v>
      </c>
      <c r="T75">
        <v>98733923.395418704</v>
      </c>
      <c r="U75" t="s">
        <v>96</v>
      </c>
      <c r="V75" t="s">
        <v>1275</v>
      </c>
      <c r="W75">
        <v>1</v>
      </c>
      <c r="X75">
        <v>90.5</v>
      </c>
      <c r="Y75">
        <v>92.76</v>
      </c>
      <c r="Z75">
        <v>1</v>
      </c>
      <c r="AA75">
        <v>21568198352.279999</v>
      </c>
      <c r="AB75">
        <f>_xlfn.XLOOKUP(E75,[2]generation_steps!$C$2:$C$5101,[2]generation_steps!$G$2:$G$5101)</f>
        <v>21568198352.279999</v>
      </c>
      <c r="AC75">
        <v>11.029574999999999</v>
      </c>
      <c r="AD75">
        <v>0</v>
      </c>
      <c r="AE75">
        <v>0</v>
      </c>
      <c r="AF75">
        <v>11.029574999999999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</row>
    <row r="76" spans="1:57" x14ac:dyDescent="0.25">
      <c r="A76">
        <v>78</v>
      </c>
      <c r="B76" t="s">
        <v>493</v>
      </c>
      <c r="C76" t="s">
        <v>99</v>
      </c>
      <c r="E76" t="s">
        <v>105</v>
      </c>
      <c r="F76" t="s">
        <v>88</v>
      </c>
      <c r="G76">
        <v>1127496200</v>
      </c>
      <c r="H76">
        <v>31.84</v>
      </c>
      <c r="I76" t="s">
        <v>97</v>
      </c>
      <c r="J76">
        <v>124322164.938122</v>
      </c>
      <c r="K76">
        <v>104576397.55599999</v>
      </c>
      <c r="N76">
        <v>124180519.554583</v>
      </c>
      <c r="O76">
        <v>37.409230000000001</v>
      </c>
      <c r="P76">
        <v>38.505290000000002</v>
      </c>
      <c r="Q76">
        <v>127560834.85535</v>
      </c>
      <c r="R76">
        <v>38.903309999999998</v>
      </c>
      <c r="S76">
        <v>118183874.52378801</v>
      </c>
      <c r="T76">
        <v>137861147.53916299</v>
      </c>
      <c r="U76" t="s">
        <v>96</v>
      </c>
      <c r="V76" t="s">
        <v>1123</v>
      </c>
      <c r="W76">
        <v>1</v>
      </c>
      <c r="X76">
        <v>34.520000000000003</v>
      </c>
      <c r="Y76">
        <v>31.84</v>
      </c>
      <c r="Z76">
        <v>0.6</v>
      </c>
      <c r="AA76">
        <v>21539687404.799999</v>
      </c>
      <c r="AB76">
        <f>_xlfn.XLOOKUP(E76,[2]generation_steps!$C$2:$C$5101,[2]generation_steps!$G$2:$G$5101)</f>
        <v>21539687404.799999</v>
      </c>
      <c r="AC76">
        <v>16.601581249999999</v>
      </c>
      <c r="AD76">
        <v>0</v>
      </c>
      <c r="AE76">
        <v>0</v>
      </c>
      <c r="AF76">
        <v>16.601581249999999</v>
      </c>
      <c r="AG76">
        <v>2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</row>
    <row r="77" spans="1:57" x14ac:dyDescent="0.25">
      <c r="A77">
        <v>272</v>
      </c>
      <c r="B77" t="s">
        <v>342</v>
      </c>
      <c r="C77" t="s">
        <v>370</v>
      </c>
      <c r="E77" t="s">
        <v>398</v>
      </c>
      <c r="F77" t="s">
        <v>89</v>
      </c>
      <c r="G77">
        <v>205941913</v>
      </c>
      <c r="H77">
        <v>226.9</v>
      </c>
      <c r="I77" t="s">
        <v>97</v>
      </c>
      <c r="J77">
        <v>69087379.125162795</v>
      </c>
      <c r="K77">
        <v>55917788.865000099</v>
      </c>
      <c r="N77">
        <v>64935701.041981198</v>
      </c>
      <c r="O77">
        <v>29.593423999999999</v>
      </c>
      <c r="P77">
        <v>28.835087000000001</v>
      </c>
      <c r="Q77">
        <v>59951230.420415103</v>
      </c>
      <c r="R77">
        <v>32.040750000000003</v>
      </c>
      <c r="S77">
        <v>62307304.815780297</v>
      </c>
      <c r="T77">
        <v>72690523.382163197</v>
      </c>
      <c r="U77" t="s">
        <v>96</v>
      </c>
      <c r="V77" t="s">
        <v>427</v>
      </c>
      <c r="W77">
        <v>1</v>
      </c>
      <c r="X77">
        <v>227.5</v>
      </c>
      <c r="Y77">
        <v>226.9</v>
      </c>
      <c r="Z77">
        <v>0.45</v>
      </c>
      <c r="AA77">
        <v>21027699026.865002</v>
      </c>
      <c r="AB77">
        <f>_xlfn.XLOOKUP(E77,[2]generation_steps!$C$2:$C$5101,[2]generation_steps!$G$2:$G$5101)</f>
        <v>21027699026.865002</v>
      </c>
      <c r="AC77">
        <v>26.521620110000001</v>
      </c>
      <c r="AD77">
        <v>0</v>
      </c>
      <c r="AE77" t="s">
        <v>433</v>
      </c>
      <c r="AF77">
        <v>26.521620110000001</v>
      </c>
      <c r="AG77">
        <v>2</v>
      </c>
      <c r="AH77">
        <v>0</v>
      </c>
      <c r="AI77">
        <v>5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1</v>
      </c>
    </row>
    <row r="78" spans="1:57" x14ac:dyDescent="0.25">
      <c r="A78">
        <v>143</v>
      </c>
      <c r="B78" t="s">
        <v>539</v>
      </c>
      <c r="C78" t="s">
        <v>750</v>
      </c>
      <c r="E78" t="s">
        <v>959</v>
      </c>
      <c r="F78" t="s">
        <v>91</v>
      </c>
      <c r="G78">
        <v>576002613</v>
      </c>
      <c r="H78">
        <v>70.680000000000007</v>
      </c>
      <c r="I78" t="s">
        <v>97</v>
      </c>
      <c r="J78">
        <v>59610234.200705901</v>
      </c>
      <c r="K78">
        <v>46694337.714000002</v>
      </c>
      <c r="N78">
        <v>57381019.319090903</v>
      </c>
      <c r="O78">
        <v>21.789797</v>
      </c>
      <c r="P78">
        <v>20.817098999999999</v>
      </c>
      <c r="Q78">
        <v>57580976.658299997</v>
      </c>
      <c r="R78">
        <v>21.569004</v>
      </c>
      <c r="S78">
        <v>55443952.526212104</v>
      </c>
      <c r="T78">
        <v>64625963.888559699</v>
      </c>
      <c r="U78" t="s">
        <v>96</v>
      </c>
      <c r="V78" t="s">
        <v>1169</v>
      </c>
      <c r="W78">
        <v>1</v>
      </c>
      <c r="X78">
        <v>69.94</v>
      </c>
      <c r="Y78">
        <v>70.680000000000007</v>
      </c>
      <c r="Z78">
        <v>0.5</v>
      </c>
      <c r="AA78">
        <v>20355932343.419998</v>
      </c>
      <c r="AB78">
        <f>_xlfn.XLOOKUP(E78,[2]generation_steps!$C$2:$C$5101,[2]generation_steps!$G$2:$G$5101)</f>
        <v>20355932343.419998</v>
      </c>
      <c r="AC78">
        <v>18.083594999999999</v>
      </c>
      <c r="AD78">
        <v>0</v>
      </c>
      <c r="AE78">
        <v>0</v>
      </c>
      <c r="AF78">
        <v>18.083594999999999</v>
      </c>
      <c r="AG78">
        <v>3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</row>
    <row r="79" spans="1:57" x14ac:dyDescent="0.25">
      <c r="A79">
        <v>218</v>
      </c>
      <c r="B79" t="s">
        <v>591</v>
      </c>
      <c r="C79" t="s">
        <v>801</v>
      </c>
      <c r="E79" t="s">
        <v>1010</v>
      </c>
      <c r="F79" t="s">
        <v>89</v>
      </c>
      <c r="G79">
        <v>254311860</v>
      </c>
      <c r="H79">
        <v>84.1</v>
      </c>
      <c r="I79" t="s">
        <v>97</v>
      </c>
      <c r="J79">
        <v>53786231.729810603</v>
      </c>
      <c r="K79">
        <v>43991494.3490467</v>
      </c>
      <c r="N79">
        <v>52016744.5958841</v>
      </c>
      <c r="O79">
        <v>25.559087999999999</v>
      </c>
      <c r="P79">
        <v>24.497368000000002</v>
      </c>
      <c r="Q79">
        <v>50153992.784267001</v>
      </c>
      <c r="R79">
        <v>28.126394000000001</v>
      </c>
      <c r="S79">
        <v>44678395.794343904</v>
      </c>
      <c r="T79">
        <v>52070196.316010803</v>
      </c>
      <c r="U79" t="s">
        <v>96</v>
      </c>
      <c r="V79" t="s">
        <v>1221</v>
      </c>
      <c r="W79">
        <v>1</v>
      </c>
      <c r="X79">
        <v>88.5</v>
      </c>
      <c r="Y79">
        <v>84.1</v>
      </c>
      <c r="Z79">
        <v>0.95000000000000007</v>
      </c>
      <c r="AA79">
        <v>20318246054.700001</v>
      </c>
      <c r="AB79">
        <f>_xlfn.XLOOKUP(E79,[2]generation_steps!$C$2:$C$5101,[2]generation_steps!$G$2:$G$5101)</f>
        <v>20318246054.700001</v>
      </c>
      <c r="AC79">
        <v>9.1312857100000002</v>
      </c>
      <c r="AD79">
        <v>0</v>
      </c>
      <c r="AE79">
        <v>0</v>
      </c>
      <c r="AF79">
        <v>9.1312857100000002</v>
      </c>
      <c r="AG79">
        <v>2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</row>
    <row r="80" spans="1:57" x14ac:dyDescent="0.25">
      <c r="A80">
        <v>129</v>
      </c>
      <c r="B80" t="s">
        <v>527</v>
      </c>
      <c r="C80" t="s">
        <v>738</v>
      </c>
      <c r="E80" t="s">
        <v>947</v>
      </c>
      <c r="F80" t="s">
        <v>88</v>
      </c>
      <c r="G80">
        <v>563237300</v>
      </c>
      <c r="H80">
        <v>46.94</v>
      </c>
      <c r="I80" t="s">
        <v>97</v>
      </c>
      <c r="J80">
        <v>37738159.059604697</v>
      </c>
      <c r="K80">
        <v>36352445.630666703</v>
      </c>
      <c r="N80">
        <v>33091482.436704598</v>
      </c>
      <c r="O80">
        <v>17.504190000000001</v>
      </c>
      <c r="P80">
        <v>17.747108000000001</v>
      </c>
      <c r="Q80">
        <v>33009553.495099999</v>
      </c>
      <c r="R80">
        <v>21.602419999999999</v>
      </c>
      <c r="S80">
        <v>32629837.190757599</v>
      </c>
      <c r="T80">
        <v>38009452.814037599</v>
      </c>
      <c r="U80" t="s">
        <v>96</v>
      </c>
      <c r="V80" t="s">
        <v>1157</v>
      </c>
      <c r="W80">
        <v>1</v>
      </c>
      <c r="X80">
        <v>47.43</v>
      </c>
      <c r="Y80">
        <v>46.94</v>
      </c>
      <c r="Z80">
        <v>0.75</v>
      </c>
      <c r="AA80">
        <v>19828769146.5</v>
      </c>
      <c r="AB80">
        <f>_xlfn.XLOOKUP(E80,[2]generation_steps!$C$2:$C$5101,[2]generation_steps!$G$2:$G$5101)</f>
        <v>19828769146.5</v>
      </c>
      <c r="AC80">
        <v>11.6635492</v>
      </c>
      <c r="AD80">
        <v>0</v>
      </c>
      <c r="AE80">
        <v>0</v>
      </c>
      <c r="AF80">
        <v>11.6635492</v>
      </c>
      <c r="AG80">
        <v>2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</row>
    <row r="81" spans="1:57" x14ac:dyDescent="0.25">
      <c r="A81">
        <v>193</v>
      </c>
      <c r="B81" t="s">
        <v>574</v>
      </c>
      <c r="C81" t="s">
        <v>103</v>
      </c>
      <c r="E81" t="s">
        <v>109</v>
      </c>
      <c r="F81" t="s">
        <v>89</v>
      </c>
      <c r="G81">
        <v>710514537</v>
      </c>
      <c r="H81">
        <v>27.66</v>
      </c>
      <c r="I81" t="s">
        <v>97</v>
      </c>
      <c r="J81">
        <v>51737207.335516103</v>
      </c>
      <c r="K81">
        <v>59824734.747820102</v>
      </c>
      <c r="N81">
        <v>46849294.650959097</v>
      </c>
      <c r="O81">
        <v>22.235147000000001</v>
      </c>
      <c r="P81">
        <v>23.342983</v>
      </c>
      <c r="Q81">
        <v>48230999.140515998</v>
      </c>
      <c r="R81">
        <v>24.702656000000001</v>
      </c>
      <c r="S81">
        <v>53278726.615402997</v>
      </c>
      <c r="T81">
        <v>62021916.1128987</v>
      </c>
      <c r="U81" t="s">
        <v>96</v>
      </c>
      <c r="V81" t="s">
        <v>1204</v>
      </c>
      <c r="W81">
        <v>1</v>
      </c>
      <c r="X81">
        <v>28.35</v>
      </c>
      <c r="Y81">
        <v>27.66</v>
      </c>
      <c r="Z81">
        <v>1</v>
      </c>
      <c r="AA81">
        <v>19652832093.419998</v>
      </c>
      <c r="AB81">
        <f>_xlfn.XLOOKUP(E81,[2]generation_steps!$C$2:$C$5101,[2]generation_steps!$G$2:$G$5101)</f>
        <v>19652832093.419998</v>
      </c>
      <c r="AC81">
        <v>14.33596036</v>
      </c>
      <c r="AD81">
        <v>0</v>
      </c>
      <c r="AE81">
        <v>0</v>
      </c>
      <c r="AF81">
        <v>14.33596036</v>
      </c>
      <c r="AG81">
        <v>2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</row>
    <row r="82" spans="1:57" x14ac:dyDescent="0.25">
      <c r="A82">
        <v>293</v>
      </c>
      <c r="B82" t="s">
        <v>346</v>
      </c>
      <c r="C82" t="s">
        <v>374</v>
      </c>
      <c r="E82" t="s">
        <v>402</v>
      </c>
      <c r="F82" t="s">
        <v>88</v>
      </c>
      <c r="G82">
        <v>206205440</v>
      </c>
      <c r="H82">
        <v>94.72</v>
      </c>
      <c r="I82" t="s">
        <v>97</v>
      </c>
      <c r="J82">
        <v>106358868.972707</v>
      </c>
      <c r="K82">
        <v>77857253.620666698</v>
      </c>
      <c r="N82">
        <v>92138931.579280198</v>
      </c>
      <c r="O82">
        <v>26.58747</v>
      </c>
      <c r="P82">
        <v>27.139807000000001</v>
      </c>
      <c r="Q82">
        <v>94898815.369749993</v>
      </c>
      <c r="R82">
        <v>28.323456</v>
      </c>
      <c r="S82">
        <v>89581759.1755303</v>
      </c>
      <c r="T82">
        <v>104503890.649014</v>
      </c>
      <c r="U82" t="s">
        <v>96</v>
      </c>
      <c r="V82" t="s">
        <v>431</v>
      </c>
      <c r="W82">
        <v>1</v>
      </c>
      <c r="X82">
        <v>106.7</v>
      </c>
      <c r="Y82">
        <v>94.72</v>
      </c>
      <c r="Z82">
        <v>1</v>
      </c>
      <c r="AA82">
        <v>19531779276.799999</v>
      </c>
      <c r="AB82">
        <f>_xlfn.XLOOKUP(E82,[2]generation_steps!$C$2:$C$5101,[2]generation_steps!$G$2:$G$5101)</f>
        <v>19531779276.799999</v>
      </c>
      <c r="AC82">
        <v>23.645696879999999</v>
      </c>
      <c r="AD82">
        <v>0</v>
      </c>
      <c r="AE82">
        <v>0</v>
      </c>
      <c r="AF82">
        <v>23.645696879999999</v>
      </c>
      <c r="AG82">
        <v>3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t="b">
        <v>0</v>
      </c>
      <c r="AS82" t="b">
        <v>0</v>
      </c>
      <c r="AT82" t="b">
        <v>0</v>
      </c>
      <c r="AU82" t="b">
        <v>1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1</v>
      </c>
    </row>
    <row r="83" spans="1:57" x14ac:dyDescent="0.25">
      <c r="A83">
        <v>74</v>
      </c>
      <c r="B83" t="s">
        <v>489</v>
      </c>
      <c r="C83" t="s">
        <v>701</v>
      </c>
      <c r="E83" t="s">
        <v>910</v>
      </c>
      <c r="F83" t="s">
        <v>89</v>
      </c>
      <c r="G83">
        <v>171347471</v>
      </c>
      <c r="H83">
        <v>131.5</v>
      </c>
      <c r="I83" t="s">
        <v>97</v>
      </c>
      <c r="J83">
        <v>68618805.063947499</v>
      </c>
      <c r="K83">
        <v>50440521.519066699</v>
      </c>
      <c r="N83">
        <v>57786122.206868201</v>
      </c>
      <c r="O83">
        <v>29.167458</v>
      </c>
      <c r="P83">
        <v>30.909140000000001</v>
      </c>
      <c r="Q83">
        <v>58167259.959066004</v>
      </c>
      <c r="R83">
        <v>31.147483999999999</v>
      </c>
      <c r="S83">
        <v>54330509.319797002</v>
      </c>
      <c r="T83">
        <v>63352843.131319202</v>
      </c>
      <c r="U83" t="s">
        <v>96</v>
      </c>
      <c r="V83" t="s">
        <v>1119</v>
      </c>
      <c r="W83">
        <v>1</v>
      </c>
      <c r="X83">
        <v>147.69999999999999</v>
      </c>
      <c r="Y83">
        <v>131.5</v>
      </c>
      <c r="Z83">
        <v>0.85000000000000009</v>
      </c>
      <c r="AA83">
        <v>19152363571.025002</v>
      </c>
      <c r="AB83">
        <f>_xlfn.XLOOKUP(E83,[2]generation_steps!$C$2:$C$5101,[2]generation_steps!$G$2:$G$5101)</f>
        <v>19152363571.025002</v>
      </c>
      <c r="AC83">
        <v>11.20086</v>
      </c>
      <c r="AD83">
        <v>0</v>
      </c>
      <c r="AE83">
        <v>0</v>
      </c>
      <c r="AF83">
        <v>11.20086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</row>
    <row r="84" spans="1:57" x14ac:dyDescent="0.25">
      <c r="A84">
        <v>294</v>
      </c>
      <c r="B84" t="s">
        <v>641</v>
      </c>
      <c r="C84" t="s">
        <v>851</v>
      </c>
      <c r="E84" t="s">
        <v>1060</v>
      </c>
      <c r="F84" t="s">
        <v>88</v>
      </c>
      <c r="G84">
        <v>847785030</v>
      </c>
      <c r="H84">
        <v>26.05</v>
      </c>
      <c r="I84" t="s">
        <v>97</v>
      </c>
      <c r="J84">
        <v>70900219.141936794</v>
      </c>
      <c r="K84">
        <v>64892531.855666697</v>
      </c>
      <c r="N84">
        <v>59305191.750909097</v>
      </c>
      <c r="O84">
        <v>19.689352</v>
      </c>
      <c r="P84">
        <v>19.257833000000002</v>
      </c>
      <c r="Q84">
        <v>56007882.788149998</v>
      </c>
      <c r="R84">
        <v>24.525839000000001</v>
      </c>
      <c r="S84">
        <v>54950206.889924198</v>
      </c>
      <c r="T84">
        <v>64013895.233723097</v>
      </c>
      <c r="U84" t="s">
        <v>96</v>
      </c>
      <c r="V84" t="s">
        <v>1271</v>
      </c>
      <c r="W84">
        <v>1</v>
      </c>
      <c r="X84">
        <v>23.89</v>
      </c>
      <c r="Y84">
        <v>26.05</v>
      </c>
      <c r="Z84">
        <v>0.85</v>
      </c>
      <c r="AA84">
        <v>18772080026.775002</v>
      </c>
      <c r="AB84">
        <f>_xlfn.XLOOKUP(E84,[2]generation_steps!$C$2:$C$5101,[2]generation_steps!$G$2:$G$5101)</f>
        <v>18772080026.775002</v>
      </c>
      <c r="AC84">
        <v>6.3556999999999997</v>
      </c>
      <c r="AD84">
        <v>0</v>
      </c>
      <c r="AE84">
        <v>0</v>
      </c>
      <c r="AF84">
        <v>6.3556999999999997</v>
      </c>
      <c r="AG84">
        <v>2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</row>
    <row r="85" spans="1:57" x14ac:dyDescent="0.25">
      <c r="A85">
        <v>195</v>
      </c>
      <c r="B85" t="s">
        <v>334</v>
      </c>
      <c r="C85" t="s">
        <v>362</v>
      </c>
      <c r="E85" t="s">
        <v>390</v>
      </c>
      <c r="F85" t="s">
        <v>88</v>
      </c>
      <c r="G85">
        <v>53824490</v>
      </c>
      <c r="H85">
        <v>348.6</v>
      </c>
      <c r="I85" t="s">
        <v>97</v>
      </c>
      <c r="J85">
        <v>47259076.806521699</v>
      </c>
      <c r="K85">
        <v>44143374.1133333</v>
      </c>
      <c r="N85">
        <v>44819134.711742401</v>
      </c>
      <c r="O85">
        <v>25.211673999999999</v>
      </c>
      <c r="P85">
        <v>25.682967999999999</v>
      </c>
      <c r="Q85">
        <v>43049156.994499996</v>
      </c>
      <c r="R85">
        <v>31.613240999999999</v>
      </c>
      <c r="S85">
        <v>42760035.616666697</v>
      </c>
      <c r="T85">
        <v>49830169.221571296</v>
      </c>
      <c r="U85" t="s">
        <v>96</v>
      </c>
      <c r="V85" t="s">
        <v>419</v>
      </c>
      <c r="W85">
        <v>1</v>
      </c>
      <c r="X85">
        <v>351.2</v>
      </c>
      <c r="Y85">
        <v>348.6</v>
      </c>
      <c r="Z85">
        <v>1</v>
      </c>
      <c r="AA85">
        <v>18763217214</v>
      </c>
      <c r="AB85">
        <f>_xlfn.XLOOKUP(E85,[2]generation_steps!$C$2:$C$5101,[2]generation_steps!$G$2:$G$5101)</f>
        <v>18763217214</v>
      </c>
      <c r="AC85">
        <v>24.317205489999999</v>
      </c>
      <c r="AD85">
        <v>0</v>
      </c>
      <c r="AE85">
        <v>0</v>
      </c>
      <c r="AF85">
        <v>24.317205489999999</v>
      </c>
      <c r="AG85">
        <v>2</v>
      </c>
      <c r="AH85">
        <v>0</v>
      </c>
      <c r="AI85">
        <v>2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1</v>
      </c>
    </row>
    <row r="86" spans="1:57" x14ac:dyDescent="0.25">
      <c r="A86">
        <v>179</v>
      </c>
      <c r="B86" t="s">
        <v>333</v>
      </c>
      <c r="C86" t="s">
        <v>361</v>
      </c>
      <c r="E86" t="s">
        <v>389</v>
      </c>
      <c r="F86" t="s">
        <v>93</v>
      </c>
      <c r="G86">
        <v>578150395</v>
      </c>
      <c r="H86">
        <v>46.04</v>
      </c>
      <c r="I86" t="s">
        <v>97</v>
      </c>
      <c r="J86">
        <v>158062457.061766</v>
      </c>
      <c r="K86">
        <v>154808178.62900001</v>
      </c>
      <c r="N86">
        <v>157570240.05633599</v>
      </c>
      <c r="O86">
        <v>40.725814999999997</v>
      </c>
      <c r="P86">
        <v>41.131774999999998</v>
      </c>
      <c r="Q86">
        <v>152622164.83995</v>
      </c>
      <c r="R86">
        <v>44.153632999999999</v>
      </c>
      <c r="S86">
        <v>150931707.70424199</v>
      </c>
      <c r="T86">
        <v>175977655.27555001</v>
      </c>
      <c r="U86" t="s">
        <v>96</v>
      </c>
      <c r="V86" t="s">
        <v>418</v>
      </c>
      <c r="W86">
        <v>1</v>
      </c>
      <c r="X86">
        <v>46.27</v>
      </c>
      <c r="Y86">
        <v>46.04</v>
      </c>
      <c r="Z86">
        <v>0.70000000000000007</v>
      </c>
      <c r="AA86">
        <v>18632630930.060001</v>
      </c>
      <c r="AB86">
        <f>_xlfn.XLOOKUP(E86,[2]generation_steps!$C$2:$C$5101,[2]generation_steps!$G$2:$G$5101)</f>
        <v>18632630930.060001</v>
      </c>
      <c r="AC86">
        <v>22.308118889999999</v>
      </c>
      <c r="AD86">
        <v>0</v>
      </c>
      <c r="AE86" t="s">
        <v>433</v>
      </c>
      <c r="AF86">
        <v>22.308118889999999</v>
      </c>
      <c r="AG86">
        <v>2</v>
      </c>
      <c r="AH86">
        <v>0</v>
      </c>
      <c r="AI86">
        <v>5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t="b">
        <v>0</v>
      </c>
      <c r="AS86" t="b">
        <v>0</v>
      </c>
      <c r="AT86" t="b">
        <v>0</v>
      </c>
      <c r="AU86" t="b">
        <v>1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1</v>
      </c>
    </row>
    <row r="87" spans="1:57" x14ac:dyDescent="0.25">
      <c r="A87">
        <v>211</v>
      </c>
      <c r="B87" t="s">
        <v>335</v>
      </c>
      <c r="C87" t="s">
        <v>363</v>
      </c>
      <c r="E87" t="s">
        <v>391</v>
      </c>
      <c r="F87" t="s">
        <v>91</v>
      </c>
      <c r="G87">
        <v>962920132</v>
      </c>
      <c r="H87">
        <v>23.49</v>
      </c>
      <c r="I87" t="s">
        <v>97</v>
      </c>
      <c r="J87">
        <v>39174317.974490203</v>
      </c>
      <c r="K87">
        <v>32619392.986666601</v>
      </c>
      <c r="N87">
        <v>34216113.830606103</v>
      </c>
      <c r="O87">
        <v>26.182175000000001</v>
      </c>
      <c r="P87">
        <v>26.881195000000002</v>
      </c>
      <c r="Q87">
        <v>32729478.7487</v>
      </c>
      <c r="R87">
        <v>27.408553999999999</v>
      </c>
      <c r="S87">
        <v>32230025.666818202</v>
      </c>
      <c r="T87">
        <v>37563228.149794899</v>
      </c>
      <c r="U87" t="s">
        <v>96</v>
      </c>
      <c r="V87" t="s">
        <v>420</v>
      </c>
      <c r="W87">
        <v>1</v>
      </c>
      <c r="X87">
        <v>22.55</v>
      </c>
      <c r="Y87">
        <v>23.49</v>
      </c>
      <c r="Z87">
        <v>0.8</v>
      </c>
      <c r="AA87">
        <v>18095195120.543999</v>
      </c>
      <c r="AB87">
        <f>_xlfn.XLOOKUP(E87,[2]generation_steps!$C$2:$C$5101,[2]generation_steps!$G$2:$G$5101)</f>
        <v>18095195120.543999</v>
      </c>
      <c r="AC87">
        <v>20.2915375</v>
      </c>
      <c r="AD87">
        <v>0</v>
      </c>
      <c r="AE87">
        <v>0</v>
      </c>
      <c r="AF87">
        <v>20.2915375</v>
      </c>
      <c r="AG87">
        <v>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t="b">
        <v>1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1</v>
      </c>
    </row>
    <row r="88" spans="1:57" x14ac:dyDescent="0.25">
      <c r="A88">
        <v>289</v>
      </c>
      <c r="B88" t="s">
        <v>345</v>
      </c>
      <c r="C88" t="s">
        <v>373</v>
      </c>
      <c r="E88" t="s">
        <v>401</v>
      </c>
      <c r="F88" t="s">
        <v>89</v>
      </c>
      <c r="G88">
        <v>741723437</v>
      </c>
      <c r="H88">
        <v>28.5</v>
      </c>
      <c r="I88" t="s">
        <v>97</v>
      </c>
      <c r="J88">
        <v>58896826.106892198</v>
      </c>
      <c r="K88">
        <v>46180184.9393133</v>
      </c>
      <c r="N88">
        <v>50096507.089337103</v>
      </c>
      <c r="O88">
        <v>16.383662999999999</v>
      </c>
      <c r="P88">
        <v>17.2179</v>
      </c>
      <c r="Q88">
        <v>46294505.968924999</v>
      </c>
      <c r="R88">
        <v>21.446539999999999</v>
      </c>
      <c r="S88">
        <v>46730857.720113598</v>
      </c>
      <c r="T88">
        <v>54455934.867097497</v>
      </c>
      <c r="U88" t="s">
        <v>96</v>
      </c>
      <c r="V88" t="s">
        <v>430</v>
      </c>
      <c r="W88">
        <v>1</v>
      </c>
      <c r="X88">
        <v>29.52</v>
      </c>
      <c r="Y88">
        <v>28.5</v>
      </c>
      <c r="Z88">
        <v>0.85000000000000009</v>
      </c>
      <c r="AA88">
        <v>17968250261.325001</v>
      </c>
      <c r="AB88">
        <f>_xlfn.XLOOKUP(E88,[2]generation_steps!$C$2:$C$5101,[2]generation_steps!$G$2:$G$5101)</f>
        <v>17968250261.325001</v>
      </c>
      <c r="AC88">
        <v>21.559280000000001</v>
      </c>
      <c r="AD88">
        <v>0</v>
      </c>
      <c r="AE88">
        <v>0</v>
      </c>
      <c r="AF88">
        <v>21.559280000000001</v>
      </c>
      <c r="AG88">
        <v>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1</v>
      </c>
      <c r="BE88" t="b">
        <v>1</v>
      </c>
    </row>
    <row r="89" spans="1:57" x14ac:dyDescent="0.25">
      <c r="A89">
        <v>19</v>
      </c>
      <c r="B89" t="s">
        <v>448</v>
      </c>
      <c r="C89" t="s">
        <v>660</v>
      </c>
      <c r="E89" t="s">
        <v>869</v>
      </c>
      <c r="F89" t="s">
        <v>298</v>
      </c>
      <c r="G89">
        <v>2136766718</v>
      </c>
      <c r="H89">
        <v>8.3849999999999998</v>
      </c>
      <c r="I89" t="s">
        <v>97</v>
      </c>
      <c r="J89">
        <v>34265749.081349202</v>
      </c>
      <c r="K89">
        <v>33623690.338653304</v>
      </c>
      <c r="N89">
        <v>31078317.808056802</v>
      </c>
      <c r="O89">
        <v>25.314684</v>
      </c>
      <c r="P89">
        <v>25.073443999999999</v>
      </c>
      <c r="Q89">
        <v>30250354.957504999</v>
      </c>
      <c r="R89">
        <v>32.461468000000004</v>
      </c>
      <c r="S89">
        <v>33113797.439849999</v>
      </c>
      <c r="T89">
        <v>38604765.560353503</v>
      </c>
      <c r="U89" t="s">
        <v>96</v>
      </c>
      <c r="V89" t="s">
        <v>1078</v>
      </c>
      <c r="W89">
        <v>1</v>
      </c>
      <c r="X89">
        <v>9.0299999999999994</v>
      </c>
      <c r="Y89">
        <v>8.3849999999999998</v>
      </c>
      <c r="Z89">
        <v>1</v>
      </c>
      <c r="AA89">
        <v>17916788930.43</v>
      </c>
      <c r="AB89">
        <f>_xlfn.XLOOKUP(E89,[2]generation_steps!$C$2:$C$5101,[2]generation_steps!$G$2:$G$5101)</f>
        <v>17916788930.43</v>
      </c>
      <c r="AC89">
        <v>13.17438628</v>
      </c>
      <c r="AD89">
        <v>0</v>
      </c>
      <c r="AE89">
        <v>0</v>
      </c>
      <c r="AF89">
        <v>13.17438628</v>
      </c>
      <c r="AG89">
        <v>2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</row>
    <row r="90" spans="1:57" x14ac:dyDescent="0.25">
      <c r="A90">
        <v>229</v>
      </c>
      <c r="B90" t="s">
        <v>600</v>
      </c>
      <c r="C90" t="s">
        <v>810</v>
      </c>
      <c r="E90" t="s">
        <v>1019</v>
      </c>
      <c r="F90" t="s">
        <v>90</v>
      </c>
      <c r="G90">
        <v>1128372300</v>
      </c>
      <c r="H90">
        <v>15.7</v>
      </c>
      <c r="I90" t="s">
        <v>97</v>
      </c>
      <c r="J90">
        <v>61525438.021741197</v>
      </c>
      <c r="K90">
        <v>58728985.977366701</v>
      </c>
      <c r="N90">
        <v>63147040.436012097</v>
      </c>
      <c r="O90">
        <v>21.564209999999999</v>
      </c>
      <c r="P90">
        <v>21.742211999999999</v>
      </c>
      <c r="Q90">
        <v>58111880.668295003</v>
      </c>
      <c r="R90">
        <v>25.062836000000001</v>
      </c>
      <c r="S90">
        <v>56722036.635921203</v>
      </c>
      <c r="T90">
        <v>66115113.262213998</v>
      </c>
      <c r="U90" t="s">
        <v>96</v>
      </c>
      <c r="V90" t="s">
        <v>1230</v>
      </c>
      <c r="W90">
        <v>1</v>
      </c>
      <c r="X90">
        <v>15.335000000000001</v>
      </c>
      <c r="Y90">
        <v>15.7</v>
      </c>
      <c r="Z90">
        <v>1</v>
      </c>
      <c r="AA90">
        <v>17715445110</v>
      </c>
      <c r="AB90">
        <f>_xlfn.XLOOKUP(E90,[2]generation_steps!$C$2:$C$5101,[2]generation_steps!$G$2:$G$5101)</f>
        <v>17715445110</v>
      </c>
      <c r="AC90">
        <v>28.67359063</v>
      </c>
      <c r="AD90">
        <v>0</v>
      </c>
      <c r="AE90">
        <v>0</v>
      </c>
      <c r="AF90">
        <v>28.67359063</v>
      </c>
      <c r="AG90">
        <v>3</v>
      </c>
      <c r="AH90">
        <v>0</v>
      </c>
      <c r="AI90">
        <v>0</v>
      </c>
      <c r="AJ90">
        <v>0</v>
      </c>
      <c r="AK90" t="s">
        <v>319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</row>
    <row r="91" spans="1:57" x14ac:dyDescent="0.25">
      <c r="A91">
        <v>16</v>
      </c>
      <c r="B91" t="s">
        <v>446</v>
      </c>
      <c r="C91" t="s">
        <v>658</v>
      </c>
      <c r="E91" t="s">
        <v>867</v>
      </c>
      <c r="F91" t="s">
        <v>90</v>
      </c>
      <c r="G91">
        <v>1500000000</v>
      </c>
      <c r="H91">
        <v>23.12</v>
      </c>
      <c r="I91" t="s">
        <v>97</v>
      </c>
      <c r="J91">
        <v>39706025.309029497</v>
      </c>
      <c r="K91">
        <v>28281240.473333299</v>
      </c>
      <c r="N91">
        <v>37325011.397935599</v>
      </c>
      <c r="O91">
        <v>20.283370999999999</v>
      </c>
      <c r="P91">
        <v>21.414873</v>
      </c>
      <c r="Q91">
        <v>29919751.029375002</v>
      </c>
      <c r="R91">
        <v>21.801853000000001</v>
      </c>
      <c r="S91">
        <v>32059232.1465909</v>
      </c>
      <c r="T91">
        <v>37403210.168830097</v>
      </c>
      <c r="U91" t="s">
        <v>96</v>
      </c>
      <c r="V91" t="s">
        <v>1076</v>
      </c>
      <c r="W91">
        <v>1</v>
      </c>
      <c r="X91">
        <v>23.47</v>
      </c>
      <c r="Y91">
        <v>23.12</v>
      </c>
      <c r="Z91">
        <v>0.5</v>
      </c>
      <c r="AA91">
        <v>17340000000</v>
      </c>
      <c r="AB91">
        <f>_xlfn.XLOOKUP(E91,[2]generation_steps!$C$2:$C$5101,[2]generation_steps!$G$2:$G$5101)</f>
        <v>17340000000</v>
      </c>
      <c r="AC91">
        <v>12.548419109999999</v>
      </c>
      <c r="AD91">
        <v>0</v>
      </c>
      <c r="AE91">
        <v>0</v>
      </c>
      <c r="AF91">
        <v>12.548419109999999</v>
      </c>
      <c r="AG91">
        <v>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</row>
    <row r="92" spans="1:57" x14ac:dyDescent="0.25">
      <c r="A92">
        <v>259</v>
      </c>
      <c r="B92" t="s">
        <v>617</v>
      </c>
      <c r="C92" t="s">
        <v>827</v>
      </c>
      <c r="E92" t="s">
        <v>1036</v>
      </c>
      <c r="F92" t="s">
        <v>93</v>
      </c>
      <c r="G92">
        <v>2896073567</v>
      </c>
      <c r="H92">
        <v>8.4529999999999994</v>
      </c>
      <c r="I92" t="s">
        <v>97</v>
      </c>
      <c r="J92">
        <v>219821756.141139</v>
      </c>
      <c r="K92">
        <v>178513768.01339999</v>
      </c>
      <c r="N92">
        <v>213967400.78360301</v>
      </c>
      <c r="O92">
        <v>46.304189999999998</v>
      </c>
      <c r="P92">
        <v>48.161459999999998</v>
      </c>
      <c r="Q92">
        <v>221281151.13585499</v>
      </c>
      <c r="R92">
        <v>47.984062000000002</v>
      </c>
      <c r="S92">
        <v>234617162.41391701</v>
      </c>
      <c r="T92">
        <v>273553778.58005297</v>
      </c>
      <c r="U92" t="s">
        <v>96</v>
      </c>
      <c r="V92" t="s">
        <v>1247</v>
      </c>
      <c r="W92">
        <v>1</v>
      </c>
      <c r="X92">
        <v>10.11</v>
      </c>
      <c r="Y92">
        <v>8.4529999999999994</v>
      </c>
      <c r="Z92">
        <v>0.70000000000000007</v>
      </c>
      <c r="AA92">
        <v>17136356903.2957</v>
      </c>
      <c r="AB92">
        <f>_xlfn.XLOOKUP(E92,[2]generation_steps!$C$2:$C$5101,[2]generation_steps!$G$2:$G$5101)</f>
        <v>17136356903.2957</v>
      </c>
      <c r="AC92">
        <v>21.399206249999999</v>
      </c>
      <c r="AD92">
        <v>0</v>
      </c>
      <c r="AE92">
        <v>0</v>
      </c>
      <c r="AF92">
        <v>21.399206249999999</v>
      </c>
      <c r="AG92">
        <v>3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</row>
    <row r="93" spans="1:57" x14ac:dyDescent="0.25">
      <c r="A93">
        <v>48</v>
      </c>
      <c r="B93" t="s">
        <v>470</v>
      </c>
      <c r="C93" t="s">
        <v>682</v>
      </c>
      <c r="E93" t="s">
        <v>891</v>
      </c>
      <c r="F93" t="s">
        <v>93</v>
      </c>
      <c r="G93">
        <v>3038418183</v>
      </c>
      <c r="H93">
        <v>8.4130000000000003</v>
      </c>
      <c r="I93" t="s">
        <v>97</v>
      </c>
      <c r="J93">
        <v>154877686.02612901</v>
      </c>
      <c r="K93">
        <v>279798875.79470003</v>
      </c>
      <c r="N93">
        <v>176112107.98606101</v>
      </c>
      <c r="O93">
        <v>30.940843999999998</v>
      </c>
      <c r="P93">
        <v>30.540946999999999</v>
      </c>
      <c r="Q93">
        <v>202184074.34628999</v>
      </c>
      <c r="R93">
        <v>37.461320000000001</v>
      </c>
      <c r="S93">
        <v>245862528.75407499</v>
      </c>
      <c r="T93">
        <v>286921509.29607397</v>
      </c>
      <c r="U93" t="s">
        <v>96</v>
      </c>
      <c r="V93" t="s">
        <v>1100</v>
      </c>
      <c r="W93">
        <v>1</v>
      </c>
      <c r="X93">
        <v>8.4480000000000004</v>
      </c>
      <c r="Y93">
        <v>8.4130000000000003</v>
      </c>
      <c r="Z93">
        <v>0.65</v>
      </c>
      <c r="AA93">
        <v>16615437912.826349</v>
      </c>
      <c r="AB93">
        <f>_xlfn.XLOOKUP(E93,[2]generation_steps!$C$2:$C$5101,[2]generation_steps!$G$2:$G$5101)</f>
        <v>16615437912.826349</v>
      </c>
      <c r="AC93">
        <v>18.007362499999999</v>
      </c>
      <c r="AD93">
        <v>0</v>
      </c>
      <c r="AE93">
        <v>0</v>
      </c>
      <c r="AF93">
        <v>18.007362499999999</v>
      </c>
      <c r="AG93">
        <v>2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</row>
    <row r="94" spans="1:57" x14ac:dyDescent="0.25">
      <c r="A94">
        <v>210</v>
      </c>
      <c r="B94" t="s">
        <v>586</v>
      </c>
      <c r="C94" t="s">
        <v>796</v>
      </c>
      <c r="E94" t="s">
        <v>1005</v>
      </c>
      <c r="F94" t="s">
        <v>89</v>
      </c>
      <c r="G94">
        <v>252269195</v>
      </c>
      <c r="H94">
        <v>81.22</v>
      </c>
      <c r="I94" t="s">
        <v>97</v>
      </c>
      <c r="J94">
        <v>58477164.856031001</v>
      </c>
      <c r="K94">
        <v>45299528.785333298</v>
      </c>
      <c r="N94">
        <v>51741142.203999199</v>
      </c>
      <c r="O94">
        <v>27.100142000000002</v>
      </c>
      <c r="P94">
        <v>26.243893</v>
      </c>
      <c r="Q94">
        <v>52609602.074979</v>
      </c>
      <c r="R94">
        <v>26.95833</v>
      </c>
      <c r="S94">
        <v>53980023.169816703</v>
      </c>
      <c r="T94">
        <v>62995884.734736897</v>
      </c>
      <c r="U94" t="s">
        <v>96</v>
      </c>
      <c r="V94" t="s">
        <v>1216</v>
      </c>
      <c r="W94">
        <v>1</v>
      </c>
      <c r="X94">
        <v>76.900000000000006</v>
      </c>
      <c r="Y94">
        <v>81.22</v>
      </c>
      <c r="Z94">
        <v>0.8</v>
      </c>
      <c r="AA94">
        <v>16391443214.32</v>
      </c>
      <c r="AB94">
        <f>_xlfn.XLOOKUP(E94,[2]generation_steps!$C$2:$C$5101,[2]generation_steps!$G$2:$G$5101)</f>
        <v>16391443214.32</v>
      </c>
      <c r="AC94">
        <v>17.4401975</v>
      </c>
      <c r="AD94">
        <v>0</v>
      </c>
      <c r="AE94">
        <v>0</v>
      </c>
      <c r="AF94">
        <v>17.4401975</v>
      </c>
      <c r="AG94">
        <v>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</row>
    <row r="95" spans="1:57" x14ac:dyDescent="0.25">
      <c r="A95">
        <v>86</v>
      </c>
      <c r="B95" t="s">
        <v>501</v>
      </c>
      <c r="C95" t="s">
        <v>712</v>
      </c>
      <c r="E95" t="s">
        <v>921</v>
      </c>
      <c r="F95" t="s">
        <v>88</v>
      </c>
      <c r="G95">
        <v>765600400</v>
      </c>
      <c r="H95">
        <v>35.549999999999997</v>
      </c>
      <c r="I95" t="s">
        <v>97</v>
      </c>
      <c r="J95">
        <v>52595254.2658301</v>
      </c>
      <c r="K95">
        <v>44550194.223999999</v>
      </c>
      <c r="N95">
        <v>44311122.3355681</v>
      </c>
      <c r="O95">
        <v>30.24823</v>
      </c>
      <c r="P95">
        <v>29.740227000000001</v>
      </c>
      <c r="Q95">
        <v>42833332.2733</v>
      </c>
      <c r="R95">
        <v>31.390463</v>
      </c>
      <c r="S95">
        <v>40637190.203030303</v>
      </c>
      <c r="T95">
        <v>47356527.306202903</v>
      </c>
      <c r="U95" t="s">
        <v>96</v>
      </c>
      <c r="V95" t="s">
        <v>1131</v>
      </c>
      <c r="W95">
        <v>1</v>
      </c>
      <c r="X95">
        <v>37.409999999999997</v>
      </c>
      <c r="Y95">
        <v>35.549999999999997</v>
      </c>
      <c r="Z95">
        <v>0.6</v>
      </c>
      <c r="AA95">
        <v>16330256532</v>
      </c>
      <c r="AB95">
        <f>_xlfn.XLOOKUP(E95,[2]generation_steps!$C$2:$C$5101,[2]generation_steps!$G$2:$G$5101)</f>
        <v>16330256532</v>
      </c>
      <c r="AC95">
        <v>20.012174689999998</v>
      </c>
      <c r="AD95">
        <v>0</v>
      </c>
      <c r="AE95">
        <v>0</v>
      </c>
      <c r="AF95">
        <v>20.012174689999998</v>
      </c>
      <c r="AG95">
        <v>3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</row>
    <row r="96" spans="1:57" x14ac:dyDescent="0.25">
      <c r="A96">
        <v>5</v>
      </c>
      <c r="B96" t="s">
        <v>437</v>
      </c>
      <c r="C96" t="s">
        <v>649</v>
      </c>
      <c r="E96" t="s">
        <v>858</v>
      </c>
      <c r="F96" t="s">
        <v>91</v>
      </c>
      <c r="G96">
        <v>597116328</v>
      </c>
      <c r="H96">
        <v>26.89</v>
      </c>
      <c r="I96" t="s">
        <v>97</v>
      </c>
      <c r="J96">
        <v>62479204.487451002</v>
      </c>
      <c r="K96">
        <v>60705309.911666602</v>
      </c>
      <c r="N96">
        <v>64391116.950265102</v>
      </c>
      <c r="O96">
        <v>22.814223999999999</v>
      </c>
      <c r="P96">
        <v>23.861287999999998</v>
      </c>
      <c r="Q96">
        <v>62986226.871799998</v>
      </c>
      <c r="R96">
        <v>26.866129999999998</v>
      </c>
      <c r="S96">
        <v>63475442.832197003</v>
      </c>
      <c r="T96">
        <v>74011533.285271406</v>
      </c>
      <c r="U96" t="s">
        <v>96</v>
      </c>
      <c r="V96" t="s">
        <v>1067</v>
      </c>
      <c r="W96">
        <v>1</v>
      </c>
      <c r="X96">
        <v>29.12</v>
      </c>
      <c r="Y96">
        <v>26.89</v>
      </c>
      <c r="Z96">
        <v>1</v>
      </c>
      <c r="AA96">
        <v>16056458059.92</v>
      </c>
      <c r="AB96">
        <f>_xlfn.XLOOKUP(E96,[2]generation_steps!$C$2:$C$5101,[2]generation_steps!$G$2:$G$5101)</f>
        <v>16056458059.92</v>
      </c>
      <c r="AC96">
        <v>14.14515851</v>
      </c>
      <c r="AD96">
        <v>0</v>
      </c>
      <c r="AE96">
        <v>0</v>
      </c>
      <c r="AF96">
        <v>14.14515851</v>
      </c>
      <c r="AG96">
        <v>2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</row>
    <row r="97" spans="1:57" x14ac:dyDescent="0.25">
      <c r="A97">
        <v>89</v>
      </c>
      <c r="B97" t="s">
        <v>502</v>
      </c>
      <c r="C97" t="s">
        <v>713</v>
      </c>
      <c r="E97" t="s">
        <v>922</v>
      </c>
      <c r="F97" t="s">
        <v>89</v>
      </c>
      <c r="G97">
        <v>1341456065</v>
      </c>
      <c r="H97">
        <v>23.49</v>
      </c>
      <c r="I97" t="s">
        <v>97</v>
      </c>
      <c r="J97">
        <v>53612171.262199603</v>
      </c>
      <c r="K97">
        <v>50799496.072606601</v>
      </c>
      <c r="N97">
        <v>49073401.304173499</v>
      </c>
      <c r="O97">
        <v>29.123843999999998</v>
      </c>
      <c r="P97">
        <v>31.38166</v>
      </c>
      <c r="Q97">
        <v>48129517.322958998</v>
      </c>
      <c r="R97">
        <v>29.081903000000001</v>
      </c>
      <c r="S97">
        <v>50366548.276301503</v>
      </c>
      <c r="T97">
        <v>58683000.949091703</v>
      </c>
      <c r="U97" t="s">
        <v>96</v>
      </c>
      <c r="V97" t="s">
        <v>1132</v>
      </c>
      <c r="W97">
        <v>1</v>
      </c>
      <c r="X97">
        <v>23.39</v>
      </c>
      <c r="Y97">
        <v>23.49</v>
      </c>
      <c r="Z97">
        <v>0.5</v>
      </c>
      <c r="AA97">
        <v>15755401483.424999</v>
      </c>
      <c r="AB97">
        <f>_xlfn.XLOOKUP(E97,[2]generation_steps!$C$2:$C$5101,[2]generation_steps!$G$2:$G$5101)</f>
        <v>15755401483.424999</v>
      </c>
      <c r="AC97">
        <v>12.844440000000001</v>
      </c>
      <c r="AD97">
        <v>0</v>
      </c>
      <c r="AE97">
        <v>0</v>
      </c>
      <c r="AF97">
        <v>12.844440000000001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</row>
    <row r="98" spans="1:57" x14ac:dyDescent="0.25">
      <c r="A98">
        <v>50</v>
      </c>
      <c r="B98" t="s">
        <v>472</v>
      </c>
      <c r="C98" t="s">
        <v>684</v>
      </c>
      <c r="E98" t="s">
        <v>893</v>
      </c>
      <c r="F98" t="s">
        <v>90</v>
      </c>
      <c r="G98">
        <v>5023677700</v>
      </c>
      <c r="H98">
        <v>3.0939999999999999</v>
      </c>
      <c r="I98" t="s">
        <v>97</v>
      </c>
      <c r="J98">
        <v>42258777.3951298</v>
      </c>
      <c r="K98">
        <v>52006493.146866702</v>
      </c>
      <c r="N98">
        <v>46430482.898830302</v>
      </c>
      <c r="O98">
        <v>28.580698000000002</v>
      </c>
      <c r="P98">
        <v>29.244661000000001</v>
      </c>
      <c r="Q98">
        <v>48183965.247700997</v>
      </c>
      <c r="R98">
        <v>32.883209999999998</v>
      </c>
      <c r="S98">
        <v>48883824.0883727</v>
      </c>
      <c r="T98">
        <v>57007826.622915402</v>
      </c>
      <c r="U98" t="s">
        <v>96</v>
      </c>
      <c r="V98" t="s">
        <v>1102</v>
      </c>
      <c r="W98">
        <v>1</v>
      </c>
      <c r="X98">
        <v>3.339</v>
      </c>
      <c r="Y98">
        <v>3.0939999999999999</v>
      </c>
      <c r="Z98">
        <v>1</v>
      </c>
      <c r="AA98">
        <v>15543258803.799999</v>
      </c>
      <c r="AB98">
        <f>_xlfn.XLOOKUP(E98,[2]generation_steps!$C$2:$C$5101,[2]generation_steps!$G$2:$G$5101)</f>
        <v>15543258803.799999</v>
      </c>
      <c r="AC98">
        <v>13.376625000000001</v>
      </c>
      <c r="AD98">
        <v>0</v>
      </c>
      <c r="AE98">
        <v>0</v>
      </c>
      <c r="AF98">
        <v>13.376625000000001</v>
      </c>
      <c r="AG98">
        <v>2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</row>
    <row r="99" spans="1:57" x14ac:dyDescent="0.25">
      <c r="A99">
        <v>202</v>
      </c>
      <c r="B99" t="s">
        <v>581</v>
      </c>
      <c r="C99" t="s">
        <v>791</v>
      </c>
      <c r="E99" t="s">
        <v>1000</v>
      </c>
      <c r="F99" t="s">
        <v>91</v>
      </c>
      <c r="G99">
        <v>269000000</v>
      </c>
      <c r="H99">
        <v>60.62</v>
      </c>
      <c r="I99" t="s">
        <v>97</v>
      </c>
      <c r="J99">
        <v>39571077.3167255</v>
      </c>
      <c r="K99">
        <v>27579731.541333299</v>
      </c>
      <c r="N99">
        <v>35065780.337575696</v>
      </c>
      <c r="O99">
        <v>15.632864</v>
      </c>
      <c r="P99">
        <v>16.346111000000001</v>
      </c>
      <c r="Q99">
        <v>32862378.903000001</v>
      </c>
      <c r="R99">
        <v>19.825168999999999</v>
      </c>
      <c r="S99">
        <v>31486046.267727301</v>
      </c>
      <c r="T99">
        <v>36729280.716433503</v>
      </c>
      <c r="U99" t="s">
        <v>96</v>
      </c>
      <c r="V99" t="s">
        <v>1211</v>
      </c>
      <c r="W99">
        <v>1</v>
      </c>
      <c r="X99">
        <v>64.180000000000007</v>
      </c>
      <c r="Y99">
        <v>60.62</v>
      </c>
      <c r="Z99">
        <v>0.95000000000000007</v>
      </c>
      <c r="AA99">
        <v>15491441000</v>
      </c>
      <c r="AB99">
        <f>_xlfn.XLOOKUP(E99,[2]generation_steps!$C$2:$C$5101,[2]generation_steps!$G$2:$G$5101)</f>
        <v>15491441000</v>
      </c>
      <c r="AC99">
        <v>16.160325</v>
      </c>
      <c r="AD99">
        <v>0</v>
      </c>
      <c r="AE99">
        <v>0</v>
      </c>
      <c r="AF99">
        <v>16.160325</v>
      </c>
      <c r="AG99">
        <v>2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</row>
    <row r="100" spans="1:57" x14ac:dyDescent="0.25">
      <c r="A100">
        <v>76</v>
      </c>
      <c r="B100" t="s">
        <v>491</v>
      </c>
      <c r="C100" t="s">
        <v>703</v>
      </c>
      <c r="E100" t="s">
        <v>912</v>
      </c>
      <c r="F100" t="s">
        <v>90</v>
      </c>
      <c r="G100">
        <v>706475400</v>
      </c>
      <c r="H100">
        <v>25.63</v>
      </c>
      <c r="I100" t="s">
        <v>97</v>
      </c>
      <c r="J100">
        <v>38450299.7925639</v>
      </c>
      <c r="K100">
        <v>44715686.855999999</v>
      </c>
      <c r="N100">
        <v>31797454.522727299</v>
      </c>
      <c r="O100">
        <v>20.983460000000001</v>
      </c>
      <c r="P100">
        <v>21.673152999999999</v>
      </c>
      <c r="Q100">
        <v>30198140.196899999</v>
      </c>
      <c r="R100">
        <v>25.224395999999999</v>
      </c>
      <c r="S100">
        <v>30521395.460227299</v>
      </c>
      <c r="T100">
        <v>35548691.2316847</v>
      </c>
      <c r="U100" t="s">
        <v>96</v>
      </c>
      <c r="V100" t="s">
        <v>1121</v>
      </c>
      <c r="W100">
        <v>1</v>
      </c>
      <c r="X100">
        <v>25.65</v>
      </c>
      <c r="Y100">
        <v>25.63</v>
      </c>
      <c r="Z100">
        <v>0.85</v>
      </c>
      <c r="AA100">
        <v>15390919826.700001</v>
      </c>
      <c r="AB100">
        <f>_xlfn.XLOOKUP(E100,[2]generation_steps!$C$2:$C$5101,[2]generation_steps!$G$2:$G$5101)</f>
        <v>15390919826.700001</v>
      </c>
      <c r="AC100">
        <v>13.331149999999999</v>
      </c>
      <c r="AD100">
        <v>0</v>
      </c>
      <c r="AE100">
        <v>0</v>
      </c>
      <c r="AF100">
        <v>13.331149999999999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</row>
    <row r="101" spans="1:57" x14ac:dyDescent="0.25">
      <c r="A101">
        <v>141</v>
      </c>
      <c r="B101" t="s">
        <v>538</v>
      </c>
      <c r="C101" t="s">
        <v>749</v>
      </c>
      <c r="E101" t="s">
        <v>958</v>
      </c>
      <c r="F101" t="s">
        <v>88</v>
      </c>
      <c r="G101">
        <v>120597140</v>
      </c>
      <c r="H101">
        <v>254.6</v>
      </c>
      <c r="I101" t="s">
        <v>97</v>
      </c>
      <c r="J101">
        <v>27907164.986363702</v>
      </c>
      <c r="K101">
        <v>26163772.666666701</v>
      </c>
      <c r="N101">
        <v>24838025.306060601</v>
      </c>
      <c r="O101">
        <v>18.355081999999999</v>
      </c>
      <c r="P101">
        <v>19.463856</v>
      </c>
      <c r="Q101">
        <v>25449524.059</v>
      </c>
      <c r="R101">
        <v>22.801618999999999</v>
      </c>
      <c r="S101">
        <v>25959879.548484799</v>
      </c>
      <c r="T101">
        <v>30252378.632888999</v>
      </c>
      <c r="U101" t="s">
        <v>96</v>
      </c>
      <c r="V101" t="s">
        <v>1168</v>
      </c>
      <c r="W101">
        <v>1</v>
      </c>
      <c r="X101">
        <v>261.2</v>
      </c>
      <c r="Y101">
        <v>254.6</v>
      </c>
      <c r="Z101">
        <v>0.5</v>
      </c>
      <c r="AA101">
        <v>15352015922</v>
      </c>
      <c r="AB101">
        <f>_xlfn.XLOOKUP(E101,[2]generation_steps!$C$2:$C$5101,[2]generation_steps!$G$2:$G$5101)</f>
        <v>15352015922</v>
      </c>
      <c r="AC101">
        <v>16.30064063</v>
      </c>
      <c r="AD101">
        <v>0</v>
      </c>
      <c r="AE101">
        <v>0</v>
      </c>
      <c r="AF101">
        <v>16.30064063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</row>
    <row r="102" spans="1:57" x14ac:dyDescent="0.25">
      <c r="A102">
        <v>176</v>
      </c>
      <c r="B102" t="s">
        <v>562</v>
      </c>
      <c r="C102" t="s">
        <v>773</v>
      </c>
      <c r="E102" t="s">
        <v>982</v>
      </c>
      <c r="F102" t="s">
        <v>91</v>
      </c>
      <c r="G102">
        <v>3888930422</v>
      </c>
      <c r="H102">
        <v>3.93</v>
      </c>
      <c r="I102" t="s">
        <v>97</v>
      </c>
      <c r="J102">
        <v>35658391.302615702</v>
      </c>
      <c r="K102">
        <v>32373195.695466701</v>
      </c>
      <c r="N102">
        <v>35087463.435541697</v>
      </c>
      <c r="O102">
        <v>15.176304</v>
      </c>
      <c r="P102">
        <v>15.927899</v>
      </c>
      <c r="Q102">
        <v>33374075.161474999</v>
      </c>
      <c r="R102">
        <v>17.283166999999999</v>
      </c>
      <c r="S102">
        <v>32497206.350340899</v>
      </c>
      <c r="T102">
        <v>37882663.331041902</v>
      </c>
      <c r="U102" t="s">
        <v>96</v>
      </c>
      <c r="V102" t="s">
        <v>1192</v>
      </c>
      <c r="W102">
        <v>1</v>
      </c>
      <c r="X102">
        <v>3.8969999999999998</v>
      </c>
      <c r="Y102">
        <v>3.93</v>
      </c>
      <c r="Z102">
        <v>1</v>
      </c>
      <c r="AA102">
        <v>15283496558.459999</v>
      </c>
      <c r="AB102">
        <f>_xlfn.XLOOKUP(E102,[2]generation_steps!$C$2:$C$5101,[2]generation_steps!$G$2:$G$5101)</f>
        <v>15283496558.459999</v>
      </c>
      <c r="AC102">
        <v>17.80593125</v>
      </c>
      <c r="AD102">
        <v>0</v>
      </c>
      <c r="AE102">
        <v>0</v>
      </c>
      <c r="AF102">
        <v>17.80593125</v>
      </c>
      <c r="AG102">
        <v>2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</row>
    <row r="103" spans="1:57" x14ac:dyDescent="0.25">
      <c r="A103">
        <v>67</v>
      </c>
      <c r="B103" t="s">
        <v>483</v>
      </c>
      <c r="C103" t="s">
        <v>695</v>
      </c>
      <c r="E103" t="s">
        <v>904</v>
      </c>
      <c r="F103" t="s">
        <v>93</v>
      </c>
      <c r="G103">
        <v>1964323646</v>
      </c>
      <c r="H103">
        <v>10.185</v>
      </c>
      <c r="I103" t="s">
        <v>97</v>
      </c>
      <c r="J103">
        <v>118002533.07871599</v>
      </c>
      <c r="K103">
        <v>138615756.881567</v>
      </c>
      <c r="N103">
        <v>117505340.483454</v>
      </c>
      <c r="O103">
        <v>29.015180000000001</v>
      </c>
      <c r="P103">
        <v>29.567595000000001</v>
      </c>
      <c r="Q103">
        <v>128384546.882495</v>
      </c>
      <c r="R103">
        <v>33.109596000000003</v>
      </c>
      <c r="S103">
        <v>118452609.213038</v>
      </c>
      <c r="T103">
        <v>137925878.805994</v>
      </c>
      <c r="U103" t="s">
        <v>96</v>
      </c>
      <c r="V103" t="s">
        <v>1113</v>
      </c>
      <c r="W103">
        <v>1</v>
      </c>
      <c r="X103">
        <v>10.914999999999999</v>
      </c>
      <c r="Y103">
        <v>10.185</v>
      </c>
      <c r="Z103">
        <v>0.75</v>
      </c>
      <c r="AA103">
        <v>15004977250.8825</v>
      </c>
      <c r="AB103">
        <f>_xlfn.XLOOKUP(E103,[2]generation_steps!$C$2:$C$5101,[2]generation_steps!$G$2:$G$5101)</f>
        <v>15004977250.8825</v>
      </c>
      <c r="AC103">
        <v>14.90606828</v>
      </c>
      <c r="AD103">
        <v>0</v>
      </c>
      <c r="AE103">
        <v>0</v>
      </c>
      <c r="AF103">
        <v>14.90606828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</row>
    <row r="104" spans="1:57" x14ac:dyDescent="0.25">
      <c r="A104">
        <v>10</v>
      </c>
      <c r="B104" t="s">
        <v>442</v>
      </c>
      <c r="C104" t="s">
        <v>654</v>
      </c>
      <c r="E104" t="s">
        <v>863</v>
      </c>
      <c r="F104" t="s">
        <v>90</v>
      </c>
      <c r="G104">
        <v>271664580</v>
      </c>
      <c r="H104">
        <v>72.3</v>
      </c>
      <c r="I104" t="s">
        <v>97</v>
      </c>
      <c r="J104">
        <v>20246957.9770298</v>
      </c>
      <c r="K104">
        <v>29953648.618333299</v>
      </c>
      <c r="N104">
        <v>20198479.027867399</v>
      </c>
      <c r="O104">
        <v>24.410724999999999</v>
      </c>
      <c r="P104">
        <v>25.172602000000001</v>
      </c>
      <c r="Q104">
        <v>20028280.788249999</v>
      </c>
      <c r="R104">
        <v>26.763634</v>
      </c>
      <c r="S104">
        <v>22012304.692802999</v>
      </c>
      <c r="T104">
        <v>25638744.9053693</v>
      </c>
      <c r="U104" t="s">
        <v>96</v>
      </c>
      <c r="V104" t="s">
        <v>1072</v>
      </c>
      <c r="W104">
        <v>1</v>
      </c>
      <c r="X104">
        <v>85.25</v>
      </c>
      <c r="Y104">
        <v>72.3</v>
      </c>
      <c r="Z104">
        <v>0.75</v>
      </c>
      <c r="AA104">
        <v>14731011850.5</v>
      </c>
      <c r="AB104">
        <f>_xlfn.XLOOKUP(E104,[2]generation_steps!$C$2:$C$5101,[2]generation_steps!$G$2:$G$5101)</f>
        <v>14731011850.5</v>
      </c>
      <c r="AC104">
        <v>24.903425729999999</v>
      </c>
      <c r="AD104">
        <v>0</v>
      </c>
      <c r="AE104">
        <v>0</v>
      </c>
      <c r="AF104">
        <v>24.903425729999999</v>
      </c>
      <c r="AG104">
        <v>2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</row>
    <row r="105" spans="1:57" x14ac:dyDescent="0.25">
      <c r="A105">
        <v>82</v>
      </c>
      <c r="B105" t="s">
        <v>497</v>
      </c>
      <c r="C105" t="s">
        <v>708</v>
      </c>
      <c r="E105" t="s">
        <v>917</v>
      </c>
      <c r="F105" t="s">
        <v>89</v>
      </c>
      <c r="G105">
        <v>3025902350</v>
      </c>
      <c r="H105">
        <v>16.100000000000001</v>
      </c>
      <c r="I105" t="s">
        <v>97</v>
      </c>
      <c r="J105">
        <v>84339066.058767796</v>
      </c>
      <c r="K105">
        <v>59516636.676700003</v>
      </c>
      <c r="N105">
        <v>68980903.918074206</v>
      </c>
      <c r="O105">
        <v>21.676100000000002</v>
      </c>
      <c r="P105">
        <v>22.055337999999999</v>
      </c>
      <c r="Q105">
        <v>66604680.209233001</v>
      </c>
      <c r="R105">
        <v>23.28988</v>
      </c>
      <c r="S105">
        <v>70719482.2160348</v>
      </c>
      <c r="T105">
        <v>82418820.723665595</v>
      </c>
      <c r="U105" t="s">
        <v>96</v>
      </c>
      <c r="V105" t="s">
        <v>1127</v>
      </c>
      <c r="W105">
        <v>1</v>
      </c>
      <c r="X105">
        <v>17.239999999999998</v>
      </c>
      <c r="Y105">
        <v>16.100000000000001</v>
      </c>
      <c r="Z105">
        <v>0.3</v>
      </c>
      <c r="AA105">
        <v>14615108350.5</v>
      </c>
      <c r="AB105">
        <f>_xlfn.XLOOKUP(E105,[2]generation_steps!$C$2:$C$5101,[2]generation_steps!$G$2:$G$5101)</f>
        <v>14615108350.5</v>
      </c>
      <c r="AC105">
        <v>17.679375</v>
      </c>
      <c r="AD105">
        <v>0</v>
      </c>
      <c r="AE105">
        <v>0</v>
      </c>
      <c r="AF105">
        <v>17.679375</v>
      </c>
      <c r="AG105">
        <v>2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</row>
    <row r="106" spans="1:57" x14ac:dyDescent="0.25">
      <c r="A106">
        <v>31</v>
      </c>
      <c r="B106" t="s">
        <v>456</v>
      </c>
      <c r="C106" t="s">
        <v>668</v>
      </c>
      <c r="E106" t="s">
        <v>877</v>
      </c>
      <c r="F106" t="s">
        <v>91</v>
      </c>
      <c r="G106">
        <v>852809772</v>
      </c>
      <c r="H106">
        <v>34.049999999999997</v>
      </c>
      <c r="I106" t="s">
        <v>97</v>
      </c>
      <c r="J106">
        <v>62468386.297103196</v>
      </c>
      <c r="K106">
        <v>64674461.322366603</v>
      </c>
      <c r="N106">
        <v>53981579.3471689</v>
      </c>
      <c r="O106">
        <v>29.976787999999999</v>
      </c>
      <c r="P106">
        <v>30.287752000000001</v>
      </c>
      <c r="Q106">
        <v>55963210.089063004</v>
      </c>
      <c r="R106">
        <v>33.902442999999998</v>
      </c>
      <c r="S106">
        <v>60438822.291762099</v>
      </c>
      <c r="T106">
        <v>70415381.574164093</v>
      </c>
      <c r="U106" t="s">
        <v>96</v>
      </c>
      <c r="V106" t="s">
        <v>1086</v>
      </c>
      <c r="W106">
        <v>1</v>
      </c>
      <c r="X106">
        <v>38.78</v>
      </c>
      <c r="Y106">
        <v>34.049999999999997</v>
      </c>
      <c r="Z106">
        <v>0.5</v>
      </c>
      <c r="AA106">
        <v>14519086368.299999</v>
      </c>
      <c r="AB106">
        <f>_xlfn.XLOOKUP(E106,[2]generation_steps!$C$2:$C$5101,[2]generation_steps!$G$2:$G$5101)</f>
        <v>14519086368.299999</v>
      </c>
      <c r="AC106">
        <v>28.544374999999999</v>
      </c>
      <c r="AD106">
        <v>0</v>
      </c>
      <c r="AE106">
        <v>0</v>
      </c>
      <c r="AF106">
        <v>28.544374999999999</v>
      </c>
      <c r="AG106">
        <v>3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</row>
    <row r="107" spans="1:57" x14ac:dyDescent="0.25">
      <c r="A107">
        <v>190</v>
      </c>
      <c r="B107" t="s">
        <v>571</v>
      </c>
      <c r="C107" t="s">
        <v>782</v>
      </c>
      <c r="E107" t="s">
        <v>991</v>
      </c>
      <c r="F107" t="s">
        <v>88</v>
      </c>
      <c r="G107">
        <v>129242250</v>
      </c>
      <c r="H107">
        <v>112.3</v>
      </c>
      <c r="I107" t="s">
        <v>97</v>
      </c>
      <c r="J107">
        <v>40151267.4671937</v>
      </c>
      <c r="K107">
        <v>36774655.226666696</v>
      </c>
      <c r="N107">
        <v>35465716.520265199</v>
      </c>
      <c r="O107">
        <v>28.107320000000001</v>
      </c>
      <c r="P107">
        <v>29.944199999999999</v>
      </c>
      <c r="Q107">
        <v>35914347.717249997</v>
      </c>
      <c r="R107">
        <v>29.159431000000001</v>
      </c>
      <c r="S107">
        <v>34517666.854924202</v>
      </c>
      <c r="T107">
        <v>40228548.298423097</v>
      </c>
      <c r="U107" t="s">
        <v>96</v>
      </c>
      <c r="V107" t="s">
        <v>1201</v>
      </c>
      <c r="W107">
        <v>1</v>
      </c>
      <c r="X107">
        <v>121.1</v>
      </c>
      <c r="Y107">
        <v>112.3</v>
      </c>
      <c r="Z107">
        <v>1</v>
      </c>
      <c r="AA107">
        <v>14513904675</v>
      </c>
      <c r="AB107">
        <f>_xlfn.XLOOKUP(E107,[2]generation_steps!$C$2:$C$5101,[2]generation_steps!$G$2:$G$5101)</f>
        <v>14513904675</v>
      </c>
      <c r="AC107">
        <v>13.395031380000001</v>
      </c>
      <c r="AD107">
        <v>0</v>
      </c>
      <c r="AE107">
        <v>0</v>
      </c>
      <c r="AF107">
        <v>13.395031380000001</v>
      </c>
      <c r="AG107">
        <v>2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</row>
    <row r="108" spans="1:57" x14ac:dyDescent="0.25">
      <c r="A108">
        <v>49</v>
      </c>
      <c r="B108" t="s">
        <v>471</v>
      </c>
      <c r="C108" t="s">
        <v>683</v>
      </c>
      <c r="E108" t="s">
        <v>892</v>
      </c>
      <c r="F108" t="s">
        <v>93</v>
      </c>
      <c r="G108">
        <v>1515182126</v>
      </c>
      <c r="H108">
        <v>12.49</v>
      </c>
      <c r="I108" t="s">
        <v>97</v>
      </c>
      <c r="J108">
        <v>93365593.060613096</v>
      </c>
      <c r="K108">
        <v>98183842.557333395</v>
      </c>
      <c r="N108">
        <v>78059309.205129802</v>
      </c>
      <c r="O108">
        <v>26.154765999999999</v>
      </c>
      <c r="P108">
        <v>27.14386</v>
      </c>
      <c r="Q108">
        <v>81810215.015719995</v>
      </c>
      <c r="R108">
        <v>31.017101</v>
      </c>
      <c r="S108">
        <v>86464567.5744697</v>
      </c>
      <c r="T108">
        <v>100818039.01477601</v>
      </c>
      <c r="U108" t="s">
        <v>96</v>
      </c>
      <c r="V108" t="s">
        <v>1101</v>
      </c>
      <c r="W108">
        <v>1</v>
      </c>
      <c r="X108">
        <v>12.515000000000001</v>
      </c>
      <c r="Y108">
        <v>12.49</v>
      </c>
      <c r="Z108">
        <v>0.75</v>
      </c>
      <c r="AA108">
        <v>14193468565.305</v>
      </c>
      <c r="AB108">
        <f>_xlfn.XLOOKUP(E108,[2]generation_steps!$C$2:$C$5101,[2]generation_steps!$G$2:$G$5101)</f>
        <v>14193468565.305</v>
      </c>
      <c r="AC108">
        <v>16.013312500000001</v>
      </c>
      <c r="AD108">
        <v>0</v>
      </c>
      <c r="AE108">
        <v>0</v>
      </c>
      <c r="AF108">
        <v>16.013312500000001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</row>
    <row r="109" spans="1:57" x14ac:dyDescent="0.25">
      <c r="A109">
        <v>97</v>
      </c>
      <c r="B109" t="s">
        <v>506</v>
      </c>
      <c r="C109" t="s">
        <v>717</v>
      </c>
      <c r="E109" t="s">
        <v>926</v>
      </c>
      <c r="F109" t="s">
        <v>91</v>
      </c>
      <c r="G109">
        <v>265676388</v>
      </c>
      <c r="H109">
        <v>71.14</v>
      </c>
      <c r="I109" t="s">
        <v>97</v>
      </c>
      <c r="J109">
        <v>45570748.620960802</v>
      </c>
      <c r="K109">
        <v>44527239.684</v>
      </c>
      <c r="N109">
        <v>45048724.642424203</v>
      </c>
      <c r="O109">
        <v>18.854927</v>
      </c>
      <c r="P109">
        <v>18.559045999999999</v>
      </c>
      <c r="Q109">
        <v>45027008.140500002</v>
      </c>
      <c r="R109">
        <v>21.092438000000001</v>
      </c>
      <c r="S109">
        <v>48035208.430909097</v>
      </c>
      <c r="T109">
        <v>56032442.922977298</v>
      </c>
      <c r="U109" t="s">
        <v>96</v>
      </c>
      <c r="V109" t="s">
        <v>1136</v>
      </c>
      <c r="W109">
        <v>1</v>
      </c>
      <c r="X109">
        <v>68.3</v>
      </c>
      <c r="Y109">
        <v>71.14</v>
      </c>
      <c r="Z109">
        <v>0.75</v>
      </c>
      <c r="AA109">
        <v>14175163681.74</v>
      </c>
      <c r="AB109">
        <f>_xlfn.XLOOKUP(E109,[2]generation_steps!$C$2:$C$5101,[2]generation_steps!$G$2:$G$5101)</f>
        <v>14175163681.74</v>
      </c>
      <c r="AC109">
        <v>13.741619999999999</v>
      </c>
      <c r="AD109">
        <v>0</v>
      </c>
      <c r="AE109">
        <v>0</v>
      </c>
      <c r="AF109">
        <v>13.741619999999999</v>
      </c>
      <c r="AG109">
        <v>2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</row>
    <row r="110" spans="1:57" x14ac:dyDescent="0.25">
      <c r="A110">
        <v>252</v>
      </c>
      <c r="B110" t="s">
        <v>611</v>
      </c>
      <c r="C110" t="s">
        <v>821</v>
      </c>
      <c r="E110" t="s">
        <v>1030</v>
      </c>
      <c r="F110" t="s">
        <v>88</v>
      </c>
      <c r="G110">
        <v>1128000000</v>
      </c>
      <c r="H110">
        <v>41.77</v>
      </c>
      <c r="I110" t="s">
        <v>97</v>
      </c>
      <c r="J110">
        <v>42332557.685039498</v>
      </c>
      <c r="K110">
        <v>64344610.32</v>
      </c>
      <c r="N110">
        <v>40603151.479583301</v>
      </c>
      <c r="O110">
        <v>23.769058000000001</v>
      </c>
      <c r="P110">
        <v>25.931077999999999</v>
      </c>
      <c r="Q110">
        <v>39621447.7227</v>
      </c>
      <c r="R110">
        <v>25.930225</v>
      </c>
      <c r="S110">
        <v>40522478.966515198</v>
      </c>
      <c r="T110">
        <v>47164247.441929802</v>
      </c>
      <c r="U110" t="s">
        <v>96</v>
      </c>
      <c r="V110" t="s">
        <v>1241</v>
      </c>
      <c r="W110">
        <v>1</v>
      </c>
      <c r="X110">
        <v>44.21</v>
      </c>
      <c r="Y110">
        <v>41.77</v>
      </c>
      <c r="Z110">
        <v>0.3</v>
      </c>
      <c r="AA110">
        <v>14134968000</v>
      </c>
      <c r="AB110">
        <f>_xlfn.XLOOKUP(E110,[2]generation_steps!$C$2:$C$5101,[2]generation_steps!$G$2:$G$5101)</f>
        <v>14134968000</v>
      </c>
      <c r="AC110">
        <v>16.79945</v>
      </c>
      <c r="AD110">
        <v>0</v>
      </c>
      <c r="AE110">
        <v>0</v>
      </c>
      <c r="AF110">
        <v>16.79945</v>
      </c>
      <c r="AG110">
        <v>2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</row>
    <row r="111" spans="1:57" x14ac:dyDescent="0.25">
      <c r="A111">
        <v>52</v>
      </c>
      <c r="B111" t="s">
        <v>473</v>
      </c>
      <c r="C111" t="s">
        <v>685</v>
      </c>
      <c r="E111" t="s">
        <v>894</v>
      </c>
      <c r="F111" t="s">
        <v>298</v>
      </c>
      <c r="G111">
        <v>952667062</v>
      </c>
      <c r="H111">
        <v>15.285</v>
      </c>
      <c r="I111" t="s">
        <v>97</v>
      </c>
      <c r="J111">
        <v>26379539.3269106</v>
      </c>
      <c r="K111">
        <v>34890746.173193403</v>
      </c>
      <c r="N111">
        <v>24393214.927760601</v>
      </c>
      <c r="O111">
        <v>27.000996000000001</v>
      </c>
      <c r="P111">
        <v>27.034369999999999</v>
      </c>
      <c r="Q111">
        <v>24540544.156133998</v>
      </c>
      <c r="R111">
        <v>31.422450999999999</v>
      </c>
      <c r="S111">
        <v>27427016.812621199</v>
      </c>
      <c r="T111">
        <v>31954007.670451399</v>
      </c>
      <c r="U111" t="s">
        <v>96</v>
      </c>
      <c r="V111" t="s">
        <v>1103</v>
      </c>
      <c r="W111">
        <v>1</v>
      </c>
      <c r="X111">
        <v>16.03</v>
      </c>
      <c r="Y111">
        <v>15.285</v>
      </c>
      <c r="Z111">
        <v>0.95000000000000007</v>
      </c>
      <c r="AA111">
        <v>13833440240.536501</v>
      </c>
      <c r="AB111">
        <f>_xlfn.XLOOKUP(E111,[2]generation_steps!$C$2:$C$5101,[2]generation_steps!$G$2:$G$5101)</f>
        <v>13833440240.536501</v>
      </c>
      <c r="AC111">
        <v>15.908151869999999</v>
      </c>
      <c r="AD111">
        <v>0</v>
      </c>
      <c r="AE111">
        <v>0</v>
      </c>
      <c r="AF111">
        <v>15.908151869999999</v>
      </c>
      <c r="AG111">
        <v>2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</row>
    <row r="112" spans="1:57" x14ac:dyDescent="0.25">
      <c r="A112">
        <v>268</v>
      </c>
      <c r="B112" t="s">
        <v>626</v>
      </c>
      <c r="C112" t="s">
        <v>836</v>
      </c>
      <c r="E112" t="s">
        <v>1045</v>
      </c>
      <c r="F112" t="s">
        <v>90</v>
      </c>
      <c r="G112">
        <v>5670161600</v>
      </c>
      <c r="H112">
        <v>3.6739999999999999</v>
      </c>
      <c r="I112" t="s">
        <v>97</v>
      </c>
      <c r="J112">
        <v>48287553.194833398</v>
      </c>
      <c r="K112">
        <v>74422798.889666602</v>
      </c>
      <c r="N112">
        <v>44619545.7789886</v>
      </c>
      <c r="O112">
        <v>25.740437</v>
      </c>
      <c r="P112">
        <v>27.109938</v>
      </c>
      <c r="Q112">
        <v>39811048.662450999</v>
      </c>
      <c r="R112">
        <v>25.548386000000001</v>
      </c>
      <c r="S112">
        <v>43947815.967125803</v>
      </c>
      <c r="T112">
        <v>51083976.447846003</v>
      </c>
      <c r="U112" t="s">
        <v>96</v>
      </c>
      <c r="V112" t="s">
        <v>1256</v>
      </c>
      <c r="W112">
        <v>1</v>
      </c>
      <c r="X112">
        <v>3.4580000000000002</v>
      </c>
      <c r="Y112">
        <v>3.6739999999999999</v>
      </c>
      <c r="Z112">
        <v>0.65</v>
      </c>
      <c r="AA112">
        <v>13540912916.959999</v>
      </c>
      <c r="AB112">
        <f>_xlfn.XLOOKUP(E112,[2]generation_steps!$C$2:$C$5101,[2]generation_steps!$G$2:$G$5101)</f>
        <v>13540912916.959999</v>
      </c>
      <c r="AC112">
        <v>13.30714375</v>
      </c>
      <c r="AD112">
        <v>0</v>
      </c>
      <c r="AE112">
        <v>0</v>
      </c>
      <c r="AF112">
        <v>13.30714375</v>
      </c>
      <c r="AG112">
        <v>2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</row>
    <row r="113" spans="1:57" x14ac:dyDescent="0.25">
      <c r="A113">
        <v>271</v>
      </c>
      <c r="B113" t="s">
        <v>629</v>
      </c>
      <c r="C113" t="s">
        <v>839</v>
      </c>
      <c r="E113" t="s">
        <v>1048</v>
      </c>
      <c r="F113" t="s">
        <v>93</v>
      </c>
      <c r="G113">
        <v>2009992000</v>
      </c>
      <c r="H113">
        <v>9.1760000000000002</v>
      </c>
      <c r="I113" t="s">
        <v>97</v>
      </c>
      <c r="J113">
        <v>33349787.930555601</v>
      </c>
      <c r="K113">
        <v>31217390.522999998</v>
      </c>
      <c r="N113">
        <v>29523792.740114499</v>
      </c>
      <c r="O113">
        <v>11.922724000000001</v>
      </c>
      <c r="P113">
        <v>11.499551</v>
      </c>
      <c r="Q113">
        <v>28453589.722240001</v>
      </c>
      <c r="R113">
        <v>16.657817999999999</v>
      </c>
      <c r="S113">
        <v>29841574.285136402</v>
      </c>
      <c r="T113">
        <v>34776647.883451797</v>
      </c>
      <c r="U113" t="s">
        <v>96</v>
      </c>
      <c r="V113" t="s">
        <v>1259</v>
      </c>
      <c r="W113">
        <v>1</v>
      </c>
      <c r="X113">
        <v>8.7959999999999994</v>
      </c>
      <c r="Y113">
        <v>9.1760000000000002</v>
      </c>
      <c r="Z113">
        <v>0.70000000000000007</v>
      </c>
      <c r="AA113">
        <v>12910580614.4</v>
      </c>
      <c r="AB113">
        <f>_xlfn.XLOOKUP(E113,[2]generation_steps!$C$2:$C$5101,[2]generation_steps!$G$2:$G$5101)</f>
        <v>12910580614.4</v>
      </c>
      <c r="AC113">
        <v>9.5906313000000001</v>
      </c>
      <c r="AD113">
        <v>0</v>
      </c>
      <c r="AE113">
        <v>0</v>
      </c>
      <c r="AF113">
        <v>9.5906313000000001</v>
      </c>
      <c r="AG113">
        <v>2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</row>
    <row r="114" spans="1:57" x14ac:dyDescent="0.25">
      <c r="A114">
        <v>168</v>
      </c>
      <c r="B114" t="s">
        <v>554</v>
      </c>
      <c r="C114" t="s">
        <v>765</v>
      </c>
      <c r="E114" t="s">
        <v>974</v>
      </c>
      <c r="F114" t="s">
        <v>298</v>
      </c>
      <c r="G114">
        <v>161600095</v>
      </c>
      <c r="H114">
        <v>78.25</v>
      </c>
      <c r="I114" t="s">
        <v>97</v>
      </c>
      <c r="J114">
        <v>30157993.116264202</v>
      </c>
      <c r="K114">
        <v>23326289.014433298</v>
      </c>
      <c r="N114">
        <v>27834502.186459102</v>
      </c>
      <c r="O114">
        <v>19.796541000000001</v>
      </c>
      <c r="P114">
        <v>21.020389999999999</v>
      </c>
      <c r="Q114">
        <v>27464914.078428999</v>
      </c>
      <c r="R114">
        <v>21.261040000000001</v>
      </c>
      <c r="S114">
        <v>27954651.848604601</v>
      </c>
      <c r="T114">
        <v>32578410.796717498</v>
      </c>
      <c r="U114" t="s">
        <v>96</v>
      </c>
      <c r="V114" t="s">
        <v>1184</v>
      </c>
      <c r="W114">
        <v>1</v>
      </c>
      <c r="X114">
        <v>76.150000000000006</v>
      </c>
      <c r="Y114">
        <v>78.25</v>
      </c>
      <c r="Z114">
        <v>1</v>
      </c>
      <c r="AA114">
        <v>12645207433.75</v>
      </c>
      <c r="AB114">
        <f>_xlfn.XLOOKUP(E114,[2]generation_steps!$C$2:$C$5101,[2]generation_steps!$G$2:$G$5101)</f>
        <v>12645207433.75</v>
      </c>
      <c r="AC114">
        <v>19.603209719999999</v>
      </c>
      <c r="AD114">
        <v>0</v>
      </c>
      <c r="AE114">
        <v>0</v>
      </c>
      <c r="AF114">
        <v>19.603209719999999</v>
      </c>
      <c r="AG114">
        <v>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</row>
    <row r="115" spans="1:57" x14ac:dyDescent="0.25">
      <c r="A115">
        <v>121</v>
      </c>
      <c r="B115" t="s">
        <v>520</v>
      </c>
      <c r="C115" t="s">
        <v>731</v>
      </c>
      <c r="E115" t="s">
        <v>940</v>
      </c>
      <c r="F115" t="s">
        <v>93</v>
      </c>
      <c r="G115">
        <v>611575321</v>
      </c>
      <c r="H115">
        <v>20.61</v>
      </c>
      <c r="I115" t="s">
        <v>97</v>
      </c>
      <c r="J115">
        <v>33440077.465277798</v>
      </c>
      <c r="K115">
        <v>40610685.044833302</v>
      </c>
      <c r="N115">
        <v>29734704.708759502</v>
      </c>
      <c r="O115">
        <v>21.358699999999999</v>
      </c>
      <c r="P115">
        <v>21.838647999999999</v>
      </c>
      <c r="Q115">
        <v>29737565.6063</v>
      </c>
      <c r="R115">
        <v>28.248255</v>
      </c>
      <c r="S115">
        <v>30768075.203522701</v>
      </c>
      <c r="T115">
        <v>35827355.485031597</v>
      </c>
      <c r="U115" t="s">
        <v>96</v>
      </c>
      <c r="V115" t="s">
        <v>1150</v>
      </c>
      <c r="W115">
        <v>1</v>
      </c>
      <c r="X115">
        <v>21.42</v>
      </c>
      <c r="Y115">
        <v>20.61</v>
      </c>
      <c r="Z115">
        <v>1</v>
      </c>
      <c r="AA115">
        <v>12604567365.809999</v>
      </c>
      <c r="AB115">
        <f>_xlfn.XLOOKUP(E115,[2]generation_steps!$C$2:$C$5101,[2]generation_steps!$G$2:$G$5101)</f>
        <v>12604567365.809999</v>
      </c>
      <c r="AC115">
        <v>11.39868437</v>
      </c>
      <c r="AD115">
        <v>0</v>
      </c>
      <c r="AE115">
        <v>0</v>
      </c>
      <c r="AF115">
        <v>11.39868437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</row>
    <row r="116" spans="1:57" x14ac:dyDescent="0.25">
      <c r="A116">
        <v>295</v>
      </c>
      <c r="B116" t="s">
        <v>347</v>
      </c>
      <c r="C116" t="s">
        <v>375</v>
      </c>
      <c r="E116" t="s">
        <v>403</v>
      </c>
      <c r="F116" t="s">
        <v>95</v>
      </c>
      <c r="G116">
        <v>591723400</v>
      </c>
      <c r="H116">
        <v>26.54</v>
      </c>
      <c r="I116" t="s">
        <v>97</v>
      </c>
      <c r="J116">
        <v>18692744.871807199</v>
      </c>
      <c r="K116">
        <v>20924976.016666699</v>
      </c>
      <c r="N116">
        <v>19463306.8415385</v>
      </c>
      <c r="O116">
        <v>30.729417999999999</v>
      </c>
      <c r="P116">
        <v>33.040050000000001</v>
      </c>
      <c r="Q116">
        <v>20054408.528200001</v>
      </c>
      <c r="R116">
        <v>32.223681999999997</v>
      </c>
      <c r="S116">
        <v>21511029.5495455</v>
      </c>
      <c r="T116">
        <v>25058669.519553501</v>
      </c>
      <c r="U116" t="s">
        <v>96</v>
      </c>
      <c r="V116" t="s">
        <v>432</v>
      </c>
      <c r="W116">
        <v>1</v>
      </c>
      <c r="X116">
        <v>30.08</v>
      </c>
      <c r="Y116">
        <v>26.54</v>
      </c>
      <c r="Z116">
        <v>0.8</v>
      </c>
      <c r="AA116">
        <v>12563471228.799999</v>
      </c>
      <c r="AB116">
        <f>_xlfn.XLOOKUP(E116,[2]generation_steps!$C$2:$C$5101,[2]generation_steps!$G$2:$G$5101)</f>
        <v>12563471228.799999</v>
      </c>
      <c r="AC116">
        <v>23.3640875</v>
      </c>
      <c r="AD116">
        <v>0</v>
      </c>
      <c r="AE116">
        <v>0</v>
      </c>
      <c r="AF116">
        <v>23.3640875</v>
      </c>
      <c r="AG116">
        <v>2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t="b">
        <v>0</v>
      </c>
      <c r="AS116" t="b">
        <v>0</v>
      </c>
      <c r="AT116" t="b">
        <v>0</v>
      </c>
      <c r="AU116" t="b">
        <v>1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1</v>
      </c>
    </row>
    <row r="117" spans="1:57" x14ac:dyDescent="0.25">
      <c r="A117">
        <v>194</v>
      </c>
      <c r="B117" t="s">
        <v>575</v>
      </c>
      <c r="C117" t="s">
        <v>785</v>
      </c>
      <c r="E117" t="s">
        <v>994</v>
      </c>
      <c r="F117" t="s">
        <v>93</v>
      </c>
      <c r="G117">
        <v>274805954</v>
      </c>
      <c r="H117">
        <v>56.22</v>
      </c>
      <c r="I117" t="s">
        <v>97</v>
      </c>
      <c r="J117">
        <v>54061411.519027799</v>
      </c>
      <c r="K117">
        <v>50778959.577333301</v>
      </c>
      <c r="N117">
        <v>46942750.371832103</v>
      </c>
      <c r="O117">
        <v>30.377077</v>
      </c>
      <c r="P117">
        <v>30.969805000000001</v>
      </c>
      <c r="Q117">
        <v>48704269.212049998</v>
      </c>
      <c r="R117">
        <v>31.709493999999999</v>
      </c>
      <c r="S117">
        <v>52477234.572196901</v>
      </c>
      <c r="T117">
        <v>61166985.025174297</v>
      </c>
      <c r="U117" t="s">
        <v>96</v>
      </c>
      <c r="V117" t="s">
        <v>1205</v>
      </c>
      <c r="W117">
        <v>1</v>
      </c>
      <c r="X117">
        <v>57.82</v>
      </c>
      <c r="Y117">
        <v>56.22</v>
      </c>
      <c r="Z117">
        <v>0.8</v>
      </c>
      <c r="AA117">
        <v>12359672587.104</v>
      </c>
      <c r="AB117">
        <f>_xlfn.XLOOKUP(E117,[2]generation_steps!$C$2:$C$5101,[2]generation_steps!$G$2:$G$5101)</f>
        <v>12359672587.104</v>
      </c>
      <c r="AC117">
        <v>8.4797075</v>
      </c>
      <c r="AD117">
        <v>0</v>
      </c>
      <c r="AE117">
        <v>0</v>
      </c>
      <c r="AF117">
        <v>8.4797075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</row>
    <row r="118" spans="1:57" x14ac:dyDescent="0.25">
      <c r="A118">
        <v>285</v>
      </c>
      <c r="B118" t="s">
        <v>344</v>
      </c>
      <c r="C118" t="s">
        <v>372</v>
      </c>
      <c r="E118" t="s">
        <v>400</v>
      </c>
      <c r="F118" t="s">
        <v>95</v>
      </c>
      <c r="G118">
        <v>527735699</v>
      </c>
      <c r="H118">
        <v>22.91</v>
      </c>
      <c r="I118" t="s">
        <v>97</v>
      </c>
      <c r="J118">
        <v>30225478.005863499</v>
      </c>
      <c r="K118">
        <v>27171560.037333298</v>
      </c>
      <c r="N118">
        <v>26320010.4696154</v>
      </c>
      <c r="O118">
        <v>24.522085000000001</v>
      </c>
      <c r="P118">
        <v>23.884415000000001</v>
      </c>
      <c r="Q118">
        <v>25694420.038899999</v>
      </c>
      <c r="R118">
        <v>24.849062</v>
      </c>
      <c r="S118">
        <v>26600242.754393902</v>
      </c>
      <c r="T118">
        <v>31007463.622887399</v>
      </c>
      <c r="U118" t="s">
        <v>96</v>
      </c>
      <c r="V118" t="s">
        <v>429</v>
      </c>
      <c r="W118">
        <v>1</v>
      </c>
      <c r="X118">
        <v>23.81</v>
      </c>
      <c r="Y118">
        <v>22.91</v>
      </c>
      <c r="Z118">
        <v>1</v>
      </c>
      <c r="AA118">
        <v>12090424864.09</v>
      </c>
      <c r="AB118">
        <f>_xlfn.XLOOKUP(E118,[2]generation_steps!$C$2:$C$5101,[2]generation_steps!$G$2:$G$5101)</f>
        <v>12090424864.09</v>
      </c>
      <c r="AC118">
        <v>13.567207140000001</v>
      </c>
      <c r="AD118">
        <v>0</v>
      </c>
      <c r="AE118">
        <v>0</v>
      </c>
      <c r="AF118">
        <v>13.567207140000001</v>
      </c>
      <c r="AG118">
        <v>2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1</v>
      </c>
      <c r="BE118" t="b">
        <v>1</v>
      </c>
    </row>
    <row r="119" spans="1:57" x14ac:dyDescent="0.25">
      <c r="A119">
        <v>260</v>
      </c>
      <c r="B119" t="s">
        <v>618</v>
      </c>
      <c r="C119" t="s">
        <v>828</v>
      </c>
      <c r="E119" t="s">
        <v>1037</v>
      </c>
      <c r="F119" t="s">
        <v>89</v>
      </c>
      <c r="G119">
        <v>911281920</v>
      </c>
      <c r="H119">
        <v>18.809999999999999</v>
      </c>
      <c r="I119" t="s">
        <v>97</v>
      </c>
      <c r="J119">
        <v>64778778.149163499</v>
      </c>
      <c r="K119">
        <v>50209176.565833397</v>
      </c>
      <c r="N119">
        <v>59554164.741278</v>
      </c>
      <c r="O119">
        <v>47.060696</v>
      </c>
      <c r="P119">
        <v>46.846195000000002</v>
      </c>
      <c r="Q119">
        <v>59355774.194086999</v>
      </c>
      <c r="R119">
        <v>46.632854000000002</v>
      </c>
      <c r="S119">
        <v>55956716.336646996</v>
      </c>
      <c r="T119">
        <v>65220854.741007604</v>
      </c>
      <c r="U119" t="s">
        <v>96</v>
      </c>
      <c r="V119" t="s">
        <v>1248</v>
      </c>
      <c r="W119">
        <v>1</v>
      </c>
      <c r="X119">
        <v>22.045000000000002</v>
      </c>
      <c r="Y119">
        <v>18.809999999999999</v>
      </c>
      <c r="Z119">
        <v>0.70000000000000007</v>
      </c>
      <c r="AA119">
        <v>11998849040.639999</v>
      </c>
      <c r="AB119">
        <f>_xlfn.XLOOKUP(E119,[2]generation_steps!$C$2:$C$5101,[2]generation_steps!$G$2:$G$5101)</f>
        <v>11998849040.639999</v>
      </c>
      <c r="AC119">
        <v>14.93642625</v>
      </c>
      <c r="AD119">
        <v>0</v>
      </c>
      <c r="AE119">
        <v>0</v>
      </c>
      <c r="AF119">
        <v>14.93642625</v>
      </c>
      <c r="AG119">
        <v>2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</row>
    <row r="120" spans="1:57" x14ac:dyDescent="0.25">
      <c r="A120">
        <v>254</v>
      </c>
      <c r="B120" t="s">
        <v>613</v>
      </c>
      <c r="C120" t="s">
        <v>823</v>
      </c>
      <c r="E120" t="s">
        <v>1032</v>
      </c>
      <c r="F120" t="s">
        <v>93</v>
      </c>
      <c r="G120">
        <v>3360857809</v>
      </c>
      <c r="H120">
        <v>5.7220000000000004</v>
      </c>
      <c r="I120" t="s">
        <v>97</v>
      </c>
      <c r="J120">
        <v>33964139.3940873</v>
      </c>
      <c r="K120">
        <v>31908615.6106667</v>
      </c>
      <c r="N120">
        <v>29086309.5383511</v>
      </c>
      <c r="O120">
        <v>12.133817000000001</v>
      </c>
      <c r="P120">
        <v>11.111743000000001</v>
      </c>
      <c r="Q120">
        <v>26729653.414209999</v>
      </c>
      <c r="R120">
        <v>15.706580000000001</v>
      </c>
      <c r="S120">
        <v>28391556.612893999</v>
      </c>
      <c r="T120">
        <v>33079949.500856601</v>
      </c>
      <c r="U120" t="s">
        <v>96</v>
      </c>
      <c r="V120" t="s">
        <v>1243</v>
      </c>
      <c r="W120">
        <v>1</v>
      </c>
      <c r="X120">
        <v>5.56</v>
      </c>
      <c r="Y120">
        <v>5.7220000000000004</v>
      </c>
      <c r="Z120">
        <v>0.60000000000000009</v>
      </c>
      <c r="AA120">
        <v>11538497029.858801</v>
      </c>
      <c r="AB120">
        <f>_xlfn.XLOOKUP(E120,[2]generation_steps!$C$2:$C$5101,[2]generation_steps!$G$2:$G$5101)</f>
        <v>11538497029.858801</v>
      </c>
      <c r="AC120">
        <v>16.654717439999999</v>
      </c>
      <c r="AD120">
        <v>0</v>
      </c>
      <c r="AE120">
        <v>0</v>
      </c>
      <c r="AF120">
        <v>16.654717439999999</v>
      </c>
      <c r="AG120">
        <v>2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</row>
    <row r="121" spans="1:57" x14ac:dyDescent="0.25">
      <c r="A121">
        <v>144</v>
      </c>
      <c r="B121" t="s">
        <v>540</v>
      </c>
      <c r="C121" t="s">
        <v>751</v>
      </c>
      <c r="E121" t="s">
        <v>960</v>
      </c>
      <c r="F121" t="s">
        <v>88</v>
      </c>
      <c r="G121">
        <v>178162870</v>
      </c>
      <c r="H121">
        <v>70.22</v>
      </c>
      <c r="I121" t="s">
        <v>97</v>
      </c>
      <c r="J121">
        <v>32154117.8947035</v>
      </c>
      <c r="K121">
        <v>27743753.193333302</v>
      </c>
      <c r="N121">
        <v>29354170.522121198</v>
      </c>
      <c r="O121">
        <v>14.580662999999999</v>
      </c>
      <c r="P121">
        <v>14.910209</v>
      </c>
      <c r="Q121">
        <v>27521956.030000001</v>
      </c>
      <c r="R121">
        <v>17.433138</v>
      </c>
      <c r="S121">
        <v>27490733.013030302</v>
      </c>
      <c r="T121">
        <v>32049005.612376198</v>
      </c>
      <c r="U121" t="s">
        <v>96</v>
      </c>
      <c r="V121" t="s">
        <v>1170</v>
      </c>
      <c r="W121">
        <v>1</v>
      </c>
      <c r="X121">
        <v>70.34</v>
      </c>
      <c r="Y121">
        <v>70.22</v>
      </c>
      <c r="Z121">
        <v>0.9</v>
      </c>
      <c r="AA121">
        <v>11259537058.26</v>
      </c>
      <c r="AB121">
        <f>_xlfn.XLOOKUP(E121,[2]generation_steps!$C$2:$C$5101,[2]generation_steps!$G$2:$G$5101)</f>
        <v>11259537058.26</v>
      </c>
      <c r="AC121">
        <v>17.338355320000002</v>
      </c>
      <c r="AD121">
        <v>0</v>
      </c>
      <c r="AE121">
        <v>0</v>
      </c>
      <c r="AF121">
        <v>17.338355320000002</v>
      </c>
      <c r="AG121">
        <v>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</row>
    <row r="122" spans="1:57" x14ac:dyDescent="0.25">
      <c r="A122">
        <v>100</v>
      </c>
      <c r="B122" t="s">
        <v>325</v>
      </c>
      <c r="C122" t="s">
        <v>353</v>
      </c>
      <c r="E122" t="s">
        <v>381</v>
      </c>
      <c r="F122" t="s">
        <v>404</v>
      </c>
      <c r="G122">
        <v>4184021624</v>
      </c>
      <c r="H122">
        <v>3.76</v>
      </c>
      <c r="I122" t="s">
        <v>97</v>
      </c>
      <c r="J122">
        <v>35407924.667878501</v>
      </c>
      <c r="K122">
        <v>47531076.202966601</v>
      </c>
      <c r="N122">
        <v>32116137.816340901</v>
      </c>
      <c r="O122">
        <v>22.393007000000001</v>
      </c>
      <c r="P122">
        <v>24.202372</v>
      </c>
      <c r="Q122">
        <v>32735235.212990001</v>
      </c>
      <c r="R122">
        <v>28.072851</v>
      </c>
      <c r="S122">
        <v>35320297.6849773</v>
      </c>
      <c r="T122">
        <v>41149381.274617396</v>
      </c>
      <c r="U122" t="s">
        <v>96</v>
      </c>
      <c r="V122" t="s">
        <v>410</v>
      </c>
      <c r="W122">
        <v>1</v>
      </c>
      <c r="X122">
        <v>3.8119999999999998</v>
      </c>
      <c r="Y122">
        <v>3.76</v>
      </c>
      <c r="Z122">
        <v>0.70000000000000007</v>
      </c>
      <c r="AA122">
        <v>11012344914.368</v>
      </c>
      <c r="AB122">
        <f>_xlfn.XLOOKUP(E122,[2]generation_steps!$C$2:$C$5101,[2]generation_steps!$G$2:$G$5101)</f>
        <v>11012344914.368</v>
      </c>
      <c r="AC122">
        <v>19.228484999999999</v>
      </c>
      <c r="AD122">
        <v>0</v>
      </c>
      <c r="AE122">
        <v>0</v>
      </c>
      <c r="AF122">
        <v>19.228484999999999</v>
      </c>
      <c r="AG122">
        <v>3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1</v>
      </c>
      <c r="BE122" t="b">
        <v>1</v>
      </c>
    </row>
    <row r="123" spans="1:57" x14ac:dyDescent="0.25">
      <c r="A123">
        <v>281</v>
      </c>
      <c r="B123" t="s">
        <v>634</v>
      </c>
      <c r="C123" t="s">
        <v>844</v>
      </c>
      <c r="E123" t="s">
        <v>1053</v>
      </c>
      <c r="F123" t="s">
        <v>89</v>
      </c>
      <c r="G123">
        <v>143244727</v>
      </c>
      <c r="H123">
        <v>89.4</v>
      </c>
      <c r="I123" t="s">
        <v>97</v>
      </c>
      <c r="J123">
        <v>28306035.552867498</v>
      </c>
      <c r="K123">
        <v>32210410.493866701</v>
      </c>
      <c r="N123">
        <v>30257286.661221199</v>
      </c>
      <c r="O123">
        <v>14.066682</v>
      </c>
      <c r="P123">
        <v>13.979574</v>
      </c>
      <c r="Q123">
        <v>29591643.248512</v>
      </c>
      <c r="R123">
        <v>22.941590000000001</v>
      </c>
      <c r="S123">
        <v>30261930.0130485</v>
      </c>
      <c r="T123">
        <v>35274239.8868424</v>
      </c>
      <c r="U123" t="s">
        <v>96</v>
      </c>
      <c r="V123" t="s">
        <v>1264</v>
      </c>
      <c r="W123">
        <v>1</v>
      </c>
      <c r="X123">
        <v>92.08</v>
      </c>
      <c r="Y123">
        <v>89.4</v>
      </c>
      <c r="Z123">
        <v>0.85000000000000009</v>
      </c>
      <c r="AA123">
        <v>10885166804.73</v>
      </c>
      <c r="AB123">
        <f>_xlfn.XLOOKUP(E123,[2]generation_steps!$C$2:$C$5101,[2]generation_steps!$G$2:$G$5101)</f>
        <v>10885166804.73</v>
      </c>
      <c r="AC123">
        <v>7.0345874999999998</v>
      </c>
      <c r="AD123">
        <v>0</v>
      </c>
      <c r="AE123">
        <v>0</v>
      </c>
      <c r="AF123">
        <v>7.0345874999999998</v>
      </c>
      <c r="AG123">
        <v>2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</row>
    <row r="124" spans="1:57" x14ac:dyDescent="0.25">
      <c r="A124">
        <v>170</v>
      </c>
      <c r="B124" t="s">
        <v>556</v>
      </c>
      <c r="C124" t="s">
        <v>767</v>
      </c>
      <c r="E124" t="s">
        <v>976</v>
      </c>
      <c r="F124" t="s">
        <v>298</v>
      </c>
      <c r="G124">
        <v>180396053</v>
      </c>
      <c r="H124">
        <v>66.650000000000006</v>
      </c>
      <c r="I124" t="s">
        <v>97</v>
      </c>
      <c r="J124">
        <v>29569493.0857535</v>
      </c>
      <c r="K124">
        <v>34033474.891393401</v>
      </c>
      <c r="N124">
        <v>27582771.624606799</v>
      </c>
      <c r="O124">
        <v>31.069759999999999</v>
      </c>
      <c r="P124">
        <v>32.048541999999998</v>
      </c>
      <c r="Q124">
        <v>27576234.435449999</v>
      </c>
      <c r="R124">
        <v>32.419617000000002</v>
      </c>
      <c r="S124">
        <v>27975130.233648501</v>
      </c>
      <c r="T124">
        <v>32583250.155760601</v>
      </c>
      <c r="U124" t="s">
        <v>96</v>
      </c>
      <c r="V124" t="s">
        <v>1186</v>
      </c>
      <c r="W124">
        <v>1</v>
      </c>
      <c r="X124">
        <v>75.349999999999994</v>
      </c>
      <c r="Y124">
        <v>66.650000000000006</v>
      </c>
      <c r="Z124">
        <v>0.85000000000000009</v>
      </c>
      <c r="AA124">
        <v>10219887392.5825</v>
      </c>
      <c r="AB124">
        <f>_xlfn.XLOOKUP(E124,[2]generation_steps!$C$2:$C$5101,[2]generation_steps!$G$2:$G$5101)</f>
        <v>10219887392.5825</v>
      </c>
      <c r="AC124">
        <v>19.335958120000001</v>
      </c>
      <c r="AD124">
        <v>0</v>
      </c>
      <c r="AE124">
        <v>0</v>
      </c>
      <c r="AF124">
        <v>19.335958120000001</v>
      </c>
      <c r="AG124">
        <v>3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</row>
    <row r="125" spans="1:57" x14ac:dyDescent="0.25">
      <c r="A125">
        <v>115</v>
      </c>
      <c r="B125" t="s">
        <v>516</v>
      </c>
      <c r="C125" t="s">
        <v>727</v>
      </c>
      <c r="E125" t="s">
        <v>936</v>
      </c>
      <c r="F125" t="s">
        <v>89</v>
      </c>
      <c r="G125">
        <v>101542528</v>
      </c>
      <c r="H125">
        <v>128.80000000000001</v>
      </c>
      <c r="I125" t="s">
        <v>97</v>
      </c>
      <c r="J125">
        <v>30339637.472068202</v>
      </c>
      <c r="K125">
        <v>38258975.255000003</v>
      </c>
      <c r="N125">
        <v>30233125.232025798</v>
      </c>
      <c r="O125">
        <v>17.764621999999999</v>
      </c>
      <c r="P125">
        <v>18.336711999999999</v>
      </c>
      <c r="Q125">
        <v>30195717.813274</v>
      </c>
      <c r="R125">
        <v>19.705159999999999</v>
      </c>
      <c r="S125">
        <v>32354510.698899999</v>
      </c>
      <c r="T125">
        <v>37697742.792461701</v>
      </c>
      <c r="U125" t="s">
        <v>96</v>
      </c>
      <c r="V125" t="s">
        <v>1146</v>
      </c>
      <c r="W125">
        <v>1</v>
      </c>
      <c r="X125">
        <v>124.4</v>
      </c>
      <c r="Y125">
        <v>128.80000000000001</v>
      </c>
      <c r="Z125">
        <v>0.75</v>
      </c>
      <c r="AA125">
        <v>9809008204.8000011</v>
      </c>
      <c r="AB125">
        <f>_xlfn.XLOOKUP(E125,[2]generation_steps!$C$2:$C$5101,[2]generation_steps!$G$2:$G$5101)</f>
        <v>9809008204.7999992</v>
      </c>
      <c r="AC125">
        <v>13.10279875</v>
      </c>
      <c r="AD125">
        <v>0</v>
      </c>
      <c r="AE125">
        <v>0</v>
      </c>
      <c r="AF125">
        <v>13.10279875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</row>
    <row r="126" spans="1:57" x14ac:dyDescent="0.25">
      <c r="A126">
        <v>107</v>
      </c>
      <c r="B126" t="s">
        <v>326</v>
      </c>
      <c r="C126" t="s">
        <v>354</v>
      </c>
      <c r="E126" t="s">
        <v>382</v>
      </c>
      <c r="F126" t="s">
        <v>90</v>
      </c>
      <c r="G126">
        <v>1058752100</v>
      </c>
      <c r="H126">
        <v>30.88</v>
      </c>
      <c r="I126" t="s">
        <v>97</v>
      </c>
      <c r="J126">
        <v>25012837.800475299</v>
      </c>
      <c r="K126">
        <v>22131242.257333301</v>
      </c>
      <c r="N126">
        <v>22401015.245762099</v>
      </c>
      <c r="O126">
        <v>16.357222</v>
      </c>
      <c r="P126">
        <v>16.344465</v>
      </c>
      <c r="Q126">
        <v>20387471.697055999</v>
      </c>
      <c r="R126">
        <v>20.756550000000001</v>
      </c>
      <c r="S126">
        <v>20463574.739706099</v>
      </c>
      <c r="T126">
        <v>23841929.5477065</v>
      </c>
      <c r="U126" t="s">
        <v>96</v>
      </c>
      <c r="V126" t="s">
        <v>411</v>
      </c>
      <c r="W126">
        <v>1</v>
      </c>
      <c r="X126">
        <v>30.7</v>
      </c>
      <c r="Y126">
        <v>30.88</v>
      </c>
      <c r="Z126">
        <v>0.3</v>
      </c>
      <c r="AA126">
        <v>9808279454.3999996</v>
      </c>
      <c r="AB126">
        <f>_xlfn.XLOOKUP(E126,[2]generation_steps!$C$2:$C$5101,[2]generation_steps!$G$2:$G$5101)</f>
        <v>9808279454.3999996</v>
      </c>
      <c r="AC126">
        <v>21.355281250000001</v>
      </c>
      <c r="AD126">
        <v>0</v>
      </c>
      <c r="AE126">
        <v>0</v>
      </c>
      <c r="AF126">
        <v>21.355281250000001</v>
      </c>
      <c r="AG126">
        <v>2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1</v>
      </c>
      <c r="BE126" t="b">
        <v>1</v>
      </c>
    </row>
    <row r="127" spans="1:57" x14ac:dyDescent="0.25">
      <c r="A127">
        <v>215</v>
      </c>
      <c r="B127" t="s">
        <v>590</v>
      </c>
      <c r="C127" t="s">
        <v>800</v>
      </c>
      <c r="E127" t="s">
        <v>1009</v>
      </c>
      <c r="F127" t="s">
        <v>93</v>
      </c>
      <c r="G127">
        <v>1306110000</v>
      </c>
      <c r="H127">
        <v>20.86</v>
      </c>
      <c r="I127" t="s">
        <v>97</v>
      </c>
      <c r="J127">
        <v>34943885.177004002</v>
      </c>
      <c r="K127">
        <v>44417594.620666698</v>
      </c>
      <c r="N127">
        <v>34852640.504408397</v>
      </c>
      <c r="O127">
        <v>16.150262999999999</v>
      </c>
      <c r="P127">
        <v>13.916665999999999</v>
      </c>
      <c r="Q127">
        <v>32311767.558075</v>
      </c>
      <c r="R127">
        <v>18.185117999999999</v>
      </c>
      <c r="S127">
        <v>32700162.815340899</v>
      </c>
      <c r="T127">
        <v>38085130.555267602</v>
      </c>
      <c r="U127" t="s">
        <v>96</v>
      </c>
      <c r="V127" t="s">
        <v>1220</v>
      </c>
      <c r="W127">
        <v>1</v>
      </c>
      <c r="X127">
        <v>20.82</v>
      </c>
      <c r="Y127">
        <v>20.86</v>
      </c>
      <c r="Z127">
        <v>0.35</v>
      </c>
      <c r="AA127">
        <v>9535909110.0000019</v>
      </c>
      <c r="AB127">
        <f>_xlfn.XLOOKUP(E127,[2]generation_steps!$C$2:$C$5101,[2]generation_steps!$G$2:$G$5101)</f>
        <v>9535909110</v>
      </c>
      <c r="AC127">
        <v>13.451750000000001</v>
      </c>
      <c r="AD127">
        <v>0</v>
      </c>
      <c r="AE127">
        <v>0</v>
      </c>
      <c r="AF127">
        <v>13.451750000000001</v>
      </c>
      <c r="AG127">
        <v>2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</row>
    <row r="128" spans="1:57" x14ac:dyDescent="0.25">
      <c r="A128">
        <v>263</v>
      </c>
      <c r="B128" t="s">
        <v>621</v>
      </c>
      <c r="C128" t="s">
        <v>831</v>
      </c>
      <c r="E128" t="s">
        <v>1040</v>
      </c>
      <c r="F128" t="s">
        <v>88</v>
      </c>
      <c r="G128">
        <v>139772050</v>
      </c>
      <c r="H128">
        <v>70.84</v>
      </c>
      <c r="I128" t="s">
        <v>97</v>
      </c>
      <c r="J128">
        <v>32404363.147035599</v>
      </c>
      <c r="K128">
        <v>25714003.912</v>
      </c>
      <c r="N128">
        <v>30797189.517878801</v>
      </c>
      <c r="O128">
        <v>26.827255000000001</v>
      </c>
      <c r="P128">
        <v>26.668620000000001</v>
      </c>
      <c r="Q128">
        <v>30584407.894699998</v>
      </c>
      <c r="R128">
        <v>25.776744999999998</v>
      </c>
      <c r="S128">
        <v>31672296.056060601</v>
      </c>
      <c r="T128">
        <v>36930000.690362602</v>
      </c>
      <c r="U128" t="s">
        <v>96</v>
      </c>
      <c r="V128" t="s">
        <v>1251</v>
      </c>
      <c r="W128">
        <v>1</v>
      </c>
      <c r="X128">
        <v>67</v>
      </c>
      <c r="Y128">
        <v>70.84</v>
      </c>
      <c r="Z128">
        <v>0.95</v>
      </c>
      <c r="AA128">
        <v>9406379420.8999996</v>
      </c>
      <c r="AB128">
        <f>_xlfn.XLOOKUP(E128,[2]generation_steps!$C$2:$C$5101,[2]generation_steps!$G$2:$G$5101)</f>
        <v>9406379420.8999996</v>
      </c>
      <c r="AC128">
        <v>18.733754999999999</v>
      </c>
      <c r="AD128">
        <v>0</v>
      </c>
      <c r="AE128">
        <v>0</v>
      </c>
      <c r="AF128">
        <v>18.733754999999999</v>
      </c>
      <c r="AG128">
        <v>2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</row>
    <row r="129" spans="1:57" x14ac:dyDescent="0.25">
      <c r="A129">
        <v>17</v>
      </c>
      <c r="B129" t="s">
        <v>447</v>
      </c>
      <c r="C129" t="s">
        <v>659</v>
      </c>
      <c r="E129" t="s">
        <v>868</v>
      </c>
      <c r="F129" t="s">
        <v>94</v>
      </c>
      <c r="G129">
        <v>198938286</v>
      </c>
      <c r="H129">
        <v>58.2</v>
      </c>
      <c r="I129" t="s">
        <v>97</v>
      </c>
      <c r="J129">
        <v>19128312.273058798</v>
      </c>
      <c r="K129">
        <v>14317874.028333301</v>
      </c>
      <c r="N129">
        <v>15672484.81875</v>
      </c>
      <c r="O129">
        <v>13.920139000000001</v>
      </c>
      <c r="P129">
        <v>12.620889</v>
      </c>
      <c r="Q129">
        <v>14089185.64325</v>
      </c>
      <c r="R129">
        <v>17.524519999999999</v>
      </c>
      <c r="S129">
        <v>14629298.595454499</v>
      </c>
      <c r="T129">
        <v>17054765.9102805</v>
      </c>
      <c r="U129" t="s">
        <v>96</v>
      </c>
      <c r="V129" t="s">
        <v>1077</v>
      </c>
      <c r="W129">
        <v>1</v>
      </c>
      <c r="X129">
        <v>58.25</v>
      </c>
      <c r="Y129">
        <v>58.2</v>
      </c>
      <c r="Z129">
        <v>0.8</v>
      </c>
      <c r="AA129">
        <v>9262566596.1600018</v>
      </c>
      <c r="AB129">
        <f>_xlfn.XLOOKUP(E129,[2]generation_steps!$C$2:$C$5101,[2]generation_steps!$G$2:$G$5101)</f>
        <v>9262566596.1600018</v>
      </c>
      <c r="AC129">
        <v>12.549737500000001</v>
      </c>
      <c r="AD129">
        <v>0</v>
      </c>
      <c r="AE129">
        <v>0</v>
      </c>
      <c r="AF129">
        <v>12.549737500000001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</row>
    <row r="130" spans="1:57" x14ac:dyDescent="0.25">
      <c r="A130">
        <v>70</v>
      </c>
      <c r="B130" t="s">
        <v>486</v>
      </c>
      <c r="C130" t="s">
        <v>698</v>
      </c>
      <c r="E130" t="s">
        <v>907</v>
      </c>
      <c r="F130" t="s">
        <v>89</v>
      </c>
      <c r="G130">
        <v>453871520</v>
      </c>
      <c r="H130">
        <v>27.08</v>
      </c>
      <c r="I130" t="s">
        <v>97</v>
      </c>
      <c r="J130">
        <v>29922019.682402398</v>
      </c>
      <c r="K130">
        <v>18940476.3288933</v>
      </c>
      <c r="N130">
        <v>24294406.259868201</v>
      </c>
      <c r="O130">
        <v>15.504042999999999</v>
      </c>
      <c r="P130">
        <v>15.029253000000001</v>
      </c>
      <c r="Q130">
        <v>22756372.822225999</v>
      </c>
      <c r="R130">
        <v>19.580254</v>
      </c>
      <c r="S130">
        <v>23901528.872463599</v>
      </c>
      <c r="T130">
        <v>27905628.0882218</v>
      </c>
      <c r="U130" t="s">
        <v>96</v>
      </c>
      <c r="V130" t="s">
        <v>1116</v>
      </c>
      <c r="W130">
        <v>1</v>
      </c>
      <c r="X130">
        <v>26.64</v>
      </c>
      <c r="Y130">
        <v>27.08</v>
      </c>
      <c r="Z130">
        <v>0.75</v>
      </c>
      <c r="AA130">
        <v>9218130571.1999989</v>
      </c>
      <c r="AB130">
        <f>_xlfn.XLOOKUP(E130,[2]generation_steps!$C$2:$C$5101,[2]generation_steps!$G$2:$G$5101)</f>
        <v>9218130571.2000008</v>
      </c>
      <c r="AC130">
        <v>10.1023625</v>
      </c>
      <c r="AD130">
        <v>0</v>
      </c>
      <c r="AE130">
        <v>0</v>
      </c>
      <c r="AF130">
        <v>10.1023625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</row>
    <row r="131" spans="1:57" x14ac:dyDescent="0.25">
      <c r="A131">
        <v>75</v>
      </c>
      <c r="B131" t="s">
        <v>490</v>
      </c>
      <c r="C131" t="s">
        <v>702</v>
      </c>
      <c r="E131" t="s">
        <v>911</v>
      </c>
      <c r="F131" t="s">
        <v>89</v>
      </c>
      <c r="G131">
        <v>736314789</v>
      </c>
      <c r="H131">
        <v>12.984999999999999</v>
      </c>
      <c r="I131" t="s">
        <v>97</v>
      </c>
      <c r="J131">
        <v>37541819.934989803</v>
      </c>
      <c r="K131">
        <v>28321516.230640002</v>
      </c>
      <c r="N131">
        <v>34834093.925340198</v>
      </c>
      <c r="O131">
        <v>24.050322000000001</v>
      </c>
      <c r="P131">
        <v>18.931732</v>
      </c>
      <c r="Q131">
        <v>30849225.684599001</v>
      </c>
      <c r="R131">
        <v>22.433056000000001</v>
      </c>
      <c r="S131">
        <v>31618996.200301498</v>
      </c>
      <c r="T131">
        <v>36871077.798372298</v>
      </c>
      <c r="U131" t="s">
        <v>96</v>
      </c>
      <c r="V131" t="s">
        <v>1120</v>
      </c>
      <c r="W131">
        <v>1</v>
      </c>
      <c r="X131">
        <v>14.35</v>
      </c>
      <c r="Y131">
        <v>12.984999999999999</v>
      </c>
      <c r="Z131">
        <v>0.95000000000000007</v>
      </c>
      <c r="AA131">
        <v>9082995158.4067497</v>
      </c>
      <c r="AB131">
        <f>_xlfn.XLOOKUP(E131,[2]generation_steps!$C$2:$C$5101,[2]generation_steps!$G$2:$G$5101)</f>
        <v>9082995158.4067478</v>
      </c>
      <c r="AC131">
        <v>16.519187500000001</v>
      </c>
      <c r="AD131">
        <v>0</v>
      </c>
      <c r="AE131">
        <v>0</v>
      </c>
      <c r="AF131">
        <v>16.519187500000001</v>
      </c>
      <c r="AG131">
        <v>2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</row>
    <row r="132" spans="1:57" x14ac:dyDescent="0.25">
      <c r="A132">
        <v>58</v>
      </c>
      <c r="B132" t="s">
        <v>476</v>
      </c>
      <c r="C132" t="s">
        <v>688</v>
      </c>
      <c r="E132" t="s">
        <v>897</v>
      </c>
      <c r="F132" t="s">
        <v>91</v>
      </c>
      <c r="G132">
        <v>81146738</v>
      </c>
      <c r="H132">
        <v>122.8</v>
      </c>
      <c r="I132" t="s">
        <v>97</v>
      </c>
      <c r="J132">
        <v>57150646.3234118</v>
      </c>
      <c r="K132">
        <v>53220086.113333397</v>
      </c>
      <c r="N132">
        <v>55637346.0594697</v>
      </c>
      <c r="O132">
        <v>44.553173000000001</v>
      </c>
      <c r="P132">
        <v>46.747230000000002</v>
      </c>
      <c r="Q132">
        <v>56191432.636500001</v>
      </c>
      <c r="R132">
        <v>48.745471999999999</v>
      </c>
      <c r="S132">
        <v>60249187.567045502</v>
      </c>
      <c r="T132">
        <v>70226437.618759006</v>
      </c>
      <c r="U132" t="s">
        <v>96</v>
      </c>
      <c r="V132" t="s">
        <v>1106</v>
      </c>
      <c r="W132">
        <v>1</v>
      </c>
      <c r="X132">
        <v>133.6</v>
      </c>
      <c r="Y132">
        <v>122.8</v>
      </c>
      <c r="Z132">
        <v>0.9</v>
      </c>
      <c r="AA132">
        <v>8968337483.7600002</v>
      </c>
      <c r="AB132">
        <f>_xlfn.XLOOKUP(E132,[2]generation_steps!$C$2:$C$5101,[2]generation_steps!$G$2:$G$5101)</f>
        <v>8968337483.7600002</v>
      </c>
      <c r="AC132">
        <v>9.3803774999999998</v>
      </c>
      <c r="AD132">
        <v>0</v>
      </c>
      <c r="AE132">
        <v>0</v>
      </c>
      <c r="AF132">
        <v>9.3803774999999998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</row>
    <row r="133" spans="1:57" x14ac:dyDescent="0.25">
      <c r="A133">
        <v>219</v>
      </c>
      <c r="B133" t="s">
        <v>592</v>
      </c>
      <c r="C133" t="s">
        <v>802</v>
      </c>
      <c r="E133" t="s">
        <v>1011</v>
      </c>
      <c r="F133" t="s">
        <v>88</v>
      </c>
      <c r="G133">
        <v>216841000</v>
      </c>
      <c r="H133">
        <v>40.380000000000003</v>
      </c>
      <c r="I133" t="s">
        <v>97</v>
      </c>
      <c r="J133">
        <v>20834691.048992101</v>
      </c>
      <c r="K133">
        <v>19522887.445333298</v>
      </c>
      <c r="N133">
        <v>18531135.955606099</v>
      </c>
      <c r="O133">
        <v>21.019917</v>
      </c>
      <c r="P133">
        <v>22.585272</v>
      </c>
      <c r="Q133">
        <v>17652069.930799998</v>
      </c>
      <c r="R133">
        <v>21.634716000000001</v>
      </c>
      <c r="S133">
        <v>18033050.166439399</v>
      </c>
      <c r="T133">
        <v>21011196.583819602</v>
      </c>
      <c r="U133" t="s">
        <v>96</v>
      </c>
      <c r="V133" t="s">
        <v>1222</v>
      </c>
      <c r="W133">
        <v>1</v>
      </c>
      <c r="X133">
        <v>37.99</v>
      </c>
      <c r="Y133">
        <v>40.380000000000003</v>
      </c>
      <c r="Z133">
        <v>1</v>
      </c>
      <c r="AA133">
        <v>8756039580</v>
      </c>
      <c r="AB133">
        <f>_xlfn.XLOOKUP(E133,[2]generation_steps!$C$2:$C$5101,[2]generation_steps!$G$2:$G$5101)</f>
        <v>8756039580</v>
      </c>
      <c r="AC133">
        <v>13.04523625</v>
      </c>
      <c r="AD133">
        <v>0</v>
      </c>
      <c r="AE133">
        <v>0</v>
      </c>
      <c r="AF133">
        <v>13.04523625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</row>
    <row r="134" spans="1:57" x14ac:dyDescent="0.25">
      <c r="A134">
        <v>22</v>
      </c>
      <c r="B134" t="s">
        <v>449</v>
      </c>
      <c r="C134" t="s">
        <v>661</v>
      </c>
      <c r="E134" t="s">
        <v>870</v>
      </c>
      <c r="F134" t="s">
        <v>91</v>
      </c>
      <c r="G134">
        <v>171052308</v>
      </c>
      <c r="H134">
        <v>53.86</v>
      </c>
      <c r="I134" t="s">
        <v>97</v>
      </c>
      <c r="J134">
        <v>26116176.439019602</v>
      </c>
      <c r="K134">
        <v>26636037.8386667</v>
      </c>
      <c r="N134">
        <v>24032936.720151499</v>
      </c>
      <c r="O134">
        <v>21.590055</v>
      </c>
      <c r="P134">
        <v>21.870743000000001</v>
      </c>
      <c r="Q134">
        <v>22935438.763799999</v>
      </c>
      <c r="R134">
        <v>26.721869999999999</v>
      </c>
      <c r="S134">
        <v>23898204.626363698</v>
      </c>
      <c r="T134">
        <v>27850274.641827401</v>
      </c>
      <c r="U134" t="s">
        <v>96</v>
      </c>
      <c r="V134" t="s">
        <v>1079</v>
      </c>
      <c r="W134">
        <v>1</v>
      </c>
      <c r="X134">
        <v>57.26</v>
      </c>
      <c r="Y134">
        <v>53.86</v>
      </c>
      <c r="Z134">
        <v>0.95000000000000007</v>
      </c>
      <c r="AA134">
        <v>8752233443.4360008</v>
      </c>
      <c r="AB134">
        <f>_xlfn.XLOOKUP(E134,[2]generation_steps!$C$2:$C$5101,[2]generation_steps!$G$2:$G$5101)</f>
        <v>8752233443.4359989</v>
      </c>
      <c r="AC134">
        <v>22.975715000000001</v>
      </c>
      <c r="AD134">
        <v>0</v>
      </c>
      <c r="AE134">
        <v>0</v>
      </c>
      <c r="AF134">
        <v>22.975715000000001</v>
      </c>
      <c r="AG134">
        <v>2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</row>
    <row r="135" spans="1:57" x14ac:dyDescent="0.25">
      <c r="A135">
        <v>55</v>
      </c>
      <c r="B135" t="s">
        <v>475</v>
      </c>
      <c r="C135" t="s">
        <v>687</v>
      </c>
      <c r="E135" t="s">
        <v>896</v>
      </c>
      <c r="F135" t="s">
        <v>92</v>
      </c>
      <c r="G135">
        <v>77000000</v>
      </c>
      <c r="H135">
        <v>111</v>
      </c>
      <c r="I135" t="s">
        <v>97</v>
      </c>
      <c r="J135">
        <v>13553443.4614625</v>
      </c>
      <c r="K135">
        <v>10606246.553333299</v>
      </c>
      <c r="N135">
        <v>13972351.804166701</v>
      </c>
      <c r="O135">
        <v>22.648457000000001</v>
      </c>
      <c r="P135">
        <v>23.196583</v>
      </c>
      <c r="Q135">
        <v>14749831.171499999</v>
      </c>
      <c r="R135">
        <v>29.434715000000001</v>
      </c>
      <c r="S135">
        <v>15120729.487878799</v>
      </c>
      <c r="T135">
        <v>17643251.667031601</v>
      </c>
      <c r="U135" t="s">
        <v>96</v>
      </c>
      <c r="V135" t="s">
        <v>1105</v>
      </c>
      <c r="W135">
        <v>1</v>
      </c>
      <c r="X135">
        <v>121.7</v>
      </c>
      <c r="Y135">
        <v>111</v>
      </c>
      <c r="Z135">
        <v>1</v>
      </c>
      <c r="AA135">
        <v>8547000000</v>
      </c>
      <c r="AB135">
        <f>_xlfn.XLOOKUP(E135,[2]generation_steps!$C$2:$C$5101,[2]generation_steps!$G$2:$G$5101)</f>
        <v>8547000000</v>
      </c>
      <c r="AC135">
        <v>15.578099999999999</v>
      </c>
      <c r="AD135">
        <v>0</v>
      </c>
      <c r="AE135">
        <v>0</v>
      </c>
      <c r="AF135">
        <v>15.578099999999999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</row>
    <row r="136" spans="1:57" x14ac:dyDescent="0.25">
      <c r="A136">
        <v>133</v>
      </c>
      <c r="B136" t="s">
        <v>531</v>
      </c>
      <c r="C136" t="s">
        <v>742</v>
      </c>
      <c r="E136" t="s">
        <v>951</v>
      </c>
      <c r="F136" t="s">
        <v>88</v>
      </c>
      <c r="G136">
        <v>162801670</v>
      </c>
      <c r="H136">
        <v>57.35</v>
      </c>
      <c r="I136" t="s">
        <v>97</v>
      </c>
      <c r="J136">
        <v>21197104.523419</v>
      </c>
      <c r="K136">
        <v>18872270.7466667</v>
      </c>
      <c r="N136">
        <v>21077984.202840898</v>
      </c>
      <c r="O136">
        <v>19.657412999999998</v>
      </c>
      <c r="P136">
        <v>20.384402999999999</v>
      </c>
      <c r="Q136">
        <v>21460903.050749999</v>
      </c>
      <c r="R136">
        <v>22.913181000000002</v>
      </c>
      <c r="S136">
        <v>24199504.788257599</v>
      </c>
      <c r="T136">
        <v>28261011.471990298</v>
      </c>
      <c r="U136" t="s">
        <v>96</v>
      </c>
      <c r="V136" t="s">
        <v>1161</v>
      </c>
      <c r="W136">
        <v>1</v>
      </c>
      <c r="X136">
        <v>56.8</v>
      </c>
      <c r="Y136">
        <v>57.35</v>
      </c>
      <c r="Z136">
        <v>0.9</v>
      </c>
      <c r="AA136">
        <v>8403008197.0500002</v>
      </c>
      <c r="AB136">
        <f>_xlfn.XLOOKUP(E136,[2]generation_steps!$C$2:$C$5101,[2]generation_steps!$G$2:$G$5101)</f>
        <v>8403008197.0500002</v>
      </c>
      <c r="AC136">
        <v>13.50915625</v>
      </c>
      <c r="AD136">
        <v>0</v>
      </c>
      <c r="AE136">
        <v>0</v>
      </c>
      <c r="AF136">
        <v>13.50915625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</row>
    <row r="137" spans="1:57" x14ac:dyDescent="0.25">
      <c r="A137">
        <v>37</v>
      </c>
      <c r="B137" t="s">
        <v>460</v>
      </c>
      <c r="C137" t="s">
        <v>672</v>
      </c>
      <c r="E137" t="s">
        <v>881</v>
      </c>
      <c r="F137" t="s">
        <v>91</v>
      </c>
      <c r="G137">
        <v>209113565</v>
      </c>
      <c r="H137">
        <v>57.4</v>
      </c>
      <c r="I137" t="s">
        <v>97</v>
      </c>
      <c r="J137">
        <v>23462466.003313702</v>
      </c>
      <c r="K137">
        <v>19694030.068</v>
      </c>
      <c r="N137">
        <v>22533627.779318199</v>
      </c>
      <c r="O137">
        <v>14.517404000000001</v>
      </c>
      <c r="P137">
        <v>15.414694000000001</v>
      </c>
      <c r="Q137">
        <v>22478012.581999999</v>
      </c>
      <c r="R137">
        <v>19.294231</v>
      </c>
      <c r="S137">
        <v>24437387.573484801</v>
      </c>
      <c r="T137">
        <v>28518085.073169298</v>
      </c>
      <c r="U137" t="s">
        <v>96</v>
      </c>
      <c r="V137" t="s">
        <v>1090</v>
      </c>
      <c r="W137">
        <v>1</v>
      </c>
      <c r="X137">
        <v>59.52</v>
      </c>
      <c r="Y137">
        <v>57.4</v>
      </c>
      <c r="Z137">
        <v>0.70000000000000007</v>
      </c>
      <c r="AA137">
        <v>8402183041.6999998</v>
      </c>
      <c r="AB137">
        <f>_xlfn.XLOOKUP(E137,[2]generation_steps!$C$2:$C$5101,[2]generation_steps!$G$2:$G$5101)</f>
        <v>8402183041.7000008</v>
      </c>
      <c r="AC137">
        <v>11.538705670000001</v>
      </c>
      <c r="AD137">
        <v>0</v>
      </c>
      <c r="AE137">
        <v>0</v>
      </c>
      <c r="AF137">
        <v>11.538705670000001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</row>
    <row r="138" spans="1:57" x14ac:dyDescent="0.25">
      <c r="A138">
        <v>53</v>
      </c>
      <c r="B138" t="s">
        <v>474</v>
      </c>
      <c r="C138" t="s">
        <v>686</v>
      </c>
      <c r="E138" t="s">
        <v>895</v>
      </c>
      <c r="F138" t="s">
        <v>90</v>
      </c>
      <c r="G138">
        <v>898866150</v>
      </c>
      <c r="H138">
        <v>13.35</v>
      </c>
      <c r="I138" t="s">
        <v>97</v>
      </c>
      <c r="J138">
        <v>23672312.835145101</v>
      </c>
      <c r="K138">
        <v>30538660.5319</v>
      </c>
      <c r="N138">
        <v>24741654.534212101</v>
      </c>
      <c r="O138">
        <v>22.560836999999999</v>
      </c>
      <c r="P138">
        <v>22.159320000000001</v>
      </c>
      <c r="Q138">
        <v>19780685.879659999</v>
      </c>
      <c r="R138">
        <v>28.39949</v>
      </c>
      <c r="S138">
        <v>21167419.294939399</v>
      </c>
      <c r="T138">
        <v>24645872.701529101</v>
      </c>
      <c r="U138" t="s">
        <v>96</v>
      </c>
      <c r="V138" t="s">
        <v>1104</v>
      </c>
      <c r="W138">
        <v>1</v>
      </c>
      <c r="X138">
        <v>14.01</v>
      </c>
      <c r="Y138">
        <v>13.35</v>
      </c>
      <c r="Z138">
        <v>0.7</v>
      </c>
      <c r="AA138">
        <v>8399904171.75</v>
      </c>
      <c r="AB138">
        <f>_xlfn.XLOOKUP(E138,[2]generation_steps!$C$2:$C$5101,[2]generation_steps!$G$2:$G$5101)</f>
        <v>8399904171.749999</v>
      </c>
      <c r="AC138">
        <v>18.437237499999998</v>
      </c>
      <c r="AD138">
        <v>0</v>
      </c>
      <c r="AE138">
        <v>0</v>
      </c>
      <c r="AF138">
        <v>18.437237499999998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</row>
    <row r="139" spans="1:57" x14ac:dyDescent="0.25">
      <c r="A139">
        <v>7</v>
      </c>
      <c r="B139" t="s">
        <v>439</v>
      </c>
      <c r="C139" t="s">
        <v>651</v>
      </c>
      <c r="E139" t="s">
        <v>860</v>
      </c>
      <c r="F139" t="s">
        <v>89</v>
      </c>
      <c r="G139">
        <v>245000143</v>
      </c>
      <c r="H139">
        <v>45.58</v>
      </c>
      <c r="I139" t="s">
        <v>97</v>
      </c>
      <c r="J139">
        <v>29700475.999486599</v>
      </c>
      <c r="K139">
        <v>23109380.158300001</v>
      </c>
      <c r="N139">
        <v>29330138.828818999</v>
      </c>
      <c r="O139">
        <v>29.258669000000001</v>
      </c>
      <c r="P139">
        <v>28.700243</v>
      </c>
      <c r="Q139">
        <v>30049161.107740998</v>
      </c>
      <c r="R139">
        <v>31.554563999999999</v>
      </c>
      <c r="S139">
        <v>27763299.3161227</v>
      </c>
      <c r="T139">
        <v>32368096.481348298</v>
      </c>
      <c r="U139" t="s">
        <v>96</v>
      </c>
      <c r="V139" t="s">
        <v>1069</v>
      </c>
      <c r="W139">
        <v>1</v>
      </c>
      <c r="X139">
        <v>47.49</v>
      </c>
      <c r="Y139">
        <v>45.58</v>
      </c>
      <c r="Z139">
        <v>0.75</v>
      </c>
      <c r="AA139">
        <v>8375329888.4549999</v>
      </c>
      <c r="AB139">
        <f>_xlfn.XLOOKUP(E139,[2]generation_steps!$C$2:$C$5101,[2]generation_steps!$G$2:$G$5101)</f>
        <v>8375329888.4549999</v>
      </c>
      <c r="AC139">
        <v>19.652875000000002</v>
      </c>
      <c r="AD139">
        <v>0</v>
      </c>
      <c r="AE139">
        <v>0</v>
      </c>
      <c r="AF139">
        <v>19.652875000000002</v>
      </c>
      <c r="AG139">
        <v>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</row>
    <row r="140" spans="1:57" x14ac:dyDescent="0.25">
      <c r="A140">
        <v>192</v>
      </c>
      <c r="B140" t="s">
        <v>573</v>
      </c>
      <c r="C140" t="s">
        <v>784</v>
      </c>
      <c r="E140" t="s">
        <v>993</v>
      </c>
      <c r="F140" t="s">
        <v>95</v>
      </c>
      <c r="G140">
        <v>828972400</v>
      </c>
      <c r="H140">
        <v>13.45</v>
      </c>
      <c r="I140" t="s">
        <v>97</v>
      </c>
      <c r="J140">
        <v>14540008.4360241</v>
      </c>
      <c r="K140">
        <v>15360870.936000001</v>
      </c>
      <c r="N140">
        <v>14719540.906153901</v>
      </c>
      <c r="O140">
        <v>29.147362000000001</v>
      </c>
      <c r="P140">
        <v>31.026627000000001</v>
      </c>
      <c r="Q140">
        <v>15415892.361500001</v>
      </c>
      <c r="R140">
        <v>33.758459999999999</v>
      </c>
      <c r="S140">
        <v>16897198.876363602</v>
      </c>
      <c r="T140">
        <v>19685886.144303899</v>
      </c>
      <c r="U140" t="s">
        <v>96</v>
      </c>
      <c r="V140" t="s">
        <v>1203</v>
      </c>
      <c r="W140">
        <v>1</v>
      </c>
      <c r="X140">
        <v>14.67</v>
      </c>
      <c r="Y140">
        <v>13.45</v>
      </c>
      <c r="Z140">
        <v>0.75</v>
      </c>
      <c r="AA140">
        <v>8362259085</v>
      </c>
      <c r="AB140">
        <f>_xlfn.XLOOKUP(E140,[2]generation_steps!$C$2:$C$5101,[2]generation_steps!$G$2:$G$5101)</f>
        <v>8362259085</v>
      </c>
      <c r="AC140">
        <v>20.876375629999998</v>
      </c>
      <c r="AD140">
        <v>0</v>
      </c>
      <c r="AE140">
        <v>0</v>
      </c>
      <c r="AF140">
        <v>20.876375629999998</v>
      </c>
      <c r="AG140">
        <v>2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</row>
    <row r="141" spans="1:57" x14ac:dyDescent="0.25">
      <c r="A141">
        <v>128</v>
      </c>
      <c r="B141" t="s">
        <v>526</v>
      </c>
      <c r="C141" t="s">
        <v>737</v>
      </c>
      <c r="E141" t="s">
        <v>946</v>
      </c>
      <c r="F141" t="s">
        <v>88</v>
      </c>
      <c r="G141">
        <v>293413450</v>
      </c>
      <c r="H141">
        <v>40.54</v>
      </c>
      <c r="I141" t="s">
        <v>97</v>
      </c>
      <c r="J141">
        <v>25059011.7273518</v>
      </c>
      <c r="K141">
        <v>34232908.235333301</v>
      </c>
      <c r="N141">
        <v>25336766.956250001</v>
      </c>
      <c r="O141">
        <v>24.675846</v>
      </c>
      <c r="P141">
        <v>25.894017999999999</v>
      </c>
      <c r="Q141">
        <v>24916709.261799999</v>
      </c>
      <c r="R141">
        <v>29.208756999999999</v>
      </c>
      <c r="S141">
        <v>26445790.910530299</v>
      </c>
      <c r="T141">
        <v>30791339.970476702</v>
      </c>
      <c r="U141" t="s">
        <v>96</v>
      </c>
      <c r="V141" t="s">
        <v>1156</v>
      </c>
      <c r="W141">
        <v>1</v>
      </c>
      <c r="X141">
        <v>40.18</v>
      </c>
      <c r="Y141">
        <v>40.54</v>
      </c>
      <c r="Z141">
        <v>0.7</v>
      </c>
      <c r="AA141">
        <v>8326486884.0999994</v>
      </c>
      <c r="AB141">
        <f>_xlfn.XLOOKUP(E141,[2]generation_steps!$C$2:$C$5101,[2]generation_steps!$G$2:$G$5101)</f>
        <v>8326486884.0999994</v>
      </c>
      <c r="AC141">
        <v>9.3490812499999993</v>
      </c>
      <c r="AD141">
        <v>0</v>
      </c>
      <c r="AE141">
        <v>0</v>
      </c>
      <c r="AF141">
        <v>9.3490812499999993</v>
      </c>
      <c r="AG141">
        <v>2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</row>
    <row r="142" spans="1:57" x14ac:dyDescent="0.25">
      <c r="A142">
        <v>102</v>
      </c>
      <c r="B142" t="s">
        <v>509</v>
      </c>
      <c r="C142" t="s">
        <v>720</v>
      </c>
      <c r="E142" t="s">
        <v>929</v>
      </c>
      <c r="F142" t="s">
        <v>89</v>
      </c>
      <c r="G142">
        <v>98000000</v>
      </c>
      <c r="H142">
        <v>112.45</v>
      </c>
      <c r="I142" t="s">
        <v>97</v>
      </c>
      <c r="J142">
        <v>23439724.687254898</v>
      </c>
      <c r="K142">
        <v>18755064.379999999</v>
      </c>
      <c r="N142">
        <v>22686797.129356101</v>
      </c>
      <c r="O142">
        <v>22.665806</v>
      </c>
      <c r="P142">
        <v>23.623010000000001</v>
      </c>
      <c r="Q142">
        <v>22402107.146000002</v>
      </c>
      <c r="R142">
        <v>24.378485000000001</v>
      </c>
      <c r="S142">
        <v>23513957.023106098</v>
      </c>
      <c r="T142">
        <v>27421460.150026601</v>
      </c>
      <c r="U142" t="s">
        <v>96</v>
      </c>
      <c r="V142" t="s">
        <v>1139</v>
      </c>
      <c r="W142">
        <v>1</v>
      </c>
      <c r="X142">
        <v>122.1</v>
      </c>
      <c r="Y142">
        <v>112.45</v>
      </c>
      <c r="Z142">
        <v>0.75</v>
      </c>
      <c r="AA142">
        <v>8265075000</v>
      </c>
      <c r="AB142">
        <f>_xlfn.XLOOKUP(E142,[2]generation_steps!$C$2:$C$5101,[2]generation_steps!$G$2:$G$5101)</f>
        <v>8265075000</v>
      </c>
      <c r="AC142">
        <v>27.247233510000001</v>
      </c>
      <c r="AD142">
        <v>0</v>
      </c>
      <c r="AE142">
        <v>0</v>
      </c>
      <c r="AF142">
        <v>27.247233510000001</v>
      </c>
      <c r="AG142">
        <v>2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</row>
    <row r="143" spans="1:57" x14ac:dyDescent="0.25">
      <c r="A143">
        <v>125</v>
      </c>
      <c r="B143" t="s">
        <v>329</v>
      </c>
      <c r="C143" t="s">
        <v>357</v>
      </c>
      <c r="E143" t="s">
        <v>385</v>
      </c>
      <c r="F143" t="s">
        <v>95</v>
      </c>
      <c r="G143">
        <v>897264470</v>
      </c>
      <c r="H143">
        <v>18.195</v>
      </c>
      <c r="I143" t="s">
        <v>97</v>
      </c>
      <c r="J143">
        <v>22002573.401726902</v>
      </c>
      <c r="K143">
        <v>29582141.493333299</v>
      </c>
      <c r="N143">
        <v>20811119.825538501</v>
      </c>
      <c r="O143">
        <v>22.80518</v>
      </c>
      <c r="P143">
        <v>24.145807000000001</v>
      </c>
      <c r="Q143">
        <v>20988319.094500002</v>
      </c>
      <c r="R143">
        <v>27.318342000000001</v>
      </c>
      <c r="S143">
        <v>22992144.2504545</v>
      </c>
      <c r="T143">
        <v>26754344.346135799</v>
      </c>
      <c r="U143" t="s">
        <v>96</v>
      </c>
      <c r="V143" t="s">
        <v>414</v>
      </c>
      <c r="W143">
        <v>1</v>
      </c>
      <c r="X143">
        <v>18.055</v>
      </c>
      <c r="Y143">
        <v>18.195</v>
      </c>
      <c r="Z143">
        <v>0.5</v>
      </c>
      <c r="AA143">
        <v>8162863515.8249998</v>
      </c>
      <c r="AB143">
        <f>_xlfn.XLOOKUP(E143,[2]generation_steps!$C$2:$C$5101,[2]generation_steps!$G$2:$G$5101)</f>
        <v>8162863515.8249998</v>
      </c>
      <c r="AC143">
        <v>26.02259501</v>
      </c>
      <c r="AD143">
        <v>0</v>
      </c>
      <c r="AE143">
        <v>0</v>
      </c>
      <c r="AF143">
        <v>26.02259501</v>
      </c>
      <c r="AG143">
        <v>2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1</v>
      </c>
      <c r="BE143" t="b">
        <v>1</v>
      </c>
    </row>
    <row r="144" spans="1:57" x14ac:dyDescent="0.25">
      <c r="A144">
        <v>183</v>
      </c>
      <c r="B144" t="s">
        <v>566</v>
      </c>
      <c r="C144" t="s">
        <v>777</v>
      </c>
      <c r="E144" t="s">
        <v>986</v>
      </c>
      <c r="F144" t="s">
        <v>88</v>
      </c>
      <c r="G144">
        <v>1200249100</v>
      </c>
      <c r="H144">
        <v>7.9420000000000002</v>
      </c>
      <c r="I144" t="s">
        <v>97</v>
      </c>
      <c r="J144">
        <v>41973964.376359701</v>
      </c>
      <c r="K144">
        <v>34118715.152800001</v>
      </c>
      <c r="N144">
        <v>34941302.626772702</v>
      </c>
      <c r="O144">
        <v>31.270502</v>
      </c>
      <c r="P144">
        <v>30.724437999999999</v>
      </c>
      <c r="Q144">
        <v>32984971.151859999</v>
      </c>
      <c r="R144">
        <v>32.810206999999998</v>
      </c>
      <c r="S144">
        <v>30871418.865060601</v>
      </c>
      <c r="T144">
        <v>35955045.639815398</v>
      </c>
      <c r="U144" t="s">
        <v>96</v>
      </c>
      <c r="V144" t="s">
        <v>1196</v>
      </c>
      <c r="W144">
        <v>1</v>
      </c>
      <c r="X144">
        <v>8.5980000000000008</v>
      </c>
      <c r="Y144">
        <v>7.9420000000000002</v>
      </c>
      <c r="Z144">
        <v>0.85</v>
      </c>
      <c r="AA144">
        <v>8102521599.3699999</v>
      </c>
      <c r="AB144">
        <f>_xlfn.XLOOKUP(E144,[2]generation_steps!$C$2:$C$5101,[2]generation_steps!$G$2:$G$5101)</f>
        <v>8102521599.3700008</v>
      </c>
      <c r="AC144">
        <v>23.4348375</v>
      </c>
      <c r="AD144">
        <v>0</v>
      </c>
      <c r="AE144">
        <v>0</v>
      </c>
      <c r="AF144">
        <v>23.4348375</v>
      </c>
      <c r="AG144">
        <v>2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</row>
    <row r="145" spans="1:57" x14ac:dyDescent="0.25">
      <c r="A145">
        <v>15</v>
      </c>
      <c r="B145" t="s">
        <v>445</v>
      </c>
      <c r="C145" t="s">
        <v>657</v>
      </c>
      <c r="E145" t="s">
        <v>866</v>
      </c>
      <c r="F145" t="s">
        <v>91</v>
      </c>
      <c r="G145">
        <v>1652797432</v>
      </c>
      <c r="H145">
        <v>6.52</v>
      </c>
      <c r="I145" t="s">
        <v>97</v>
      </c>
      <c r="J145">
        <v>34026737.616503902</v>
      </c>
      <c r="K145">
        <v>32758188.3395999</v>
      </c>
      <c r="N145">
        <v>32558550.446121201</v>
      </c>
      <c r="O145">
        <v>22.844964999999998</v>
      </c>
      <c r="P145">
        <v>22.433506000000001</v>
      </c>
      <c r="Q145">
        <v>32368743.134009998</v>
      </c>
      <c r="R145">
        <v>27.671600000000002</v>
      </c>
      <c r="S145">
        <v>33583524.2566818</v>
      </c>
      <c r="T145">
        <v>39166035.996399403</v>
      </c>
      <c r="U145" t="s">
        <v>96</v>
      </c>
      <c r="V145" t="s">
        <v>1075</v>
      </c>
      <c r="W145">
        <v>1</v>
      </c>
      <c r="X145">
        <v>6.47</v>
      </c>
      <c r="Y145">
        <v>6.52</v>
      </c>
      <c r="Z145">
        <v>0.75</v>
      </c>
      <c r="AA145">
        <v>8082179442.4799995</v>
      </c>
      <c r="AB145">
        <f>_xlfn.XLOOKUP(E145,[2]generation_steps!$C$2:$C$5101,[2]generation_steps!$G$2:$G$5101)</f>
        <v>8082179442.4799995</v>
      </c>
      <c r="AC145">
        <v>13.258868420000001</v>
      </c>
      <c r="AD145">
        <v>0</v>
      </c>
      <c r="AE145">
        <v>0</v>
      </c>
      <c r="AF145">
        <v>13.258868420000001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</row>
    <row r="146" spans="1:57" x14ac:dyDescent="0.25">
      <c r="A146">
        <v>66</v>
      </c>
      <c r="B146" t="s">
        <v>482</v>
      </c>
      <c r="C146" t="s">
        <v>694</v>
      </c>
      <c r="E146" t="s">
        <v>903</v>
      </c>
      <c r="F146" t="s">
        <v>89</v>
      </c>
      <c r="G146">
        <v>383620188</v>
      </c>
      <c r="H146">
        <v>41.75</v>
      </c>
      <c r="I146" t="s">
        <v>97</v>
      </c>
      <c r="J146">
        <v>29607676.6053898</v>
      </c>
      <c r="K146">
        <v>32453716.200479999</v>
      </c>
      <c r="N146">
        <v>28324183.382306099</v>
      </c>
      <c r="O146">
        <v>23.032550000000001</v>
      </c>
      <c r="P146">
        <v>24.684715000000001</v>
      </c>
      <c r="Q146">
        <v>28143007.760294002</v>
      </c>
      <c r="R146">
        <v>22.173158999999998</v>
      </c>
      <c r="S146">
        <v>29558698.538248502</v>
      </c>
      <c r="T146">
        <v>34427168.6140991</v>
      </c>
      <c r="U146" t="s">
        <v>96</v>
      </c>
      <c r="V146" t="s">
        <v>1112</v>
      </c>
      <c r="W146">
        <v>1</v>
      </c>
      <c r="X146">
        <v>44</v>
      </c>
      <c r="Y146">
        <v>41.75</v>
      </c>
      <c r="Z146">
        <v>0.5</v>
      </c>
      <c r="AA146">
        <v>8008071424.5</v>
      </c>
      <c r="AB146">
        <f>_xlfn.XLOOKUP(E146,[2]generation_steps!$C$2:$C$5101,[2]generation_steps!$G$2:$G$5101)</f>
        <v>8008071424.5</v>
      </c>
      <c r="AC146">
        <v>31.68472637</v>
      </c>
      <c r="AD146">
        <v>0</v>
      </c>
      <c r="AE146">
        <v>0</v>
      </c>
      <c r="AF146">
        <v>31.68472637</v>
      </c>
      <c r="AG146">
        <v>2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</row>
    <row r="147" spans="1:57" x14ac:dyDescent="0.25">
      <c r="A147">
        <v>25</v>
      </c>
      <c r="B147" t="s">
        <v>451</v>
      </c>
      <c r="C147" t="s">
        <v>663</v>
      </c>
      <c r="E147" t="s">
        <v>872</v>
      </c>
      <c r="F147" t="s">
        <v>89</v>
      </c>
      <c r="G147">
        <v>462029966</v>
      </c>
      <c r="H147">
        <v>22.48</v>
      </c>
      <c r="I147" t="s">
        <v>97</v>
      </c>
      <c r="J147">
        <v>26811988.372921601</v>
      </c>
      <c r="K147">
        <v>25798607.846000001</v>
      </c>
      <c r="N147">
        <v>23426464.2625947</v>
      </c>
      <c r="O147">
        <v>31.63599</v>
      </c>
      <c r="P147">
        <v>31.2363</v>
      </c>
      <c r="Q147">
        <v>21778391.44545</v>
      </c>
      <c r="R147">
        <v>41.366646000000003</v>
      </c>
      <c r="S147">
        <v>22392934.507424202</v>
      </c>
      <c r="T147">
        <v>26113386.405836798</v>
      </c>
      <c r="U147" t="s">
        <v>96</v>
      </c>
      <c r="V147" t="s">
        <v>1081</v>
      </c>
      <c r="W147">
        <v>1</v>
      </c>
      <c r="X147">
        <v>24.45</v>
      </c>
      <c r="Y147">
        <v>22.48</v>
      </c>
      <c r="Z147">
        <v>0.75</v>
      </c>
      <c r="AA147">
        <v>7789825226.7600002</v>
      </c>
      <c r="AB147">
        <f>_xlfn.XLOOKUP(E147,[2]generation_steps!$C$2:$C$5101,[2]generation_steps!$G$2:$G$5101)</f>
        <v>7789825226.7600002</v>
      </c>
      <c r="AC147">
        <v>20.620465630000002</v>
      </c>
      <c r="AD147">
        <v>0</v>
      </c>
      <c r="AE147">
        <v>0</v>
      </c>
      <c r="AF147">
        <v>20.620465630000002</v>
      </c>
      <c r="AG147">
        <v>2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</row>
    <row r="148" spans="1:57" x14ac:dyDescent="0.25">
      <c r="A148">
        <v>60</v>
      </c>
      <c r="B148" t="s">
        <v>478</v>
      </c>
      <c r="C148" t="s">
        <v>690</v>
      </c>
      <c r="E148" t="s">
        <v>899</v>
      </c>
      <c r="F148" t="s">
        <v>88</v>
      </c>
      <c r="G148">
        <v>242600000</v>
      </c>
      <c r="H148">
        <v>89.2</v>
      </c>
      <c r="I148" t="s">
        <v>97</v>
      </c>
      <c r="J148">
        <v>33743309.449288502</v>
      </c>
      <c r="K148">
        <v>26020244.853333302</v>
      </c>
      <c r="N148">
        <v>33694217.848636404</v>
      </c>
      <c r="O148">
        <v>21.462543</v>
      </c>
      <c r="P148">
        <v>21.750036000000001</v>
      </c>
      <c r="Q148">
        <v>32999391.838950001</v>
      </c>
      <c r="R148">
        <v>23.400476000000001</v>
      </c>
      <c r="S148">
        <v>30574490.583484799</v>
      </c>
      <c r="T148">
        <v>35662448.505756803</v>
      </c>
      <c r="U148" t="s">
        <v>96</v>
      </c>
      <c r="V148" t="s">
        <v>1108</v>
      </c>
      <c r="W148">
        <v>1</v>
      </c>
      <c r="X148">
        <v>93.46</v>
      </c>
      <c r="Y148">
        <v>89.2</v>
      </c>
      <c r="Z148">
        <v>0.35</v>
      </c>
      <c r="AA148">
        <v>7573972000</v>
      </c>
      <c r="AB148">
        <f>_xlfn.XLOOKUP(E148,[2]generation_steps!$C$2:$C$5101,[2]generation_steps!$G$2:$G$5101)</f>
        <v>7573971999.999999</v>
      </c>
      <c r="AC148">
        <v>28.2510075</v>
      </c>
      <c r="AD148">
        <v>0</v>
      </c>
      <c r="AE148">
        <v>0</v>
      </c>
      <c r="AF148">
        <v>28.2510075</v>
      </c>
      <c r="AG148">
        <v>2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</row>
    <row r="149" spans="1:57" x14ac:dyDescent="0.25">
      <c r="A149">
        <v>172</v>
      </c>
      <c r="B149" t="s">
        <v>558</v>
      </c>
      <c r="C149" t="s">
        <v>769</v>
      </c>
      <c r="E149" t="s">
        <v>978</v>
      </c>
      <c r="F149" t="s">
        <v>89</v>
      </c>
      <c r="G149">
        <v>286861172</v>
      </c>
      <c r="H149">
        <v>32.840000000000003</v>
      </c>
      <c r="I149" t="s">
        <v>97</v>
      </c>
      <c r="J149">
        <v>17714316.864274502</v>
      </c>
      <c r="K149">
        <v>13307742.369999999</v>
      </c>
      <c r="N149">
        <v>16604150.5862121</v>
      </c>
      <c r="O149">
        <v>14.858325000000001</v>
      </c>
      <c r="P149">
        <v>15.157425999999999</v>
      </c>
      <c r="Q149">
        <v>15872535.5485</v>
      </c>
      <c r="R149">
        <v>16.785225000000001</v>
      </c>
      <c r="S149">
        <v>16477831.3022727</v>
      </c>
      <c r="T149">
        <v>19212903.468168199</v>
      </c>
      <c r="U149" t="s">
        <v>96</v>
      </c>
      <c r="V149" t="s">
        <v>1188</v>
      </c>
      <c r="W149">
        <v>1</v>
      </c>
      <c r="X149">
        <v>33.380000000000003</v>
      </c>
      <c r="Y149">
        <v>32.840000000000003</v>
      </c>
      <c r="Z149">
        <v>0.8</v>
      </c>
      <c r="AA149">
        <v>7536416710.7840014</v>
      </c>
      <c r="AB149">
        <f>_xlfn.XLOOKUP(E149,[2]generation_steps!$C$2:$C$5101,[2]generation_steps!$G$2:$G$5101)</f>
        <v>7536416710.7840014</v>
      </c>
      <c r="AC149">
        <v>6.3198999999999996</v>
      </c>
      <c r="AD149">
        <v>0</v>
      </c>
      <c r="AE149">
        <v>0</v>
      </c>
      <c r="AF149">
        <v>6.3198999999999996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</row>
    <row r="150" spans="1:57" x14ac:dyDescent="0.25">
      <c r="A150">
        <v>284</v>
      </c>
      <c r="B150" t="s">
        <v>635</v>
      </c>
      <c r="C150" t="s">
        <v>845</v>
      </c>
      <c r="E150" t="s">
        <v>1054</v>
      </c>
      <c r="F150" t="s">
        <v>93</v>
      </c>
      <c r="G150">
        <v>717473508</v>
      </c>
      <c r="H150">
        <v>18.87</v>
      </c>
      <c r="I150" t="s">
        <v>97</v>
      </c>
      <c r="J150">
        <v>28546441.161190499</v>
      </c>
      <c r="K150">
        <v>29231753.535999998</v>
      </c>
      <c r="N150">
        <v>24501332.398950402</v>
      </c>
      <c r="O150">
        <v>22.72015</v>
      </c>
      <c r="P150">
        <v>23.032153999999998</v>
      </c>
      <c r="Q150">
        <v>24022930.343575001</v>
      </c>
      <c r="R150">
        <v>29.840038</v>
      </c>
      <c r="S150">
        <v>24493687.2690151</v>
      </c>
      <c r="T150">
        <v>28516371.935224801</v>
      </c>
      <c r="U150" t="s">
        <v>96</v>
      </c>
      <c r="V150" t="s">
        <v>1265</v>
      </c>
      <c r="W150">
        <v>1</v>
      </c>
      <c r="X150">
        <v>19.77</v>
      </c>
      <c r="Y150">
        <v>18.87</v>
      </c>
      <c r="Z150">
        <v>0.55000000000000004</v>
      </c>
      <c r="AA150">
        <v>7446298802.7780008</v>
      </c>
      <c r="AB150">
        <f>_xlfn.XLOOKUP(E150,[2]generation_steps!$C$2:$C$5101,[2]generation_steps!$G$2:$G$5101)</f>
        <v>7446298802.7780008</v>
      </c>
      <c r="AC150">
        <v>13.94077813</v>
      </c>
      <c r="AD150">
        <v>0</v>
      </c>
      <c r="AE150">
        <v>0</v>
      </c>
      <c r="AF150">
        <v>13.94077813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</row>
    <row r="151" spans="1:57" x14ac:dyDescent="0.25">
      <c r="A151">
        <v>131</v>
      </c>
      <c r="B151" t="s">
        <v>529</v>
      </c>
      <c r="C151" t="s">
        <v>740</v>
      </c>
      <c r="E151" t="s">
        <v>949</v>
      </c>
      <c r="F151" t="s">
        <v>404</v>
      </c>
      <c r="G151">
        <v>695415645</v>
      </c>
      <c r="H151">
        <v>17.495000000000001</v>
      </c>
      <c r="I151" t="s">
        <v>97</v>
      </c>
      <c r="J151">
        <v>22854564.6613039</v>
      </c>
      <c r="K151">
        <v>23600568.408333302</v>
      </c>
      <c r="N151">
        <v>23230906.087499999</v>
      </c>
      <c r="O151">
        <v>23.370263999999999</v>
      </c>
      <c r="P151">
        <v>22.334067999999998</v>
      </c>
      <c r="Q151">
        <v>22913628.820175</v>
      </c>
      <c r="R151">
        <v>27.496956000000001</v>
      </c>
      <c r="S151">
        <v>23730208.5079167</v>
      </c>
      <c r="T151">
        <v>27646243.243147101</v>
      </c>
      <c r="U151" t="s">
        <v>96</v>
      </c>
      <c r="V151" t="s">
        <v>1159</v>
      </c>
      <c r="W151">
        <v>1</v>
      </c>
      <c r="X151">
        <v>14.095000000000001</v>
      </c>
      <c r="Y151">
        <v>17.495000000000001</v>
      </c>
      <c r="Z151">
        <v>0.60000000000000009</v>
      </c>
      <c r="AA151">
        <v>7299778025.5650005</v>
      </c>
      <c r="AB151">
        <f>_xlfn.XLOOKUP(E151,[2]generation_steps!$C$2:$C$5101,[2]generation_steps!$G$2:$G$5101)</f>
        <v>7299778025.5650024</v>
      </c>
      <c r="AC151">
        <v>44.138740060000003</v>
      </c>
      <c r="AD151">
        <v>0</v>
      </c>
      <c r="AE151">
        <v>0</v>
      </c>
      <c r="AF151">
        <v>44.138740060000003</v>
      </c>
      <c r="AG151">
        <v>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</row>
    <row r="152" spans="1:57" x14ac:dyDescent="0.25">
      <c r="A152">
        <v>44</v>
      </c>
      <c r="B152" t="s">
        <v>466</v>
      </c>
      <c r="C152" t="s">
        <v>678</v>
      </c>
      <c r="E152" t="s">
        <v>887</v>
      </c>
      <c r="F152" t="s">
        <v>404</v>
      </c>
      <c r="G152">
        <v>15113989952</v>
      </c>
      <c r="H152">
        <v>0.78239999999999998</v>
      </c>
      <c r="I152" t="s">
        <v>97</v>
      </c>
      <c r="J152">
        <v>43425704.267117999</v>
      </c>
      <c r="K152">
        <v>42281788.368146703</v>
      </c>
      <c r="N152">
        <v>47513541.516732603</v>
      </c>
      <c r="O152">
        <v>25.329969999999999</v>
      </c>
      <c r="P152">
        <v>23.794456</v>
      </c>
      <c r="Q152">
        <v>47052440.681533001</v>
      </c>
      <c r="R152">
        <v>32.068035000000002</v>
      </c>
      <c r="S152">
        <v>44410570.451725803</v>
      </c>
      <c r="T152">
        <v>51753046.606706403</v>
      </c>
      <c r="U152" t="s">
        <v>96</v>
      </c>
      <c r="V152" t="s">
        <v>1096</v>
      </c>
      <c r="W152">
        <v>1</v>
      </c>
      <c r="X152">
        <v>0.86599999999999999</v>
      </c>
      <c r="Y152">
        <v>0.78239999999999998</v>
      </c>
      <c r="Z152">
        <v>0.60000000000000009</v>
      </c>
      <c r="AA152">
        <v>7095111443.0668802</v>
      </c>
      <c r="AB152">
        <f>_xlfn.XLOOKUP(E152,[2]generation_steps!$C$2:$C$5101,[2]generation_steps!$G$2:$G$5101)</f>
        <v>7095111443.0668812</v>
      </c>
      <c r="AC152">
        <v>14.900556249999999</v>
      </c>
      <c r="AD152">
        <v>0</v>
      </c>
      <c r="AE152">
        <v>0</v>
      </c>
      <c r="AF152">
        <v>14.900556249999999</v>
      </c>
      <c r="AG152">
        <v>2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</row>
    <row r="153" spans="1:57" x14ac:dyDescent="0.25">
      <c r="A153">
        <v>199</v>
      </c>
      <c r="B153" t="s">
        <v>578</v>
      </c>
      <c r="C153" t="s">
        <v>788</v>
      </c>
      <c r="E153" t="s">
        <v>997</v>
      </c>
      <c r="F153" t="s">
        <v>95</v>
      </c>
      <c r="G153">
        <v>769211060</v>
      </c>
      <c r="H153">
        <v>16.725000000000001</v>
      </c>
      <c r="I153" t="s">
        <v>97</v>
      </c>
      <c r="J153">
        <v>24419469.960602399</v>
      </c>
      <c r="K153">
        <v>21349515.247333299</v>
      </c>
      <c r="N153">
        <v>22538713.2328462</v>
      </c>
      <c r="O153">
        <v>40.389319999999998</v>
      </c>
      <c r="P153">
        <v>39.816173999999997</v>
      </c>
      <c r="Q153">
        <v>20441555.6226</v>
      </c>
      <c r="R153">
        <v>44.044815</v>
      </c>
      <c r="S153">
        <v>21570648.8080303</v>
      </c>
      <c r="T153">
        <v>25132208.8937556</v>
      </c>
      <c r="U153" t="s">
        <v>96</v>
      </c>
      <c r="V153" t="s">
        <v>1208</v>
      </c>
      <c r="W153">
        <v>1</v>
      </c>
      <c r="X153">
        <v>18.215</v>
      </c>
      <c r="Y153">
        <v>16.725000000000001</v>
      </c>
      <c r="Z153">
        <v>0.55000000000000004</v>
      </c>
      <c r="AA153">
        <v>7075780238.1750011</v>
      </c>
      <c r="AB153">
        <f>_xlfn.XLOOKUP(E153,[2]generation_steps!$C$2:$C$5101,[2]generation_steps!$G$2:$G$5101)</f>
        <v>7075780238.1750011</v>
      </c>
      <c r="AC153">
        <v>26.099279370000001</v>
      </c>
      <c r="AD153">
        <v>0</v>
      </c>
      <c r="AE153">
        <v>0</v>
      </c>
      <c r="AF153">
        <v>26.099279370000001</v>
      </c>
      <c r="AG153">
        <v>2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</row>
    <row r="154" spans="1:57" x14ac:dyDescent="0.25">
      <c r="A154">
        <v>207</v>
      </c>
      <c r="B154" t="s">
        <v>584</v>
      </c>
      <c r="C154" t="s">
        <v>794</v>
      </c>
      <c r="E154" t="s">
        <v>1003</v>
      </c>
      <c r="F154" t="s">
        <v>92</v>
      </c>
      <c r="G154">
        <v>327272740</v>
      </c>
      <c r="H154">
        <v>47.86</v>
      </c>
      <c r="I154" t="s">
        <v>97</v>
      </c>
      <c r="J154">
        <v>18842573.0675494</v>
      </c>
      <c r="K154">
        <v>15597631.1706667</v>
      </c>
      <c r="N154">
        <v>16669788.3775758</v>
      </c>
      <c r="O154">
        <v>23.819239</v>
      </c>
      <c r="P154">
        <v>17.926953999999999</v>
      </c>
      <c r="Q154">
        <v>14995039.578600001</v>
      </c>
      <c r="R154">
        <v>24.09375</v>
      </c>
      <c r="S154">
        <v>15422104.2469697</v>
      </c>
      <c r="T154">
        <v>17979998.471455801</v>
      </c>
      <c r="U154" t="s">
        <v>96</v>
      </c>
      <c r="V154" t="s">
        <v>1214</v>
      </c>
      <c r="W154">
        <v>1</v>
      </c>
      <c r="X154">
        <v>46.2</v>
      </c>
      <c r="Y154">
        <v>47.86</v>
      </c>
      <c r="Z154">
        <v>0.45</v>
      </c>
      <c r="AA154">
        <v>7048473001.3800001</v>
      </c>
      <c r="AB154">
        <f>_xlfn.XLOOKUP(E154,[2]generation_steps!$C$2:$C$5101,[2]generation_steps!$G$2:$G$5101)</f>
        <v>7048473001.3800001</v>
      </c>
      <c r="AC154">
        <v>30.189755000000002</v>
      </c>
      <c r="AD154">
        <v>0</v>
      </c>
      <c r="AE154">
        <v>0</v>
      </c>
      <c r="AF154">
        <v>30.189755000000002</v>
      </c>
      <c r="AG154">
        <v>2</v>
      </c>
      <c r="AH154">
        <v>0</v>
      </c>
      <c r="AI154">
        <v>0</v>
      </c>
      <c r="AJ154">
        <v>0</v>
      </c>
      <c r="AK154" t="s">
        <v>319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</row>
    <row r="155" spans="1:57" x14ac:dyDescent="0.25">
      <c r="A155">
        <v>265</v>
      </c>
      <c r="B155" t="s">
        <v>623</v>
      </c>
      <c r="C155" t="s">
        <v>833</v>
      </c>
      <c r="E155" t="s">
        <v>1042</v>
      </c>
      <c r="F155" t="s">
        <v>88</v>
      </c>
      <c r="G155">
        <v>258229000</v>
      </c>
      <c r="H155">
        <v>108.4</v>
      </c>
      <c r="I155" t="s">
        <v>97</v>
      </c>
      <c r="J155">
        <v>11423268.4578063</v>
      </c>
      <c r="K155">
        <v>12567344.586666699</v>
      </c>
      <c r="N155">
        <v>11333176.800378799</v>
      </c>
      <c r="O155">
        <v>22.543479999999999</v>
      </c>
      <c r="P155">
        <v>24.115027999999999</v>
      </c>
      <c r="Q155">
        <v>10959341.527000001</v>
      </c>
      <c r="R155">
        <v>27.561188000000001</v>
      </c>
      <c r="S155">
        <v>11651616.394696999</v>
      </c>
      <c r="T155">
        <v>13575571.803157801</v>
      </c>
      <c r="U155" t="s">
        <v>96</v>
      </c>
      <c r="V155" t="s">
        <v>1253</v>
      </c>
      <c r="W155">
        <v>1</v>
      </c>
      <c r="X155">
        <v>111.3</v>
      </c>
      <c r="Y155">
        <v>108.4</v>
      </c>
      <c r="Z155">
        <v>0.25</v>
      </c>
      <c r="AA155">
        <v>6998005900</v>
      </c>
      <c r="AB155">
        <f>_xlfn.XLOOKUP(E155,[2]generation_steps!$C$2:$C$5101,[2]generation_steps!$G$2:$G$5101)</f>
        <v>6998005900</v>
      </c>
      <c r="AC155">
        <v>19.596866250000001</v>
      </c>
      <c r="AD155">
        <v>0</v>
      </c>
      <c r="AE155">
        <v>0</v>
      </c>
      <c r="AF155">
        <v>19.596866250000001</v>
      </c>
      <c r="AG155">
        <v>2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</row>
    <row r="156" spans="1:57" x14ac:dyDescent="0.25">
      <c r="A156">
        <v>230</v>
      </c>
      <c r="B156" t="s">
        <v>601</v>
      </c>
      <c r="C156" t="s">
        <v>811</v>
      </c>
      <c r="E156" t="s">
        <v>1020</v>
      </c>
      <c r="F156" t="s">
        <v>89</v>
      </c>
      <c r="G156">
        <v>299036619</v>
      </c>
      <c r="H156">
        <v>30.81</v>
      </c>
      <c r="I156" t="s">
        <v>97</v>
      </c>
      <c r="J156">
        <v>17441069.230568599</v>
      </c>
      <c r="K156">
        <v>27420409.192000002</v>
      </c>
      <c r="N156">
        <v>18436868.736060601</v>
      </c>
      <c r="O156">
        <v>24.821928</v>
      </c>
      <c r="P156">
        <v>24.891577000000002</v>
      </c>
      <c r="Q156">
        <v>20052147.3215</v>
      </c>
      <c r="R156">
        <v>30.508102000000001</v>
      </c>
      <c r="S156">
        <v>22394471.6219697</v>
      </c>
      <c r="T156">
        <v>26077578.705306999</v>
      </c>
      <c r="U156" t="s">
        <v>96</v>
      </c>
      <c r="V156" t="s">
        <v>1231</v>
      </c>
      <c r="W156">
        <v>1</v>
      </c>
      <c r="X156">
        <v>32.86</v>
      </c>
      <c r="Y156">
        <v>30.81</v>
      </c>
      <c r="Z156">
        <v>0.75</v>
      </c>
      <c r="AA156">
        <v>6909988673.5424995</v>
      </c>
      <c r="AB156">
        <f>_xlfn.XLOOKUP(E156,[2]generation_steps!$C$2:$C$5101,[2]generation_steps!$G$2:$G$5101)</f>
        <v>6909988673.5424995</v>
      </c>
      <c r="AC156">
        <v>13.0263875</v>
      </c>
      <c r="AD156">
        <v>0</v>
      </c>
      <c r="AE156">
        <v>0</v>
      </c>
      <c r="AF156">
        <v>13.0263875</v>
      </c>
      <c r="AG156">
        <v>2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</row>
    <row r="157" spans="1:57" x14ac:dyDescent="0.25">
      <c r="A157">
        <v>79</v>
      </c>
      <c r="B157" t="s">
        <v>494</v>
      </c>
      <c r="C157" t="s">
        <v>705</v>
      </c>
      <c r="E157" t="s">
        <v>914</v>
      </c>
      <c r="F157" t="s">
        <v>88</v>
      </c>
      <c r="G157">
        <v>200005980</v>
      </c>
      <c r="H157">
        <v>62.74</v>
      </c>
      <c r="I157" t="s">
        <v>97</v>
      </c>
      <c r="J157">
        <v>31100613.4235573</v>
      </c>
      <c r="K157">
        <v>34426394.800666697</v>
      </c>
      <c r="N157">
        <v>31231243.5466667</v>
      </c>
      <c r="O157">
        <v>26.616506999999999</v>
      </c>
      <c r="P157">
        <v>27.984470000000002</v>
      </c>
      <c r="Q157">
        <v>30871653.999000002</v>
      </c>
      <c r="R157">
        <v>28.186989000000001</v>
      </c>
      <c r="S157">
        <v>35230529.134393901</v>
      </c>
      <c r="T157">
        <v>41084452.856529303</v>
      </c>
      <c r="U157" t="s">
        <v>96</v>
      </c>
      <c r="V157" t="s">
        <v>1124</v>
      </c>
      <c r="W157">
        <v>1</v>
      </c>
      <c r="X157">
        <v>66.52</v>
      </c>
      <c r="Y157">
        <v>62.74</v>
      </c>
      <c r="Z157">
        <v>0.55000000000000004</v>
      </c>
      <c r="AA157">
        <v>6901606351.8600016</v>
      </c>
      <c r="AB157">
        <f>_xlfn.XLOOKUP(E157,[2]generation_steps!$C$2:$C$5101,[2]generation_steps!$G$2:$G$5101)</f>
        <v>6901606351.8600006</v>
      </c>
      <c r="AC157">
        <v>21.61647</v>
      </c>
      <c r="AD157">
        <v>0</v>
      </c>
      <c r="AE157">
        <v>0</v>
      </c>
      <c r="AF157">
        <v>21.61647</v>
      </c>
      <c r="AG157">
        <v>2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</row>
    <row r="158" spans="1:57" x14ac:dyDescent="0.25">
      <c r="A158">
        <v>114</v>
      </c>
      <c r="B158" t="s">
        <v>515</v>
      </c>
      <c r="C158" t="s">
        <v>726</v>
      </c>
      <c r="E158" t="s">
        <v>935</v>
      </c>
      <c r="F158" t="s">
        <v>89</v>
      </c>
      <c r="G158">
        <v>182163000</v>
      </c>
      <c r="H158">
        <v>57.78</v>
      </c>
      <c r="I158" t="s">
        <v>97</v>
      </c>
      <c r="J158">
        <v>18993258.805584699</v>
      </c>
      <c r="K158">
        <v>12830068.064200001</v>
      </c>
      <c r="N158">
        <v>17759378.006546199</v>
      </c>
      <c r="O158">
        <v>22.78565</v>
      </c>
      <c r="P158">
        <v>23.707242999999998</v>
      </c>
      <c r="Q158">
        <v>16505614.963540999</v>
      </c>
      <c r="R158">
        <v>28.449369999999998</v>
      </c>
      <c r="S158">
        <v>16100546.470819701</v>
      </c>
      <c r="T158">
        <v>18760218.054551098</v>
      </c>
      <c r="U158" t="s">
        <v>96</v>
      </c>
      <c r="V158" t="s">
        <v>1145</v>
      </c>
      <c r="W158">
        <v>1</v>
      </c>
      <c r="X158">
        <v>58.3</v>
      </c>
      <c r="Y158">
        <v>57.78</v>
      </c>
      <c r="Z158">
        <v>0.65</v>
      </c>
      <c r="AA158">
        <v>6841495791</v>
      </c>
      <c r="AB158">
        <f>_xlfn.XLOOKUP(E158,[2]generation_steps!$C$2:$C$5101,[2]generation_steps!$G$2:$G$5101)</f>
        <v>6841495791</v>
      </c>
      <c r="AC158">
        <v>17.61841875</v>
      </c>
      <c r="AD158">
        <v>0</v>
      </c>
      <c r="AE158">
        <v>0</v>
      </c>
      <c r="AF158">
        <v>17.61841875</v>
      </c>
      <c r="AG158">
        <v>2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</row>
    <row r="159" spans="1:57" x14ac:dyDescent="0.25">
      <c r="A159">
        <v>258</v>
      </c>
      <c r="B159" t="s">
        <v>616</v>
      </c>
      <c r="C159" t="s">
        <v>826</v>
      </c>
      <c r="E159" t="s">
        <v>1035</v>
      </c>
      <c r="F159" t="s">
        <v>89</v>
      </c>
      <c r="G159">
        <v>168073514</v>
      </c>
      <c r="H159">
        <v>43.88</v>
      </c>
      <c r="I159" t="s">
        <v>97</v>
      </c>
      <c r="J159">
        <v>14289435.1971961</v>
      </c>
      <c r="K159">
        <v>16826309.056000002</v>
      </c>
      <c r="N159">
        <v>16363782.918901499</v>
      </c>
      <c r="O159">
        <v>22.219111999999999</v>
      </c>
      <c r="P159">
        <v>23.511006999999999</v>
      </c>
      <c r="Q159">
        <v>16922745.71195</v>
      </c>
      <c r="R159">
        <v>24.113453</v>
      </c>
      <c r="S159">
        <v>17836970.733787902</v>
      </c>
      <c r="T159">
        <v>20802082.001544502</v>
      </c>
      <c r="U159" t="s">
        <v>96</v>
      </c>
      <c r="V159" t="s">
        <v>1246</v>
      </c>
      <c r="W159">
        <v>1</v>
      </c>
      <c r="X159">
        <v>48.66</v>
      </c>
      <c r="Y159">
        <v>43.88</v>
      </c>
      <c r="Z159">
        <v>0.9</v>
      </c>
      <c r="AA159">
        <v>6637559214.8879995</v>
      </c>
      <c r="AB159">
        <f>_xlfn.XLOOKUP(E159,[2]generation_steps!$C$2:$C$5101,[2]generation_steps!$G$2:$G$5101)</f>
        <v>6637559214.8879995</v>
      </c>
      <c r="AC159">
        <v>9.5158124999999991</v>
      </c>
      <c r="AD159">
        <v>0</v>
      </c>
      <c r="AE159">
        <v>0</v>
      </c>
      <c r="AF159">
        <v>9.5158124999999991</v>
      </c>
      <c r="AG159">
        <v>2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</row>
    <row r="160" spans="1:57" x14ac:dyDescent="0.25">
      <c r="A160">
        <v>226</v>
      </c>
      <c r="B160" t="s">
        <v>598</v>
      </c>
      <c r="C160" t="s">
        <v>808</v>
      </c>
      <c r="E160" t="s">
        <v>1017</v>
      </c>
      <c r="F160" t="s">
        <v>89</v>
      </c>
      <c r="G160">
        <v>295722284</v>
      </c>
      <c r="H160">
        <v>34.32</v>
      </c>
      <c r="I160" t="s">
        <v>97</v>
      </c>
      <c r="J160">
        <v>45622595.530854903</v>
      </c>
      <c r="K160">
        <v>36855498.896666698</v>
      </c>
      <c r="N160">
        <v>42389915.706234798</v>
      </c>
      <c r="O160">
        <v>38.844563000000001</v>
      </c>
      <c r="P160">
        <v>39.254604</v>
      </c>
      <c r="Q160">
        <v>40778256.695029996</v>
      </c>
      <c r="R160">
        <v>36.397713000000003</v>
      </c>
      <c r="S160">
        <v>36942796.285651498</v>
      </c>
      <c r="T160">
        <v>43064169.281303599</v>
      </c>
      <c r="U160" t="s">
        <v>96</v>
      </c>
      <c r="V160" t="s">
        <v>1228</v>
      </c>
      <c r="W160">
        <v>1</v>
      </c>
      <c r="X160">
        <v>36.69</v>
      </c>
      <c r="Y160">
        <v>34.32</v>
      </c>
      <c r="Z160">
        <v>0.65</v>
      </c>
      <c r="AA160">
        <v>6596972711.4720001</v>
      </c>
      <c r="AB160">
        <f>_xlfn.XLOOKUP(E160,[2]generation_steps!$C$2:$C$5101,[2]generation_steps!$G$2:$G$5101)</f>
        <v>6596972711.4720001</v>
      </c>
      <c r="AC160">
        <v>18.861249999999998</v>
      </c>
      <c r="AD160">
        <v>0</v>
      </c>
      <c r="AE160">
        <v>0</v>
      </c>
      <c r="AF160">
        <v>18.861249999999998</v>
      </c>
      <c r="AG160">
        <v>3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</row>
    <row r="161" spans="1:57" x14ac:dyDescent="0.25">
      <c r="A161">
        <v>117</v>
      </c>
      <c r="B161" t="s">
        <v>518</v>
      </c>
      <c r="C161" t="s">
        <v>729</v>
      </c>
      <c r="E161" t="s">
        <v>938</v>
      </c>
      <c r="F161" t="s">
        <v>91</v>
      </c>
      <c r="G161">
        <v>207779752</v>
      </c>
      <c r="H161">
        <v>70.45</v>
      </c>
      <c r="I161" t="s">
        <v>97</v>
      </c>
      <c r="J161">
        <v>16136344.962156899</v>
      </c>
      <c r="K161">
        <v>14137700.936666699</v>
      </c>
      <c r="N161">
        <v>15281437.025</v>
      </c>
      <c r="O161">
        <v>24.417304999999999</v>
      </c>
      <c r="P161">
        <v>24.951609000000001</v>
      </c>
      <c r="Q161">
        <v>15558977.466</v>
      </c>
      <c r="R161">
        <v>25.376162000000001</v>
      </c>
      <c r="S161">
        <v>17027083.012878802</v>
      </c>
      <c r="T161">
        <v>19831143.265164498</v>
      </c>
      <c r="U161" t="s">
        <v>96</v>
      </c>
      <c r="V161" t="s">
        <v>1148</v>
      </c>
      <c r="W161">
        <v>1</v>
      </c>
      <c r="X161">
        <v>72.3</v>
      </c>
      <c r="Y161">
        <v>70.45</v>
      </c>
      <c r="Z161">
        <v>0.45</v>
      </c>
      <c r="AA161">
        <v>6587137587.7800007</v>
      </c>
      <c r="AB161">
        <f>_xlfn.XLOOKUP(E161,[2]generation_steps!$C$2:$C$5101,[2]generation_steps!$G$2:$G$5101)</f>
        <v>6587137587.7800007</v>
      </c>
      <c r="AC161">
        <v>15.086639419999999</v>
      </c>
      <c r="AD161">
        <v>0</v>
      </c>
      <c r="AE161">
        <v>0</v>
      </c>
      <c r="AF161">
        <v>15.086639419999999</v>
      </c>
      <c r="AG161">
        <v>2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</row>
    <row r="162" spans="1:57" x14ac:dyDescent="0.25">
      <c r="A162">
        <v>209</v>
      </c>
      <c r="B162" t="s">
        <v>585</v>
      </c>
      <c r="C162" t="s">
        <v>795</v>
      </c>
      <c r="E162" t="s">
        <v>1004</v>
      </c>
      <c r="F162" t="s">
        <v>95</v>
      </c>
      <c r="G162">
        <v>109292460</v>
      </c>
      <c r="H162">
        <v>59.95</v>
      </c>
      <c r="I162" t="s">
        <v>97</v>
      </c>
      <c r="J162">
        <v>12719607.939036099</v>
      </c>
      <c r="K162">
        <v>13465058.312666699</v>
      </c>
      <c r="N162">
        <v>13606497.1789231</v>
      </c>
      <c r="O162">
        <v>28.161732000000001</v>
      </c>
      <c r="P162">
        <v>30.191777999999999</v>
      </c>
      <c r="Q162">
        <v>13163966.3562</v>
      </c>
      <c r="R162">
        <v>31.369931999999999</v>
      </c>
      <c r="S162">
        <v>13479906.0063636</v>
      </c>
      <c r="T162">
        <v>15704445.2192131</v>
      </c>
      <c r="U162" t="s">
        <v>96</v>
      </c>
      <c r="V162" t="s">
        <v>1215</v>
      </c>
      <c r="W162">
        <v>1</v>
      </c>
      <c r="X162">
        <v>61.55</v>
      </c>
      <c r="Y162">
        <v>59.95</v>
      </c>
      <c r="Z162">
        <v>1</v>
      </c>
      <c r="AA162">
        <v>6552082977</v>
      </c>
      <c r="AB162">
        <f>_xlfn.XLOOKUP(E162,[2]generation_steps!$C$2:$C$5101,[2]generation_steps!$G$2:$G$5101)</f>
        <v>6552082977</v>
      </c>
      <c r="AC162">
        <v>20.441442500000001</v>
      </c>
      <c r="AD162">
        <v>0</v>
      </c>
      <c r="AE162">
        <v>0</v>
      </c>
      <c r="AF162">
        <v>20.441442500000001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</row>
    <row r="163" spans="1:57" x14ac:dyDescent="0.25">
      <c r="A163">
        <v>270</v>
      </c>
      <c r="B163" t="s">
        <v>628</v>
      </c>
      <c r="C163" t="s">
        <v>838</v>
      </c>
      <c r="E163" t="s">
        <v>1047</v>
      </c>
      <c r="F163" t="s">
        <v>93</v>
      </c>
      <c r="G163">
        <v>1071994930</v>
      </c>
      <c r="H163">
        <v>17.175000000000001</v>
      </c>
      <c r="I163" t="s">
        <v>97</v>
      </c>
      <c r="J163">
        <v>36836182.3769444</v>
      </c>
      <c r="K163">
        <v>28335291.907833301</v>
      </c>
      <c r="N163">
        <v>31805865.971603099</v>
      </c>
      <c r="O163">
        <v>25.243342999999999</v>
      </c>
      <c r="P163">
        <v>25.267416000000001</v>
      </c>
      <c r="Q163">
        <v>28743977.722424999</v>
      </c>
      <c r="R163">
        <v>29.725180000000002</v>
      </c>
      <c r="S163">
        <v>30481411.415833302</v>
      </c>
      <c r="T163">
        <v>35524318.817839101</v>
      </c>
      <c r="U163" t="s">
        <v>96</v>
      </c>
      <c r="V163" t="s">
        <v>1258</v>
      </c>
      <c r="W163">
        <v>1</v>
      </c>
      <c r="X163">
        <v>16.79</v>
      </c>
      <c r="Y163">
        <v>17.175000000000001</v>
      </c>
      <c r="Z163">
        <v>0.35</v>
      </c>
      <c r="AA163">
        <v>6444029522.9625015</v>
      </c>
      <c r="AB163">
        <f>_xlfn.XLOOKUP(E163,[2]generation_steps!$C$2:$C$5101,[2]generation_steps!$G$2:$G$5101)</f>
        <v>6444029522.9624996</v>
      </c>
      <c r="AC163">
        <v>23.667701529999999</v>
      </c>
      <c r="AD163">
        <v>0</v>
      </c>
      <c r="AE163">
        <v>0</v>
      </c>
      <c r="AF163">
        <v>23.667701529999999</v>
      </c>
      <c r="AG163">
        <v>2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</row>
    <row r="164" spans="1:57" x14ac:dyDescent="0.25">
      <c r="A164">
        <v>197</v>
      </c>
      <c r="B164" t="s">
        <v>576</v>
      </c>
      <c r="C164" t="s">
        <v>786</v>
      </c>
      <c r="E164" t="s">
        <v>995</v>
      </c>
      <c r="F164" t="s">
        <v>90</v>
      </c>
      <c r="G164">
        <v>969613830</v>
      </c>
      <c r="H164">
        <v>26.42</v>
      </c>
      <c r="I164" t="s">
        <v>97</v>
      </c>
      <c r="J164">
        <v>13852216.288274501</v>
      </c>
      <c r="K164">
        <v>37344411.473333403</v>
      </c>
      <c r="N164">
        <v>19505923.206893899</v>
      </c>
      <c r="O164">
        <v>18.60859</v>
      </c>
      <c r="P164">
        <v>19.726510000000001</v>
      </c>
      <c r="Q164">
        <v>22175621.187100001</v>
      </c>
      <c r="R164">
        <v>19.160485999999999</v>
      </c>
      <c r="S164">
        <v>26224195.8225758</v>
      </c>
      <c r="T164">
        <v>30508956.581627399</v>
      </c>
      <c r="U164" t="s">
        <v>96</v>
      </c>
      <c r="V164" t="s">
        <v>1206</v>
      </c>
      <c r="W164">
        <v>1</v>
      </c>
      <c r="X164">
        <v>24.56</v>
      </c>
      <c r="Y164">
        <v>26.42</v>
      </c>
      <c r="Z164">
        <v>0.25</v>
      </c>
      <c r="AA164">
        <v>6404299347.1500006</v>
      </c>
      <c r="AB164">
        <f>_xlfn.XLOOKUP(E164,[2]generation_steps!$C$2:$C$5101,[2]generation_steps!$G$2:$G$5101)</f>
        <v>6404299347.1500006</v>
      </c>
      <c r="AC164">
        <v>17.660401879999998</v>
      </c>
      <c r="AD164">
        <v>0</v>
      </c>
      <c r="AE164">
        <v>0</v>
      </c>
      <c r="AF164">
        <v>17.660401879999998</v>
      </c>
      <c r="AG164">
        <v>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</row>
    <row r="165" spans="1:57" x14ac:dyDescent="0.25">
      <c r="A165">
        <v>139</v>
      </c>
      <c r="B165" t="s">
        <v>536</v>
      </c>
      <c r="C165" t="s">
        <v>747</v>
      </c>
      <c r="E165" t="s">
        <v>956</v>
      </c>
      <c r="F165" t="s">
        <v>89</v>
      </c>
      <c r="G165">
        <v>37117772</v>
      </c>
      <c r="H165">
        <v>171.5</v>
      </c>
      <c r="I165" t="s">
        <v>97</v>
      </c>
      <c r="J165">
        <v>14814529.3152941</v>
      </c>
      <c r="K165">
        <v>16908998.239999998</v>
      </c>
      <c r="N165">
        <v>14393984.8700758</v>
      </c>
      <c r="O165">
        <v>24.652318999999999</v>
      </c>
      <c r="P165">
        <v>25.923399</v>
      </c>
      <c r="Q165">
        <v>14132908.4385</v>
      </c>
      <c r="R165">
        <v>25.450111</v>
      </c>
      <c r="S165">
        <v>14928211.098484799</v>
      </c>
      <c r="T165">
        <v>17392151.250797998</v>
      </c>
      <c r="U165" t="s">
        <v>96</v>
      </c>
      <c r="V165" t="s">
        <v>1166</v>
      </c>
      <c r="W165">
        <v>1</v>
      </c>
      <c r="X165">
        <v>157.69999999999999</v>
      </c>
      <c r="Y165">
        <v>171.5</v>
      </c>
      <c r="Z165">
        <v>1</v>
      </c>
      <c r="AA165">
        <v>6365697898</v>
      </c>
      <c r="AB165">
        <f>_xlfn.XLOOKUP(E165,[2]generation_steps!$C$2:$C$5101,[2]generation_steps!$G$2:$G$5101)</f>
        <v>6365697898</v>
      </c>
      <c r="AC165">
        <v>21.917621950000001</v>
      </c>
      <c r="AD165">
        <v>0</v>
      </c>
      <c r="AE165">
        <v>0</v>
      </c>
      <c r="AF165">
        <v>21.917621950000001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</row>
    <row r="166" spans="1:57" x14ac:dyDescent="0.25">
      <c r="A166">
        <v>247</v>
      </c>
      <c r="B166" t="s">
        <v>609</v>
      </c>
      <c r="C166" t="s">
        <v>819</v>
      </c>
      <c r="E166" t="s">
        <v>1028</v>
      </c>
      <c r="F166" t="s">
        <v>88</v>
      </c>
      <c r="G166">
        <v>75000000</v>
      </c>
      <c r="H166">
        <v>88.65</v>
      </c>
      <c r="I166" t="s">
        <v>97</v>
      </c>
      <c r="J166">
        <v>18585919.0483202</v>
      </c>
      <c r="K166">
        <v>19839266.510000002</v>
      </c>
      <c r="N166">
        <v>20170684.7132576</v>
      </c>
      <c r="O166">
        <v>22.325441000000001</v>
      </c>
      <c r="P166">
        <v>23.428820000000002</v>
      </c>
      <c r="Q166">
        <v>20861949.670000002</v>
      </c>
      <c r="R166">
        <v>23.955051000000001</v>
      </c>
      <c r="S166">
        <v>23896968.468939401</v>
      </c>
      <c r="T166">
        <v>27893833.302464601</v>
      </c>
      <c r="U166" t="s">
        <v>96</v>
      </c>
      <c r="V166" t="s">
        <v>1239</v>
      </c>
      <c r="W166">
        <v>1</v>
      </c>
      <c r="X166">
        <v>85.85</v>
      </c>
      <c r="Y166">
        <v>88.65</v>
      </c>
      <c r="Z166">
        <v>0.95</v>
      </c>
      <c r="AA166">
        <v>6316312500</v>
      </c>
      <c r="AB166">
        <f>_xlfn.XLOOKUP(E166,[2]generation_steps!$C$2:$C$5101,[2]generation_steps!$G$2:$G$5101)</f>
        <v>6316312500</v>
      </c>
      <c r="AC166">
        <v>14.205575</v>
      </c>
      <c r="AD166">
        <v>0</v>
      </c>
      <c r="AE166">
        <v>0</v>
      </c>
      <c r="AF166">
        <v>14.205575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</row>
    <row r="167" spans="1:57" x14ac:dyDescent="0.25">
      <c r="A167">
        <v>161</v>
      </c>
      <c r="B167" t="s">
        <v>549</v>
      </c>
      <c r="C167" t="s">
        <v>760</v>
      </c>
      <c r="E167" t="s">
        <v>969</v>
      </c>
      <c r="F167" t="s">
        <v>93</v>
      </c>
      <c r="G167">
        <v>1015518043</v>
      </c>
      <c r="H167">
        <v>9.5350000000000001</v>
      </c>
      <c r="I167" t="s">
        <v>97</v>
      </c>
      <c r="J167">
        <v>21609231.064404801</v>
      </c>
      <c r="K167">
        <v>27171555.4396667</v>
      </c>
      <c r="N167">
        <v>23146230.601355001</v>
      </c>
      <c r="O167">
        <v>16.721419999999998</v>
      </c>
      <c r="P167">
        <v>16.183053999999998</v>
      </c>
      <c r="Q167">
        <v>21258210.962949999</v>
      </c>
      <c r="R167">
        <v>19.43449</v>
      </c>
      <c r="S167">
        <v>22052264.6651894</v>
      </c>
      <c r="T167">
        <v>25669456.921825301</v>
      </c>
      <c r="U167" t="s">
        <v>96</v>
      </c>
      <c r="V167" t="s">
        <v>1179</v>
      </c>
      <c r="W167">
        <v>1</v>
      </c>
      <c r="X167">
        <v>9.23</v>
      </c>
      <c r="Y167">
        <v>9.5350000000000001</v>
      </c>
      <c r="Z167">
        <v>0.65</v>
      </c>
      <c r="AA167">
        <v>6293926951.0032501</v>
      </c>
      <c r="AB167">
        <f>_xlfn.XLOOKUP(E167,[2]generation_steps!$C$2:$C$5101,[2]generation_steps!$G$2:$G$5101)</f>
        <v>6293926951.0032511</v>
      </c>
      <c r="AC167">
        <v>15.16311685</v>
      </c>
      <c r="AD167">
        <v>0</v>
      </c>
      <c r="AE167">
        <v>0</v>
      </c>
      <c r="AF167">
        <v>15.16311685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</row>
    <row r="168" spans="1:57" x14ac:dyDescent="0.25">
      <c r="A168">
        <v>198</v>
      </c>
      <c r="B168" t="s">
        <v>577</v>
      </c>
      <c r="C168" t="s">
        <v>787</v>
      </c>
      <c r="E168" t="s">
        <v>996</v>
      </c>
      <c r="F168" t="s">
        <v>88</v>
      </c>
      <c r="G168">
        <v>115500000</v>
      </c>
      <c r="H168">
        <v>89.7</v>
      </c>
      <c r="I168" t="s">
        <v>97</v>
      </c>
      <c r="J168">
        <v>14970005.4399209</v>
      </c>
      <c r="K168">
        <v>17203387.760000002</v>
      </c>
      <c r="N168">
        <v>15339412.595075799</v>
      </c>
      <c r="O168">
        <v>30.504541</v>
      </c>
      <c r="P168">
        <v>31.347321999999998</v>
      </c>
      <c r="Q168">
        <v>15792137.710000001</v>
      </c>
      <c r="R168">
        <v>32.099620000000002</v>
      </c>
      <c r="S168">
        <v>16117017.8181818</v>
      </c>
      <c r="T168">
        <v>18786460.605107501</v>
      </c>
      <c r="U168" t="s">
        <v>96</v>
      </c>
      <c r="V168" t="s">
        <v>1207</v>
      </c>
      <c r="W168">
        <v>1</v>
      </c>
      <c r="X168">
        <v>92.5</v>
      </c>
      <c r="Y168">
        <v>89.7</v>
      </c>
      <c r="Z168">
        <v>0.6</v>
      </c>
      <c r="AA168">
        <v>6216210000</v>
      </c>
      <c r="AB168">
        <f>_xlfn.XLOOKUP(E168,[2]generation_steps!$C$2:$C$5101,[2]generation_steps!$G$2:$G$5101)</f>
        <v>6216210000</v>
      </c>
      <c r="AC168">
        <v>16.459455680000001</v>
      </c>
      <c r="AD168">
        <v>0</v>
      </c>
      <c r="AE168">
        <v>0</v>
      </c>
      <c r="AF168">
        <v>16.459455680000001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</row>
    <row r="169" spans="1:57" x14ac:dyDescent="0.25">
      <c r="A169">
        <v>163</v>
      </c>
      <c r="B169" t="s">
        <v>550</v>
      </c>
      <c r="C169" t="s">
        <v>761</v>
      </c>
      <c r="E169" t="s">
        <v>970</v>
      </c>
      <c r="F169" t="s">
        <v>404</v>
      </c>
      <c r="G169">
        <v>629293220</v>
      </c>
      <c r="H169">
        <v>21.56</v>
      </c>
      <c r="I169" t="s">
        <v>97</v>
      </c>
      <c r="J169">
        <v>13792718.220058801</v>
      </c>
      <c r="K169">
        <v>12892775.6493333</v>
      </c>
      <c r="N169">
        <v>13872006.6682576</v>
      </c>
      <c r="O169">
        <v>25.289158</v>
      </c>
      <c r="P169">
        <v>25.825835999999999</v>
      </c>
      <c r="Q169">
        <v>14223002.494000001</v>
      </c>
      <c r="R169">
        <v>26.815560999999999</v>
      </c>
      <c r="S169">
        <v>15132199.9930303</v>
      </c>
      <c r="T169">
        <v>17638061.149832699</v>
      </c>
      <c r="U169" t="s">
        <v>96</v>
      </c>
      <c r="V169" t="s">
        <v>1180</v>
      </c>
      <c r="W169">
        <v>1</v>
      </c>
      <c r="X169">
        <v>19.95</v>
      </c>
      <c r="Y169">
        <v>21.56</v>
      </c>
      <c r="Z169">
        <v>0.45</v>
      </c>
      <c r="AA169">
        <v>6105402820.4399996</v>
      </c>
      <c r="AB169">
        <f>_xlfn.XLOOKUP(E169,[2]generation_steps!$C$2:$C$5101,[2]generation_steps!$G$2:$G$5101)</f>
        <v>6105402820.4399996</v>
      </c>
      <c r="AC169">
        <v>16.500191489999999</v>
      </c>
      <c r="AD169">
        <v>0</v>
      </c>
      <c r="AE169">
        <v>0</v>
      </c>
      <c r="AF169">
        <v>16.500191489999999</v>
      </c>
      <c r="AG169">
        <v>3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</row>
    <row r="170" spans="1:57" x14ac:dyDescent="0.25">
      <c r="A170">
        <v>224</v>
      </c>
      <c r="B170" t="s">
        <v>597</v>
      </c>
      <c r="C170" t="s">
        <v>807</v>
      </c>
      <c r="E170" t="s">
        <v>1016</v>
      </c>
      <c r="F170" t="s">
        <v>90</v>
      </c>
      <c r="G170">
        <v>541080000</v>
      </c>
      <c r="H170">
        <v>15.04</v>
      </c>
      <c r="I170" t="s">
        <v>97</v>
      </c>
      <c r="J170">
        <v>20858209.913476098</v>
      </c>
      <c r="K170">
        <v>21820398.837333299</v>
      </c>
      <c r="N170">
        <v>22486093.633484799</v>
      </c>
      <c r="O170">
        <v>15.454675</v>
      </c>
      <c r="P170">
        <v>15.540634000000001</v>
      </c>
      <c r="Q170">
        <v>21175320.826400001</v>
      </c>
      <c r="R170">
        <v>18.319248000000002</v>
      </c>
      <c r="S170">
        <v>23572127.948409099</v>
      </c>
      <c r="T170">
        <v>27461394.009672899</v>
      </c>
      <c r="U170" t="s">
        <v>96</v>
      </c>
      <c r="V170" t="s">
        <v>1227</v>
      </c>
      <c r="W170">
        <v>1</v>
      </c>
      <c r="X170">
        <v>14.99</v>
      </c>
      <c r="Y170">
        <v>15.04</v>
      </c>
      <c r="Z170">
        <v>0.75</v>
      </c>
      <c r="AA170">
        <v>6103382400</v>
      </c>
      <c r="AB170">
        <f>_xlfn.XLOOKUP(E170,[2]generation_steps!$C$2:$C$5101,[2]generation_steps!$G$2:$G$5101)</f>
        <v>6103382400</v>
      </c>
      <c r="AC170">
        <v>8.1825828900000008</v>
      </c>
      <c r="AD170">
        <v>0</v>
      </c>
      <c r="AE170">
        <v>0</v>
      </c>
      <c r="AF170">
        <v>8.1825828900000008</v>
      </c>
      <c r="AG170">
        <v>2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</row>
    <row r="171" spans="1:57" x14ac:dyDescent="0.25">
      <c r="A171">
        <v>68</v>
      </c>
      <c r="B171" t="s">
        <v>484</v>
      </c>
      <c r="C171" t="s">
        <v>696</v>
      </c>
      <c r="E171" t="s">
        <v>905</v>
      </c>
      <c r="F171" t="s">
        <v>88</v>
      </c>
      <c r="G171">
        <v>144385380</v>
      </c>
      <c r="H171">
        <v>48.81</v>
      </c>
      <c r="I171" t="s">
        <v>97</v>
      </c>
      <c r="J171">
        <v>17233360.262292501</v>
      </c>
      <c r="K171">
        <v>13038797.859333299</v>
      </c>
      <c r="N171">
        <v>15386033.5562879</v>
      </c>
      <c r="O171">
        <v>24.887277999999998</v>
      </c>
      <c r="P171">
        <v>25.662775</v>
      </c>
      <c r="Q171">
        <v>14501062.662699999</v>
      </c>
      <c r="R171">
        <v>26.769469999999998</v>
      </c>
      <c r="S171">
        <v>15054805.371363601</v>
      </c>
      <c r="T171">
        <v>17559125.184292998</v>
      </c>
      <c r="U171" t="s">
        <v>96</v>
      </c>
      <c r="V171" t="s">
        <v>1114</v>
      </c>
      <c r="W171">
        <v>1</v>
      </c>
      <c r="X171">
        <v>49.56</v>
      </c>
      <c r="Y171">
        <v>48.81</v>
      </c>
      <c r="Z171">
        <v>0.85</v>
      </c>
      <c r="AA171">
        <v>5990332838.1300001</v>
      </c>
      <c r="AB171">
        <f>_xlfn.XLOOKUP(E171,[2]generation_steps!$C$2:$C$5101,[2]generation_steps!$G$2:$G$5101)</f>
        <v>5990332838.1300001</v>
      </c>
      <c r="AC171">
        <v>12.551892499999999</v>
      </c>
      <c r="AD171">
        <v>0</v>
      </c>
      <c r="AE171">
        <v>0</v>
      </c>
      <c r="AF171">
        <v>12.551892499999999</v>
      </c>
      <c r="AG171">
        <v>2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</row>
    <row r="172" spans="1:57" x14ac:dyDescent="0.25">
      <c r="A172">
        <v>4</v>
      </c>
      <c r="B172" t="s">
        <v>436</v>
      </c>
      <c r="C172" t="s">
        <v>648</v>
      </c>
      <c r="E172" t="s">
        <v>857</v>
      </c>
      <c r="F172" t="s">
        <v>89</v>
      </c>
      <c r="G172">
        <v>77828918</v>
      </c>
      <c r="H172">
        <v>102.6</v>
      </c>
      <c r="I172" t="s">
        <v>97</v>
      </c>
      <c r="J172">
        <v>3706595.6888039201</v>
      </c>
      <c r="K172">
        <v>13327452.813333301</v>
      </c>
      <c r="N172">
        <v>6869296.5653409101</v>
      </c>
      <c r="O172">
        <v>728.34059999999999</v>
      </c>
      <c r="P172">
        <v>816.31946000000005</v>
      </c>
      <c r="Q172">
        <v>8926486.8140500002</v>
      </c>
      <c r="R172">
        <v>611.03290000000004</v>
      </c>
      <c r="S172">
        <v>8272085.2946969699</v>
      </c>
      <c r="T172">
        <v>9626963.10094372</v>
      </c>
      <c r="U172" t="s">
        <v>96</v>
      </c>
      <c r="V172" t="s">
        <v>1066</v>
      </c>
      <c r="W172">
        <v>1</v>
      </c>
      <c r="X172">
        <v>94.1</v>
      </c>
      <c r="Y172">
        <v>102.6</v>
      </c>
      <c r="Z172">
        <v>0.75</v>
      </c>
      <c r="AA172">
        <v>5988935240.0999994</v>
      </c>
      <c r="AB172">
        <f>_xlfn.XLOOKUP(E172,[2]generation_steps!$C$2:$C$5101,[2]generation_steps!$G$2:$G$5101)</f>
        <v>5988935240.0999994</v>
      </c>
      <c r="AC172">
        <v>35.379820729999999</v>
      </c>
      <c r="AD172">
        <v>0</v>
      </c>
      <c r="AE172">
        <v>0</v>
      </c>
      <c r="AF172">
        <v>35.379820729999999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</row>
    <row r="173" spans="1:57" x14ac:dyDescent="0.25">
      <c r="A173">
        <v>261</v>
      </c>
      <c r="B173" t="s">
        <v>619</v>
      </c>
      <c r="C173" t="s">
        <v>829</v>
      </c>
      <c r="E173" t="s">
        <v>1038</v>
      </c>
      <c r="F173" t="s">
        <v>95</v>
      </c>
      <c r="G173">
        <v>613077400</v>
      </c>
      <c r="H173">
        <v>9.6539999999999999</v>
      </c>
      <c r="I173" t="s">
        <v>97</v>
      </c>
      <c r="J173">
        <v>18457670.523052201</v>
      </c>
      <c r="K173">
        <v>17488415.489333302</v>
      </c>
      <c r="N173">
        <v>17520138.881230801</v>
      </c>
      <c r="O173">
        <v>40.124924</v>
      </c>
      <c r="P173">
        <v>34.050452999999997</v>
      </c>
      <c r="Q173">
        <v>16458522.8967</v>
      </c>
      <c r="R173">
        <v>39.115139999999997</v>
      </c>
      <c r="S173">
        <v>16076122.1674242</v>
      </c>
      <c r="T173">
        <v>18741468.933080599</v>
      </c>
      <c r="U173" t="s">
        <v>96</v>
      </c>
      <c r="V173" t="s">
        <v>1249</v>
      </c>
      <c r="W173">
        <v>1</v>
      </c>
      <c r="X173">
        <v>10.164999999999999</v>
      </c>
      <c r="Y173">
        <v>9.6539999999999999</v>
      </c>
      <c r="Z173">
        <v>1</v>
      </c>
      <c r="AA173">
        <v>5918649219.6000004</v>
      </c>
      <c r="AB173">
        <f>_xlfn.XLOOKUP(E173,[2]generation_steps!$C$2:$C$5101,[2]generation_steps!$G$2:$G$5101)</f>
        <v>5918649219.6000004</v>
      </c>
      <c r="AC173">
        <v>14.2960317</v>
      </c>
      <c r="AD173">
        <v>0</v>
      </c>
      <c r="AE173">
        <v>0</v>
      </c>
      <c r="AF173">
        <v>14.2960317</v>
      </c>
      <c r="AG173">
        <v>2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</row>
    <row r="174" spans="1:57" x14ac:dyDescent="0.25">
      <c r="A174">
        <v>244</v>
      </c>
      <c r="B174" t="s">
        <v>607</v>
      </c>
      <c r="C174" t="s">
        <v>817</v>
      </c>
      <c r="E174" t="s">
        <v>1026</v>
      </c>
      <c r="F174" t="s">
        <v>88</v>
      </c>
      <c r="G174">
        <v>944884640</v>
      </c>
      <c r="H174">
        <v>6.2350000000000003</v>
      </c>
      <c r="I174" t="s">
        <v>97</v>
      </c>
      <c r="J174">
        <v>3993377.4977905098</v>
      </c>
      <c r="K174">
        <v>4023622.7779999999</v>
      </c>
      <c r="N174">
        <v>3770908.97593561</v>
      </c>
      <c r="O174">
        <v>34.792071999999997</v>
      </c>
      <c r="P174">
        <v>35.547348</v>
      </c>
      <c r="Q174">
        <v>4236620.5961800003</v>
      </c>
      <c r="R174">
        <v>38.331482000000001</v>
      </c>
      <c r="S174">
        <v>4914718.4549242398</v>
      </c>
      <c r="T174">
        <v>5727171.8011633698</v>
      </c>
      <c r="U174" t="s">
        <v>96</v>
      </c>
      <c r="V174" t="s">
        <v>1237</v>
      </c>
      <c r="W174">
        <v>1</v>
      </c>
      <c r="X174">
        <v>7.5449999999999999</v>
      </c>
      <c r="Y174">
        <v>6.2350000000000003</v>
      </c>
      <c r="Z174">
        <v>1</v>
      </c>
      <c r="AA174">
        <v>5891355730.4000006</v>
      </c>
      <c r="AB174">
        <f>_xlfn.XLOOKUP(E174,[2]generation_steps!$C$2:$C$5101,[2]generation_steps!$G$2:$G$5101)</f>
        <v>5891355730.4000006</v>
      </c>
      <c r="AC174">
        <v>17.734127409999999</v>
      </c>
      <c r="AD174">
        <v>0</v>
      </c>
      <c r="AE174">
        <v>0</v>
      </c>
      <c r="AF174">
        <v>17.734127409999999</v>
      </c>
      <c r="AG174">
        <v>2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</row>
    <row r="175" spans="1:57" x14ac:dyDescent="0.25">
      <c r="A175">
        <v>223</v>
      </c>
      <c r="B175" t="s">
        <v>596</v>
      </c>
      <c r="C175" t="s">
        <v>806</v>
      </c>
      <c r="E175" t="s">
        <v>1015</v>
      </c>
      <c r="F175" t="s">
        <v>93</v>
      </c>
      <c r="G175">
        <v>209125156</v>
      </c>
      <c r="H175">
        <v>50.75</v>
      </c>
      <c r="I175" t="s">
        <v>97</v>
      </c>
      <c r="J175">
        <v>16587632.777400799</v>
      </c>
      <c r="K175">
        <v>14483043.484333299</v>
      </c>
      <c r="N175">
        <v>13201030.415534399</v>
      </c>
      <c r="O175">
        <v>20.678699999999999</v>
      </c>
      <c r="P175">
        <v>20.984175</v>
      </c>
      <c r="Q175">
        <v>12670616.46785</v>
      </c>
      <c r="R175">
        <v>24.068729999999999</v>
      </c>
      <c r="S175">
        <v>12983731.630151501</v>
      </c>
      <c r="T175">
        <v>15126664.1112363</v>
      </c>
      <c r="U175" t="s">
        <v>96</v>
      </c>
      <c r="V175" t="s">
        <v>1226</v>
      </c>
      <c r="W175">
        <v>1</v>
      </c>
      <c r="X175">
        <v>47.94</v>
      </c>
      <c r="Y175">
        <v>50.75</v>
      </c>
      <c r="Z175">
        <v>0.55000000000000004</v>
      </c>
      <c r="AA175">
        <v>5837205916.8500004</v>
      </c>
      <c r="AB175">
        <f>_xlfn.XLOOKUP(E175,[2]generation_steps!$C$2:$C$5101,[2]generation_steps!$G$2:$G$5101)</f>
        <v>5837205916.8500004</v>
      </c>
      <c r="AC175">
        <v>23.996252500000001</v>
      </c>
      <c r="AD175">
        <v>0</v>
      </c>
      <c r="AE175">
        <v>0</v>
      </c>
      <c r="AF175">
        <v>23.996252500000001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</row>
    <row r="176" spans="1:57" x14ac:dyDescent="0.25">
      <c r="A176">
        <v>175</v>
      </c>
      <c r="B176" t="s">
        <v>561</v>
      </c>
      <c r="C176" t="s">
        <v>772</v>
      </c>
      <c r="E176" t="s">
        <v>981</v>
      </c>
      <c r="F176" t="s">
        <v>95</v>
      </c>
      <c r="G176">
        <v>79221900</v>
      </c>
      <c r="H176">
        <v>81.75</v>
      </c>
      <c r="I176" t="s">
        <v>97</v>
      </c>
      <c r="J176">
        <v>7755584.0265060198</v>
      </c>
      <c r="K176">
        <v>7107346.2166666696</v>
      </c>
      <c r="N176">
        <v>7699475.7207692303</v>
      </c>
      <c r="O176">
        <v>34.796214999999997</v>
      </c>
      <c r="P176">
        <v>37.351948</v>
      </c>
      <c r="Q176">
        <v>6774994.3724999996</v>
      </c>
      <c r="R176">
        <v>39.698264999999999</v>
      </c>
      <c r="S176">
        <v>7355238.3295454504</v>
      </c>
      <c r="T176">
        <v>8564949.6186064109</v>
      </c>
      <c r="U176" t="s">
        <v>96</v>
      </c>
      <c r="V176" t="s">
        <v>1191</v>
      </c>
      <c r="W176">
        <v>1</v>
      </c>
      <c r="X176">
        <v>90.25</v>
      </c>
      <c r="Y176">
        <v>81.75</v>
      </c>
      <c r="Z176">
        <v>0.9</v>
      </c>
      <c r="AA176">
        <v>5828751292.5</v>
      </c>
      <c r="AB176">
        <f>_xlfn.XLOOKUP(E176,[2]generation_steps!$C$2:$C$5101,[2]generation_steps!$G$2:$G$5101)</f>
        <v>5828751292.5</v>
      </c>
      <c r="AC176">
        <v>13.789334999999999</v>
      </c>
      <c r="AD176">
        <v>0</v>
      </c>
      <c r="AE176">
        <v>0</v>
      </c>
      <c r="AF176">
        <v>13.789334999999999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</row>
    <row r="177" spans="1:57" x14ac:dyDescent="0.25">
      <c r="A177">
        <v>105</v>
      </c>
      <c r="B177" t="s">
        <v>512</v>
      </c>
      <c r="C177" t="s">
        <v>723</v>
      </c>
      <c r="E177" t="s">
        <v>932</v>
      </c>
      <c r="F177" t="s">
        <v>95</v>
      </c>
      <c r="G177">
        <v>167335070</v>
      </c>
      <c r="H177">
        <v>38.340000000000003</v>
      </c>
      <c r="I177" t="s">
        <v>97</v>
      </c>
      <c r="J177">
        <v>12387486.915020101</v>
      </c>
      <c r="K177">
        <v>13510330.858666699</v>
      </c>
      <c r="N177">
        <v>12122686.694384599</v>
      </c>
      <c r="O177">
        <v>19.882355</v>
      </c>
      <c r="P177">
        <v>19.977302999999999</v>
      </c>
      <c r="Q177">
        <v>12043035.305</v>
      </c>
      <c r="R177">
        <v>19.878772999999999</v>
      </c>
      <c r="S177">
        <v>13419933.2242424</v>
      </c>
      <c r="T177">
        <v>15635697.707981501</v>
      </c>
      <c r="U177" t="s">
        <v>96</v>
      </c>
      <c r="V177" t="s">
        <v>1142</v>
      </c>
      <c r="W177">
        <v>1</v>
      </c>
      <c r="X177">
        <v>37.619999999999997</v>
      </c>
      <c r="Y177">
        <v>38.340000000000003</v>
      </c>
      <c r="Z177">
        <v>0.9</v>
      </c>
      <c r="AA177">
        <v>5774063925.4200001</v>
      </c>
      <c r="AB177">
        <f>_xlfn.XLOOKUP(E177,[2]generation_steps!$C$2:$C$5101,[2]generation_steps!$G$2:$G$5101)</f>
        <v>5774063925.4200001</v>
      </c>
      <c r="AC177">
        <v>16.496022870000001</v>
      </c>
      <c r="AD177">
        <v>0</v>
      </c>
      <c r="AE177">
        <v>0</v>
      </c>
      <c r="AF177">
        <v>16.496022870000001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</row>
    <row r="178" spans="1:57" x14ac:dyDescent="0.25">
      <c r="A178">
        <v>267</v>
      </c>
      <c r="B178" t="s">
        <v>625</v>
      </c>
      <c r="C178" t="s">
        <v>835</v>
      </c>
      <c r="E178" t="s">
        <v>1044</v>
      </c>
      <c r="F178" t="s">
        <v>93</v>
      </c>
      <c r="G178">
        <v>15329466496</v>
      </c>
      <c r="H178">
        <v>0.48670000000000002</v>
      </c>
      <c r="I178" t="s">
        <v>97</v>
      </c>
      <c r="J178">
        <v>79884425.773120403</v>
      </c>
      <c r="K178">
        <v>89149533.706523195</v>
      </c>
      <c r="N178">
        <v>74288722.579064101</v>
      </c>
      <c r="O178">
        <v>31.177655999999999</v>
      </c>
      <c r="P178">
        <v>31.535319999999999</v>
      </c>
      <c r="Q178">
        <v>74143260.029286996</v>
      </c>
      <c r="R178">
        <v>33.608924999999999</v>
      </c>
      <c r="S178">
        <v>85386216.692768201</v>
      </c>
      <c r="T178">
        <v>99442220.578639597</v>
      </c>
      <c r="U178" t="s">
        <v>96</v>
      </c>
      <c r="V178" t="s">
        <v>1255</v>
      </c>
      <c r="W178">
        <v>1</v>
      </c>
      <c r="X178">
        <v>0.50039999999999996</v>
      </c>
      <c r="Y178">
        <v>0.48670000000000002</v>
      </c>
      <c r="Z178">
        <v>0.75</v>
      </c>
      <c r="AA178">
        <v>5595638507.7024002</v>
      </c>
      <c r="AB178">
        <f>_xlfn.XLOOKUP(E178,[2]generation_steps!$C$2:$C$5101,[2]generation_steps!$G$2:$G$5101)</f>
        <v>5595638507.7024002</v>
      </c>
      <c r="AC178">
        <v>19.87641094</v>
      </c>
      <c r="AD178">
        <v>0</v>
      </c>
      <c r="AE178">
        <v>0</v>
      </c>
      <c r="AF178">
        <v>19.87641094</v>
      </c>
      <c r="AG178">
        <v>3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</row>
    <row r="179" spans="1:57" x14ac:dyDescent="0.25">
      <c r="A179">
        <v>242</v>
      </c>
      <c r="B179" t="s">
        <v>605</v>
      </c>
      <c r="C179" t="s">
        <v>815</v>
      </c>
      <c r="E179" t="s">
        <v>1024</v>
      </c>
      <c r="F179" t="s">
        <v>89</v>
      </c>
      <c r="G179">
        <v>97330405</v>
      </c>
      <c r="H179">
        <v>190</v>
      </c>
      <c r="I179" t="s">
        <v>97</v>
      </c>
      <c r="J179">
        <v>13162245.5902941</v>
      </c>
      <c r="K179">
        <v>13233035.91</v>
      </c>
      <c r="N179">
        <v>13011477.0231061</v>
      </c>
      <c r="O179">
        <v>34.094634999999997</v>
      </c>
      <c r="P179">
        <v>35.769604000000001</v>
      </c>
      <c r="Q179">
        <v>13388988.752250001</v>
      </c>
      <c r="R179">
        <v>38.450423999999998</v>
      </c>
      <c r="S179">
        <v>13643625.1367424</v>
      </c>
      <c r="T179">
        <v>15901132.7781434</v>
      </c>
      <c r="U179" t="s">
        <v>96</v>
      </c>
      <c r="V179" t="s">
        <v>1235</v>
      </c>
      <c r="W179">
        <v>1</v>
      </c>
      <c r="X179">
        <v>208.3</v>
      </c>
      <c r="Y179">
        <v>190</v>
      </c>
      <c r="Z179">
        <v>0.3</v>
      </c>
      <c r="AA179">
        <v>5547833085.000001</v>
      </c>
      <c r="AB179">
        <f>_xlfn.XLOOKUP(E179,[2]generation_steps!$C$2:$C$5101,[2]generation_steps!$G$2:$G$5101)</f>
        <v>5547833085</v>
      </c>
      <c r="AC179">
        <v>15.35620625</v>
      </c>
      <c r="AD179">
        <v>0</v>
      </c>
      <c r="AE179">
        <v>0</v>
      </c>
      <c r="AF179">
        <v>15.35620625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</row>
    <row r="180" spans="1:57" x14ac:dyDescent="0.25">
      <c r="A180">
        <v>241</v>
      </c>
      <c r="B180" t="s">
        <v>604</v>
      </c>
      <c r="C180" t="s">
        <v>814</v>
      </c>
      <c r="E180" t="s">
        <v>1023</v>
      </c>
      <c r="F180" t="s">
        <v>88</v>
      </c>
      <c r="G180">
        <v>37440000</v>
      </c>
      <c r="H180">
        <v>225.3</v>
      </c>
      <c r="I180" t="s">
        <v>97</v>
      </c>
      <c r="J180">
        <v>25729492.995158099</v>
      </c>
      <c r="K180">
        <v>19438397.193333302</v>
      </c>
      <c r="N180">
        <v>27512970.0636364</v>
      </c>
      <c r="O180">
        <v>36.175530000000002</v>
      </c>
      <c r="P180">
        <v>37.773887999999999</v>
      </c>
      <c r="Q180">
        <v>27385506.568999998</v>
      </c>
      <c r="R180">
        <v>40.315593999999997</v>
      </c>
      <c r="S180">
        <v>26591285.218939401</v>
      </c>
      <c r="T180">
        <v>31032647.224663999</v>
      </c>
      <c r="U180" t="s">
        <v>96</v>
      </c>
      <c r="V180" t="s">
        <v>1234</v>
      </c>
      <c r="W180">
        <v>1</v>
      </c>
      <c r="X180">
        <v>240.2</v>
      </c>
      <c r="Y180">
        <v>225.3</v>
      </c>
      <c r="Z180">
        <v>0.65</v>
      </c>
      <c r="AA180">
        <v>5482900800</v>
      </c>
      <c r="AB180">
        <f>_xlfn.XLOOKUP(E180,[2]generation_steps!$C$2:$C$5101,[2]generation_steps!$G$2:$G$5101)</f>
        <v>5482900800</v>
      </c>
      <c r="AC180">
        <v>18.228606249999999</v>
      </c>
      <c r="AD180">
        <v>0</v>
      </c>
      <c r="AE180">
        <v>0</v>
      </c>
      <c r="AF180">
        <v>18.228606249999999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</row>
    <row r="181" spans="1:57" x14ac:dyDescent="0.25">
      <c r="A181">
        <v>214</v>
      </c>
      <c r="B181" t="s">
        <v>589</v>
      </c>
      <c r="C181" t="s">
        <v>799</v>
      </c>
      <c r="E181" t="s">
        <v>1008</v>
      </c>
      <c r="F181" t="s">
        <v>88</v>
      </c>
      <c r="G181">
        <v>153124980</v>
      </c>
      <c r="H181">
        <v>35.78</v>
      </c>
      <c r="I181" t="s">
        <v>97</v>
      </c>
      <c r="J181">
        <v>23765057.449268799</v>
      </c>
      <c r="K181">
        <v>21121931.1106667</v>
      </c>
      <c r="N181">
        <v>19435690.348030299</v>
      </c>
      <c r="O181">
        <v>23.006883999999999</v>
      </c>
      <c r="P181">
        <v>23.910375999999999</v>
      </c>
      <c r="Q181">
        <v>19617606.202399999</v>
      </c>
      <c r="R181">
        <v>23.591629999999999</v>
      </c>
      <c r="S181">
        <v>20394351.6435606</v>
      </c>
      <c r="T181">
        <v>23779570.769689001</v>
      </c>
      <c r="U181" t="s">
        <v>96</v>
      </c>
      <c r="V181" t="s">
        <v>1219</v>
      </c>
      <c r="W181">
        <v>1</v>
      </c>
      <c r="X181">
        <v>40.51</v>
      </c>
      <c r="Y181">
        <v>35.78</v>
      </c>
      <c r="Z181">
        <v>1</v>
      </c>
      <c r="AA181">
        <v>5478811784.4000006</v>
      </c>
      <c r="AB181">
        <f>_xlfn.XLOOKUP(E181,[2]generation_steps!$C$2:$C$5101,[2]generation_steps!$G$2:$G$5101)</f>
        <v>5478811784.4000006</v>
      </c>
      <c r="AC181">
        <v>20.436002890000001</v>
      </c>
      <c r="AD181">
        <v>0</v>
      </c>
      <c r="AE181">
        <v>0</v>
      </c>
      <c r="AF181">
        <v>20.436002890000001</v>
      </c>
      <c r="AG181">
        <v>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</row>
    <row r="182" spans="1:57" x14ac:dyDescent="0.25">
      <c r="A182">
        <v>173</v>
      </c>
      <c r="B182" t="s">
        <v>559</v>
      </c>
      <c r="C182" t="s">
        <v>770</v>
      </c>
      <c r="E182" t="s">
        <v>979</v>
      </c>
      <c r="F182" t="s">
        <v>88</v>
      </c>
      <c r="G182">
        <v>161200000</v>
      </c>
      <c r="H182">
        <v>83.6</v>
      </c>
      <c r="I182" t="s">
        <v>97</v>
      </c>
      <c r="J182">
        <v>12473492.321146199</v>
      </c>
      <c r="K182">
        <v>12200192.279999999</v>
      </c>
      <c r="N182">
        <v>11286558.402840899</v>
      </c>
      <c r="O182">
        <v>25.234553999999999</v>
      </c>
      <c r="P182">
        <v>26.106667000000002</v>
      </c>
      <c r="Q182">
        <v>11372932.728</v>
      </c>
      <c r="R182">
        <v>27.876166999999999</v>
      </c>
      <c r="S182">
        <v>11824021.804924199</v>
      </c>
      <c r="T182">
        <v>13785256.555536</v>
      </c>
      <c r="U182" t="s">
        <v>96</v>
      </c>
      <c r="V182" t="s">
        <v>1189</v>
      </c>
      <c r="W182">
        <v>1</v>
      </c>
      <c r="X182">
        <v>93.8</v>
      </c>
      <c r="Y182">
        <v>83.6</v>
      </c>
      <c r="Z182">
        <v>0.4</v>
      </c>
      <c r="AA182">
        <v>5390528000</v>
      </c>
      <c r="AB182">
        <f>_xlfn.XLOOKUP(E182,[2]generation_steps!$C$2:$C$5101,[2]generation_steps!$G$2:$G$5101)</f>
        <v>5390528000</v>
      </c>
      <c r="AC182">
        <v>16.894670000000001</v>
      </c>
      <c r="AD182">
        <v>0</v>
      </c>
      <c r="AE182">
        <v>0</v>
      </c>
      <c r="AF182">
        <v>16.894670000000001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</row>
    <row r="183" spans="1:57" x14ac:dyDescent="0.25">
      <c r="A183">
        <v>132</v>
      </c>
      <c r="B183" t="s">
        <v>530</v>
      </c>
      <c r="C183" t="s">
        <v>741</v>
      </c>
      <c r="E183" t="s">
        <v>950</v>
      </c>
      <c r="F183" t="s">
        <v>94</v>
      </c>
      <c r="G183">
        <v>133200000</v>
      </c>
      <c r="H183">
        <v>72.8</v>
      </c>
      <c r="I183" t="s">
        <v>97</v>
      </c>
      <c r="J183">
        <v>7517353.5729411803</v>
      </c>
      <c r="K183">
        <v>7485468.6366666704</v>
      </c>
      <c r="N183">
        <v>6975185.5409090901</v>
      </c>
      <c r="O183">
        <v>14.536296</v>
      </c>
      <c r="P183">
        <v>15.113106999999999</v>
      </c>
      <c r="Q183">
        <v>6538035.5884999996</v>
      </c>
      <c r="R183">
        <v>19.993625999999999</v>
      </c>
      <c r="S183">
        <v>7191750.4462121204</v>
      </c>
      <c r="T183">
        <v>8383617.1785413204</v>
      </c>
      <c r="U183" t="s">
        <v>96</v>
      </c>
      <c r="V183" t="s">
        <v>1160</v>
      </c>
      <c r="W183">
        <v>1</v>
      </c>
      <c r="X183">
        <v>74.45</v>
      </c>
      <c r="Y183">
        <v>72.8</v>
      </c>
      <c r="Z183">
        <v>0.55000000000000004</v>
      </c>
      <c r="AA183">
        <v>5333328000</v>
      </c>
      <c r="AB183">
        <f>_xlfn.XLOOKUP(E183,[2]generation_steps!$C$2:$C$5101,[2]generation_steps!$G$2:$G$5101)</f>
        <v>5333328000</v>
      </c>
      <c r="AC183">
        <v>8.6685031699999993</v>
      </c>
      <c r="AD183">
        <v>0</v>
      </c>
      <c r="AE183">
        <v>0</v>
      </c>
      <c r="AF183">
        <v>8.6685031699999993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</row>
    <row r="184" spans="1:57" x14ac:dyDescent="0.25">
      <c r="A184">
        <v>300</v>
      </c>
      <c r="B184" t="s">
        <v>646</v>
      </c>
      <c r="C184" t="s">
        <v>855</v>
      </c>
      <c r="E184" t="s">
        <v>1064</v>
      </c>
      <c r="F184" t="s">
        <v>88</v>
      </c>
      <c r="G184">
        <v>264169980</v>
      </c>
      <c r="H184">
        <v>22.14</v>
      </c>
      <c r="I184" t="s">
        <v>97</v>
      </c>
      <c r="J184">
        <v>32520847.3251976</v>
      </c>
      <c r="K184">
        <v>40216170.895999998</v>
      </c>
      <c r="N184">
        <v>30106903.0276515</v>
      </c>
      <c r="O184">
        <v>38.068095999999997</v>
      </c>
      <c r="P184">
        <v>39.351410000000001</v>
      </c>
      <c r="Q184">
        <v>30169107.62145</v>
      </c>
      <c r="R184">
        <v>38.952987999999998</v>
      </c>
      <c r="S184">
        <v>30502397.586515099</v>
      </c>
      <c r="T184">
        <v>35541095.3339165</v>
      </c>
      <c r="U184" t="s">
        <v>96</v>
      </c>
      <c r="V184" t="s">
        <v>1276</v>
      </c>
      <c r="W184">
        <v>1</v>
      </c>
      <c r="X184">
        <v>24.69</v>
      </c>
      <c r="Y184">
        <v>22.14</v>
      </c>
      <c r="Z184">
        <v>0.9</v>
      </c>
      <c r="AA184">
        <v>5263851021.4799995</v>
      </c>
      <c r="AB184">
        <f>_xlfn.XLOOKUP(E184,[2]generation_steps!$C$2:$C$5101,[2]generation_steps!$G$2:$G$5101)</f>
        <v>5263851021.4799995</v>
      </c>
      <c r="AC184">
        <v>18.527259369999999</v>
      </c>
      <c r="AD184">
        <v>0</v>
      </c>
      <c r="AE184">
        <v>0</v>
      </c>
      <c r="AF184">
        <v>18.527259369999999</v>
      </c>
      <c r="AG184">
        <v>2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</row>
    <row r="185" spans="1:57" x14ac:dyDescent="0.25">
      <c r="A185">
        <v>88</v>
      </c>
      <c r="B185" t="s">
        <v>323</v>
      </c>
      <c r="C185" t="s">
        <v>351</v>
      </c>
      <c r="E185" t="s">
        <v>379</v>
      </c>
      <c r="F185" t="s">
        <v>89</v>
      </c>
      <c r="G185">
        <v>78397034</v>
      </c>
      <c r="H185">
        <v>265.8</v>
      </c>
      <c r="I185" t="s">
        <v>97</v>
      </c>
      <c r="J185">
        <v>16921317.885686301</v>
      </c>
      <c r="K185">
        <v>13580972.4533333</v>
      </c>
      <c r="N185">
        <v>16106850.763636401</v>
      </c>
      <c r="O185">
        <v>28.252725999999999</v>
      </c>
      <c r="P185">
        <v>29.07985</v>
      </c>
      <c r="Q185">
        <v>15322628.130000001</v>
      </c>
      <c r="R185">
        <v>31.661670000000001</v>
      </c>
      <c r="S185">
        <v>15257593.3212121</v>
      </c>
      <c r="T185">
        <v>17801641.064172499</v>
      </c>
      <c r="U185" t="s">
        <v>96</v>
      </c>
      <c r="V185" t="s">
        <v>408</v>
      </c>
      <c r="W185">
        <v>1</v>
      </c>
      <c r="X185">
        <v>268.60000000000002</v>
      </c>
      <c r="Y185">
        <v>265.8</v>
      </c>
      <c r="Z185">
        <v>0.25</v>
      </c>
      <c r="AA185">
        <v>5209482909.3000002</v>
      </c>
      <c r="AB185">
        <f>_xlfn.XLOOKUP(E185,[2]generation_steps!$C$2:$C$5101,[2]generation_steps!$G$2:$G$5101)</f>
        <v>5209482909.3000002</v>
      </c>
      <c r="AC185">
        <v>31.245790629999998</v>
      </c>
      <c r="AD185">
        <v>0</v>
      </c>
      <c r="AE185">
        <v>0</v>
      </c>
      <c r="AF185">
        <v>31.245790629999998</v>
      </c>
      <c r="AG185">
        <v>2</v>
      </c>
      <c r="AH185">
        <v>0</v>
      </c>
      <c r="AI185">
        <v>5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t="b">
        <v>0</v>
      </c>
      <c r="AS185" t="b">
        <v>0</v>
      </c>
      <c r="AT185" t="b">
        <v>0</v>
      </c>
      <c r="AU185" t="b">
        <v>1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1</v>
      </c>
    </row>
    <row r="186" spans="1:57" x14ac:dyDescent="0.25">
      <c r="A186">
        <v>181</v>
      </c>
      <c r="B186" t="s">
        <v>564</v>
      </c>
      <c r="C186" t="s">
        <v>775</v>
      </c>
      <c r="E186" t="s">
        <v>984</v>
      </c>
      <c r="F186" t="s">
        <v>93</v>
      </c>
      <c r="G186">
        <v>251630412</v>
      </c>
      <c r="H186">
        <v>20.64</v>
      </c>
      <c r="I186" t="s">
        <v>97</v>
      </c>
      <c r="J186">
        <v>14879792.0818056</v>
      </c>
      <c r="K186">
        <v>30997998.358333301</v>
      </c>
      <c r="N186">
        <v>20600471.513167899</v>
      </c>
      <c r="O186">
        <v>27.652964000000001</v>
      </c>
      <c r="P186">
        <v>28.998094999999999</v>
      </c>
      <c r="Q186">
        <v>20107186.354850002</v>
      </c>
      <c r="R186">
        <v>30.230433999999999</v>
      </c>
      <c r="S186">
        <v>22827505.095075801</v>
      </c>
      <c r="T186">
        <v>26604952.888617601</v>
      </c>
      <c r="U186" t="s">
        <v>96</v>
      </c>
      <c r="V186" t="s">
        <v>1194</v>
      </c>
      <c r="W186">
        <v>1</v>
      </c>
      <c r="X186">
        <v>22.08</v>
      </c>
      <c r="Y186">
        <v>20.64</v>
      </c>
      <c r="Z186">
        <v>1</v>
      </c>
      <c r="AA186">
        <v>5193651703.6800003</v>
      </c>
      <c r="AB186">
        <f>_xlfn.XLOOKUP(E186,[2]generation_steps!$C$2:$C$5101,[2]generation_steps!$G$2:$G$5101)</f>
        <v>5193651703.6800003</v>
      </c>
      <c r="AC186">
        <v>12.503914999999999</v>
      </c>
      <c r="AD186">
        <v>0</v>
      </c>
      <c r="AE186">
        <v>0</v>
      </c>
      <c r="AF186">
        <v>12.503914999999999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</row>
    <row r="187" spans="1:57" x14ac:dyDescent="0.25">
      <c r="A187">
        <v>103</v>
      </c>
      <c r="B187" t="s">
        <v>510</v>
      </c>
      <c r="C187" t="s">
        <v>721</v>
      </c>
      <c r="E187" t="s">
        <v>930</v>
      </c>
      <c r="F187" t="s">
        <v>94</v>
      </c>
      <c r="G187">
        <v>109072607</v>
      </c>
      <c r="H187">
        <v>103.9</v>
      </c>
      <c r="I187" t="s">
        <v>97</v>
      </c>
      <c r="J187">
        <v>12195647.9060784</v>
      </c>
      <c r="K187">
        <v>9564452.2933333293</v>
      </c>
      <c r="N187">
        <v>12394648.9007576</v>
      </c>
      <c r="O187">
        <v>18.015560000000001</v>
      </c>
      <c r="P187">
        <v>18.319077</v>
      </c>
      <c r="Q187">
        <v>9434928.0105000008</v>
      </c>
      <c r="R187">
        <v>26.893421</v>
      </c>
      <c r="S187">
        <v>9541016.1356060598</v>
      </c>
      <c r="T187">
        <v>11123013.0874385</v>
      </c>
      <c r="U187" t="s">
        <v>96</v>
      </c>
      <c r="V187" t="s">
        <v>1140</v>
      </c>
      <c r="W187">
        <v>1</v>
      </c>
      <c r="X187">
        <v>103.8</v>
      </c>
      <c r="Y187">
        <v>103.9</v>
      </c>
      <c r="Z187">
        <v>0.45</v>
      </c>
      <c r="AA187">
        <v>5099689740.2849998</v>
      </c>
      <c r="AB187">
        <f>_xlfn.XLOOKUP(E187,[2]generation_steps!$C$2:$C$5101,[2]generation_steps!$G$2:$G$5101)</f>
        <v>5099689740.2850008</v>
      </c>
      <c r="AC187">
        <v>17.646921630000001</v>
      </c>
      <c r="AD187">
        <v>0</v>
      </c>
      <c r="AE187">
        <v>0</v>
      </c>
      <c r="AF187">
        <v>17.646921630000001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</row>
    <row r="188" spans="1:57" x14ac:dyDescent="0.25">
      <c r="A188">
        <v>62</v>
      </c>
      <c r="B188" t="s">
        <v>480</v>
      </c>
      <c r="C188" t="s">
        <v>692</v>
      </c>
      <c r="E188" t="s">
        <v>901</v>
      </c>
      <c r="F188" t="s">
        <v>89</v>
      </c>
      <c r="G188">
        <v>118361220</v>
      </c>
      <c r="H188">
        <v>107.7</v>
      </c>
      <c r="I188" t="s">
        <v>97</v>
      </c>
      <c r="J188">
        <v>12523160.947156901</v>
      </c>
      <c r="K188">
        <v>12616678.439999999</v>
      </c>
      <c r="N188">
        <v>12541267.269318201</v>
      </c>
      <c r="O188">
        <v>20.311115000000001</v>
      </c>
      <c r="P188">
        <v>21.772963000000001</v>
      </c>
      <c r="Q188">
        <v>12232492.916999999</v>
      </c>
      <c r="R188">
        <v>22.091443999999999</v>
      </c>
      <c r="S188">
        <v>12375744.7818182</v>
      </c>
      <c r="T188">
        <v>14416670.843463801</v>
      </c>
      <c r="U188" t="s">
        <v>96</v>
      </c>
      <c r="V188" t="s">
        <v>1110</v>
      </c>
      <c r="W188">
        <v>1</v>
      </c>
      <c r="X188">
        <v>107.2</v>
      </c>
      <c r="Y188">
        <v>107.7</v>
      </c>
      <c r="Z188">
        <v>0.4</v>
      </c>
      <c r="AA188">
        <v>5099001357.6000004</v>
      </c>
      <c r="AB188">
        <f>_xlfn.XLOOKUP(E188,[2]generation_steps!$C$2:$C$5101,[2]generation_steps!$G$2:$G$5101)</f>
        <v>5099001357.6000004</v>
      </c>
      <c r="AC188">
        <v>20.43776875</v>
      </c>
      <c r="AD188">
        <v>0</v>
      </c>
      <c r="AE188">
        <v>0</v>
      </c>
      <c r="AF188">
        <v>20.43776875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</row>
    <row r="189" spans="1:57" x14ac:dyDescent="0.25">
      <c r="A189">
        <v>262</v>
      </c>
      <c r="B189" t="s">
        <v>620</v>
      </c>
      <c r="C189" t="s">
        <v>830</v>
      </c>
      <c r="E189" t="s">
        <v>1039</v>
      </c>
      <c r="F189" t="s">
        <v>94</v>
      </c>
      <c r="G189">
        <v>103921273</v>
      </c>
      <c r="H189">
        <v>68.540000000000006</v>
      </c>
      <c r="I189" t="s">
        <v>97</v>
      </c>
      <c r="J189">
        <v>10060802.3494706</v>
      </c>
      <c r="K189">
        <v>7641726.1886666697</v>
      </c>
      <c r="N189">
        <v>9226669.2762121297</v>
      </c>
      <c r="O189">
        <v>26.712911999999999</v>
      </c>
      <c r="P189">
        <v>24.956636</v>
      </c>
      <c r="Q189">
        <v>9139068.8191</v>
      </c>
      <c r="R189">
        <v>27.510662</v>
      </c>
      <c r="S189">
        <v>8926871.3128787894</v>
      </c>
      <c r="T189">
        <v>10417287.665442299</v>
      </c>
      <c r="U189" t="s">
        <v>96</v>
      </c>
      <c r="V189" t="s">
        <v>1250</v>
      </c>
      <c r="W189">
        <v>1</v>
      </c>
      <c r="X189">
        <v>68.739999999999995</v>
      </c>
      <c r="Y189">
        <v>68.540000000000006</v>
      </c>
      <c r="Z189">
        <v>0.70000000000000007</v>
      </c>
      <c r="AA189">
        <v>4985934835.9940014</v>
      </c>
      <c r="AB189">
        <f>_xlfn.XLOOKUP(E189,[2]generation_steps!$C$2:$C$5101,[2]generation_steps!$G$2:$G$5101)</f>
        <v>4985934835.9940014</v>
      </c>
      <c r="AC189">
        <v>28.00949125</v>
      </c>
      <c r="AD189">
        <v>0</v>
      </c>
      <c r="AE189">
        <v>0</v>
      </c>
      <c r="AF189">
        <v>28.00949125</v>
      </c>
      <c r="AG189">
        <v>2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</row>
    <row r="190" spans="1:57" x14ac:dyDescent="0.25">
      <c r="A190">
        <v>169</v>
      </c>
      <c r="B190" t="s">
        <v>555</v>
      </c>
      <c r="C190" t="s">
        <v>766</v>
      </c>
      <c r="E190" t="s">
        <v>975</v>
      </c>
      <c r="F190" t="s">
        <v>95</v>
      </c>
      <c r="G190">
        <v>273130980</v>
      </c>
      <c r="H190">
        <v>18.09</v>
      </c>
      <c r="I190" t="s">
        <v>97</v>
      </c>
      <c r="J190">
        <v>9694186.16975905</v>
      </c>
      <c r="K190">
        <v>7439558.2886666702</v>
      </c>
      <c r="N190">
        <v>8843306.0848461501</v>
      </c>
      <c r="O190">
        <v>16.512177000000001</v>
      </c>
      <c r="P190">
        <v>16.778790999999998</v>
      </c>
      <c r="Q190">
        <v>8518502.3461000007</v>
      </c>
      <c r="R190">
        <v>18.69669</v>
      </c>
      <c r="S190">
        <v>8764587.0051515196</v>
      </c>
      <c r="T190">
        <v>10219431.937639499</v>
      </c>
      <c r="U190" t="s">
        <v>96</v>
      </c>
      <c r="V190" t="s">
        <v>1185</v>
      </c>
      <c r="W190">
        <v>1</v>
      </c>
      <c r="X190">
        <v>18.72</v>
      </c>
      <c r="Y190">
        <v>18.09</v>
      </c>
      <c r="Z190">
        <v>1</v>
      </c>
      <c r="AA190">
        <v>4940939428.1999998</v>
      </c>
      <c r="AB190">
        <f>_xlfn.XLOOKUP(E190,[2]generation_steps!$C$2:$C$5101,[2]generation_steps!$G$2:$G$5101)</f>
        <v>4940939428.1999998</v>
      </c>
      <c r="AC190">
        <v>18.612954999999999</v>
      </c>
      <c r="AD190">
        <v>0</v>
      </c>
      <c r="AE190">
        <v>0</v>
      </c>
      <c r="AF190">
        <v>18.612954999999999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</row>
    <row r="191" spans="1:57" x14ac:dyDescent="0.25">
      <c r="A191">
        <v>213</v>
      </c>
      <c r="B191" t="s">
        <v>588</v>
      </c>
      <c r="C191" t="s">
        <v>798</v>
      </c>
      <c r="E191" t="s">
        <v>1007</v>
      </c>
      <c r="F191" t="s">
        <v>88</v>
      </c>
      <c r="G191">
        <v>455500000</v>
      </c>
      <c r="H191">
        <v>43.21</v>
      </c>
      <c r="I191" t="s">
        <v>97</v>
      </c>
      <c r="J191">
        <v>39298577.155316196</v>
      </c>
      <c r="K191">
        <v>22614719.889666699</v>
      </c>
      <c r="N191">
        <v>32735949.561136398</v>
      </c>
      <c r="O191">
        <v>32.993899999999996</v>
      </c>
      <c r="P191">
        <v>33.079329999999999</v>
      </c>
      <c r="Q191">
        <v>33007070.571699999</v>
      </c>
      <c r="R191">
        <v>32.686680000000003</v>
      </c>
      <c r="S191">
        <v>32563740.766666699</v>
      </c>
      <c r="T191">
        <v>37993071.589299902</v>
      </c>
      <c r="U191" t="s">
        <v>96</v>
      </c>
      <c r="V191" t="s">
        <v>1218</v>
      </c>
      <c r="W191">
        <v>1</v>
      </c>
      <c r="X191">
        <v>46.1</v>
      </c>
      <c r="Y191">
        <v>43.21</v>
      </c>
      <c r="Z191">
        <v>0.25</v>
      </c>
      <c r="AA191">
        <v>4920538750</v>
      </c>
      <c r="AB191">
        <f>_xlfn.XLOOKUP(E191,[2]generation_steps!$C$2:$C$5101,[2]generation_steps!$G$2:$G$5101)</f>
        <v>4920538750</v>
      </c>
      <c r="AC191">
        <v>17.1728375</v>
      </c>
      <c r="AD191">
        <v>0</v>
      </c>
      <c r="AE191">
        <v>0</v>
      </c>
      <c r="AF191">
        <v>17.1728375</v>
      </c>
      <c r="AG191">
        <v>2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</row>
    <row r="192" spans="1:57" x14ac:dyDescent="0.25">
      <c r="A192">
        <v>177</v>
      </c>
      <c r="B192" t="s">
        <v>563</v>
      </c>
      <c r="C192" t="s">
        <v>774</v>
      </c>
      <c r="E192" t="s">
        <v>983</v>
      </c>
      <c r="F192" t="s">
        <v>88</v>
      </c>
      <c r="G192">
        <v>75570800</v>
      </c>
      <c r="H192">
        <v>64.599999999999994</v>
      </c>
      <c r="I192" t="s">
        <v>97</v>
      </c>
      <c r="J192">
        <v>15631363.749921</v>
      </c>
      <c r="K192">
        <v>16130247.946666701</v>
      </c>
      <c r="N192">
        <v>13083774.7320076</v>
      </c>
      <c r="O192">
        <v>20.665939999999999</v>
      </c>
      <c r="P192">
        <v>19.458067</v>
      </c>
      <c r="Q192">
        <v>12261355.329</v>
      </c>
      <c r="R192">
        <v>24.488</v>
      </c>
      <c r="S192">
        <v>13129277.932197001</v>
      </c>
      <c r="T192">
        <v>15294876.845135299</v>
      </c>
      <c r="U192" t="s">
        <v>96</v>
      </c>
      <c r="V192" t="s">
        <v>1193</v>
      </c>
      <c r="W192">
        <v>1</v>
      </c>
      <c r="X192">
        <v>61.2</v>
      </c>
      <c r="Y192">
        <v>64.599999999999994</v>
      </c>
      <c r="Z192">
        <v>1</v>
      </c>
      <c r="AA192">
        <v>4881873680</v>
      </c>
      <c r="AB192">
        <f>_xlfn.XLOOKUP(E192,[2]generation_steps!$C$2:$C$5101,[2]generation_steps!$G$2:$G$5101)</f>
        <v>4881873680</v>
      </c>
      <c r="AC192">
        <v>10.059642500000001</v>
      </c>
      <c r="AD192">
        <v>0</v>
      </c>
      <c r="AE192">
        <v>0</v>
      </c>
      <c r="AF192">
        <v>10.059642500000001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</row>
    <row r="193" spans="1:57" x14ac:dyDescent="0.25">
      <c r="A193">
        <v>84</v>
      </c>
      <c r="B193" t="s">
        <v>499</v>
      </c>
      <c r="C193" t="s">
        <v>710</v>
      </c>
      <c r="E193" t="s">
        <v>919</v>
      </c>
      <c r="F193" t="s">
        <v>88</v>
      </c>
      <c r="G193">
        <v>96000000</v>
      </c>
      <c r="H193">
        <v>84.65</v>
      </c>
      <c r="I193" t="s">
        <v>97</v>
      </c>
      <c r="J193">
        <v>14829547.5210474</v>
      </c>
      <c r="K193">
        <v>17247201.190000001</v>
      </c>
      <c r="N193">
        <v>15709150.931060599</v>
      </c>
      <c r="O193">
        <v>37.152977</v>
      </c>
      <c r="P193">
        <v>40.206603999999999</v>
      </c>
      <c r="Q193">
        <v>16416208.912249999</v>
      </c>
      <c r="R193">
        <v>36.157974000000003</v>
      </c>
      <c r="S193">
        <v>18611678.3719697</v>
      </c>
      <c r="T193">
        <v>21704225.058465902</v>
      </c>
      <c r="U193" t="s">
        <v>96</v>
      </c>
      <c r="V193" t="s">
        <v>1129</v>
      </c>
      <c r="W193">
        <v>1</v>
      </c>
      <c r="X193">
        <v>76.55</v>
      </c>
      <c r="Y193">
        <v>84.65</v>
      </c>
      <c r="Z193">
        <v>0.6</v>
      </c>
      <c r="AA193">
        <v>4875840000</v>
      </c>
      <c r="AB193">
        <f>_xlfn.XLOOKUP(E193,[2]generation_steps!$C$2:$C$5101,[2]generation_steps!$G$2:$G$5101)</f>
        <v>4875840000</v>
      </c>
      <c r="AC193">
        <v>14.40897</v>
      </c>
      <c r="AD193">
        <v>0</v>
      </c>
      <c r="AE193">
        <v>0</v>
      </c>
      <c r="AF193">
        <v>14.40897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</row>
    <row r="194" spans="1:57" x14ac:dyDescent="0.25">
      <c r="A194">
        <v>164</v>
      </c>
      <c r="B194" t="s">
        <v>551</v>
      </c>
      <c r="C194" t="s">
        <v>762</v>
      </c>
      <c r="E194" t="s">
        <v>971</v>
      </c>
      <c r="F194" t="s">
        <v>91</v>
      </c>
      <c r="G194">
        <v>488178642</v>
      </c>
      <c r="H194">
        <v>31.48</v>
      </c>
      <c r="I194" t="s">
        <v>97</v>
      </c>
      <c r="J194">
        <v>13324283.411588199</v>
      </c>
      <c r="K194">
        <v>12258952.3173333</v>
      </c>
      <c r="N194">
        <v>17108731.5492424</v>
      </c>
      <c r="O194">
        <v>31.562141</v>
      </c>
      <c r="P194">
        <v>34.127026000000001</v>
      </c>
      <c r="Q194">
        <v>19796956.0506</v>
      </c>
      <c r="R194">
        <v>28.75337</v>
      </c>
      <c r="S194">
        <v>25565746.558636401</v>
      </c>
      <c r="T194">
        <v>29843764.134474799</v>
      </c>
      <c r="U194" t="s">
        <v>96</v>
      </c>
      <c r="V194" t="s">
        <v>1181</v>
      </c>
      <c r="W194">
        <v>1</v>
      </c>
      <c r="X194">
        <v>31.68</v>
      </c>
      <c r="Y194">
        <v>31.48</v>
      </c>
      <c r="Z194">
        <v>0.3</v>
      </c>
      <c r="AA194">
        <v>4610359095.0480013</v>
      </c>
      <c r="AB194">
        <f>_xlfn.XLOOKUP(E194,[2]generation_steps!$C$2:$C$5101,[2]generation_steps!$G$2:$G$5101)</f>
        <v>4610359095.0479994</v>
      </c>
      <c r="AC194">
        <v>18.003841250000001</v>
      </c>
      <c r="AD194">
        <v>0</v>
      </c>
      <c r="AE194">
        <v>0</v>
      </c>
      <c r="AF194">
        <v>18.003841250000001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</row>
    <row r="195" spans="1:57" x14ac:dyDescent="0.25">
      <c r="A195">
        <v>136</v>
      </c>
      <c r="B195" t="s">
        <v>533</v>
      </c>
      <c r="C195" t="s">
        <v>744</v>
      </c>
      <c r="E195" t="s">
        <v>953</v>
      </c>
      <c r="F195" t="s">
        <v>89</v>
      </c>
      <c r="G195">
        <v>550000000</v>
      </c>
      <c r="H195">
        <v>15.23</v>
      </c>
      <c r="I195" t="s">
        <v>97</v>
      </c>
      <c r="J195">
        <v>9295656.25253921</v>
      </c>
      <c r="K195">
        <v>7272470.2283333298</v>
      </c>
      <c r="N195">
        <v>8203128.18079546</v>
      </c>
      <c r="O195">
        <v>13.171885</v>
      </c>
      <c r="P195">
        <v>13.683085999999999</v>
      </c>
      <c r="Q195">
        <v>7741882.6259500002</v>
      </c>
      <c r="R195">
        <v>16.540099999999999</v>
      </c>
      <c r="S195">
        <v>8187562.7026515203</v>
      </c>
      <c r="T195">
        <v>9545440.1789268106</v>
      </c>
      <c r="U195" t="s">
        <v>96</v>
      </c>
      <c r="V195" t="s">
        <v>1163</v>
      </c>
      <c r="W195">
        <v>1</v>
      </c>
      <c r="X195">
        <v>15.32</v>
      </c>
      <c r="Y195">
        <v>15.23</v>
      </c>
      <c r="Z195">
        <v>0.55000000000000004</v>
      </c>
      <c r="AA195">
        <v>4607075000</v>
      </c>
      <c r="AB195">
        <f>_xlfn.XLOOKUP(E195,[2]generation_steps!$C$2:$C$5101,[2]generation_steps!$G$2:$G$5101)</f>
        <v>4607075000</v>
      </c>
      <c r="AC195">
        <v>10.34705187</v>
      </c>
      <c r="AD195">
        <v>0</v>
      </c>
      <c r="AE195">
        <v>0</v>
      </c>
      <c r="AF195">
        <v>10.34705187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</row>
    <row r="196" spans="1:57" x14ac:dyDescent="0.25">
      <c r="A196">
        <v>9</v>
      </c>
      <c r="B196" t="s">
        <v>441</v>
      </c>
      <c r="C196" t="s">
        <v>653</v>
      </c>
      <c r="E196" t="s">
        <v>862</v>
      </c>
      <c r="F196" t="s">
        <v>94</v>
      </c>
      <c r="G196">
        <v>33157750</v>
      </c>
      <c r="H196">
        <v>212.6</v>
      </c>
      <c r="I196" t="s">
        <v>97</v>
      </c>
      <c r="J196">
        <v>5754465.6805882296</v>
      </c>
      <c r="K196">
        <v>6203310.2933333302</v>
      </c>
      <c r="N196">
        <v>5948486.5356060602</v>
      </c>
      <c r="O196">
        <v>17.175433999999999</v>
      </c>
      <c r="P196">
        <v>18.232588</v>
      </c>
      <c r="Q196">
        <v>5349930.2860000003</v>
      </c>
      <c r="R196">
        <v>21.312393</v>
      </c>
      <c r="S196">
        <v>5601057.9318181798</v>
      </c>
      <c r="T196">
        <v>6529131.6772357104</v>
      </c>
      <c r="U196" t="s">
        <v>96</v>
      </c>
      <c r="V196" t="s">
        <v>1071</v>
      </c>
      <c r="W196">
        <v>1</v>
      </c>
      <c r="X196">
        <v>231.6</v>
      </c>
      <c r="Y196">
        <v>212.6</v>
      </c>
      <c r="Z196">
        <v>0.65</v>
      </c>
      <c r="AA196">
        <v>4582069472.5</v>
      </c>
      <c r="AB196">
        <f>_xlfn.XLOOKUP(E196,[2]generation_steps!$C$2:$C$5101,[2]generation_steps!$G$2:$G$5101)</f>
        <v>4582069472.5</v>
      </c>
      <c r="AC196">
        <v>8.8753762500000004</v>
      </c>
      <c r="AD196">
        <v>0</v>
      </c>
      <c r="AE196">
        <v>0</v>
      </c>
      <c r="AF196">
        <v>8.8753762500000004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</row>
    <row r="197" spans="1:57" x14ac:dyDescent="0.25">
      <c r="A197">
        <v>191</v>
      </c>
      <c r="B197" t="s">
        <v>572</v>
      </c>
      <c r="C197" t="s">
        <v>783</v>
      </c>
      <c r="E197" t="s">
        <v>992</v>
      </c>
      <c r="F197" t="s">
        <v>90</v>
      </c>
      <c r="G197">
        <v>563724900</v>
      </c>
      <c r="H197">
        <v>12.37</v>
      </c>
      <c r="I197" t="s">
        <v>97</v>
      </c>
      <c r="J197">
        <v>9602842.5979717709</v>
      </c>
      <c r="K197">
        <v>12263301.823999999</v>
      </c>
      <c r="N197">
        <v>9675354.2053484805</v>
      </c>
      <c r="O197">
        <v>17.844307000000001</v>
      </c>
      <c r="P197">
        <v>18.284949999999998</v>
      </c>
      <c r="Q197">
        <v>9964786.5449999999</v>
      </c>
      <c r="R197">
        <v>21.618894999999998</v>
      </c>
      <c r="S197">
        <v>10075941.896363599</v>
      </c>
      <c r="T197">
        <v>11739247.0689968</v>
      </c>
      <c r="U197" t="s">
        <v>96</v>
      </c>
      <c r="V197" t="s">
        <v>1202</v>
      </c>
      <c r="W197">
        <v>1</v>
      </c>
      <c r="X197">
        <v>12.16</v>
      </c>
      <c r="Y197">
        <v>12.37</v>
      </c>
      <c r="Z197">
        <v>0.65</v>
      </c>
      <c r="AA197">
        <v>4532630058.4499998</v>
      </c>
      <c r="AB197">
        <f>_xlfn.XLOOKUP(E197,[2]generation_steps!$C$2:$C$5101,[2]generation_steps!$G$2:$G$5101)</f>
        <v>4532630058.4499998</v>
      </c>
      <c r="AC197">
        <v>9.8940000000000001</v>
      </c>
      <c r="AD197">
        <v>0</v>
      </c>
      <c r="AE197">
        <v>0</v>
      </c>
      <c r="AF197">
        <v>9.8940000000000001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</row>
    <row r="198" spans="1:57" x14ac:dyDescent="0.25">
      <c r="A198">
        <v>266</v>
      </c>
      <c r="B198" t="s">
        <v>624</v>
      </c>
      <c r="C198" t="s">
        <v>834</v>
      </c>
      <c r="E198" t="s">
        <v>1043</v>
      </c>
      <c r="F198" t="s">
        <v>89</v>
      </c>
      <c r="G198">
        <v>178378708</v>
      </c>
      <c r="H198">
        <v>33.56</v>
      </c>
      <c r="I198" t="s">
        <v>97</v>
      </c>
      <c r="J198">
        <v>9891415.5229019709</v>
      </c>
      <c r="K198">
        <v>11750933.946666701</v>
      </c>
      <c r="N198">
        <v>10488123.5011364</v>
      </c>
      <c r="O198">
        <v>28.396045999999998</v>
      </c>
      <c r="P198">
        <v>30.023489000000001</v>
      </c>
      <c r="Q198">
        <v>10873127.9366</v>
      </c>
      <c r="R198">
        <v>30.336400000000001</v>
      </c>
      <c r="S198">
        <v>11682292.7645455</v>
      </c>
      <c r="T198">
        <v>13614008.3381174</v>
      </c>
      <c r="U198" t="s">
        <v>96</v>
      </c>
      <c r="V198" t="s">
        <v>1254</v>
      </c>
      <c r="W198">
        <v>1</v>
      </c>
      <c r="X198">
        <v>32</v>
      </c>
      <c r="Y198">
        <v>33.56</v>
      </c>
      <c r="Z198">
        <v>0.75</v>
      </c>
      <c r="AA198">
        <v>4489792080.3600006</v>
      </c>
      <c r="AB198">
        <f>_xlfn.XLOOKUP(E198,[2]generation_steps!$C$2:$C$5101,[2]generation_steps!$G$2:$G$5101)</f>
        <v>4489792080.3600006</v>
      </c>
      <c r="AC198">
        <v>19.75210315</v>
      </c>
      <c r="AD198">
        <v>0</v>
      </c>
      <c r="AE198">
        <v>0</v>
      </c>
      <c r="AF198">
        <v>19.75210315</v>
      </c>
      <c r="AG198">
        <v>2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</row>
    <row r="199" spans="1:57" x14ac:dyDescent="0.25">
      <c r="A199">
        <v>200</v>
      </c>
      <c r="B199" t="s">
        <v>579</v>
      </c>
      <c r="C199" t="s">
        <v>789</v>
      </c>
      <c r="E199" t="s">
        <v>998</v>
      </c>
      <c r="F199" t="s">
        <v>89</v>
      </c>
      <c r="G199">
        <v>43744779</v>
      </c>
      <c r="H199">
        <v>119.6</v>
      </c>
      <c r="I199" t="s">
        <v>97</v>
      </c>
      <c r="J199">
        <v>15101871.328921599</v>
      </c>
      <c r="K199">
        <v>15409725.939999999</v>
      </c>
      <c r="N199">
        <v>14671819.1003788</v>
      </c>
      <c r="O199">
        <v>36.548447000000003</v>
      </c>
      <c r="P199">
        <v>36.704903000000002</v>
      </c>
      <c r="Q199">
        <v>16101558.283</v>
      </c>
      <c r="R199">
        <v>37.956738000000001</v>
      </c>
      <c r="S199">
        <v>17905051.605303001</v>
      </c>
      <c r="T199">
        <v>20852135.443474699</v>
      </c>
      <c r="U199" t="s">
        <v>96</v>
      </c>
      <c r="V199" t="s">
        <v>1209</v>
      </c>
      <c r="W199">
        <v>1</v>
      </c>
      <c r="X199">
        <v>123.8</v>
      </c>
      <c r="Y199">
        <v>119.6</v>
      </c>
      <c r="Z199">
        <v>0.85000000000000009</v>
      </c>
      <c r="AA199">
        <v>4447094233.1400003</v>
      </c>
      <c r="AB199">
        <f>_xlfn.XLOOKUP(E199,[2]generation_steps!$C$2:$C$5101,[2]generation_steps!$G$2:$G$5101)</f>
        <v>4447094233.1400003</v>
      </c>
      <c r="AC199">
        <v>22.634561519999998</v>
      </c>
      <c r="AD199">
        <v>0</v>
      </c>
      <c r="AE199">
        <v>0</v>
      </c>
      <c r="AF199">
        <v>22.634561519999998</v>
      </c>
      <c r="AG199">
        <v>3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</row>
    <row r="200" spans="1:57" x14ac:dyDescent="0.25">
      <c r="A200">
        <v>99</v>
      </c>
      <c r="B200" t="s">
        <v>507</v>
      </c>
      <c r="C200" t="s">
        <v>718</v>
      </c>
      <c r="E200" t="s">
        <v>927</v>
      </c>
      <c r="F200" t="s">
        <v>89</v>
      </c>
      <c r="G200">
        <v>239891064</v>
      </c>
      <c r="H200">
        <v>18.425000000000001</v>
      </c>
      <c r="I200" t="s">
        <v>97</v>
      </c>
      <c r="J200">
        <v>20873416.556024302</v>
      </c>
      <c r="K200">
        <v>26782259.464000098</v>
      </c>
      <c r="N200">
        <v>18927004.089137901</v>
      </c>
      <c r="O200">
        <v>44.799639999999997</v>
      </c>
      <c r="P200">
        <v>47.804653000000002</v>
      </c>
      <c r="Q200">
        <v>19430427.481961999</v>
      </c>
      <c r="R200">
        <v>45.290447</v>
      </c>
      <c r="S200">
        <v>22514341.857896999</v>
      </c>
      <c r="T200">
        <v>26229885.021113802</v>
      </c>
      <c r="U200" t="s">
        <v>96</v>
      </c>
      <c r="V200" t="s">
        <v>1137</v>
      </c>
      <c r="W200">
        <v>1</v>
      </c>
      <c r="X200">
        <v>18.600000000000001</v>
      </c>
      <c r="Y200">
        <v>18.425000000000001</v>
      </c>
      <c r="Z200">
        <v>1</v>
      </c>
      <c r="AA200">
        <v>4419992854.1999998</v>
      </c>
      <c r="AB200">
        <f>_xlfn.XLOOKUP(E200,[2]generation_steps!$C$2:$C$5101,[2]generation_steps!$G$2:$G$5101)</f>
        <v>4419992854.1999998</v>
      </c>
      <c r="AC200">
        <v>13.04068</v>
      </c>
      <c r="AD200">
        <v>0</v>
      </c>
      <c r="AE200">
        <v>0</v>
      </c>
      <c r="AF200">
        <v>13.04068</v>
      </c>
      <c r="AG200">
        <v>2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</row>
    <row r="201" spans="1:57" x14ac:dyDescent="0.25">
      <c r="A201">
        <v>151</v>
      </c>
      <c r="B201" t="s">
        <v>544</v>
      </c>
      <c r="C201" t="s">
        <v>755</v>
      </c>
      <c r="E201" t="s">
        <v>964</v>
      </c>
      <c r="F201" t="s">
        <v>91</v>
      </c>
      <c r="G201">
        <v>59107999</v>
      </c>
      <c r="H201">
        <v>77.5</v>
      </c>
      <c r="I201" t="s">
        <v>97</v>
      </c>
      <c r="J201">
        <v>17830496.7414314</v>
      </c>
      <c r="K201">
        <v>28267436.908</v>
      </c>
      <c r="N201">
        <v>20618390.433257598</v>
      </c>
      <c r="O201">
        <v>31.149010000000001</v>
      </c>
      <c r="P201">
        <v>33.302467</v>
      </c>
      <c r="Q201">
        <v>23058963.628150001</v>
      </c>
      <c r="R201">
        <v>33.698708000000003</v>
      </c>
      <c r="S201">
        <v>23282585.8775758</v>
      </c>
      <c r="T201">
        <v>27130606.973647799</v>
      </c>
      <c r="U201" t="s">
        <v>96</v>
      </c>
      <c r="V201" t="s">
        <v>1174</v>
      </c>
      <c r="W201">
        <v>1</v>
      </c>
      <c r="X201">
        <v>76.760000000000005</v>
      </c>
      <c r="Y201">
        <v>77.5</v>
      </c>
      <c r="Z201">
        <v>0.95000000000000007</v>
      </c>
      <c r="AA201">
        <v>4351826426.375</v>
      </c>
      <c r="AB201">
        <f>_xlfn.XLOOKUP(E201,[2]generation_steps!$C$2:$C$5101,[2]generation_steps!$G$2:$G$5101)</f>
        <v>4351826426.375</v>
      </c>
      <c r="AC201">
        <v>11.576882940000001</v>
      </c>
      <c r="AD201">
        <v>0</v>
      </c>
      <c r="AE201">
        <v>0</v>
      </c>
      <c r="AF201">
        <v>11.576882940000001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</row>
    <row r="202" spans="1:57" x14ac:dyDescent="0.25">
      <c r="A202">
        <v>220</v>
      </c>
      <c r="B202" t="s">
        <v>593</v>
      </c>
      <c r="C202" t="s">
        <v>803</v>
      </c>
      <c r="E202" t="s">
        <v>1012</v>
      </c>
      <c r="F202" t="s">
        <v>92</v>
      </c>
      <c r="G202">
        <v>328939640</v>
      </c>
      <c r="H202">
        <v>33</v>
      </c>
      <c r="I202" t="s">
        <v>97</v>
      </c>
      <c r="J202">
        <v>9669850.2623320203</v>
      </c>
      <c r="K202">
        <v>11313381.473333299</v>
      </c>
      <c r="N202">
        <v>9036298.2121212091</v>
      </c>
      <c r="O202">
        <v>37.912117000000002</v>
      </c>
      <c r="P202">
        <v>40.187564999999999</v>
      </c>
      <c r="Q202">
        <v>9893756.8224000093</v>
      </c>
      <c r="R202">
        <v>40.064450000000001</v>
      </c>
      <c r="S202">
        <v>9685565.1972727291</v>
      </c>
      <c r="T202">
        <v>11284589.6398986</v>
      </c>
      <c r="U202" t="s">
        <v>96</v>
      </c>
      <c r="V202" t="s">
        <v>1223</v>
      </c>
      <c r="W202">
        <v>1</v>
      </c>
      <c r="X202">
        <v>37.74</v>
      </c>
      <c r="Y202">
        <v>33</v>
      </c>
      <c r="Z202">
        <v>0.4</v>
      </c>
      <c r="AA202">
        <v>4342003248</v>
      </c>
      <c r="AB202">
        <f>_xlfn.XLOOKUP(E202,[2]generation_steps!$C$2:$C$5101,[2]generation_steps!$G$2:$G$5101)</f>
        <v>4342003248</v>
      </c>
      <c r="AC202">
        <v>17.112909999999999</v>
      </c>
      <c r="AD202">
        <v>0</v>
      </c>
      <c r="AE202">
        <v>0</v>
      </c>
      <c r="AF202">
        <v>17.112909999999999</v>
      </c>
      <c r="AG202">
        <v>2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</row>
    <row r="203" spans="1:57" x14ac:dyDescent="0.25">
      <c r="A203">
        <v>227</v>
      </c>
      <c r="B203" t="s">
        <v>336</v>
      </c>
      <c r="C203" t="s">
        <v>364</v>
      </c>
      <c r="E203" t="s">
        <v>392</v>
      </c>
      <c r="F203" t="s">
        <v>88</v>
      </c>
      <c r="G203">
        <v>100000000</v>
      </c>
      <c r="H203">
        <v>50.86</v>
      </c>
      <c r="I203" t="s">
        <v>97</v>
      </c>
      <c r="J203">
        <v>61430635.406021699</v>
      </c>
      <c r="K203">
        <v>42935216.07</v>
      </c>
      <c r="N203">
        <v>75259847.829999998</v>
      </c>
      <c r="O203">
        <v>55.012714000000003</v>
      </c>
      <c r="P203">
        <v>52.51135</v>
      </c>
      <c r="Q203">
        <v>60812996.468699999</v>
      </c>
      <c r="R203">
        <v>62.250743999999997</v>
      </c>
      <c r="S203">
        <v>54480742.826287903</v>
      </c>
      <c r="T203">
        <v>63562657.345713302</v>
      </c>
      <c r="U203" t="s">
        <v>96</v>
      </c>
      <c r="V203" t="s">
        <v>421</v>
      </c>
      <c r="W203">
        <v>1</v>
      </c>
      <c r="X203">
        <v>51.62</v>
      </c>
      <c r="Y203">
        <v>50.86</v>
      </c>
      <c r="Z203">
        <v>0.85</v>
      </c>
      <c r="AA203">
        <v>4323100000</v>
      </c>
      <c r="AB203">
        <f>_xlfn.XLOOKUP(E203,[2]generation_steps!$C$2:$C$5101,[2]generation_steps!$G$2:$G$5101)</f>
        <v>4323100000</v>
      </c>
      <c r="AD203">
        <v>0</v>
      </c>
      <c r="AE203">
        <v>0</v>
      </c>
      <c r="AG203">
        <v>0</v>
      </c>
      <c r="AH203">
        <v>0</v>
      </c>
      <c r="AI203">
        <v>4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t="b">
        <v>0</v>
      </c>
      <c r="AS203" t="b">
        <v>0</v>
      </c>
      <c r="AT203" t="b">
        <v>0</v>
      </c>
      <c r="AU203" t="b">
        <v>1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1</v>
      </c>
    </row>
    <row r="204" spans="1:57" x14ac:dyDescent="0.25">
      <c r="A204">
        <v>171</v>
      </c>
      <c r="B204" t="s">
        <v>557</v>
      </c>
      <c r="C204" t="s">
        <v>768</v>
      </c>
      <c r="E204" t="s">
        <v>977</v>
      </c>
      <c r="F204" t="s">
        <v>88</v>
      </c>
      <c r="G204">
        <v>131198650</v>
      </c>
      <c r="H204">
        <v>59.3</v>
      </c>
      <c r="I204" t="s">
        <v>97</v>
      </c>
      <c r="J204">
        <v>14136262.286304301</v>
      </c>
      <c r="K204">
        <v>14126804.3333333</v>
      </c>
      <c r="N204">
        <v>14086858.512916701</v>
      </c>
      <c r="O204">
        <v>34.964849999999998</v>
      </c>
      <c r="P204">
        <v>35.202939999999998</v>
      </c>
      <c r="Q204">
        <v>14544350.086999999</v>
      </c>
      <c r="R204">
        <v>39.721995999999997</v>
      </c>
      <c r="S204">
        <v>13000384.601136399</v>
      </c>
      <c r="T204">
        <v>15137430.665752901</v>
      </c>
      <c r="U204" t="s">
        <v>96</v>
      </c>
      <c r="V204" t="s">
        <v>1187</v>
      </c>
      <c r="W204">
        <v>1</v>
      </c>
      <c r="X204">
        <v>63.7</v>
      </c>
      <c r="Y204">
        <v>59.3</v>
      </c>
      <c r="Z204">
        <v>0.55000000000000004</v>
      </c>
      <c r="AA204">
        <v>4279043969.75</v>
      </c>
      <c r="AB204">
        <f>_xlfn.XLOOKUP(E204,[2]generation_steps!$C$2:$C$5101,[2]generation_steps!$G$2:$G$5101)</f>
        <v>4279043969.750001</v>
      </c>
      <c r="AC204">
        <v>24.463116880000001</v>
      </c>
      <c r="AD204">
        <v>0</v>
      </c>
      <c r="AE204">
        <v>0</v>
      </c>
      <c r="AF204">
        <v>24.463116880000001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</row>
    <row r="205" spans="1:57" x14ac:dyDescent="0.25">
      <c r="A205">
        <v>160</v>
      </c>
      <c r="B205" t="s">
        <v>548</v>
      </c>
      <c r="C205" t="s">
        <v>759</v>
      </c>
      <c r="E205" t="s">
        <v>968</v>
      </c>
      <c r="F205" t="s">
        <v>89</v>
      </c>
      <c r="G205">
        <v>83814526</v>
      </c>
      <c r="H205">
        <v>127.1</v>
      </c>
      <c r="I205" t="s">
        <v>97</v>
      </c>
      <c r="J205">
        <v>8360941.0311764702</v>
      </c>
      <c r="K205">
        <v>9404201.0666666701</v>
      </c>
      <c r="N205">
        <v>8024828.7492424203</v>
      </c>
      <c r="O205">
        <v>23.903165999999999</v>
      </c>
      <c r="P205">
        <v>25.479548000000001</v>
      </c>
      <c r="Q205">
        <v>8187489.5889999997</v>
      </c>
      <c r="R205">
        <v>27.127613</v>
      </c>
      <c r="S205">
        <v>8723568.5833333302</v>
      </c>
      <c r="T205">
        <v>10164291.477043699</v>
      </c>
      <c r="U205" t="s">
        <v>96</v>
      </c>
      <c r="V205" t="s">
        <v>1178</v>
      </c>
      <c r="W205">
        <v>1</v>
      </c>
      <c r="X205">
        <v>120.6</v>
      </c>
      <c r="Y205">
        <v>127.1</v>
      </c>
      <c r="Z205">
        <v>0.4</v>
      </c>
      <c r="AA205">
        <v>4261130501.8400002</v>
      </c>
      <c r="AB205">
        <f>_xlfn.XLOOKUP(E205,[2]generation_steps!$C$2:$C$5101,[2]generation_steps!$G$2:$G$5101)</f>
        <v>4261130501.8400002</v>
      </c>
      <c r="AC205">
        <v>21.926671249999998</v>
      </c>
      <c r="AD205">
        <v>0</v>
      </c>
      <c r="AE205">
        <v>0</v>
      </c>
      <c r="AF205">
        <v>21.926671249999998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</row>
    <row r="206" spans="1:57" x14ac:dyDescent="0.25">
      <c r="A206">
        <v>290</v>
      </c>
      <c r="B206" t="s">
        <v>639</v>
      </c>
      <c r="C206" t="s">
        <v>849</v>
      </c>
      <c r="E206" t="s">
        <v>1058</v>
      </c>
      <c r="F206" t="s">
        <v>92</v>
      </c>
      <c r="G206">
        <v>170233686</v>
      </c>
      <c r="H206">
        <v>62.4</v>
      </c>
      <c r="I206" t="s">
        <v>97</v>
      </c>
      <c r="J206">
        <v>8485253.5915019792</v>
      </c>
      <c r="K206">
        <v>8902790.6033333298</v>
      </c>
      <c r="N206">
        <v>7858322.3617424201</v>
      </c>
      <c r="O206">
        <v>19.9724</v>
      </c>
      <c r="P206">
        <v>20.681844999999999</v>
      </c>
      <c r="Q206">
        <v>7388560.2189999996</v>
      </c>
      <c r="R206">
        <v>22.619672999999999</v>
      </c>
      <c r="S206">
        <v>7774778.7575757597</v>
      </c>
      <c r="T206">
        <v>9060374.0084394999</v>
      </c>
      <c r="U206" t="s">
        <v>96</v>
      </c>
      <c r="V206" t="s">
        <v>1269</v>
      </c>
      <c r="W206">
        <v>1</v>
      </c>
      <c r="X206">
        <v>60.9</v>
      </c>
      <c r="Y206">
        <v>62.4</v>
      </c>
      <c r="Z206">
        <v>0.4</v>
      </c>
      <c r="AA206">
        <v>4249032802.5599999</v>
      </c>
      <c r="AB206">
        <f>_xlfn.XLOOKUP(E206,[2]generation_steps!$C$2:$C$5101,[2]generation_steps!$G$2:$G$5101)</f>
        <v>4249032802.5599999</v>
      </c>
      <c r="AC206">
        <v>20.104955879999999</v>
      </c>
      <c r="AD206">
        <v>0</v>
      </c>
      <c r="AE206">
        <v>0</v>
      </c>
      <c r="AF206">
        <v>20.104955879999999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</row>
    <row r="207" spans="1:57" x14ac:dyDescent="0.25">
      <c r="A207">
        <v>273</v>
      </c>
      <c r="B207" t="s">
        <v>343</v>
      </c>
      <c r="C207" t="s">
        <v>371</v>
      </c>
      <c r="E207" t="s">
        <v>399</v>
      </c>
      <c r="F207" t="s">
        <v>88</v>
      </c>
      <c r="G207">
        <v>622531741</v>
      </c>
      <c r="H207">
        <v>8.4760000000000009</v>
      </c>
      <c r="I207" t="s">
        <v>97</v>
      </c>
      <c r="J207">
        <v>39768707.581031598</v>
      </c>
      <c r="K207">
        <v>20966147.244133301</v>
      </c>
      <c r="N207">
        <v>34010980.729272701</v>
      </c>
      <c r="O207">
        <v>46.996516999999997</v>
      </c>
      <c r="P207">
        <v>47.914143000000003</v>
      </c>
      <c r="Q207">
        <v>34160944.896430001</v>
      </c>
      <c r="R207">
        <v>53.888249999999999</v>
      </c>
      <c r="S207">
        <v>32841207.785606101</v>
      </c>
      <c r="T207">
        <v>38324643.247607</v>
      </c>
      <c r="U207" t="s">
        <v>96</v>
      </c>
      <c r="V207" t="s">
        <v>428</v>
      </c>
      <c r="W207">
        <v>1</v>
      </c>
      <c r="X207">
        <v>8.8620000000000001</v>
      </c>
      <c r="Y207">
        <v>8.4760000000000009</v>
      </c>
      <c r="Z207">
        <v>0.8</v>
      </c>
      <c r="AA207">
        <v>4221263229.3727999</v>
      </c>
      <c r="AB207">
        <f>_xlfn.XLOOKUP(E207,[2]generation_steps!$C$2:$C$5101,[2]generation_steps!$G$2:$G$5101)</f>
        <v>4221263229.3728008</v>
      </c>
      <c r="AC207">
        <v>39.500115630000003</v>
      </c>
      <c r="AD207">
        <v>0</v>
      </c>
      <c r="AE207">
        <v>0</v>
      </c>
      <c r="AF207">
        <v>39.500115630000003</v>
      </c>
      <c r="AG207">
        <v>2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t="b">
        <v>0</v>
      </c>
      <c r="AS207" t="b">
        <v>0</v>
      </c>
      <c r="AT207" t="b">
        <v>0</v>
      </c>
      <c r="AU207" t="b">
        <v>1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1</v>
      </c>
    </row>
    <row r="208" spans="1:57" x14ac:dyDescent="0.25">
      <c r="A208">
        <v>148</v>
      </c>
      <c r="B208" t="s">
        <v>542</v>
      </c>
      <c r="C208" t="s">
        <v>753</v>
      </c>
      <c r="E208" t="s">
        <v>962</v>
      </c>
      <c r="F208" t="s">
        <v>88</v>
      </c>
      <c r="G208">
        <v>77711300</v>
      </c>
      <c r="H208">
        <v>270</v>
      </c>
      <c r="I208" t="s">
        <v>97</v>
      </c>
      <c r="J208">
        <v>13142718.4416996</v>
      </c>
      <c r="K208">
        <v>21590321.0666667</v>
      </c>
      <c r="N208">
        <v>12969032.503409101</v>
      </c>
      <c r="O208">
        <v>34.89922</v>
      </c>
      <c r="P208">
        <v>37.018856</v>
      </c>
      <c r="Q208">
        <v>14396818.562999999</v>
      </c>
      <c r="R208">
        <v>36.24579</v>
      </c>
      <c r="S208">
        <v>15993660.5712121</v>
      </c>
      <c r="T208">
        <v>18616217.258075301</v>
      </c>
      <c r="U208" t="s">
        <v>96</v>
      </c>
      <c r="V208" t="s">
        <v>1172</v>
      </c>
      <c r="W208">
        <v>1</v>
      </c>
      <c r="X208">
        <v>332.2</v>
      </c>
      <c r="Y208">
        <v>270</v>
      </c>
      <c r="Z208">
        <v>0.2</v>
      </c>
      <c r="AA208">
        <v>4196410200</v>
      </c>
      <c r="AB208">
        <f>_xlfn.XLOOKUP(E208,[2]generation_steps!$C$2:$C$5101,[2]generation_steps!$G$2:$G$5101)</f>
        <v>4196410200</v>
      </c>
      <c r="AC208">
        <v>26.418542219999999</v>
      </c>
      <c r="AD208">
        <v>0</v>
      </c>
      <c r="AE208">
        <v>0</v>
      </c>
      <c r="AF208">
        <v>26.418542219999999</v>
      </c>
      <c r="AG208">
        <v>2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</row>
    <row r="209" spans="1:57" x14ac:dyDescent="0.25">
      <c r="A209">
        <v>145</v>
      </c>
      <c r="B209" t="s">
        <v>330</v>
      </c>
      <c r="C209" t="s">
        <v>358</v>
      </c>
      <c r="E209" t="s">
        <v>386</v>
      </c>
      <c r="F209" t="s">
        <v>88</v>
      </c>
      <c r="G209">
        <v>115500000</v>
      </c>
      <c r="H209">
        <v>72.5</v>
      </c>
      <c r="I209" t="s">
        <v>97</v>
      </c>
      <c r="J209">
        <v>54041310.321482196</v>
      </c>
      <c r="K209">
        <v>49693964.490000002</v>
      </c>
      <c r="N209">
        <v>60542832.916287899</v>
      </c>
      <c r="O209">
        <v>53.905945000000003</v>
      </c>
      <c r="P209">
        <v>52.049182999999999</v>
      </c>
      <c r="Q209">
        <v>52695790.730750002</v>
      </c>
      <c r="R209">
        <v>58.235455000000002</v>
      </c>
      <c r="S209">
        <v>53971996.031060599</v>
      </c>
      <c r="T209">
        <v>62942364.179218702</v>
      </c>
      <c r="U209" t="s">
        <v>96</v>
      </c>
      <c r="V209" t="s">
        <v>415</v>
      </c>
      <c r="W209">
        <v>1</v>
      </c>
      <c r="X209">
        <v>69.599999999999994</v>
      </c>
      <c r="Y209">
        <v>72.5</v>
      </c>
      <c r="Z209">
        <v>0.5</v>
      </c>
      <c r="AA209">
        <v>4186875000</v>
      </c>
      <c r="AB209">
        <f>_xlfn.XLOOKUP(E209,[2]generation_steps!$C$2:$C$5101,[2]generation_steps!$G$2:$G$5101)</f>
        <v>4186875000</v>
      </c>
      <c r="AC209">
        <v>21.753833319999998</v>
      </c>
      <c r="AD209">
        <v>0</v>
      </c>
      <c r="AE209">
        <v>0</v>
      </c>
      <c r="AF209">
        <v>21.753833319999998</v>
      </c>
      <c r="AG209">
        <v>0</v>
      </c>
      <c r="AH209">
        <v>5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1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1</v>
      </c>
    </row>
    <row r="210" spans="1:57" x14ac:dyDescent="0.25">
      <c r="A210">
        <v>6</v>
      </c>
      <c r="B210" t="s">
        <v>438</v>
      </c>
      <c r="C210" t="s">
        <v>650</v>
      </c>
      <c r="E210" t="s">
        <v>859</v>
      </c>
      <c r="F210" t="s">
        <v>90</v>
      </c>
      <c r="G210">
        <v>54856650</v>
      </c>
      <c r="H210">
        <v>169.1</v>
      </c>
      <c r="I210" t="s">
        <v>97</v>
      </c>
      <c r="J210">
        <v>13009983.6</v>
      </c>
      <c r="K210">
        <v>20203485.563333299</v>
      </c>
      <c r="N210">
        <v>15024953.231818199</v>
      </c>
      <c r="O210">
        <v>26.088149999999999</v>
      </c>
      <c r="P210">
        <v>26.661535000000001</v>
      </c>
      <c r="Q210">
        <v>14441957.300000001</v>
      </c>
      <c r="R210">
        <v>29.449766</v>
      </c>
      <c r="S210">
        <v>12771372.6219697</v>
      </c>
      <c r="T210">
        <v>14870504.708213501</v>
      </c>
      <c r="U210" t="s">
        <v>96</v>
      </c>
      <c r="V210" t="s">
        <v>1068</v>
      </c>
      <c r="W210">
        <v>1</v>
      </c>
      <c r="X210">
        <v>184.3</v>
      </c>
      <c r="Y210">
        <v>169.1</v>
      </c>
      <c r="Z210">
        <v>0.45</v>
      </c>
      <c r="AA210">
        <v>4174316781.75</v>
      </c>
      <c r="AB210">
        <f>_xlfn.XLOOKUP(E210,[2]generation_steps!$C$2:$C$5101,[2]generation_steps!$G$2:$G$5101)</f>
        <v>4174316781.75</v>
      </c>
      <c r="AC210">
        <v>19.900585329999998</v>
      </c>
      <c r="AD210">
        <v>0</v>
      </c>
      <c r="AE210">
        <v>0</v>
      </c>
      <c r="AF210">
        <v>19.900585329999998</v>
      </c>
      <c r="AG210">
        <v>2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</row>
    <row r="211" spans="1:57" x14ac:dyDescent="0.25">
      <c r="A211">
        <v>47</v>
      </c>
      <c r="B211" t="s">
        <v>469</v>
      </c>
      <c r="C211" t="s">
        <v>681</v>
      </c>
      <c r="E211" t="s">
        <v>890</v>
      </c>
      <c r="F211" t="s">
        <v>93</v>
      </c>
      <c r="G211">
        <v>745388391</v>
      </c>
      <c r="H211">
        <v>18.47</v>
      </c>
      <c r="I211" t="s">
        <v>97</v>
      </c>
      <c r="J211">
        <v>21600473.7042659</v>
      </c>
      <c r="K211">
        <v>27151546.544</v>
      </c>
      <c r="N211">
        <v>22012948.9138931</v>
      </c>
      <c r="O211">
        <v>18.856698999999999</v>
      </c>
      <c r="P211">
        <v>18.859034000000001</v>
      </c>
      <c r="Q211">
        <v>18639151.426899999</v>
      </c>
      <c r="R211">
        <v>28.076840000000001</v>
      </c>
      <c r="S211">
        <v>18701062.451742399</v>
      </c>
      <c r="T211">
        <v>21774070.150373701</v>
      </c>
      <c r="U211" t="s">
        <v>96</v>
      </c>
      <c r="V211" t="s">
        <v>1099</v>
      </c>
      <c r="W211">
        <v>1</v>
      </c>
      <c r="X211">
        <v>18.940000000000001</v>
      </c>
      <c r="Y211">
        <v>18.47</v>
      </c>
      <c r="Z211">
        <v>0.3</v>
      </c>
      <c r="AA211">
        <v>4130197074.5310011</v>
      </c>
      <c r="AB211">
        <f>_xlfn.XLOOKUP(E211,[2]generation_steps!$C$2:$C$5101,[2]generation_steps!$G$2:$G$5101)</f>
        <v>4130197074.5309992</v>
      </c>
      <c r="AC211">
        <v>23.980443359999999</v>
      </c>
      <c r="AD211">
        <v>0</v>
      </c>
      <c r="AE211">
        <v>0</v>
      </c>
      <c r="AF211">
        <v>23.980443359999999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</row>
    <row r="212" spans="1:57" x14ac:dyDescent="0.25">
      <c r="A212">
        <v>296</v>
      </c>
      <c r="B212" t="s">
        <v>642</v>
      </c>
      <c r="C212" t="s">
        <v>852</v>
      </c>
      <c r="E212" t="s">
        <v>1061</v>
      </c>
      <c r="F212" t="s">
        <v>94</v>
      </c>
      <c r="G212">
        <v>235139589</v>
      </c>
      <c r="H212">
        <v>21.88</v>
      </c>
      <c r="I212" t="s">
        <v>97</v>
      </c>
      <c r="J212">
        <v>9127323.0964117609</v>
      </c>
      <c r="K212">
        <v>8643934.09333333</v>
      </c>
      <c r="N212">
        <v>7286816.4301515101</v>
      </c>
      <c r="O212">
        <v>17.020994000000002</v>
      </c>
      <c r="P212">
        <v>17.535678999999998</v>
      </c>
      <c r="Q212">
        <v>7698153.4426999995</v>
      </c>
      <c r="R212">
        <v>21.772473999999999</v>
      </c>
      <c r="S212">
        <v>8936144.5634848401</v>
      </c>
      <c r="T212">
        <v>10421719.621392399</v>
      </c>
      <c r="U212" t="s">
        <v>96</v>
      </c>
      <c r="V212" t="s">
        <v>1272</v>
      </c>
      <c r="W212">
        <v>1</v>
      </c>
      <c r="X212">
        <v>21.28</v>
      </c>
      <c r="Y212">
        <v>21.88</v>
      </c>
      <c r="Z212">
        <v>0.8</v>
      </c>
      <c r="AA212">
        <v>4115883365.8559999</v>
      </c>
      <c r="AB212">
        <f>_xlfn.XLOOKUP(E212,[2]generation_steps!$C$2:$C$5101,[2]generation_steps!$G$2:$G$5101)</f>
        <v>4115883365.8559999</v>
      </c>
      <c r="AC212">
        <v>9.8425750000000001</v>
      </c>
      <c r="AD212">
        <v>0</v>
      </c>
      <c r="AE212">
        <v>0</v>
      </c>
      <c r="AF212">
        <v>9.8425750000000001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</row>
    <row r="213" spans="1:57" x14ac:dyDescent="0.25">
      <c r="A213">
        <v>246</v>
      </c>
      <c r="B213" t="s">
        <v>608</v>
      </c>
      <c r="C213" t="s">
        <v>818</v>
      </c>
      <c r="E213" t="s">
        <v>1027</v>
      </c>
      <c r="F213" t="s">
        <v>89</v>
      </c>
      <c r="G213">
        <v>179363695</v>
      </c>
      <c r="H213">
        <v>26.96</v>
      </c>
      <c r="I213" t="s">
        <v>97</v>
      </c>
      <c r="J213">
        <v>13566297.4111373</v>
      </c>
      <c r="K213">
        <v>18060463.3386667</v>
      </c>
      <c r="N213">
        <v>12697196.849545401</v>
      </c>
      <c r="O213">
        <v>26.427033999999999</v>
      </c>
      <c r="P213">
        <v>28.424765000000001</v>
      </c>
      <c r="Q213">
        <v>13309524.524</v>
      </c>
      <c r="R213">
        <v>32.644848000000003</v>
      </c>
      <c r="S213">
        <v>14409693.755000001</v>
      </c>
      <c r="T213">
        <v>16764843.785968199</v>
      </c>
      <c r="U213" t="s">
        <v>96</v>
      </c>
      <c r="V213" t="s">
        <v>1238</v>
      </c>
      <c r="W213">
        <v>1</v>
      </c>
      <c r="X213">
        <v>27.7</v>
      </c>
      <c r="Y213">
        <v>26.96</v>
      </c>
      <c r="Z213">
        <v>0.85000000000000009</v>
      </c>
      <c r="AA213">
        <v>4110298434.6200008</v>
      </c>
      <c r="AB213">
        <f>_xlfn.XLOOKUP(E213,[2]generation_steps!$C$2:$C$5101,[2]generation_steps!$G$2:$G$5101)</f>
        <v>4110298434.6199999</v>
      </c>
      <c r="AC213">
        <v>15.546765629999999</v>
      </c>
      <c r="AD213">
        <v>0</v>
      </c>
      <c r="AE213">
        <v>0</v>
      </c>
      <c r="AF213">
        <v>15.546765629999999</v>
      </c>
      <c r="AG213">
        <v>2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</row>
    <row r="214" spans="1:57" x14ac:dyDescent="0.25">
      <c r="A214">
        <v>28</v>
      </c>
      <c r="B214" t="s">
        <v>453</v>
      </c>
      <c r="C214" t="s">
        <v>665</v>
      </c>
      <c r="E214" t="s">
        <v>874</v>
      </c>
      <c r="F214" t="s">
        <v>89</v>
      </c>
      <c r="G214">
        <v>206386326</v>
      </c>
      <c r="H214">
        <v>66.25</v>
      </c>
      <c r="I214" t="s">
        <v>97</v>
      </c>
      <c r="J214">
        <v>10530572.874902001</v>
      </c>
      <c r="K214">
        <v>10009129.311666699</v>
      </c>
      <c r="N214">
        <v>9684013.2856060602</v>
      </c>
      <c r="O214">
        <v>24.513743999999999</v>
      </c>
      <c r="P214">
        <v>24.088664999999999</v>
      </c>
      <c r="Q214">
        <v>9541041.1339999996</v>
      </c>
      <c r="R214">
        <v>28.198796999999999</v>
      </c>
      <c r="S214">
        <v>9759199.2999999896</v>
      </c>
      <c r="T214">
        <v>11376216.524367001</v>
      </c>
      <c r="U214" t="s">
        <v>96</v>
      </c>
      <c r="V214" t="s">
        <v>1083</v>
      </c>
      <c r="W214">
        <v>1</v>
      </c>
      <c r="X214">
        <v>68.150000000000006</v>
      </c>
      <c r="Y214">
        <v>66.25</v>
      </c>
      <c r="Z214">
        <v>0.3</v>
      </c>
      <c r="AA214">
        <v>4101928229.250001</v>
      </c>
      <c r="AB214">
        <f>_xlfn.XLOOKUP(E214,[2]generation_steps!$C$2:$C$5101,[2]generation_steps!$G$2:$G$5101)</f>
        <v>4101928229.25</v>
      </c>
      <c r="AC214">
        <v>19.534512500000002</v>
      </c>
      <c r="AD214">
        <v>0</v>
      </c>
      <c r="AE214">
        <v>0</v>
      </c>
      <c r="AF214">
        <v>19.534512500000002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</row>
    <row r="215" spans="1:57" x14ac:dyDescent="0.25">
      <c r="A215">
        <v>104</v>
      </c>
      <c r="B215" t="s">
        <v>511</v>
      </c>
      <c r="C215" t="s">
        <v>722</v>
      </c>
      <c r="E215" t="s">
        <v>931</v>
      </c>
      <c r="F215" t="s">
        <v>89</v>
      </c>
      <c r="G215">
        <v>237553695</v>
      </c>
      <c r="H215">
        <v>24.64</v>
      </c>
      <c r="I215" t="s">
        <v>97</v>
      </c>
      <c r="J215">
        <v>7013110.7796274498</v>
      </c>
      <c r="K215">
        <v>5679848.0706666699</v>
      </c>
      <c r="N215">
        <v>6516968.4265909102</v>
      </c>
      <c r="O215">
        <v>19.047689999999999</v>
      </c>
      <c r="P215">
        <v>20.227371000000002</v>
      </c>
      <c r="Q215">
        <v>5936664.9371999996</v>
      </c>
      <c r="R215">
        <v>21.465371999999999</v>
      </c>
      <c r="S215">
        <v>6005931.3142424198</v>
      </c>
      <c r="T215">
        <v>7001269.8666899297</v>
      </c>
      <c r="U215" t="s">
        <v>96</v>
      </c>
      <c r="V215" t="s">
        <v>1141</v>
      </c>
      <c r="W215">
        <v>1</v>
      </c>
      <c r="X215">
        <v>23.46</v>
      </c>
      <c r="Y215">
        <v>24.64</v>
      </c>
      <c r="Z215">
        <v>0.70000000000000007</v>
      </c>
      <c r="AA215">
        <v>4097326131.3600011</v>
      </c>
      <c r="AB215">
        <f>_xlfn.XLOOKUP(E215,[2]generation_steps!$C$2:$C$5101,[2]generation_steps!$G$2:$G$5101)</f>
        <v>4097326131.3600011</v>
      </c>
      <c r="AC215">
        <v>15.64975188</v>
      </c>
      <c r="AD215">
        <v>0</v>
      </c>
      <c r="AE215">
        <v>0</v>
      </c>
      <c r="AF215">
        <v>15.64975188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</row>
    <row r="216" spans="1:57" x14ac:dyDescent="0.25">
      <c r="A216">
        <v>288</v>
      </c>
      <c r="B216" t="s">
        <v>638</v>
      </c>
      <c r="C216" t="s">
        <v>848</v>
      </c>
      <c r="E216" t="s">
        <v>1057</v>
      </c>
      <c r="F216" t="s">
        <v>95</v>
      </c>
      <c r="G216">
        <v>184529605</v>
      </c>
      <c r="H216">
        <v>27.55</v>
      </c>
      <c r="I216" t="s">
        <v>97</v>
      </c>
      <c r="J216">
        <v>9277063.5724096391</v>
      </c>
      <c r="K216">
        <v>7579685.9606666705</v>
      </c>
      <c r="N216">
        <v>8218672.4543076996</v>
      </c>
      <c r="O216">
        <v>29.451027</v>
      </c>
      <c r="P216">
        <v>30.749179999999999</v>
      </c>
      <c r="Q216">
        <v>7872406.4499000004</v>
      </c>
      <c r="R216">
        <v>32.256504</v>
      </c>
      <c r="S216">
        <v>7133328.8018181799</v>
      </c>
      <c r="T216">
        <v>8308738.5850508204</v>
      </c>
      <c r="U216" t="s">
        <v>96</v>
      </c>
      <c r="V216" t="s">
        <v>1268</v>
      </c>
      <c r="W216">
        <v>1</v>
      </c>
      <c r="X216">
        <v>26.38</v>
      </c>
      <c r="Y216">
        <v>27.55</v>
      </c>
      <c r="Z216">
        <v>0.8</v>
      </c>
      <c r="AA216">
        <v>4067032494.1999998</v>
      </c>
      <c r="AB216">
        <f>_xlfn.XLOOKUP(E216,[2]generation_steps!$C$2:$C$5101,[2]generation_steps!$G$2:$G$5101)</f>
        <v>4067032494.1999998</v>
      </c>
      <c r="AC216">
        <v>23.057971869999999</v>
      </c>
      <c r="AD216">
        <v>0</v>
      </c>
      <c r="AE216">
        <v>0</v>
      </c>
      <c r="AF216">
        <v>23.057971869999999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</row>
    <row r="217" spans="1:57" x14ac:dyDescent="0.25">
      <c r="A217">
        <v>276</v>
      </c>
      <c r="B217" t="s">
        <v>631</v>
      </c>
      <c r="C217" t="s">
        <v>841</v>
      </c>
      <c r="E217" t="s">
        <v>1050</v>
      </c>
      <c r="F217" t="s">
        <v>94</v>
      </c>
      <c r="G217">
        <v>44512598</v>
      </c>
      <c r="H217">
        <v>201</v>
      </c>
      <c r="I217" t="s">
        <v>97</v>
      </c>
      <c r="J217">
        <v>5617493.1035294104</v>
      </c>
      <c r="K217">
        <v>19188894.789999999</v>
      </c>
      <c r="N217">
        <v>6959385.5962121198</v>
      </c>
      <c r="O217">
        <v>38.847709999999999</v>
      </c>
      <c r="P217">
        <v>42.015300000000003</v>
      </c>
      <c r="Q217">
        <v>8634267.4279999994</v>
      </c>
      <c r="R217">
        <v>40.870227999999997</v>
      </c>
      <c r="S217">
        <v>11840647.6</v>
      </c>
      <c r="T217">
        <v>13748167.7079682</v>
      </c>
      <c r="U217" t="s">
        <v>96</v>
      </c>
      <c r="V217" t="s">
        <v>1261</v>
      </c>
      <c r="W217">
        <v>1</v>
      </c>
      <c r="X217">
        <v>213</v>
      </c>
      <c r="Y217">
        <v>201</v>
      </c>
      <c r="Z217">
        <v>0.45</v>
      </c>
      <c r="AA217">
        <v>4026164489.0999999</v>
      </c>
      <c r="AB217">
        <f>_xlfn.XLOOKUP(E217,[2]generation_steps!$C$2:$C$5101,[2]generation_steps!$G$2:$G$5101)</f>
        <v>4026164489.0999999</v>
      </c>
      <c r="AC217">
        <v>13.747198750000001</v>
      </c>
      <c r="AD217">
        <v>0</v>
      </c>
      <c r="AE217">
        <v>0</v>
      </c>
      <c r="AF217">
        <v>13.747198750000001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</row>
    <row r="218" spans="1:57" x14ac:dyDescent="0.25">
      <c r="A218">
        <v>42</v>
      </c>
      <c r="B218" t="s">
        <v>464</v>
      </c>
      <c r="C218" t="s">
        <v>676</v>
      </c>
      <c r="E218" t="s">
        <v>885</v>
      </c>
      <c r="F218" t="s">
        <v>89</v>
      </c>
      <c r="G218">
        <v>816960428</v>
      </c>
      <c r="H218">
        <v>10.65</v>
      </c>
      <c r="I218" t="s">
        <v>97</v>
      </c>
      <c r="J218">
        <v>4911043.7208921602</v>
      </c>
      <c r="K218">
        <v>15253304.192</v>
      </c>
      <c r="N218">
        <v>6393652.9684090903</v>
      </c>
      <c r="O218">
        <v>30.70346</v>
      </c>
      <c r="P218">
        <v>30.163343000000001</v>
      </c>
      <c r="Q218">
        <v>7069279.017275</v>
      </c>
      <c r="R218">
        <v>31.662996</v>
      </c>
      <c r="S218">
        <v>8883229.2442802992</v>
      </c>
      <c r="T218">
        <v>10329901.4169861</v>
      </c>
      <c r="U218" t="s">
        <v>96</v>
      </c>
      <c r="V218" t="s">
        <v>1094</v>
      </c>
      <c r="W218">
        <v>1</v>
      </c>
      <c r="X218">
        <v>10.79</v>
      </c>
      <c r="Y218">
        <v>10.65</v>
      </c>
      <c r="Z218">
        <v>0.45</v>
      </c>
      <c r="AA218">
        <v>3915282851.190001</v>
      </c>
      <c r="AB218">
        <f>_xlfn.XLOOKUP(E218,[2]generation_steps!$C$2:$C$5101,[2]generation_steps!$G$2:$G$5101)</f>
        <v>3915282851.190001</v>
      </c>
      <c r="AC218">
        <v>10.223156250000001</v>
      </c>
      <c r="AD218">
        <v>0</v>
      </c>
      <c r="AE218">
        <v>0</v>
      </c>
      <c r="AF218">
        <v>10.223156250000001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</row>
    <row r="219" spans="1:57" x14ac:dyDescent="0.25">
      <c r="A219">
        <v>274</v>
      </c>
      <c r="B219" t="s">
        <v>630</v>
      </c>
      <c r="C219" t="s">
        <v>840</v>
      </c>
      <c r="E219" t="s">
        <v>1049</v>
      </c>
      <c r="F219" t="s">
        <v>88</v>
      </c>
      <c r="G219">
        <v>63523647</v>
      </c>
      <c r="H219">
        <v>61</v>
      </c>
      <c r="I219" t="s">
        <v>97</v>
      </c>
      <c r="J219">
        <v>38189624.542800002</v>
      </c>
      <c r="K219">
        <v>13202184.483333301</v>
      </c>
      <c r="N219">
        <v>38189624.542800002</v>
      </c>
      <c r="O219">
        <v>62.069015999999998</v>
      </c>
      <c r="P219">
        <v>62.069015999999998</v>
      </c>
      <c r="Q219">
        <v>38189624.542800002</v>
      </c>
      <c r="R219">
        <v>62.069015999999998</v>
      </c>
      <c r="S219">
        <v>38189624.542800002</v>
      </c>
      <c r="T219">
        <v>44359118.754685603</v>
      </c>
      <c r="U219" t="s">
        <v>96</v>
      </c>
      <c r="V219" t="s">
        <v>1260</v>
      </c>
      <c r="W219">
        <v>1</v>
      </c>
      <c r="X219">
        <v>64.7</v>
      </c>
      <c r="Y219">
        <v>61</v>
      </c>
      <c r="Z219">
        <v>1</v>
      </c>
      <c r="AA219">
        <v>3874942467</v>
      </c>
      <c r="AB219">
        <f>_xlfn.XLOOKUP(E219,[2]generation_steps!$C$2:$C$5101,[2]generation_steps!$G$2:$G$5101)</f>
        <v>3874942467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</row>
    <row r="220" spans="1:57" x14ac:dyDescent="0.25">
      <c r="A220">
        <v>71</v>
      </c>
      <c r="B220" t="s">
        <v>487</v>
      </c>
      <c r="C220" t="s">
        <v>699</v>
      </c>
      <c r="E220" t="s">
        <v>908</v>
      </c>
      <c r="F220" t="s">
        <v>93</v>
      </c>
      <c r="G220">
        <v>192626154</v>
      </c>
      <c r="H220">
        <v>49.96</v>
      </c>
      <c r="I220" t="s">
        <v>97</v>
      </c>
      <c r="J220">
        <v>23111633.744285699</v>
      </c>
      <c r="K220">
        <v>23942157.5253333</v>
      </c>
      <c r="N220">
        <v>22778912.141793899</v>
      </c>
      <c r="O220">
        <v>33.619520000000001</v>
      </c>
      <c r="P220">
        <v>33.515723999999999</v>
      </c>
      <c r="Q220">
        <v>24514151.200350001</v>
      </c>
      <c r="R220">
        <v>36.906852999999998</v>
      </c>
      <c r="S220">
        <v>23959602.1205303</v>
      </c>
      <c r="T220">
        <v>27903209.310544901</v>
      </c>
      <c r="U220" t="s">
        <v>96</v>
      </c>
      <c r="V220" t="s">
        <v>1117</v>
      </c>
      <c r="W220">
        <v>1</v>
      </c>
      <c r="X220">
        <v>53.25</v>
      </c>
      <c r="Y220">
        <v>49.96</v>
      </c>
      <c r="Z220">
        <v>0.4</v>
      </c>
      <c r="AA220">
        <v>3849441061.5360012</v>
      </c>
      <c r="AB220">
        <f>_xlfn.XLOOKUP(E220,[2]generation_steps!$C$2:$C$5101,[2]generation_steps!$G$2:$G$5101)</f>
        <v>3849441061.5359998</v>
      </c>
      <c r="AC220">
        <v>28.256759720000002</v>
      </c>
      <c r="AD220">
        <v>0</v>
      </c>
      <c r="AE220">
        <v>0</v>
      </c>
      <c r="AF220">
        <v>28.256759720000002</v>
      </c>
      <c r="AG220">
        <v>2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</row>
    <row r="221" spans="1:57" x14ac:dyDescent="0.25">
      <c r="A221">
        <v>256</v>
      </c>
      <c r="B221" t="s">
        <v>614</v>
      </c>
      <c r="C221" t="s">
        <v>824</v>
      </c>
      <c r="E221" t="s">
        <v>1033</v>
      </c>
      <c r="F221" t="s">
        <v>89</v>
      </c>
      <c r="G221">
        <v>147454887</v>
      </c>
      <c r="H221">
        <v>47.24</v>
      </c>
      <c r="I221" t="s">
        <v>97</v>
      </c>
      <c r="J221">
        <v>14966976.9630196</v>
      </c>
      <c r="K221">
        <v>11021546.961333301</v>
      </c>
      <c r="N221">
        <v>11172566.792803001</v>
      </c>
      <c r="O221">
        <v>22.721933</v>
      </c>
      <c r="P221">
        <v>23.135597000000001</v>
      </c>
      <c r="Q221">
        <v>10369019.750499999</v>
      </c>
      <c r="R221">
        <v>30.814163000000001</v>
      </c>
      <c r="S221">
        <v>11827808.420833301</v>
      </c>
      <c r="T221">
        <v>13774006.5100777</v>
      </c>
      <c r="U221" t="s">
        <v>96</v>
      </c>
      <c r="V221" t="s">
        <v>1244</v>
      </c>
      <c r="W221">
        <v>1</v>
      </c>
      <c r="X221">
        <v>45.64</v>
      </c>
      <c r="Y221">
        <v>47.24</v>
      </c>
      <c r="Z221">
        <v>0.55000000000000004</v>
      </c>
      <c r="AA221">
        <v>3831172874.0339999</v>
      </c>
      <c r="AB221">
        <f>_xlfn.XLOOKUP(E221,[2]generation_steps!$C$2:$C$5101,[2]generation_steps!$G$2:$G$5101)</f>
        <v>3831172874.0339999</v>
      </c>
      <c r="AC221">
        <v>24.310162500000001</v>
      </c>
      <c r="AD221">
        <v>0</v>
      </c>
      <c r="AE221">
        <v>0</v>
      </c>
      <c r="AF221">
        <v>24.310162500000001</v>
      </c>
      <c r="AG221">
        <v>3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</row>
    <row r="222" spans="1:57" x14ac:dyDescent="0.25">
      <c r="A222">
        <v>29</v>
      </c>
      <c r="B222" t="s">
        <v>454</v>
      </c>
      <c r="C222" t="s">
        <v>666</v>
      </c>
      <c r="E222" t="s">
        <v>875</v>
      </c>
      <c r="F222" t="s">
        <v>92</v>
      </c>
      <c r="G222">
        <v>104000000</v>
      </c>
      <c r="H222">
        <v>61.35</v>
      </c>
      <c r="I222" t="s">
        <v>97</v>
      </c>
      <c r="J222">
        <v>5184055.7083399203</v>
      </c>
      <c r="K222">
        <v>4583619.33</v>
      </c>
      <c r="N222">
        <v>4494458.6848484902</v>
      </c>
      <c r="O222">
        <v>25.618568</v>
      </c>
      <c r="P222">
        <v>27.466280000000001</v>
      </c>
      <c r="Q222">
        <v>4454658.176</v>
      </c>
      <c r="R222">
        <v>29.473928000000001</v>
      </c>
      <c r="S222">
        <v>4415337.4227272701</v>
      </c>
      <c r="T222">
        <v>5143482.27414372</v>
      </c>
      <c r="U222" t="s">
        <v>96</v>
      </c>
      <c r="V222" t="s">
        <v>1084</v>
      </c>
      <c r="W222">
        <v>1</v>
      </c>
      <c r="X222">
        <v>64.45</v>
      </c>
      <c r="Y222">
        <v>61.35</v>
      </c>
      <c r="Z222">
        <v>0.6</v>
      </c>
      <c r="AA222">
        <v>3828240000</v>
      </c>
      <c r="AB222">
        <f>_xlfn.XLOOKUP(E222,[2]generation_steps!$C$2:$C$5101,[2]generation_steps!$G$2:$G$5101)</f>
        <v>3828240000</v>
      </c>
      <c r="AC222">
        <v>20.522260630000002</v>
      </c>
      <c r="AD222">
        <v>0</v>
      </c>
      <c r="AE222">
        <v>0</v>
      </c>
      <c r="AF222">
        <v>20.522260630000002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</row>
    <row r="223" spans="1:57" x14ac:dyDescent="0.25">
      <c r="A223">
        <v>1</v>
      </c>
      <c r="B223" t="s">
        <v>320</v>
      </c>
      <c r="C223" t="s">
        <v>348</v>
      </c>
      <c r="E223" t="s">
        <v>376</v>
      </c>
      <c r="F223" t="s">
        <v>93</v>
      </c>
      <c r="G223">
        <v>3132905277</v>
      </c>
      <c r="H223">
        <v>2.3570000000000002</v>
      </c>
      <c r="I223" t="s">
        <v>97</v>
      </c>
      <c r="J223">
        <v>21356336.324447401</v>
      </c>
      <c r="K223">
        <v>38747530.568566702</v>
      </c>
      <c r="N223">
        <v>20226623.759980898</v>
      </c>
      <c r="O223">
        <v>22.946901</v>
      </c>
      <c r="P223">
        <v>24.391618999999999</v>
      </c>
      <c r="Q223">
        <v>20378071.916565001</v>
      </c>
      <c r="R223">
        <v>27.23011</v>
      </c>
      <c r="S223">
        <v>22744137.752378799</v>
      </c>
      <c r="T223">
        <v>26464460.1663213</v>
      </c>
      <c r="U223" t="s">
        <v>96</v>
      </c>
      <c r="V223" t="s">
        <v>405</v>
      </c>
      <c r="W223">
        <v>1</v>
      </c>
      <c r="X223">
        <v>2.2599999999999998</v>
      </c>
      <c r="Y223">
        <v>2.3570000000000002</v>
      </c>
      <c r="Z223">
        <v>0.5</v>
      </c>
      <c r="AA223">
        <v>3692128868.9445</v>
      </c>
      <c r="AB223">
        <f>_xlfn.XLOOKUP(E223,[2]generation_steps!$C$2:$C$5101,[2]generation_steps!$G$2:$G$5101)</f>
        <v>3692128868.9445009</v>
      </c>
      <c r="AC223">
        <v>28.47918125</v>
      </c>
      <c r="AD223">
        <v>0</v>
      </c>
      <c r="AE223">
        <v>0</v>
      </c>
      <c r="AF223">
        <v>28.47918125</v>
      </c>
      <c r="AG223">
        <v>2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1</v>
      </c>
      <c r="BE223" t="b">
        <v>1</v>
      </c>
    </row>
    <row r="224" spans="1:57" x14ac:dyDescent="0.25">
      <c r="A224">
        <v>85</v>
      </c>
      <c r="B224" t="s">
        <v>500</v>
      </c>
      <c r="C224" t="s">
        <v>711</v>
      </c>
      <c r="E224" t="s">
        <v>920</v>
      </c>
      <c r="F224" t="s">
        <v>91</v>
      </c>
      <c r="G224">
        <v>1062984492</v>
      </c>
      <c r="H224">
        <v>13.86</v>
      </c>
      <c r="I224" t="s">
        <v>97</v>
      </c>
      <c r="J224">
        <v>11480625.7327647</v>
      </c>
      <c r="K224">
        <v>8333347.1806666702</v>
      </c>
      <c r="N224">
        <v>8448128.5825757608</v>
      </c>
      <c r="O224">
        <v>30.491682000000001</v>
      </c>
      <c r="P224">
        <v>30.560110000000002</v>
      </c>
      <c r="Q224">
        <v>8446041.7333000004</v>
      </c>
      <c r="R224">
        <v>36.438377000000003</v>
      </c>
      <c r="S224">
        <v>9861011.8649999909</v>
      </c>
      <c r="T224">
        <v>11503476.1689096</v>
      </c>
      <c r="U224" t="s">
        <v>96</v>
      </c>
      <c r="V224" t="s">
        <v>1130</v>
      </c>
      <c r="W224">
        <v>1</v>
      </c>
      <c r="X224">
        <v>14.34</v>
      </c>
      <c r="Y224">
        <v>13.86</v>
      </c>
      <c r="Z224">
        <v>0.25</v>
      </c>
      <c r="AA224">
        <v>3683241264.7800002</v>
      </c>
      <c r="AB224">
        <f>_xlfn.XLOOKUP(E224,[2]generation_steps!$C$2:$C$5101,[2]generation_steps!$G$2:$G$5101)</f>
        <v>3683241264.7800002</v>
      </c>
      <c r="AC224">
        <v>25.314857929999999</v>
      </c>
      <c r="AD224">
        <v>0</v>
      </c>
      <c r="AE224">
        <v>0</v>
      </c>
      <c r="AF224">
        <v>25.314857929999999</v>
      </c>
      <c r="AG224">
        <v>2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</row>
    <row r="225" spans="1:57" x14ac:dyDescent="0.25">
      <c r="A225">
        <v>292</v>
      </c>
      <c r="B225" t="s">
        <v>640</v>
      </c>
      <c r="C225" t="s">
        <v>850</v>
      </c>
      <c r="E225" t="s">
        <v>1059</v>
      </c>
      <c r="F225" t="s">
        <v>92</v>
      </c>
      <c r="G225">
        <v>178549160</v>
      </c>
      <c r="H225">
        <v>34.28</v>
      </c>
      <c r="I225" t="s">
        <v>97</v>
      </c>
      <c r="J225">
        <v>8455710.6622134391</v>
      </c>
      <c r="K225">
        <v>11788075.1613333</v>
      </c>
      <c r="N225">
        <v>8137427.8014393896</v>
      </c>
      <c r="O225">
        <v>30.90596</v>
      </c>
      <c r="P225">
        <v>32.37106</v>
      </c>
      <c r="Q225">
        <v>8725993.3838999905</v>
      </c>
      <c r="R225">
        <v>31.960653000000001</v>
      </c>
      <c r="S225">
        <v>9465144.8883333299</v>
      </c>
      <c r="T225">
        <v>11030886.414287901</v>
      </c>
      <c r="U225" t="s">
        <v>96</v>
      </c>
      <c r="V225" t="s">
        <v>1270</v>
      </c>
      <c r="W225">
        <v>1</v>
      </c>
      <c r="X225">
        <v>38.56</v>
      </c>
      <c r="Y225">
        <v>34.28</v>
      </c>
      <c r="Z225">
        <v>0.6</v>
      </c>
      <c r="AA225">
        <v>3672399122.8800001</v>
      </c>
      <c r="AB225">
        <f>_xlfn.XLOOKUP(E225,[2]generation_steps!$C$2:$C$5101,[2]generation_steps!$G$2:$G$5101)</f>
        <v>3672399122.8800001</v>
      </c>
      <c r="AC225">
        <v>24.90216903</v>
      </c>
      <c r="AD225">
        <v>0</v>
      </c>
      <c r="AE225">
        <v>0</v>
      </c>
      <c r="AF225">
        <v>24.90216903</v>
      </c>
      <c r="AG225">
        <v>2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</row>
    <row r="226" spans="1:57" x14ac:dyDescent="0.25">
      <c r="A226">
        <v>80</v>
      </c>
      <c r="B226" t="s">
        <v>495</v>
      </c>
      <c r="C226" t="s">
        <v>706</v>
      </c>
      <c r="E226" t="s">
        <v>915</v>
      </c>
      <c r="F226" t="s">
        <v>90</v>
      </c>
      <c r="G226">
        <v>3079553200</v>
      </c>
      <c r="H226">
        <v>3.9380000000000002</v>
      </c>
      <c r="I226" t="s">
        <v>97</v>
      </c>
      <c r="J226">
        <v>9923733.9973490201</v>
      </c>
      <c r="K226">
        <v>20217356.2874</v>
      </c>
      <c r="N226">
        <v>12579749.407749999</v>
      </c>
      <c r="O226">
        <v>18.947657</v>
      </c>
      <c r="P226">
        <v>19.294650000000001</v>
      </c>
      <c r="Q226">
        <v>11894046.8763</v>
      </c>
      <c r="R226">
        <v>24.514212000000001</v>
      </c>
      <c r="S226">
        <v>13557306.961575801</v>
      </c>
      <c r="T226">
        <v>15779156.306249</v>
      </c>
      <c r="U226" t="s">
        <v>96</v>
      </c>
      <c r="V226" t="s">
        <v>1125</v>
      </c>
      <c r="W226">
        <v>1</v>
      </c>
      <c r="X226">
        <v>4.17</v>
      </c>
      <c r="Y226">
        <v>3.9380000000000002</v>
      </c>
      <c r="Z226">
        <v>0.3</v>
      </c>
      <c r="AA226">
        <v>3638184150.48</v>
      </c>
      <c r="AB226">
        <f>_xlfn.XLOOKUP(E226,[2]generation_steps!$C$2:$C$5101,[2]generation_steps!$G$2:$G$5101)</f>
        <v>3638184150.48</v>
      </c>
      <c r="AC226">
        <v>17.818165619999998</v>
      </c>
      <c r="AD226">
        <v>0</v>
      </c>
      <c r="AE226">
        <v>0</v>
      </c>
      <c r="AF226">
        <v>17.818165619999998</v>
      </c>
      <c r="AG226">
        <v>2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</row>
    <row r="227" spans="1:57" x14ac:dyDescent="0.25">
      <c r="A227">
        <v>134</v>
      </c>
      <c r="B227" t="s">
        <v>532</v>
      </c>
      <c r="C227" t="s">
        <v>743</v>
      </c>
      <c r="E227" t="s">
        <v>952</v>
      </c>
      <c r="F227" t="s">
        <v>89</v>
      </c>
      <c r="G227">
        <v>76792337</v>
      </c>
      <c r="H227">
        <v>78.8</v>
      </c>
      <c r="I227" t="s">
        <v>97</v>
      </c>
      <c r="J227">
        <v>11583352.9740196</v>
      </c>
      <c r="K227">
        <v>10203922.8333333</v>
      </c>
      <c r="N227">
        <v>11649920.6361742</v>
      </c>
      <c r="O227">
        <v>15.508024000000001</v>
      </c>
      <c r="P227">
        <v>15.294494</v>
      </c>
      <c r="Q227">
        <v>11087050.336750001</v>
      </c>
      <c r="R227">
        <v>19.638895000000002</v>
      </c>
      <c r="S227">
        <v>12136513.163636399</v>
      </c>
      <c r="T227">
        <v>14153034.2508728</v>
      </c>
      <c r="U227" t="s">
        <v>96</v>
      </c>
      <c r="V227" t="s">
        <v>1162</v>
      </c>
      <c r="W227">
        <v>1</v>
      </c>
      <c r="X227">
        <v>79.8</v>
      </c>
      <c r="Y227">
        <v>78.8</v>
      </c>
      <c r="Z227">
        <v>0.60000000000000009</v>
      </c>
      <c r="AA227">
        <v>3630741693.3600011</v>
      </c>
      <c r="AB227">
        <f>_xlfn.XLOOKUP(E227,[2]generation_steps!$C$2:$C$5101,[2]generation_steps!$G$2:$G$5101)</f>
        <v>3630741693.3600001</v>
      </c>
      <c r="AC227">
        <v>9.8726874999999996</v>
      </c>
      <c r="AD227">
        <v>0</v>
      </c>
      <c r="AE227">
        <v>0</v>
      </c>
      <c r="AF227">
        <v>9.8726874999999996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</row>
    <row r="228" spans="1:57" x14ac:dyDescent="0.25">
      <c r="A228">
        <v>43</v>
      </c>
      <c r="B228" t="s">
        <v>465</v>
      </c>
      <c r="C228" t="s">
        <v>677</v>
      </c>
      <c r="E228" t="s">
        <v>886</v>
      </c>
      <c r="F228" t="s">
        <v>93</v>
      </c>
      <c r="G228">
        <v>143254497</v>
      </c>
      <c r="H228">
        <v>33.65</v>
      </c>
      <c r="I228" t="s">
        <v>97</v>
      </c>
      <c r="J228">
        <v>24274357.566527799</v>
      </c>
      <c r="K228">
        <v>76835928.244333595</v>
      </c>
      <c r="N228">
        <v>27019509.310572501</v>
      </c>
      <c r="O228">
        <v>27.528573999999999</v>
      </c>
      <c r="P228">
        <v>28.297772999999999</v>
      </c>
      <c r="Q228">
        <v>28988469.221700002</v>
      </c>
      <c r="R228">
        <v>33.13926</v>
      </c>
      <c r="S228">
        <v>33510024.624924298</v>
      </c>
      <c r="T228">
        <v>39005921.812812701</v>
      </c>
      <c r="U228" t="s">
        <v>96</v>
      </c>
      <c r="V228" t="s">
        <v>1095</v>
      </c>
      <c r="W228">
        <v>1</v>
      </c>
      <c r="X228">
        <v>35.049999999999997</v>
      </c>
      <c r="Y228">
        <v>33.65</v>
      </c>
      <c r="Z228">
        <v>0.75</v>
      </c>
      <c r="AA228">
        <v>3615385368.0374999</v>
      </c>
      <c r="AB228">
        <f>_xlfn.XLOOKUP(E228,[2]generation_steps!$C$2:$C$5101,[2]generation_steps!$G$2:$G$5101)</f>
        <v>3615385368.0375009</v>
      </c>
      <c r="AC228">
        <v>20.126179520000001</v>
      </c>
      <c r="AD228">
        <v>0</v>
      </c>
      <c r="AE228">
        <v>0</v>
      </c>
      <c r="AF228">
        <v>20.126179520000001</v>
      </c>
      <c r="AG228">
        <v>2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</row>
    <row r="229" spans="1:57" x14ac:dyDescent="0.25">
      <c r="A229">
        <v>90</v>
      </c>
      <c r="B229" t="s">
        <v>503</v>
      </c>
      <c r="C229" t="s">
        <v>714</v>
      </c>
      <c r="E229" t="s">
        <v>923</v>
      </c>
      <c r="F229" t="s">
        <v>88</v>
      </c>
      <c r="G229">
        <v>298230930</v>
      </c>
      <c r="H229">
        <v>16.02</v>
      </c>
      <c r="I229" t="s">
        <v>97</v>
      </c>
      <c r="J229">
        <v>20598770.191284601</v>
      </c>
      <c r="K229">
        <v>26293718.397999998</v>
      </c>
      <c r="N229">
        <v>18721885.054166701</v>
      </c>
      <c r="O229">
        <v>53.679752000000001</v>
      </c>
      <c r="P229">
        <v>55.503788</v>
      </c>
      <c r="Q229">
        <v>19592829.702649999</v>
      </c>
      <c r="R229">
        <v>53.647117999999999</v>
      </c>
      <c r="S229">
        <v>19005802.532045498</v>
      </c>
      <c r="T229">
        <v>22147223.294928201</v>
      </c>
      <c r="U229" t="s">
        <v>96</v>
      </c>
      <c r="V229" t="s">
        <v>1133</v>
      </c>
      <c r="W229">
        <v>1</v>
      </c>
      <c r="X229">
        <v>21.69</v>
      </c>
      <c r="Y229">
        <v>16.02</v>
      </c>
      <c r="Z229">
        <v>0.75</v>
      </c>
      <c r="AA229">
        <v>3583244623.9499998</v>
      </c>
      <c r="AB229">
        <f>_xlfn.XLOOKUP(E229,[2]generation_steps!$C$2:$C$5101,[2]generation_steps!$G$2:$G$5101)</f>
        <v>3583244623.9499998</v>
      </c>
      <c r="AC229">
        <v>21.724184619999999</v>
      </c>
      <c r="AD229">
        <v>0</v>
      </c>
      <c r="AE229">
        <v>0</v>
      </c>
      <c r="AF229">
        <v>21.724184619999999</v>
      </c>
      <c r="AG229">
        <v>3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</row>
    <row r="230" spans="1:57" x14ac:dyDescent="0.25">
      <c r="A230">
        <v>153</v>
      </c>
      <c r="B230" t="s">
        <v>331</v>
      </c>
      <c r="C230" t="s">
        <v>359</v>
      </c>
      <c r="E230" t="s">
        <v>387</v>
      </c>
      <c r="F230" t="s">
        <v>90</v>
      </c>
      <c r="G230">
        <v>176654400</v>
      </c>
      <c r="H230">
        <v>45.06</v>
      </c>
      <c r="I230" t="s">
        <v>97</v>
      </c>
      <c r="J230">
        <v>29629564.182098001</v>
      </c>
      <c r="K230">
        <v>38603396.063666701</v>
      </c>
      <c r="N230">
        <v>35811037.666174203</v>
      </c>
      <c r="O230">
        <v>38.426051999999999</v>
      </c>
      <c r="P230">
        <v>36.721539999999997</v>
      </c>
      <c r="Q230">
        <v>33961984.443149999</v>
      </c>
      <c r="R230">
        <v>38.923267000000003</v>
      </c>
      <c r="S230">
        <v>35652333.819621198</v>
      </c>
      <c r="T230">
        <v>41510373.511022203</v>
      </c>
      <c r="U230" t="s">
        <v>96</v>
      </c>
      <c r="V230" t="s">
        <v>416</v>
      </c>
      <c r="W230">
        <v>1</v>
      </c>
      <c r="X230">
        <v>46.26</v>
      </c>
      <c r="Y230">
        <v>45.06</v>
      </c>
      <c r="Z230">
        <v>0.45</v>
      </c>
      <c r="AA230">
        <v>3582021268.8000002</v>
      </c>
      <c r="AB230">
        <f>_xlfn.XLOOKUP(E230,[2]generation_steps!$C$2:$C$5101,[2]generation_steps!$G$2:$G$5101)</f>
        <v>3582021268.8000002</v>
      </c>
      <c r="AC230">
        <v>11.39230375</v>
      </c>
      <c r="AD230">
        <v>0</v>
      </c>
      <c r="AE230">
        <v>0</v>
      </c>
      <c r="AF230">
        <v>11.39230375</v>
      </c>
      <c r="AG230">
        <v>2</v>
      </c>
      <c r="AH230">
        <v>3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1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1</v>
      </c>
    </row>
    <row r="231" spans="1:57" x14ac:dyDescent="0.25">
      <c r="A231">
        <v>269</v>
      </c>
      <c r="B231" t="s">
        <v>627</v>
      </c>
      <c r="C231" t="s">
        <v>837</v>
      </c>
      <c r="E231" t="s">
        <v>1046</v>
      </c>
      <c r="F231" t="s">
        <v>89</v>
      </c>
      <c r="G231">
        <v>59874365</v>
      </c>
      <c r="H231">
        <v>59.8</v>
      </c>
      <c r="I231" t="s">
        <v>97</v>
      </c>
      <c r="J231">
        <v>22199564.112274501</v>
      </c>
      <c r="K231">
        <v>16786188.517333299</v>
      </c>
      <c r="N231">
        <v>21776180.518939398</v>
      </c>
      <c r="O231">
        <v>48.367710000000002</v>
      </c>
      <c r="P231">
        <v>46.278744000000003</v>
      </c>
      <c r="Q231">
        <v>19922656.467099998</v>
      </c>
      <c r="R231">
        <v>45.176673999999998</v>
      </c>
      <c r="S231">
        <v>18222941.307121199</v>
      </c>
      <c r="T231">
        <v>21258459.807868101</v>
      </c>
      <c r="U231" t="s">
        <v>96</v>
      </c>
      <c r="V231" t="s">
        <v>1257</v>
      </c>
      <c r="W231">
        <v>1</v>
      </c>
      <c r="X231">
        <v>60.1</v>
      </c>
      <c r="Y231">
        <v>59.8</v>
      </c>
      <c r="Z231">
        <v>1</v>
      </c>
      <c r="AA231">
        <v>3580487027</v>
      </c>
      <c r="AB231">
        <f>_xlfn.XLOOKUP(E231,[2]generation_steps!$C$2:$C$5101,[2]generation_steps!$G$2:$G$5101)</f>
        <v>3580487027</v>
      </c>
      <c r="AC231">
        <v>12.2392</v>
      </c>
      <c r="AD231">
        <v>0</v>
      </c>
      <c r="AE231">
        <v>0</v>
      </c>
      <c r="AF231">
        <v>12.2392</v>
      </c>
      <c r="AG231">
        <v>2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</row>
    <row r="232" spans="1:57" x14ac:dyDescent="0.25">
      <c r="A232">
        <v>12</v>
      </c>
      <c r="B232" t="s">
        <v>443</v>
      </c>
      <c r="C232" t="s">
        <v>655</v>
      </c>
      <c r="E232" t="s">
        <v>864</v>
      </c>
      <c r="F232" t="s">
        <v>89</v>
      </c>
      <c r="G232">
        <v>98960602</v>
      </c>
      <c r="H232">
        <v>120.5</v>
      </c>
      <c r="I232" t="s">
        <v>97</v>
      </c>
      <c r="J232">
        <v>10553959.6384314</v>
      </c>
      <c r="K232">
        <v>7949613.7533333302</v>
      </c>
      <c r="N232">
        <v>9938521.4935605992</v>
      </c>
      <c r="O232">
        <v>22.798660000000002</v>
      </c>
      <c r="P232">
        <v>21.999624000000001</v>
      </c>
      <c r="Q232">
        <v>8955430.1135000009</v>
      </c>
      <c r="R232">
        <v>22.367429999999999</v>
      </c>
      <c r="S232">
        <v>8833649.3098484799</v>
      </c>
      <c r="T232">
        <v>10291722.1112567</v>
      </c>
      <c r="U232" t="s">
        <v>96</v>
      </c>
      <c r="V232" t="s">
        <v>1073</v>
      </c>
      <c r="W232">
        <v>1</v>
      </c>
      <c r="X232">
        <v>129.5</v>
      </c>
      <c r="Y232">
        <v>120.5</v>
      </c>
      <c r="Z232">
        <v>0.3</v>
      </c>
      <c r="AA232">
        <v>3577425762.3000011</v>
      </c>
      <c r="AB232">
        <f>_xlfn.XLOOKUP(E232,[2]generation_steps!$C$2:$C$5101,[2]generation_steps!$G$2:$G$5101)</f>
        <v>3577425762.3000002</v>
      </c>
      <c r="AC232">
        <v>20.39825063</v>
      </c>
      <c r="AD232">
        <v>0</v>
      </c>
      <c r="AE232">
        <v>0</v>
      </c>
      <c r="AF232">
        <v>20.39825063</v>
      </c>
      <c r="AG232">
        <v>2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</row>
    <row r="233" spans="1:57" x14ac:dyDescent="0.25">
      <c r="A233">
        <v>101</v>
      </c>
      <c r="B233" t="s">
        <v>508</v>
      </c>
      <c r="C233" t="s">
        <v>719</v>
      </c>
      <c r="E233" t="s">
        <v>928</v>
      </c>
      <c r="F233" t="s">
        <v>404</v>
      </c>
      <c r="G233">
        <v>1051033116</v>
      </c>
      <c r="H233">
        <v>11.29</v>
      </c>
      <c r="I233" t="s">
        <v>97</v>
      </c>
      <c r="J233">
        <v>13247506.448421599</v>
      </c>
      <c r="K233">
        <v>15077442.970000001</v>
      </c>
      <c r="N233">
        <v>14145309.662689401</v>
      </c>
      <c r="O233">
        <v>33.044469999999997</v>
      </c>
      <c r="P233">
        <v>33.367503999999997</v>
      </c>
      <c r="Q233">
        <v>14137698.835899999</v>
      </c>
      <c r="R233">
        <v>37.852108000000001</v>
      </c>
      <c r="S233">
        <v>15758458.252045499</v>
      </c>
      <c r="T233">
        <v>18368607.126767401</v>
      </c>
      <c r="U233" t="s">
        <v>96</v>
      </c>
      <c r="V233" t="s">
        <v>1138</v>
      </c>
      <c r="W233">
        <v>1</v>
      </c>
      <c r="X233">
        <v>11.73</v>
      </c>
      <c r="Y233">
        <v>11.29</v>
      </c>
      <c r="Z233">
        <v>0.3</v>
      </c>
      <c r="AA233">
        <v>3559849163.8920012</v>
      </c>
      <c r="AB233">
        <f>_xlfn.XLOOKUP(E233,[2]generation_steps!$C$2:$C$5101,[2]generation_steps!$G$2:$G$5101)</f>
        <v>3559849163.8920002</v>
      </c>
      <c r="AC233">
        <v>14.528235</v>
      </c>
      <c r="AD233">
        <v>0</v>
      </c>
      <c r="AE233">
        <v>0</v>
      </c>
      <c r="AF233">
        <v>14.528235</v>
      </c>
      <c r="AG233">
        <v>3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</row>
    <row r="234" spans="1:57" x14ac:dyDescent="0.25">
      <c r="A234">
        <v>257</v>
      </c>
      <c r="B234" t="s">
        <v>615</v>
      </c>
      <c r="C234" t="s">
        <v>825</v>
      </c>
      <c r="E234" t="s">
        <v>1034</v>
      </c>
      <c r="F234" t="s">
        <v>94</v>
      </c>
      <c r="G234">
        <v>36696428</v>
      </c>
      <c r="H234">
        <v>239.4</v>
      </c>
      <c r="I234" t="s">
        <v>97</v>
      </c>
      <c r="J234">
        <v>6412336.5356862703</v>
      </c>
      <c r="K234">
        <v>5008298.1533333296</v>
      </c>
      <c r="N234">
        <v>7362866.2477272702</v>
      </c>
      <c r="O234">
        <v>23.716707</v>
      </c>
      <c r="P234">
        <v>22.835101999999999</v>
      </c>
      <c r="Q234">
        <v>6513028.9910000004</v>
      </c>
      <c r="R234">
        <v>28.086082000000001</v>
      </c>
      <c r="S234">
        <v>6959841.2666666601</v>
      </c>
      <c r="T234">
        <v>8116989.2840193398</v>
      </c>
      <c r="U234" t="s">
        <v>96</v>
      </c>
      <c r="V234" t="s">
        <v>1245</v>
      </c>
      <c r="W234">
        <v>1</v>
      </c>
      <c r="X234">
        <v>242.2</v>
      </c>
      <c r="Y234">
        <v>239.4</v>
      </c>
      <c r="Z234">
        <v>0.4</v>
      </c>
      <c r="AA234">
        <v>3514049945.2800002</v>
      </c>
      <c r="AB234">
        <f>_xlfn.XLOOKUP(E234,[2]generation_steps!$C$2:$C$5101,[2]generation_steps!$G$2:$G$5101)</f>
        <v>3514049945.2800012</v>
      </c>
      <c r="AC234">
        <v>10.94545553</v>
      </c>
      <c r="AD234">
        <v>0</v>
      </c>
      <c r="AE234">
        <v>0</v>
      </c>
      <c r="AF234">
        <v>10.94545553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</row>
    <row r="235" spans="1:57" x14ac:dyDescent="0.25">
      <c r="A235">
        <v>116</v>
      </c>
      <c r="B235" t="s">
        <v>517</v>
      </c>
      <c r="C235" t="s">
        <v>728</v>
      </c>
      <c r="E235" t="s">
        <v>937</v>
      </c>
      <c r="F235" t="s">
        <v>88</v>
      </c>
      <c r="G235">
        <v>466000000</v>
      </c>
      <c r="H235">
        <v>13.42</v>
      </c>
      <c r="I235" t="s">
        <v>97</v>
      </c>
      <c r="J235">
        <v>19245390.199930798</v>
      </c>
      <c r="K235">
        <v>16687116.4453333</v>
      </c>
      <c r="N235">
        <v>17796055.2553409</v>
      </c>
      <c r="O235">
        <v>22.044218000000001</v>
      </c>
      <c r="P235">
        <v>22.089366999999999</v>
      </c>
      <c r="Q235">
        <v>17228422.303300001</v>
      </c>
      <c r="R235">
        <v>24.008251000000001</v>
      </c>
      <c r="S235">
        <v>17318615.341060601</v>
      </c>
      <c r="T235">
        <v>20192181.8741065</v>
      </c>
      <c r="U235" t="s">
        <v>96</v>
      </c>
      <c r="V235" t="s">
        <v>1147</v>
      </c>
      <c r="W235">
        <v>1</v>
      </c>
      <c r="X235">
        <v>13.27</v>
      </c>
      <c r="Y235">
        <v>13.42</v>
      </c>
      <c r="Z235">
        <v>0.55000000000000004</v>
      </c>
      <c r="AA235">
        <v>3439546000</v>
      </c>
      <c r="AB235">
        <f>_xlfn.XLOOKUP(E235,[2]generation_steps!$C$2:$C$5101,[2]generation_steps!$G$2:$G$5101)</f>
        <v>3439546000</v>
      </c>
      <c r="AC235">
        <v>25.833694999999999</v>
      </c>
      <c r="AD235">
        <v>0</v>
      </c>
      <c r="AE235">
        <v>0</v>
      </c>
      <c r="AF235">
        <v>25.833694999999999</v>
      </c>
      <c r="AG235">
        <v>2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</row>
    <row r="236" spans="1:57" x14ac:dyDescent="0.25">
      <c r="A236">
        <v>277</v>
      </c>
      <c r="B236" t="s">
        <v>632</v>
      </c>
      <c r="C236" t="s">
        <v>842</v>
      </c>
      <c r="E236" t="s">
        <v>1051</v>
      </c>
      <c r="F236" t="s">
        <v>88</v>
      </c>
      <c r="G236">
        <v>507431033</v>
      </c>
      <c r="H236">
        <v>7.5220000000000002</v>
      </c>
      <c r="I236" t="s">
        <v>97</v>
      </c>
      <c r="J236">
        <v>28547525.021201599</v>
      </c>
      <c r="K236">
        <v>18767610.085866701</v>
      </c>
      <c r="N236">
        <v>25385583.332401499</v>
      </c>
      <c r="O236">
        <v>39.116990000000001</v>
      </c>
      <c r="P236">
        <v>32.453682000000001</v>
      </c>
      <c r="Q236">
        <v>22642682.268399999</v>
      </c>
      <c r="R236">
        <v>41.361412000000001</v>
      </c>
      <c r="S236">
        <v>18388114.4051667</v>
      </c>
      <c r="T236">
        <v>21443974.599983901</v>
      </c>
      <c r="U236" t="s">
        <v>96</v>
      </c>
      <c r="V236" t="s">
        <v>1262</v>
      </c>
      <c r="W236">
        <v>1</v>
      </c>
      <c r="X236">
        <v>8.99</v>
      </c>
      <c r="Y236">
        <v>7.5220000000000002</v>
      </c>
      <c r="Z236">
        <v>0.9</v>
      </c>
      <c r="AA236">
        <v>3435206607.2034001</v>
      </c>
      <c r="AB236">
        <f>_xlfn.XLOOKUP(E236,[2]generation_steps!$C$2:$C$5101,[2]generation_steps!$G$2:$G$5101)</f>
        <v>3435206607.2034001</v>
      </c>
      <c r="AC236">
        <v>27.041824999999999</v>
      </c>
      <c r="AD236">
        <v>0</v>
      </c>
      <c r="AE236">
        <v>0</v>
      </c>
      <c r="AF236">
        <v>27.041824999999999</v>
      </c>
      <c r="AG236">
        <v>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</row>
    <row r="237" spans="1:57" x14ac:dyDescent="0.25">
      <c r="A237">
        <v>157</v>
      </c>
      <c r="B237" t="s">
        <v>546</v>
      </c>
      <c r="C237" t="s">
        <v>757</v>
      </c>
      <c r="E237" t="s">
        <v>966</v>
      </c>
      <c r="F237" t="s">
        <v>93</v>
      </c>
      <c r="G237">
        <v>108879294</v>
      </c>
      <c r="H237">
        <v>41.74</v>
      </c>
      <c r="I237" t="s">
        <v>97</v>
      </c>
      <c r="J237">
        <v>10958035.246587301</v>
      </c>
      <c r="K237">
        <v>10379469.778000001</v>
      </c>
      <c r="N237">
        <v>10260315.134274799</v>
      </c>
      <c r="O237">
        <v>28.323316999999999</v>
      </c>
      <c r="P237">
        <v>29.572099999999999</v>
      </c>
      <c r="Q237">
        <v>10317370.0384</v>
      </c>
      <c r="R237">
        <v>32.767445000000002</v>
      </c>
      <c r="S237">
        <v>9719437.5242424197</v>
      </c>
      <c r="T237">
        <v>11316306.7015</v>
      </c>
      <c r="U237" t="s">
        <v>96</v>
      </c>
      <c r="V237" t="s">
        <v>1176</v>
      </c>
      <c r="W237">
        <v>1</v>
      </c>
      <c r="X237">
        <v>46.82</v>
      </c>
      <c r="Y237">
        <v>41.74</v>
      </c>
      <c r="Z237">
        <v>0.75</v>
      </c>
      <c r="AA237">
        <v>3408466298.6700001</v>
      </c>
      <c r="AB237">
        <f>_xlfn.XLOOKUP(E237,[2]generation_steps!$C$2:$C$5101,[2]generation_steps!$G$2:$G$5101)</f>
        <v>3408466298.6700001</v>
      </c>
      <c r="AC237">
        <v>30.89155938</v>
      </c>
      <c r="AD237">
        <v>0</v>
      </c>
      <c r="AE237">
        <v>0</v>
      </c>
      <c r="AF237">
        <v>30.89155938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</row>
    <row r="238" spans="1:57" x14ac:dyDescent="0.25">
      <c r="A238">
        <v>73</v>
      </c>
      <c r="B238" t="s">
        <v>488</v>
      </c>
      <c r="C238" t="s">
        <v>700</v>
      </c>
      <c r="E238" t="s">
        <v>909</v>
      </c>
      <c r="F238" t="s">
        <v>93</v>
      </c>
      <c r="G238">
        <v>1231267738</v>
      </c>
      <c r="H238">
        <v>5.5279999999999996</v>
      </c>
      <c r="I238" t="s">
        <v>97</v>
      </c>
      <c r="J238">
        <v>43642221.788817503</v>
      </c>
      <c r="K238">
        <v>38314146.117933303</v>
      </c>
      <c r="N238">
        <v>40881608.302076302</v>
      </c>
      <c r="O238">
        <v>34.090781999999997</v>
      </c>
      <c r="P238">
        <v>33.99033</v>
      </c>
      <c r="Q238">
        <v>40839650.455150001</v>
      </c>
      <c r="R238">
        <v>34.774833999999998</v>
      </c>
      <c r="S238">
        <v>40209536.571939401</v>
      </c>
      <c r="T238">
        <v>46839594.640638903</v>
      </c>
      <c r="U238" t="s">
        <v>96</v>
      </c>
      <c r="V238" t="s">
        <v>1118</v>
      </c>
      <c r="W238">
        <v>1</v>
      </c>
      <c r="X238">
        <v>5.83</v>
      </c>
      <c r="Y238">
        <v>5.5279999999999996</v>
      </c>
      <c r="Z238">
        <v>0.5</v>
      </c>
      <c r="AA238">
        <v>3403224027.8319998</v>
      </c>
      <c r="AB238">
        <f>_xlfn.XLOOKUP(E238,[2]generation_steps!$C$2:$C$5101,[2]generation_steps!$G$2:$G$5101)</f>
        <v>3403224027.8319998</v>
      </c>
      <c r="AC238">
        <v>19.3584475</v>
      </c>
      <c r="AD238">
        <v>0</v>
      </c>
      <c r="AE238">
        <v>0</v>
      </c>
      <c r="AF238">
        <v>19.3584475</v>
      </c>
      <c r="AG238">
        <v>2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</row>
    <row r="239" spans="1:57" x14ac:dyDescent="0.25">
      <c r="A239">
        <v>146</v>
      </c>
      <c r="B239" t="s">
        <v>541</v>
      </c>
      <c r="C239" t="s">
        <v>752</v>
      </c>
      <c r="E239" t="s">
        <v>961</v>
      </c>
      <c r="F239" t="s">
        <v>93</v>
      </c>
      <c r="G239">
        <v>1489538745</v>
      </c>
      <c r="H239">
        <v>4.1180000000000003</v>
      </c>
      <c r="I239" t="s">
        <v>97</v>
      </c>
      <c r="J239">
        <v>11439630.743194399</v>
      </c>
      <c r="K239">
        <v>16041576.7914</v>
      </c>
      <c r="N239">
        <v>10737129.005931299</v>
      </c>
      <c r="O239">
        <v>15.115721000000001</v>
      </c>
      <c r="P239">
        <v>14.615188</v>
      </c>
      <c r="Q239">
        <v>10394722.95861</v>
      </c>
      <c r="R239">
        <v>19.539507</v>
      </c>
      <c r="S239">
        <v>10674701.3799091</v>
      </c>
      <c r="T239">
        <v>12427795.170078401</v>
      </c>
      <c r="U239" t="s">
        <v>96</v>
      </c>
      <c r="V239" t="s">
        <v>1171</v>
      </c>
      <c r="W239">
        <v>1</v>
      </c>
      <c r="X239">
        <v>3.9660000000000002</v>
      </c>
      <c r="Y239">
        <v>4.1180000000000003</v>
      </c>
      <c r="Z239">
        <v>0.55000000000000004</v>
      </c>
      <c r="AA239">
        <v>3373656303.5505009</v>
      </c>
      <c r="AB239">
        <f>_xlfn.XLOOKUP(E239,[2]generation_steps!$C$2:$C$5101,[2]generation_steps!$G$2:$G$5101)</f>
        <v>3373656303.5505009</v>
      </c>
      <c r="AC239">
        <v>28.205146280000001</v>
      </c>
      <c r="AD239">
        <v>0</v>
      </c>
      <c r="AE239">
        <v>0</v>
      </c>
      <c r="AF239">
        <v>28.205146280000001</v>
      </c>
      <c r="AG239">
        <v>2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</row>
    <row r="240" spans="1:57" x14ac:dyDescent="0.25">
      <c r="A240">
        <v>40</v>
      </c>
      <c r="B240" t="s">
        <v>463</v>
      </c>
      <c r="C240" t="s">
        <v>675</v>
      </c>
      <c r="E240" t="s">
        <v>884</v>
      </c>
      <c r="F240" t="s">
        <v>88</v>
      </c>
      <c r="G240">
        <v>220337920</v>
      </c>
      <c r="H240">
        <v>23.4</v>
      </c>
      <c r="I240" t="s">
        <v>97</v>
      </c>
      <c r="J240">
        <v>9169638.1167984195</v>
      </c>
      <c r="K240">
        <v>15974745.266666699</v>
      </c>
      <c r="N240">
        <v>9007107.1643939391</v>
      </c>
      <c r="O240">
        <v>41.824620000000003</v>
      </c>
      <c r="P240">
        <v>39.563389999999998</v>
      </c>
      <c r="Q240">
        <v>9339027.2872000001</v>
      </c>
      <c r="R240">
        <v>51.675902999999998</v>
      </c>
      <c r="S240">
        <v>10470942.9709091</v>
      </c>
      <c r="T240">
        <v>12181076.340442801</v>
      </c>
      <c r="U240" t="s">
        <v>96</v>
      </c>
      <c r="V240" t="s">
        <v>1093</v>
      </c>
      <c r="W240">
        <v>1</v>
      </c>
      <c r="X240">
        <v>26.66</v>
      </c>
      <c r="Y240">
        <v>23.4</v>
      </c>
      <c r="Z240">
        <v>0.65</v>
      </c>
      <c r="AA240">
        <v>3351339763.1999998</v>
      </c>
      <c r="AB240">
        <f>_xlfn.XLOOKUP(E240,[2]generation_steps!$C$2:$C$5101,[2]generation_steps!$G$2:$G$5101)</f>
        <v>3351339763.1999998</v>
      </c>
      <c r="AC240">
        <v>11.78565</v>
      </c>
      <c r="AD240">
        <v>0</v>
      </c>
      <c r="AE240">
        <v>0</v>
      </c>
      <c r="AF240">
        <v>11.78565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</row>
    <row r="241" spans="1:57" x14ac:dyDescent="0.25">
      <c r="A241">
        <v>106</v>
      </c>
      <c r="B241" t="s">
        <v>513</v>
      </c>
      <c r="C241" t="s">
        <v>724</v>
      </c>
      <c r="E241" t="s">
        <v>933</v>
      </c>
      <c r="F241" t="s">
        <v>90</v>
      </c>
      <c r="G241">
        <v>261990080</v>
      </c>
      <c r="H241">
        <v>14.06</v>
      </c>
      <c r="I241" t="s">
        <v>97</v>
      </c>
      <c r="J241">
        <v>12742226.241860799</v>
      </c>
      <c r="K241">
        <v>11957999.3945667</v>
      </c>
      <c r="N241">
        <v>11002104.072246199</v>
      </c>
      <c r="O241">
        <v>13.894174</v>
      </c>
      <c r="P241">
        <v>12.881824</v>
      </c>
      <c r="Q241">
        <v>10271571.257785</v>
      </c>
      <c r="R241">
        <v>17.311222000000001</v>
      </c>
      <c r="S241">
        <v>10726324.909446999</v>
      </c>
      <c r="T241">
        <v>12497925.8644452</v>
      </c>
      <c r="U241" t="s">
        <v>96</v>
      </c>
      <c r="V241" t="s">
        <v>1143</v>
      </c>
      <c r="W241">
        <v>1</v>
      </c>
      <c r="X241">
        <v>13.44</v>
      </c>
      <c r="Y241">
        <v>14.06</v>
      </c>
      <c r="Z241">
        <v>0.9</v>
      </c>
      <c r="AA241">
        <v>3315222472.3200002</v>
      </c>
      <c r="AB241">
        <f>_xlfn.XLOOKUP(E241,[2]generation_steps!$C$2:$C$5101,[2]generation_steps!$G$2:$G$5101)</f>
        <v>3315222472.3200002</v>
      </c>
      <c r="AC241">
        <v>15.68571178</v>
      </c>
      <c r="AD241">
        <v>0</v>
      </c>
      <c r="AE241">
        <v>0</v>
      </c>
      <c r="AF241">
        <v>15.68571178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</row>
    <row r="242" spans="1:57" x14ac:dyDescent="0.25">
      <c r="A242">
        <v>205</v>
      </c>
      <c r="B242" t="s">
        <v>582</v>
      </c>
      <c r="C242" t="s">
        <v>792</v>
      </c>
      <c r="E242" t="s">
        <v>1001</v>
      </c>
      <c r="F242" t="s">
        <v>88</v>
      </c>
      <c r="G242">
        <v>236450360</v>
      </c>
      <c r="H242">
        <v>25.48</v>
      </c>
      <c r="I242" t="s">
        <v>97</v>
      </c>
      <c r="J242">
        <v>13104563.380336</v>
      </c>
      <c r="K242">
        <v>14408179.354666701</v>
      </c>
      <c r="N242">
        <v>12873541.8443182</v>
      </c>
      <c r="O242">
        <v>47.236719999999998</v>
      </c>
      <c r="P242">
        <v>49.733604</v>
      </c>
      <c r="Q242">
        <v>13862075.6271</v>
      </c>
      <c r="R242">
        <v>44.723419999999997</v>
      </c>
      <c r="S242">
        <v>13775861.410606099</v>
      </c>
      <c r="T242">
        <v>16046482.3012782</v>
      </c>
      <c r="U242" t="s">
        <v>96</v>
      </c>
      <c r="V242" t="s">
        <v>1212</v>
      </c>
      <c r="W242">
        <v>1</v>
      </c>
      <c r="X242">
        <v>29.18</v>
      </c>
      <c r="Y242">
        <v>25.48</v>
      </c>
      <c r="Z242">
        <v>0.55000000000000004</v>
      </c>
      <c r="AA242">
        <v>3313615345.04</v>
      </c>
      <c r="AB242">
        <f>_xlfn.XLOOKUP(E242,[2]generation_steps!$C$2:$C$5101,[2]generation_steps!$G$2:$G$5101)</f>
        <v>3313615345.04</v>
      </c>
      <c r="AC242">
        <v>20.510333620000001</v>
      </c>
      <c r="AD242">
        <v>0</v>
      </c>
      <c r="AE242">
        <v>0</v>
      </c>
      <c r="AF242">
        <v>20.510333620000001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</row>
    <row r="243" spans="1:57" x14ac:dyDescent="0.25">
      <c r="A243">
        <v>127</v>
      </c>
      <c r="B243" t="s">
        <v>525</v>
      </c>
      <c r="C243" t="s">
        <v>736</v>
      </c>
      <c r="E243" t="s">
        <v>945</v>
      </c>
      <c r="F243" t="s">
        <v>88</v>
      </c>
      <c r="G243">
        <v>118900600</v>
      </c>
      <c r="H243">
        <v>27.42</v>
      </c>
      <c r="I243" t="s">
        <v>97</v>
      </c>
      <c r="J243">
        <v>9974345.1520553306</v>
      </c>
      <c r="K243">
        <v>8157888.5839999998</v>
      </c>
      <c r="N243">
        <v>9286912.9539393894</v>
      </c>
      <c r="O243">
        <v>17.828832999999999</v>
      </c>
      <c r="P243">
        <v>17.450039</v>
      </c>
      <c r="Q243">
        <v>7700819.4160000002</v>
      </c>
      <c r="R243">
        <v>28.750064999999999</v>
      </c>
      <c r="S243">
        <v>7515490.9859090904</v>
      </c>
      <c r="T243">
        <v>8758389.5432763994</v>
      </c>
      <c r="U243" t="s">
        <v>96</v>
      </c>
      <c r="V243" t="s">
        <v>1155</v>
      </c>
      <c r="W243">
        <v>1</v>
      </c>
      <c r="X243">
        <v>28.86</v>
      </c>
      <c r="Y243">
        <v>27.42</v>
      </c>
      <c r="Z243">
        <v>1</v>
      </c>
      <c r="AA243">
        <v>3260254452</v>
      </c>
      <c r="AB243">
        <f>_xlfn.XLOOKUP(E243,[2]generation_steps!$C$2:$C$5101,[2]generation_steps!$G$2:$G$5101)</f>
        <v>3260254452</v>
      </c>
      <c r="AC243">
        <v>24.589736250000001</v>
      </c>
      <c r="AD243">
        <v>0</v>
      </c>
      <c r="AE243">
        <v>0</v>
      </c>
      <c r="AF243">
        <v>24.589736250000001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</row>
    <row r="244" spans="1:57" x14ac:dyDescent="0.25">
      <c r="A244">
        <v>221</v>
      </c>
      <c r="B244" t="s">
        <v>594</v>
      </c>
      <c r="C244" t="s">
        <v>804</v>
      </c>
      <c r="E244" t="s">
        <v>1013</v>
      </c>
      <c r="F244" t="s">
        <v>91</v>
      </c>
      <c r="G244">
        <v>175977424</v>
      </c>
      <c r="H244">
        <v>33.57</v>
      </c>
      <c r="I244" t="s">
        <v>97</v>
      </c>
      <c r="J244">
        <v>16158247.779843099</v>
      </c>
      <c r="K244">
        <v>10795778.7493333</v>
      </c>
      <c r="N244">
        <v>14380986.8412879</v>
      </c>
      <c r="O244">
        <v>26.435886</v>
      </c>
      <c r="P244">
        <v>25.112425000000002</v>
      </c>
      <c r="Q244">
        <v>14455387.09715</v>
      </c>
      <c r="R244">
        <v>32.717776999999998</v>
      </c>
      <c r="S244">
        <v>14145529.173257601</v>
      </c>
      <c r="T244">
        <v>16491483.172831999</v>
      </c>
      <c r="U244" t="s">
        <v>96</v>
      </c>
      <c r="V244" t="s">
        <v>1224</v>
      </c>
      <c r="W244">
        <v>1</v>
      </c>
      <c r="X244">
        <v>32.549999999999997</v>
      </c>
      <c r="Y244">
        <v>33.57</v>
      </c>
      <c r="Z244">
        <v>0.55000000000000004</v>
      </c>
      <c r="AA244">
        <v>3249159168.0240002</v>
      </c>
      <c r="AB244">
        <f>_xlfn.XLOOKUP(E244,[2]generation_steps!$C$2:$C$5101,[2]generation_steps!$G$2:$G$5101)</f>
        <v>3249159168.0240011</v>
      </c>
      <c r="AC244">
        <v>7.6025937499999996</v>
      </c>
      <c r="AD244">
        <v>0</v>
      </c>
      <c r="AE244">
        <v>0</v>
      </c>
      <c r="AF244">
        <v>7.6025937499999996</v>
      </c>
      <c r="AG244">
        <v>2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</row>
    <row r="245" spans="1:57" x14ac:dyDescent="0.25">
      <c r="A245">
        <v>162</v>
      </c>
      <c r="B245" t="s">
        <v>332</v>
      </c>
      <c r="C245" t="s">
        <v>360</v>
      </c>
      <c r="E245" t="s">
        <v>388</v>
      </c>
      <c r="F245" t="s">
        <v>93</v>
      </c>
      <c r="G245">
        <v>271215400</v>
      </c>
      <c r="H245">
        <v>18.295000000000002</v>
      </c>
      <c r="I245" t="s">
        <v>97</v>
      </c>
      <c r="J245">
        <v>37869729.092462301</v>
      </c>
      <c r="K245">
        <v>24668736.057333302</v>
      </c>
      <c r="N245">
        <v>38485106.009828202</v>
      </c>
      <c r="O245">
        <v>29.714762</v>
      </c>
      <c r="P245">
        <v>30.119679999999999</v>
      </c>
      <c r="Q245">
        <v>40731027.871250004</v>
      </c>
      <c r="R245">
        <v>35.903779999999998</v>
      </c>
      <c r="S245">
        <v>27121194.128636401</v>
      </c>
      <c r="T245">
        <v>31619089.749928098</v>
      </c>
      <c r="U245" t="s">
        <v>96</v>
      </c>
      <c r="V245" t="s">
        <v>417</v>
      </c>
      <c r="W245">
        <v>1</v>
      </c>
      <c r="X245">
        <v>18.75</v>
      </c>
      <c r="Y245">
        <v>18.295000000000002</v>
      </c>
      <c r="Z245">
        <v>0.65</v>
      </c>
      <c r="AA245">
        <v>3225225732.9499998</v>
      </c>
      <c r="AB245">
        <f>_xlfn.XLOOKUP(E245,[2]generation_steps!$C$2:$C$5101,[2]generation_steps!$G$2:$G$5101)</f>
        <v>3225225732.9499998</v>
      </c>
      <c r="AC245">
        <v>20.56444969</v>
      </c>
      <c r="AD245">
        <v>0</v>
      </c>
      <c r="AE245">
        <v>0</v>
      </c>
      <c r="AF245">
        <v>20.56444969</v>
      </c>
      <c r="AG245">
        <v>3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t="b">
        <v>0</v>
      </c>
      <c r="AS245" t="b">
        <v>0</v>
      </c>
      <c r="AT245" t="b">
        <v>0</v>
      </c>
      <c r="AU245" t="b">
        <v>1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1</v>
      </c>
    </row>
    <row r="246" spans="1:57" x14ac:dyDescent="0.25">
      <c r="A246">
        <v>222</v>
      </c>
      <c r="B246" t="s">
        <v>595</v>
      </c>
      <c r="C246" t="s">
        <v>805</v>
      </c>
      <c r="E246" t="s">
        <v>1014</v>
      </c>
      <c r="F246" t="s">
        <v>88</v>
      </c>
      <c r="G246">
        <v>11370000</v>
      </c>
      <c r="H246">
        <v>620</v>
      </c>
      <c r="I246" t="s">
        <v>97</v>
      </c>
      <c r="J246">
        <v>8593125.8438735195</v>
      </c>
      <c r="K246">
        <v>7248253.13333333</v>
      </c>
      <c r="N246">
        <v>6844649.0757575799</v>
      </c>
      <c r="O246">
        <v>25.448097000000001</v>
      </c>
      <c r="P246">
        <v>26.768597</v>
      </c>
      <c r="Q246">
        <v>6372641.7649999997</v>
      </c>
      <c r="R246">
        <v>26.633253</v>
      </c>
      <c r="S246">
        <v>7049536.3977272697</v>
      </c>
      <c r="T246">
        <v>8217416.9222722296</v>
      </c>
      <c r="U246" t="s">
        <v>96</v>
      </c>
      <c r="V246" t="s">
        <v>1225</v>
      </c>
      <c r="W246">
        <v>1</v>
      </c>
      <c r="X246">
        <v>640.5</v>
      </c>
      <c r="Y246">
        <v>620</v>
      </c>
      <c r="Z246">
        <v>0.45</v>
      </c>
      <c r="AA246">
        <v>3172230000</v>
      </c>
      <c r="AB246">
        <f>_xlfn.XLOOKUP(E246,[2]generation_steps!$C$2:$C$5101,[2]generation_steps!$G$2:$G$5101)</f>
        <v>3172230000</v>
      </c>
      <c r="AC246">
        <v>31.181985229999999</v>
      </c>
      <c r="AD246">
        <v>0</v>
      </c>
      <c r="AE246">
        <v>0</v>
      </c>
      <c r="AF246">
        <v>31.181985229999999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</row>
    <row r="247" spans="1:57" x14ac:dyDescent="0.25">
      <c r="A247">
        <v>96</v>
      </c>
      <c r="B247" t="s">
        <v>505</v>
      </c>
      <c r="C247" t="s">
        <v>716</v>
      </c>
      <c r="E247" t="s">
        <v>925</v>
      </c>
      <c r="F247" t="s">
        <v>94</v>
      </c>
      <c r="G247">
        <v>53690082</v>
      </c>
      <c r="H247">
        <v>147</v>
      </c>
      <c r="I247" t="s">
        <v>97</v>
      </c>
      <c r="J247">
        <v>9421398.8741176408</v>
      </c>
      <c r="K247">
        <v>6258339.4933333397</v>
      </c>
      <c r="N247">
        <v>7417091.21060606</v>
      </c>
      <c r="O247">
        <v>23.649595000000001</v>
      </c>
      <c r="P247">
        <v>24.997892</v>
      </c>
      <c r="Q247">
        <v>6982086.8739999998</v>
      </c>
      <c r="R247">
        <v>26.315714</v>
      </c>
      <c r="S247">
        <v>7404246.2606060598</v>
      </c>
      <c r="T247">
        <v>8636841.5969372895</v>
      </c>
      <c r="U247" t="s">
        <v>96</v>
      </c>
      <c r="V247" t="s">
        <v>1135</v>
      </c>
      <c r="W247">
        <v>1</v>
      </c>
      <c r="X247">
        <v>147.4</v>
      </c>
      <c r="Y247">
        <v>147</v>
      </c>
      <c r="Z247">
        <v>0.4</v>
      </c>
      <c r="AA247">
        <v>3156976821.5999999</v>
      </c>
      <c r="AB247">
        <f>_xlfn.XLOOKUP(E247,[2]generation_steps!$C$2:$C$5101,[2]generation_steps!$G$2:$G$5101)</f>
        <v>3156976821.5999999</v>
      </c>
      <c r="AC247">
        <v>11.24335808</v>
      </c>
      <c r="AD247">
        <v>0</v>
      </c>
      <c r="AE247">
        <v>0</v>
      </c>
      <c r="AF247">
        <v>11.24335808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</row>
    <row r="248" spans="1:57" x14ac:dyDescent="0.25">
      <c r="A248">
        <v>182</v>
      </c>
      <c r="B248" t="s">
        <v>565</v>
      </c>
      <c r="C248" t="s">
        <v>776</v>
      </c>
      <c r="E248" t="s">
        <v>985</v>
      </c>
      <c r="F248" t="s">
        <v>94</v>
      </c>
      <c r="G248">
        <v>816013</v>
      </c>
      <c r="H248">
        <v>7710</v>
      </c>
      <c r="I248" t="s">
        <v>97</v>
      </c>
      <c r="J248">
        <v>6315620</v>
      </c>
      <c r="K248">
        <v>4505298</v>
      </c>
      <c r="N248">
        <v>5687923.9015151504</v>
      </c>
      <c r="O248">
        <v>28.371051999999999</v>
      </c>
      <c r="P248">
        <v>30.238869000000001</v>
      </c>
      <c r="Q248">
        <v>5776494.2000000002</v>
      </c>
      <c r="R248">
        <v>26.560666999999999</v>
      </c>
      <c r="S248">
        <v>5439278.7121212101</v>
      </c>
      <c r="T248">
        <v>6341485.3406119896</v>
      </c>
      <c r="U248" t="s">
        <v>96</v>
      </c>
      <c r="V248" t="s">
        <v>1195</v>
      </c>
      <c r="W248">
        <v>1</v>
      </c>
      <c r="X248">
        <v>7670</v>
      </c>
      <c r="Y248">
        <v>7710</v>
      </c>
      <c r="Z248">
        <v>0.5</v>
      </c>
      <c r="AA248">
        <v>3145730115</v>
      </c>
      <c r="AB248">
        <f>_xlfn.XLOOKUP(E248,[2]generation_steps!$C$2:$C$5101,[2]generation_steps!$G$2:$G$5101)</f>
        <v>3145730115</v>
      </c>
      <c r="AC248">
        <v>25.03658639</v>
      </c>
      <c r="AD248">
        <v>0</v>
      </c>
      <c r="AE248">
        <v>0</v>
      </c>
      <c r="AF248">
        <v>25.03658639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</row>
    <row r="249" spans="1:57" x14ac:dyDescent="0.25">
      <c r="A249">
        <v>59</v>
      </c>
      <c r="B249" t="s">
        <v>477</v>
      </c>
      <c r="C249" t="s">
        <v>689</v>
      </c>
      <c r="E249" t="s">
        <v>898</v>
      </c>
      <c r="F249" t="s">
        <v>88</v>
      </c>
      <c r="G249">
        <v>126000000</v>
      </c>
      <c r="H249">
        <v>38.380000000000003</v>
      </c>
      <c r="I249" t="s">
        <v>97</v>
      </c>
      <c r="J249">
        <v>9415332.1258102693</v>
      </c>
      <c r="K249">
        <v>9220214.6559999995</v>
      </c>
      <c r="N249">
        <v>7494662.7396212099</v>
      </c>
      <c r="O249">
        <v>40.760449999999999</v>
      </c>
      <c r="P249">
        <v>43.754047</v>
      </c>
      <c r="Q249">
        <v>7471312.8624999998</v>
      </c>
      <c r="R249">
        <v>38.909526999999997</v>
      </c>
      <c r="S249">
        <v>7306780.7277272698</v>
      </c>
      <c r="T249">
        <v>8511177.0973675996</v>
      </c>
      <c r="U249" t="s">
        <v>96</v>
      </c>
      <c r="V249" t="s">
        <v>1107</v>
      </c>
      <c r="W249">
        <v>1</v>
      </c>
      <c r="X249">
        <v>43.62</v>
      </c>
      <c r="Y249">
        <v>38.380000000000003</v>
      </c>
      <c r="Z249">
        <v>0.65</v>
      </c>
      <c r="AA249">
        <v>3143322000</v>
      </c>
      <c r="AB249">
        <f>_xlfn.XLOOKUP(E249,[2]generation_steps!$C$2:$C$5101,[2]generation_steps!$G$2:$G$5101)</f>
        <v>3143322000</v>
      </c>
      <c r="AC249">
        <v>24.229451730000001</v>
      </c>
      <c r="AD249">
        <v>0</v>
      </c>
      <c r="AE249">
        <v>0</v>
      </c>
      <c r="AF249">
        <v>24.229451730000001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</row>
    <row r="250" spans="1:57" x14ac:dyDescent="0.25">
      <c r="A250">
        <v>61</v>
      </c>
      <c r="B250" t="s">
        <v>479</v>
      </c>
      <c r="C250" t="s">
        <v>691</v>
      </c>
      <c r="E250" t="s">
        <v>900</v>
      </c>
      <c r="F250" t="s">
        <v>88</v>
      </c>
      <c r="G250">
        <v>37606373</v>
      </c>
      <c r="H250">
        <v>92.2</v>
      </c>
      <c r="I250" t="s">
        <v>97</v>
      </c>
      <c r="J250">
        <v>8216139.5595849799</v>
      </c>
      <c r="K250">
        <v>8373236.3816666696</v>
      </c>
      <c r="N250">
        <v>9489384.4553030301</v>
      </c>
      <c r="O250">
        <v>35.316257</v>
      </c>
      <c r="P250">
        <v>36.863075000000002</v>
      </c>
      <c r="Q250">
        <v>9255431.8635000009</v>
      </c>
      <c r="R250">
        <v>36.637999999999998</v>
      </c>
      <c r="S250">
        <v>8076432.9833333297</v>
      </c>
      <c r="T250">
        <v>9416024.6575329807</v>
      </c>
      <c r="U250" t="s">
        <v>96</v>
      </c>
      <c r="V250" t="s">
        <v>1109</v>
      </c>
      <c r="W250">
        <v>1</v>
      </c>
      <c r="X250">
        <v>109.4</v>
      </c>
      <c r="Y250">
        <v>92.2</v>
      </c>
      <c r="Z250">
        <v>0.9</v>
      </c>
      <c r="AA250">
        <v>3120576831.54</v>
      </c>
      <c r="AB250">
        <f>_xlfn.XLOOKUP(E250,[2]generation_steps!$C$2:$C$5101,[2]generation_steps!$G$2:$G$5101)</f>
        <v>3120576831.54</v>
      </c>
      <c r="AC250">
        <v>37.787467739999997</v>
      </c>
      <c r="AD250">
        <v>0</v>
      </c>
      <c r="AE250">
        <v>0</v>
      </c>
      <c r="AF250">
        <v>37.787467739999997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</row>
    <row r="251" spans="1:57" x14ac:dyDescent="0.25">
      <c r="A251">
        <v>14</v>
      </c>
      <c r="B251" t="s">
        <v>444</v>
      </c>
      <c r="C251" t="s">
        <v>656</v>
      </c>
      <c r="E251" t="s">
        <v>865</v>
      </c>
      <c r="F251" t="s">
        <v>94</v>
      </c>
      <c r="G251">
        <v>47550119</v>
      </c>
      <c r="H251">
        <v>65.5</v>
      </c>
      <c r="I251" t="s">
        <v>97</v>
      </c>
      <c r="J251">
        <v>5138735.4206862804</v>
      </c>
      <c r="K251">
        <v>5684020.5833333302</v>
      </c>
      <c r="N251">
        <v>5517442.9460227303</v>
      </c>
      <c r="O251">
        <v>15.02093</v>
      </c>
      <c r="P251">
        <v>14.802875</v>
      </c>
      <c r="Q251">
        <v>4983047.0975000001</v>
      </c>
      <c r="R251">
        <v>20.311243000000001</v>
      </c>
      <c r="S251">
        <v>5321382.4344696999</v>
      </c>
      <c r="T251">
        <v>6202526.7586991899</v>
      </c>
      <c r="U251" t="s">
        <v>96</v>
      </c>
      <c r="V251" t="s">
        <v>1074</v>
      </c>
      <c r="W251">
        <v>1</v>
      </c>
      <c r="X251">
        <v>64.55</v>
      </c>
      <c r="Y251">
        <v>65.5</v>
      </c>
      <c r="Z251">
        <v>1</v>
      </c>
      <c r="AA251">
        <v>3114532794.5</v>
      </c>
      <c r="AB251">
        <f>_xlfn.XLOOKUP(E251,[2]generation_steps!$C$2:$C$5101,[2]generation_steps!$G$2:$G$5101)</f>
        <v>3114532794.5</v>
      </c>
      <c r="AC251">
        <v>9.5510000000000002</v>
      </c>
      <c r="AD251">
        <v>0</v>
      </c>
      <c r="AE251">
        <v>0</v>
      </c>
      <c r="AF251">
        <v>9.5510000000000002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</row>
    <row r="252" spans="1:57" x14ac:dyDescent="0.25">
      <c r="A252">
        <v>81</v>
      </c>
      <c r="B252" t="s">
        <v>496</v>
      </c>
      <c r="C252" t="s">
        <v>707</v>
      </c>
      <c r="E252" t="s">
        <v>916</v>
      </c>
      <c r="F252" t="s">
        <v>89</v>
      </c>
      <c r="G252">
        <v>111623468</v>
      </c>
      <c r="H252">
        <v>54.95</v>
      </c>
      <c r="I252" t="s">
        <v>97</v>
      </c>
      <c r="J252">
        <v>6272787.7815097999</v>
      </c>
      <c r="K252">
        <v>4614693.3166666701</v>
      </c>
      <c r="N252">
        <v>5953693.8298484804</v>
      </c>
      <c r="O252">
        <v>16.505737</v>
      </c>
      <c r="P252">
        <v>17.020154999999999</v>
      </c>
      <c r="Q252">
        <v>5877319.5010000002</v>
      </c>
      <c r="R252">
        <v>22.905457999999999</v>
      </c>
      <c r="S252">
        <v>5959366.6962121204</v>
      </c>
      <c r="T252">
        <v>6954787.1301461002</v>
      </c>
      <c r="U252" t="s">
        <v>96</v>
      </c>
      <c r="V252" t="s">
        <v>1126</v>
      </c>
      <c r="W252">
        <v>1</v>
      </c>
      <c r="X252">
        <v>54.65</v>
      </c>
      <c r="Y252">
        <v>54.95</v>
      </c>
      <c r="Z252">
        <v>0.5</v>
      </c>
      <c r="AA252">
        <v>3066854783.3000002</v>
      </c>
      <c r="AB252">
        <f>_xlfn.XLOOKUP(E252,[2]generation_steps!$C$2:$C$5101,[2]generation_steps!$G$2:$G$5101)</f>
        <v>3066854783.3000002</v>
      </c>
      <c r="AC252">
        <v>3.9646875000000001</v>
      </c>
      <c r="AD252">
        <v>0</v>
      </c>
      <c r="AE252">
        <v>0</v>
      </c>
      <c r="AF252">
        <v>3.9646875000000001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</row>
    <row r="253" spans="1:57" x14ac:dyDescent="0.25">
      <c r="A253">
        <v>69</v>
      </c>
      <c r="B253" t="s">
        <v>485</v>
      </c>
      <c r="C253" t="s">
        <v>697</v>
      </c>
      <c r="E253" t="s">
        <v>906</v>
      </c>
      <c r="F253" t="s">
        <v>93</v>
      </c>
      <c r="G253">
        <v>68000000</v>
      </c>
      <c r="H253">
        <v>88.6</v>
      </c>
      <c r="I253" t="s">
        <v>97</v>
      </c>
      <c r="J253">
        <v>27036336.9174405</v>
      </c>
      <c r="K253">
        <v>29975036.480000101</v>
      </c>
      <c r="N253">
        <v>32632467.0136641</v>
      </c>
      <c r="O253">
        <v>38.637954999999998</v>
      </c>
      <c r="P253">
        <v>41.474409999999999</v>
      </c>
      <c r="Q253">
        <v>38558810.932750002</v>
      </c>
      <c r="R253">
        <v>37.814728000000002</v>
      </c>
      <c r="S253">
        <v>51841673.110303096</v>
      </c>
      <c r="T253">
        <v>60516741.810162596</v>
      </c>
      <c r="U253" t="s">
        <v>96</v>
      </c>
      <c r="V253" t="s">
        <v>1115</v>
      </c>
      <c r="W253">
        <v>1</v>
      </c>
      <c r="X253">
        <v>99.28</v>
      </c>
      <c r="Y253">
        <v>88.6</v>
      </c>
      <c r="Z253">
        <v>0.5</v>
      </c>
      <c r="AA253">
        <v>3012400000</v>
      </c>
      <c r="AB253">
        <f>_xlfn.XLOOKUP(E253,[2]generation_steps!$C$2:$C$5101,[2]generation_steps!$G$2:$G$5101)</f>
        <v>3012400000</v>
      </c>
      <c r="AC253">
        <v>20.998899999999999</v>
      </c>
      <c r="AD253">
        <v>0</v>
      </c>
      <c r="AE253">
        <v>0</v>
      </c>
      <c r="AF253">
        <v>20.998899999999999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</row>
    <row r="254" spans="1:57" x14ac:dyDescent="0.25">
      <c r="A254">
        <v>298</v>
      </c>
      <c r="B254" t="s">
        <v>644</v>
      </c>
      <c r="C254" t="s">
        <v>854</v>
      </c>
      <c r="E254" t="s">
        <v>1063</v>
      </c>
      <c r="F254" t="s">
        <v>92</v>
      </c>
      <c r="G254">
        <v>109497696</v>
      </c>
      <c r="H254">
        <v>27.5</v>
      </c>
      <c r="I254" t="s">
        <v>97</v>
      </c>
      <c r="J254">
        <v>6393005.7917391304</v>
      </c>
      <c r="K254">
        <v>5937005.6440000003</v>
      </c>
      <c r="N254">
        <v>5192862.0305303</v>
      </c>
      <c r="O254">
        <v>30.400509</v>
      </c>
      <c r="P254">
        <v>31.466799000000002</v>
      </c>
      <c r="Q254">
        <v>5087217.3641999997</v>
      </c>
      <c r="R254">
        <v>34.302146999999998</v>
      </c>
      <c r="S254">
        <v>5003959.9593939399</v>
      </c>
      <c r="T254">
        <v>5830430.4162761997</v>
      </c>
      <c r="U254" t="s">
        <v>96</v>
      </c>
      <c r="V254" t="s">
        <v>1274</v>
      </c>
      <c r="W254">
        <v>1</v>
      </c>
      <c r="X254">
        <v>31.12</v>
      </c>
      <c r="Y254">
        <v>27.5</v>
      </c>
      <c r="Z254">
        <v>1</v>
      </c>
      <c r="AA254">
        <v>3011186640</v>
      </c>
      <c r="AB254">
        <f>_xlfn.XLOOKUP(E254,[2]generation_steps!$C$2:$C$5101,[2]generation_steps!$G$2:$G$5101)</f>
        <v>3011186640</v>
      </c>
      <c r="AC254">
        <v>19.244164999999999</v>
      </c>
      <c r="AD254">
        <v>0</v>
      </c>
      <c r="AE254">
        <v>0</v>
      </c>
      <c r="AF254">
        <v>19.244164999999999</v>
      </c>
      <c r="AG254">
        <v>2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</row>
    <row r="255" spans="1:57" x14ac:dyDescent="0.25">
      <c r="A255">
        <v>237</v>
      </c>
      <c r="B255" t="s">
        <v>603</v>
      </c>
      <c r="C255" t="s">
        <v>813</v>
      </c>
      <c r="E255" t="s">
        <v>1022</v>
      </c>
      <c r="F255" t="s">
        <v>93</v>
      </c>
      <c r="G255">
        <v>1995631862</v>
      </c>
      <c r="H255">
        <v>2.2610000000000001</v>
      </c>
      <c r="I255" t="s">
        <v>97</v>
      </c>
      <c r="J255">
        <v>89680356.7398303</v>
      </c>
      <c r="K255">
        <v>66097233.327866599</v>
      </c>
      <c r="N255">
        <v>88066278.451175496</v>
      </c>
      <c r="O255">
        <v>26.853832000000001</v>
      </c>
      <c r="P255">
        <v>27.545725000000001</v>
      </c>
      <c r="Q255">
        <v>82879276.994749904</v>
      </c>
      <c r="R255">
        <v>34.780552</v>
      </c>
      <c r="S255">
        <v>81295887.763128802</v>
      </c>
      <c r="T255">
        <v>94785995.945916906</v>
      </c>
      <c r="U255" t="s">
        <v>96</v>
      </c>
      <c r="V255" t="s">
        <v>1233</v>
      </c>
      <c r="W255">
        <v>1</v>
      </c>
      <c r="X255">
        <v>2.3149999999999999</v>
      </c>
      <c r="Y255">
        <v>2.2610000000000001</v>
      </c>
      <c r="Z255">
        <v>0.65</v>
      </c>
      <c r="AA255">
        <v>2932880365.9882998</v>
      </c>
      <c r="AB255">
        <f>_xlfn.XLOOKUP(E255,[2]generation_steps!$C$2:$C$5101,[2]generation_steps!$G$2:$G$5101)</f>
        <v>2932880365.9882998</v>
      </c>
      <c r="AC255">
        <v>20.777644339999998</v>
      </c>
      <c r="AD255">
        <v>0</v>
      </c>
      <c r="AE255">
        <v>0</v>
      </c>
      <c r="AF255">
        <v>20.777644339999998</v>
      </c>
      <c r="AG255">
        <v>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</row>
    <row r="256" spans="1:57" x14ac:dyDescent="0.25">
      <c r="A256">
        <v>77</v>
      </c>
      <c r="B256" t="s">
        <v>492</v>
      </c>
      <c r="C256" t="s">
        <v>704</v>
      </c>
      <c r="E256" t="s">
        <v>913</v>
      </c>
      <c r="F256" t="s">
        <v>94</v>
      </c>
      <c r="G256">
        <v>38096217</v>
      </c>
      <c r="H256">
        <v>76.95</v>
      </c>
      <c r="I256" t="s">
        <v>97</v>
      </c>
      <c r="J256">
        <v>5589693.9735294096</v>
      </c>
      <c r="K256">
        <v>3701443.8366666702</v>
      </c>
      <c r="N256">
        <v>4742218.5314394003</v>
      </c>
      <c r="O256">
        <v>15.105551999999999</v>
      </c>
      <c r="P256">
        <v>14.417464000000001</v>
      </c>
      <c r="Q256">
        <v>3809485.5602500001</v>
      </c>
      <c r="R256">
        <v>24.935915000000001</v>
      </c>
      <c r="S256">
        <v>4075256.86666667</v>
      </c>
      <c r="T256">
        <v>4756284.3246490704</v>
      </c>
      <c r="U256" t="s">
        <v>96</v>
      </c>
      <c r="V256" t="s">
        <v>1122</v>
      </c>
      <c r="W256">
        <v>1</v>
      </c>
      <c r="X256">
        <v>75</v>
      </c>
      <c r="Y256">
        <v>76.95</v>
      </c>
      <c r="Z256">
        <v>1</v>
      </c>
      <c r="AA256">
        <v>2931503898.1500001</v>
      </c>
      <c r="AB256">
        <f>_xlfn.XLOOKUP(E256,[2]generation_steps!$C$2:$C$5101,[2]generation_steps!$G$2:$G$5101)</f>
        <v>2931503898.1500001</v>
      </c>
      <c r="AC256">
        <v>8.2628299999999992</v>
      </c>
      <c r="AD256">
        <v>0</v>
      </c>
      <c r="AE256">
        <v>0</v>
      </c>
      <c r="AF256">
        <v>8.2628299999999992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</row>
    <row r="257" spans="1:57" x14ac:dyDescent="0.25">
      <c r="A257">
        <v>118</v>
      </c>
      <c r="B257" t="s">
        <v>519</v>
      </c>
      <c r="C257" t="s">
        <v>730</v>
      </c>
      <c r="E257" t="s">
        <v>939</v>
      </c>
      <c r="F257" t="s">
        <v>89</v>
      </c>
      <c r="G257">
        <v>185270000</v>
      </c>
      <c r="H257">
        <v>24.16</v>
      </c>
      <c r="I257" t="s">
        <v>97</v>
      </c>
      <c r="J257">
        <v>10496025.933568601</v>
      </c>
      <c r="K257">
        <v>12093758.6446667</v>
      </c>
      <c r="N257">
        <v>10969048.3311364</v>
      </c>
      <c r="O257">
        <v>20.920670000000001</v>
      </c>
      <c r="P257">
        <v>21.651406999999999</v>
      </c>
      <c r="Q257">
        <v>10921710.987600001</v>
      </c>
      <c r="R257">
        <v>20.644030000000001</v>
      </c>
      <c r="S257">
        <v>10490366.8443939</v>
      </c>
      <c r="T257">
        <v>12220150.906341201</v>
      </c>
      <c r="U257" t="s">
        <v>96</v>
      </c>
      <c r="V257" t="s">
        <v>1149</v>
      </c>
      <c r="W257">
        <v>1</v>
      </c>
      <c r="X257">
        <v>23.3</v>
      </c>
      <c r="Y257">
        <v>24.16</v>
      </c>
      <c r="Z257">
        <v>0.65</v>
      </c>
      <c r="AA257">
        <v>2909480080</v>
      </c>
      <c r="AB257">
        <f>_xlfn.XLOOKUP(E257,[2]generation_steps!$C$2:$C$5101,[2]generation_steps!$G$2:$G$5101)</f>
        <v>2909480080</v>
      </c>
      <c r="AC257">
        <v>15.58236125</v>
      </c>
      <c r="AD257">
        <v>0</v>
      </c>
      <c r="AE257">
        <v>0</v>
      </c>
      <c r="AF257">
        <v>15.58236125</v>
      </c>
      <c r="AG257">
        <v>2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</row>
    <row r="258" spans="1:57" x14ac:dyDescent="0.25">
      <c r="A258">
        <v>243</v>
      </c>
      <c r="B258" t="s">
        <v>606</v>
      </c>
      <c r="C258" t="s">
        <v>816</v>
      </c>
      <c r="E258" t="s">
        <v>1025</v>
      </c>
      <c r="F258" t="s">
        <v>91</v>
      </c>
      <c r="G258">
        <v>171361365</v>
      </c>
      <c r="H258">
        <v>24.06</v>
      </c>
      <c r="I258" t="s">
        <v>97</v>
      </c>
      <c r="J258">
        <v>7369807.3042548997</v>
      </c>
      <c r="K258">
        <v>7838837.1373333298</v>
      </c>
      <c r="N258">
        <v>7010102.6098484797</v>
      </c>
      <c r="O258">
        <v>23.739519999999999</v>
      </c>
      <c r="P258">
        <v>24.506195000000002</v>
      </c>
      <c r="Q258">
        <v>6444725.3447000002</v>
      </c>
      <c r="R258">
        <v>27.816960999999999</v>
      </c>
      <c r="S258">
        <v>6052024.9559090901</v>
      </c>
      <c r="T258">
        <v>7052201.1369832298</v>
      </c>
      <c r="U258" t="s">
        <v>96</v>
      </c>
      <c r="V258" t="s">
        <v>1236</v>
      </c>
      <c r="W258">
        <v>1</v>
      </c>
      <c r="X258">
        <v>23.88</v>
      </c>
      <c r="Y258">
        <v>24.06</v>
      </c>
      <c r="Z258">
        <v>0.70000000000000007</v>
      </c>
      <c r="AA258">
        <v>2886068109.3299999</v>
      </c>
      <c r="AB258">
        <f>_xlfn.XLOOKUP(E258,[2]generation_steps!$C$2:$C$5101,[2]generation_steps!$G$2:$G$5101)</f>
        <v>2886068109.3299999</v>
      </c>
      <c r="AC258">
        <v>18.447085439999999</v>
      </c>
      <c r="AD258">
        <v>0</v>
      </c>
      <c r="AE258">
        <v>0</v>
      </c>
      <c r="AF258">
        <v>18.447085439999999</v>
      </c>
      <c r="AG258">
        <v>2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</row>
    <row r="259" spans="1:57" x14ac:dyDescent="0.25">
      <c r="A259">
        <v>39</v>
      </c>
      <c r="B259" t="s">
        <v>462</v>
      </c>
      <c r="C259" t="s">
        <v>674</v>
      </c>
      <c r="E259" t="s">
        <v>883</v>
      </c>
      <c r="F259" t="s">
        <v>88</v>
      </c>
      <c r="G259">
        <v>44956722</v>
      </c>
      <c r="H259">
        <v>106</v>
      </c>
      <c r="I259" t="s">
        <v>97</v>
      </c>
      <c r="J259">
        <v>12374300.1275692</v>
      </c>
      <c r="K259">
        <v>19739091.393333301</v>
      </c>
      <c r="N259">
        <v>12734498.5751894</v>
      </c>
      <c r="O259">
        <v>32.291595000000001</v>
      </c>
      <c r="P259">
        <v>32.784762999999998</v>
      </c>
      <c r="Q259">
        <v>13670279.317500001</v>
      </c>
      <c r="R259">
        <v>31.732669999999999</v>
      </c>
      <c r="S259">
        <v>15614295.3431818</v>
      </c>
      <c r="T259">
        <v>18172411.928061198</v>
      </c>
      <c r="U259" t="s">
        <v>96</v>
      </c>
      <c r="V259" t="s">
        <v>1092</v>
      </c>
      <c r="W259">
        <v>1</v>
      </c>
      <c r="X259">
        <v>117.2</v>
      </c>
      <c r="Y259">
        <v>106</v>
      </c>
      <c r="Z259">
        <v>0.6</v>
      </c>
      <c r="AA259">
        <v>2859247519.1999998</v>
      </c>
      <c r="AB259">
        <f>_xlfn.XLOOKUP(E259,[2]generation_steps!$C$2:$C$5101,[2]generation_steps!$G$2:$G$5101)</f>
        <v>2859247519.1999998</v>
      </c>
      <c r="AC259">
        <v>21.848880250000001</v>
      </c>
      <c r="AD259">
        <v>0</v>
      </c>
      <c r="AE259">
        <v>0</v>
      </c>
      <c r="AF259">
        <v>21.848880250000001</v>
      </c>
      <c r="AG259">
        <v>2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</row>
    <row r="260" spans="1:57" x14ac:dyDescent="0.25">
      <c r="A260">
        <v>187</v>
      </c>
      <c r="B260" t="s">
        <v>569</v>
      </c>
      <c r="C260" t="s">
        <v>780</v>
      </c>
      <c r="E260" t="s">
        <v>989</v>
      </c>
      <c r="F260" t="s">
        <v>95</v>
      </c>
      <c r="G260">
        <v>502696750</v>
      </c>
      <c r="H260">
        <v>6.3079999999999998</v>
      </c>
      <c r="I260" t="s">
        <v>97</v>
      </c>
      <c r="J260">
        <v>6702345.9277108395</v>
      </c>
      <c r="K260">
        <v>5359356.8619999997</v>
      </c>
      <c r="N260">
        <v>6085318.7402307699</v>
      </c>
      <c r="O260">
        <v>21.060891999999999</v>
      </c>
      <c r="P260">
        <v>18.227982000000001</v>
      </c>
      <c r="Q260">
        <v>4502276.0941000003</v>
      </c>
      <c r="R260">
        <v>23.417027000000001</v>
      </c>
      <c r="S260">
        <v>4183884.8686363599</v>
      </c>
      <c r="T260">
        <v>4874991.6236339202</v>
      </c>
      <c r="U260" t="s">
        <v>96</v>
      </c>
      <c r="V260" t="s">
        <v>1199</v>
      </c>
      <c r="W260">
        <v>1</v>
      </c>
      <c r="X260">
        <v>6.62</v>
      </c>
      <c r="Y260">
        <v>6.3079999999999998</v>
      </c>
      <c r="Z260">
        <v>0.9</v>
      </c>
      <c r="AA260">
        <v>2853909989.0999999</v>
      </c>
      <c r="AB260">
        <f>_xlfn.XLOOKUP(E260,[2]generation_steps!$C$2:$C$5101,[2]generation_steps!$G$2:$G$5101)</f>
        <v>2853909989.0999999</v>
      </c>
      <c r="AC260">
        <v>12.33788625</v>
      </c>
      <c r="AD260">
        <v>0</v>
      </c>
      <c r="AE260">
        <v>0</v>
      </c>
      <c r="AF260">
        <v>12.33788625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</row>
    <row r="261" spans="1:57" x14ac:dyDescent="0.25">
      <c r="A261">
        <v>122</v>
      </c>
      <c r="B261" t="s">
        <v>521</v>
      </c>
      <c r="C261" t="s">
        <v>732</v>
      </c>
      <c r="E261" t="s">
        <v>941</v>
      </c>
      <c r="F261" t="s">
        <v>88</v>
      </c>
      <c r="G261">
        <v>110134544</v>
      </c>
      <c r="H261">
        <v>30.26</v>
      </c>
      <c r="I261" t="s">
        <v>97</v>
      </c>
      <c r="J261">
        <v>7560653.0070059299</v>
      </c>
      <c r="K261">
        <v>8300116.2626666697</v>
      </c>
      <c r="N261">
        <v>7671159.8659848496</v>
      </c>
      <c r="O261">
        <v>32.190693000000003</v>
      </c>
      <c r="P261">
        <v>31.935842999999998</v>
      </c>
      <c r="Q261">
        <v>7907874.1929000001</v>
      </c>
      <c r="R261">
        <v>34.487133</v>
      </c>
      <c r="S261">
        <v>8138825.32075758</v>
      </c>
      <c r="T261">
        <v>9479255.9263503607</v>
      </c>
      <c r="U261" t="s">
        <v>96</v>
      </c>
      <c r="V261" t="s">
        <v>1151</v>
      </c>
      <c r="W261">
        <v>1</v>
      </c>
      <c r="X261">
        <v>34.74</v>
      </c>
      <c r="Y261">
        <v>30.26</v>
      </c>
      <c r="Z261">
        <v>0.85</v>
      </c>
      <c r="AA261">
        <v>2832770606.224</v>
      </c>
      <c r="AB261">
        <f>_xlfn.XLOOKUP(E261,[2]generation_steps!$C$2:$C$5101,[2]generation_steps!$G$2:$G$5101)</f>
        <v>2832770606.224</v>
      </c>
      <c r="AC261">
        <v>15.620593749999999</v>
      </c>
      <c r="AD261">
        <v>0</v>
      </c>
      <c r="AE261">
        <v>0</v>
      </c>
      <c r="AF261">
        <v>15.620593749999999</v>
      </c>
      <c r="AG261">
        <v>2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</row>
    <row r="262" spans="1:57" x14ac:dyDescent="0.25">
      <c r="A262">
        <v>138</v>
      </c>
      <c r="B262" t="s">
        <v>535</v>
      </c>
      <c r="C262" t="s">
        <v>746</v>
      </c>
      <c r="E262" t="s">
        <v>955</v>
      </c>
      <c r="F262" t="s">
        <v>90</v>
      </c>
      <c r="G262">
        <v>426129800</v>
      </c>
      <c r="H262">
        <v>10.145</v>
      </c>
      <c r="I262" t="s">
        <v>97</v>
      </c>
      <c r="J262">
        <v>19697675.853313699</v>
      </c>
      <c r="K262">
        <v>17469773.296266701</v>
      </c>
      <c r="N262">
        <v>18179023.175333299</v>
      </c>
      <c r="O262">
        <v>30.346806000000001</v>
      </c>
      <c r="P262">
        <v>30.327345000000001</v>
      </c>
      <c r="Q262">
        <v>17868358.962639999</v>
      </c>
      <c r="R262">
        <v>34.106586</v>
      </c>
      <c r="S262">
        <v>14643376.6960833</v>
      </c>
      <c r="T262">
        <v>17047447.201814398</v>
      </c>
      <c r="U262" t="s">
        <v>96</v>
      </c>
      <c r="V262" t="s">
        <v>1165</v>
      </c>
      <c r="W262">
        <v>1</v>
      </c>
      <c r="X262">
        <v>10.805</v>
      </c>
      <c r="Y262">
        <v>10.145</v>
      </c>
      <c r="Z262">
        <v>0.65</v>
      </c>
      <c r="AA262">
        <v>2810006433.6500001</v>
      </c>
      <c r="AB262">
        <f>_xlfn.XLOOKUP(E262,[2]generation_steps!$C$2:$C$5101,[2]generation_steps!$G$2:$G$5101)</f>
        <v>2810006433.6500001</v>
      </c>
      <c r="AC262">
        <v>13.251455</v>
      </c>
      <c r="AD262">
        <v>0</v>
      </c>
      <c r="AE262">
        <v>0</v>
      </c>
      <c r="AF262">
        <v>13.251455</v>
      </c>
      <c r="AG262">
        <v>2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</row>
    <row r="263" spans="1:57" x14ac:dyDescent="0.25">
      <c r="A263">
        <v>137</v>
      </c>
      <c r="B263" t="s">
        <v>534</v>
      </c>
      <c r="C263" t="s">
        <v>745</v>
      </c>
      <c r="E263" t="s">
        <v>954</v>
      </c>
      <c r="F263" t="s">
        <v>298</v>
      </c>
      <c r="G263">
        <v>243793804</v>
      </c>
      <c r="H263">
        <v>14.38</v>
      </c>
      <c r="I263" t="s">
        <v>97</v>
      </c>
      <c r="J263">
        <v>8544095.7178992108</v>
      </c>
      <c r="K263">
        <v>4863683.9328800002</v>
      </c>
      <c r="N263">
        <v>9581658.6524575707</v>
      </c>
      <c r="O263">
        <v>31.189959000000002</v>
      </c>
      <c r="P263">
        <v>32.352159999999998</v>
      </c>
      <c r="Q263">
        <v>10724818.116002999</v>
      </c>
      <c r="R263">
        <v>34.008800000000001</v>
      </c>
      <c r="S263">
        <v>13419585.6965273</v>
      </c>
      <c r="T263">
        <v>15712323.266307199</v>
      </c>
      <c r="U263" t="s">
        <v>96</v>
      </c>
      <c r="V263" t="s">
        <v>1164</v>
      </c>
      <c r="W263">
        <v>1</v>
      </c>
      <c r="X263">
        <v>14.53</v>
      </c>
      <c r="Y263">
        <v>14.38</v>
      </c>
      <c r="Z263">
        <v>0.8</v>
      </c>
      <c r="AA263">
        <v>2804603921.216001</v>
      </c>
      <c r="AB263">
        <f>_xlfn.XLOOKUP(E263,[2]generation_steps!$C$2:$C$5101,[2]generation_steps!$G$2:$G$5101)</f>
        <v>2804603921.2160001</v>
      </c>
      <c r="AC263">
        <v>26.146149999999999</v>
      </c>
      <c r="AD263">
        <v>0</v>
      </c>
      <c r="AE263">
        <v>0</v>
      </c>
      <c r="AF263">
        <v>26.146149999999999</v>
      </c>
      <c r="AG263">
        <v>2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</row>
    <row r="264" spans="1:57" x14ac:dyDescent="0.25">
      <c r="A264">
        <v>149</v>
      </c>
      <c r="B264" t="s">
        <v>543</v>
      </c>
      <c r="C264" t="s">
        <v>754</v>
      </c>
      <c r="E264" t="s">
        <v>963</v>
      </c>
      <c r="F264" t="s">
        <v>95</v>
      </c>
      <c r="G264">
        <v>107760380</v>
      </c>
      <c r="H264">
        <v>28.76</v>
      </c>
      <c r="I264" t="s">
        <v>97</v>
      </c>
      <c r="J264">
        <v>5587186.3767469898</v>
      </c>
      <c r="K264">
        <v>6600678.1393333301</v>
      </c>
      <c r="N264">
        <v>5746079.0540769203</v>
      </c>
      <c r="O264">
        <v>16.836493999999998</v>
      </c>
      <c r="P264">
        <v>16.193497000000001</v>
      </c>
      <c r="Q264">
        <v>5348845.1117000002</v>
      </c>
      <c r="R264">
        <v>20.576494</v>
      </c>
      <c r="S264">
        <v>5646016.23575758</v>
      </c>
      <c r="T264">
        <v>6578467.4263807898</v>
      </c>
      <c r="U264" t="s">
        <v>96</v>
      </c>
      <c r="V264" t="s">
        <v>1173</v>
      </c>
      <c r="W264">
        <v>1</v>
      </c>
      <c r="X264">
        <v>28.8</v>
      </c>
      <c r="Y264">
        <v>28.76</v>
      </c>
      <c r="Z264">
        <v>0.9</v>
      </c>
      <c r="AA264">
        <v>2789269675.9200001</v>
      </c>
      <c r="AB264">
        <f>_xlfn.XLOOKUP(E264,[2]generation_steps!$C$2:$C$5101,[2]generation_steps!$G$2:$G$5101)</f>
        <v>2789269675.9200001</v>
      </c>
      <c r="AC264">
        <v>15.12518875</v>
      </c>
      <c r="AD264">
        <v>0</v>
      </c>
      <c r="AE264">
        <v>0</v>
      </c>
      <c r="AF264">
        <v>15.12518875</v>
      </c>
      <c r="AG264">
        <v>2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</row>
    <row r="265" spans="1:57" x14ac:dyDescent="0.25">
      <c r="A265">
        <v>228</v>
      </c>
      <c r="B265" t="s">
        <v>599</v>
      </c>
      <c r="C265" t="s">
        <v>809</v>
      </c>
      <c r="E265" t="s">
        <v>1018</v>
      </c>
      <c r="F265" t="s">
        <v>93</v>
      </c>
      <c r="G265">
        <v>37411428</v>
      </c>
      <c r="H265">
        <v>114.1</v>
      </c>
      <c r="I265" t="s">
        <v>97</v>
      </c>
      <c r="J265">
        <v>6826577.96011905</v>
      </c>
      <c r="K265">
        <v>9302252.2333333306</v>
      </c>
      <c r="N265">
        <v>7475855.7812977098</v>
      </c>
      <c r="O265">
        <v>24.758904999999999</v>
      </c>
      <c r="P265">
        <v>25.987909999999999</v>
      </c>
      <c r="Q265">
        <v>7473276.7304999996</v>
      </c>
      <c r="R265">
        <v>28.875381000000001</v>
      </c>
      <c r="S265">
        <v>8383193.50833333</v>
      </c>
      <c r="T265">
        <v>9780140.5844181795</v>
      </c>
      <c r="U265" t="s">
        <v>96</v>
      </c>
      <c r="V265" t="s">
        <v>1229</v>
      </c>
      <c r="W265">
        <v>1</v>
      </c>
      <c r="X265">
        <v>114.8</v>
      </c>
      <c r="Y265">
        <v>114.1</v>
      </c>
      <c r="Z265">
        <v>0.65</v>
      </c>
      <c r="AA265">
        <v>2774618557.6199999</v>
      </c>
      <c r="AB265">
        <f>_xlfn.XLOOKUP(E265,[2]generation_steps!$C$2:$C$5101,[2]generation_steps!$G$2:$G$5101)</f>
        <v>2774618557.6199999</v>
      </c>
      <c r="AC265">
        <v>19.777048140000002</v>
      </c>
      <c r="AD265">
        <v>0</v>
      </c>
      <c r="AE265">
        <v>0</v>
      </c>
      <c r="AF265">
        <v>19.777048140000002</v>
      </c>
      <c r="AG265">
        <v>2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</row>
    <row r="266" spans="1:57" x14ac:dyDescent="0.25">
      <c r="A266">
        <v>46</v>
      </c>
      <c r="B266" t="s">
        <v>468</v>
      </c>
      <c r="C266" t="s">
        <v>680</v>
      </c>
      <c r="E266" t="s">
        <v>889</v>
      </c>
      <c r="F266" t="s">
        <v>93</v>
      </c>
      <c r="G266">
        <v>116851637</v>
      </c>
      <c r="H266">
        <v>52.65</v>
      </c>
      <c r="I266" t="s">
        <v>97</v>
      </c>
      <c r="J266">
        <v>11859153.2512103</v>
      </c>
      <c r="K266">
        <v>14090069.882333299</v>
      </c>
      <c r="N266">
        <v>10736037.6504962</v>
      </c>
      <c r="O266">
        <v>20.109794999999998</v>
      </c>
      <c r="P266">
        <v>20.020804999999999</v>
      </c>
      <c r="Q266">
        <v>10851453.85005</v>
      </c>
      <c r="R266">
        <v>26.867751999999999</v>
      </c>
      <c r="S266">
        <v>10746982.6590151</v>
      </c>
      <c r="T266">
        <v>12523029.696587799</v>
      </c>
      <c r="U266" t="s">
        <v>96</v>
      </c>
      <c r="V266" t="s">
        <v>1098</v>
      </c>
      <c r="W266">
        <v>1</v>
      </c>
      <c r="X266">
        <v>56.65</v>
      </c>
      <c r="Y266">
        <v>52.65</v>
      </c>
      <c r="Z266">
        <v>0.45</v>
      </c>
      <c r="AA266">
        <v>2768507409.6224999</v>
      </c>
      <c r="AB266">
        <f>_xlfn.XLOOKUP(E266,[2]generation_steps!$C$2:$C$5101,[2]generation_steps!$G$2:$G$5101)</f>
        <v>2768507409.6224999</v>
      </c>
      <c r="AC266">
        <v>8.7317250000000008</v>
      </c>
      <c r="AD266">
        <v>0</v>
      </c>
      <c r="AE266">
        <v>0</v>
      </c>
      <c r="AF266">
        <v>8.7317250000000008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</row>
    <row r="267" spans="1:57" x14ac:dyDescent="0.25">
      <c r="A267">
        <v>33</v>
      </c>
      <c r="B267" t="s">
        <v>457</v>
      </c>
      <c r="C267" t="s">
        <v>669</v>
      </c>
      <c r="E267" t="s">
        <v>878</v>
      </c>
      <c r="F267" t="s">
        <v>89</v>
      </c>
      <c r="G267">
        <v>76060831</v>
      </c>
      <c r="H267">
        <v>50.85</v>
      </c>
      <c r="I267" t="s">
        <v>97</v>
      </c>
      <c r="J267">
        <v>14979174.964</v>
      </c>
      <c r="K267">
        <v>12732192.393999999</v>
      </c>
      <c r="N267">
        <v>12571498.441628801</v>
      </c>
      <c r="O267">
        <v>29.559877</v>
      </c>
      <c r="P267">
        <v>28.545688999999999</v>
      </c>
      <c r="Q267">
        <v>11970332.957699999</v>
      </c>
      <c r="R267">
        <v>31.979915999999999</v>
      </c>
      <c r="S267">
        <v>11885349.458257601</v>
      </c>
      <c r="T267">
        <v>13855275.9499986</v>
      </c>
      <c r="U267" t="s">
        <v>96</v>
      </c>
      <c r="V267" t="s">
        <v>1087</v>
      </c>
      <c r="W267">
        <v>1</v>
      </c>
      <c r="X267">
        <v>52.3</v>
      </c>
      <c r="Y267">
        <v>50.85</v>
      </c>
      <c r="Z267">
        <v>0.70000000000000007</v>
      </c>
      <c r="AA267">
        <v>2707385279.4450002</v>
      </c>
      <c r="AB267">
        <f>_xlfn.XLOOKUP(E267,[2]generation_steps!$C$2:$C$5101,[2]generation_steps!$G$2:$G$5101)</f>
        <v>2707385279.4450002</v>
      </c>
      <c r="AC267">
        <v>22.721599999999999</v>
      </c>
      <c r="AD267">
        <v>0</v>
      </c>
      <c r="AE267">
        <v>0</v>
      </c>
      <c r="AF267">
        <v>22.721599999999999</v>
      </c>
      <c r="AG267">
        <v>2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</row>
    <row r="268" spans="1:57" x14ac:dyDescent="0.25">
      <c r="A268">
        <v>264</v>
      </c>
      <c r="B268" t="s">
        <v>622</v>
      </c>
      <c r="C268" t="s">
        <v>832</v>
      </c>
      <c r="E268" t="s">
        <v>1041</v>
      </c>
      <c r="F268" t="s">
        <v>88</v>
      </c>
      <c r="G268">
        <v>189034940</v>
      </c>
      <c r="H268">
        <v>14.29</v>
      </c>
      <c r="I268" t="s">
        <v>97</v>
      </c>
      <c r="J268">
        <v>6940452.0743478201</v>
      </c>
      <c r="K268">
        <v>5718046.1540000001</v>
      </c>
      <c r="N268">
        <v>6141430.8962121196</v>
      </c>
      <c r="O268">
        <v>24.002172000000002</v>
      </c>
      <c r="P268">
        <v>24.414518000000001</v>
      </c>
      <c r="Q268">
        <v>5903549.6766999997</v>
      </c>
      <c r="R268">
        <v>30.83671</v>
      </c>
      <c r="S268">
        <v>6032397.9988636402</v>
      </c>
      <c r="T268">
        <v>7030362.8935225196</v>
      </c>
      <c r="U268" t="s">
        <v>96</v>
      </c>
      <c r="V268" t="s">
        <v>1252</v>
      </c>
      <c r="W268">
        <v>1</v>
      </c>
      <c r="X268">
        <v>13.13</v>
      </c>
      <c r="Y268">
        <v>14.29</v>
      </c>
      <c r="Z268">
        <v>1</v>
      </c>
      <c r="AA268">
        <v>2701309292.5999999</v>
      </c>
      <c r="AB268">
        <f>_xlfn.XLOOKUP(E268,[2]generation_steps!$C$2:$C$5101,[2]generation_steps!$G$2:$G$5101)</f>
        <v>2701309292.5999999</v>
      </c>
      <c r="AC268">
        <v>8.08261875</v>
      </c>
      <c r="AD268">
        <v>0</v>
      </c>
      <c r="AE268">
        <v>0</v>
      </c>
      <c r="AF268">
        <v>8.08261875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</row>
    <row r="269" spans="1:57" x14ac:dyDescent="0.25">
      <c r="A269">
        <v>280</v>
      </c>
      <c r="B269" t="s">
        <v>633</v>
      </c>
      <c r="C269" t="s">
        <v>843</v>
      </c>
      <c r="E269" t="s">
        <v>1052</v>
      </c>
      <c r="F269" t="s">
        <v>94</v>
      </c>
      <c r="G269">
        <v>246400000</v>
      </c>
      <c r="H269">
        <v>14.52</v>
      </c>
      <c r="I269" t="s">
        <v>97</v>
      </c>
      <c r="J269">
        <v>7076091.5678431401</v>
      </c>
      <c r="K269">
        <v>9870881.7853333298</v>
      </c>
      <c r="N269">
        <v>7819496.1778408997</v>
      </c>
      <c r="O269">
        <v>47.918640000000003</v>
      </c>
      <c r="P269">
        <v>39.275948</v>
      </c>
      <c r="Q269">
        <v>7657205.6112500001</v>
      </c>
      <c r="R269">
        <v>48.148699999999998</v>
      </c>
      <c r="S269">
        <v>7782177.4205302997</v>
      </c>
      <c r="T269">
        <v>9055242.6541073993</v>
      </c>
      <c r="U269" t="s">
        <v>96</v>
      </c>
      <c r="V269" t="s">
        <v>1263</v>
      </c>
      <c r="W269">
        <v>1</v>
      </c>
      <c r="X269">
        <v>16.809999999999999</v>
      </c>
      <c r="Y269">
        <v>14.52</v>
      </c>
      <c r="Z269">
        <v>0.75</v>
      </c>
      <c r="AA269">
        <v>2683296000</v>
      </c>
      <c r="AB269">
        <f>_xlfn.XLOOKUP(E269,[2]generation_steps!$C$2:$C$5101,[2]generation_steps!$G$2:$G$5101)</f>
        <v>2683296000</v>
      </c>
      <c r="AC269">
        <v>24.452770000000001</v>
      </c>
      <c r="AD269">
        <v>0</v>
      </c>
      <c r="AE269">
        <v>0</v>
      </c>
      <c r="AF269">
        <v>24.452770000000001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</row>
    <row r="270" spans="1:57" x14ac:dyDescent="0.25">
      <c r="A270">
        <v>113</v>
      </c>
      <c r="B270" t="s">
        <v>514</v>
      </c>
      <c r="C270" t="s">
        <v>725</v>
      </c>
      <c r="E270" t="s">
        <v>934</v>
      </c>
      <c r="F270" t="s">
        <v>89</v>
      </c>
      <c r="G270">
        <v>71925760</v>
      </c>
      <c r="H270">
        <v>52.85</v>
      </c>
      <c r="I270" t="s">
        <v>97</v>
      </c>
      <c r="J270">
        <v>8887482.4879411794</v>
      </c>
      <c r="K270">
        <v>5958809.9699999997</v>
      </c>
      <c r="N270">
        <v>9519752.6850378793</v>
      </c>
      <c r="O270">
        <v>32.700744999999998</v>
      </c>
      <c r="P270">
        <v>33.006855000000002</v>
      </c>
      <c r="Q270">
        <v>10016247.129000001</v>
      </c>
      <c r="R270">
        <v>34.371124000000002</v>
      </c>
      <c r="S270">
        <v>10764956.580303</v>
      </c>
      <c r="T270">
        <v>12553279.0836406</v>
      </c>
      <c r="U270" t="s">
        <v>96</v>
      </c>
      <c r="V270" t="s">
        <v>1144</v>
      </c>
      <c r="W270">
        <v>1</v>
      </c>
      <c r="X270">
        <v>53</v>
      </c>
      <c r="Y270">
        <v>52.85</v>
      </c>
      <c r="Z270">
        <v>0.70000000000000007</v>
      </c>
      <c r="AA270">
        <v>2660893491.1999998</v>
      </c>
      <c r="AB270">
        <f>_xlfn.XLOOKUP(E270,[2]generation_steps!$C$2:$C$5101,[2]generation_steps!$G$2:$G$5101)</f>
        <v>2660893491.1999998</v>
      </c>
      <c r="AC270">
        <v>13.00503125</v>
      </c>
      <c r="AD270">
        <v>0</v>
      </c>
      <c r="AE270">
        <v>0</v>
      </c>
      <c r="AF270">
        <v>13.00503125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</row>
    <row r="271" spans="1:57" x14ac:dyDescent="0.25">
      <c r="A271">
        <v>232</v>
      </c>
      <c r="B271" t="s">
        <v>602</v>
      </c>
      <c r="C271" t="s">
        <v>812</v>
      </c>
      <c r="E271" t="s">
        <v>1021</v>
      </c>
      <c r="F271" t="s">
        <v>89</v>
      </c>
      <c r="G271">
        <v>103361773</v>
      </c>
      <c r="H271">
        <v>31.94</v>
      </c>
      <c r="I271" t="s">
        <v>97</v>
      </c>
      <c r="J271">
        <v>4386159.2411372503</v>
      </c>
      <c r="K271">
        <v>4383253.2426666701</v>
      </c>
      <c r="N271">
        <v>4317768.01575757</v>
      </c>
      <c r="O271">
        <v>20.891449000000001</v>
      </c>
      <c r="P271">
        <v>19.596872000000001</v>
      </c>
      <c r="Q271">
        <v>3912921.3190000001</v>
      </c>
      <c r="R271">
        <v>29.157532</v>
      </c>
      <c r="S271">
        <v>4434373.5004545404</v>
      </c>
      <c r="T271">
        <v>5175613.7247950304</v>
      </c>
      <c r="U271" t="s">
        <v>96</v>
      </c>
      <c r="V271" t="s">
        <v>1232</v>
      </c>
      <c r="W271">
        <v>1</v>
      </c>
      <c r="X271">
        <v>31.46</v>
      </c>
      <c r="Y271">
        <v>31.94</v>
      </c>
      <c r="Z271">
        <v>0.8</v>
      </c>
      <c r="AA271">
        <v>2641100023.6960001</v>
      </c>
      <c r="AB271">
        <f>_xlfn.XLOOKUP(E271,[2]generation_steps!$C$2:$C$5101,[2]generation_steps!$G$2:$G$5101)</f>
        <v>2641100023.6960011</v>
      </c>
      <c r="AC271">
        <v>29.16775938</v>
      </c>
      <c r="AD271">
        <v>0</v>
      </c>
      <c r="AE271">
        <v>0</v>
      </c>
      <c r="AF271">
        <v>29.16775938</v>
      </c>
      <c r="AG271">
        <v>2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</row>
    <row r="272" spans="1:57" x14ac:dyDescent="0.25">
      <c r="A272">
        <v>126</v>
      </c>
      <c r="B272" t="s">
        <v>524</v>
      </c>
      <c r="C272" t="s">
        <v>735</v>
      </c>
      <c r="E272" t="s">
        <v>944</v>
      </c>
      <c r="F272" t="s">
        <v>88</v>
      </c>
      <c r="G272">
        <v>92468704</v>
      </c>
      <c r="H272">
        <v>71</v>
      </c>
      <c r="I272" t="s">
        <v>97</v>
      </c>
      <c r="J272">
        <v>9310752.6807707492</v>
      </c>
      <c r="K272">
        <v>11993853.25</v>
      </c>
      <c r="N272">
        <v>8137043.9714015201</v>
      </c>
      <c r="O272">
        <v>26.356162999999999</v>
      </c>
      <c r="P272">
        <v>26.572555999999999</v>
      </c>
      <c r="Q272">
        <v>8502267.1732500009</v>
      </c>
      <c r="R272">
        <v>25.879490000000001</v>
      </c>
      <c r="S272">
        <v>8912180.4803030305</v>
      </c>
      <c r="T272">
        <v>10384932.809961099</v>
      </c>
      <c r="U272" t="s">
        <v>96</v>
      </c>
      <c r="V272" t="s">
        <v>1154</v>
      </c>
      <c r="W272">
        <v>1</v>
      </c>
      <c r="X272">
        <v>67.8</v>
      </c>
      <c r="Y272">
        <v>71</v>
      </c>
      <c r="Z272">
        <v>0.4</v>
      </c>
      <c r="AA272">
        <v>2626111193.5999999</v>
      </c>
      <c r="AB272">
        <f>_xlfn.XLOOKUP(E272,[2]generation_steps!$C$2:$C$5101,[2]generation_steps!$G$2:$G$5101)</f>
        <v>2626111193.5999999</v>
      </c>
      <c r="AC272">
        <v>16.715623749999999</v>
      </c>
      <c r="AD272">
        <v>0</v>
      </c>
      <c r="AE272">
        <v>0</v>
      </c>
      <c r="AF272">
        <v>16.715623749999999</v>
      </c>
      <c r="AG272">
        <v>2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</row>
    <row r="273" spans="1:57" x14ac:dyDescent="0.25">
      <c r="A273">
        <v>65</v>
      </c>
      <c r="B273" t="s">
        <v>481</v>
      </c>
      <c r="C273" t="s">
        <v>693</v>
      </c>
      <c r="E273" t="s">
        <v>902</v>
      </c>
      <c r="F273" t="s">
        <v>89</v>
      </c>
      <c r="G273">
        <v>2809072802</v>
      </c>
      <c r="H273">
        <v>4.6180000000000003</v>
      </c>
      <c r="I273" t="s">
        <v>97</v>
      </c>
      <c r="J273">
        <v>5293508.3242784301</v>
      </c>
      <c r="K273">
        <v>3421628.8653333299</v>
      </c>
      <c r="N273">
        <v>4478024.1905681798</v>
      </c>
      <c r="O273">
        <v>13.777302000000001</v>
      </c>
      <c r="P273">
        <v>14.441532</v>
      </c>
      <c r="Q273">
        <v>3998417.7434</v>
      </c>
      <c r="R273">
        <v>17.466926999999998</v>
      </c>
      <c r="S273">
        <v>4316268.9205681803</v>
      </c>
      <c r="T273">
        <v>5033370.2932292204</v>
      </c>
      <c r="U273" t="s">
        <v>96</v>
      </c>
      <c r="V273" t="s">
        <v>1111</v>
      </c>
      <c r="W273">
        <v>1</v>
      </c>
      <c r="X273">
        <v>4.6059999999999999</v>
      </c>
      <c r="Y273">
        <v>4.6180000000000003</v>
      </c>
      <c r="Z273">
        <v>0.2</v>
      </c>
      <c r="AA273">
        <v>2594459639.9271998</v>
      </c>
      <c r="AB273">
        <f>_xlfn.XLOOKUP(E273,[2]generation_steps!$C$2:$C$5101,[2]generation_steps!$G$2:$G$5101)</f>
        <v>2594459639.9271998</v>
      </c>
      <c r="AC273">
        <v>11.952475</v>
      </c>
      <c r="AD273">
        <v>0</v>
      </c>
      <c r="AE273">
        <v>0</v>
      </c>
      <c r="AF273">
        <v>11.952475</v>
      </c>
      <c r="AG273">
        <v>2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</row>
    <row r="274" spans="1:57" x14ac:dyDescent="0.25">
      <c r="A274">
        <v>30</v>
      </c>
      <c r="B274" t="s">
        <v>455</v>
      </c>
      <c r="C274" t="s">
        <v>667</v>
      </c>
      <c r="E274" t="s">
        <v>876</v>
      </c>
      <c r="F274" t="s">
        <v>91</v>
      </c>
      <c r="G274">
        <v>90442091</v>
      </c>
      <c r="H274">
        <v>35.58</v>
      </c>
      <c r="I274" t="s">
        <v>97</v>
      </c>
      <c r="J274">
        <v>7872950.0031764703</v>
      </c>
      <c r="K274">
        <v>12352314.402666699</v>
      </c>
      <c r="N274">
        <v>7940097.6257575797</v>
      </c>
      <c r="O274">
        <v>40.695793000000002</v>
      </c>
      <c r="P274">
        <v>42.486849999999997</v>
      </c>
      <c r="Q274">
        <v>8668053.8672000002</v>
      </c>
      <c r="R274">
        <v>38.659669999999998</v>
      </c>
      <c r="S274">
        <v>10376748.438181801</v>
      </c>
      <c r="T274">
        <v>12076211.867025301</v>
      </c>
      <c r="U274" t="s">
        <v>96</v>
      </c>
      <c r="V274" t="s">
        <v>1085</v>
      </c>
      <c r="W274">
        <v>1</v>
      </c>
      <c r="X274">
        <v>36.26</v>
      </c>
      <c r="Y274">
        <v>35.58</v>
      </c>
      <c r="Z274">
        <v>0.8</v>
      </c>
      <c r="AA274">
        <v>2574343678.224</v>
      </c>
      <c r="AB274">
        <f>_xlfn.XLOOKUP(E274,[2]generation_steps!$C$2:$C$5101,[2]generation_steps!$G$2:$G$5101)</f>
        <v>2574343678.224</v>
      </c>
      <c r="AC274">
        <v>19.135375</v>
      </c>
      <c r="AD274">
        <v>0</v>
      </c>
      <c r="AE274">
        <v>0</v>
      </c>
      <c r="AF274">
        <v>19.135375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</row>
    <row r="275" spans="1:57" x14ac:dyDescent="0.25">
      <c r="A275">
        <v>287</v>
      </c>
      <c r="B275" t="s">
        <v>637</v>
      </c>
      <c r="C275" t="s">
        <v>847</v>
      </c>
      <c r="E275" t="s">
        <v>1056</v>
      </c>
      <c r="F275" t="s">
        <v>89</v>
      </c>
      <c r="G275">
        <v>234359146</v>
      </c>
      <c r="H275">
        <v>15.654999999999999</v>
      </c>
      <c r="I275" t="s">
        <v>97</v>
      </c>
      <c r="J275">
        <v>9608715.4231078401</v>
      </c>
      <c r="K275">
        <v>9031487.7053333297</v>
      </c>
      <c r="N275">
        <v>8818995.0698863696</v>
      </c>
      <c r="O275">
        <v>24.992239000000001</v>
      </c>
      <c r="P275">
        <v>23.242252000000001</v>
      </c>
      <c r="Q275">
        <v>7995507.7515500002</v>
      </c>
      <c r="R275">
        <v>30.483312999999999</v>
      </c>
      <c r="S275">
        <v>8541811.1452272702</v>
      </c>
      <c r="T275">
        <v>9951458.5849702209</v>
      </c>
      <c r="U275" t="s">
        <v>96</v>
      </c>
      <c r="V275" t="s">
        <v>1267</v>
      </c>
      <c r="W275">
        <v>1</v>
      </c>
      <c r="X275">
        <v>15.68</v>
      </c>
      <c r="Y275">
        <v>15.654999999999999</v>
      </c>
      <c r="Z275">
        <v>0.70000000000000007</v>
      </c>
      <c r="AA275">
        <v>2568224701.441</v>
      </c>
      <c r="AB275">
        <f>_xlfn.XLOOKUP(E275,[2]generation_steps!$C$2:$C$5101,[2]generation_steps!$G$2:$G$5101)</f>
        <v>2568224701.441</v>
      </c>
      <c r="AC275">
        <v>21.020111180000001</v>
      </c>
      <c r="AD275">
        <v>0</v>
      </c>
      <c r="AE275">
        <v>0</v>
      </c>
      <c r="AF275">
        <v>21.020111180000001</v>
      </c>
      <c r="AG275">
        <v>2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</row>
    <row r="276" spans="1:57" x14ac:dyDescent="0.25">
      <c r="A276">
        <v>130</v>
      </c>
      <c r="B276" t="s">
        <v>528</v>
      </c>
      <c r="C276" t="s">
        <v>739</v>
      </c>
      <c r="E276" t="s">
        <v>948</v>
      </c>
      <c r="F276" t="s">
        <v>88</v>
      </c>
      <c r="G276">
        <v>65500000</v>
      </c>
      <c r="H276">
        <v>38.5</v>
      </c>
      <c r="I276" t="s">
        <v>97</v>
      </c>
      <c r="J276">
        <v>4841604.8379051397</v>
      </c>
      <c r="K276">
        <v>4019414.9240000001</v>
      </c>
      <c r="N276">
        <v>4478026.2779545505</v>
      </c>
      <c r="O276">
        <v>28.176459999999999</v>
      </c>
      <c r="P276">
        <v>26.687602999999999</v>
      </c>
      <c r="Q276">
        <v>4250961.5630999999</v>
      </c>
      <c r="R276">
        <v>29.097398999999999</v>
      </c>
      <c r="S276">
        <v>4167147.3990909099</v>
      </c>
      <c r="T276">
        <v>4856786.7043745099</v>
      </c>
      <c r="U276" t="s">
        <v>96</v>
      </c>
      <c r="V276" t="s">
        <v>1158</v>
      </c>
      <c r="W276">
        <v>1</v>
      </c>
      <c r="X276">
        <v>38.380000000000003</v>
      </c>
      <c r="Y276">
        <v>38.5</v>
      </c>
      <c r="Z276">
        <v>1</v>
      </c>
      <c r="AA276">
        <v>2521750000</v>
      </c>
      <c r="AB276">
        <f>_xlfn.XLOOKUP(E276,[2]generation_steps!$C$2:$C$5101,[2]generation_steps!$G$2:$G$5101)</f>
        <v>2521750000</v>
      </c>
      <c r="AC276">
        <v>26.609774999999999</v>
      </c>
      <c r="AD276">
        <v>0</v>
      </c>
      <c r="AE276">
        <v>0</v>
      </c>
      <c r="AF276">
        <v>26.609774999999999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</row>
    <row r="277" spans="1:57" x14ac:dyDescent="0.25">
      <c r="A277">
        <v>140</v>
      </c>
      <c r="B277" t="s">
        <v>537</v>
      </c>
      <c r="C277" t="s">
        <v>748</v>
      </c>
      <c r="E277" t="s">
        <v>957</v>
      </c>
      <c r="F277" t="s">
        <v>91</v>
      </c>
      <c r="G277">
        <v>90370864</v>
      </c>
      <c r="H277">
        <v>138</v>
      </c>
      <c r="I277" t="s">
        <v>97</v>
      </c>
      <c r="J277">
        <v>2132610.7105882298</v>
      </c>
      <c r="K277">
        <v>1212634</v>
      </c>
      <c r="N277">
        <v>1980369.625</v>
      </c>
      <c r="O277">
        <v>15.111317</v>
      </c>
      <c r="P277">
        <v>16.063939999999999</v>
      </c>
      <c r="Q277">
        <v>1948543.3729999999</v>
      </c>
      <c r="R277">
        <v>17.884018000000001</v>
      </c>
      <c r="S277">
        <v>2164771.5318181799</v>
      </c>
      <c r="T277">
        <v>2528696.4464222402</v>
      </c>
      <c r="U277" t="s">
        <v>96</v>
      </c>
      <c r="V277" t="s">
        <v>1167</v>
      </c>
      <c r="W277">
        <v>1</v>
      </c>
      <c r="X277">
        <v>137.80000000000001</v>
      </c>
      <c r="Y277">
        <v>138</v>
      </c>
      <c r="Z277">
        <v>0.2</v>
      </c>
      <c r="AA277">
        <v>2494235846.4000001</v>
      </c>
      <c r="AB277">
        <f>_xlfn.XLOOKUP(E277,[2]generation_steps!$C$2:$C$5101,[2]generation_steps!$G$2:$G$5101)</f>
        <v>2494235846.4000001</v>
      </c>
      <c r="AC277">
        <v>21.311214469999999</v>
      </c>
      <c r="AD277">
        <v>0</v>
      </c>
      <c r="AE277">
        <v>0</v>
      </c>
      <c r="AF277">
        <v>21.311214469999999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</row>
    <row r="278" spans="1:57" x14ac:dyDescent="0.25">
      <c r="A278">
        <v>2</v>
      </c>
      <c r="B278" t="s">
        <v>435</v>
      </c>
      <c r="C278" t="s">
        <v>647</v>
      </c>
      <c r="E278" t="s">
        <v>856</v>
      </c>
      <c r="F278" t="s">
        <v>91</v>
      </c>
      <c r="G278">
        <v>110580102</v>
      </c>
      <c r="H278">
        <v>26.32</v>
      </c>
      <c r="I278" t="s">
        <v>97</v>
      </c>
      <c r="J278">
        <v>6992305.32941176</v>
      </c>
      <c r="K278">
        <v>6065672.44666667</v>
      </c>
      <c r="N278">
        <v>7263299.5584090902</v>
      </c>
      <c r="O278">
        <v>32.723784999999999</v>
      </c>
      <c r="P278">
        <v>34.940272999999998</v>
      </c>
      <c r="Q278">
        <v>7823464.4468</v>
      </c>
      <c r="R278">
        <v>33.573948000000001</v>
      </c>
      <c r="S278">
        <v>7122574.7718181796</v>
      </c>
      <c r="T278">
        <v>8305906.5983072501</v>
      </c>
      <c r="U278" t="s">
        <v>96</v>
      </c>
      <c r="V278" t="s">
        <v>1065</v>
      </c>
      <c r="W278">
        <v>1</v>
      </c>
      <c r="X278">
        <v>28.28</v>
      </c>
      <c r="Y278">
        <v>26.32</v>
      </c>
      <c r="Z278">
        <v>0.85000000000000009</v>
      </c>
      <c r="AA278">
        <v>2473898041.9439998</v>
      </c>
      <c r="AB278">
        <f>_xlfn.XLOOKUP(E278,[2]generation_steps!$C$2:$C$5101,[2]generation_steps!$G$2:$G$5101)</f>
        <v>2473898041.9439998</v>
      </c>
      <c r="AC278">
        <v>26.150704999999999</v>
      </c>
      <c r="AD278">
        <v>0</v>
      </c>
      <c r="AE278">
        <v>0</v>
      </c>
      <c r="AF278">
        <v>26.150704999999999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</row>
    <row r="279" spans="1:57" x14ac:dyDescent="0.25">
      <c r="A279">
        <v>91</v>
      </c>
      <c r="B279" t="s">
        <v>504</v>
      </c>
      <c r="C279" t="s">
        <v>715</v>
      </c>
      <c r="E279" t="s">
        <v>924</v>
      </c>
      <c r="F279" t="s">
        <v>93</v>
      </c>
      <c r="G279">
        <v>151294737</v>
      </c>
      <c r="H279">
        <v>34.96</v>
      </c>
      <c r="I279" t="s">
        <v>97</v>
      </c>
      <c r="J279">
        <v>3595684.2467460302</v>
      </c>
      <c r="K279">
        <v>7209067.3946666699</v>
      </c>
      <c r="N279">
        <v>3526463.08</v>
      </c>
      <c r="O279">
        <v>31.621267</v>
      </c>
      <c r="P279">
        <v>33.987316</v>
      </c>
      <c r="Q279">
        <v>3881064.0465000002</v>
      </c>
      <c r="R279">
        <v>34.276516000000001</v>
      </c>
      <c r="S279">
        <v>4478477.80424242</v>
      </c>
      <c r="T279">
        <v>5215047.0280330405</v>
      </c>
      <c r="U279" t="s">
        <v>96</v>
      </c>
      <c r="V279" t="s">
        <v>1134</v>
      </c>
      <c r="W279">
        <v>1</v>
      </c>
      <c r="X279">
        <v>36.880000000000003</v>
      </c>
      <c r="Y279">
        <v>34.96</v>
      </c>
      <c r="Z279">
        <v>0.45</v>
      </c>
      <c r="AA279">
        <v>2380168802.4840002</v>
      </c>
      <c r="AB279">
        <f>_xlfn.XLOOKUP(E279,[2]generation_steps!$C$2:$C$5101,[2]generation_steps!$G$2:$G$5101)</f>
        <v>2380168802.4840002</v>
      </c>
      <c r="AC279">
        <v>21.199421869999998</v>
      </c>
      <c r="AD279">
        <v>0</v>
      </c>
      <c r="AE279">
        <v>0</v>
      </c>
      <c r="AF279">
        <v>21.199421869999998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</row>
    <row r="280" spans="1:57" x14ac:dyDescent="0.25">
      <c r="A280">
        <v>156</v>
      </c>
      <c r="B280" t="s">
        <v>545</v>
      </c>
      <c r="C280" t="s">
        <v>756</v>
      </c>
      <c r="E280" t="s">
        <v>965</v>
      </c>
      <c r="F280" t="s">
        <v>91</v>
      </c>
      <c r="G280">
        <v>500000000</v>
      </c>
      <c r="H280">
        <v>9.4499999999999993</v>
      </c>
      <c r="I280" t="s">
        <v>97</v>
      </c>
      <c r="J280">
        <v>9586237.6746274494</v>
      </c>
      <c r="K280">
        <v>13776285.0766667</v>
      </c>
      <c r="N280">
        <v>10407552.9077652</v>
      </c>
      <c r="O280">
        <v>37.651980000000002</v>
      </c>
      <c r="P280">
        <v>39.076230000000002</v>
      </c>
      <c r="Q280">
        <v>10648583.968800001</v>
      </c>
      <c r="R280">
        <v>41.58905</v>
      </c>
      <c r="S280">
        <v>12901565.3501515</v>
      </c>
      <c r="T280">
        <v>15041166.292094501</v>
      </c>
      <c r="U280" t="s">
        <v>96</v>
      </c>
      <c r="V280" t="s">
        <v>1175</v>
      </c>
      <c r="W280">
        <v>1</v>
      </c>
      <c r="X280">
        <v>10.26</v>
      </c>
      <c r="Y280">
        <v>9.4499999999999993</v>
      </c>
      <c r="Z280">
        <v>0.5</v>
      </c>
      <c r="AA280">
        <v>2362500000</v>
      </c>
      <c r="AB280">
        <f>_xlfn.XLOOKUP(E280,[2]generation_steps!$C$2:$C$5101,[2]generation_steps!$G$2:$G$5101)</f>
        <v>2362500000</v>
      </c>
      <c r="AC280">
        <v>17.281818749999999</v>
      </c>
      <c r="AD280">
        <v>0</v>
      </c>
      <c r="AE280">
        <v>0</v>
      </c>
      <c r="AF280">
        <v>17.281818749999999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</row>
    <row r="281" spans="1:57" x14ac:dyDescent="0.25">
      <c r="A281">
        <v>286</v>
      </c>
      <c r="B281" t="s">
        <v>636</v>
      </c>
      <c r="C281" t="s">
        <v>846</v>
      </c>
      <c r="E281" t="s">
        <v>1055</v>
      </c>
      <c r="F281" t="s">
        <v>89</v>
      </c>
      <c r="G281">
        <v>245607624</v>
      </c>
      <c r="H281">
        <v>10.505000000000001</v>
      </c>
      <c r="I281" t="s">
        <v>97</v>
      </c>
      <c r="J281">
        <v>11919507.146617601</v>
      </c>
      <c r="K281">
        <v>12622093.714</v>
      </c>
      <c r="N281">
        <v>10990305.640670501</v>
      </c>
      <c r="O281">
        <v>42.352004999999998</v>
      </c>
      <c r="P281">
        <v>42.748283000000001</v>
      </c>
      <c r="Q281">
        <v>10952854.600555001</v>
      </c>
      <c r="R281">
        <v>45.317368000000002</v>
      </c>
      <c r="S281">
        <v>11101725.592507601</v>
      </c>
      <c r="T281">
        <v>12931453.0095063</v>
      </c>
      <c r="U281" t="s">
        <v>96</v>
      </c>
      <c r="V281" t="s">
        <v>1266</v>
      </c>
      <c r="W281">
        <v>1</v>
      </c>
      <c r="X281">
        <v>11.345000000000001</v>
      </c>
      <c r="Y281">
        <v>10.505000000000001</v>
      </c>
      <c r="Z281">
        <v>0.9</v>
      </c>
      <c r="AA281">
        <v>2322097281.1079998</v>
      </c>
      <c r="AB281">
        <f>_xlfn.XLOOKUP(E281,[2]generation_steps!$C$2:$C$5101,[2]generation_steps!$G$2:$G$5101)</f>
        <v>2322097281.1079998</v>
      </c>
      <c r="AC281">
        <v>17.29798662</v>
      </c>
      <c r="AD281">
        <v>0</v>
      </c>
      <c r="AE281">
        <v>0</v>
      </c>
      <c r="AF281">
        <v>17.29798662</v>
      </c>
      <c r="AG281">
        <v>2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</row>
    <row r="282" spans="1:57" x14ac:dyDescent="0.25">
      <c r="A282">
        <v>23</v>
      </c>
      <c r="B282" t="s">
        <v>450</v>
      </c>
      <c r="C282" t="s">
        <v>662</v>
      </c>
      <c r="E282" t="s">
        <v>871</v>
      </c>
      <c r="F282" t="s">
        <v>91</v>
      </c>
      <c r="G282">
        <v>601548734</v>
      </c>
      <c r="H282">
        <v>6.375</v>
      </c>
      <c r="I282" t="s">
        <v>97</v>
      </c>
      <c r="J282">
        <v>4230038.0908686304</v>
      </c>
      <c r="K282">
        <v>3407207.8753333301</v>
      </c>
      <c r="N282">
        <v>5032506.1046022698</v>
      </c>
      <c r="O282">
        <v>29.085781000000001</v>
      </c>
      <c r="P282">
        <v>29.267199000000002</v>
      </c>
      <c r="Q282">
        <v>4987309.9564749999</v>
      </c>
      <c r="R282">
        <v>31.33398</v>
      </c>
      <c r="S282">
        <v>4091663.3379166699</v>
      </c>
      <c r="T282">
        <v>4774508.9949065996</v>
      </c>
      <c r="U282" t="s">
        <v>96</v>
      </c>
      <c r="V282" t="s">
        <v>1080</v>
      </c>
      <c r="W282">
        <v>1</v>
      </c>
      <c r="X282">
        <v>7.7350000000000003</v>
      </c>
      <c r="Y282">
        <v>6.375</v>
      </c>
      <c r="Z282">
        <v>0.60000000000000009</v>
      </c>
      <c r="AA282">
        <v>2300923907.5500002</v>
      </c>
      <c r="AB282">
        <f>_xlfn.XLOOKUP(E282,[2]generation_steps!$C$2:$C$5101,[2]generation_steps!$G$2:$G$5101)</f>
        <v>2300923907.5500002</v>
      </c>
      <c r="AC282">
        <v>19.32851526</v>
      </c>
      <c r="AD282">
        <v>0</v>
      </c>
      <c r="AE282">
        <v>0</v>
      </c>
      <c r="AF282">
        <v>19.32851526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</row>
    <row r="283" spans="1:57" x14ac:dyDescent="0.25">
      <c r="A283">
        <v>159</v>
      </c>
      <c r="B283" t="s">
        <v>547</v>
      </c>
      <c r="C283" t="s">
        <v>758</v>
      </c>
      <c r="E283" t="s">
        <v>967</v>
      </c>
      <c r="F283" t="s">
        <v>93</v>
      </c>
      <c r="G283">
        <v>931890010</v>
      </c>
      <c r="H283">
        <v>7.8949999999999996</v>
      </c>
      <c r="I283" t="s">
        <v>97</v>
      </c>
      <c r="J283">
        <v>14648754.818710299</v>
      </c>
      <c r="K283">
        <v>29574676.7808333</v>
      </c>
      <c r="N283">
        <v>15060122.766927499</v>
      </c>
      <c r="O283">
        <v>21.012090000000001</v>
      </c>
      <c r="P283">
        <v>22.51718</v>
      </c>
      <c r="Q283">
        <v>14699707.007975001</v>
      </c>
      <c r="R283">
        <v>23.457122999999999</v>
      </c>
      <c r="S283">
        <v>16730854.0285227</v>
      </c>
      <c r="T283">
        <v>19482986.3908378</v>
      </c>
      <c r="U283" t="s">
        <v>96</v>
      </c>
      <c r="V283" t="s">
        <v>1177</v>
      </c>
      <c r="W283">
        <v>1</v>
      </c>
      <c r="X283">
        <v>7.5949999999999998</v>
      </c>
      <c r="Y283">
        <v>7.8949999999999996</v>
      </c>
      <c r="Z283">
        <v>0.3</v>
      </c>
      <c r="AA283">
        <v>2207181488.6849999</v>
      </c>
      <c r="AB283">
        <f>_xlfn.XLOOKUP(E283,[2]generation_steps!$C$2:$C$5101,[2]generation_steps!$G$2:$G$5101)</f>
        <v>2207181488.6849999</v>
      </c>
      <c r="AC283">
        <v>15.1733125</v>
      </c>
      <c r="AD283">
        <v>0</v>
      </c>
      <c r="AE283">
        <v>0</v>
      </c>
      <c r="AF283">
        <v>15.1733125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</row>
    <row r="284" spans="1:57" x14ac:dyDescent="0.25">
      <c r="A284">
        <v>166</v>
      </c>
      <c r="B284" t="s">
        <v>552</v>
      </c>
      <c r="C284" t="s">
        <v>763</v>
      </c>
      <c r="E284" t="s">
        <v>972</v>
      </c>
      <c r="F284" t="s">
        <v>95</v>
      </c>
      <c r="G284">
        <v>155342560</v>
      </c>
      <c r="H284">
        <v>18.940000000000001</v>
      </c>
      <c r="I284" t="s">
        <v>97</v>
      </c>
      <c r="J284">
        <v>3750466.3868273101</v>
      </c>
      <c r="K284">
        <v>4233562.9913333301</v>
      </c>
      <c r="N284">
        <v>3645423.6933076899</v>
      </c>
      <c r="O284">
        <v>21.343350000000001</v>
      </c>
      <c r="P284">
        <v>22.228974999999998</v>
      </c>
      <c r="Q284">
        <v>3906002.6247999999</v>
      </c>
      <c r="R284">
        <v>24.84198</v>
      </c>
      <c r="S284">
        <v>4142784.4575757599</v>
      </c>
      <c r="T284">
        <v>4828091.7523178002</v>
      </c>
      <c r="U284" t="s">
        <v>96</v>
      </c>
      <c r="V284" t="s">
        <v>1182</v>
      </c>
      <c r="W284">
        <v>1</v>
      </c>
      <c r="X284">
        <v>19.350000000000001</v>
      </c>
      <c r="Y284">
        <v>18.940000000000001</v>
      </c>
      <c r="Z284">
        <v>0.75</v>
      </c>
      <c r="AA284">
        <v>2206641064.8000002</v>
      </c>
      <c r="AB284">
        <f>_xlfn.XLOOKUP(E284,[2]generation_steps!$C$2:$C$5101,[2]generation_steps!$G$2:$G$5101)</f>
        <v>2206641064.8000002</v>
      </c>
      <c r="AC284">
        <v>19.48558375</v>
      </c>
      <c r="AD284">
        <v>0</v>
      </c>
      <c r="AE284">
        <v>0</v>
      </c>
      <c r="AF284">
        <v>19.48558375</v>
      </c>
      <c r="AG284">
        <v>2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</row>
    <row r="285" spans="1:57" x14ac:dyDescent="0.25">
      <c r="A285">
        <v>8</v>
      </c>
      <c r="B285" t="s">
        <v>440</v>
      </c>
      <c r="C285" t="s">
        <v>652</v>
      </c>
      <c r="E285" t="s">
        <v>861</v>
      </c>
      <c r="F285" t="s">
        <v>90</v>
      </c>
      <c r="G285">
        <v>249335370</v>
      </c>
      <c r="H285">
        <v>11.53</v>
      </c>
      <c r="I285" t="s">
        <v>97</v>
      </c>
      <c r="J285">
        <v>9055712.9957435299</v>
      </c>
      <c r="K285">
        <v>7330625.3113333397</v>
      </c>
      <c r="N285">
        <v>8849271.9169378802</v>
      </c>
      <c r="O285">
        <v>26.326048</v>
      </c>
      <c r="P285">
        <v>25.235855000000001</v>
      </c>
      <c r="Q285">
        <v>8998525.1054500099</v>
      </c>
      <c r="R285">
        <v>30.498377000000001</v>
      </c>
      <c r="S285">
        <v>8393493.5888636392</v>
      </c>
      <c r="T285">
        <v>9778240.1873382293</v>
      </c>
      <c r="U285" t="s">
        <v>96</v>
      </c>
      <c r="V285" t="s">
        <v>1070</v>
      </c>
      <c r="W285">
        <v>1</v>
      </c>
      <c r="X285">
        <v>12.2</v>
      </c>
      <c r="Y285">
        <v>11.53</v>
      </c>
      <c r="Z285">
        <v>0.75</v>
      </c>
      <c r="AA285">
        <v>2156127612.0749998</v>
      </c>
      <c r="AB285">
        <f>_xlfn.XLOOKUP(E285,[2]generation_steps!$C$2:$C$5101,[2]generation_steps!$G$2:$G$5101)</f>
        <v>2156127612.0749998</v>
      </c>
      <c r="AC285">
        <v>23.581217250000002</v>
      </c>
      <c r="AD285">
        <v>0</v>
      </c>
      <c r="AE285">
        <v>0</v>
      </c>
      <c r="AF285">
        <v>23.581217250000002</v>
      </c>
      <c r="AG285">
        <v>2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</row>
    <row r="286" spans="1:57" x14ac:dyDescent="0.25">
      <c r="A286">
        <v>206</v>
      </c>
      <c r="B286" t="s">
        <v>583</v>
      </c>
      <c r="C286" t="s">
        <v>793</v>
      </c>
      <c r="E286" t="s">
        <v>1002</v>
      </c>
      <c r="F286" t="s">
        <v>92</v>
      </c>
      <c r="G286">
        <v>70614600</v>
      </c>
      <c r="H286">
        <v>76.2</v>
      </c>
      <c r="I286" t="s">
        <v>97</v>
      </c>
      <c r="J286">
        <v>269848.24584980297</v>
      </c>
      <c r="K286">
        <v>275389.82666666701</v>
      </c>
      <c r="N286">
        <v>280189.58030302997</v>
      </c>
      <c r="O286">
        <v>2.0578699999999999</v>
      </c>
      <c r="P286">
        <v>1.8941121999999999</v>
      </c>
      <c r="Q286">
        <v>292097.886</v>
      </c>
      <c r="R286">
        <v>2.4824188</v>
      </c>
      <c r="S286">
        <v>303210.68787878798</v>
      </c>
      <c r="T286">
        <v>353552.48405910301</v>
      </c>
      <c r="U286" t="s">
        <v>96</v>
      </c>
      <c r="V286" t="s">
        <v>1213</v>
      </c>
      <c r="W286">
        <v>1</v>
      </c>
      <c r="X286">
        <v>76.2</v>
      </c>
      <c r="Y286">
        <v>76.2</v>
      </c>
      <c r="Z286">
        <v>0.4</v>
      </c>
      <c r="AA286">
        <v>2152333008</v>
      </c>
      <c r="AB286">
        <f>_xlfn.XLOOKUP(E286,[2]generation_steps!$C$2:$C$5101,[2]generation_steps!$G$2:$G$5101)</f>
        <v>2152333008</v>
      </c>
      <c r="AC286">
        <v>22.456218750000001</v>
      </c>
      <c r="AD286">
        <v>0</v>
      </c>
      <c r="AE286">
        <v>0</v>
      </c>
      <c r="AF286">
        <v>22.456218750000001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</row>
    <row r="287" spans="1:57" x14ac:dyDescent="0.25">
      <c r="A287">
        <v>83</v>
      </c>
      <c r="B287" t="s">
        <v>498</v>
      </c>
      <c r="C287" t="s">
        <v>709</v>
      </c>
      <c r="E287" t="s">
        <v>918</v>
      </c>
      <c r="F287" t="s">
        <v>91</v>
      </c>
      <c r="G287">
        <v>485051488</v>
      </c>
      <c r="H287">
        <v>17.7</v>
      </c>
      <c r="I287" t="s">
        <v>97</v>
      </c>
      <c r="J287">
        <v>2097968.7466666698</v>
      </c>
      <c r="K287">
        <v>1895456.3053333301</v>
      </c>
      <c r="N287">
        <v>2072691.46825758</v>
      </c>
      <c r="O287">
        <v>17.917771999999999</v>
      </c>
      <c r="P287">
        <v>17.346304</v>
      </c>
      <c r="Q287">
        <v>2086448.6473000001</v>
      </c>
      <c r="R287">
        <v>24.133237999999999</v>
      </c>
      <c r="S287">
        <v>2199229.2065151501</v>
      </c>
      <c r="T287">
        <v>2562761.84067393</v>
      </c>
      <c r="U287" t="s">
        <v>96</v>
      </c>
      <c r="V287" t="s">
        <v>1128</v>
      </c>
      <c r="W287">
        <v>1</v>
      </c>
      <c r="X287">
        <v>17.82</v>
      </c>
      <c r="Y287">
        <v>17.7</v>
      </c>
      <c r="Z287">
        <v>0.25</v>
      </c>
      <c r="AA287">
        <v>2146352834.4000001</v>
      </c>
      <c r="AB287">
        <f>_xlfn.XLOOKUP(E287,[2]generation_steps!$C$2:$C$5101,[2]generation_steps!$G$2:$G$5101)</f>
        <v>2146352834.4000001</v>
      </c>
      <c r="AC287">
        <v>9.6918531300000001</v>
      </c>
      <c r="AD287">
        <v>0</v>
      </c>
      <c r="AE287">
        <v>0</v>
      </c>
      <c r="AF287">
        <v>9.6918531300000001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</row>
    <row r="288" spans="1:57" x14ac:dyDescent="0.25">
      <c r="A288">
        <v>188</v>
      </c>
      <c r="B288" t="s">
        <v>570</v>
      </c>
      <c r="C288" t="s">
        <v>781</v>
      </c>
      <c r="E288" t="s">
        <v>990</v>
      </c>
      <c r="F288" t="s">
        <v>93</v>
      </c>
      <c r="G288">
        <v>813279689</v>
      </c>
      <c r="H288">
        <v>17.425000000000001</v>
      </c>
      <c r="I288" t="s">
        <v>97</v>
      </c>
      <c r="J288">
        <v>72712589.896091297</v>
      </c>
      <c r="K288">
        <v>28946352.440166701</v>
      </c>
      <c r="N288">
        <v>82989087.649923697</v>
      </c>
      <c r="O288">
        <v>30.703972</v>
      </c>
      <c r="P288">
        <v>31.604578</v>
      </c>
      <c r="Q288">
        <v>84219821.847650006</v>
      </c>
      <c r="R288">
        <v>35.457726000000001</v>
      </c>
      <c r="S288">
        <v>92089128.027424306</v>
      </c>
      <c r="T288">
        <v>107828330.320908</v>
      </c>
      <c r="U288" t="s">
        <v>96</v>
      </c>
      <c r="V288" t="s">
        <v>1200</v>
      </c>
      <c r="W288">
        <v>1</v>
      </c>
      <c r="X288">
        <v>17.035</v>
      </c>
      <c r="Y288">
        <v>17.425000000000001</v>
      </c>
      <c r="Z288">
        <v>0.15</v>
      </c>
      <c r="AA288">
        <v>2125709787.12375</v>
      </c>
      <c r="AB288">
        <f>_xlfn.XLOOKUP(E288,[2]generation_steps!$C$2:$C$5101,[2]generation_steps!$G$2:$G$5101)</f>
        <v>2125709787.12375</v>
      </c>
      <c r="AC288">
        <v>12.61909539</v>
      </c>
      <c r="AD288">
        <v>0</v>
      </c>
      <c r="AE288">
        <v>0</v>
      </c>
      <c r="AF288">
        <v>12.61909539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</row>
    <row r="289" spans="1:57" x14ac:dyDescent="0.25">
      <c r="A289">
        <v>34</v>
      </c>
      <c r="B289" t="s">
        <v>458</v>
      </c>
      <c r="C289" t="s">
        <v>670</v>
      </c>
      <c r="E289" t="s">
        <v>879</v>
      </c>
      <c r="F289" t="s">
        <v>88</v>
      </c>
      <c r="G289">
        <v>1537025600</v>
      </c>
      <c r="H289">
        <v>3.0720000000000001</v>
      </c>
      <c r="I289" t="s">
        <v>97</v>
      </c>
      <c r="J289">
        <v>5531346.4808577001</v>
      </c>
      <c r="K289">
        <v>3878166.5453333301</v>
      </c>
      <c r="N289">
        <v>5212816.0271666702</v>
      </c>
      <c r="O289">
        <v>23.682245000000002</v>
      </c>
      <c r="P289">
        <v>23.146972999999999</v>
      </c>
      <c r="Q289">
        <v>5208028.5726100001</v>
      </c>
      <c r="R289">
        <v>34.203457</v>
      </c>
      <c r="S289">
        <v>5571267.5076818196</v>
      </c>
      <c r="T289">
        <v>6500677.80369737</v>
      </c>
      <c r="U289" t="s">
        <v>96</v>
      </c>
      <c r="V289" t="s">
        <v>1088</v>
      </c>
      <c r="W289">
        <v>1</v>
      </c>
      <c r="X289">
        <v>2.5939999999999999</v>
      </c>
      <c r="Y289">
        <v>3.0720000000000001</v>
      </c>
      <c r="Z289">
        <v>0.45</v>
      </c>
      <c r="AA289">
        <v>2124784189.4400001</v>
      </c>
      <c r="AB289">
        <f>_xlfn.XLOOKUP(E289,[2]generation_steps!$C$2:$C$5101,[2]generation_steps!$G$2:$G$5101)</f>
        <v>2124784189.4400001</v>
      </c>
      <c r="AC289">
        <v>8.7208062500000008</v>
      </c>
      <c r="AD289">
        <v>0</v>
      </c>
      <c r="AE289">
        <v>0</v>
      </c>
      <c r="AF289">
        <v>8.7208062500000008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</row>
    <row r="290" spans="1:57" x14ac:dyDescent="0.25">
      <c r="A290">
        <v>253</v>
      </c>
      <c r="B290" t="s">
        <v>612</v>
      </c>
      <c r="C290" t="s">
        <v>822</v>
      </c>
      <c r="E290" t="s">
        <v>1031</v>
      </c>
      <c r="F290" t="s">
        <v>91</v>
      </c>
      <c r="G290">
        <v>128344238</v>
      </c>
      <c r="H290">
        <v>19.47</v>
      </c>
      <c r="I290" t="s">
        <v>97</v>
      </c>
      <c r="J290">
        <v>11866342.467019601</v>
      </c>
      <c r="K290">
        <v>9853321.5879999995</v>
      </c>
      <c r="N290">
        <v>13988417.3864394</v>
      </c>
      <c r="O290">
        <v>31.465924999999999</v>
      </c>
      <c r="P290">
        <v>32.901980000000002</v>
      </c>
      <c r="Q290">
        <v>10755588.851299999</v>
      </c>
      <c r="R290">
        <v>33.859050000000003</v>
      </c>
      <c r="S290">
        <v>10302089.4271212</v>
      </c>
      <c r="T290">
        <v>12006081.856218699</v>
      </c>
      <c r="U290" t="s">
        <v>96</v>
      </c>
      <c r="V290" t="s">
        <v>1242</v>
      </c>
      <c r="W290">
        <v>1</v>
      </c>
      <c r="X290">
        <v>20.3</v>
      </c>
      <c r="Y290">
        <v>19.47</v>
      </c>
      <c r="Z290">
        <v>0.85000000000000009</v>
      </c>
      <c r="AA290">
        <v>2124032966.7809999</v>
      </c>
      <c r="AB290">
        <f>_xlfn.XLOOKUP(E290,[2]generation_steps!$C$2:$C$5101,[2]generation_steps!$G$2:$G$5101)</f>
        <v>2124032966.7809999</v>
      </c>
      <c r="AC290">
        <v>13.777239639999999</v>
      </c>
      <c r="AD290">
        <v>0</v>
      </c>
      <c r="AE290">
        <v>0</v>
      </c>
      <c r="AF290">
        <v>13.777239639999999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</row>
    <row r="291" spans="1:57" x14ac:dyDescent="0.25">
      <c r="A291">
        <v>45</v>
      </c>
      <c r="B291" t="s">
        <v>467</v>
      </c>
      <c r="C291" t="s">
        <v>679</v>
      </c>
      <c r="E291" t="s">
        <v>888</v>
      </c>
      <c r="F291" t="s">
        <v>91</v>
      </c>
      <c r="G291">
        <v>272000000</v>
      </c>
      <c r="H291">
        <v>7.6449999999999996</v>
      </c>
      <c r="I291" t="s">
        <v>97</v>
      </c>
      <c r="J291">
        <v>6222419.0291627403</v>
      </c>
      <c r="K291">
        <v>5001089.53916666</v>
      </c>
      <c r="N291">
        <v>7208509.0312121203</v>
      </c>
      <c r="O291">
        <v>36.675353999999999</v>
      </c>
      <c r="P291">
        <v>38.882976999999997</v>
      </c>
      <c r="Q291">
        <v>7149861.7374</v>
      </c>
      <c r="R291">
        <v>36.519077000000003</v>
      </c>
      <c r="S291">
        <v>7266245.2727272697</v>
      </c>
      <c r="T291">
        <v>8474667.0883734208</v>
      </c>
      <c r="U291" t="s">
        <v>96</v>
      </c>
      <c r="V291" t="s">
        <v>1097</v>
      </c>
      <c r="W291">
        <v>1</v>
      </c>
      <c r="X291">
        <v>9.02</v>
      </c>
      <c r="Y291">
        <v>7.6449999999999996</v>
      </c>
      <c r="Z291">
        <v>1</v>
      </c>
      <c r="AA291">
        <v>2079440000</v>
      </c>
      <c r="AB291">
        <f>_xlfn.XLOOKUP(E291,[2]generation_steps!$C$2:$C$5101,[2]generation_steps!$G$2:$G$5101)</f>
        <v>2079440000</v>
      </c>
      <c r="AC291">
        <v>23.55845386</v>
      </c>
      <c r="AD291">
        <v>0</v>
      </c>
      <c r="AE291">
        <v>0</v>
      </c>
      <c r="AF291">
        <v>23.55845386</v>
      </c>
      <c r="AG291">
        <v>2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</row>
    <row r="292" spans="1:57" x14ac:dyDescent="0.25">
      <c r="A292">
        <v>212</v>
      </c>
      <c r="B292" t="s">
        <v>587</v>
      </c>
      <c r="C292" t="s">
        <v>797</v>
      </c>
      <c r="E292" t="s">
        <v>1006</v>
      </c>
      <c r="F292" t="s">
        <v>93</v>
      </c>
      <c r="G292">
        <v>1000000000</v>
      </c>
      <c r="H292">
        <v>5.9320000000000004</v>
      </c>
      <c r="I292" t="s">
        <v>97</v>
      </c>
      <c r="J292">
        <v>12303575.171101199</v>
      </c>
      <c r="K292">
        <v>8878791.28606667</v>
      </c>
      <c r="N292">
        <v>11399724.2388626</v>
      </c>
      <c r="O292">
        <v>17.274463999999998</v>
      </c>
      <c r="P292">
        <v>15.019602000000001</v>
      </c>
      <c r="Q292">
        <v>10757110.76496</v>
      </c>
      <c r="R292">
        <v>21.684296</v>
      </c>
      <c r="S292">
        <v>11763946.4443636</v>
      </c>
      <c r="T292">
        <v>13731532.4358676</v>
      </c>
      <c r="U292" t="s">
        <v>96</v>
      </c>
      <c r="V292" t="s">
        <v>1217</v>
      </c>
      <c r="W292">
        <v>1</v>
      </c>
      <c r="X292">
        <v>5.9740000000000002</v>
      </c>
      <c r="Y292">
        <v>5.9320000000000004</v>
      </c>
      <c r="Z292">
        <v>0.35</v>
      </c>
      <c r="AA292">
        <v>2076200000</v>
      </c>
      <c r="AB292">
        <f>_xlfn.XLOOKUP(E292,[2]generation_steps!$C$2:$C$5101,[2]generation_steps!$G$2:$G$5101)</f>
        <v>2076200000</v>
      </c>
      <c r="AC292">
        <v>8.0401799999999994</v>
      </c>
      <c r="AD292">
        <v>0</v>
      </c>
      <c r="AE292">
        <v>0</v>
      </c>
      <c r="AF292">
        <v>8.0401799999999994</v>
      </c>
      <c r="AG292">
        <v>2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</row>
    <row r="293" spans="1:57" x14ac:dyDescent="0.25">
      <c r="A293">
        <v>297</v>
      </c>
      <c r="B293" t="s">
        <v>643</v>
      </c>
      <c r="C293" t="s">
        <v>853</v>
      </c>
      <c r="E293" t="s">
        <v>1062</v>
      </c>
      <c r="F293" t="s">
        <v>89</v>
      </c>
      <c r="G293">
        <v>44512038</v>
      </c>
      <c r="H293">
        <v>77.3</v>
      </c>
      <c r="I293" t="s">
        <v>97</v>
      </c>
      <c r="J293">
        <v>3753445.1177451001</v>
      </c>
      <c r="K293">
        <v>3439712.48833333</v>
      </c>
      <c r="N293">
        <v>3629933.5899621202</v>
      </c>
      <c r="O293">
        <v>21.994247000000001</v>
      </c>
      <c r="P293">
        <v>23.673897</v>
      </c>
      <c r="Q293">
        <v>3597508.48575</v>
      </c>
      <c r="R293">
        <v>24.131730999999998</v>
      </c>
      <c r="S293">
        <v>3601504.2715909099</v>
      </c>
      <c r="T293">
        <v>4203033.8504381096</v>
      </c>
      <c r="U293" t="s">
        <v>96</v>
      </c>
      <c r="V293" t="s">
        <v>1273</v>
      </c>
      <c r="W293">
        <v>1</v>
      </c>
      <c r="X293">
        <v>81.099999999999994</v>
      </c>
      <c r="Y293">
        <v>77.3</v>
      </c>
      <c r="Z293">
        <v>0.60000000000000009</v>
      </c>
      <c r="AA293">
        <v>2064468322.4400001</v>
      </c>
      <c r="AB293">
        <f>_xlfn.XLOOKUP(E293,[2]generation_steps!$C$2:$C$5101,[2]generation_steps!$G$2:$G$5101)</f>
        <v>2064468322.4400001</v>
      </c>
      <c r="AC293">
        <v>9.7939423100000003</v>
      </c>
      <c r="AD293">
        <v>0</v>
      </c>
      <c r="AE293">
        <v>0</v>
      </c>
      <c r="AF293">
        <v>9.7939423100000003</v>
      </c>
      <c r="AG293">
        <v>2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</row>
    <row r="294" spans="1:57" x14ac:dyDescent="0.25">
      <c r="A294">
        <v>186</v>
      </c>
      <c r="B294" t="s">
        <v>568</v>
      </c>
      <c r="C294" t="s">
        <v>779</v>
      </c>
      <c r="E294" t="s">
        <v>988</v>
      </c>
      <c r="F294" t="s">
        <v>93</v>
      </c>
      <c r="G294">
        <v>328640432</v>
      </c>
      <c r="H294">
        <v>12.56</v>
      </c>
      <c r="I294" t="s">
        <v>97</v>
      </c>
      <c r="J294">
        <v>6443480.5429563597</v>
      </c>
      <c r="K294">
        <v>4668608.3590000002</v>
      </c>
      <c r="N294">
        <v>5950397.7756870203</v>
      </c>
      <c r="O294">
        <v>25.138638</v>
      </c>
      <c r="P294">
        <v>26.326384000000001</v>
      </c>
      <c r="Q294">
        <v>5244600.9850000003</v>
      </c>
      <c r="R294">
        <v>33.705745999999998</v>
      </c>
      <c r="S294">
        <v>5367140.5198484799</v>
      </c>
      <c r="T294">
        <v>6248168.5033473801</v>
      </c>
      <c r="U294" t="s">
        <v>96</v>
      </c>
      <c r="V294" t="s">
        <v>1198</v>
      </c>
      <c r="W294">
        <v>1</v>
      </c>
      <c r="X294">
        <v>12.67</v>
      </c>
      <c r="Y294">
        <v>12.56</v>
      </c>
      <c r="Z294">
        <v>0.5</v>
      </c>
      <c r="AA294">
        <v>2063861912.96</v>
      </c>
      <c r="AB294">
        <f>_xlfn.XLOOKUP(E294,[2]generation_steps!$C$2:$C$5101,[2]generation_steps!$G$2:$G$5101)</f>
        <v>2063861912.96</v>
      </c>
      <c r="AC294">
        <v>28.222245449999999</v>
      </c>
      <c r="AD294">
        <v>0</v>
      </c>
      <c r="AE294">
        <v>0</v>
      </c>
      <c r="AF294">
        <v>28.222245449999999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</row>
    <row r="295" spans="1:57" x14ac:dyDescent="0.25">
      <c r="A295">
        <v>248</v>
      </c>
      <c r="B295" t="s">
        <v>610</v>
      </c>
      <c r="C295" t="s">
        <v>820</v>
      </c>
      <c r="E295" t="s">
        <v>1029</v>
      </c>
      <c r="F295" t="s">
        <v>89</v>
      </c>
      <c r="G295">
        <v>383457600</v>
      </c>
      <c r="H295">
        <v>5.6550000000000002</v>
      </c>
      <c r="I295" t="s">
        <v>97</v>
      </c>
      <c r="J295">
        <v>2783088.07174118</v>
      </c>
      <c r="K295">
        <v>3774376.0438666702</v>
      </c>
      <c r="N295">
        <v>2690471.7744697002</v>
      </c>
      <c r="O295">
        <v>44.046356000000003</v>
      </c>
      <c r="P295">
        <v>44.257626000000002</v>
      </c>
      <c r="Q295">
        <v>2686273.8563049999</v>
      </c>
      <c r="R295">
        <v>46.122368000000002</v>
      </c>
      <c r="S295">
        <v>2878635.56398485</v>
      </c>
      <c r="T295">
        <v>3353799.8870693799</v>
      </c>
      <c r="U295" t="s">
        <v>96</v>
      </c>
      <c r="V295" t="s">
        <v>1240</v>
      </c>
      <c r="W295">
        <v>1</v>
      </c>
      <c r="X295">
        <v>5.23</v>
      </c>
      <c r="Y295">
        <v>5.6550000000000002</v>
      </c>
      <c r="Z295">
        <v>0.95000000000000007</v>
      </c>
      <c r="AA295">
        <v>2060030091.5999999</v>
      </c>
      <c r="AB295">
        <f>_xlfn.XLOOKUP(E295,[2]generation_steps!$C$2:$C$5101,[2]generation_steps!$G$2:$G$5101)</f>
        <v>2060030091.5999999</v>
      </c>
      <c r="AC295">
        <v>14.926125000000001</v>
      </c>
      <c r="AD295">
        <v>0</v>
      </c>
      <c r="AE295">
        <v>0</v>
      </c>
      <c r="AF295">
        <v>14.926125000000001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</row>
    <row r="296" spans="1:57" x14ac:dyDescent="0.25">
      <c r="A296">
        <v>38</v>
      </c>
      <c r="B296" t="s">
        <v>461</v>
      </c>
      <c r="C296" t="s">
        <v>673</v>
      </c>
      <c r="E296" t="s">
        <v>882</v>
      </c>
      <c r="F296" t="s">
        <v>88</v>
      </c>
      <c r="G296">
        <v>100050990</v>
      </c>
      <c r="H296">
        <v>36.9</v>
      </c>
      <c r="I296" t="s">
        <v>97</v>
      </c>
      <c r="J296">
        <v>20381899.903616998</v>
      </c>
      <c r="K296">
        <v>8500731.8880000003</v>
      </c>
      <c r="N296">
        <v>20381899.903616998</v>
      </c>
      <c r="O296">
        <v>46.747996999999998</v>
      </c>
      <c r="P296">
        <v>46.747996999999998</v>
      </c>
      <c r="Q296">
        <v>20381899.903616998</v>
      </c>
      <c r="R296">
        <v>46.747996999999998</v>
      </c>
      <c r="S296">
        <v>20381899.903616998</v>
      </c>
      <c r="T296">
        <v>23842996.2616276</v>
      </c>
      <c r="U296" t="s">
        <v>96</v>
      </c>
      <c r="V296" t="s">
        <v>1091</v>
      </c>
      <c r="W296">
        <v>1</v>
      </c>
      <c r="X296">
        <v>42.68</v>
      </c>
      <c r="Y296">
        <v>36.9</v>
      </c>
      <c r="Z296">
        <v>0.55000000000000004</v>
      </c>
      <c r="AA296">
        <v>2030534842.05</v>
      </c>
      <c r="AB296">
        <f>_xlfn.XLOOKUP(E296,[2]generation_steps!$C$2:$C$5101,[2]generation_steps!$G$2:$G$5101)</f>
        <v>2030534842.05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</row>
    <row r="297" spans="1:57" x14ac:dyDescent="0.25">
      <c r="A297">
        <v>201</v>
      </c>
      <c r="B297" t="s">
        <v>580</v>
      </c>
      <c r="C297" t="s">
        <v>790</v>
      </c>
      <c r="E297" t="s">
        <v>999</v>
      </c>
      <c r="F297" t="s">
        <v>93</v>
      </c>
      <c r="G297">
        <v>1172545414</v>
      </c>
      <c r="H297">
        <v>3.7919999999999998</v>
      </c>
      <c r="I297" t="s">
        <v>97</v>
      </c>
      <c r="J297">
        <v>33536187.893488102</v>
      </c>
      <c r="K297">
        <v>49051295.5480332</v>
      </c>
      <c r="N297">
        <v>33202180.499545801</v>
      </c>
      <c r="O297">
        <v>29.326761000000001</v>
      </c>
      <c r="P297">
        <v>29.978676</v>
      </c>
      <c r="Q297">
        <v>32552187.039019998</v>
      </c>
      <c r="R297">
        <v>35.002609999999997</v>
      </c>
      <c r="S297">
        <v>35373208.791060597</v>
      </c>
      <c r="T297">
        <v>41205760.263240904</v>
      </c>
      <c r="U297" t="s">
        <v>96</v>
      </c>
      <c r="V297" t="s">
        <v>1210</v>
      </c>
      <c r="W297">
        <v>1</v>
      </c>
      <c r="X297">
        <v>4.0060000000000002</v>
      </c>
      <c r="Y297">
        <v>3.7919999999999998</v>
      </c>
      <c r="Z297">
        <v>0.45</v>
      </c>
      <c r="AA297">
        <v>2000831494.4496</v>
      </c>
      <c r="AB297">
        <f>_xlfn.XLOOKUP(E297,[2]generation_steps!$C$2:$C$5101,[2]generation_steps!$G$2:$G$5101)</f>
        <v>2000831494.4496</v>
      </c>
      <c r="AC297">
        <v>22.177595</v>
      </c>
      <c r="AD297">
        <v>0</v>
      </c>
      <c r="AE297">
        <v>0</v>
      </c>
      <c r="AF297">
        <v>22.177595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</row>
    <row r="298" spans="1:57" x14ac:dyDescent="0.25">
      <c r="A298">
        <v>124</v>
      </c>
      <c r="B298" t="s">
        <v>523</v>
      </c>
      <c r="C298" t="s">
        <v>734</v>
      </c>
      <c r="E298" t="s">
        <v>943</v>
      </c>
      <c r="F298" t="s">
        <v>90</v>
      </c>
      <c r="G298">
        <v>192129070</v>
      </c>
      <c r="H298">
        <v>23.08</v>
      </c>
      <c r="I298" t="s">
        <v>97</v>
      </c>
      <c r="J298">
        <v>7130279.5814313702</v>
      </c>
      <c r="K298">
        <v>5743717.1960000005</v>
      </c>
      <c r="N298">
        <v>6622754.0200757496</v>
      </c>
      <c r="O298">
        <v>27.132677000000001</v>
      </c>
      <c r="P298">
        <v>28.32197</v>
      </c>
      <c r="Q298">
        <v>5962722.2652000003</v>
      </c>
      <c r="R298">
        <v>31.471191000000001</v>
      </c>
      <c r="S298">
        <v>5779755.8416666696</v>
      </c>
      <c r="T298">
        <v>6728926.4620745098</v>
      </c>
      <c r="U298" t="s">
        <v>96</v>
      </c>
      <c r="V298" t="s">
        <v>1153</v>
      </c>
      <c r="W298">
        <v>1</v>
      </c>
      <c r="X298">
        <v>23.16</v>
      </c>
      <c r="Y298">
        <v>23.08</v>
      </c>
      <c r="Z298">
        <v>0.45</v>
      </c>
      <c r="AA298">
        <v>1995452521.02</v>
      </c>
      <c r="AB298">
        <f>_xlfn.XLOOKUP(E298,[2]generation_steps!$C$2:$C$5101,[2]generation_steps!$G$2:$G$5101)</f>
        <v>1995452521.02</v>
      </c>
      <c r="AC298">
        <v>23.57982063</v>
      </c>
      <c r="AD298">
        <v>0</v>
      </c>
      <c r="AE298">
        <v>0</v>
      </c>
      <c r="AF298">
        <v>23.57982063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</row>
    <row r="299" spans="1:57" x14ac:dyDescent="0.25">
      <c r="A299">
        <v>26</v>
      </c>
      <c r="B299" t="s">
        <v>452</v>
      </c>
      <c r="C299" t="s">
        <v>664</v>
      </c>
      <c r="E299" t="s">
        <v>873</v>
      </c>
      <c r="F299" t="s">
        <v>89</v>
      </c>
      <c r="G299">
        <v>35343326</v>
      </c>
      <c r="H299">
        <v>64.8</v>
      </c>
      <c r="I299" t="s">
        <v>97</v>
      </c>
      <c r="J299">
        <v>3859277.7357843202</v>
      </c>
      <c r="K299">
        <v>4033029.72</v>
      </c>
      <c r="N299">
        <v>3542972.6875</v>
      </c>
      <c r="O299">
        <v>28.495096</v>
      </c>
      <c r="P299">
        <v>28.599943</v>
      </c>
      <c r="Q299">
        <v>3590671.4937499999</v>
      </c>
      <c r="R299">
        <v>36.466090000000001</v>
      </c>
      <c r="S299">
        <v>3965310.8556818198</v>
      </c>
      <c r="T299">
        <v>4618341.7751366599</v>
      </c>
      <c r="U299" t="s">
        <v>96</v>
      </c>
      <c r="V299" t="s">
        <v>1082</v>
      </c>
      <c r="W299">
        <v>1</v>
      </c>
      <c r="X299">
        <v>73</v>
      </c>
      <c r="Y299">
        <v>64.8</v>
      </c>
      <c r="Z299">
        <v>0.85000000000000009</v>
      </c>
      <c r="AA299">
        <v>1946710396.0799999</v>
      </c>
      <c r="AB299">
        <f>_xlfn.XLOOKUP(E299,[2]generation_steps!$C$2:$C$5101,[2]generation_steps!$G$2:$G$5101)</f>
        <v>1946710396.0799999</v>
      </c>
      <c r="AC299">
        <v>17.645700000000001</v>
      </c>
      <c r="AD299">
        <v>0</v>
      </c>
      <c r="AE299">
        <v>0</v>
      </c>
      <c r="AF299">
        <v>17.645700000000001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</row>
    <row r="300" spans="1:57" x14ac:dyDescent="0.25">
      <c r="A300">
        <v>123</v>
      </c>
      <c r="B300" t="s">
        <v>522</v>
      </c>
      <c r="C300" t="s">
        <v>733</v>
      </c>
      <c r="E300" t="s">
        <v>942</v>
      </c>
      <c r="F300" t="s">
        <v>92</v>
      </c>
      <c r="G300">
        <v>84000000</v>
      </c>
      <c r="H300">
        <v>53</v>
      </c>
      <c r="I300" t="s">
        <v>97</v>
      </c>
      <c r="J300">
        <v>75155.840476190497</v>
      </c>
      <c r="K300">
        <v>33415.213333333297</v>
      </c>
      <c r="N300">
        <v>85432.868181818194</v>
      </c>
      <c r="O300">
        <v>21.176950000000001</v>
      </c>
      <c r="P300">
        <v>21.756851000000001</v>
      </c>
      <c r="Q300">
        <v>95136.392000000007</v>
      </c>
      <c r="R300">
        <v>22.035782000000001</v>
      </c>
      <c r="S300">
        <v>96474.418181818197</v>
      </c>
      <c r="T300">
        <v>112794.81500183399</v>
      </c>
      <c r="U300" t="s">
        <v>96</v>
      </c>
      <c r="V300" t="s">
        <v>1152</v>
      </c>
      <c r="W300">
        <v>1</v>
      </c>
      <c r="X300">
        <v>54.8</v>
      </c>
      <c r="Z300">
        <v>1</v>
      </c>
      <c r="AC300">
        <v>22.02930787</v>
      </c>
      <c r="AD300">
        <v>0</v>
      </c>
      <c r="AE300">
        <v>0</v>
      </c>
      <c r="AF300">
        <v>22.02930787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</row>
    <row r="301" spans="1:57" x14ac:dyDescent="0.25">
      <c r="A301">
        <v>185</v>
      </c>
      <c r="B301" t="s">
        <v>567</v>
      </c>
      <c r="C301" t="s">
        <v>778</v>
      </c>
      <c r="E301" t="s">
        <v>987</v>
      </c>
      <c r="F301" t="s">
        <v>91</v>
      </c>
      <c r="G301">
        <v>612259739</v>
      </c>
      <c r="H301">
        <v>13.44768515</v>
      </c>
      <c r="I301" t="s">
        <v>97</v>
      </c>
      <c r="J301">
        <v>3650398.736</v>
      </c>
      <c r="K301">
        <v>3201151.1850000001</v>
      </c>
      <c r="N301">
        <v>2968536.1639999999</v>
      </c>
      <c r="O301">
        <v>0.80589823100000002</v>
      </c>
      <c r="P301">
        <v>0.83060940299999997</v>
      </c>
      <c r="Q301">
        <v>3084673.1460000002</v>
      </c>
      <c r="R301">
        <v>0.98213662300000004</v>
      </c>
      <c r="S301">
        <v>3230482.8470000001</v>
      </c>
      <c r="T301">
        <v>0</v>
      </c>
      <c r="U301" t="s">
        <v>96</v>
      </c>
      <c r="V301" t="s">
        <v>1197</v>
      </c>
      <c r="W301">
        <v>1</v>
      </c>
      <c r="X301">
        <v>13.78</v>
      </c>
      <c r="Z301">
        <v>0.8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</row>
  </sheetData>
  <autoFilter ref="A1:BE301" xr:uid="{00000000-0001-0000-0800-000000000000}">
    <sortState xmlns:xlrd2="http://schemas.microsoft.com/office/spreadsheetml/2017/richdata2" ref="A2:BE301">
      <sortCondition descending="1" ref="AA1:AA3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1277</v>
      </c>
    </row>
    <row r="2" spans="1:1" x14ac:dyDescent="0.25">
      <c r="A2">
        <v>2584345332.1149998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 Composition</vt:lpstr>
      <vt:lpstr>Inclusion</vt:lpstr>
      <vt:lpstr>Exclusion</vt:lpstr>
      <vt:lpstr>Top 40 Selection</vt:lpstr>
      <vt:lpstr>Sheet1</vt:lpstr>
      <vt:lpstr>ESG Ranked Eligible 60</vt:lpstr>
      <vt:lpstr>FFMC Eligible 60</vt:lpstr>
      <vt:lpstr>Excluded Companies</vt:lpstr>
      <vt:lpstr>Post Exclusion Universe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2026-02-10T10:43:34Z</dcterms:created>
  <dcterms:modified xsi:type="dcterms:W3CDTF">2026-02-10T12:19:03Z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2026-02-10T10:46:33Z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63b4a973-55aa-451f-b5a1-6bd13df42315</vt:lpwstr>
  </property>
  <property fmtid="{D5CDD505-2E9C-101B-9397-08002B2CF9AE}" pid="8" name="MSIP_Label_ac0b9ce6-6e99-42a1-af95-429494370cbc_ContentBits">
    <vt:lpwstr>2</vt:lpwstr>
  </property>
</Properties>
</file>