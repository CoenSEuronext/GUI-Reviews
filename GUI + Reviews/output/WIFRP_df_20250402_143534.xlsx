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0BD3FF0179564204950F4206094D2BD2B929CCB7" xr6:coauthVersionLast="47" xr6:coauthVersionMax="47" xr10:uidLastSave="{2E2A9C2E-2DDA-404E-A0B6-5F7A9258EBCA}"/>
  <bookViews>
    <workbookView xWindow="-29115" yWindow="-16005" windowWidth="29040" windowHeight="15840" activeTab="1" xr2:uid="{00000000-000D-0000-FFFF-FFFF00000000}"/>
  </bookViews>
  <sheets>
    <sheet name="Index Composition" sheetId="1" r:id="rId1"/>
    <sheet name="Detailed Selection" sheetId="2" r:id="rId2"/>
    <sheet name="Full Universe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41" i="2" l="1"/>
  <c r="BF40" i="2"/>
  <c r="BF39" i="2"/>
  <c r="BF38" i="2"/>
  <c r="BF37" i="2"/>
  <c r="BF36" i="2"/>
  <c r="BF35" i="2"/>
  <c r="BF34" i="2"/>
  <c r="BF33" i="2"/>
  <c r="BF32" i="2"/>
  <c r="BF31" i="2"/>
  <c r="BF30" i="2"/>
  <c r="BF29" i="2"/>
  <c r="BF28" i="2"/>
  <c r="BF27" i="2"/>
  <c r="BF26" i="2"/>
  <c r="BF25" i="2"/>
  <c r="BF24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3" i="2"/>
  <c r="BF2" i="2"/>
  <c r="BI23" i="2"/>
  <c r="BI22" i="2"/>
  <c r="BH24" i="2" l="1"/>
  <c r="BI24" i="2" s="1"/>
  <c r="BH28" i="2"/>
  <c r="BI28" i="2" s="1"/>
  <c r="BH39" i="2"/>
  <c r="BI39" i="2" s="1"/>
  <c r="BH21" i="2"/>
  <c r="BI21" i="2" s="1"/>
  <c r="BH26" i="2"/>
  <c r="BI26" i="2" s="1"/>
  <c r="BH6" i="2"/>
  <c r="BI6" i="2" s="1"/>
  <c r="BH12" i="2"/>
  <c r="BI12" i="2" s="1"/>
  <c r="BH25" i="2"/>
  <c r="BI25" i="2" s="1"/>
  <c r="BH40" i="2"/>
  <c r="BI40" i="2" s="1"/>
  <c r="BH13" i="2"/>
  <c r="BI13" i="2" s="1"/>
  <c r="BH4" i="2"/>
  <c r="BI4" i="2" s="1"/>
  <c r="BH3" i="2"/>
  <c r="BI3" i="2" s="1"/>
  <c r="BH29" i="2"/>
  <c r="BI29" i="2" s="1"/>
  <c r="BH18" i="2"/>
  <c r="BI18" i="2" s="1"/>
  <c r="BH30" i="2"/>
  <c r="BI30" i="2" s="1"/>
  <c r="BH20" i="2"/>
  <c r="BI20" i="2" s="1"/>
  <c r="BH14" i="2"/>
  <c r="BI14" i="2" s="1"/>
  <c r="BH17" i="2"/>
  <c r="BI17" i="2" s="1"/>
  <c r="BH7" i="2"/>
  <c r="BI7" i="2" s="1"/>
  <c r="BH41" i="2"/>
  <c r="BI41" i="2" s="1"/>
  <c r="BH32" i="2"/>
  <c r="BI32" i="2" s="1"/>
  <c r="BH15" i="2"/>
  <c r="BI15" i="2" s="1"/>
  <c r="BH16" i="2"/>
  <c r="BI16" i="2" s="1"/>
  <c r="BH10" i="2"/>
  <c r="BI10" i="2" s="1"/>
  <c r="BH2" i="2"/>
  <c r="BI2" i="2" s="1"/>
  <c r="BH31" i="2"/>
  <c r="BI31" i="2" s="1"/>
  <c r="BH36" i="2"/>
  <c r="BI36" i="2" s="1"/>
  <c r="BH5" i="2"/>
  <c r="BI5" i="2" s="1"/>
  <c r="BH37" i="2"/>
  <c r="BI37" i="2" s="1"/>
  <c r="BH8" i="2"/>
  <c r="BI8" i="2" s="1"/>
  <c r="BH9" i="2"/>
  <c r="BI9" i="2" s="1"/>
  <c r="BH33" i="2"/>
  <c r="BI33" i="2" s="1"/>
  <c r="BH27" i="2"/>
  <c r="BI27" i="2" s="1"/>
  <c r="BH19" i="2"/>
  <c r="BI19" i="2" s="1"/>
  <c r="BH35" i="2"/>
  <c r="BI35" i="2" s="1"/>
  <c r="BH34" i="2"/>
  <c r="BI34" i="2" s="1"/>
  <c r="BH11" i="2"/>
  <c r="BI11" i="2" s="1"/>
  <c r="BH38" i="2"/>
  <c r="BI38" i="2" s="1"/>
</calcChain>
</file>

<file path=xl/sharedStrings.xml><?xml version="1.0" encoding="utf-8"?>
<sst xmlns="http://schemas.openxmlformats.org/spreadsheetml/2006/main" count="30741" uniqueCount="4665">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</sst>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Review%20tool\2.%20Finalized%20-%20ONLY%20TAKE%20A%20COPY!\Euronext%20World%20Invest%20in%20France%2040\Template%20WIFRP.xlsm" TargetMode="External"/><Relationship Id="rId1" Type="http://schemas.openxmlformats.org/officeDocument/2006/relationships/externalLinkPath" Target="file:///V:\PM-Indices-IndexOperations\Review%20Files\Review%20tool\2.%20Finalized%20-%20ONLY%20TAKE%20A%20COPY!\Euronext%20World%20Invest%20in%20France%2040\Template%20WIFR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Free Float"/>
      <sheetName val="Oekom Trust&amp;Carbon Score"/>
      <sheetName val="SesamM"/>
      <sheetName val="ICB"/>
      <sheetName val="EOD US stock"/>
      <sheetName val="EOD US index"/>
      <sheetName val="Consolidated"/>
      <sheetName val="Ranking"/>
      <sheetName val="WIFRP"/>
      <sheetName val="WIFRP+"/>
      <sheetName val="WIFRP-"/>
      <sheetName val="Extra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M6" sqref="M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0.99999999999999967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0.99999999999999967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0.99999999999999989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1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0.99999999999999989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1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1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0.99999999999999967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0.99999999999999989</v>
      </c>
      <c r="G13" t="s">
        <v>100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0.99999999999999989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0.99999999999999989</v>
      </c>
      <c r="G15" t="s">
        <v>98</v>
      </c>
      <c r="H15" t="s">
        <v>105</v>
      </c>
    </row>
    <row r="16" spans="1:8" x14ac:dyDescent="0.25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0.99999999999999989</v>
      </c>
      <c r="G16" t="s">
        <v>99</v>
      </c>
      <c r="H16" t="s">
        <v>105</v>
      </c>
    </row>
    <row r="17" spans="1:8" x14ac:dyDescent="0.25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0.99999999999999989</v>
      </c>
      <c r="G17" t="s">
        <v>98</v>
      </c>
      <c r="H17" t="s">
        <v>105</v>
      </c>
    </row>
    <row r="18" spans="1:8" x14ac:dyDescent="0.25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0.99999999999999989</v>
      </c>
      <c r="G18" t="s">
        <v>101</v>
      </c>
      <c r="H18" t="s">
        <v>105</v>
      </c>
    </row>
    <row r="19" spans="1:8" x14ac:dyDescent="0.25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0.99999999999999989</v>
      </c>
      <c r="G19" t="s">
        <v>98</v>
      </c>
      <c r="H19" t="s">
        <v>105</v>
      </c>
    </row>
    <row r="20" spans="1:8" x14ac:dyDescent="0.25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0.99999999999999989</v>
      </c>
      <c r="G20" t="s">
        <v>102</v>
      </c>
      <c r="H20" t="s">
        <v>105</v>
      </c>
    </row>
    <row r="21" spans="1:8" x14ac:dyDescent="0.25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0.99999999999999989</v>
      </c>
      <c r="G21" t="s">
        <v>98</v>
      </c>
      <c r="H21" t="s">
        <v>105</v>
      </c>
    </row>
    <row r="22" spans="1:8" x14ac:dyDescent="0.25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0.99999999999999967</v>
      </c>
      <c r="G22" t="s">
        <v>99</v>
      </c>
      <c r="H22" t="s">
        <v>105</v>
      </c>
    </row>
    <row r="23" spans="1:8" x14ac:dyDescent="0.25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0.14824111463874751</v>
      </c>
      <c r="G23" t="s">
        <v>98</v>
      </c>
      <c r="H23" t="s">
        <v>105</v>
      </c>
    </row>
    <row r="24" spans="1:8" x14ac:dyDescent="0.25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1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0.99999999999999967</v>
      </c>
      <c r="G25" t="s">
        <v>101</v>
      </c>
      <c r="H25" t="s">
        <v>105</v>
      </c>
    </row>
    <row r="26" spans="1:8" x14ac:dyDescent="0.25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0.99999999999999989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1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0.99999999999999989</v>
      </c>
      <c r="G28" t="s">
        <v>103</v>
      </c>
      <c r="H28" t="s">
        <v>105</v>
      </c>
    </row>
    <row r="29" spans="1:8" x14ac:dyDescent="0.25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0.99999999999999967</v>
      </c>
      <c r="G29" t="s">
        <v>98</v>
      </c>
      <c r="H29" t="s">
        <v>105</v>
      </c>
    </row>
    <row r="30" spans="1:8" x14ac:dyDescent="0.25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0.99999999999999989</v>
      </c>
      <c r="G30" t="s">
        <v>98</v>
      </c>
      <c r="H30" t="s">
        <v>105</v>
      </c>
    </row>
    <row r="31" spans="1:8" x14ac:dyDescent="0.25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0.99999999999999967</v>
      </c>
      <c r="G31" t="s">
        <v>99</v>
      </c>
      <c r="H31" t="s">
        <v>105</v>
      </c>
    </row>
    <row r="32" spans="1:8" x14ac:dyDescent="0.25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1</v>
      </c>
      <c r="G32" t="s">
        <v>101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1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0.99999999999999989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0.99999999999999989</v>
      </c>
      <c r="G35" t="s">
        <v>98</v>
      </c>
      <c r="H35" t="s">
        <v>105</v>
      </c>
    </row>
    <row r="36" spans="1:8" x14ac:dyDescent="0.25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0.99999999999999989</v>
      </c>
      <c r="G36" t="s">
        <v>104</v>
      </c>
      <c r="H36" t="s">
        <v>105</v>
      </c>
    </row>
    <row r="37" spans="1:8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1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0.99999999999999989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0.99999999999999989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0.99999999999999989</v>
      </c>
      <c r="G41" t="s">
        <v>98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41"/>
  <sheetViews>
    <sheetView tabSelected="1" topLeftCell="AH1" workbookViewId="0">
      <selection activeCell="BF23" sqref="BF23"/>
    </sheetView>
  </sheetViews>
  <sheetFormatPr defaultRowHeight="15" x14ac:dyDescent="0.25"/>
  <cols>
    <col min="60" max="60" width="12" bestFit="1" customWidth="1"/>
    <col min="61" max="61" width="12" customWidth="1"/>
  </cols>
  <sheetData>
    <row r="1" spans="1:66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/>
      <c r="BG1" s="1" t="s">
        <v>157</v>
      </c>
      <c r="BH1" s="1"/>
      <c r="BI1" s="1"/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5</v>
      </c>
    </row>
    <row r="2" spans="1:66" x14ac:dyDescent="0.25">
      <c r="A2">
        <v>3</v>
      </c>
      <c r="B2" t="s">
        <v>162</v>
      </c>
      <c r="C2" t="s">
        <v>29</v>
      </c>
      <c r="D2" t="s">
        <v>69</v>
      </c>
      <c r="E2" t="s">
        <v>90</v>
      </c>
      <c r="F2">
        <v>7433982400</v>
      </c>
      <c r="G2">
        <v>390.44479999999999</v>
      </c>
      <c r="H2" t="s">
        <v>98</v>
      </c>
      <c r="I2">
        <v>2902559771371.52</v>
      </c>
      <c r="J2" t="s">
        <v>202</v>
      </c>
      <c r="K2">
        <v>8995748487.0471096</v>
      </c>
      <c r="L2">
        <v>1</v>
      </c>
      <c r="O2" t="s">
        <v>206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2.0859999999999999</v>
      </c>
      <c r="AY2" t="s">
        <v>208</v>
      </c>
      <c r="BA2">
        <v>2902559771371.52</v>
      </c>
      <c r="BB2" t="s">
        <v>211</v>
      </c>
      <c r="BD2">
        <v>383.52</v>
      </c>
      <c r="BE2">
        <v>0.91516427</v>
      </c>
      <c r="BF2">
        <f>_xlfn.XLOOKUP(D2,[1]!WIFRP[Isin Code],[1]!WIFRP[FX])</f>
        <v>0.91516427</v>
      </c>
      <c r="BG2">
        <v>2609207398058.2988</v>
      </c>
      <c r="BH2">
        <f>_xlfn.XLOOKUP(D2,[1]!WIFRP[Isin Code],[1]!WIFRP[Original market cap])</f>
        <v>2609207398058.2988</v>
      </c>
      <c r="BI2" t="b">
        <f>BG2=BH2</f>
        <v>1</v>
      </c>
      <c r="BJ2">
        <v>0.42841780435798588</v>
      </c>
      <c r="BK2">
        <v>0.23341700317487279</v>
      </c>
      <c r="BL2">
        <v>609033371516.47546</v>
      </c>
      <c r="BM2">
        <v>0.1</v>
      </c>
      <c r="BN2">
        <v>0.14824111463874751</v>
      </c>
    </row>
    <row r="3" spans="1:66" x14ac:dyDescent="0.25">
      <c r="A3">
        <v>24</v>
      </c>
      <c r="B3" t="s">
        <v>163</v>
      </c>
      <c r="C3" t="s">
        <v>12</v>
      </c>
      <c r="D3" t="s">
        <v>52</v>
      </c>
      <c r="E3" t="s">
        <v>88</v>
      </c>
      <c r="F3">
        <v>7610862300</v>
      </c>
      <c r="G3">
        <v>42.859870000000001</v>
      </c>
      <c r="H3" t="s">
        <v>98</v>
      </c>
      <c r="I3">
        <v>326200568765.901</v>
      </c>
      <c r="J3" t="s">
        <v>202</v>
      </c>
      <c r="K3">
        <v>1475886907.05828</v>
      </c>
      <c r="L3">
        <v>0.9</v>
      </c>
      <c r="O3" t="s">
        <v>206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208</v>
      </c>
      <c r="BA3">
        <v>293580511889.31091</v>
      </c>
      <c r="BB3" t="s">
        <v>211</v>
      </c>
      <c r="BD3">
        <v>41.65</v>
      </c>
      <c r="BE3">
        <v>0.91516427</v>
      </c>
      <c r="BF3">
        <f>_xlfn.XLOOKUP(D3,[1]!WIFRP[Isin Code],[1]!WIFRP[FX])</f>
        <v>0.91516427</v>
      </c>
      <c r="BG3">
        <v>261090118693.263</v>
      </c>
      <c r="BH3">
        <f>_xlfn.XLOOKUP(D3,[1]!WIFRP[Isin Code],[1]!WIFRP[Original market cap])</f>
        <v>261090118693.263</v>
      </c>
      <c r="BI3" t="b">
        <f t="shared" ref="BI3:BI41" si="0">BG3=BH3</f>
        <v>1</v>
      </c>
      <c r="BJ3">
        <v>4.2869591537021398E-2</v>
      </c>
      <c r="BK3">
        <v>1.5745766870661531</v>
      </c>
      <c r="BL3">
        <v>411106414117.7467</v>
      </c>
      <c r="BM3">
        <v>6.7501459418242329E-2</v>
      </c>
      <c r="BN3">
        <v>1</v>
      </c>
    </row>
    <row r="4" spans="1:66" x14ac:dyDescent="0.25">
      <c r="A4">
        <v>25</v>
      </c>
      <c r="B4" t="s">
        <v>164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202</v>
      </c>
      <c r="K4">
        <v>2144386612.6823399</v>
      </c>
      <c r="L4">
        <v>1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208</v>
      </c>
      <c r="BA4">
        <v>283575847500</v>
      </c>
      <c r="BB4" t="s">
        <v>211</v>
      </c>
      <c r="BD4">
        <v>278.73</v>
      </c>
      <c r="BE4">
        <v>0.91516427</v>
      </c>
      <c r="BF4">
        <f>_xlfn.XLOOKUP(D4,[1]!WIFRP[Isin Code],[1]!WIFRP[FX])</f>
        <v>0.91516427</v>
      </c>
      <c r="BG4">
        <v>244115136287.08469</v>
      </c>
      <c r="BH4">
        <f>_xlfn.XLOOKUP(D4,[1]!WIFRP[Isin Code],[1]!WIFRP[Original market cap])</f>
        <v>244115136287.08472</v>
      </c>
      <c r="BI4" t="b">
        <f t="shared" si="0"/>
        <v>1</v>
      </c>
      <c r="BJ4">
        <v>4.0082390835044897E-2</v>
      </c>
      <c r="BK4">
        <v>1.5745766870661531</v>
      </c>
      <c r="BL4">
        <v>384378002557.62018</v>
      </c>
      <c r="BM4">
        <v>6.3112798170735729E-2</v>
      </c>
      <c r="BN4">
        <v>1</v>
      </c>
    </row>
    <row r="5" spans="1:66" x14ac:dyDescent="0.25">
      <c r="A5">
        <v>28</v>
      </c>
      <c r="B5" t="s">
        <v>165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448930736996.40002</v>
      </c>
      <c r="J5" t="s">
        <v>202</v>
      </c>
      <c r="K5">
        <v>1801458517.4442799</v>
      </c>
      <c r="L5">
        <v>0.6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208</v>
      </c>
      <c r="BA5">
        <v>269358442197.84</v>
      </c>
      <c r="BB5" t="s">
        <v>211</v>
      </c>
      <c r="BD5">
        <v>149.44999999999999</v>
      </c>
      <c r="BE5">
        <v>0.91516427</v>
      </c>
      <c r="BF5">
        <f>_xlfn.XLOOKUP(D5,[1]!WIFRP[Isin Code],[1]!WIFRP[FX])</f>
        <v>0.91516427</v>
      </c>
      <c r="BG5">
        <v>229525985151.92331</v>
      </c>
      <c r="BH5">
        <f>_xlfn.XLOOKUP(D5,[1]!WIFRP[Isin Code],[1]!WIFRP[Original market cap])</f>
        <v>229525985151.92328</v>
      </c>
      <c r="BI5" t="b">
        <f t="shared" si="0"/>
        <v>1</v>
      </c>
      <c r="BJ5">
        <v>3.7686930780231352E-2</v>
      </c>
      <c r="BK5">
        <v>1.5745766870661531</v>
      </c>
      <c r="BL5">
        <v>361406265296.11029</v>
      </c>
      <c r="BM5">
        <v>5.9340962613628083E-2</v>
      </c>
      <c r="BN5">
        <v>0.99999999999999989</v>
      </c>
    </row>
    <row r="6" spans="1:66" x14ac:dyDescent="0.25">
      <c r="A6">
        <v>32</v>
      </c>
      <c r="B6" t="s">
        <v>166</v>
      </c>
      <c r="C6" t="s">
        <v>14</v>
      </c>
      <c r="D6" t="s">
        <v>54</v>
      </c>
      <c r="E6" t="s">
        <v>90</v>
      </c>
      <c r="F6">
        <v>3978292500</v>
      </c>
      <c r="G6">
        <v>61.195599999999999</v>
      </c>
      <c r="H6" t="s">
        <v>98</v>
      </c>
      <c r="I6">
        <v>243453996513</v>
      </c>
      <c r="J6" t="s">
        <v>202</v>
      </c>
      <c r="K6">
        <v>1147308204.02174</v>
      </c>
      <c r="L6">
        <v>1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2.3690000000000002</v>
      </c>
      <c r="AY6" t="s">
        <v>208</v>
      </c>
      <c r="BA6">
        <v>243453996513</v>
      </c>
      <c r="BB6" t="s">
        <v>211</v>
      </c>
      <c r="BD6">
        <v>60.3</v>
      </c>
      <c r="BE6">
        <v>0.91516427</v>
      </c>
      <c r="BF6">
        <f>_xlfn.XLOOKUP(D6,[1]!WIFRP[Isin Code],[1]!WIFRP[FX])</f>
        <v>0.91516427</v>
      </c>
      <c r="BG6">
        <v>219539706442.02121</v>
      </c>
      <c r="BH6">
        <f>_xlfn.XLOOKUP(D6,[1]!WIFRP[Isin Code],[1]!WIFRP[Original market cap])</f>
        <v>219539706442.02118</v>
      </c>
      <c r="BI6" t="b">
        <f t="shared" si="0"/>
        <v>1</v>
      </c>
      <c r="BJ6">
        <v>3.6047237591492517E-2</v>
      </c>
      <c r="BK6">
        <v>1.5745766870661531</v>
      </c>
      <c r="BL6">
        <v>345682103648.95343</v>
      </c>
      <c r="BM6">
        <v>5.6759139944698771E-2</v>
      </c>
      <c r="BN6">
        <v>1</v>
      </c>
    </row>
    <row r="7" spans="1:66" x14ac:dyDescent="0.25">
      <c r="A7">
        <v>39</v>
      </c>
      <c r="B7" t="s">
        <v>167</v>
      </c>
      <c r="C7" t="s">
        <v>33</v>
      </c>
      <c r="D7" t="s">
        <v>73</v>
      </c>
      <c r="E7" t="s">
        <v>90</v>
      </c>
      <c r="F7">
        <v>2248951000</v>
      </c>
      <c r="G7">
        <v>96.939260000000004</v>
      </c>
      <c r="H7" t="s">
        <v>98</v>
      </c>
      <c r="I7">
        <v>218011645716.26001</v>
      </c>
      <c r="J7" t="s">
        <v>202</v>
      </c>
      <c r="K7">
        <v>7279255776.0225096</v>
      </c>
      <c r="L7">
        <v>1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208</v>
      </c>
      <c r="BA7">
        <v>218011645716.26001</v>
      </c>
      <c r="BB7" t="s">
        <v>211</v>
      </c>
      <c r="BD7">
        <v>83.89</v>
      </c>
      <c r="BE7">
        <v>0.91516427</v>
      </c>
      <c r="BF7">
        <f>_xlfn.XLOOKUP(D7,[1]!WIFRP[Isin Code],[1]!WIFRP[FX])</f>
        <v>0.91516427</v>
      </c>
      <c r="BG7">
        <v>172659008859.16479</v>
      </c>
      <c r="BH7">
        <f>_xlfn.XLOOKUP(D7,[1]!WIFRP[Isin Code],[1]!WIFRP[Original market cap])</f>
        <v>172659008859.16479</v>
      </c>
      <c r="BI7" t="b">
        <f t="shared" si="0"/>
        <v>1</v>
      </c>
      <c r="BJ7">
        <v>2.8349679497734068E-2</v>
      </c>
      <c r="BK7">
        <v>1.5745766870661531</v>
      </c>
      <c r="BL7">
        <v>271864850161.5892</v>
      </c>
      <c r="BM7">
        <v>4.4638744422929352E-2</v>
      </c>
      <c r="BN7">
        <v>1</v>
      </c>
    </row>
    <row r="8" spans="1:66" x14ac:dyDescent="0.25">
      <c r="A8">
        <v>40</v>
      </c>
      <c r="B8" t="s">
        <v>168</v>
      </c>
      <c r="C8" t="s">
        <v>8</v>
      </c>
      <c r="D8" t="s">
        <v>48</v>
      </c>
      <c r="E8" t="s">
        <v>88</v>
      </c>
      <c r="F8">
        <v>625479900</v>
      </c>
      <c r="G8">
        <v>348.40750000000003</v>
      </c>
      <c r="H8" t="s">
        <v>98</v>
      </c>
      <c r="I8">
        <v>217921888259.25</v>
      </c>
      <c r="J8" t="s">
        <v>202</v>
      </c>
      <c r="K8">
        <v>912984242.98160696</v>
      </c>
      <c r="L8">
        <v>1</v>
      </c>
      <c r="O8" t="s">
        <v>206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2.2000000000000002</v>
      </c>
      <c r="AY8" t="s">
        <v>208</v>
      </c>
      <c r="BA8">
        <v>217921888259.25</v>
      </c>
      <c r="BB8" t="s">
        <v>211</v>
      </c>
      <c r="BD8">
        <v>324.07</v>
      </c>
      <c r="BE8">
        <v>0.91516427</v>
      </c>
      <c r="BF8">
        <f>_xlfn.XLOOKUP(D8,[1]!WIFRP[Isin Code],[1]!WIFRP[FX])</f>
        <v>0.91516427</v>
      </c>
      <c r="BG8">
        <v>185503130550.8739</v>
      </c>
      <c r="BH8">
        <f>_xlfn.XLOOKUP(D8,[1]!WIFRP[Isin Code],[1]!WIFRP[Original market cap])</f>
        <v>185503130550.87384</v>
      </c>
      <c r="BI8" t="b">
        <f t="shared" si="0"/>
        <v>1</v>
      </c>
      <c r="BJ8">
        <v>3.0458615114796819E-2</v>
      </c>
      <c r="BK8">
        <v>1.5745766870661519</v>
      </c>
      <c r="BL8">
        <v>292088904743.19489</v>
      </c>
      <c r="BM8">
        <v>4.795942528007982E-2</v>
      </c>
      <c r="BN8">
        <v>0.99999999999999967</v>
      </c>
    </row>
    <row r="9" spans="1:66" x14ac:dyDescent="0.25">
      <c r="A9">
        <v>51</v>
      </c>
      <c r="B9" t="s">
        <v>169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187885478551.67999</v>
      </c>
      <c r="J9" t="s">
        <v>202</v>
      </c>
      <c r="K9">
        <v>876859372.71119905</v>
      </c>
      <c r="L9">
        <v>1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2.1110000000000002</v>
      </c>
      <c r="AY9" t="s">
        <v>208</v>
      </c>
      <c r="BA9">
        <v>187885478551.67999</v>
      </c>
      <c r="BB9" t="s">
        <v>211</v>
      </c>
      <c r="BD9">
        <v>99.35</v>
      </c>
      <c r="BE9">
        <v>0.91516427</v>
      </c>
      <c r="BF9">
        <f>_xlfn.XLOOKUP(D9,[1]!WIFRP[Isin Code],[1]!WIFRP[FX])</f>
        <v>0.91516427</v>
      </c>
      <c r="BG9">
        <v>164366996330.26459</v>
      </c>
      <c r="BH9">
        <f>_xlfn.XLOOKUP(D9,[1]!WIFRP[Isin Code],[1]!WIFRP[Original market cap])</f>
        <v>164366996330.26459</v>
      </c>
      <c r="BI9" t="b">
        <f t="shared" si="0"/>
        <v>1</v>
      </c>
      <c r="BJ9">
        <v>2.698817569240837E-2</v>
      </c>
      <c r="BK9">
        <v>1.5745766870661531</v>
      </c>
      <c r="BL9">
        <v>258808440544.7225</v>
      </c>
      <c r="BM9">
        <v>4.2494952271711649E-2</v>
      </c>
      <c r="BN9">
        <v>1</v>
      </c>
    </row>
    <row r="10" spans="1:66" x14ac:dyDescent="0.25">
      <c r="A10">
        <v>54</v>
      </c>
      <c r="B10" t="s">
        <v>170</v>
      </c>
      <c r="C10" t="s">
        <v>40</v>
      </c>
      <c r="D10" t="s">
        <v>80</v>
      </c>
      <c r="E10" t="s">
        <v>88</v>
      </c>
      <c r="F10">
        <v>206000000</v>
      </c>
      <c r="G10">
        <v>897.57050000000004</v>
      </c>
      <c r="H10" t="s">
        <v>98</v>
      </c>
      <c r="I10">
        <v>184899523000</v>
      </c>
      <c r="J10" t="s">
        <v>202</v>
      </c>
      <c r="K10">
        <v>1462927965.61075</v>
      </c>
      <c r="L10">
        <v>1</v>
      </c>
      <c r="O10" t="s">
        <v>207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2.3860000000000001</v>
      </c>
      <c r="AY10" t="s">
        <v>208</v>
      </c>
      <c r="BA10">
        <v>184899523000</v>
      </c>
      <c r="BB10" t="s">
        <v>211</v>
      </c>
      <c r="BD10">
        <v>830</v>
      </c>
      <c r="BE10">
        <v>0.91516427</v>
      </c>
      <c r="BF10">
        <f>_xlfn.XLOOKUP(D10,[1]!WIFRP[Isin Code],[1]!WIFRP[FX])</f>
        <v>0.91516427</v>
      </c>
      <c r="BG10">
        <v>156474786884.60001</v>
      </c>
      <c r="BH10">
        <f>_xlfn.XLOOKUP(D10,[1]!WIFRP[Isin Code],[1]!WIFRP[Original market cap])</f>
        <v>156474786884.60001</v>
      </c>
      <c r="BI10" t="b">
        <f t="shared" si="0"/>
        <v>1</v>
      </c>
      <c r="BJ10">
        <v>2.5692317400437731E-2</v>
      </c>
      <c r="BK10">
        <v>1.5745766870661531</v>
      </c>
      <c r="BL10">
        <v>246381551542.13571</v>
      </c>
      <c r="BM10">
        <v>4.0454524015433313E-2</v>
      </c>
      <c r="BN10">
        <v>0.99999999999999989</v>
      </c>
    </row>
    <row r="11" spans="1:66" x14ac:dyDescent="0.25">
      <c r="A11">
        <v>57</v>
      </c>
      <c r="B11" t="s">
        <v>171</v>
      </c>
      <c r="C11" t="s">
        <v>36</v>
      </c>
      <c r="D11" t="s">
        <v>76</v>
      </c>
      <c r="E11" t="s">
        <v>90</v>
      </c>
      <c r="F11">
        <v>1106000000</v>
      </c>
      <c r="G11">
        <v>158.23050000000001</v>
      </c>
      <c r="H11" t="s">
        <v>98</v>
      </c>
      <c r="I11">
        <v>175002933000</v>
      </c>
      <c r="J11" t="s">
        <v>202</v>
      </c>
      <c r="K11">
        <v>1222853562.9035599</v>
      </c>
      <c r="L11">
        <v>1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2.7349999999999999</v>
      </c>
      <c r="AY11" t="s">
        <v>208</v>
      </c>
      <c r="BA11">
        <v>175002933000</v>
      </c>
      <c r="BB11" t="s">
        <v>211</v>
      </c>
      <c r="BD11">
        <v>156.29</v>
      </c>
      <c r="BE11">
        <v>0.91516427</v>
      </c>
      <c r="BF11">
        <f>_xlfn.XLOOKUP(D11,[1]!WIFRP[Isin Code],[1]!WIFRP[FX])</f>
        <v>0.91516427</v>
      </c>
      <c r="BG11">
        <v>158192312276.67981</v>
      </c>
      <c r="BH11">
        <f>_xlfn.XLOOKUP(D11,[1]!WIFRP[Isin Code],[1]!WIFRP[Original market cap])</f>
        <v>158192312276.67978</v>
      </c>
      <c r="BI11" t="b">
        <f t="shared" si="0"/>
        <v>1</v>
      </c>
      <c r="BJ11">
        <v>2.5974325821060601E-2</v>
      </c>
      <c r="BK11">
        <v>1.5745766870661531</v>
      </c>
      <c r="BL11">
        <v>249085926983.94879</v>
      </c>
      <c r="BM11">
        <v>4.0898567900102427E-2</v>
      </c>
      <c r="BN11">
        <v>0.99999999999999989</v>
      </c>
    </row>
    <row r="12" spans="1:66" x14ac:dyDescent="0.25">
      <c r="A12">
        <v>71</v>
      </c>
      <c r="B12" t="s">
        <v>172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202</v>
      </c>
      <c r="K12">
        <v>799107084.08394802</v>
      </c>
      <c r="L12">
        <v>0.75</v>
      </c>
      <c r="O12" t="s">
        <v>207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208</v>
      </c>
      <c r="BA12">
        <v>152365137926.13</v>
      </c>
      <c r="BB12" t="s">
        <v>211</v>
      </c>
      <c r="BD12">
        <v>118.11</v>
      </c>
      <c r="BE12">
        <v>0.91516427</v>
      </c>
      <c r="BF12">
        <f>_xlfn.XLOOKUP(D12,[1]!WIFRP[Isin Code],[1]!WIFRP[FX])</f>
        <v>0.91516427</v>
      </c>
      <c r="BG12">
        <v>130750234169.3306</v>
      </c>
      <c r="BH12">
        <f>_xlfn.XLOOKUP(D12,[1]!WIFRP[Isin Code],[1]!WIFRP[Original market cap])</f>
        <v>130750234169.3306</v>
      </c>
      <c r="BI12" t="b">
        <f t="shared" si="0"/>
        <v>1</v>
      </c>
      <c r="BJ12">
        <v>2.1468484369545519E-2</v>
      </c>
      <c r="BK12">
        <v>1.5745766870661531</v>
      </c>
      <c r="BL12">
        <v>205876270551.4682</v>
      </c>
      <c r="BM12">
        <v>3.3803774994930459E-2</v>
      </c>
      <c r="BN12">
        <v>1</v>
      </c>
    </row>
    <row r="13" spans="1:66" x14ac:dyDescent="0.25">
      <c r="A13">
        <v>78</v>
      </c>
      <c r="B13" t="s">
        <v>173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143566526660.17499</v>
      </c>
      <c r="J13" t="s">
        <v>202</v>
      </c>
      <c r="K13">
        <v>1041228634.76247</v>
      </c>
      <c r="L13">
        <v>1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2.4009999999999998</v>
      </c>
      <c r="AY13" t="s">
        <v>208</v>
      </c>
      <c r="BA13">
        <v>143566526660.17499</v>
      </c>
      <c r="BB13" t="s">
        <v>211</v>
      </c>
      <c r="BD13">
        <v>70.22</v>
      </c>
      <c r="BE13">
        <v>0.91516427</v>
      </c>
      <c r="BF13">
        <f>_xlfn.XLOOKUP(D13,[1]!WIFRP[Isin Code],[1]!WIFRP[FX])</f>
        <v>0.91516427</v>
      </c>
      <c r="BG13">
        <v>121101995243.631</v>
      </c>
      <c r="BH13">
        <f>_xlfn.XLOOKUP(D13,[1]!WIFRP[Isin Code],[1]!WIFRP[Original market cap])</f>
        <v>121101995243.631</v>
      </c>
      <c r="BI13" t="b">
        <f t="shared" si="0"/>
        <v>1</v>
      </c>
      <c r="BJ13">
        <v>1.9884295493051641E-2</v>
      </c>
      <c r="BK13">
        <v>1.5745766870661531</v>
      </c>
      <c r="BL13">
        <v>190684378467.8175</v>
      </c>
      <c r="BM13">
        <v>3.130934812209369E-2</v>
      </c>
      <c r="BN13">
        <v>0.99999999999999989</v>
      </c>
    </row>
    <row r="14" spans="1:66" x14ac:dyDescent="0.25">
      <c r="A14">
        <v>96</v>
      </c>
      <c r="B14" t="s">
        <v>174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203</v>
      </c>
      <c r="K14">
        <v>192557349.24016401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2.9340000000000002</v>
      </c>
      <c r="AY14" t="s">
        <v>209</v>
      </c>
      <c r="BA14">
        <v>123650577340</v>
      </c>
      <c r="BB14" t="s">
        <v>211</v>
      </c>
      <c r="BD14">
        <v>358.3</v>
      </c>
      <c r="BE14">
        <v>1</v>
      </c>
      <c r="BF14">
        <f>_xlfn.XLOOKUP(D14,[1]!WIFRP[Isin Code],[1]!WIFRP[FX])</f>
        <v>1</v>
      </c>
      <c r="BG14">
        <v>138363528610</v>
      </c>
      <c r="BH14">
        <f>_xlfn.XLOOKUP(D14,[1]!WIFRP[Isin Code],[1]!WIFRP[Original market cap])</f>
        <v>138363528610</v>
      </c>
      <c r="BI14" t="b">
        <f t="shared" si="0"/>
        <v>1</v>
      </c>
      <c r="BJ14">
        <v>2.2718546319634152E-2</v>
      </c>
      <c r="BK14">
        <v>1.5745766870661531</v>
      </c>
      <c r="BL14">
        <v>217863986489.51669</v>
      </c>
      <c r="BM14">
        <v>3.5772093398928478E-2</v>
      </c>
      <c r="BN14">
        <v>1</v>
      </c>
    </row>
    <row r="15" spans="1:66" x14ac:dyDescent="0.25">
      <c r="A15">
        <v>111</v>
      </c>
      <c r="B15" t="s">
        <v>175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202</v>
      </c>
      <c r="K15">
        <v>431604091.68485099</v>
      </c>
      <c r="L15">
        <v>1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208</v>
      </c>
      <c r="BA15">
        <v>108048848600</v>
      </c>
      <c r="BB15" t="s">
        <v>211</v>
      </c>
      <c r="BD15">
        <v>232.16</v>
      </c>
      <c r="BE15">
        <v>0.91516427</v>
      </c>
      <c r="BF15">
        <f>_xlfn.XLOOKUP(D15,[1]!WIFRP[Isin Code],[1]!WIFRP[FX])</f>
        <v>0.91516427</v>
      </c>
      <c r="BG15">
        <v>104347948104.0179</v>
      </c>
      <c r="BH15">
        <f>_xlfn.XLOOKUP(D15,[1]!WIFRP[Isin Code],[1]!WIFRP[Original market cap])</f>
        <v>104347948104.01794</v>
      </c>
      <c r="BI15" t="b">
        <f t="shared" si="0"/>
        <v>1</v>
      </c>
      <c r="BJ15">
        <v>1.7133371172123879E-2</v>
      </c>
      <c r="BK15">
        <v>1.5745766870661531</v>
      </c>
      <c r="BL15">
        <v>164303846427.77539</v>
      </c>
      <c r="BM15">
        <v>2.697780681847755E-2</v>
      </c>
      <c r="BN15">
        <v>0.99999999999999989</v>
      </c>
    </row>
    <row r="16" spans="1:66" x14ac:dyDescent="0.25">
      <c r="A16">
        <v>112</v>
      </c>
      <c r="B16" t="s">
        <v>176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202</v>
      </c>
      <c r="K16">
        <v>448451019.868397</v>
      </c>
      <c r="L16">
        <v>1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208</v>
      </c>
      <c r="BA16">
        <v>107242707044</v>
      </c>
      <c r="BB16" t="s">
        <v>211</v>
      </c>
      <c r="BD16">
        <v>112.38</v>
      </c>
      <c r="BE16">
        <v>0.91516427</v>
      </c>
      <c r="BF16">
        <f>_xlfn.XLOOKUP(D16,[1]!WIFRP[Isin Code],[1]!WIFRP[FX])</f>
        <v>0.91516427</v>
      </c>
      <c r="BG16">
        <v>95323992471.737442</v>
      </c>
      <c r="BH16">
        <f>_xlfn.XLOOKUP(D16,[1]!WIFRP[Isin Code],[1]!WIFRP[Original market cap])</f>
        <v>95323992471.737442</v>
      </c>
      <c r="BI16" t="b">
        <f t="shared" si="0"/>
        <v>1</v>
      </c>
      <c r="BJ16">
        <v>1.565168625068664E-2</v>
      </c>
      <c r="BK16">
        <v>1.5745766870661519</v>
      </c>
      <c r="BL16">
        <v>150094936264.0672</v>
      </c>
      <c r="BM16">
        <v>2.4644780283605009E-2</v>
      </c>
      <c r="BN16">
        <v>0.99999999999999967</v>
      </c>
    </row>
    <row r="17" spans="1:66" x14ac:dyDescent="0.25">
      <c r="A17">
        <v>118</v>
      </c>
      <c r="B17" t="s">
        <v>177</v>
      </c>
      <c r="C17" t="s">
        <v>23</v>
      </c>
      <c r="D17" t="s">
        <v>63</v>
      </c>
      <c r="E17" t="s">
        <v>90</v>
      </c>
      <c r="F17">
        <v>4330000000</v>
      </c>
      <c r="G17">
        <v>23.787659999999999</v>
      </c>
      <c r="H17" t="s">
        <v>98</v>
      </c>
      <c r="I17">
        <v>103000567800</v>
      </c>
      <c r="J17" t="s">
        <v>202</v>
      </c>
      <c r="K17">
        <v>1847730055.9807899</v>
      </c>
      <c r="L17">
        <v>1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2.4750000000000001</v>
      </c>
      <c r="AY17" t="s">
        <v>208</v>
      </c>
      <c r="BA17">
        <v>103000567800</v>
      </c>
      <c r="BB17" t="s">
        <v>211</v>
      </c>
      <c r="BD17">
        <v>25.92</v>
      </c>
      <c r="BE17">
        <v>0.91516427</v>
      </c>
      <c r="BF17">
        <f>_xlfn.XLOOKUP(D17,[1]!WIFRP[Isin Code],[1]!WIFRP[FX])</f>
        <v>0.91516427</v>
      </c>
      <c r="BG17">
        <v>102712180613.472</v>
      </c>
      <c r="BH17">
        <f>_xlfn.XLOOKUP(D17,[1]!WIFRP[Isin Code],[1]!WIFRP[Original market cap])</f>
        <v>102712180613.472</v>
      </c>
      <c r="BI17" t="b">
        <f t="shared" si="0"/>
        <v>1</v>
      </c>
      <c r="BJ17">
        <v>1.686478695867218E-2</v>
      </c>
      <c r="BK17">
        <v>1.5745766870661531</v>
      </c>
      <c r="BL17">
        <v>161728205071.70099</v>
      </c>
      <c r="BM17">
        <v>2.6554900377462491E-2</v>
      </c>
      <c r="BN17">
        <v>0.99999999999999989</v>
      </c>
    </row>
    <row r="18" spans="1:66" x14ac:dyDescent="0.25">
      <c r="A18">
        <v>132</v>
      </c>
      <c r="B18" t="s">
        <v>178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90128173427.819992</v>
      </c>
      <c r="J18" t="s">
        <v>203</v>
      </c>
      <c r="K18">
        <v>34161920.378412701</v>
      </c>
      <c r="L18">
        <v>1</v>
      </c>
      <c r="O18" t="s">
        <v>207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2.2730000000000001</v>
      </c>
      <c r="AY18" t="s">
        <v>209</v>
      </c>
      <c r="BA18">
        <v>90128173427.819992</v>
      </c>
      <c r="BB18" t="s">
        <v>211</v>
      </c>
      <c r="BD18">
        <v>44.72</v>
      </c>
      <c r="BE18">
        <v>1</v>
      </c>
      <c r="BF18">
        <f>_xlfn.XLOOKUP(D18,[1]!WIFRP[Isin Code],[1]!WIFRP[FX])</f>
        <v>1</v>
      </c>
      <c r="BG18">
        <v>85284213197.039993</v>
      </c>
      <c r="BH18">
        <f>_xlfn.XLOOKUP(D18,[1]!WIFRP[Isin Code],[1]!WIFRP[Original market cap])</f>
        <v>85284213197.039993</v>
      </c>
      <c r="BI18" t="b">
        <f t="shared" si="0"/>
        <v>1</v>
      </c>
      <c r="BJ18">
        <v>1.400320855730529E-2</v>
      </c>
      <c r="BK18">
        <v>1.5745766870661519</v>
      </c>
      <c r="BL18">
        <v>134286533874.8387</v>
      </c>
      <c r="BM18">
        <v>2.2049125738458158E-2</v>
      </c>
      <c r="BN18">
        <v>0.99999999999999967</v>
      </c>
    </row>
    <row r="19" spans="1:66" x14ac:dyDescent="0.25">
      <c r="A19">
        <v>136</v>
      </c>
      <c r="B19" t="s">
        <v>179</v>
      </c>
      <c r="C19" t="s">
        <v>41</v>
      </c>
      <c r="D19" t="s">
        <v>81</v>
      </c>
      <c r="E19" t="s">
        <v>88</v>
      </c>
      <c r="F19">
        <v>203844400</v>
      </c>
      <c r="G19">
        <v>580.94690000000003</v>
      </c>
      <c r="H19" t="s">
        <v>98</v>
      </c>
      <c r="I19">
        <v>118422772262.36</v>
      </c>
      <c r="J19" t="s">
        <v>202</v>
      </c>
      <c r="K19">
        <v>1189509816.97106</v>
      </c>
      <c r="L19">
        <v>0.75</v>
      </c>
      <c r="O19" t="s">
        <v>207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1.8280000000000001</v>
      </c>
      <c r="AY19" t="s">
        <v>208</v>
      </c>
      <c r="BA19">
        <v>88817079196.770004</v>
      </c>
      <c r="BB19" t="s">
        <v>211</v>
      </c>
      <c r="BD19">
        <v>569.48</v>
      </c>
      <c r="BE19">
        <v>0.91516427</v>
      </c>
      <c r="BF19">
        <f>_xlfn.XLOOKUP(D19,[1]!WIFRP[Isin Code],[1]!WIFRP[FX])</f>
        <v>0.91516427</v>
      </c>
      <c r="BG19">
        <v>79677845241.131226</v>
      </c>
      <c r="BH19">
        <f>_xlfn.XLOOKUP(D19,[1]!WIFRP[Isin Code],[1]!WIFRP[Original market cap])</f>
        <v>79677845241.131241</v>
      </c>
      <c r="BI19" t="b">
        <f t="shared" si="0"/>
        <v>1</v>
      </c>
      <c r="BJ19">
        <v>1.308267312885265E-2</v>
      </c>
      <c r="BK19">
        <v>1.5745766870661531</v>
      </c>
      <c r="BL19">
        <v>125458877592.35001</v>
      </c>
      <c r="BM19">
        <v>2.0599672113198179E-2</v>
      </c>
      <c r="BN19">
        <v>0.99999999999999989</v>
      </c>
    </row>
    <row r="20" spans="1:66" x14ac:dyDescent="0.25">
      <c r="A20">
        <v>146</v>
      </c>
      <c r="B20" t="s">
        <v>180</v>
      </c>
      <c r="C20" t="s">
        <v>21</v>
      </c>
      <c r="D20" t="s">
        <v>61</v>
      </c>
      <c r="E20" t="s">
        <v>90</v>
      </c>
      <c r="F20">
        <v>97332010</v>
      </c>
      <c r="G20">
        <v>879.65560000000005</v>
      </c>
      <c r="H20" t="s">
        <v>98</v>
      </c>
      <c r="I20">
        <v>85618647655.756012</v>
      </c>
      <c r="J20" t="s">
        <v>202</v>
      </c>
      <c r="K20">
        <v>466800154.48756999</v>
      </c>
      <c r="L20">
        <v>1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208</v>
      </c>
      <c r="BA20">
        <v>85618647655.756012</v>
      </c>
      <c r="BB20" t="s">
        <v>211</v>
      </c>
      <c r="BD20">
        <v>841.26</v>
      </c>
      <c r="BE20">
        <v>0.91516427</v>
      </c>
      <c r="BF20">
        <f>_xlfn.XLOOKUP(D20,[1]!WIFRP[Isin Code],[1]!WIFRP[FX])</f>
        <v>0.91516427</v>
      </c>
      <c r="BG20">
        <v>74935047638.725372</v>
      </c>
      <c r="BH20">
        <f>_xlfn.XLOOKUP(D20,[1]!WIFRP[Isin Code],[1]!WIFRP[Original market cap])</f>
        <v>74935047638.725357</v>
      </c>
      <c r="BI20" t="b">
        <f t="shared" si="0"/>
        <v>1</v>
      </c>
      <c r="BJ20">
        <v>1.230393130217796E-2</v>
      </c>
      <c r="BK20">
        <v>1.5745766870661531</v>
      </c>
      <c r="BL20">
        <v>117990979056.12849</v>
      </c>
      <c r="BM20">
        <v>1.9373483387672901E-2</v>
      </c>
      <c r="BN20">
        <v>0.99999999999999989</v>
      </c>
    </row>
    <row r="21" spans="1:66" x14ac:dyDescent="0.25">
      <c r="A21">
        <v>166</v>
      </c>
      <c r="B21" t="s">
        <v>181</v>
      </c>
      <c r="C21" t="s">
        <v>46</v>
      </c>
      <c r="D21" t="s">
        <v>86</v>
      </c>
      <c r="E21" t="s">
        <v>88</v>
      </c>
      <c r="F21">
        <v>224290970</v>
      </c>
      <c r="G21">
        <v>339.38780000000003</v>
      </c>
      <c r="H21" t="s">
        <v>98</v>
      </c>
      <c r="I21">
        <v>76121618868.166</v>
      </c>
      <c r="J21" t="s">
        <v>202</v>
      </c>
      <c r="K21">
        <v>489090304.18358302</v>
      </c>
      <c r="L21">
        <v>1</v>
      </c>
      <c r="O21" t="s">
        <v>207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208</v>
      </c>
      <c r="BA21">
        <v>76121618868.166</v>
      </c>
      <c r="BB21" t="s">
        <v>211</v>
      </c>
      <c r="BD21">
        <v>344.06</v>
      </c>
      <c r="BE21">
        <v>0.91516427</v>
      </c>
      <c r="BF21">
        <f>_xlfn.XLOOKUP(D21,[1]!WIFRP[Isin Code],[1]!WIFRP[FX])</f>
        <v>0.91516427</v>
      </c>
      <c r="BG21">
        <v>70622815933.618469</v>
      </c>
      <c r="BH21">
        <f>_xlfn.XLOOKUP(D21,[1]!WIFRP[Isin Code],[1]!WIFRP[Original market cap])</f>
        <v>70622815933.618469</v>
      </c>
      <c r="BI21" t="b">
        <f t="shared" si="0"/>
        <v>1</v>
      </c>
      <c r="BJ21">
        <v>1.159588607727188E-2</v>
      </c>
      <c r="BK21">
        <v>1.5745766870661531</v>
      </c>
      <c r="BL21">
        <v>111201039544.0397</v>
      </c>
      <c r="BM21">
        <v>1.8258611883147279E-2</v>
      </c>
      <c r="BN21">
        <v>0.99999999999999989</v>
      </c>
    </row>
    <row r="22" spans="1:66" x14ac:dyDescent="0.25">
      <c r="A22">
        <v>208</v>
      </c>
      <c r="B22" t="s">
        <v>182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203</v>
      </c>
      <c r="K22">
        <v>95493793.569292098</v>
      </c>
      <c r="L22">
        <v>0.4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2.8980000000000001</v>
      </c>
      <c r="AY22" t="s">
        <v>209</v>
      </c>
      <c r="BA22">
        <v>65374892352</v>
      </c>
      <c r="BB22" t="s">
        <v>211</v>
      </c>
      <c r="BD22">
        <v>45.24</v>
      </c>
      <c r="BE22">
        <v>1</v>
      </c>
      <c r="BF22">
        <f>_xlfn.XLOOKUP(D22,[1]!WIFRP[Isin Code],[1]!WIFRP[FX])</f>
        <v>1</v>
      </c>
      <c r="BG22">
        <v>56398934592</v>
      </c>
      <c r="BH22">
        <v>56398934592</v>
      </c>
      <c r="BI22" t="b">
        <f t="shared" si="0"/>
        <v>1</v>
      </c>
      <c r="BJ22">
        <v>9.2604013556052429E-3</v>
      </c>
      <c r="BK22">
        <v>1.5745766870661531</v>
      </c>
      <c r="BL22">
        <v>88804447583.931992</v>
      </c>
      <c r="BM22">
        <v>1.458121208741181E-2</v>
      </c>
      <c r="BN22">
        <v>0.99999999999999989</v>
      </c>
    </row>
    <row r="23" spans="1:66" x14ac:dyDescent="0.25">
      <c r="A23">
        <v>209</v>
      </c>
      <c r="B23" t="s">
        <v>183</v>
      </c>
      <c r="C23" t="s">
        <v>18</v>
      </c>
      <c r="D23" t="s">
        <v>58</v>
      </c>
      <c r="E23" t="s">
        <v>88</v>
      </c>
      <c r="F23">
        <v>679336700</v>
      </c>
      <c r="G23">
        <v>95.973209999999995</v>
      </c>
      <c r="H23" t="s">
        <v>98</v>
      </c>
      <c r="I23">
        <v>65198123769.806999</v>
      </c>
      <c r="J23" t="s">
        <v>202</v>
      </c>
      <c r="K23">
        <v>367368674.71184701</v>
      </c>
      <c r="L23">
        <v>1</v>
      </c>
      <c r="O23" t="s">
        <v>207</v>
      </c>
      <c r="Q23" t="s">
        <v>207</v>
      </c>
      <c r="R23" t="s">
        <v>207</v>
      </c>
      <c r="S23" t="s">
        <v>207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2.4870000000000001</v>
      </c>
      <c r="AY23" t="s">
        <v>208</v>
      </c>
      <c r="BA23">
        <v>65198123769.806999</v>
      </c>
      <c r="BB23" t="s">
        <v>211</v>
      </c>
      <c r="BD23">
        <v>96.14</v>
      </c>
      <c r="BE23">
        <v>1.188284E-2</v>
      </c>
      <c r="BF23">
        <f>_xlfn.XLOOKUP(D23,[1]!WIFRP[Isin Code],[1]!WIFRP[FX])</f>
        <v>0.91516427</v>
      </c>
      <c r="BG23">
        <v>776085276.87759995</v>
      </c>
      <c r="BH23">
        <v>59770687467.931625</v>
      </c>
      <c r="BI23" t="b">
        <f t="shared" si="0"/>
        <v>0</v>
      </c>
      <c r="BJ23">
        <v>1.2742902329722429E-4</v>
      </c>
      <c r="BK23">
        <v>1.5745766870661519</v>
      </c>
      <c r="BL23">
        <v>1222005784.146749</v>
      </c>
      <c r="BM23">
        <v>2.0064676933941901E-4</v>
      </c>
      <c r="BN23">
        <v>0.99999999999999967</v>
      </c>
    </row>
    <row r="24" spans="1:66" x14ac:dyDescent="0.25">
      <c r="A24">
        <v>225</v>
      </c>
      <c r="B24" t="s">
        <v>184</v>
      </c>
      <c r="C24" t="s">
        <v>19</v>
      </c>
      <c r="D24" t="s">
        <v>59</v>
      </c>
      <c r="E24" t="s">
        <v>91</v>
      </c>
      <c r="F24">
        <v>2225173800</v>
      </c>
      <c r="G24">
        <v>26.475850000000001</v>
      </c>
      <c r="H24" t="s">
        <v>100</v>
      </c>
      <c r="I24">
        <v>58913367752.730003</v>
      </c>
      <c r="J24" t="s">
        <v>204</v>
      </c>
      <c r="K24">
        <v>91262542.967915595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2.4580000000000002</v>
      </c>
      <c r="AY24" t="s">
        <v>209</v>
      </c>
      <c r="BA24">
        <v>58913367752.730003</v>
      </c>
      <c r="BB24" t="s">
        <v>211</v>
      </c>
      <c r="BD24">
        <v>2080</v>
      </c>
      <c r="BE24">
        <v>1.188284E-2</v>
      </c>
      <c r="BF24">
        <f>_xlfn.XLOOKUP(D24,[1]!WIFRP[Isin Code],[1]!WIFRP[FX])</f>
        <v>1.188284E-2</v>
      </c>
      <c r="BG24">
        <v>54998079214.19136</v>
      </c>
      <c r="BH24">
        <f>_xlfn.XLOOKUP(D24,[1]!WIFRP[Isin Code],[1]!WIFRP[Original market cap])</f>
        <v>54998079214.19136</v>
      </c>
      <c r="BI24" t="b">
        <f t="shared" si="0"/>
        <v>1</v>
      </c>
      <c r="BJ24">
        <v>9.0303884460793578E-3</v>
      </c>
      <c r="BK24">
        <v>1.5745766870661531</v>
      </c>
      <c r="BL24">
        <v>86598693364.083267</v>
      </c>
      <c r="BM24">
        <v>1.42190391223481E-2</v>
      </c>
      <c r="BN24">
        <v>0.99999999999999989</v>
      </c>
    </row>
    <row r="25" spans="1:66" x14ac:dyDescent="0.25">
      <c r="A25">
        <v>253</v>
      </c>
      <c r="B25" t="s">
        <v>185</v>
      </c>
      <c r="C25" t="s">
        <v>26</v>
      </c>
      <c r="D25" t="s">
        <v>66</v>
      </c>
      <c r="E25" t="s">
        <v>94</v>
      </c>
      <c r="F25">
        <v>381138430</v>
      </c>
      <c r="G25">
        <v>139.33539999999999</v>
      </c>
      <c r="H25" t="s">
        <v>102</v>
      </c>
      <c r="I25">
        <v>53106075599.421997</v>
      </c>
      <c r="J25" t="s">
        <v>205</v>
      </c>
      <c r="K25">
        <v>67557034.040618107</v>
      </c>
      <c r="L25">
        <v>1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2.3079999999999998</v>
      </c>
      <c r="AY25" t="s">
        <v>210</v>
      </c>
      <c r="BA25">
        <v>53106075599.421997</v>
      </c>
      <c r="BB25" t="s">
        <v>211</v>
      </c>
      <c r="BD25">
        <v>196.1</v>
      </c>
      <c r="BE25">
        <v>0.58154749999999999</v>
      </c>
      <c r="BF25">
        <f>_xlfn.XLOOKUP(D25,[1]!WIFRP[Isin Code],[1]!WIFRP[FX])</f>
        <v>0.58154749999999999</v>
      </c>
      <c r="BG25">
        <v>43465584829.71534</v>
      </c>
      <c r="BH25">
        <f>_xlfn.XLOOKUP(D25,[1]!WIFRP[Isin Code],[1]!WIFRP[Original market cap])</f>
        <v>43465584829.71534</v>
      </c>
      <c r="BI25" t="b">
        <f t="shared" si="0"/>
        <v>1</v>
      </c>
      <c r="BJ25">
        <v>7.1368149698410278E-3</v>
      </c>
      <c r="BK25">
        <v>1.5745766870661531</v>
      </c>
      <c r="BL25">
        <v>68439896562.566002</v>
      </c>
      <c r="BM25">
        <v>1.123746247141641E-2</v>
      </c>
      <c r="BN25">
        <v>0.99999999999999989</v>
      </c>
    </row>
    <row r="26" spans="1:66" x14ac:dyDescent="0.25">
      <c r="A26">
        <v>271</v>
      </c>
      <c r="B26" t="s">
        <v>186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53243719813.199997</v>
      </c>
      <c r="J26" t="s">
        <v>202</v>
      </c>
      <c r="K26">
        <v>365902620.51544499</v>
      </c>
      <c r="L26">
        <v>0.95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208</v>
      </c>
      <c r="BA26">
        <v>50581533822.540001</v>
      </c>
      <c r="BB26" t="s">
        <v>211</v>
      </c>
      <c r="BD26">
        <v>148.66</v>
      </c>
      <c r="BE26">
        <v>0.91516427</v>
      </c>
      <c r="BF26">
        <f>_xlfn.XLOOKUP(D26,[1]!WIFRP[Isin Code],[1]!WIFRP[FX])</f>
        <v>0.91516427</v>
      </c>
      <c r="BG26">
        <v>43508953505.798309</v>
      </c>
      <c r="BH26">
        <f>_xlfn.XLOOKUP(D26,[1]!WIFRP[Isin Code],[1]!WIFRP[Original market cap])</f>
        <v>43508953505.798302</v>
      </c>
      <c r="BI26" t="b">
        <f t="shared" si="0"/>
        <v>1</v>
      </c>
      <c r="BJ26">
        <v>7.1439358729165001E-3</v>
      </c>
      <c r="BK26">
        <v>1.5745766870661531</v>
      </c>
      <c r="BL26">
        <v>68508183868.875168</v>
      </c>
      <c r="BM26">
        <v>1.124867487938991E-2</v>
      </c>
      <c r="BN26">
        <v>0.99999999999999989</v>
      </c>
    </row>
    <row r="27" spans="1:66" x14ac:dyDescent="0.25">
      <c r="A27">
        <v>318</v>
      </c>
      <c r="B27" t="s">
        <v>187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67522305138.431999</v>
      </c>
      <c r="J27" t="s">
        <v>205</v>
      </c>
      <c r="K27">
        <v>116796534.91777401</v>
      </c>
      <c r="L27">
        <v>0.65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210</v>
      </c>
      <c r="BA27">
        <v>43889498339.980797</v>
      </c>
      <c r="BB27" t="s">
        <v>211</v>
      </c>
      <c r="BD27">
        <v>4855</v>
      </c>
      <c r="BE27">
        <v>6.1221100000000001E-3</v>
      </c>
      <c r="BF27">
        <f>_xlfn.XLOOKUP(D27,[1]!WIFRP[Isin Code],[1]!WIFRP[FX])</f>
        <v>6.1221100000000001E-3</v>
      </c>
      <c r="BG27">
        <v>42346140673.690048</v>
      </c>
      <c r="BH27">
        <f>_xlfn.XLOOKUP(D27,[1]!WIFRP[Isin Code],[1]!WIFRP[Original market cap])</f>
        <v>42346140673.690048</v>
      </c>
      <c r="BI27" t="b">
        <f t="shared" si="0"/>
        <v>1</v>
      </c>
      <c r="BJ27">
        <v>6.9530082675518072E-3</v>
      </c>
      <c r="BK27">
        <v>1.5745766870661531</v>
      </c>
      <c r="BL27">
        <v>66677245892.016129</v>
      </c>
      <c r="BM27">
        <v>1.094804472306529E-2</v>
      </c>
      <c r="BN27">
        <v>0.99999999999999989</v>
      </c>
    </row>
    <row r="28" spans="1:66" x14ac:dyDescent="0.25">
      <c r="A28">
        <v>345</v>
      </c>
      <c r="B28" t="s">
        <v>188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44779913864.839996</v>
      </c>
      <c r="J28" t="s">
        <v>202</v>
      </c>
      <c r="K28">
        <v>310102172.60629201</v>
      </c>
      <c r="L28">
        <v>0.9</v>
      </c>
      <c r="O28" t="s">
        <v>206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2.0390000000000001</v>
      </c>
      <c r="AY28" t="s">
        <v>208</v>
      </c>
      <c r="BA28">
        <v>40301922478.356003</v>
      </c>
      <c r="BB28" t="s">
        <v>211</v>
      </c>
      <c r="BD28">
        <v>264.14</v>
      </c>
      <c r="BE28">
        <v>0.91516427</v>
      </c>
      <c r="BF28">
        <f>_xlfn.XLOOKUP(D28,[1]!WIFRP[Isin Code],[1]!WIFRP[FX])</f>
        <v>0.91516427</v>
      </c>
      <c r="BG28">
        <v>42188278264.84742</v>
      </c>
      <c r="BH28">
        <f>_xlfn.XLOOKUP(D28,[1]!WIFRP[Isin Code],[1]!WIFRP[Original market cap])</f>
        <v>42188278264.847427</v>
      </c>
      <c r="BI28" t="b">
        <f t="shared" si="0"/>
        <v>1</v>
      </c>
      <c r="BJ28">
        <v>6.9270881100981108E-3</v>
      </c>
      <c r="BK28">
        <v>1.5745766870661531</v>
      </c>
      <c r="BL28">
        <v>66428679423.288429</v>
      </c>
      <c r="BM28">
        <v>1.090723144741362E-2</v>
      </c>
      <c r="BN28">
        <v>1</v>
      </c>
    </row>
    <row r="29" spans="1:66" x14ac:dyDescent="0.25">
      <c r="A29">
        <v>353</v>
      </c>
      <c r="B29" t="s">
        <v>189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203</v>
      </c>
      <c r="K29">
        <v>145505164.78811499</v>
      </c>
      <c r="L29">
        <v>0.7</v>
      </c>
      <c r="O29" t="s">
        <v>206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2.8039999999999998</v>
      </c>
      <c r="AY29" t="s">
        <v>209</v>
      </c>
      <c r="BA29">
        <v>39633116292</v>
      </c>
      <c r="BB29" t="s">
        <v>211</v>
      </c>
      <c r="BD29">
        <v>61.28</v>
      </c>
      <c r="BE29">
        <v>1</v>
      </c>
      <c r="BF29">
        <f>_xlfn.XLOOKUP(D29,[1]!WIFRP[Isin Code],[1]!WIFRP[FX])</f>
        <v>1</v>
      </c>
      <c r="BG29">
        <v>41304717115.199997</v>
      </c>
      <c r="BH29">
        <f>_xlfn.XLOOKUP(D29,[1]!WIFRP[Isin Code],[1]!WIFRP[Original market cap])</f>
        <v>41304717115.199997</v>
      </c>
      <c r="BI29" t="b">
        <f t="shared" si="0"/>
        <v>1</v>
      </c>
      <c r="BJ29">
        <v>6.7820121272422988E-3</v>
      </c>
      <c r="BK29">
        <v>1.5745766870661519</v>
      </c>
      <c r="BL29">
        <v>65037444635.45623</v>
      </c>
      <c r="BM29">
        <v>1.067879818695565E-2</v>
      </c>
      <c r="BN29">
        <v>0.99999999999999967</v>
      </c>
    </row>
    <row r="30" spans="1:66" x14ac:dyDescent="0.25">
      <c r="A30">
        <v>370</v>
      </c>
      <c r="B30" t="s">
        <v>190</v>
      </c>
      <c r="C30" t="s">
        <v>16</v>
      </c>
      <c r="D30" t="s">
        <v>56</v>
      </c>
      <c r="E30" t="s">
        <v>88</v>
      </c>
      <c r="F30">
        <v>856564000</v>
      </c>
      <c r="G30">
        <v>49.249160000000003</v>
      </c>
      <c r="H30" t="s">
        <v>98</v>
      </c>
      <c r="I30">
        <v>42185057486.240013</v>
      </c>
      <c r="J30" t="s">
        <v>202</v>
      </c>
      <c r="K30">
        <v>232602254.25303</v>
      </c>
      <c r="L30">
        <v>0.9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208</v>
      </c>
      <c r="BA30">
        <v>37966551737.615997</v>
      </c>
      <c r="BB30" t="s">
        <v>211</v>
      </c>
      <c r="BD30">
        <v>47.27</v>
      </c>
      <c r="BE30">
        <v>0.91516427</v>
      </c>
      <c r="BF30">
        <f>_xlfn.XLOOKUP(D30,[1]!WIFRP[Isin Code],[1]!WIFRP[FX])</f>
        <v>0.91516427</v>
      </c>
      <c r="BG30">
        <v>33349320191.165939</v>
      </c>
      <c r="BH30">
        <f>_xlfn.XLOOKUP(D30,[1]!WIFRP[Isin Code],[1]!WIFRP[Original market cap])</f>
        <v>33349320191.165936</v>
      </c>
      <c r="BI30" t="b">
        <f t="shared" si="0"/>
        <v>1</v>
      </c>
      <c r="BJ30">
        <v>5.4757787915836369E-3</v>
      </c>
      <c r="BK30">
        <v>1.5745766870661531</v>
      </c>
      <c r="BL30">
        <v>52511062102.51442</v>
      </c>
      <c r="BM30">
        <v>8.6220336287588639E-3</v>
      </c>
      <c r="BN30">
        <v>1</v>
      </c>
    </row>
    <row r="31" spans="1:66" x14ac:dyDescent="0.25">
      <c r="A31">
        <v>387</v>
      </c>
      <c r="B31" t="s">
        <v>191</v>
      </c>
      <c r="C31" t="s">
        <v>25</v>
      </c>
      <c r="D31" t="s">
        <v>65</v>
      </c>
      <c r="E31" t="s">
        <v>90</v>
      </c>
      <c r="F31">
        <v>116667564</v>
      </c>
      <c r="G31">
        <v>343.34769999999997</v>
      </c>
      <c r="H31" t="s">
        <v>98</v>
      </c>
      <c r="I31">
        <v>40057539764.0028</v>
      </c>
      <c r="J31" t="s">
        <v>202</v>
      </c>
      <c r="K31">
        <v>677059545.98014796</v>
      </c>
      <c r="L31">
        <v>0.9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208</v>
      </c>
      <c r="BA31">
        <v>36051785787.602524</v>
      </c>
      <c r="BB31" t="s">
        <v>211</v>
      </c>
      <c r="BD31">
        <v>323.07</v>
      </c>
      <c r="BE31">
        <v>0.91516427</v>
      </c>
      <c r="BF31">
        <f>_xlfn.XLOOKUP(D31,[1]!WIFRP[Isin Code],[1]!WIFRP[FX])</f>
        <v>0.91516427</v>
      </c>
      <c r="BG31">
        <v>31044761451.163189</v>
      </c>
      <c r="BH31">
        <f>_xlfn.XLOOKUP(D31,[1]!WIFRP[Isin Code],[1]!WIFRP[Original market cap])</f>
        <v>31044761451.163181</v>
      </c>
      <c r="BI31" t="b">
        <f t="shared" si="0"/>
        <v>1</v>
      </c>
      <c r="BJ31">
        <v>5.0973826563662072E-3</v>
      </c>
      <c r="BK31">
        <v>1.5745766870661531</v>
      </c>
      <c r="BL31">
        <v>48882357636.531532</v>
      </c>
      <c r="BM31">
        <v>8.0262198957695673E-3</v>
      </c>
      <c r="BN31">
        <v>0.99999999999999989</v>
      </c>
    </row>
    <row r="32" spans="1:66" x14ac:dyDescent="0.25">
      <c r="A32">
        <v>401</v>
      </c>
      <c r="B32" t="s">
        <v>192</v>
      </c>
      <c r="C32" t="s">
        <v>43</v>
      </c>
      <c r="D32" t="s">
        <v>83</v>
      </c>
      <c r="E32" t="s">
        <v>88</v>
      </c>
      <c r="F32">
        <v>489229640</v>
      </c>
      <c r="G32">
        <v>70.033479999999997</v>
      </c>
      <c r="H32" t="s">
        <v>98</v>
      </c>
      <c r="I32">
        <v>34262454208.347198</v>
      </c>
      <c r="J32" t="s">
        <v>202</v>
      </c>
      <c r="K32">
        <v>241821604.805159</v>
      </c>
      <c r="L32">
        <v>1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2.0960000000000001</v>
      </c>
      <c r="AY32" t="s">
        <v>208</v>
      </c>
      <c r="BA32">
        <v>34262454208.347198</v>
      </c>
      <c r="BB32" t="s">
        <v>211</v>
      </c>
      <c r="BD32">
        <v>74.36</v>
      </c>
      <c r="BE32">
        <v>0.91516427</v>
      </c>
      <c r="BF32">
        <f>_xlfn.XLOOKUP(D32,[1]!WIFRP[Isin Code],[1]!WIFRP[FX])</f>
        <v>0.91516427</v>
      </c>
      <c r="BG32">
        <v>33292867165.20631</v>
      </c>
      <c r="BH32">
        <f>_xlfn.XLOOKUP(D32,[1]!WIFRP[Isin Code],[1]!WIFRP[Original market cap])</f>
        <v>33292867165.206314</v>
      </c>
      <c r="BI32" t="b">
        <f t="shared" si="0"/>
        <v>1</v>
      </c>
      <c r="BJ32">
        <v>5.4665095087167463E-3</v>
      </c>
      <c r="BK32">
        <v>1.5745766870661531</v>
      </c>
      <c r="BL32">
        <v>52422172483.924057</v>
      </c>
      <c r="BM32">
        <v>8.6074384320508363E-3</v>
      </c>
      <c r="BN32">
        <v>1</v>
      </c>
    </row>
    <row r="33" spans="1:66" x14ac:dyDescent="0.25">
      <c r="A33">
        <v>402</v>
      </c>
      <c r="B33" t="s">
        <v>193</v>
      </c>
      <c r="C33" t="s">
        <v>44</v>
      </c>
      <c r="D33" t="s">
        <v>84</v>
      </c>
      <c r="E33" t="s">
        <v>90</v>
      </c>
      <c r="F33">
        <v>176495710</v>
      </c>
      <c r="G33">
        <v>202.43899999999999</v>
      </c>
      <c r="H33" t="s">
        <v>98</v>
      </c>
      <c r="I33">
        <v>35729615036.690002</v>
      </c>
      <c r="J33" t="s">
        <v>202</v>
      </c>
      <c r="K33">
        <v>302384025.46528202</v>
      </c>
      <c r="L33">
        <v>0.95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208</v>
      </c>
      <c r="BA33">
        <v>33943134284.855499</v>
      </c>
      <c r="BB33" t="s">
        <v>211</v>
      </c>
      <c r="BD33">
        <v>204.32</v>
      </c>
      <c r="BE33">
        <v>0.91516427</v>
      </c>
      <c r="BF33">
        <f>_xlfn.XLOOKUP(D33,[1]!WIFRP[Isin Code],[1]!WIFRP[FX])</f>
        <v>0.91516427</v>
      </c>
      <c r="BG33">
        <v>31352176461.485081</v>
      </c>
      <c r="BH33">
        <f>_xlfn.XLOOKUP(D33,[1]!WIFRP[Isin Code],[1]!WIFRP[Original market cap])</f>
        <v>31352176461.485077</v>
      </c>
      <c r="BI33" t="b">
        <f t="shared" si="0"/>
        <v>1</v>
      </c>
      <c r="BJ33">
        <v>5.1478585456522803E-3</v>
      </c>
      <c r="BK33">
        <v>1.5745766870661531</v>
      </c>
      <c r="BL33">
        <v>49366406145.038589</v>
      </c>
      <c r="BM33">
        <v>8.1056980542983503E-3</v>
      </c>
      <c r="BN33">
        <v>0.99999999999999989</v>
      </c>
    </row>
    <row r="34" spans="1:66" x14ac:dyDescent="0.25">
      <c r="A34">
        <v>403</v>
      </c>
      <c r="B34" t="s">
        <v>194</v>
      </c>
      <c r="C34" t="s">
        <v>34</v>
      </c>
      <c r="D34" t="s">
        <v>74</v>
      </c>
      <c r="E34" t="s">
        <v>95</v>
      </c>
      <c r="F34">
        <v>26700000</v>
      </c>
      <c r="G34">
        <v>1486.4760000000001</v>
      </c>
      <c r="H34" t="s">
        <v>103</v>
      </c>
      <c r="I34">
        <v>39688909200</v>
      </c>
      <c r="J34" t="s">
        <v>204</v>
      </c>
      <c r="K34">
        <v>72362865.0623236</v>
      </c>
      <c r="L34">
        <v>0.85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2.2930000000000001</v>
      </c>
      <c r="AY34" t="s">
        <v>209</v>
      </c>
      <c r="BA34">
        <v>33735572820</v>
      </c>
      <c r="BB34" t="s">
        <v>211</v>
      </c>
      <c r="BD34">
        <v>1315.5</v>
      </c>
      <c r="BE34">
        <v>1.0432424</v>
      </c>
      <c r="BF34">
        <f>_xlfn.XLOOKUP(D34,[1]!WIFRP[Isin Code],[1]!WIFRP[FX])</f>
        <v>1.0432424</v>
      </c>
      <c r="BG34">
        <v>31146286135.554001</v>
      </c>
      <c r="BH34">
        <f>_xlfn.XLOOKUP(D34,[1]!WIFRP[Isin Code],[1]!WIFRP[Original market cap])</f>
        <v>31146286135.553997</v>
      </c>
      <c r="BI34" t="b">
        <f t="shared" si="0"/>
        <v>1</v>
      </c>
      <c r="BJ34">
        <v>5.1140524628397049E-3</v>
      </c>
      <c r="BK34">
        <v>1.5745766870661531</v>
      </c>
      <c r="BL34">
        <v>49042216037.735062</v>
      </c>
      <c r="BM34">
        <v>8.0524677844206419E-3</v>
      </c>
      <c r="BN34">
        <v>0.99999999999999989</v>
      </c>
    </row>
    <row r="35" spans="1:66" x14ac:dyDescent="0.25">
      <c r="A35">
        <v>410</v>
      </c>
      <c r="B35" t="s">
        <v>195</v>
      </c>
      <c r="C35" t="s">
        <v>38</v>
      </c>
      <c r="D35" t="s">
        <v>78</v>
      </c>
      <c r="E35" t="s">
        <v>93</v>
      </c>
      <c r="F35">
        <v>1870614900</v>
      </c>
      <c r="G35">
        <v>17.545490000000001</v>
      </c>
      <c r="H35" t="s">
        <v>101</v>
      </c>
      <c r="I35">
        <v>32820855021.800999</v>
      </c>
      <c r="J35" t="s">
        <v>205</v>
      </c>
      <c r="K35">
        <v>138253267.89183801</v>
      </c>
      <c r="L35">
        <v>1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210</v>
      </c>
      <c r="BA35">
        <v>32820855021.800999</v>
      </c>
      <c r="BB35" t="s">
        <v>211</v>
      </c>
      <c r="BD35">
        <v>2380</v>
      </c>
      <c r="BE35">
        <v>6.1221100000000001E-3</v>
      </c>
      <c r="BF35">
        <f>_xlfn.XLOOKUP(D35,[1]!WIFRP[Isin Code],[1]!WIFRP[FX])</f>
        <v>6.1221100000000001E-3</v>
      </c>
      <c r="BG35">
        <v>27256022241.344818</v>
      </c>
      <c r="BH35">
        <f>_xlfn.XLOOKUP(D35,[1]!WIFRP[Isin Code],[1]!WIFRP[Original market cap])</f>
        <v>27256022241.344818</v>
      </c>
      <c r="BI35" t="b">
        <f t="shared" si="0"/>
        <v>1</v>
      </c>
      <c r="BJ35">
        <v>4.4752920802152629E-3</v>
      </c>
      <c r="BK35">
        <v>1.5745766870661531</v>
      </c>
      <c r="BL35">
        <v>42916697203.378113</v>
      </c>
      <c r="BM35">
        <v>7.0466905773187401E-3</v>
      </c>
      <c r="BN35">
        <v>1</v>
      </c>
    </row>
    <row r="36" spans="1:66" x14ac:dyDescent="0.25">
      <c r="A36">
        <v>415</v>
      </c>
      <c r="B36" t="s">
        <v>196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205</v>
      </c>
      <c r="K36">
        <v>110732949.93030199</v>
      </c>
      <c r="L36">
        <v>0.95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2.6960000000000002</v>
      </c>
      <c r="AY36" t="s">
        <v>210</v>
      </c>
      <c r="BA36">
        <v>32421584537.893101</v>
      </c>
      <c r="BB36" t="s">
        <v>211</v>
      </c>
      <c r="BD36">
        <v>2506</v>
      </c>
      <c r="BE36">
        <v>6.1221100000000001E-3</v>
      </c>
      <c r="BF36">
        <f>_xlfn.XLOOKUP(D36,[1]!WIFRP[Isin Code],[1]!WIFRP[FX])</f>
        <v>6.1221100000000001E-3</v>
      </c>
      <c r="BG36">
        <v>28610569219.584099</v>
      </c>
      <c r="BH36">
        <f>_xlfn.XLOOKUP(D36,[1]!WIFRP[Isin Code],[1]!WIFRP[Original market cap])</f>
        <v>28610569219.584095</v>
      </c>
      <c r="BI36" t="b">
        <f t="shared" si="0"/>
        <v>1</v>
      </c>
      <c r="BJ36">
        <v>4.6977013998994186E-3</v>
      </c>
      <c r="BK36">
        <v>1.5745766870661519</v>
      </c>
      <c r="BL36">
        <v>45049535296.849564</v>
      </c>
      <c r="BM36">
        <v>7.3968911070796551E-3</v>
      </c>
      <c r="BN36">
        <v>0.99999999999999967</v>
      </c>
    </row>
    <row r="37" spans="1:66" x14ac:dyDescent="0.25">
      <c r="A37">
        <v>422</v>
      </c>
      <c r="B37" t="s">
        <v>197</v>
      </c>
      <c r="C37" t="s">
        <v>10</v>
      </c>
      <c r="D37" t="s">
        <v>50</v>
      </c>
      <c r="E37" t="s">
        <v>90</v>
      </c>
      <c r="F37">
        <v>376241880</v>
      </c>
      <c r="G37">
        <v>84.294589999999999</v>
      </c>
      <c r="H37" t="s">
        <v>98</v>
      </c>
      <c r="I37">
        <v>31715155015.429199</v>
      </c>
      <c r="J37" t="s">
        <v>202</v>
      </c>
      <c r="K37">
        <v>167494889.37707701</v>
      </c>
      <c r="L37">
        <v>1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2.2970000000000002</v>
      </c>
      <c r="AY37" t="s">
        <v>208</v>
      </c>
      <c r="BA37">
        <v>31715155015.429199</v>
      </c>
      <c r="BB37" t="s">
        <v>211</v>
      </c>
      <c r="BD37">
        <v>93.3</v>
      </c>
      <c r="BE37">
        <v>0.91516427</v>
      </c>
      <c r="BF37">
        <f>_xlfn.XLOOKUP(D37,[1]!WIFRP[Isin Code],[1]!WIFRP[FX])</f>
        <v>0.91516427</v>
      </c>
      <c r="BG37">
        <v>32125347604.82346</v>
      </c>
      <c r="BH37">
        <f>_xlfn.XLOOKUP(D37,[1]!WIFRP[Isin Code],[1]!WIFRP[Original market cap])</f>
        <v>32125347604.823456</v>
      </c>
      <c r="BI37" t="b">
        <f t="shared" si="0"/>
        <v>1</v>
      </c>
      <c r="BJ37">
        <v>5.2748090839147737E-3</v>
      </c>
      <c r="BK37">
        <v>1.5745766870661519</v>
      </c>
      <c r="BL37">
        <v>50583823402.451469</v>
      </c>
      <c r="BM37">
        <v>8.3055914122569709E-3</v>
      </c>
      <c r="BN37">
        <v>0.99999999999999967</v>
      </c>
    </row>
    <row r="38" spans="1:66" x14ac:dyDescent="0.25">
      <c r="A38">
        <v>429</v>
      </c>
      <c r="B38" t="s">
        <v>198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202</v>
      </c>
      <c r="K38">
        <v>195273317.80531701</v>
      </c>
      <c r="L38">
        <v>1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208</v>
      </c>
      <c r="BA38">
        <v>31402645936.909</v>
      </c>
      <c r="BB38" t="s">
        <v>211</v>
      </c>
      <c r="BD38">
        <v>334.97</v>
      </c>
      <c r="BE38">
        <v>0.91516427</v>
      </c>
      <c r="BF38">
        <f>_xlfn.XLOOKUP(D38,[1]!WIFRP[Isin Code],[1]!WIFRP[FX])</f>
        <v>0.91516427</v>
      </c>
      <c r="BG38">
        <v>30877652249.15387</v>
      </c>
      <c r="BH38">
        <f>_xlfn.XLOOKUP(D38,[1]!WIFRP[Isin Code],[1]!WIFRP[Original market cap])</f>
        <v>30877652249.153877</v>
      </c>
      <c r="BI38" t="b">
        <f t="shared" si="0"/>
        <v>1</v>
      </c>
      <c r="BJ38">
        <v>5.0699442252678893E-3</v>
      </c>
      <c r="BK38">
        <v>1.5745766870661531</v>
      </c>
      <c r="BL38">
        <v>48619231382.853439</v>
      </c>
      <c r="BM38">
        <v>7.9830159818324847E-3</v>
      </c>
      <c r="BN38">
        <v>0.99999999999999989</v>
      </c>
    </row>
    <row r="39" spans="1:66" x14ac:dyDescent="0.25">
      <c r="A39">
        <v>449</v>
      </c>
      <c r="B39" t="s">
        <v>199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30122950182.616001</v>
      </c>
      <c r="J39" t="s">
        <v>202</v>
      </c>
      <c r="K39">
        <v>191619764.27894601</v>
      </c>
      <c r="L39">
        <v>1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208</v>
      </c>
      <c r="BA39">
        <v>30122950182.616001</v>
      </c>
      <c r="BB39" t="s">
        <v>211</v>
      </c>
      <c r="BD39">
        <v>78.36</v>
      </c>
      <c r="BE39">
        <v>0.91516427</v>
      </c>
      <c r="BF39">
        <f>_xlfn.XLOOKUP(D39,[1]!WIFRP[Isin Code],[1]!WIFRP[FX])</f>
        <v>0.91516427</v>
      </c>
      <c r="BG39">
        <v>29411038662.239971</v>
      </c>
      <c r="BH39">
        <f>_xlfn.XLOOKUP(D39,[1]!WIFRP[Isin Code],[1]!WIFRP[Original market cap])</f>
        <v>29411038662.239967</v>
      </c>
      <c r="BI39" t="b">
        <f t="shared" si="0"/>
        <v>1</v>
      </c>
      <c r="BJ39">
        <v>4.8291341719103728E-3</v>
      </c>
      <c r="BK39">
        <v>1.5745766870661531</v>
      </c>
      <c r="BL39">
        <v>46309935819.96434</v>
      </c>
      <c r="BM39">
        <v>7.6038420858045826E-3</v>
      </c>
      <c r="BN39">
        <v>1</v>
      </c>
    </row>
    <row r="40" spans="1:66" x14ac:dyDescent="0.25">
      <c r="A40">
        <v>451</v>
      </c>
      <c r="B40" t="s">
        <v>200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29981960142.626999</v>
      </c>
      <c r="J40" t="s">
        <v>202</v>
      </c>
      <c r="K40">
        <v>137375681.20969701</v>
      </c>
      <c r="L40">
        <v>1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2.7370000000000001</v>
      </c>
      <c r="AY40" t="s">
        <v>208</v>
      </c>
      <c r="BA40">
        <v>29981960142.626999</v>
      </c>
      <c r="BB40" t="s">
        <v>211</v>
      </c>
      <c r="BD40">
        <v>80.680000000000007</v>
      </c>
      <c r="BE40">
        <v>0.63942706999999999</v>
      </c>
      <c r="BF40">
        <f>_xlfn.XLOOKUP(D40,[1]!WIFRP[Isin Code],[1]!WIFRP[FX])</f>
        <v>0.63942706999999999</v>
      </c>
      <c r="BG40">
        <v>29553133886.83276</v>
      </c>
      <c r="BH40">
        <f>_xlfn.XLOOKUP(D40,[1]!WIFRP[Isin Code],[1]!WIFRP[Original market cap])</f>
        <v>29553133886.83276</v>
      </c>
      <c r="BI40" t="b">
        <f t="shared" si="0"/>
        <v>1</v>
      </c>
      <c r="BJ40">
        <v>4.8524654426154541E-3</v>
      </c>
      <c r="BK40">
        <v>1.5745766870661531</v>
      </c>
      <c r="BL40">
        <v>46533675647.951576</v>
      </c>
      <c r="BM40">
        <v>7.6405789607364334E-3</v>
      </c>
      <c r="BN40">
        <v>0.99999999999999989</v>
      </c>
    </row>
    <row r="41" spans="1:66" x14ac:dyDescent="0.25">
      <c r="A41">
        <v>455</v>
      </c>
      <c r="B41" t="s">
        <v>201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202</v>
      </c>
      <c r="K41">
        <v>189756861.70250699</v>
      </c>
      <c r="L41">
        <v>0.9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208</v>
      </c>
      <c r="BA41">
        <v>29731187777.068802</v>
      </c>
      <c r="BB41" t="s">
        <v>211</v>
      </c>
      <c r="BD41">
        <v>144.02000000000001</v>
      </c>
      <c r="BE41">
        <v>0.91516427</v>
      </c>
      <c r="BF41">
        <f>_xlfn.XLOOKUP(D41,[1]!WIFRP[Isin Code],[1]!WIFRP[FX])</f>
        <v>0.91516427</v>
      </c>
      <c r="BG41">
        <v>23533385667.00182</v>
      </c>
      <c r="BH41">
        <f>_xlfn.XLOOKUP(D41,[1]!WIFRP[Isin Code],[1]!WIFRP[Original market cap])</f>
        <v>23533385667.00182</v>
      </c>
      <c r="BI41" t="b">
        <f t="shared" si="0"/>
        <v>1</v>
      </c>
      <c r="BJ41">
        <v>3.8640552008512071E-3</v>
      </c>
      <c r="BK41">
        <v>1.5745766870661531</v>
      </c>
      <c r="BL41">
        <v>37055120438.997803</v>
      </c>
      <c r="BM41">
        <v>6.0842512367970296E-3</v>
      </c>
      <c r="BN41">
        <v>0.99999999999999989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76"/>
  <sheetViews>
    <sheetView workbookViewId="0"/>
  </sheetViews>
  <sheetFormatPr defaultRowHeight="15" x14ac:dyDescent="0.25"/>
  <sheetData>
    <row r="1" spans="1:5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 x14ac:dyDescent="0.25">
      <c r="A2">
        <v>283</v>
      </c>
      <c r="B2" t="s">
        <v>212</v>
      </c>
      <c r="C2" t="s">
        <v>1647</v>
      </c>
      <c r="D2" t="s">
        <v>3082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204</v>
      </c>
      <c r="K2">
        <v>39423544.626821302</v>
      </c>
      <c r="L2">
        <v>1</v>
      </c>
      <c r="O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G2" t="s">
        <v>4546</v>
      </c>
      <c r="AH2" t="s">
        <v>4562</v>
      </c>
      <c r="AI2" t="s">
        <v>4565</v>
      </c>
      <c r="AJ2" t="s">
        <v>4566</v>
      </c>
      <c r="AL2">
        <v>0.05</v>
      </c>
      <c r="AO2" t="s">
        <v>4568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209</v>
      </c>
      <c r="BA2">
        <v>48283328185.709999</v>
      </c>
      <c r="BB2" t="s">
        <v>4572</v>
      </c>
      <c r="BC2" t="s">
        <v>4573</v>
      </c>
    </row>
    <row r="3" spans="1:55" x14ac:dyDescent="0.25">
      <c r="A3">
        <v>167</v>
      </c>
      <c r="B3" t="s">
        <v>213</v>
      </c>
      <c r="C3" t="s">
        <v>1648</v>
      </c>
      <c r="D3" t="s">
        <v>3083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202</v>
      </c>
      <c r="K3">
        <v>469776671.99216098</v>
      </c>
      <c r="L3">
        <v>1</v>
      </c>
      <c r="M3" t="s">
        <v>4536</v>
      </c>
      <c r="O3" t="s">
        <v>207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G3" t="s">
        <v>4546</v>
      </c>
      <c r="AH3" t="s">
        <v>4563</v>
      </c>
      <c r="AI3" t="s">
        <v>4565</v>
      </c>
      <c r="AJ3" t="s">
        <v>4566</v>
      </c>
      <c r="AK3">
        <v>0</v>
      </c>
      <c r="AL3">
        <v>0.05</v>
      </c>
      <c r="AM3">
        <v>0</v>
      </c>
      <c r="AO3" t="s">
        <v>4568</v>
      </c>
      <c r="AQ3">
        <v>0</v>
      </c>
      <c r="AR3">
        <v>0</v>
      </c>
      <c r="AW3">
        <v>5020</v>
      </c>
      <c r="AX3">
        <v>1.8520000000000001</v>
      </c>
      <c r="AY3" t="s">
        <v>208</v>
      </c>
      <c r="AZ3" t="s">
        <v>4571</v>
      </c>
      <c r="BA3">
        <v>75284214450</v>
      </c>
      <c r="BB3" t="s">
        <v>4572</v>
      </c>
      <c r="BC3" t="s">
        <v>4574</v>
      </c>
    </row>
    <row r="4" spans="1:55" x14ac:dyDescent="0.25">
      <c r="A4">
        <v>1436</v>
      </c>
      <c r="B4" t="s">
        <v>214</v>
      </c>
      <c r="C4" t="s">
        <v>1649</v>
      </c>
      <c r="D4" t="s">
        <v>3084</v>
      </c>
      <c r="E4" t="s">
        <v>93</v>
      </c>
      <c r="F4">
        <v>76655750</v>
      </c>
      <c r="G4">
        <v>29.431139999999999</v>
      </c>
      <c r="H4" t="s">
        <v>101</v>
      </c>
      <c r="I4">
        <v>2256066110.0549998</v>
      </c>
      <c r="J4" t="s">
        <v>205</v>
      </c>
      <c r="K4">
        <v>5232903.1015752796</v>
      </c>
      <c r="L4">
        <v>1</v>
      </c>
      <c r="M4" t="s">
        <v>4536</v>
      </c>
      <c r="N4" t="s">
        <v>4537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210</v>
      </c>
      <c r="BA4">
        <v>2256066110.0549998</v>
      </c>
      <c r="BB4" t="s">
        <v>4572</v>
      </c>
      <c r="BC4" t="s">
        <v>4575</v>
      </c>
    </row>
    <row r="5" spans="1:55" x14ac:dyDescent="0.25">
      <c r="A5">
        <v>1298</v>
      </c>
      <c r="B5" t="s">
        <v>215</v>
      </c>
      <c r="C5" t="s">
        <v>1650</v>
      </c>
      <c r="D5" t="s">
        <v>3085</v>
      </c>
      <c r="E5" t="s">
        <v>94</v>
      </c>
      <c r="F5">
        <v>724019100</v>
      </c>
      <c r="G5">
        <v>4.7378039999999997</v>
      </c>
      <c r="H5" t="s">
        <v>102</v>
      </c>
      <c r="I5">
        <v>3430260588.0563998</v>
      </c>
      <c r="J5" t="s">
        <v>205</v>
      </c>
      <c r="K5">
        <v>8193130.7657530596</v>
      </c>
      <c r="L5">
        <v>0.9</v>
      </c>
      <c r="M5" t="s">
        <v>4536</v>
      </c>
      <c r="N5" t="s">
        <v>4537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210</v>
      </c>
      <c r="BA5">
        <v>3087234529.2507601</v>
      </c>
      <c r="BB5" t="s">
        <v>4572</v>
      </c>
      <c r="BC5" t="s">
        <v>4575</v>
      </c>
    </row>
    <row r="6" spans="1:55" x14ac:dyDescent="0.25">
      <c r="A6">
        <v>1248</v>
      </c>
      <c r="B6" t="s">
        <v>216</v>
      </c>
      <c r="C6" t="s">
        <v>1651</v>
      </c>
      <c r="D6" t="s">
        <v>3086</v>
      </c>
      <c r="E6" t="s">
        <v>4517</v>
      </c>
      <c r="F6">
        <v>3132905277</v>
      </c>
      <c r="G6">
        <v>2.145</v>
      </c>
      <c r="H6" t="s">
        <v>99</v>
      </c>
      <c r="I6">
        <v>6720081819.165</v>
      </c>
      <c r="J6" t="s">
        <v>203</v>
      </c>
      <c r="K6">
        <v>19527442.608131099</v>
      </c>
      <c r="L6">
        <v>0.5</v>
      </c>
      <c r="M6" t="s">
        <v>4536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2.8999999999999998E-3</v>
      </c>
      <c r="AL6">
        <v>0.36899999999999999</v>
      </c>
      <c r="AM6">
        <v>8.9300000000000004E-2</v>
      </c>
      <c r="AN6" t="s">
        <v>4567</v>
      </c>
      <c r="AO6" t="s">
        <v>4568</v>
      </c>
      <c r="AP6" t="s">
        <v>4569</v>
      </c>
      <c r="AQ6">
        <v>0</v>
      </c>
      <c r="AR6">
        <v>0</v>
      </c>
      <c r="AW6">
        <v>6510</v>
      </c>
      <c r="AX6">
        <v>2.5339999999999998</v>
      </c>
      <c r="AY6" t="s">
        <v>209</v>
      </c>
      <c r="BA6">
        <v>3360040909.5825</v>
      </c>
      <c r="BB6" t="s">
        <v>4572</v>
      </c>
      <c r="BC6" t="s">
        <v>4576</v>
      </c>
    </row>
    <row r="7" spans="1:55" x14ac:dyDescent="0.25">
      <c r="A7">
        <v>1065</v>
      </c>
      <c r="B7" t="s">
        <v>217</v>
      </c>
      <c r="C7" t="s">
        <v>1652</v>
      </c>
      <c r="D7" t="s">
        <v>3087</v>
      </c>
      <c r="E7" t="s">
        <v>4518</v>
      </c>
      <c r="F7">
        <v>1198500000</v>
      </c>
      <c r="G7">
        <v>6.155748</v>
      </c>
      <c r="H7" t="s">
        <v>4529</v>
      </c>
      <c r="I7">
        <v>7377663978</v>
      </c>
      <c r="J7" t="s">
        <v>205</v>
      </c>
      <c r="K7">
        <v>32843617.414923999</v>
      </c>
      <c r="L7">
        <v>0.7</v>
      </c>
      <c r="M7" t="s">
        <v>4536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210</v>
      </c>
      <c r="AZ7" t="s">
        <v>4571</v>
      </c>
      <c r="BA7">
        <v>5164364784.5999994</v>
      </c>
      <c r="BB7" t="s">
        <v>4572</v>
      </c>
      <c r="BC7" t="s">
        <v>4577</v>
      </c>
    </row>
    <row r="8" spans="1:55" x14ac:dyDescent="0.25">
      <c r="A8">
        <v>1076</v>
      </c>
      <c r="B8" t="s">
        <v>218</v>
      </c>
      <c r="C8" t="s">
        <v>1653</v>
      </c>
      <c r="D8" t="s">
        <v>3088</v>
      </c>
      <c r="E8" t="s">
        <v>4519</v>
      </c>
      <c r="F8">
        <v>259559200</v>
      </c>
      <c r="G8">
        <v>27.4255</v>
      </c>
      <c r="H8" t="s">
        <v>4530</v>
      </c>
      <c r="I8">
        <v>7118540839.5999994</v>
      </c>
      <c r="J8" t="s">
        <v>204</v>
      </c>
      <c r="K8">
        <v>10069959.027504999</v>
      </c>
      <c r="L8">
        <v>0.7</v>
      </c>
      <c r="M8" t="s">
        <v>4536</v>
      </c>
      <c r="O8" t="s">
        <v>207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G8" t="s">
        <v>4546</v>
      </c>
      <c r="AH8" t="s">
        <v>4564</v>
      </c>
      <c r="AI8" t="s">
        <v>4565</v>
      </c>
      <c r="AJ8" t="s">
        <v>4566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209</v>
      </c>
      <c r="BA8">
        <v>4982978587.7199993</v>
      </c>
      <c r="BB8" t="s">
        <v>4572</v>
      </c>
      <c r="BC8" t="s">
        <v>4578</v>
      </c>
    </row>
    <row r="9" spans="1:55" x14ac:dyDescent="0.25">
      <c r="A9">
        <v>1210</v>
      </c>
      <c r="B9" t="s">
        <v>219</v>
      </c>
      <c r="C9" t="s">
        <v>1654</v>
      </c>
      <c r="D9" t="s">
        <v>3089</v>
      </c>
      <c r="E9" t="s">
        <v>96</v>
      </c>
      <c r="F9">
        <v>110580102</v>
      </c>
      <c r="G9">
        <v>36.299999999999997</v>
      </c>
      <c r="H9" t="s">
        <v>99</v>
      </c>
      <c r="I9">
        <v>4014057702.5999999</v>
      </c>
      <c r="J9" t="s">
        <v>203</v>
      </c>
      <c r="K9">
        <v>4806266.6241269801</v>
      </c>
      <c r="L9">
        <v>0.9</v>
      </c>
      <c r="M9" t="s">
        <v>4536</v>
      </c>
      <c r="N9" t="s">
        <v>4537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0.1</v>
      </c>
      <c r="AM9">
        <v>0</v>
      </c>
      <c r="AO9" t="s">
        <v>4568</v>
      </c>
      <c r="AQ9">
        <v>0</v>
      </c>
      <c r="AR9">
        <v>0</v>
      </c>
      <c r="AW9">
        <v>5020</v>
      </c>
      <c r="AX9">
        <v>2.169</v>
      </c>
      <c r="AY9" t="s">
        <v>209</v>
      </c>
      <c r="BA9">
        <v>3612651932.3400002</v>
      </c>
      <c r="BB9" t="s">
        <v>4572</v>
      </c>
      <c r="BC9" t="s">
        <v>4579</v>
      </c>
    </row>
    <row r="10" spans="1:55" x14ac:dyDescent="0.25">
      <c r="A10">
        <v>269</v>
      </c>
      <c r="B10" t="s">
        <v>220</v>
      </c>
      <c r="C10" t="s">
        <v>1655</v>
      </c>
      <c r="D10" t="s">
        <v>3090</v>
      </c>
      <c r="E10" t="s">
        <v>4520</v>
      </c>
      <c r="F10">
        <v>1797198523</v>
      </c>
      <c r="G10">
        <v>51.62</v>
      </c>
      <c r="H10" t="s">
        <v>99</v>
      </c>
      <c r="I10">
        <v>92771387757.259995</v>
      </c>
      <c r="J10" t="s">
        <v>203</v>
      </c>
      <c r="K10">
        <v>98018858.536269799</v>
      </c>
      <c r="L10">
        <v>0.55000000000000004</v>
      </c>
      <c r="O10" t="s">
        <v>206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209</v>
      </c>
      <c r="AZ10" t="s">
        <v>4571</v>
      </c>
      <c r="BA10">
        <v>51024263266.492996</v>
      </c>
      <c r="BB10" t="s">
        <v>4572</v>
      </c>
      <c r="BC10" t="s">
        <v>4571</v>
      </c>
    </row>
    <row r="11" spans="1:55" x14ac:dyDescent="0.25">
      <c r="A11">
        <v>1126</v>
      </c>
      <c r="B11" t="s">
        <v>221</v>
      </c>
      <c r="C11" t="s">
        <v>1656</v>
      </c>
      <c r="D11" t="s">
        <v>3091</v>
      </c>
      <c r="E11" t="s">
        <v>4519</v>
      </c>
      <c r="F11">
        <v>313943020</v>
      </c>
      <c r="G11">
        <v>19.728380000000001</v>
      </c>
      <c r="H11" t="s">
        <v>4530</v>
      </c>
      <c r="I11">
        <v>6193587196.9076004</v>
      </c>
      <c r="J11" t="s">
        <v>204</v>
      </c>
      <c r="K11">
        <v>7671301.9088658895</v>
      </c>
      <c r="L11">
        <v>0.7</v>
      </c>
      <c r="M11" t="s">
        <v>4536</v>
      </c>
      <c r="N11" t="s">
        <v>4537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209</v>
      </c>
      <c r="BA11">
        <v>4335511037.8353205</v>
      </c>
      <c r="BB11" t="s">
        <v>4572</v>
      </c>
      <c r="BC11" t="s">
        <v>4575</v>
      </c>
    </row>
    <row r="12" spans="1:55" x14ac:dyDescent="0.25">
      <c r="A12">
        <v>137</v>
      </c>
      <c r="B12" t="s">
        <v>222</v>
      </c>
      <c r="C12" t="s">
        <v>1657</v>
      </c>
      <c r="D12" t="s">
        <v>3092</v>
      </c>
      <c r="E12" t="s">
        <v>95</v>
      </c>
      <c r="F12">
        <v>1860614900</v>
      </c>
      <c r="G12">
        <v>55.567399999999999</v>
      </c>
      <c r="H12" t="s">
        <v>103</v>
      </c>
      <c r="I12">
        <v>103389532394.25999</v>
      </c>
      <c r="J12" t="s">
        <v>204</v>
      </c>
      <c r="K12">
        <v>140238889.23849699</v>
      </c>
      <c r="L12">
        <v>0.85</v>
      </c>
      <c r="O12" t="s">
        <v>206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0.01</v>
      </c>
      <c r="AL12">
        <v>0.15</v>
      </c>
      <c r="AM12">
        <v>0</v>
      </c>
      <c r="AN12" t="s">
        <v>4567</v>
      </c>
      <c r="AO12" t="s">
        <v>4568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209</v>
      </c>
      <c r="BA12">
        <v>87881102535.120987</v>
      </c>
      <c r="BB12" t="s">
        <v>4572</v>
      </c>
      <c r="BC12" t="s">
        <v>4580</v>
      </c>
    </row>
    <row r="13" spans="1:55" x14ac:dyDescent="0.25">
      <c r="A13">
        <v>36</v>
      </c>
      <c r="B13" t="s">
        <v>223</v>
      </c>
      <c r="C13" t="s">
        <v>1658</v>
      </c>
      <c r="D13" t="s">
        <v>3093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202</v>
      </c>
      <c r="K13">
        <v>668991050.98262703</v>
      </c>
      <c r="L13">
        <v>1</v>
      </c>
      <c r="M13" t="s">
        <v>4536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G13" t="s">
        <v>4546</v>
      </c>
      <c r="AH13" t="s">
        <v>4562</v>
      </c>
      <c r="AI13" t="s">
        <v>4565</v>
      </c>
      <c r="AJ13" t="s">
        <v>4566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208</v>
      </c>
      <c r="BA13">
        <v>223811486420.22</v>
      </c>
      <c r="BB13" t="s">
        <v>4572</v>
      </c>
      <c r="BC13" t="s">
        <v>4578</v>
      </c>
    </row>
    <row r="14" spans="1:55" x14ac:dyDescent="0.25">
      <c r="A14">
        <v>22</v>
      </c>
      <c r="B14" t="s">
        <v>224</v>
      </c>
      <c r="C14" t="s">
        <v>1659</v>
      </c>
      <c r="D14" t="s">
        <v>3094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202</v>
      </c>
      <c r="K14">
        <v>1030901129.10773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G14" t="s">
        <v>4546</v>
      </c>
      <c r="AH14" t="s">
        <v>4562</v>
      </c>
      <c r="AI14" t="s">
        <v>4565</v>
      </c>
      <c r="AJ14" t="s">
        <v>4566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208</v>
      </c>
      <c r="BA14">
        <v>341217504523.95001</v>
      </c>
      <c r="BB14" t="s">
        <v>4572</v>
      </c>
      <c r="BC14" t="s">
        <v>4581</v>
      </c>
    </row>
    <row r="15" spans="1:55" x14ac:dyDescent="0.25">
      <c r="A15">
        <v>836</v>
      </c>
      <c r="B15" t="s">
        <v>225</v>
      </c>
      <c r="C15" t="s">
        <v>1660</v>
      </c>
      <c r="D15" t="s">
        <v>3095</v>
      </c>
      <c r="E15" t="s">
        <v>96</v>
      </c>
      <c r="F15">
        <v>539163896</v>
      </c>
      <c r="G15">
        <v>17.8</v>
      </c>
      <c r="H15" t="s">
        <v>99</v>
      </c>
      <c r="I15">
        <v>9597117348.8000011</v>
      </c>
      <c r="J15" t="s">
        <v>203</v>
      </c>
      <c r="K15">
        <v>48401045.407301597</v>
      </c>
      <c r="L15">
        <v>1</v>
      </c>
      <c r="M15" t="s">
        <v>4536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209</v>
      </c>
      <c r="BA15">
        <v>9597117348.8000011</v>
      </c>
      <c r="BB15" t="s">
        <v>4572</v>
      </c>
      <c r="BC15" t="s">
        <v>4536</v>
      </c>
    </row>
    <row r="16" spans="1:55" x14ac:dyDescent="0.25">
      <c r="A16">
        <v>1227</v>
      </c>
      <c r="B16" t="s">
        <v>226</v>
      </c>
      <c r="C16" t="s">
        <v>1661</v>
      </c>
      <c r="D16" t="s">
        <v>3096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204</v>
      </c>
      <c r="K16">
        <v>5431165.0947838696</v>
      </c>
      <c r="L16">
        <v>1</v>
      </c>
      <c r="M16" t="s">
        <v>4536</v>
      </c>
      <c r="N16" t="s">
        <v>4537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209</v>
      </c>
      <c r="BA16">
        <v>3512720777.8676</v>
      </c>
      <c r="BB16" t="s">
        <v>4572</v>
      </c>
      <c r="BC16" t="s">
        <v>4575</v>
      </c>
    </row>
    <row r="17" spans="1:55" x14ac:dyDescent="0.25">
      <c r="A17">
        <v>1130</v>
      </c>
      <c r="B17" t="s">
        <v>227</v>
      </c>
      <c r="C17" t="s">
        <v>1662</v>
      </c>
      <c r="D17" t="s">
        <v>3097</v>
      </c>
      <c r="E17" t="s">
        <v>95</v>
      </c>
      <c r="F17">
        <v>94500000</v>
      </c>
      <c r="G17">
        <v>45.657559999999997</v>
      </c>
      <c r="H17" t="s">
        <v>103</v>
      </c>
      <c r="I17">
        <v>4314639420</v>
      </c>
      <c r="J17" t="s">
        <v>204</v>
      </c>
      <c r="K17">
        <v>10718443.2627184</v>
      </c>
      <c r="L17">
        <v>1</v>
      </c>
      <c r="M17" t="s">
        <v>4536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0.43</v>
      </c>
      <c r="AM17">
        <v>0</v>
      </c>
      <c r="AO17" t="s">
        <v>4568</v>
      </c>
      <c r="AQ17">
        <v>0</v>
      </c>
      <c r="AR17">
        <v>0</v>
      </c>
      <c r="AW17">
        <v>5020</v>
      </c>
      <c r="AX17">
        <v>2.9510000000000001</v>
      </c>
      <c r="AY17" t="s">
        <v>209</v>
      </c>
      <c r="BA17">
        <v>4314639420</v>
      </c>
      <c r="BB17" t="s">
        <v>4572</v>
      </c>
      <c r="BC17" t="s">
        <v>4582</v>
      </c>
    </row>
    <row r="18" spans="1:55" x14ac:dyDescent="0.25">
      <c r="A18">
        <v>40</v>
      </c>
      <c r="B18" t="s">
        <v>168</v>
      </c>
      <c r="C18" t="s">
        <v>8</v>
      </c>
      <c r="D18" t="s">
        <v>48</v>
      </c>
      <c r="E18" t="s">
        <v>88</v>
      </c>
      <c r="F18">
        <v>625479900</v>
      </c>
      <c r="G18">
        <v>348.40750000000003</v>
      </c>
      <c r="H18" t="s">
        <v>98</v>
      </c>
      <c r="I18">
        <v>217921888259.25</v>
      </c>
      <c r="J18" t="s">
        <v>202</v>
      </c>
      <c r="K18">
        <v>912984242.98160696</v>
      </c>
      <c r="L18">
        <v>1</v>
      </c>
      <c r="O18" t="s">
        <v>206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208</v>
      </c>
      <c r="BA18">
        <v>217921888259.25</v>
      </c>
      <c r="BB18" t="s">
        <v>211</v>
      </c>
    </row>
    <row r="19" spans="1:55" x14ac:dyDescent="0.25">
      <c r="A19">
        <v>1375</v>
      </c>
      <c r="B19" t="s">
        <v>228</v>
      </c>
      <c r="C19" t="s">
        <v>1663</v>
      </c>
      <c r="D19" t="s">
        <v>3098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4535</v>
      </c>
      <c r="K19">
        <v>9211375.3968253992</v>
      </c>
      <c r="L19">
        <v>0.45</v>
      </c>
      <c r="N19" t="s">
        <v>4537</v>
      </c>
      <c r="O19" t="s">
        <v>206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209</v>
      </c>
      <c r="BA19">
        <v>2690718682.5</v>
      </c>
      <c r="BB19" t="s">
        <v>4572</v>
      </c>
      <c r="BC19" t="s">
        <v>4537</v>
      </c>
    </row>
    <row r="20" spans="1:55" x14ac:dyDescent="0.25">
      <c r="A20">
        <v>1140</v>
      </c>
      <c r="B20" t="s">
        <v>229</v>
      </c>
      <c r="C20" t="s">
        <v>1664</v>
      </c>
      <c r="D20" t="s">
        <v>3099</v>
      </c>
      <c r="E20" t="s">
        <v>4520</v>
      </c>
      <c r="F20">
        <v>33157750</v>
      </c>
      <c r="G20">
        <v>195.8</v>
      </c>
      <c r="H20" t="s">
        <v>99</v>
      </c>
      <c r="I20">
        <v>6492287450</v>
      </c>
      <c r="J20" t="s">
        <v>203</v>
      </c>
      <c r="K20">
        <v>4586713.0380952395</v>
      </c>
      <c r="L20">
        <v>0.65</v>
      </c>
      <c r="M20" t="s">
        <v>4536</v>
      </c>
      <c r="N20" t="s">
        <v>4537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0.5</v>
      </c>
      <c r="AM20">
        <v>0</v>
      </c>
      <c r="AO20" t="s">
        <v>4568</v>
      </c>
      <c r="AQ20">
        <v>0</v>
      </c>
      <c r="AR20">
        <v>0</v>
      </c>
      <c r="AW20">
        <v>5010</v>
      </c>
      <c r="AX20">
        <v>1.8149999999999999</v>
      </c>
      <c r="AY20" t="s">
        <v>209</v>
      </c>
      <c r="AZ20" t="s">
        <v>4571</v>
      </c>
      <c r="BA20">
        <v>4219986842.5</v>
      </c>
      <c r="BB20" t="s">
        <v>4572</v>
      </c>
      <c r="BC20" t="s">
        <v>4583</v>
      </c>
    </row>
    <row r="21" spans="1:55" x14ac:dyDescent="0.25">
      <c r="A21">
        <v>796</v>
      </c>
      <c r="B21" t="s">
        <v>230</v>
      </c>
      <c r="C21" t="s">
        <v>1665</v>
      </c>
      <c r="D21" t="s">
        <v>3100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203</v>
      </c>
      <c r="K21">
        <v>17744729.737776201</v>
      </c>
      <c r="L21">
        <v>0.85</v>
      </c>
      <c r="M21" t="s">
        <v>4536</v>
      </c>
      <c r="O21" t="s">
        <v>206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L21">
        <v>0.05</v>
      </c>
      <c r="AO21" t="s">
        <v>4568</v>
      </c>
      <c r="AQ21">
        <v>0</v>
      </c>
      <c r="AR21">
        <v>0</v>
      </c>
      <c r="AW21">
        <v>5010</v>
      </c>
      <c r="AX21">
        <v>2.504</v>
      </c>
      <c r="AY21" t="s">
        <v>209</v>
      </c>
      <c r="BA21">
        <v>11903662734.15</v>
      </c>
      <c r="BB21" t="s">
        <v>4572</v>
      </c>
      <c r="BC21" t="s">
        <v>4582</v>
      </c>
    </row>
    <row r="22" spans="1:55" x14ac:dyDescent="0.25">
      <c r="A22">
        <v>905</v>
      </c>
      <c r="B22" t="s">
        <v>231</v>
      </c>
      <c r="C22" t="s">
        <v>1666</v>
      </c>
      <c r="D22" t="s">
        <v>3101</v>
      </c>
      <c r="E22" t="s">
        <v>4519</v>
      </c>
      <c r="F22">
        <v>259908230</v>
      </c>
      <c r="G22">
        <v>30.30293</v>
      </c>
      <c r="H22" t="s">
        <v>4530</v>
      </c>
      <c r="I22">
        <v>7875980900.1139002</v>
      </c>
      <c r="J22" t="s">
        <v>204</v>
      </c>
      <c r="K22">
        <v>8983765.3504125904</v>
      </c>
      <c r="L22">
        <v>1</v>
      </c>
      <c r="M22" t="s">
        <v>4536</v>
      </c>
      <c r="N22" t="s">
        <v>4537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209</v>
      </c>
      <c r="AZ22" t="s">
        <v>4571</v>
      </c>
      <c r="BA22">
        <v>7875980900.1139002</v>
      </c>
      <c r="BB22" t="s">
        <v>4572</v>
      </c>
      <c r="BC22" t="s">
        <v>4584</v>
      </c>
    </row>
    <row r="23" spans="1:55" x14ac:dyDescent="0.25">
      <c r="A23">
        <v>1225</v>
      </c>
      <c r="B23" t="s">
        <v>232</v>
      </c>
      <c r="C23" t="s">
        <v>1667</v>
      </c>
      <c r="D23" t="s">
        <v>3102</v>
      </c>
      <c r="E23" t="s">
        <v>95</v>
      </c>
      <c r="F23">
        <v>168426560</v>
      </c>
      <c r="G23">
        <v>24.583200000000001</v>
      </c>
      <c r="H23" t="s">
        <v>103</v>
      </c>
      <c r="I23">
        <v>4140463809.7919998</v>
      </c>
      <c r="J23" t="s">
        <v>204</v>
      </c>
      <c r="K23">
        <v>25898272.434684299</v>
      </c>
      <c r="L23">
        <v>0.85</v>
      </c>
      <c r="O23" t="s">
        <v>207</v>
      </c>
      <c r="Q23" t="s">
        <v>207</v>
      </c>
      <c r="R23" t="s">
        <v>207</v>
      </c>
      <c r="S23" t="s">
        <v>4538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A23" t="s">
        <v>4541</v>
      </c>
      <c r="AK23">
        <v>0</v>
      </c>
      <c r="AL23">
        <v>0.01</v>
      </c>
      <c r="AM23">
        <v>0</v>
      </c>
      <c r="AO23" t="s">
        <v>4568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209</v>
      </c>
      <c r="AZ23" t="s">
        <v>4571</v>
      </c>
      <c r="BA23">
        <v>3519394238.3232002</v>
      </c>
      <c r="BB23" t="s">
        <v>4572</v>
      </c>
      <c r="BC23" t="s">
        <v>4585</v>
      </c>
    </row>
    <row r="24" spans="1:55" x14ac:dyDescent="0.25">
      <c r="A24">
        <v>313</v>
      </c>
      <c r="B24" t="s">
        <v>233</v>
      </c>
      <c r="C24" t="s">
        <v>1668</v>
      </c>
      <c r="D24" t="s">
        <v>3103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203</v>
      </c>
      <c r="K24">
        <v>95465480.766393393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G24" t="s">
        <v>4547</v>
      </c>
      <c r="AI24" t="s">
        <v>4565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209</v>
      </c>
      <c r="BA24">
        <v>44262000000</v>
      </c>
      <c r="BB24" t="s">
        <v>4572</v>
      </c>
      <c r="BC24" t="s">
        <v>4565</v>
      </c>
    </row>
    <row r="25" spans="1:55" x14ac:dyDescent="0.25">
      <c r="A25">
        <v>936</v>
      </c>
      <c r="B25" t="s">
        <v>234</v>
      </c>
      <c r="C25" t="s">
        <v>1669</v>
      </c>
      <c r="D25" t="s">
        <v>3104</v>
      </c>
      <c r="E25" t="s">
        <v>91</v>
      </c>
      <c r="F25">
        <v>306304700</v>
      </c>
      <c r="G25">
        <v>33.850409999999997</v>
      </c>
      <c r="H25" t="s">
        <v>100</v>
      </c>
      <c r="I25">
        <v>10368539679.927</v>
      </c>
      <c r="J25" t="s">
        <v>204</v>
      </c>
      <c r="K25">
        <v>10015139.725619299</v>
      </c>
      <c r="L25">
        <v>0.7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209</v>
      </c>
      <c r="BA25">
        <v>7257977775.9488983</v>
      </c>
      <c r="BB25" t="s">
        <v>211</v>
      </c>
    </row>
    <row r="26" spans="1:55" x14ac:dyDescent="0.25">
      <c r="A26">
        <v>53</v>
      </c>
      <c r="B26" t="s">
        <v>235</v>
      </c>
      <c r="C26" t="s">
        <v>1670</v>
      </c>
      <c r="D26" t="s">
        <v>3105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202</v>
      </c>
      <c r="K26">
        <v>1755659336.9010301</v>
      </c>
      <c r="L26">
        <v>1</v>
      </c>
      <c r="M26" t="s">
        <v>4536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208</v>
      </c>
      <c r="BA26">
        <v>184999114837.362</v>
      </c>
      <c r="BB26" t="s">
        <v>4572</v>
      </c>
      <c r="BC26" t="s">
        <v>4536</v>
      </c>
    </row>
    <row r="27" spans="1:55" x14ac:dyDescent="0.25">
      <c r="A27">
        <v>1385</v>
      </c>
      <c r="B27" t="s">
        <v>236</v>
      </c>
      <c r="C27" t="s">
        <v>1671</v>
      </c>
      <c r="D27" t="s">
        <v>3106</v>
      </c>
      <c r="E27" t="s">
        <v>93</v>
      </c>
      <c r="F27">
        <v>2866000</v>
      </c>
      <c r="G27">
        <v>917.72469999999998</v>
      </c>
      <c r="H27" t="s">
        <v>101</v>
      </c>
      <c r="I27">
        <v>2630198990.1999998</v>
      </c>
      <c r="J27" t="s">
        <v>205</v>
      </c>
      <c r="K27">
        <v>5051251.0595768802</v>
      </c>
      <c r="L27">
        <v>1</v>
      </c>
      <c r="M27" t="s">
        <v>4536</v>
      </c>
      <c r="N27" t="s">
        <v>4537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210</v>
      </c>
      <c r="BA27">
        <v>2630198990.1999998</v>
      </c>
      <c r="BB27" t="s">
        <v>4572</v>
      </c>
      <c r="BC27" t="s">
        <v>4575</v>
      </c>
    </row>
    <row r="28" spans="1:55" x14ac:dyDescent="0.25">
      <c r="A28">
        <v>59</v>
      </c>
      <c r="B28" t="s">
        <v>237</v>
      </c>
      <c r="C28" t="s">
        <v>1672</v>
      </c>
      <c r="D28" t="s">
        <v>3107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202</v>
      </c>
      <c r="K28">
        <v>4550596238.7794304</v>
      </c>
      <c r="L28">
        <v>1</v>
      </c>
      <c r="M28" t="s">
        <v>4536</v>
      </c>
      <c r="O28" t="s">
        <v>207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208</v>
      </c>
      <c r="BA28">
        <v>171797071189.76999</v>
      </c>
      <c r="BB28" t="s">
        <v>4572</v>
      </c>
      <c r="BC28" t="s">
        <v>4536</v>
      </c>
    </row>
    <row r="29" spans="1:55" x14ac:dyDescent="0.25">
      <c r="A29">
        <v>290</v>
      </c>
      <c r="B29" t="s">
        <v>238</v>
      </c>
      <c r="C29" t="s">
        <v>1673</v>
      </c>
      <c r="D29" t="s">
        <v>3108</v>
      </c>
      <c r="E29" t="s">
        <v>93</v>
      </c>
      <c r="F29">
        <v>766141240</v>
      </c>
      <c r="G29">
        <v>61.586680000000001</v>
      </c>
      <c r="H29" t="s">
        <v>101</v>
      </c>
      <c r="I29">
        <v>47184095382.683197</v>
      </c>
      <c r="J29" t="s">
        <v>205</v>
      </c>
      <c r="K29">
        <v>923359888.95551503</v>
      </c>
      <c r="L29">
        <v>1</v>
      </c>
      <c r="M29" t="s">
        <v>4536</v>
      </c>
      <c r="O29" t="s">
        <v>207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210</v>
      </c>
      <c r="BA29">
        <v>47184095382.683197</v>
      </c>
      <c r="BB29" t="s">
        <v>4572</v>
      </c>
      <c r="BC29" t="s">
        <v>4536</v>
      </c>
    </row>
    <row r="30" spans="1:55" x14ac:dyDescent="0.25">
      <c r="A30">
        <v>252</v>
      </c>
      <c r="B30" t="s">
        <v>239</v>
      </c>
      <c r="C30" t="s">
        <v>1674</v>
      </c>
      <c r="D30" t="s">
        <v>3109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203</v>
      </c>
      <c r="K30">
        <v>107681170.24920601</v>
      </c>
      <c r="L30">
        <v>0.95000000000000007</v>
      </c>
      <c r="M30" t="s">
        <v>4536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209</v>
      </c>
      <c r="AZ30" t="s">
        <v>4571</v>
      </c>
      <c r="BA30">
        <v>53450827710.550003</v>
      </c>
      <c r="BB30" t="s">
        <v>4572</v>
      </c>
      <c r="BC30" t="s">
        <v>4577</v>
      </c>
    </row>
    <row r="31" spans="1:55" x14ac:dyDescent="0.25">
      <c r="A31">
        <v>1338</v>
      </c>
      <c r="B31" t="s">
        <v>240</v>
      </c>
      <c r="C31" t="s">
        <v>1675</v>
      </c>
      <c r="D31" t="s">
        <v>3110</v>
      </c>
      <c r="E31" t="s">
        <v>4520</v>
      </c>
      <c r="F31">
        <v>47550119</v>
      </c>
      <c r="G31">
        <v>61.3</v>
      </c>
      <c r="H31" t="s">
        <v>99</v>
      </c>
      <c r="I31">
        <v>2914822294.6999998</v>
      </c>
      <c r="J31" t="s">
        <v>203</v>
      </c>
      <c r="K31">
        <v>3337881.6650793599</v>
      </c>
      <c r="L31">
        <v>1</v>
      </c>
      <c r="M31" t="s">
        <v>4536</v>
      </c>
      <c r="N31" t="s">
        <v>4537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209</v>
      </c>
      <c r="BA31">
        <v>2914822294.6999998</v>
      </c>
      <c r="BB31" t="s">
        <v>4572</v>
      </c>
      <c r="BC31" t="s">
        <v>4575</v>
      </c>
    </row>
    <row r="32" spans="1:55" x14ac:dyDescent="0.25">
      <c r="A32">
        <v>913</v>
      </c>
      <c r="B32" t="s">
        <v>241</v>
      </c>
      <c r="C32" t="s">
        <v>1676</v>
      </c>
      <c r="D32" t="s">
        <v>3111</v>
      </c>
      <c r="E32" t="s">
        <v>96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203</v>
      </c>
      <c r="K32">
        <v>27259477.492222201</v>
      </c>
      <c r="L32">
        <v>0.8</v>
      </c>
      <c r="M32" t="s">
        <v>4536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209</v>
      </c>
      <c r="BA32">
        <v>7711291698.7392006</v>
      </c>
      <c r="BB32" t="s">
        <v>4572</v>
      </c>
      <c r="BC32" t="s">
        <v>4536</v>
      </c>
    </row>
    <row r="33" spans="1:55" x14ac:dyDescent="0.25">
      <c r="A33">
        <v>738</v>
      </c>
      <c r="B33" t="s">
        <v>242</v>
      </c>
      <c r="C33" t="s">
        <v>1677</v>
      </c>
      <c r="D33" t="s">
        <v>3112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203</v>
      </c>
      <c r="K33">
        <v>27930489.288095199</v>
      </c>
      <c r="L33">
        <v>0.5</v>
      </c>
      <c r="M33" t="s">
        <v>4536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209</v>
      </c>
      <c r="BA33">
        <v>15855000000</v>
      </c>
      <c r="BB33" t="s">
        <v>4572</v>
      </c>
      <c r="BC33" t="s">
        <v>4536</v>
      </c>
    </row>
    <row r="34" spans="1:55" x14ac:dyDescent="0.25">
      <c r="A34">
        <v>611</v>
      </c>
      <c r="B34" t="s">
        <v>243</v>
      </c>
      <c r="C34" t="s">
        <v>1678</v>
      </c>
      <c r="D34" t="s">
        <v>3113</v>
      </c>
      <c r="E34" t="s">
        <v>93</v>
      </c>
      <c r="F34">
        <v>871924560</v>
      </c>
      <c r="G34">
        <v>23.317240000000002</v>
      </c>
      <c r="H34" t="s">
        <v>101</v>
      </c>
      <c r="I34">
        <v>20330874227.414398</v>
      </c>
      <c r="J34" t="s">
        <v>205</v>
      </c>
      <c r="K34">
        <v>41076024.591500401</v>
      </c>
      <c r="L34">
        <v>1</v>
      </c>
      <c r="M34" t="s">
        <v>4536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210</v>
      </c>
      <c r="BA34">
        <v>20330874227.414398</v>
      </c>
      <c r="BB34" t="s">
        <v>4572</v>
      </c>
      <c r="BC34" t="s">
        <v>4536</v>
      </c>
    </row>
    <row r="35" spans="1:55" x14ac:dyDescent="0.25">
      <c r="A35">
        <v>627</v>
      </c>
      <c r="B35" t="s">
        <v>244</v>
      </c>
      <c r="C35" t="s">
        <v>1679</v>
      </c>
      <c r="D35" t="s">
        <v>3114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202</v>
      </c>
      <c r="K35">
        <v>97640595.845939502</v>
      </c>
      <c r="L35">
        <v>1</v>
      </c>
      <c r="M35" t="s">
        <v>4536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208</v>
      </c>
      <c r="BA35">
        <v>19691516191.874401</v>
      </c>
      <c r="BB35" t="s">
        <v>4572</v>
      </c>
      <c r="BC35" t="s">
        <v>4536</v>
      </c>
    </row>
    <row r="36" spans="1:55" x14ac:dyDescent="0.25">
      <c r="A36">
        <v>665</v>
      </c>
      <c r="B36" t="s">
        <v>245</v>
      </c>
      <c r="C36" t="s">
        <v>1680</v>
      </c>
      <c r="D36" t="s">
        <v>3115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202</v>
      </c>
      <c r="K36">
        <v>446877273.22549897</v>
      </c>
      <c r="L36">
        <v>1</v>
      </c>
      <c r="M36" t="s">
        <v>4536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208</v>
      </c>
      <c r="BA36">
        <v>18178685217.5872</v>
      </c>
      <c r="BB36" t="s">
        <v>4572</v>
      </c>
      <c r="BC36" t="s">
        <v>4536</v>
      </c>
    </row>
    <row r="37" spans="1:55" x14ac:dyDescent="0.25">
      <c r="A37">
        <v>280</v>
      </c>
      <c r="B37" t="s">
        <v>246</v>
      </c>
      <c r="C37" t="s">
        <v>1681</v>
      </c>
      <c r="D37" t="s">
        <v>3116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202</v>
      </c>
      <c r="K37">
        <v>197062529.95345199</v>
      </c>
      <c r="L37">
        <v>0.9</v>
      </c>
      <c r="M37" t="s">
        <v>4536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208</v>
      </c>
      <c r="BA37">
        <v>48854620387.299957</v>
      </c>
      <c r="BB37" t="s">
        <v>4572</v>
      </c>
      <c r="BC37" t="s">
        <v>4536</v>
      </c>
    </row>
    <row r="38" spans="1:55" x14ac:dyDescent="0.25">
      <c r="A38">
        <v>914</v>
      </c>
      <c r="B38" t="s">
        <v>247</v>
      </c>
      <c r="C38" t="s">
        <v>1682</v>
      </c>
      <c r="D38" t="s">
        <v>3117</v>
      </c>
      <c r="E38" t="s">
        <v>4520</v>
      </c>
      <c r="F38">
        <v>187971187</v>
      </c>
      <c r="G38">
        <v>51</v>
      </c>
      <c r="H38" t="s">
        <v>99</v>
      </c>
      <c r="I38">
        <v>9586530537</v>
      </c>
      <c r="J38" t="s">
        <v>203</v>
      </c>
      <c r="K38">
        <v>17348499.9225397</v>
      </c>
      <c r="L38">
        <v>0.8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209</v>
      </c>
      <c r="AZ38" t="s">
        <v>4571</v>
      </c>
      <c r="BA38">
        <v>7669224429.6000004</v>
      </c>
      <c r="BB38" t="s">
        <v>4572</v>
      </c>
      <c r="BC38" t="s">
        <v>4571</v>
      </c>
    </row>
    <row r="39" spans="1:55" x14ac:dyDescent="0.25">
      <c r="A39">
        <v>381</v>
      </c>
      <c r="B39" t="s">
        <v>248</v>
      </c>
      <c r="C39" t="s">
        <v>1683</v>
      </c>
      <c r="D39" t="s">
        <v>3118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202</v>
      </c>
      <c r="K39">
        <v>226970342.67405799</v>
      </c>
      <c r="L39">
        <v>1</v>
      </c>
      <c r="M39" t="s">
        <v>4536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G39" t="s">
        <v>4546</v>
      </c>
      <c r="AH39" t="s">
        <v>4562</v>
      </c>
      <c r="AI39" t="s">
        <v>4565</v>
      </c>
      <c r="AJ39" t="s">
        <v>4566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208</v>
      </c>
      <c r="BA39">
        <v>36938923941.945999</v>
      </c>
      <c r="BB39" t="s">
        <v>4572</v>
      </c>
      <c r="BC39" t="s">
        <v>4578</v>
      </c>
    </row>
    <row r="40" spans="1:55" x14ac:dyDescent="0.25">
      <c r="A40">
        <v>1128</v>
      </c>
      <c r="B40" t="s">
        <v>249</v>
      </c>
      <c r="C40" t="s">
        <v>1684</v>
      </c>
      <c r="D40" t="s">
        <v>3119</v>
      </c>
      <c r="E40" t="s">
        <v>94</v>
      </c>
      <c r="F40">
        <v>672747250</v>
      </c>
      <c r="G40">
        <v>6.4390239999999999</v>
      </c>
      <c r="H40" t="s">
        <v>102</v>
      </c>
      <c r="I40">
        <v>4331835688.684</v>
      </c>
      <c r="J40" t="s">
        <v>205</v>
      </c>
      <c r="K40">
        <v>11949122.8885889</v>
      </c>
      <c r="L40">
        <v>1</v>
      </c>
      <c r="M40" t="s">
        <v>4536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0.63839999999999997</v>
      </c>
      <c r="AL40">
        <v>0.84499999999999997</v>
      </c>
      <c r="AM40">
        <v>0.65039999999999998</v>
      </c>
      <c r="AN40" t="s">
        <v>4567</v>
      </c>
      <c r="AO40" t="s">
        <v>4568</v>
      </c>
      <c r="AP40" t="s">
        <v>4569</v>
      </c>
      <c r="AQ40">
        <v>0</v>
      </c>
      <c r="AR40">
        <v>0</v>
      </c>
      <c r="AW40">
        <v>6510</v>
      </c>
      <c r="AX40">
        <v>3.1240000000000001</v>
      </c>
      <c r="AY40" t="s">
        <v>210</v>
      </c>
      <c r="BA40">
        <v>4331835688.684</v>
      </c>
      <c r="BB40" t="s">
        <v>4572</v>
      </c>
      <c r="BC40" t="s">
        <v>4576</v>
      </c>
    </row>
    <row r="41" spans="1:55" x14ac:dyDescent="0.25">
      <c r="A41">
        <v>299</v>
      </c>
      <c r="B41" t="s">
        <v>250</v>
      </c>
      <c r="C41" t="s">
        <v>1685</v>
      </c>
      <c r="D41" t="s">
        <v>3120</v>
      </c>
      <c r="E41" t="s">
        <v>97</v>
      </c>
      <c r="F41">
        <v>502936920</v>
      </c>
      <c r="G41">
        <v>92.102509999999995</v>
      </c>
      <c r="H41" t="s">
        <v>104</v>
      </c>
      <c r="I41">
        <v>46321752703.669197</v>
      </c>
      <c r="J41" t="s">
        <v>202</v>
      </c>
      <c r="K41">
        <v>78266195.914026603</v>
      </c>
      <c r="L41">
        <v>1</v>
      </c>
      <c r="M41" t="s">
        <v>4536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208</v>
      </c>
      <c r="BA41">
        <v>46321752703.669197</v>
      </c>
      <c r="BB41" t="s">
        <v>4572</v>
      </c>
      <c r="BC41" t="s">
        <v>4536</v>
      </c>
    </row>
    <row r="42" spans="1:55" x14ac:dyDescent="0.25">
      <c r="A42">
        <v>436</v>
      </c>
      <c r="B42" t="s">
        <v>251</v>
      </c>
      <c r="C42" t="s">
        <v>1686</v>
      </c>
      <c r="D42" t="s">
        <v>3121</v>
      </c>
      <c r="E42" t="s">
        <v>96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203</v>
      </c>
      <c r="K42">
        <v>71894764.911825404</v>
      </c>
      <c r="L42">
        <v>1</v>
      </c>
      <c r="O42" t="s">
        <v>207</v>
      </c>
      <c r="Q42" t="s">
        <v>207</v>
      </c>
      <c r="R42" t="s">
        <v>207</v>
      </c>
      <c r="S42" t="s">
        <v>207</v>
      </c>
      <c r="T42" t="s">
        <v>207</v>
      </c>
      <c r="U42" t="s">
        <v>207</v>
      </c>
      <c r="V42" t="s">
        <v>207</v>
      </c>
      <c r="W42" t="s">
        <v>207</v>
      </c>
      <c r="X42" t="s">
        <v>207</v>
      </c>
      <c r="AG42" t="s">
        <v>4546</v>
      </c>
      <c r="AH42" t="s">
        <v>4564</v>
      </c>
      <c r="AI42" t="s">
        <v>4565</v>
      </c>
      <c r="AJ42" t="s">
        <v>4566</v>
      </c>
      <c r="AK42">
        <v>0</v>
      </c>
      <c r="AL42">
        <v>1.2999999999999999E-2</v>
      </c>
      <c r="AM42">
        <v>0</v>
      </c>
      <c r="AO42" t="s">
        <v>4568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209</v>
      </c>
      <c r="BA42">
        <v>30956200911.419998</v>
      </c>
      <c r="BB42" t="s">
        <v>4572</v>
      </c>
      <c r="BC42" t="s">
        <v>4573</v>
      </c>
    </row>
    <row r="43" spans="1:55" x14ac:dyDescent="0.25">
      <c r="A43">
        <v>165</v>
      </c>
      <c r="B43" t="s">
        <v>252</v>
      </c>
      <c r="C43" t="s">
        <v>1687</v>
      </c>
      <c r="D43" t="s">
        <v>3122</v>
      </c>
      <c r="E43" t="s">
        <v>4518</v>
      </c>
      <c r="F43">
        <v>10694194000</v>
      </c>
      <c r="G43">
        <v>7.1406669999999997</v>
      </c>
      <c r="H43" t="s">
        <v>4529</v>
      </c>
      <c r="I43">
        <v>76363678187.397995</v>
      </c>
      <c r="J43" t="s">
        <v>205</v>
      </c>
      <c r="K43">
        <v>224269007.59605801</v>
      </c>
      <c r="L43">
        <v>1</v>
      </c>
      <c r="M43" t="s">
        <v>4536</v>
      </c>
      <c r="O43" t="s">
        <v>207</v>
      </c>
      <c r="Q43" t="s">
        <v>207</v>
      </c>
      <c r="R43" t="s">
        <v>207</v>
      </c>
      <c r="S43" t="s">
        <v>207</v>
      </c>
      <c r="T43" t="s">
        <v>207</v>
      </c>
      <c r="U43" t="s">
        <v>207</v>
      </c>
      <c r="V43" t="s">
        <v>207</v>
      </c>
      <c r="W43" t="s">
        <v>207</v>
      </c>
      <c r="X43" t="s">
        <v>207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210</v>
      </c>
      <c r="BA43">
        <v>76363678187.397995</v>
      </c>
      <c r="BB43" t="s">
        <v>4572</v>
      </c>
      <c r="BC43" t="s">
        <v>4536</v>
      </c>
    </row>
    <row r="44" spans="1:55" x14ac:dyDescent="0.25">
      <c r="A44">
        <v>777</v>
      </c>
      <c r="B44" t="s">
        <v>253</v>
      </c>
      <c r="C44" t="s">
        <v>1688</v>
      </c>
      <c r="D44" t="s">
        <v>3123</v>
      </c>
      <c r="E44" t="s">
        <v>4521</v>
      </c>
      <c r="F44">
        <v>2328438575</v>
      </c>
      <c r="G44">
        <v>6.34</v>
      </c>
      <c r="H44" t="s">
        <v>99</v>
      </c>
      <c r="I44">
        <v>14762300565.5</v>
      </c>
      <c r="J44" t="s">
        <v>203</v>
      </c>
      <c r="K44">
        <v>28502146.137509499</v>
      </c>
      <c r="L44">
        <v>0.9</v>
      </c>
      <c r="M44" t="s">
        <v>4536</v>
      </c>
      <c r="O44" t="s">
        <v>207</v>
      </c>
      <c r="Q44" t="s">
        <v>207</v>
      </c>
      <c r="R44" t="s">
        <v>207</v>
      </c>
      <c r="S44" t="s">
        <v>207</v>
      </c>
      <c r="T44" t="s">
        <v>207</v>
      </c>
      <c r="U44" t="s">
        <v>207</v>
      </c>
      <c r="V44" t="s">
        <v>207</v>
      </c>
      <c r="W44" t="s">
        <v>207</v>
      </c>
      <c r="X44" t="s">
        <v>207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209</v>
      </c>
      <c r="BA44">
        <v>13286070508.950001</v>
      </c>
      <c r="BB44" t="s">
        <v>4572</v>
      </c>
      <c r="BC44" t="s">
        <v>4536</v>
      </c>
    </row>
    <row r="45" spans="1:55" x14ac:dyDescent="0.25">
      <c r="A45">
        <v>202</v>
      </c>
      <c r="B45" t="s">
        <v>254</v>
      </c>
      <c r="C45" t="s">
        <v>1689</v>
      </c>
      <c r="D45" t="s">
        <v>3124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202</v>
      </c>
      <c r="K45">
        <v>446482617.337668</v>
      </c>
      <c r="L45">
        <v>1</v>
      </c>
      <c r="O45" t="s">
        <v>207</v>
      </c>
      <c r="Q45" t="s">
        <v>207</v>
      </c>
      <c r="R45" t="s">
        <v>207</v>
      </c>
      <c r="S45" t="s">
        <v>207</v>
      </c>
      <c r="T45" t="s">
        <v>207</v>
      </c>
      <c r="U45" t="s">
        <v>207</v>
      </c>
      <c r="V45" t="s">
        <v>207</v>
      </c>
      <c r="W45" t="s">
        <v>207</v>
      </c>
      <c r="X45" t="s">
        <v>207</v>
      </c>
      <c r="AK45">
        <v>0</v>
      </c>
      <c r="AL45">
        <v>0.05</v>
      </c>
      <c r="AM45">
        <v>0.01</v>
      </c>
      <c r="AO45" t="s">
        <v>4568</v>
      </c>
      <c r="AP45" t="s">
        <v>4569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208</v>
      </c>
      <c r="BA45">
        <v>65942608783.942001</v>
      </c>
      <c r="BB45" t="s">
        <v>4572</v>
      </c>
      <c r="BC45" t="s">
        <v>4586</v>
      </c>
    </row>
    <row r="46" spans="1:55" x14ac:dyDescent="0.25">
      <c r="A46">
        <v>1357</v>
      </c>
      <c r="B46" t="s">
        <v>255</v>
      </c>
      <c r="C46" t="s">
        <v>1690</v>
      </c>
      <c r="D46" t="s">
        <v>3125</v>
      </c>
      <c r="E46" t="s">
        <v>93</v>
      </c>
      <c r="F46">
        <v>229755050</v>
      </c>
      <c r="G46">
        <v>12.05513</v>
      </c>
      <c r="H46" t="s">
        <v>101</v>
      </c>
      <c r="I46">
        <v>2769726995.9064999</v>
      </c>
      <c r="J46" t="s">
        <v>205</v>
      </c>
      <c r="K46">
        <v>5969574.4417970804</v>
      </c>
      <c r="L46">
        <v>1</v>
      </c>
      <c r="M46" t="s">
        <v>4536</v>
      </c>
      <c r="N46" t="s">
        <v>4537</v>
      </c>
      <c r="O46" t="s">
        <v>207</v>
      </c>
      <c r="Q46" t="s">
        <v>207</v>
      </c>
      <c r="R46" t="s">
        <v>207</v>
      </c>
      <c r="S46" t="s">
        <v>207</v>
      </c>
      <c r="T46" t="s">
        <v>207</v>
      </c>
      <c r="U46" t="s">
        <v>207</v>
      </c>
      <c r="V46" t="s">
        <v>207</v>
      </c>
      <c r="W46" t="s">
        <v>207</v>
      </c>
      <c r="X46" t="s">
        <v>207</v>
      </c>
      <c r="AK46">
        <v>0</v>
      </c>
      <c r="AL46">
        <v>6.5000000000000002E-2</v>
      </c>
      <c r="AM46">
        <v>0</v>
      </c>
      <c r="AO46" t="s">
        <v>4568</v>
      </c>
      <c r="AQ46">
        <v>0</v>
      </c>
      <c r="AR46">
        <v>0</v>
      </c>
      <c r="AW46">
        <v>5520</v>
      </c>
      <c r="AX46">
        <v>2.0859999999999999</v>
      </c>
      <c r="AY46" t="s">
        <v>210</v>
      </c>
      <c r="BA46">
        <v>2769726995.9064999</v>
      </c>
      <c r="BB46" t="s">
        <v>4572</v>
      </c>
      <c r="BC46" t="s">
        <v>4579</v>
      </c>
    </row>
    <row r="47" spans="1:55" x14ac:dyDescent="0.25">
      <c r="A47">
        <v>219</v>
      </c>
      <c r="B47" t="s">
        <v>256</v>
      </c>
      <c r="C47" t="s">
        <v>1691</v>
      </c>
      <c r="D47" t="s">
        <v>3126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202</v>
      </c>
      <c r="K47">
        <v>644680882.91332603</v>
      </c>
      <c r="L47">
        <v>1</v>
      </c>
      <c r="M47" t="s">
        <v>4536</v>
      </c>
      <c r="O47" t="s">
        <v>207</v>
      </c>
      <c r="Q47" t="s">
        <v>207</v>
      </c>
      <c r="R47" t="s">
        <v>207</v>
      </c>
      <c r="S47" t="s">
        <v>207</v>
      </c>
      <c r="T47" t="s">
        <v>207</v>
      </c>
      <c r="U47" t="s">
        <v>207</v>
      </c>
      <c r="V47" t="s">
        <v>207</v>
      </c>
      <c r="W47" t="s">
        <v>207</v>
      </c>
      <c r="X47" t="s">
        <v>207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208</v>
      </c>
      <c r="BA47">
        <v>60478538689.114998</v>
      </c>
      <c r="BB47" t="s">
        <v>4572</v>
      </c>
      <c r="BC47" t="s">
        <v>4536</v>
      </c>
    </row>
    <row r="48" spans="1:55" x14ac:dyDescent="0.25">
      <c r="A48">
        <v>957</v>
      </c>
      <c r="B48" t="s">
        <v>257</v>
      </c>
      <c r="C48" t="s">
        <v>1692</v>
      </c>
      <c r="D48" t="s">
        <v>3127</v>
      </c>
      <c r="E48" t="s">
        <v>93</v>
      </c>
      <c r="F48">
        <v>809023900</v>
      </c>
      <c r="G48">
        <v>11.19176</v>
      </c>
      <c r="H48" t="s">
        <v>101</v>
      </c>
      <c r="I48">
        <v>9054401323.0640011</v>
      </c>
      <c r="J48" t="s">
        <v>205</v>
      </c>
      <c r="K48">
        <v>27390180.181182001</v>
      </c>
      <c r="L48">
        <v>0.75</v>
      </c>
      <c r="M48" t="s">
        <v>4536</v>
      </c>
      <c r="O48" t="s">
        <v>207</v>
      </c>
      <c r="Q48" t="s">
        <v>207</v>
      </c>
      <c r="R48" t="s">
        <v>207</v>
      </c>
      <c r="S48" t="s">
        <v>207</v>
      </c>
      <c r="T48" t="s">
        <v>207</v>
      </c>
      <c r="U48" t="s">
        <v>207</v>
      </c>
      <c r="V48" t="s">
        <v>207</v>
      </c>
      <c r="W48" t="s">
        <v>207</v>
      </c>
      <c r="X48" t="s">
        <v>207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210</v>
      </c>
      <c r="BA48">
        <v>6790800992.2980003</v>
      </c>
      <c r="BB48" t="s">
        <v>4572</v>
      </c>
      <c r="BC48" t="s">
        <v>4536</v>
      </c>
    </row>
    <row r="49" spans="1:55" x14ac:dyDescent="0.25">
      <c r="A49">
        <v>690</v>
      </c>
      <c r="B49" t="s">
        <v>258</v>
      </c>
      <c r="C49" t="s">
        <v>1693</v>
      </c>
      <c r="D49" t="s">
        <v>3128</v>
      </c>
      <c r="E49" t="s">
        <v>93</v>
      </c>
      <c r="F49">
        <v>508314760</v>
      </c>
      <c r="G49">
        <v>37.815370000000001</v>
      </c>
      <c r="H49" t="s">
        <v>101</v>
      </c>
      <c r="I49">
        <v>19222110725.861198</v>
      </c>
      <c r="J49" t="s">
        <v>205</v>
      </c>
      <c r="K49">
        <v>45779553.477017701</v>
      </c>
      <c r="L49">
        <v>0.9</v>
      </c>
      <c r="O49" t="s">
        <v>207</v>
      </c>
      <c r="Q49" t="s">
        <v>207</v>
      </c>
      <c r="R49" t="s">
        <v>207</v>
      </c>
      <c r="S49" t="s">
        <v>207</v>
      </c>
      <c r="T49" t="s">
        <v>207</v>
      </c>
      <c r="U49" t="s">
        <v>207</v>
      </c>
      <c r="V49" t="s">
        <v>207</v>
      </c>
      <c r="W49" t="s">
        <v>207</v>
      </c>
      <c r="X49" t="s">
        <v>207</v>
      </c>
      <c r="AG49" t="s">
        <v>4546</v>
      </c>
      <c r="AH49" t="s">
        <v>4563</v>
      </c>
      <c r="AI49" t="s">
        <v>4565</v>
      </c>
      <c r="AJ49" t="s">
        <v>4566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210</v>
      </c>
      <c r="BA49">
        <v>17299899653.275082</v>
      </c>
      <c r="BB49" t="s">
        <v>4572</v>
      </c>
      <c r="BC49" t="s">
        <v>4581</v>
      </c>
    </row>
    <row r="50" spans="1:55" x14ac:dyDescent="0.25">
      <c r="A50">
        <v>976</v>
      </c>
      <c r="B50" t="s">
        <v>259</v>
      </c>
      <c r="C50" t="s">
        <v>1694</v>
      </c>
      <c r="D50" t="s">
        <v>3129</v>
      </c>
      <c r="E50" t="s">
        <v>4522</v>
      </c>
      <c r="F50">
        <v>632022210</v>
      </c>
      <c r="G50">
        <v>20.484210000000001</v>
      </c>
      <c r="H50" t="s">
        <v>4531</v>
      </c>
      <c r="I50">
        <v>12946475674.3041</v>
      </c>
      <c r="J50" t="s">
        <v>204</v>
      </c>
      <c r="K50">
        <v>23734561.884488899</v>
      </c>
      <c r="L50">
        <v>0.5</v>
      </c>
      <c r="M50" t="s">
        <v>4536</v>
      </c>
      <c r="O50" t="s">
        <v>207</v>
      </c>
      <c r="Q50" t="s">
        <v>207</v>
      </c>
      <c r="R50" t="s">
        <v>207</v>
      </c>
      <c r="S50" t="s">
        <v>207</v>
      </c>
      <c r="T50" t="s">
        <v>207</v>
      </c>
      <c r="U50" t="s">
        <v>207</v>
      </c>
      <c r="V50" t="s">
        <v>207</v>
      </c>
      <c r="W50" t="s">
        <v>207</v>
      </c>
      <c r="X50" t="s">
        <v>207</v>
      </c>
      <c r="AK50">
        <v>0</v>
      </c>
      <c r="AL50">
        <v>0.99299999999999999</v>
      </c>
      <c r="AM50">
        <v>0</v>
      </c>
      <c r="AO50" t="s">
        <v>4568</v>
      </c>
      <c r="AQ50">
        <v>0</v>
      </c>
      <c r="AR50">
        <v>0</v>
      </c>
      <c r="AW50">
        <v>6010</v>
      </c>
      <c r="AX50">
        <v>2.6880000000000002</v>
      </c>
      <c r="AY50" t="s">
        <v>209</v>
      </c>
      <c r="BA50">
        <v>6473237837.15205</v>
      </c>
      <c r="BB50" t="s">
        <v>4572</v>
      </c>
      <c r="BC50" t="s">
        <v>4582</v>
      </c>
    </row>
    <row r="51" spans="1:55" x14ac:dyDescent="0.25">
      <c r="A51">
        <v>938</v>
      </c>
      <c r="B51" t="s">
        <v>260</v>
      </c>
      <c r="C51" t="s">
        <v>1695</v>
      </c>
      <c r="D51" t="s">
        <v>3130</v>
      </c>
      <c r="E51" t="s">
        <v>4518</v>
      </c>
      <c r="F51">
        <v>897575200</v>
      </c>
      <c r="G51">
        <v>8.4887759999999997</v>
      </c>
      <c r="H51" t="s">
        <v>4529</v>
      </c>
      <c r="I51">
        <v>7619314815.9551992</v>
      </c>
      <c r="J51" t="s">
        <v>205</v>
      </c>
      <c r="K51">
        <v>63184370.997585997</v>
      </c>
      <c r="L51">
        <v>0.95</v>
      </c>
      <c r="M51" t="s">
        <v>4536</v>
      </c>
      <c r="O51" t="s">
        <v>207</v>
      </c>
      <c r="Q51" t="s">
        <v>207</v>
      </c>
      <c r="R51" t="s">
        <v>207</v>
      </c>
      <c r="S51" t="s">
        <v>207</v>
      </c>
      <c r="T51" t="s">
        <v>207</v>
      </c>
      <c r="U51" t="s">
        <v>207</v>
      </c>
      <c r="V51" t="s">
        <v>207</v>
      </c>
      <c r="W51" t="s">
        <v>207</v>
      </c>
      <c r="X51" t="s">
        <v>207</v>
      </c>
      <c r="AG51" t="s">
        <v>4546</v>
      </c>
      <c r="AH51" t="s">
        <v>4562</v>
      </c>
      <c r="AI51" t="s">
        <v>4565</v>
      </c>
      <c r="AJ51" t="s">
        <v>4566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210</v>
      </c>
      <c r="BA51">
        <v>7238349075.1574392</v>
      </c>
      <c r="BB51" t="s">
        <v>4572</v>
      </c>
      <c r="BC51" t="s">
        <v>4578</v>
      </c>
    </row>
    <row r="52" spans="1:55" x14ac:dyDescent="0.25">
      <c r="A52">
        <v>832</v>
      </c>
      <c r="B52" t="s">
        <v>261</v>
      </c>
      <c r="C52" t="s">
        <v>1696</v>
      </c>
      <c r="D52" t="s">
        <v>3131</v>
      </c>
      <c r="E52" t="s">
        <v>96</v>
      </c>
      <c r="F52">
        <v>170784638</v>
      </c>
      <c r="G52">
        <v>58.06</v>
      </c>
      <c r="H52" t="s">
        <v>99</v>
      </c>
      <c r="I52">
        <v>9915756082.2800007</v>
      </c>
      <c r="J52" t="s">
        <v>203</v>
      </c>
      <c r="K52">
        <v>27577278.626984101</v>
      </c>
      <c r="L52">
        <v>1</v>
      </c>
      <c r="O52" t="s">
        <v>207</v>
      </c>
      <c r="Q52" t="s">
        <v>207</v>
      </c>
      <c r="R52" t="s">
        <v>207</v>
      </c>
      <c r="S52" t="s">
        <v>207</v>
      </c>
      <c r="T52" t="s">
        <v>207</v>
      </c>
      <c r="U52" t="s">
        <v>207</v>
      </c>
      <c r="V52" t="s">
        <v>207</v>
      </c>
      <c r="W52" t="s">
        <v>207</v>
      </c>
      <c r="X52" t="s">
        <v>207</v>
      </c>
      <c r="AG52" t="s">
        <v>4546</v>
      </c>
      <c r="AH52" t="s">
        <v>4564</v>
      </c>
      <c r="AI52" t="s">
        <v>4565</v>
      </c>
      <c r="AJ52" t="s">
        <v>4566</v>
      </c>
      <c r="AK52">
        <v>0</v>
      </c>
      <c r="AL52">
        <v>0.05</v>
      </c>
      <c r="AM52">
        <v>0</v>
      </c>
      <c r="AO52" t="s">
        <v>4568</v>
      </c>
      <c r="AQ52">
        <v>0</v>
      </c>
      <c r="AR52">
        <v>0</v>
      </c>
      <c r="AU52">
        <v>18</v>
      </c>
      <c r="AV52" t="s">
        <v>4570</v>
      </c>
      <c r="AW52">
        <v>5520</v>
      </c>
      <c r="AX52">
        <v>2.181</v>
      </c>
      <c r="AY52" t="s">
        <v>209</v>
      </c>
      <c r="BA52">
        <v>9915756082.2800007</v>
      </c>
      <c r="BB52" t="s">
        <v>4572</v>
      </c>
      <c r="BC52" t="s">
        <v>4587</v>
      </c>
    </row>
    <row r="53" spans="1:55" x14ac:dyDescent="0.25">
      <c r="A53">
        <v>324</v>
      </c>
      <c r="B53" t="s">
        <v>262</v>
      </c>
      <c r="C53" t="s">
        <v>1697</v>
      </c>
      <c r="D53" t="s">
        <v>3132</v>
      </c>
      <c r="E53" t="s">
        <v>95</v>
      </c>
      <c r="F53">
        <v>499700000</v>
      </c>
      <c r="G53">
        <v>86.381460000000004</v>
      </c>
      <c r="H53" t="s">
        <v>103</v>
      </c>
      <c r="I53">
        <v>43164815562</v>
      </c>
      <c r="J53" t="s">
        <v>204</v>
      </c>
      <c r="K53">
        <v>63266427.994974203</v>
      </c>
      <c r="L53">
        <v>1</v>
      </c>
      <c r="M53" t="s">
        <v>4536</v>
      </c>
      <c r="O53" t="s">
        <v>207</v>
      </c>
      <c r="Q53" t="s">
        <v>207</v>
      </c>
      <c r="R53" t="s">
        <v>207</v>
      </c>
      <c r="S53" t="s">
        <v>207</v>
      </c>
      <c r="T53" t="s">
        <v>207</v>
      </c>
      <c r="U53" t="s">
        <v>207</v>
      </c>
      <c r="V53" t="s">
        <v>207</v>
      </c>
      <c r="W53" t="s">
        <v>207</v>
      </c>
      <c r="X53" t="s">
        <v>207</v>
      </c>
      <c r="AG53" t="s">
        <v>4546</v>
      </c>
      <c r="AH53" t="s">
        <v>4562</v>
      </c>
      <c r="AI53" t="s">
        <v>4565</v>
      </c>
      <c r="AJ53" t="s">
        <v>4566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209</v>
      </c>
      <c r="AZ53" t="s">
        <v>4571</v>
      </c>
      <c r="BA53">
        <v>43164815562</v>
      </c>
      <c r="BB53" t="s">
        <v>4572</v>
      </c>
      <c r="BC53" t="s">
        <v>4588</v>
      </c>
    </row>
    <row r="54" spans="1:55" x14ac:dyDescent="0.25">
      <c r="A54">
        <v>791</v>
      </c>
      <c r="B54" t="s">
        <v>263</v>
      </c>
      <c r="C54" t="s">
        <v>1698</v>
      </c>
      <c r="D54" t="s">
        <v>3133</v>
      </c>
      <c r="E54" t="s">
        <v>4519</v>
      </c>
      <c r="F54">
        <v>413326320</v>
      </c>
      <c r="G54">
        <v>42.199309999999997</v>
      </c>
      <c r="H54" t="s">
        <v>4530</v>
      </c>
      <c r="I54">
        <v>17442085508.839199</v>
      </c>
      <c r="J54" t="s">
        <v>204</v>
      </c>
      <c r="K54">
        <v>23907875.210947201</v>
      </c>
      <c r="L54">
        <v>0.7</v>
      </c>
      <c r="O54" t="s">
        <v>207</v>
      </c>
      <c r="Q54" t="s">
        <v>207</v>
      </c>
      <c r="R54" t="s">
        <v>207</v>
      </c>
      <c r="S54" t="s">
        <v>207</v>
      </c>
      <c r="T54" t="s">
        <v>207</v>
      </c>
      <c r="U54" t="s">
        <v>207</v>
      </c>
      <c r="V54" t="s">
        <v>207</v>
      </c>
      <c r="W54" t="s">
        <v>207</v>
      </c>
      <c r="X54" t="s">
        <v>207</v>
      </c>
      <c r="AK54">
        <v>0.01</v>
      </c>
      <c r="AL54">
        <v>0.2</v>
      </c>
      <c r="AM54">
        <v>0</v>
      </c>
      <c r="AN54" t="s">
        <v>4567</v>
      </c>
      <c r="AO54" t="s">
        <v>4568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209</v>
      </c>
      <c r="BA54">
        <v>12209459856.187441</v>
      </c>
      <c r="BB54" t="s">
        <v>4572</v>
      </c>
      <c r="BC54" t="s">
        <v>4580</v>
      </c>
    </row>
    <row r="55" spans="1:55" x14ac:dyDescent="0.25">
      <c r="A55">
        <v>1427</v>
      </c>
      <c r="B55" t="s">
        <v>264</v>
      </c>
      <c r="C55" t="s">
        <v>1699</v>
      </c>
      <c r="D55" t="s">
        <v>3134</v>
      </c>
      <c r="E55" t="s">
        <v>93</v>
      </c>
      <c r="F55">
        <v>202840000</v>
      </c>
      <c r="G55">
        <v>12.611520000000001</v>
      </c>
      <c r="H55" t="s">
        <v>101</v>
      </c>
      <c r="I55">
        <v>2558120716.8000002</v>
      </c>
      <c r="J55" t="s">
        <v>205</v>
      </c>
      <c r="K55">
        <v>6246761.4376311703</v>
      </c>
      <c r="L55">
        <v>0.9</v>
      </c>
      <c r="M55" t="s">
        <v>4536</v>
      </c>
      <c r="N55" t="s">
        <v>4537</v>
      </c>
      <c r="O55" t="s">
        <v>207</v>
      </c>
      <c r="Q55" t="s">
        <v>207</v>
      </c>
      <c r="R55" t="s">
        <v>207</v>
      </c>
      <c r="S55" t="s">
        <v>207</v>
      </c>
      <c r="T55" t="s">
        <v>207</v>
      </c>
      <c r="U55" t="s">
        <v>207</v>
      </c>
      <c r="V55" t="s">
        <v>207</v>
      </c>
      <c r="W55" t="s">
        <v>207</v>
      </c>
      <c r="X55" t="s">
        <v>207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210</v>
      </c>
      <c r="BA55">
        <v>2302308645.1199999</v>
      </c>
      <c r="BB55" t="s">
        <v>4572</v>
      </c>
      <c r="BC55" t="s">
        <v>4575</v>
      </c>
    </row>
    <row r="56" spans="1:55" x14ac:dyDescent="0.25">
      <c r="A56">
        <v>388</v>
      </c>
      <c r="B56" t="s">
        <v>265</v>
      </c>
      <c r="C56" t="s">
        <v>1700</v>
      </c>
      <c r="D56" t="s">
        <v>3135</v>
      </c>
      <c r="E56" t="s">
        <v>97</v>
      </c>
      <c r="F56">
        <v>948064400</v>
      </c>
      <c r="G56">
        <v>47.313899999999997</v>
      </c>
      <c r="H56" t="s">
        <v>104</v>
      </c>
      <c r="I56">
        <v>44856624215.160004</v>
      </c>
      <c r="J56" t="s">
        <v>202</v>
      </c>
      <c r="K56">
        <v>66702230.9251111</v>
      </c>
      <c r="L56">
        <v>0.8</v>
      </c>
      <c r="M56" t="s">
        <v>4536</v>
      </c>
      <c r="O56" t="s">
        <v>207</v>
      </c>
      <c r="Q56" t="s">
        <v>207</v>
      </c>
      <c r="R56" t="s">
        <v>207</v>
      </c>
      <c r="S56" t="s">
        <v>207</v>
      </c>
      <c r="T56" t="s">
        <v>207</v>
      </c>
      <c r="U56" t="s">
        <v>207</v>
      </c>
      <c r="V56" t="s">
        <v>207</v>
      </c>
      <c r="W56" t="s">
        <v>207</v>
      </c>
      <c r="X56" t="s">
        <v>207</v>
      </c>
      <c r="AK56">
        <v>0</v>
      </c>
      <c r="AL56">
        <v>0.747</v>
      </c>
      <c r="AM56">
        <v>0</v>
      </c>
      <c r="AO56" t="s">
        <v>4568</v>
      </c>
      <c r="AQ56">
        <v>0</v>
      </c>
      <c r="AR56">
        <v>0.1</v>
      </c>
      <c r="AW56">
        <v>4040</v>
      </c>
      <c r="AX56">
        <v>1.7789999999999999</v>
      </c>
      <c r="AY56" t="s">
        <v>208</v>
      </c>
      <c r="BA56">
        <v>35885299372.127998</v>
      </c>
      <c r="BB56" t="s">
        <v>4572</v>
      </c>
      <c r="BC56" t="s">
        <v>4582</v>
      </c>
    </row>
    <row r="57" spans="1:55" x14ac:dyDescent="0.25">
      <c r="A57">
        <v>96</v>
      </c>
      <c r="B57" t="s">
        <v>174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203</v>
      </c>
      <c r="K57">
        <v>192557349.24016401</v>
      </c>
      <c r="L57">
        <v>1</v>
      </c>
      <c r="O57" t="s">
        <v>207</v>
      </c>
      <c r="Q57" t="s">
        <v>207</v>
      </c>
      <c r="R57" t="s">
        <v>207</v>
      </c>
      <c r="S57" t="s">
        <v>207</v>
      </c>
      <c r="T57" t="s">
        <v>207</v>
      </c>
      <c r="U57" t="s">
        <v>207</v>
      </c>
      <c r="V57" t="s">
        <v>207</v>
      </c>
      <c r="W57" t="s">
        <v>207</v>
      </c>
      <c r="X57" t="s">
        <v>207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209</v>
      </c>
      <c r="BA57">
        <v>123650577340</v>
      </c>
      <c r="BB57" t="s">
        <v>211</v>
      </c>
    </row>
    <row r="58" spans="1:55" x14ac:dyDescent="0.25">
      <c r="A58">
        <v>1339</v>
      </c>
      <c r="B58" t="s">
        <v>266</v>
      </c>
      <c r="C58" t="s">
        <v>1701</v>
      </c>
      <c r="D58" t="s">
        <v>3136</v>
      </c>
      <c r="E58" t="s">
        <v>95</v>
      </c>
      <c r="F58">
        <v>16592821</v>
      </c>
      <c r="G58">
        <v>184.16139999999999</v>
      </c>
      <c r="H58" t="s">
        <v>103</v>
      </c>
      <c r="I58">
        <v>3055757145.3094001</v>
      </c>
      <c r="J58" t="s">
        <v>204</v>
      </c>
      <c r="K58">
        <v>5547061.9211534001</v>
      </c>
      <c r="L58">
        <v>0.95</v>
      </c>
      <c r="M58" t="s">
        <v>4536</v>
      </c>
      <c r="N58" t="s">
        <v>4537</v>
      </c>
      <c r="O58" t="s">
        <v>207</v>
      </c>
      <c r="Q58" t="s">
        <v>207</v>
      </c>
      <c r="R58" t="s">
        <v>207</v>
      </c>
      <c r="S58" t="s">
        <v>207</v>
      </c>
      <c r="T58" t="s">
        <v>207</v>
      </c>
      <c r="U58" t="s">
        <v>207</v>
      </c>
      <c r="V58" t="s">
        <v>207</v>
      </c>
      <c r="W58" t="s">
        <v>207</v>
      </c>
      <c r="X58" t="s">
        <v>207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209</v>
      </c>
      <c r="BA58">
        <v>2902969288.0439301</v>
      </c>
      <c r="BB58" t="s">
        <v>4572</v>
      </c>
      <c r="BC58" t="s">
        <v>4575</v>
      </c>
    </row>
    <row r="59" spans="1:55" x14ac:dyDescent="0.25">
      <c r="A59">
        <v>291</v>
      </c>
      <c r="B59" t="s">
        <v>267</v>
      </c>
      <c r="C59" t="s">
        <v>1702</v>
      </c>
      <c r="D59" t="s">
        <v>3137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202</v>
      </c>
      <c r="K59">
        <v>314581735.441993</v>
      </c>
      <c r="L59">
        <v>1</v>
      </c>
      <c r="M59" t="s">
        <v>4536</v>
      </c>
      <c r="O59" t="s">
        <v>207</v>
      </c>
      <c r="Q59" t="s">
        <v>207</v>
      </c>
      <c r="R59" t="s">
        <v>207</v>
      </c>
      <c r="S59" t="s">
        <v>207</v>
      </c>
      <c r="T59" t="s">
        <v>207</v>
      </c>
      <c r="U59" t="s">
        <v>207</v>
      </c>
      <c r="V59" t="s">
        <v>207</v>
      </c>
      <c r="W59" t="s">
        <v>207</v>
      </c>
      <c r="X59" t="s">
        <v>207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208</v>
      </c>
      <c r="BA59">
        <v>47023826682.946999</v>
      </c>
      <c r="BB59" t="s">
        <v>4572</v>
      </c>
      <c r="BC59" t="s">
        <v>4536</v>
      </c>
    </row>
    <row r="60" spans="1:55" x14ac:dyDescent="0.25">
      <c r="A60">
        <v>1272</v>
      </c>
      <c r="B60" t="s">
        <v>268</v>
      </c>
      <c r="C60" t="s">
        <v>1703</v>
      </c>
      <c r="D60" t="s">
        <v>3138</v>
      </c>
      <c r="E60" t="s">
        <v>4523</v>
      </c>
      <c r="F60">
        <v>1541140000</v>
      </c>
      <c r="G60">
        <v>2.0884109999999998</v>
      </c>
      <c r="H60" t="s">
        <v>4532</v>
      </c>
      <c r="I60">
        <v>3218533728.539999</v>
      </c>
      <c r="J60" t="s">
        <v>204</v>
      </c>
      <c r="K60">
        <v>3702059.0405438901</v>
      </c>
      <c r="L60">
        <v>1</v>
      </c>
      <c r="M60" t="s">
        <v>4536</v>
      </c>
      <c r="N60" t="s">
        <v>4537</v>
      </c>
      <c r="O60" t="s">
        <v>207</v>
      </c>
      <c r="Q60" t="s">
        <v>207</v>
      </c>
      <c r="R60" t="s">
        <v>207</v>
      </c>
      <c r="S60" t="s">
        <v>207</v>
      </c>
      <c r="T60" t="s">
        <v>207</v>
      </c>
      <c r="U60" t="s">
        <v>207</v>
      </c>
      <c r="V60" t="s">
        <v>207</v>
      </c>
      <c r="W60" t="s">
        <v>207</v>
      </c>
      <c r="X60" t="s">
        <v>207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209</v>
      </c>
      <c r="AZ60" t="s">
        <v>4571</v>
      </c>
      <c r="BA60">
        <v>3218533728.539999</v>
      </c>
      <c r="BB60" t="s">
        <v>4572</v>
      </c>
      <c r="BC60" t="s">
        <v>4584</v>
      </c>
    </row>
    <row r="61" spans="1:55" x14ac:dyDescent="0.25">
      <c r="A61">
        <v>434</v>
      </c>
      <c r="B61" t="s">
        <v>269</v>
      </c>
      <c r="C61" t="s">
        <v>1704</v>
      </c>
      <c r="D61" t="s">
        <v>3139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202</v>
      </c>
      <c r="K61">
        <v>160960565.95080301</v>
      </c>
      <c r="L61">
        <v>1</v>
      </c>
      <c r="M61" t="s">
        <v>4536</v>
      </c>
      <c r="O61" t="s">
        <v>207</v>
      </c>
      <c r="Q61" t="s">
        <v>207</v>
      </c>
      <c r="R61" t="s">
        <v>207</v>
      </c>
      <c r="S61" t="s">
        <v>207</v>
      </c>
      <c r="T61" t="s">
        <v>207</v>
      </c>
      <c r="U61" t="s">
        <v>207</v>
      </c>
      <c r="V61" t="s">
        <v>207</v>
      </c>
      <c r="W61" t="s">
        <v>207</v>
      </c>
      <c r="X61" t="s">
        <v>207</v>
      </c>
      <c r="AG61" t="s">
        <v>4546</v>
      </c>
      <c r="AH61" t="s">
        <v>4562</v>
      </c>
      <c r="AI61" t="s">
        <v>4565</v>
      </c>
      <c r="AJ61" t="s">
        <v>4566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208</v>
      </c>
      <c r="BA61">
        <v>31028859323.459999</v>
      </c>
      <c r="BB61" t="s">
        <v>4572</v>
      </c>
      <c r="BC61" t="s">
        <v>4578</v>
      </c>
    </row>
    <row r="62" spans="1:55" x14ac:dyDescent="0.25">
      <c r="A62">
        <v>6</v>
      </c>
      <c r="B62" t="s">
        <v>270</v>
      </c>
      <c r="C62" t="s">
        <v>1705</v>
      </c>
      <c r="D62" t="s">
        <v>3140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202</v>
      </c>
      <c r="K62">
        <v>5151429254.6798201</v>
      </c>
      <c r="L62">
        <v>1</v>
      </c>
      <c r="O62" t="s">
        <v>4538</v>
      </c>
      <c r="P62" t="s">
        <v>4540</v>
      </c>
      <c r="Q62" t="s">
        <v>207</v>
      </c>
      <c r="R62" t="s">
        <v>207</v>
      </c>
      <c r="S62" t="s">
        <v>207</v>
      </c>
      <c r="T62" t="s">
        <v>207</v>
      </c>
      <c r="U62" t="s">
        <v>207</v>
      </c>
      <c r="V62" t="s">
        <v>207</v>
      </c>
      <c r="W62" t="s">
        <v>207</v>
      </c>
      <c r="X62" t="s">
        <v>207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208</v>
      </c>
      <c r="AZ62" t="s">
        <v>4571</v>
      </c>
      <c r="BA62">
        <v>1002349719600</v>
      </c>
      <c r="BB62" t="s">
        <v>4572</v>
      </c>
      <c r="BC62" t="s">
        <v>4589</v>
      </c>
    </row>
    <row r="63" spans="1:55" x14ac:dyDescent="0.25">
      <c r="A63">
        <v>1073</v>
      </c>
      <c r="B63" t="s">
        <v>271</v>
      </c>
      <c r="C63" t="s">
        <v>1706</v>
      </c>
      <c r="D63" t="s">
        <v>3141</v>
      </c>
      <c r="E63" t="s">
        <v>94</v>
      </c>
      <c r="F63">
        <v>484874200</v>
      </c>
      <c r="G63">
        <v>10.329269999999999</v>
      </c>
      <c r="H63" t="s">
        <v>102</v>
      </c>
      <c r="I63">
        <v>5008396527.8339996</v>
      </c>
      <c r="J63" t="s">
        <v>205</v>
      </c>
      <c r="K63">
        <v>6314817.5587981297</v>
      </c>
      <c r="L63">
        <v>1</v>
      </c>
      <c r="M63" t="s">
        <v>4536</v>
      </c>
      <c r="N63" t="s">
        <v>4537</v>
      </c>
      <c r="O63" t="s">
        <v>207</v>
      </c>
      <c r="Q63" t="s">
        <v>207</v>
      </c>
      <c r="R63" t="s">
        <v>207</v>
      </c>
      <c r="S63" t="s">
        <v>207</v>
      </c>
      <c r="T63" t="s">
        <v>207</v>
      </c>
      <c r="U63" t="s">
        <v>207</v>
      </c>
      <c r="V63" t="s">
        <v>207</v>
      </c>
      <c r="W63" t="s">
        <v>207</v>
      </c>
      <c r="X63" t="s">
        <v>207</v>
      </c>
      <c r="AG63" t="s">
        <v>4546</v>
      </c>
      <c r="AH63" t="s">
        <v>4563</v>
      </c>
      <c r="AI63" t="s">
        <v>4565</v>
      </c>
      <c r="AJ63" t="s">
        <v>4566</v>
      </c>
      <c r="AK63">
        <v>0.05</v>
      </c>
      <c r="AL63">
        <v>0.05</v>
      </c>
      <c r="AM63">
        <v>0</v>
      </c>
      <c r="AN63" t="s">
        <v>4567</v>
      </c>
      <c r="AO63" t="s">
        <v>4568</v>
      </c>
      <c r="AQ63">
        <v>0</v>
      </c>
      <c r="AR63">
        <v>0</v>
      </c>
      <c r="AW63">
        <v>5020</v>
      </c>
      <c r="AX63">
        <v>2.427</v>
      </c>
      <c r="AY63" t="s">
        <v>210</v>
      </c>
      <c r="BA63">
        <v>5008396527.8339996</v>
      </c>
      <c r="BB63" t="s">
        <v>4572</v>
      </c>
      <c r="BC63" t="s">
        <v>4590</v>
      </c>
    </row>
    <row r="64" spans="1:55" x14ac:dyDescent="0.25">
      <c r="A64">
        <v>134</v>
      </c>
      <c r="B64" t="s">
        <v>272</v>
      </c>
      <c r="C64" t="s">
        <v>1707</v>
      </c>
      <c r="D64" t="s">
        <v>3142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202</v>
      </c>
      <c r="K64">
        <v>393092586.21563202</v>
      </c>
      <c r="L64">
        <v>1</v>
      </c>
      <c r="M64" t="s">
        <v>4536</v>
      </c>
      <c r="O64" t="s">
        <v>207</v>
      </c>
      <c r="Q64" t="s">
        <v>207</v>
      </c>
      <c r="R64" t="s">
        <v>207</v>
      </c>
      <c r="S64" t="s">
        <v>207</v>
      </c>
      <c r="T64" t="s">
        <v>207</v>
      </c>
      <c r="U64" t="s">
        <v>207</v>
      </c>
      <c r="V64" t="s">
        <v>207</v>
      </c>
      <c r="W64" t="s">
        <v>207</v>
      </c>
      <c r="X64" t="s">
        <v>207</v>
      </c>
      <c r="AG64" t="s">
        <v>4546</v>
      </c>
      <c r="AH64" t="s">
        <v>4564</v>
      </c>
      <c r="AI64" t="s">
        <v>4565</v>
      </c>
      <c r="AJ64" t="s">
        <v>4566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208</v>
      </c>
      <c r="BA64">
        <v>89239073508.98999</v>
      </c>
      <c r="BB64" t="s">
        <v>4572</v>
      </c>
      <c r="BC64" t="s">
        <v>4578</v>
      </c>
    </row>
    <row r="65" spans="1:55" x14ac:dyDescent="0.25">
      <c r="A65">
        <v>1314</v>
      </c>
      <c r="B65" t="s">
        <v>273</v>
      </c>
      <c r="C65" t="s">
        <v>1708</v>
      </c>
      <c r="D65" t="s">
        <v>3143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205</v>
      </c>
      <c r="K65">
        <v>11921837.1188954</v>
      </c>
      <c r="L65">
        <v>0.95</v>
      </c>
      <c r="O65" t="s">
        <v>207</v>
      </c>
      <c r="Q65" t="s">
        <v>207</v>
      </c>
      <c r="R65" t="s">
        <v>207</v>
      </c>
      <c r="S65" t="s">
        <v>207</v>
      </c>
      <c r="T65" t="s">
        <v>207</v>
      </c>
      <c r="U65" t="s">
        <v>207</v>
      </c>
      <c r="V65" t="s">
        <v>207</v>
      </c>
      <c r="W65" t="s">
        <v>207</v>
      </c>
      <c r="X65" t="s">
        <v>207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210</v>
      </c>
      <c r="AZ65" t="s">
        <v>4571</v>
      </c>
      <c r="BA65">
        <v>3008168923.78936</v>
      </c>
      <c r="BB65" t="s">
        <v>4572</v>
      </c>
      <c r="BC65" t="s">
        <v>4571</v>
      </c>
    </row>
    <row r="66" spans="1:55" x14ac:dyDescent="0.25">
      <c r="A66">
        <v>431</v>
      </c>
      <c r="B66" t="s">
        <v>274</v>
      </c>
      <c r="C66" t="s">
        <v>1709</v>
      </c>
      <c r="D66" t="s">
        <v>3144</v>
      </c>
      <c r="E66" t="s">
        <v>92</v>
      </c>
      <c r="F66">
        <v>450499200</v>
      </c>
      <c r="G66">
        <v>69.459999999999994</v>
      </c>
      <c r="H66" t="s">
        <v>99</v>
      </c>
      <c r="I66">
        <v>31291674432</v>
      </c>
      <c r="J66" t="s">
        <v>203</v>
      </c>
      <c r="K66">
        <v>42461320.374285698</v>
      </c>
      <c r="L66">
        <v>1</v>
      </c>
      <c r="M66" t="s">
        <v>4536</v>
      </c>
      <c r="O66" t="s">
        <v>207</v>
      </c>
      <c r="Q66" t="s">
        <v>207</v>
      </c>
      <c r="R66" t="s">
        <v>207</v>
      </c>
      <c r="S66" t="s">
        <v>207</v>
      </c>
      <c r="T66" t="s">
        <v>207</v>
      </c>
      <c r="U66" t="s">
        <v>207</v>
      </c>
      <c r="V66" t="s">
        <v>207</v>
      </c>
      <c r="W66" t="s">
        <v>207</v>
      </c>
      <c r="X66" t="s">
        <v>207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209</v>
      </c>
      <c r="BA66">
        <v>31291674432</v>
      </c>
      <c r="BB66" t="s">
        <v>4572</v>
      </c>
      <c r="BC66" t="s">
        <v>4536</v>
      </c>
    </row>
    <row r="67" spans="1:55" x14ac:dyDescent="0.25">
      <c r="A67">
        <v>4</v>
      </c>
      <c r="B67" t="s">
        <v>275</v>
      </c>
      <c r="C67" t="s">
        <v>1710</v>
      </c>
      <c r="D67" t="s">
        <v>3145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202</v>
      </c>
      <c r="K67">
        <v>7679379856.9948902</v>
      </c>
      <c r="L67">
        <v>0.9</v>
      </c>
      <c r="O67" t="s">
        <v>4538</v>
      </c>
      <c r="P67" t="s">
        <v>4540</v>
      </c>
      <c r="Q67" t="s">
        <v>207</v>
      </c>
      <c r="R67" t="s">
        <v>207</v>
      </c>
      <c r="S67" t="s">
        <v>207</v>
      </c>
      <c r="T67" t="s">
        <v>207</v>
      </c>
      <c r="U67" t="s">
        <v>207</v>
      </c>
      <c r="V67" t="s">
        <v>207</v>
      </c>
      <c r="W67" t="s">
        <v>207</v>
      </c>
      <c r="X67" t="s">
        <v>207</v>
      </c>
      <c r="AG67" t="s">
        <v>4547</v>
      </c>
      <c r="AI67" t="s">
        <v>4565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208</v>
      </c>
      <c r="BA67">
        <v>1975830620136.9751</v>
      </c>
      <c r="BB67" t="s">
        <v>4572</v>
      </c>
      <c r="BC67" t="s">
        <v>4591</v>
      </c>
    </row>
    <row r="68" spans="1:55" x14ac:dyDescent="0.25">
      <c r="A68">
        <v>1192</v>
      </c>
      <c r="B68" t="s">
        <v>276</v>
      </c>
      <c r="C68" t="s">
        <v>1711</v>
      </c>
      <c r="D68" t="s">
        <v>3146</v>
      </c>
      <c r="E68" t="s">
        <v>4523</v>
      </c>
      <c r="F68">
        <v>234974400</v>
      </c>
      <c r="G68">
        <v>18.719290000000001</v>
      </c>
      <c r="H68" t="s">
        <v>4532</v>
      </c>
      <c r="I68">
        <v>4398553936.1760006</v>
      </c>
      <c r="J68" t="s">
        <v>204</v>
      </c>
      <c r="K68">
        <v>7606684.1957903598</v>
      </c>
      <c r="L68">
        <v>0.85</v>
      </c>
      <c r="M68" t="s">
        <v>4536</v>
      </c>
      <c r="N68" t="s">
        <v>4537</v>
      </c>
      <c r="O68" t="s">
        <v>207</v>
      </c>
      <c r="Q68" t="s">
        <v>207</v>
      </c>
      <c r="R68" t="s">
        <v>207</v>
      </c>
      <c r="S68" t="s">
        <v>207</v>
      </c>
      <c r="T68" t="s">
        <v>207</v>
      </c>
      <c r="U68" t="s">
        <v>207</v>
      </c>
      <c r="V68" t="s">
        <v>207</v>
      </c>
      <c r="W68" t="s">
        <v>207</v>
      </c>
      <c r="X68" t="s">
        <v>207</v>
      </c>
      <c r="AG68" t="s">
        <v>4546</v>
      </c>
      <c r="AH68" t="s">
        <v>4562</v>
      </c>
      <c r="AI68" t="s">
        <v>4565</v>
      </c>
      <c r="AJ68" t="s">
        <v>4566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209</v>
      </c>
      <c r="BA68">
        <v>3738770845.7495999</v>
      </c>
      <c r="BB68" t="s">
        <v>4572</v>
      </c>
      <c r="BC68" t="s">
        <v>4592</v>
      </c>
    </row>
    <row r="69" spans="1:55" x14ac:dyDescent="0.25">
      <c r="A69">
        <v>514</v>
      </c>
      <c r="B69" t="s">
        <v>277</v>
      </c>
      <c r="C69" t="s">
        <v>1712</v>
      </c>
      <c r="D69" t="s">
        <v>3147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202</v>
      </c>
      <c r="K69">
        <v>134075989.51871701</v>
      </c>
      <c r="L69">
        <v>1</v>
      </c>
      <c r="M69" t="s">
        <v>4536</v>
      </c>
      <c r="O69" t="s">
        <v>207</v>
      </c>
      <c r="Q69" t="s">
        <v>207</v>
      </c>
      <c r="R69" t="s">
        <v>207</v>
      </c>
      <c r="S69" t="s">
        <v>207</v>
      </c>
      <c r="T69" t="s">
        <v>207</v>
      </c>
      <c r="U69" t="s">
        <v>207</v>
      </c>
      <c r="V69" t="s">
        <v>207</v>
      </c>
      <c r="W69" t="s">
        <v>207</v>
      </c>
      <c r="X69" t="s">
        <v>207</v>
      </c>
      <c r="AK69">
        <v>0.25090000000000001</v>
      </c>
      <c r="AL69">
        <v>0.39800000000000002</v>
      </c>
      <c r="AM69">
        <v>0.25600000000000001</v>
      </c>
      <c r="AN69" t="s">
        <v>4567</v>
      </c>
      <c r="AO69" t="s">
        <v>4568</v>
      </c>
      <c r="AP69" t="s">
        <v>4569</v>
      </c>
      <c r="AQ69">
        <v>0</v>
      </c>
      <c r="AR69">
        <v>0</v>
      </c>
      <c r="AW69">
        <v>6510</v>
      </c>
      <c r="AX69">
        <v>2.2229999999999999</v>
      </c>
      <c r="AY69" t="s">
        <v>208</v>
      </c>
      <c r="BA69">
        <v>25439085116.25</v>
      </c>
      <c r="BB69" t="s">
        <v>4572</v>
      </c>
      <c r="BC69" t="s">
        <v>4576</v>
      </c>
    </row>
    <row r="70" spans="1:55" x14ac:dyDescent="0.25">
      <c r="A70">
        <v>250</v>
      </c>
      <c r="B70" t="s">
        <v>278</v>
      </c>
      <c r="C70" t="s">
        <v>1713</v>
      </c>
      <c r="D70" t="s">
        <v>3148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202</v>
      </c>
      <c r="K70">
        <v>272433756.16398698</v>
      </c>
      <c r="L70">
        <v>1</v>
      </c>
      <c r="M70" t="s">
        <v>4536</v>
      </c>
      <c r="O70" t="s">
        <v>207</v>
      </c>
      <c r="Q70" t="s">
        <v>207</v>
      </c>
      <c r="R70" t="s">
        <v>207</v>
      </c>
      <c r="S70" t="s">
        <v>207</v>
      </c>
      <c r="T70" t="s">
        <v>207</v>
      </c>
      <c r="U70" t="s">
        <v>207</v>
      </c>
      <c r="V70" t="s">
        <v>207</v>
      </c>
      <c r="W70" t="s">
        <v>207</v>
      </c>
      <c r="X70" t="s">
        <v>207</v>
      </c>
      <c r="AK70">
        <v>0.14360000000000001</v>
      </c>
      <c r="AL70">
        <v>0.22700000000000001</v>
      </c>
      <c r="AM70">
        <v>0.2268</v>
      </c>
      <c r="AN70" t="s">
        <v>4567</v>
      </c>
      <c r="AO70" t="s">
        <v>4568</v>
      </c>
      <c r="AP70" t="s">
        <v>4569</v>
      </c>
      <c r="AQ70">
        <v>0</v>
      </c>
      <c r="AR70">
        <v>0</v>
      </c>
      <c r="AW70">
        <v>6510</v>
      </c>
      <c r="AX70">
        <v>2.3119999999999998</v>
      </c>
      <c r="AY70" t="s">
        <v>208</v>
      </c>
      <c r="BA70">
        <v>53718878354.050003</v>
      </c>
      <c r="BB70" t="s">
        <v>4572</v>
      </c>
      <c r="BC70" t="s">
        <v>4576</v>
      </c>
    </row>
    <row r="71" spans="1:55" x14ac:dyDescent="0.25">
      <c r="A71">
        <v>63</v>
      </c>
      <c r="B71" t="s">
        <v>279</v>
      </c>
      <c r="C71" t="s">
        <v>1714</v>
      </c>
      <c r="D71" t="s">
        <v>3149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202</v>
      </c>
      <c r="K71">
        <v>715824776.61932194</v>
      </c>
      <c r="L71">
        <v>0.8</v>
      </c>
      <c r="M71" t="s">
        <v>4536</v>
      </c>
      <c r="O71" t="s">
        <v>207</v>
      </c>
      <c r="Q71" t="s">
        <v>207</v>
      </c>
      <c r="R71" t="s">
        <v>207</v>
      </c>
      <c r="S71" t="s">
        <v>207</v>
      </c>
      <c r="T71" t="s">
        <v>207</v>
      </c>
      <c r="U71" t="s">
        <v>207</v>
      </c>
      <c r="V71" t="s">
        <v>207</v>
      </c>
      <c r="W71" t="s">
        <v>207</v>
      </c>
      <c r="X71" t="s">
        <v>207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208</v>
      </c>
      <c r="BA71">
        <v>158797096135.056</v>
      </c>
      <c r="BB71" t="s">
        <v>4572</v>
      </c>
      <c r="BC71" t="s">
        <v>4536</v>
      </c>
    </row>
    <row r="72" spans="1:55" x14ac:dyDescent="0.25">
      <c r="A72">
        <v>321</v>
      </c>
      <c r="B72" t="s">
        <v>280</v>
      </c>
      <c r="C72" t="s">
        <v>1715</v>
      </c>
      <c r="D72" t="s">
        <v>3150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202</v>
      </c>
      <c r="K72">
        <v>291307084.68573701</v>
      </c>
      <c r="L72">
        <v>1</v>
      </c>
      <c r="M72" t="s">
        <v>4536</v>
      </c>
      <c r="O72" t="s">
        <v>207</v>
      </c>
      <c r="Q72" t="s">
        <v>207</v>
      </c>
      <c r="R72" t="s">
        <v>207</v>
      </c>
      <c r="S72" t="s">
        <v>207</v>
      </c>
      <c r="T72" t="s">
        <v>207</v>
      </c>
      <c r="U72" t="s">
        <v>207</v>
      </c>
      <c r="V72" t="s">
        <v>207</v>
      </c>
      <c r="W72" t="s">
        <v>207</v>
      </c>
      <c r="X72" t="s">
        <v>207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208</v>
      </c>
      <c r="BA72">
        <v>43499730562.889999</v>
      </c>
      <c r="BB72" t="s">
        <v>4572</v>
      </c>
      <c r="BC72" t="s">
        <v>4536</v>
      </c>
    </row>
    <row r="73" spans="1:55" x14ac:dyDescent="0.25">
      <c r="A73">
        <v>147</v>
      </c>
      <c r="B73" t="s">
        <v>281</v>
      </c>
      <c r="C73" t="s">
        <v>1716</v>
      </c>
      <c r="D73" t="s">
        <v>3151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202</v>
      </c>
      <c r="K73">
        <v>423636477.14773899</v>
      </c>
      <c r="L73">
        <v>1</v>
      </c>
      <c r="M73" t="s">
        <v>4536</v>
      </c>
      <c r="O73" t="s">
        <v>207</v>
      </c>
      <c r="Q73" t="s">
        <v>207</v>
      </c>
      <c r="R73" t="s">
        <v>207</v>
      </c>
      <c r="S73" t="s">
        <v>207</v>
      </c>
      <c r="T73" t="s">
        <v>207</v>
      </c>
      <c r="U73" t="s">
        <v>207</v>
      </c>
      <c r="V73" t="s">
        <v>207</v>
      </c>
      <c r="W73" t="s">
        <v>207</v>
      </c>
      <c r="X73" t="s">
        <v>207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208</v>
      </c>
      <c r="BA73">
        <v>85613866673.720001</v>
      </c>
      <c r="BB73" t="s">
        <v>4572</v>
      </c>
      <c r="BC73" t="s">
        <v>4536</v>
      </c>
    </row>
    <row r="74" spans="1:55" x14ac:dyDescent="0.25">
      <c r="A74">
        <v>524</v>
      </c>
      <c r="B74" t="s">
        <v>282</v>
      </c>
      <c r="C74" t="s">
        <v>1717</v>
      </c>
      <c r="D74" t="s">
        <v>3152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202</v>
      </c>
      <c r="K74">
        <v>154274743.87916899</v>
      </c>
      <c r="L74">
        <v>1</v>
      </c>
      <c r="M74" t="s">
        <v>4536</v>
      </c>
      <c r="O74" t="s">
        <v>207</v>
      </c>
      <c r="Q74" t="s">
        <v>207</v>
      </c>
      <c r="R74" t="s">
        <v>207</v>
      </c>
      <c r="S74" t="s">
        <v>207</v>
      </c>
      <c r="T74" t="s">
        <v>207</v>
      </c>
      <c r="U74" t="s">
        <v>207</v>
      </c>
      <c r="V74" t="s">
        <v>207</v>
      </c>
      <c r="W74" t="s">
        <v>207</v>
      </c>
      <c r="X74" t="s">
        <v>207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208</v>
      </c>
      <c r="BA74">
        <v>24739944333.397999</v>
      </c>
      <c r="BB74" t="s">
        <v>4572</v>
      </c>
      <c r="BC74" t="s">
        <v>4536</v>
      </c>
    </row>
    <row r="75" spans="1:55" x14ac:dyDescent="0.25">
      <c r="A75">
        <v>281</v>
      </c>
      <c r="B75" t="s">
        <v>283</v>
      </c>
      <c r="C75" t="s">
        <v>1718</v>
      </c>
      <c r="D75" t="s">
        <v>3153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202</v>
      </c>
      <c r="K75">
        <v>276008543.31507701</v>
      </c>
      <c r="L75">
        <v>1</v>
      </c>
      <c r="M75" t="s">
        <v>4536</v>
      </c>
      <c r="O75" t="s">
        <v>207</v>
      </c>
      <c r="Q75" t="s">
        <v>207</v>
      </c>
      <c r="R75" t="s">
        <v>207</v>
      </c>
      <c r="S75" t="s">
        <v>207</v>
      </c>
      <c r="T75" t="s">
        <v>207</v>
      </c>
      <c r="U75" t="s">
        <v>207</v>
      </c>
      <c r="V75" t="s">
        <v>207</v>
      </c>
      <c r="W75" t="s">
        <v>207</v>
      </c>
      <c r="X75" t="s">
        <v>207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208</v>
      </c>
      <c r="BA75">
        <v>48769911741.599998</v>
      </c>
      <c r="BB75" t="s">
        <v>4572</v>
      </c>
      <c r="BC75" t="s">
        <v>4536</v>
      </c>
    </row>
    <row r="76" spans="1:55" x14ac:dyDescent="0.25">
      <c r="A76">
        <v>339</v>
      </c>
      <c r="B76" t="s">
        <v>284</v>
      </c>
      <c r="C76" t="s">
        <v>1719</v>
      </c>
      <c r="D76" t="s">
        <v>3154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202</v>
      </c>
      <c r="K76">
        <v>213060627.121977</v>
      </c>
      <c r="L76">
        <v>1</v>
      </c>
      <c r="O76" t="s">
        <v>207</v>
      </c>
      <c r="Q76" t="s">
        <v>207</v>
      </c>
      <c r="R76" t="s">
        <v>207</v>
      </c>
      <c r="S76" t="s">
        <v>207</v>
      </c>
      <c r="T76" t="s">
        <v>207</v>
      </c>
      <c r="U76" t="s">
        <v>207</v>
      </c>
      <c r="V76" t="s">
        <v>207</v>
      </c>
      <c r="W76" t="s">
        <v>207</v>
      </c>
      <c r="X76" t="s">
        <v>207</v>
      </c>
      <c r="AK76">
        <v>0</v>
      </c>
      <c r="AL76">
        <v>0.05</v>
      </c>
      <c r="AM76">
        <v>0</v>
      </c>
      <c r="AO76" t="s">
        <v>4568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208</v>
      </c>
      <c r="BA76">
        <v>41077437006.059998</v>
      </c>
      <c r="BB76" t="s">
        <v>4572</v>
      </c>
      <c r="BC76" t="s">
        <v>4568</v>
      </c>
    </row>
    <row r="77" spans="1:55" x14ac:dyDescent="0.25">
      <c r="A77">
        <v>68</v>
      </c>
      <c r="B77" t="s">
        <v>285</v>
      </c>
      <c r="C77" t="s">
        <v>1720</v>
      </c>
      <c r="D77" t="s">
        <v>3155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202</v>
      </c>
      <c r="K77">
        <v>984498364.50891304</v>
      </c>
      <c r="L77">
        <v>1</v>
      </c>
      <c r="O77" t="s">
        <v>206</v>
      </c>
      <c r="Q77" t="s">
        <v>207</v>
      </c>
      <c r="R77" t="s">
        <v>207</v>
      </c>
      <c r="S77" t="s">
        <v>207</v>
      </c>
      <c r="T77" t="s">
        <v>207</v>
      </c>
      <c r="U77" t="s">
        <v>207</v>
      </c>
      <c r="V77" t="s">
        <v>207</v>
      </c>
      <c r="W77" t="s">
        <v>207</v>
      </c>
      <c r="X77" t="s">
        <v>207</v>
      </c>
      <c r="AG77" t="s">
        <v>4546</v>
      </c>
      <c r="AH77" t="s">
        <v>4562</v>
      </c>
      <c r="AI77" t="s">
        <v>4565</v>
      </c>
      <c r="AJ77" t="s">
        <v>4566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208</v>
      </c>
      <c r="BA77">
        <v>155694406842.57599</v>
      </c>
      <c r="BB77" t="s">
        <v>4572</v>
      </c>
      <c r="BC77" t="s">
        <v>4581</v>
      </c>
    </row>
    <row r="78" spans="1:55" x14ac:dyDescent="0.25">
      <c r="A78">
        <v>1475</v>
      </c>
      <c r="B78" t="s">
        <v>286</v>
      </c>
      <c r="C78" t="s">
        <v>1721</v>
      </c>
      <c r="D78" t="s">
        <v>3156</v>
      </c>
      <c r="E78" t="s">
        <v>94</v>
      </c>
      <c r="F78">
        <v>2531739700</v>
      </c>
      <c r="G78">
        <v>0.84451209999999999</v>
      </c>
      <c r="H78" t="s">
        <v>102</v>
      </c>
      <c r="I78">
        <v>2138084810.7003701</v>
      </c>
      <c r="J78" t="s">
        <v>205</v>
      </c>
      <c r="K78">
        <v>6999350.90283491</v>
      </c>
      <c r="L78">
        <v>0.95</v>
      </c>
      <c r="M78" t="s">
        <v>4536</v>
      </c>
      <c r="N78" t="s">
        <v>4537</v>
      </c>
      <c r="O78" t="s">
        <v>207</v>
      </c>
      <c r="Q78" t="s">
        <v>207</v>
      </c>
      <c r="R78" t="s">
        <v>207</v>
      </c>
      <c r="S78" t="s">
        <v>207</v>
      </c>
      <c r="T78" t="s">
        <v>207</v>
      </c>
      <c r="U78" t="s">
        <v>207</v>
      </c>
      <c r="V78" t="s">
        <v>207</v>
      </c>
      <c r="W78" t="s">
        <v>207</v>
      </c>
      <c r="X78" t="s">
        <v>207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210</v>
      </c>
      <c r="BA78">
        <v>2031180570.1653509</v>
      </c>
      <c r="BB78" t="s">
        <v>4572</v>
      </c>
      <c r="BC78" t="s">
        <v>4575</v>
      </c>
    </row>
    <row r="79" spans="1:55" x14ac:dyDescent="0.25">
      <c r="A79">
        <v>159</v>
      </c>
      <c r="B79" t="s">
        <v>287</v>
      </c>
      <c r="C79" t="s">
        <v>1722</v>
      </c>
      <c r="D79" t="s">
        <v>3157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202</v>
      </c>
      <c r="K79">
        <v>471056684.70384502</v>
      </c>
      <c r="L79">
        <v>1</v>
      </c>
      <c r="O79" t="s">
        <v>207</v>
      </c>
      <c r="Q79" t="s">
        <v>207</v>
      </c>
      <c r="R79" t="s">
        <v>207</v>
      </c>
      <c r="S79" t="s">
        <v>206</v>
      </c>
      <c r="T79" t="s">
        <v>207</v>
      </c>
      <c r="U79" t="s">
        <v>207</v>
      </c>
      <c r="V79" t="s">
        <v>207</v>
      </c>
      <c r="W79" t="s">
        <v>207</v>
      </c>
      <c r="X79" t="s">
        <v>207</v>
      </c>
      <c r="AA79" t="s">
        <v>4541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208</v>
      </c>
      <c r="BA79">
        <v>78282979983.330002</v>
      </c>
      <c r="BB79" t="s">
        <v>4572</v>
      </c>
      <c r="BC79" t="s">
        <v>4541</v>
      </c>
    </row>
    <row r="80" spans="1:55" x14ac:dyDescent="0.25">
      <c r="A80">
        <v>1243</v>
      </c>
      <c r="B80" t="s">
        <v>288</v>
      </c>
      <c r="C80" t="s">
        <v>1723</v>
      </c>
      <c r="D80" t="s">
        <v>3158</v>
      </c>
      <c r="E80" t="s">
        <v>4517</v>
      </c>
      <c r="F80">
        <v>226388620</v>
      </c>
      <c r="G80">
        <v>25.22</v>
      </c>
      <c r="H80" t="s">
        <v>99</v>
      </c>
      <c r="I80">
        <v>5709520996.3999996</v>
      </c>
      <c r="J80" t="s">
        <v>203</v>
      </c>
      <c r="K80">
        <v>16355031.9673771</v>
      </c>
      <c r="L80">
        <v>0.60000000000000009</v>
      </c>
      <c r="O80" t="s">
        <v>207</v>
      </c>
      <c r="Q80" t="s">
        <v>207</v>
      </c>
      <c r="R80" t="s">
        <v>207</v>
      </c>
      <c r="S80" t="s">
        <v>207</v>
      </c>
      <c r="T80" t="s">
        <v>207</v>
      </c>
      <c r="U80" t="s">
        <v>207</v>
      </c>
      <c r="V80" t="s">
        <v>207</v>
      </c>
      <c r="W80" t="s">
        <v>207</v>
      </c>
      <c r="X80" t="s">
        <v>207</v>
      </c>
      <c r="AG80" t="s">
        <v>4546</v>
      </c>
      <c r="AH80" t="s">
        <v>4562</v>
      </c>
      <c r="AI80" t="s">
        <v>4565</v>
      </c>
      <c r="AJ80" t="s">
        <v>4566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209</v>
      </c>
      <c r="BA80">
        <v>3425712597.8400002</v>
      </c>
      <c r="BB80" t="s">
        <v>4572</v>
      </c>
      <c r="BC80" t="s">
        <v>4581</v>
      </c>
    </row>
    <row r="81" spans="1:55" x14ac:dyDescent="0.25">
      <c r="A81">
        <v>1157</v>
      </c>
      <c r="B81" t="s">
        <v>289</v>
      </c>
      <c r="C81" t="s">
        <v>1724</v>
      </c>
      <c r="D81" t="s">
        <v>3159</v>
      </c>
      <c r="E81" t="s">
        <v>94</v>
      </c>
      <c r="F81">
        <v>238302100</v>
      </c>
      <c r="G81">
        <v>17.091460000000001</v>
      </c>
      <c r="H81" t="s">
        <v>102</v>
      </c>
      <c r="I81">
        <v>4072930810.066</v>
      </c>
      <c r="J81" t="s">
        <v>205</v>
      </c>
      <c r="K81">
        <v>26185929.070586301</v>
      </c>
      <c r="L81">
        <v>1</v>
      </c>
      <c r="M81" t="s">
        <v>4536</v>
      </c>
      <c r="O81" t="s">
        <v>207</v>
      </c>
      <c r="Q81" t="s">
        <v>207</v>
      </c>
      <c r="R81" t="s">
        <v>207</v>
      </c>
      <c r="S81" t="s">
        <v>207</v>
      </c>
      <c r="T81" t="s">
        <v>207</v>
      </c>
      <c r="U81" t="s">
        <v>207</v>
      </c>
      <c r="V81" t="s">
        <v>207</v>
      </c>
      <c r="W81" t="s">
        <v>207</v>
      </c>
      <c r="X81" t="s">
        <v>207</v>
      </c>
      <c r="AK81">
        <v>0</v>
      </c>
      <c r="AL81">
        <v>1</v>
      </c>
      <c r="AM81">
        <v>0</v>
      </c>
      <c r="AO81" t="s">
        <v>4568</v>
      </c>
      <c r="AQ81">
        <v>0</v>
      </c>
      <c r="AR81">
        <v>0.01</v>
      </c>
      <c r="AW81">
        <v>6010</v>
      </c>
      <c r="AX81">
        <v>2.4449999999999998</v>
      </c>
      <c r="AY81" t="s">
        <v>210</v>
      </c>
      <c r="BA81">
        <v>4072930810.066</v>
      </c>
      <c r="BB81" t="s">
        <v>4572</v>
      </c>
      <c r="BC81" t="s">
        <v>4582</v>
      </c>
    </row>
    <row r="82" spans="1:55" x14ac:dyDescent="0.25">
      <c r="A82">
        <v>854</v>
      </c>
      <c r="B82" t="s">
        <v>290</v>
      </c>
      <c r="C82" t="s">
        <v>1725</v>
      </c>
      <c r="D82" t="s">
        <v>3160</v>
      </c>
      <c r="E82" t="s">
        <v>93</v>
      </c>
      <c r="F82">
        <v>484293550</v>
      </c>
      <c r="G82">
        <v>18.687049999999999</v>
      </c>
      <c r="H82" t="s">
        <v>101</v>
      </c>
      <c r="I82">
        <v>9050017783.5275002</v>
      </c>
      <c r="J82" t="s">
        <v>205</v>
      </c>
      <c r="K82">
        <v>27773238.8433934</v>
      </c>
      <c r="L82">
        <v>1</v>
      </c>
      <c r="M82" t="s">
        <v>4536</v>
      </c>
      <c r="O82" t="s">
        <v>207</v>
      </c>
      <c r="Q82" t="s">
        <v>207</v>
      </c>
      <c r="R82" t="s">
        <v>207</v>
      </c>
      <c r="S82" t="s">
        <v>207</v>
      </c>
      <c r="T82" t="s">
        <v>207</v>
      </c>
      <c r="U82" t="s">
        <v>207</v>
      </c>
      <c r="V82" t="s">
        <v>207</v>
      </c>
      <c r="W82" t="s">
        <v>207</v>
      </c>
      <c r="X82" t="s">
        <v>207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210</v>
      </c>
      <c r="BA82">
        <v>9050017783.5275002</v>
      </c>
      <c r="BB82" t="s">
        <v>4572</v>
      </c>
      <c r="BC82" t="s">
        <v>4536</v>
      </c>
    </row>
    <row r="83" spans="1:55" x14ac:dyDescent="0.25">
      <c r="A83">
        <v>106</v>
      </c>
      <c r="B83" t="s">
        <v>291</v>
      </c>
      <c r="C83" t="s">
        <v>1726</v>
      </c>
      <c r="D83" t="s">
        <v>3161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202</v>
      </c>
      <c r="K83">
        <v>737566636.24840498</v>
      </c>
      <c r="L83">
        <v>1</v>
      </c>
      <c r="M83" t="s">
        <v>4536</v>
      </c>
      <c r="O83" t="s">
        <v>207</v>
      </c>
      <c r="Q83" t="s">
        <v>207</v>
      </c>
      <c r="R83" t="s">
        <v>207</v>
      </c>
      <c r="S83" t="s">
        <v>207</v>
      </c>
      <c r="T83" t="s">
        <v>207</v>
      </c>
      <c r="U83" t="s">
        <v>207</v>
      </c>
      <c r="V83" t="s">
        <v>207</v>
      </c>
      <c r="W83" t="s">
        <v>207</v>
      </c>
      <c r="X83" t="s">
        <v>207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208</v>
      </c>
      <c r="BA83">
        <v>113336922296.16901</v>
      </c>
      <c r="BB83" t="s">
        <v>4572</v>
      </c>
      <c r="BC83" t="s">
        <v>4536</v>
      </c>
    </row>
    <row r="84" spans="1:55" x14ac:dyDescent="0.25">
      <c r="A84">
        <v>1222</v>
      </c>
      <c r="B84" t="s">
        <v>292</v>
      </c>
      <c r="C84" t="s">
        <v>1727</v>
      </c>
      <c r="D84" t="s">
        <v>3162</v>
      </c>
      <c r="E84" t="s">
        <v>4524</v>
      </c>
      <c r="F84">
        <v>104000000</v>
      </c>
      <c r="G84">
        <v>56.75</v>
      </c>
      <c r="H84" t="s">
        <v>99</v>
      </c>
      <c r="I84">
        <v>5902000000</v>
      </c>
      <c r="J84" t="s">
        <v>203</v>
      </c>
      <c r="K84">
        <v>5651248.0652459003</v>
      </c>
      <c r="L84">
        <v>0.6</v>
      </c>
      <c r="M84" t="s">
        <v>4536</v>
      </c>
      <c r="N84" t="s">
        <v>4537</v>
      </c>
      <c r="O84" t="s">
        <v>207</v>
      </c>
      <c r="Q84" t="s">
        <v>207</v>
      </c>
      <c r="R84" t="s">
        <v>207</v>
      </c>
      <c r="S84" t="s">
        <v>207</v>
      </c>
      <c r="T84" t="s">
        <v>207</v>
      </c>
      <c r="U84" t="s">
        <v>207</v>
      </c>
      <c r="V84" t="s">
        <v>207</v>
      </c>
      <c r="W84" t="s">
        <v>207</v>
      </c>
      <c r="X84" t="s">
        <v>207</v>
      </c>
      <c r="AK84">
        <v>0.01</v>
      </c>
      <c r="AL84">
        <v>0.01</v>
      </c>
      <c r="AM84">
        <v>0</v>
      </c>
      <c r="AN84" t="s">
        <v>4567</v>
      </c>
      <c r="AO84" t="s">
        <v>4568</v>
      </c>
      <c r="AQ84">
        <v>0</v>
      </c>
      <c r="AR84">
        <v>0</v>
      </c>
      <c r="AW84">
        <v>5020</v>
      </c>
      <c r="AX84">
        <v>2.1379999999999999</v>
      </c>
      <c r="AY84" t="s">
        <v>209</v>
      </c>
      <c r="BA84">
        <v>3541200000</v>
      </c>
      <c r="BB84" t="s">
        <v>4572</v>
      </c>
      <c r="BC84" t="s">
        <v>4593</v>
      </c>
    </row>
    <row r="85" spans="1:55" x14ac:dyDescent="0.25">
      <c r="A85">
        <v>357</v>
      </c>
      <c r="B85" t="s">
        <v>293</v>
      </c>
      <c r="C85" t="s">
        <v>1728</v>
      </c>
      <c r="D85" t="s">
        <v>3163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204</v>
      </c>
      <c r="K85">
        <v>50815466.317591503</v>
      </c>
      <c r="L85">
        <v>1</v>
      </c>
      <c r="M85" t="s">
        <v>4536</v>
      </c>
      <c r="O85" t="s">
        <v>207</v>
      </c>
      <c r="Q85" t="s">
        <v>207</v>
      </c>
      <c r="R85" t="s">
        <v>207</v>
      </c>
      <c r="S85" t="s">
        <v>207</v>
      </c>
      <c r="T85" t="s">
        <v>207</v>
      </c>
      <c r="U85" t="s">
        <v>207</v>
      </c>
      <c r="V85" t="s">
        <v>207</v>
      </c>
      <c r="W85" t="s">
        <v>207</v>
      </c>
      <c r="X85" t="s">
        <v>207</v>
      </c>
      <c r="AK85">
        <v>0.128</v>
      </c>
      <c r="AL85">
        <v>0.15</v>
      </c>
      <c r="AM85">
        <v>0.01</v>
      </c>
      <c r="AN85" t="s">
        <v>4567</v>
      </c>
      <c r="AO85" t="s">
        <v>4568</v>
      </c>
      <c r="AP85" t="s">
        <v>4569</v>
      </c>
      <c r="AQ85">
        <v>0</v>
      </c>
      <c r="AR85">
        <v>0</v>
      </c>
      <c r="AW85">
        <v>5510</v>
      </c>
      <c r="AX85">
        <v>2.379</v>
      </c>
      <c r="AY85" t="s">
        <v>209</v>
      </c>
      <c r="BA85">
        <v>39456153785.558998</v>
      </c>
      <c r="BB85" t="s">
        <v>4572</v>
      </c>
      <c r="BC85" t="s">
        <v>4576</v>
      </c>
    </row>
    <row r="86" spans="1:55" x14ac:dyDescent="0.25">
      <c r="A86">
        <v>1350</v>
      </c>
      <c r="B86" t="s">
        <v>294</v>
      </c>
      <c r="C86" t="s">
        <v>1729</v>
      </c>
      <c r="D86" t="s">
        <v>3164</v>
      </c>
      <c r="E86" t="s">
        <v>94</v>
      </c>
      <c r="F86">
        <v>145944890</v>
      </c>
      <c r="G86">
        <v>21.76829</v>
      </c>
      <c r="H86" t="s">
        <v>102</v>
      </c>
      <c r="I86">
        <v>3176970689.5380998</v>
      </c>
      <c r="J86" t="s">
        <v>205</v>
      </c>
      <c r="K86">
        <v>6749392.4072615104</v>
      </c>
      <c r="L86">
        <v>0.9</v>
      </c>
      <c r="M86" t="s">
        <v>4536</v>
      </c>
      <c r="N86" t="s">
        <v>4537</v>
      </c>
      <c r="O86" t="s">
        <v>207</v>
      </c>
      <c r="Q86" t="s">
        <v>207</v>
      </c>
      <c r="R86" t="s">
        <v>207</v>
      </c>
      <c r="S86" t="s">
        <v>207</v>
      </c>
      <c r="T86" t="s">
        <v>207</v>
      </c>
      <c r="U86" t="s">
        <v>207</v>
      </c>
      <c r="V86" t="s">
        <v>207</v>
      </c>
      <c r="W86" t="s">
        <v>207</v>
      </c>
      <c r="X86" t="s">
        <v>207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210</v>
      </c>
      <c r="AZ86" t="s">
        <v>4571</v>
      </c>
      <c r="BA86">
        <v>2859273620.584291</v>
      </c>
      <c r="BB86" t="s">
        <v>4572</v>
      </c>
      <c r="BC86" t="s">
        <v>4584</v>
      </c>
    </row>
    <row r="87" spans="1:55" x14ac:dyDescent="0.25">
      <c r="A87">
        <v>474</v>
      </c>
      <c r="B87" t="s">
        <v>295</v>
      </c>
      <c r="C87" t="s">
        <v>1730</v>
      </c>
      <c r="D87" t="s">
        <v>3165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202</v>
      </c>
      <c r="K87">
        <v>163209551.625346</v>
      </c>
      <c r="L87">
        <v>1</v>
      </c>
      <c r="M87" t="s">
        <v>4536</v>
      </c>
      <c r="O87" t="s">
        <v>207</v>
      </c>
      <c r="Q87" t="s">
        <v>207</v>
      </c>
      <c r="R87" t="s">
        <v>207</v>
      </c>
      <c r="S87" t="s">
        <v>207</v>
      </c>
      <c r="T87" t="s">
        <v>207</v>
      </c>
      <c r="U87" t="s">
        <v>207</v>
      </c>
      <c r="V87" t="s">
        <v>207</v>
      </c>
      <c r="W87" t="s">
        <v>207</v>
      </c>
      <c r="X87" t="s">
        <v>207</v>
      </c>
      <c r="AK87">
        <v>0</v>
      </c>
      <c r="AL87">
        <v>0.1</v>
      </c>
      <c r="AM87">
        <v>0</v>
      </c>
      <c r="AO87" t="s">
        <v>4568</v>
      </c>
      <c r="AQ87">
        <v>0</v>
      </c>
      <c r="AR87">
        <v>0</v>
      </c>
      <c r="AW87">
        <v>1010</v>
      </c>
      <c r="AX87">
        <v>2.1179999999999999</v>
      </c>
      <c r="AY87" t="s">
        <v>208</v>
      </c>
      <c r="BA87">
        <v>28019223784.056</v>
      </c>
      <c r="BB87" t="s">
        <v>4572</v>
      </c>
      <c r="BC87" t="s">
        <v>4582</v>
      </c>
    </row>
    <row r="88" spans="1:55" x14ac:dyDescent="0.25">
      <c r="A88">
        <v>869</v>
      </c>
      <c r="B88" t="s">
        <v>296</v>
      </c>
      <c r="C88" t="s">
        <v>1731</v>
      </c>
      <c r="D88" t="s">
        <v>3166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204</v>
      </c>
      <c r="K88">
        <v>15462567.7601377</v>
      </c>
      <c r="L88">
        <v>0.4</v>
      </c>
      <c r="M88" t="s">
        <v>4536</v>
      </c>
      <c r="O88" t="s">
        <v>207</v>
      </c>
      <c r="Q88" t="s">
        <v>207</v>
      </c>
      <c r="R88" t="s">
        <v>207</v>
      </c>
      <c r="S88" t="s">
        <v>207</v>
      </c>
      <c r="T88" t="s">
        <v>207</v>
      </c>
      <c r="U88" t="s">
        <v>207</v>
      </c>
      <c r="V88" t="s">
        <v>207</v>
      </c>
      <c r="W88" t="s">
        <v>207</v>
      </c>
      <c r="X88" t="s">
        <v>207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209</v>
      </c>
      <c r="BA88">
        <v>8676631289.2236004</v>
      </c>
      <c r="BB88" t="s">
        <v>4572</v>
      </c>
      <c r="BC88" t="s">
        <v>4536</v>
      </c>
    </row>
    <row r="89" spans="1:55" x14ac:dyDescent="0.25">
      <c r="A89">
        <v>261</v>
      </c>
      <c r="B89" t="s">
        <v>297</v>
      </c>
      <c r="C89" t="s">
        <v>1732</v>
      </c>
      <c r="D89" t="s">
        <v>3167</v>
      </c>
      <c r="E89" t="s">
        <v>94</v>
      </c>
      <c r="F89">
        <v>2975404800</v>
      </c>
      <c r="G89">
        <v>17.554880000000001</v>
      </c>
      <c r="H89" t="s">
        <v>102</v>
      </c>
      <c r="I89">
        <v>52232874215.424004</v>
      </c>
      <c r="J89" t="s">
        <v>205</v>
      </c>
      <c r="K89">
        <v>85427652.263657004</v>
      </c>
      <c r="L89">
        <v>1</v>
      </c>
      <c r="M89" t="s">
        <v>4536</v>
      </c>
      <c r="O89" t="s">
        <v>207</v>
      </c>
      <c r="Q89" t="s">
        <v>207</v>
      </c>
      <c r="R89" t="s">
        <v>207</v>
      </c>
      <c r="S89" t="s">
        <v>207</v>
      </c>
      <c r="T89" t="s">
        <v>207</v>
      </c>
      <c r="U89" t="s">
        <v>207</v>
      </c>
      <c r="V89" t="s">
        <v>207</v>
      </c>
      <c r="W89" t="s">
        <v>207</v>
      </c>
      <c r="X89" t="s">
        <v>207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210</v>
      </c>
      <c r="BA89">
        <v>52232874215.424004</v>
      </c>
      <c r="BB89" t="s">
        <v>4572</v>
      </c>
      <c r="BC89" t="s">
        <v>4536</v>
      </c>
    </row>
    <row r="90" spans="1:55" x14ac:dyDescent="0.25">
      <c r="A90">
        <v>154</v>
      </c>
      <c r="B90" t="s">
        <v>298</v>
      </c>
      <c r="C90" t="s">
        <v>1733</v>
      </c>
      <c r="D90" t="s">
        <v>3168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202</v>
      </c>
      <c r="K90">
        <v>363282324.767465</v>
      </c>
      <c r="L90">
        <v>1</v>
      </c>
      <c r="M90" t="s">
        <v>4536</v>
      </c>
      <c r="O90" t="s">
        <v>207</v>
      </c>
      <c r="Q90" t="s">
        <v>207</v>
      </c>
      <c r="R90" t="s">
        <v>207</v>
      </c>
      <c r="S90" t="s">
        <v>207</v>
      </c>
      <c r="T90" t="s">
        <v>207</v>
      </c>
      <c r="U90" t="s">
        <v>207</v>
      </c>
      <c r="V90" t="s">
        <v>207</v>
      </c>
      <c r="W90" t="s">
        <v>207</v>
      </c>
      <c r="X90" t="s">
        <v>207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208</v>
      </c>
      <c r="AZ90" t="s">
        <v>4571</v>
      </c>
      <c r="BA90">
        <v>80483392267.040009</v>
      </c>
      <c r="BB90" t="s">
        <v>4572</v>
      </c>
      <c r="BC90" t="s">
        <v>4577</v>
      </c>
    </row>
    <row r="91" spans="1:55" x14ac:dyDescent="0.25">
      <c r="A91">
        <v>946</v>
      </c>
      <c r="B91" t="s">
        <v>299</v>
      </c>
      <c r="C91" t="s">
        <v>1734</v>
      </c>
      <c r="D91" t="s">
        <v>3169</v>
      </c>
      <c r="E91" t="s">
        <v>4523</v>
      </c>
      <c r="F91">
        <v>6072390</v>
      </c>
      <c r="G91">
        <v>1655.4480000000001</v>
      </c>
      <c r="H91" t="s">
        <v>4532</v>
      </c>
      <c r="I91">
        <v>10052525880.719999</v>
      </c>
      <c r="J91" t="s">
        <v>204</v>
      </c>
      <c r="K91">
        <v>39712798.007349797</v>
      </c>
      <c r="L91">
        <v>0.7</v>
      </c>
      <c r="M91" t="s">
        <v>4536</v>
      </c>
      <c r="O91" t="s">
        <v>207</v>
      </c>
      <c r="Q91" t="s">
        <v>207</v>
      </c>
      <c r="R91" t="s">
        <v>207</v>
      </c>
      <c r="S91" t="s">
        <v>207</v>
      </c>
      <c r="T91" t="s">
        <v>207</v>
      </c>
      <c r="U91" t="s">
        <v>207</v>
      </c>
      <c r="V91" t="s">
        <v>207</v>
      </c>
      <c r="W91" t="s">
        <v>207</v>
      </c>
      <c r="X91" t="s">
        <v>207</v>
      </c>
      <c r="AK91">
        <v>0</v>
      </c>
      <c r="AL91">
        <v>0.05</v>
      </c>
      <c r="AM91">
        <v>0</v>
      </c>
      <c r="AO91" t="s">
        <v>4568</v>
      </c>
      <c r="AQ91">
        <v>0</v>
      </c>
      <c r="AR91">
        <v>0</v>
      </c>
      <c r="AW91">
        <v>5020</v>
      </c>
      <c r="AX91">
        <v>1.788</v>
      </c>
      <c r="AY91" t="s">
        <v>209</v>
      </c>
      <c r="AZ91" t="s">
        <v>4571</v>
      </c>
      <c r="BA91">
        <v>7036768116.5040007</v>
      </c>
      <c r="BB91" t="s">
        <v>4572</v>
      </c>
      <c r="BC91" t="s">
        <v>4594</v>
      </c>
    </row>
    <row r="92" spans="1:55" x14ac:dyDescent="0.25">
      <c r="A92">
        <v>1062</v>
      </c>
      <c r="B92" t="s">
        <v>300</v>
      </c>
      <c r="C92" t="s">
        <v>1735</v>
      </c>
      <c r="D92" t="s">
        <v>3170</v>
      </c>
      <c r="E92" t="s">
        <v>94</v>
      </c>
      <c r="F92">
        <v>1294951700</v>
      </c>
      <c r="G92">
        <v>4.0304880000000001</v>
      </c>
      <c r="H92" t="s">
        <v>102</v>
      </c>
      <c r="I92">
        <v>5219287287.4295998</v>
      </c>
      <c r="J92" t="s">
        <v>205</v>
      </c>
      <c r="K92">
        <v>16995724.645381499</v>
      </c>
      <c r="L92">
        <v>1</v>
      </c>
      <c r="M92" t="s">
        <v>4536</v>
      </c>
      <c r="O92" t="s">
        <v>207</v>
      </c>
      <c r="Q92" t="s">
        <v>207</v>
      </c>
      <c r="R92" t="s">
        <v>207</v>
      </c>
      <c r="S92" t="s">
        <v>207</v>
      </c>
      <c r="T92" t="s">
        <v>207</v>
      </c>
      <c r="U92" t="s">
        <v>207</v>
      </c>
      <c r="V92" t="s">
        <v>207</v>
      </c>
      <c r="W92" t="s">
        <v>207</v>
      </c>
      <c r="X92" t="s">
        <v>207</v>
      </c>
      <c r="AK92">
        <v>0</v>
      </c>
      <c r="AL92">
        <v>0.70699999999999996</v>
      </c>
      <c r="AM92">
        <v>8.5400000000000004E-2</v>
      </c>
      <c r="AO92" t="s">
        <v>4568</v>
      </c>
      <c r="AP92" t="s">
        <v>4569</v>
      </c>
      <c r="AQ92">
        <v>0</v>
      </c>
      <c r="AR92">
        <v>0</v>
      </c>
      <c r="AW92">
        <v>6010</v>
      </c>
      <c r="AX92">
        <v>2.76</v>
      </c>
      <c r="AY92" t="s">
        <v>210</v>
      </c>
      <c r="BA92">
        <v>5219287287.4295998</v>
      </c>
      <c r="BB92" t="s">
        <v>4572</v>
      </c>
      <c r="BC92" t="s">
        <v>4595</v>
      </c>
    </row>
    <row r="93" spans="1:55" x14ac:dyDescent="0.25">
      <c r="A93">
        <v>238</v>
      </c>
      <c r="B93" t="s">
        <v>301</v>
      </c>
      <c r="C93" t="s">
        <v>1736</v>
      </c>
      <c r="D93" t="s">
        <v>3171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202</v>
      </c>
      <c r="K93">
        <v>874272342.35225499</v>
      </c>
      <c r="L93">
        <v>0.7</v>
      </c>
      <c r="O93" t="s">
        <v>207</v>
      </c>
      <c r="Q93" t="s">
        <v>207</v>
      </c>
      <c r="R93" t="s">
        <v>207</v>
      </c>
      <c r="S93" t="s">
        <v>207</v>
      </c>
      <c r="T93" t="s">
        <v>207</v>
      </c>
      <c r="U93" t="s">
        <v>207</v>
      </c>
      <c r="V93" t="s">
        <v>207</v>
      </c>
      <c r="W93" t="s">
        <v>207</v>
      </c>
      <c r="X93" t="s">
        <v>207</v>
      </c>
      <c r="AG93" t="s">
        <v>4546</v>
      </c>
      <c r="AH93" t="s">
        <v>4564</v>
      </c>
      <c r="AI93" t="s">
        <v>4565</v>
      </c>
      <c r="AJ93" t="s">
        <v>4566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208</v>
      </c>
      <c r="BA93">
        <v>57033547640.094887</v>
      </c>
      <c r="BB93" t="s">
        <v>4572</v>
      </c>
      <c r="BC93" t="s">
        <v>4581</v>
      </c>
    </row>
    <row r="94" spans="1:55" x14ac:dyDescent="0.25">
      <c r="A94">
        <v>1</v>
      </c>
      <c r="B94" t="s">
        <v>302</v>
      </c>
      <c r="C94" t="s">
        <v>1737</v>
      </c>
      <c r="D94" t="s">
        <v>3172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202</v>
      </c>
      <c r="K94">
        <v>11618462793.8008</v>
      </c>
      <c r="L94">
        <v>1</v>
      </c>
      <c r="O94" t="s">
        <v>206</v>
      </c>
      <c r="Q94" t="s">
        <v>207</v>
      </c>
      <c r="R94" t="s">
        <v>207</v>
      </c>
      <c r="S94" t="s">
        <v>207</v>
      </c>
      <c r="T94" t="s">
        <v>207</v>
      </c>
      <c r="U94" t="s">
        <v>207</v>
      </c>
      <c r="V94" t="s">
        <v>207</v>
      </c>
      <c r="W94" t="s">
        <v>207</v>
      </c>
      <c r="X94" t="s">
        <v>207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208</v>
      </c>
      <c r="AZ94" t="s">
        <v>4571</v>
      </c>
      <c r="BA94">
        <v>3528139646450.1001</v>
      </c>
      <c r="BB94" t="s">
        <v>4572</v>
      </c>
      <c r="BC94" t="s">
        <v>4571</v>
      </c>
    </row>
    <row r="95" spans="1:55" x14ac:dyDescent="0.25">
      <c r="A95">
        <v>85</v>
      </c>
      <c r="B95" t="s">
        <v>303</v>
      </c>
      <c r="C95" t="s">
        <v>1738</v>
      </c>
      <c r="D95" t="s">
        <v>3173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202</v>
      </c>
      <c r="K95">
        <v>1120737018.9661601</v>
      </c>
      <c r="L95">
        <v>1</v>
      </c>
      <c r="M95" t="s">
        <v>4536</v>
      </c>
      <c r="O95" t="s">
        <v>207</v>
      </c>
      <c r="Q95" t="s">
        <v>207</v>
      </c>
      <c r="R95" t="s">
        <v>207</v>
      </c>
      <c r="S95" t="s">
        <v>207</v>
      </c>
      <c r="T95" t="s">
        <v>207</v>
      </c>
      <c r="U95" t="s">
        <v>207</v>
      </c>
      <c r="V95" t="s">
        <v>207</v>
      </c>
      <c r="W95" t="s">
        <v>207</v>
      </c>
      <c r="X95" t="s">
        <v>207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208</v>
      </c>
      <c r="BA95">
        <v>133642865486.13</v>
      </c>
      <c r="BB95" t="s">
        <v>4572</v>
      </c>
      <c r="BC95" t="s">
        <v>4536</v>
      </c>
    </row>
    <row r="96" spans="1:55" x14ac:dyDescent="0.25">
      <c r="A96">
        <v>129</v>
      </c>
      <c r="B96" t="s">
        <v>304</v>
      </c>
      <c r="C96" t="s">
        <v>1739</v>
      </c>
      <c r="D96" t="s">
        <v>3174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202</v>
      </c>
      <c r="K96">
        <v>1973519491.9553699</v>
      </c>
      <c r="L96">
        <v>0.75</v>
      </c>
      <c r="M96" t="s">
        <v>4536</v>
      </c>
      <c r="O96" t="s">
        <v>207</v>
      </c>
      <c r="Q96" t="s">
        <v>207</v>
      </c>
      <c r="R96" t="s">
        <v>207</v>
      </c>
      <c r="S96" t="s">
        <v>207</v>
      </c>
      <c r="T96" t="s">
        <v>207</v>
      </c>
      <c r="U96" t="s">
        <v>207</v>
      </c>
      <c r="V96" t="s">
        <v>207</v>
      </c>
      <c r="W96" t="s">
        <v>207</v>
      </c>
      <c r="X96" t="s">
        <v>207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208</v>
      </c>
      <c r="AZ96" t="s">
        <v>4571</v>
      </c>
      <c r="BA96">
        <v>92164624413.419998</v>
      </c>
      <c r="BB96" t="s">
        <v>4572</v>
      </c>
      <c r="BC96" t="s">
        <v>4577</v>
      </c>
    </row>
    <row r="97" spans="1:55" x14ac:dyDescent="0.25">
      <c r="A97">
        <v>1216</v>
      </c>
      <c r="B97" t="s">
        <v>305</v>
      </c>
      <c r="C97" t="s">
        <v>1740</v>
      </c>
      <c r="D97" t="s">
        <v>3175</v>
      </c>
      <c r="E97" t="s">
        <v>96</v>
      </c>
      <c r="F97">
        <v>90442091</v>
      </c>
      <c r="G97">
        <v>49.48</v>
      </c>
      <c r="H97" t="s">
        <v>99</v>
      </c>
      <c r="I97">
        <v>4475074662.6799994</v>
      </c>
      <c r="J97" t="s">
        <v>203</v>
      </c>
      <c r="K97">
        <v>7945905.2520634905</v>
      </c>
      <c r="L97">
        <v>0.8</v>
      </c>
      <c r="M97" t="s">
        <v>4536</v>
      </c>
      <c r="N97" t="s">
        <v>4537</v>
      </c>
      <c r="O97" t="s">
        <v>207</v>
      </c>
      <c r="Q97" t="s">
        <v>207</v>
      </c>
      <c r="R97" t="s">
        <v>207</v>
      </c>
      <c r="S97" t="s">
        <v>207</v>
      </c>
      <c r="T97" t="s">
        <v>207</v>
      </c>
      <c r="U97" t="s">
        <v>207</v>
      </c>
      <c r="V97" t="s">
        <v>207</v>
      </c>
      <c r="W97" t="s">
        <v>207</v>
      </c>
      <c r="X97" t="s">
        <v>207</v>
      </c>
      <c r="AK97">
        <v>0</v>
      </c>
      <c r="AL97">
        <v>0.1</v>
      </c>
      <c r="AM97">
        <v>0</v>
      </c>
      <c r="AO97" t="s">
        <v>4568</v>
      </c>
      <c r="AQ97">
        <v>0</v>
      </c>
      <c r="AR97">
        <v>0</v>
      </c>
      <c r="AW97">
        <v>5010</v>
      </c>
      <c r="AX97">
        <v>2.923</v>
      </c>
      <c r="AY97" t="s">
        <v>209</v>
      </c>
      <c r="BA97">
        <v>3580059730.1440001</v>
      </c>
      <c r="BB97" t="s">
        <v>4572</v>
      </c>
      <c r="BC97" t="s">
        <v>4579</v>
      </c>
    </row>
    <row r="98" spans="1:55" x14ac:dyDescent="0.25">
      <c r="A98">
        <v>803</v>
      </c>
      <c r="B98" t="s">
        <v>306</v>
      </c>
      <c r="C98" t="s">
        <v>1741</v>
      </c>
      <c r="D98" t="s">
        <v>3176</v>
      </c>
      <c r="E98" t="s">
        <v>96</v>
      </c>
      <c r="F98">
        <v>852809772</v>
      </c>
      <c r="G98">
        <v>27.05</v>
      </c>
      <c r="H98" t="s">
        <v>99</v>
      </c>
      <c r="I98">
        <v>23068504332.599998</v>
      </c>
      <c r="J98" t="s">
        <v>203</v>
      </c>
      <c r="K98">
        <v>63586994.506746002</v>
      </c>
      <c r="L98">
        <v>0.5</v>
      </c>
      <c r="O98" t="s">
        <v>207</v>
      </c>
      <c r="Q98" t="s">
        <v>207</v>
      </c>
      <c r="R98" t="s">
        <v>207</v>
      </c>
      <c r="S98" t="s">
        <v>4538</v>
      </c>
      <c r="T98" t="s">
        <v>207</v>
      </c>
      <c r="U98" t="s">
        <v>207</v>
      </c>
      <c r="V98" t="s">
        <v>207</v>
      </c>
      <c r="W98" t="s">
        <v>207</v>
      </c>
      <c r="X98" t="s">
        <v>207</v>
      </c>
      <c r="AA98" t="s">
        <v>4541</v>
      </c>
      <c r="AK98">
        <v>1.2800000000000001E-2</v>
      </c>
      <c r="AL98">
        <v>0.05</v>
      </c>
      <c r="AM98">
        <v>3.8999999999999998E-3</v>
      </c>
      <c r="AN98" t="s">
        <v>4567</v>
      </c>
      <c r="AO98" t="s">
        <v>4568</v>
      </c>
      <c r="AP98" t="s">
        <v>4569</v>
      </c>
      <c r="AQ98">
        <v>0</v>
      </c>
      <c r="AR98">
        <v>0</v>
      </c>
      <c r="AU98">
        <v>92</v>
      </c>
      <c r="AV98" t="s">
        <v>4570</v>
      </c>
      <c r="AW98">
        <v>5510</v>
      </c>
      <c r="AX98">
        <v>1.9530000000000001</v>
      </c>
      <c r="AY98" t="s">
        <v>209</v>
      </c>
      <c r="AZ98" t="s">
        <v>4571</v>
      </c>
      <c r="BA98">
        <v>11534252166.299999</v>
      </c>
      <c r="BB98" t="s">
        <v>4572</v>
      </c>
      <c r="BC98" t="s">
        <v>4596</v>
      </c>
    </row>
    <row r="99" spans="1:55" x14ac:dyDescent="0.25">
      <c r="A99">
        <v>422</v>
      </c>
      <c r="B99" t="s">
        <v>197</v>
      </c>
      <c r="C99" t="s">
        <v>10</v>
      </c>
      <c r="D99" t="s">
        <v>50</v>
      </c>
      <c r="E99" t="s">
        <v>90</v>
      </c>
      <c r="F99">
        <v>376241880</v>
      </c>
      <c r="G99">
        <v>84.294589999999999</v>
      </c>
      <c r="H99" t="s">
        <v>98</v>
      </c>
      <c r="I99">
        <v>31715155015.429199</v>
      </c>
      <c r="J99" t="s">
        <v>202</v>
      </c>
      <c r="K99">
        <v>167494889.37707701</v>
      </c>
      <c r="L99">
        <v>1</v>
      </c>
      <c r="O99" t="s">
        <v>207</v>
      </c>
      <c r="Q99" t="s">
        <v>207</v>
      </c>
      <c r="R99" t="s">
        <v>207</v>
      </c>
      <c r="S99" t="s">
        <v>207</v>
      </c>
      <c r="T99" t="s">
        <v>207</v>
      </c>
      <c r="U99" t="s">
        <v>207</v>
      </c>
      <c r="V99" t="s">
        <v>207</v>
      </c>
      <c r="W99" t="s">
        <v>207</v>
      </c>
      <c r="X99" t="s">
        <v>207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208</v>
      </c>
      <c r="BA99">
        <v>31715155015.429199</v>
      </c>
      <c r="BB99" t="s">
        <v>211</v>
      </c>
    </row>
    <row r="100" spans="1:55" x14ac:dyDescent="0.25">
      <c r="A100">
        <v>573</v>
      </c>
      <c r="B100" t="s">
        <v>307</v>
      </c>
      <c r="C100" t="s">
        <v>1742</v>
      </c>
      <c r="D100" t="s">
        <v>3177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202</v>
      </c>
      <c r="K100">
        <v>165091750.83401701</v>
      </c>
      <c r="L100">
        <v>1</v>
      </c>
      <c r="O100" t="s">
        <v>207</v>
      </c>
      <c r="Q100" t="s">
        <v>207</v>
      </c>
      <c r="R100" t="s">
        <v>207</v>
      </c>
      <c r="S100" t="s">
        <v>207</v>
      </c>
      <c r="T100" t="s">
        <v>207</v>
      </c>
      <c r="U100" t="s">
        <v>207</v>
      </c>
      <c r="V100" t="s">
        <v>207</v>
      </c>
      <c r="W100" t="s">
        <v>207</v>
      </c>
      <c r="X100" t="s">
        <v>207</v>
      </c>
      <c r="AG100" t="s">
        <v>4546</v>
      </c>
      <c r="AH100" t="s">
        <v>4564</v>
      </c>
      <c r="AI100" t="s">
        <v>4565</v>
      </c>
      <c r="AJ100" t="s">
        <v>4566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208</v>
      </c>
      <c r="BA100">
        <v>22111031981.026798</v>
      </c>
      <c r="BB100" t="s">
        <v>4572</v>
      </c>
      <c r="BC100" t="s">
        <v>4581</v>
      </c>
    </row>
    <row r="101" spans="1:55" x14ac:dyDescent="0.25">
      <c r="A101">
        <v>455</v>
      </c>
      <c r="B101" t="s">
        <v>201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202</v>
      </c>
      <c r="K101">
        <v>189756861.70250699</v>
      </c>
      <c r="L101">
        <v>0.9</v>
      </c>
      <c r="O101" t="s">
        <v>207</v>
      </c>
      <c r="Q101" t="s">
        <v>207</v>
      </c>
      <c r="R101" t="s">
        <v>207</v>
      </c>
      <c r="S101" t="s">
        <v>207</v>
      </c>
      <c r="T101" t="s">
        <v>207</v>
      </c>
      <c r="U101" t="s">
        <v>207</v>
      </c>
      <c r="V101" t="s">
        <v>207</v>
      </c>
      <c r="W101" t="s">
        <v>207</v>
      </c>
      <c r="X101" t="s">
        <v>207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208</v>
      </c>
      <c r="BA101">
        <v>29731187777.068802</v>
      </c>
      <c r="BB101" t="s">
        <v>211</v>
      </c>
    </row>
    <row r="102" spans="1:55" x14ac:dyDescent="0.25">
      <c r="A102">
        <v>372</v>
      </c>
      <c r="B102" t="s">
        <v>308</v>
      </c>
      <c r="C102" t="s">
        <v>1743</v>
      </c>
      <c r="D102" t="s">
        <v>3178</v>
      </c>
      <c r="E102" t="s">
        <v>4520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203</v>
      </c>
      <c r="K102">
        <v>36004032.6809524</v>
      </c>
      <c r="L102">
        <v>1</v>
      </c>
      <c r="M102" t="s">
        <v>4536</v>
      </c>
      <c r="O102" t="s">
        <v>207</v>
      </c>
      <c r="Q102" t="s">
        <v>207</v>
      </c>
      <c r="R102" t="s">
        <v>207</v>
      </c>
      <c r="S102" t="s">
        <v>207</v>
      </c>
      <c r="T102" t="s">
        <v>207</v>
      </c>
      <c r="U102" t="s">
        <v>207</v>
      </c>
      <c r="V102" t="s">
        <v>207</v>
      </c>
      <c r="W102" t="s">
        <v>207</v>
      </c>
      <c r="X102" t="s">
        <v>207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209</v>
      </c>
      <c r="BA102">
        <v>37623184574.400002</v>
      </c>
      <c r="BB102" t="s">
        <v>4572</v>
      </c>
      <c r="BC102" t="s">
        <v>4536</v>
      </c>
    </row>
    <row r="103" spans="1:55" x14ac:dyDescent="0.25">
      <c r="A103">
        <v>126</v>
      </c>
      <c r="B103" t="s">
        <v>309</v>
      </c>
      <c r="C103" t="s">
        <v>1744</v>
      </c>
      <c r="D103" t="s">
        <v>3179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202</v>
      </c>
      <c r="K103">
        <v>891586046.12355101</v>
      </c>
      <c r="L103">
        <v>0.8</v>
      </c>
      <c r="M103" t="s">
        <v>4536</v>
      </c>
      <c r="O103" t="s">
        <v>207</v>
      </c>
      <c r="Q103" t="s">
        <v>207</v>
      </c>
      <c r="R103" t="s">
        <v>207</v>
      </c>
      <c r="S103" t="s">
        <v>207</v>
      </c>
      <c r="T103" t="s">
        <v>207</v>
      </c>
      <c r="U103" t="s">
        <v>207</v>
      </c>
      <c r="V103" t="s">
        <v>207</v>
      </c>
      <c r="W103" t="s">
        <v>207</v>
      </c>
      <c r="X103" t="s">
        <v>207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208</v>
      </c>
      <c r="BA103">
        <v>94858615277.76001</v>
      </c>
      <c r="BB103" t="s">
        <v>4572</v>
      </c>
      <c r="BC103" t="s">
        <v>4536</v>
      </c>
    </row>
    <row r="104" spans="1:55" x14ac:dyDescent="0.25">
      <c r="A104">
        <v>472</v>
      </c>
      <c r="B104" t="s">
        <v>310</v>
      </c>
      <c r="C104" t="s">
        <v>1745</v>
      </c>
      <c r="D104" t="s">
        <v>3180</v>
      </c>
      <c r="E104" t="s">
        <v>94</v>
      </c>
      <c r="F104">
        <v>625487300</v>
      </c>
      <c r="G104">
        <v>45.26829</v>
      </c>
      <c r="H104" t="s">
        <v>102</v>
      </c>
      <c r="I104">
        <v>28314740487.716999</v>
      </c>
      <c r="J104" t="s">
        <v>205</v>
      </c>
      <c r="K104">
        <v>53510374.791602097</v>
      </c>
      <c r="L104">
        <v>1</v>
      </c>
      <c r="M104" t="s">
        <v>4536</v>
      </c>
      <c r="O104" t="s">
        <v>207</v>
      </c>
      <c r="Q104" t="s">
        <v>207</v>
      </c>
      <c r="R104" t="s">
        <v>207</v>
      </c>
      <c r="S104" t="s">
        <v>207</v>
      </c>
      <c r="T104" t="s">
        <v>207</v>
      </c>
      <c r="U104" t="s">
        <v>207</v>
      </c>
      <c r="V104" t="s">
        <v>207</v>
      </c>
      <c r="W104" t="s">
        <v>207</v>
      </c>
      <c r="X104" t="s">
        <v>207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210</v>
      </c>
      <c r="BA104">
        <v>28314740487.716999</v>
      </c>
      <c r="BB104" t="s">
        <v>4572</v>
      </c>
      <c r="BC104" t="s">
        <v>4536</v>
      </c>
    </row>
    <row r="105" spans="1:55" x14ac:dyDescent="0.25">
      <c r="A105">
        <v>157</v>
      </c>
      <c r="B105" t="s">
        <v>311</v>
      </c>
      <c r="C105" t="s">
        <v>1746</v>
      </c>
      <c r="D105" t="s">
        <v>3181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202</v>
      </c>
      <c r="K105">
        <v>596716452.08294106</v>
      </c>
      <c r="L105">
        <v>1</v>
      </c>
      <c r="M105" t="s">
        <v>4536</v>
      </c>
      <c r="O105" t="s">
        <v>207</v>
      </c>
      <c r="Q105" t="s">
        <v>207</v>
      </c>
      <c r="R105" t="s">
        <v>207</v>
      </c>
      <c r="S105" t="s">
        <v>207</v>
      </c>
      <c r="T105" t="s">
        <v>207</v>
      </c>
      <c r="U105" t="s">
        <v>207</v>
      </c>
      <c r="V105" t="s">
        <v>207</v>
      </c>
      <c r="W105" t="s">
        <v>207</v>
      </c>
      <c r="X105" t="s">
        <v>207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208</v>
      </c>
      <c r="BA105">
        <v>79311465990</v>
      </c>
      <c r="BB105" t="s">
        <v>4572</v>
      </c>
      <c r="BC105" t="s">
        <v>4536</v>
      </c>
    </row>
    <row r="106" spans="1:55" x14ac:dyDescent="0.25">
      <c r="A106">
        <v>990</v>
      </c>
      <c r="B106" t="s">
        <v>312</v>
      </c>
      <c r="C106" t="s">
        <v>1747</v>
      </c>
      <c r="D106" t="s">
        <v>3182</v>
      </c>
      <c r="E106" t="s">
        <v>93</v>
      </c>
      <c r="F106">
        <v>217434680</v>
      </c>
      <c r="G106">
        <v>28.59975</v>
      </c>
      <c r="H106" t="s">
        <v>101</v>
      </c>
      <c r="I106">
        <v>6218577489.3299999</v>
      </c>
      <c r="J106" t="s">
        <v>205</v>
      </c>
      <c r="K106">
        <v>26636098.399359401</v>
      </c>
      <c r="L106">
        <v>1</v>
      </c>
      <c r="O106" t="s">
        <v>207</v>
      </c>
      <c r="Q106" t="s">
        <v>207</v>
      </c>
      <c r="R106" t="s">
        <v>207</v>
      </c>
      <c r="S106" t="s">
        <v>207</v>
      </c>
      <c r="T106" t="s">
        <v>207</v>
      </c>
      <c r="U106" t="s">
        <v>207</v>
      </c>
      <c r="V106" t="s">
        <v>207</v>
      </c>
      <c r="W106" t="s">
        <v>207</v>
      </c>
      <c r="X106" t="s">
        <v>207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210</v>
      </c>
      <c r="BA106">
        <v>6218577489.3299999</v>
      </c>
      <c r="BB106" t="s">
        <v>211</v>
      </c>
    </row>
    <row r="107" spans="1:55" x14ac:dyDescent="0.25">
      <c r="A107">
        <v>693</v>
      </c>
      <c r="B107" t="s">
        <v>313</v>
      </c>
      <c r="C107" t="s">
        <v>1748</v>
      </c>
      <c r="D107" t="s">
        <v>3183</v>
      </c>
      <c r="E107" t="s">
        <v>93</v>
      </c>
      <c r="F107">
        <v>1521010100</v>
      </c>
      <c r="G107">
        <v>11.265309999999999</v>
      </c>
      <c r="H107" t="s">
        <v>101</v>
      </c>
      <c r="I107">
        <v>17134650289.631001</v>
      </c>
      <c r="J107" t="s">
        <v>205</v>
      </c>
      <c r="K107">
        <v>53674247.362828001</v>
      </c>
      <c r="L107">
        <v>1</v>
      </c>
      <c r="M107" t="s">
        <v>4536</v>
      </c>
      <c r="O107" t="s">
        <v>207</v>
      </c>
      <c r="Q107" t="s">
        <v>207</v>
      </c>
      <c r="R107" t="s">
        <v>207</v>
      </c>
      <c r="S107" t="s">
        <v>207</v>
      </c>
      <c r="T107" t="s">
        <v>207</v>
      </c>
      <c r="U107" t="s">
        <v>207</v>
      </c>
      <c r="V107" t="s">
        <v>207</v>
      </c>
      <c r="W107" t="s">
        <v>207</v>
      </c>
      <c r="X107" t="s">
        <v>207</v>
      </c>
      <c r="AG107" t="s">
        <v>4546</v>
      </c>
      <c r="AH107" t="s">
        <v>4564</v>
      </c>
      <c r="AI107" t="s">
        <v>4565</v>
      </c>
      <c r="AJ107" t="s">
        <v>4566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210</v>
      </c>
      <c r="BA107">
        <v>17134650289.631001</v>
      </c>
      <c r="BB107" t="s">
        <v>4572</v>
      </c>
      <c r="BC107" t="s">
        <v>4578</v>
      </c>
    </row>
    <row r="108" spans="1:55" x14ac:dyDescent="0.25">
      <c r="A108">
        <v>1174</v>
      </c>
      <c r="B108" t="s">
        <v>314</v>
      </c>
      <c r="C108" t="s">
        <v>1749</v>
      </c>
      <c r="D108" t="s">
        <v>3184</v>
      </c>
      <c r="E108" t="s">
        <v>93</v>
      </c>
      <c r="F108">
        <v>271633600</v>
      </c>
      <c r="G108">
        <v>16.842009999999998</v>
      </c>
      <c r="H108" t="s">
        <v>101</v>
      </c>
      <c r="I108">
        <v>4574855807.5359993</v>
      </c>
      <c r="J108" t="s">
        <v>205</v>
      </c>
      <c r="K108">
        <v>12284524.4460179</v>
      </c>
      <c r="L108">
        <v>0.85</v>
      </c>
      <c r="M108" t="s">
        <v>4536</v>
      </c>
      <c r="O108" t="s">
        <v>207</v>
      </c>
      <c r="Q108" t="s">
        <v>207</v>
      </c>
      <c r="R108" t="s">
        <v>207</v>
      </c>
      <c r="S108" t="s">
        <v>207</v>
      </c>
      <c r="T108" t="s">
        <v>207</v>
      </c>
      <c r="U108" t="s">
        <v>207</v>
      </c>
      <c r="V108" t="s">
        <v>207</v>
      </c>
      <c r="W108" t="s">
        <v>207</v>
      </c>
      <c r="X108" t="s">
        <v>207</v>
      </c>
      <c r="AG108" t="s">
        <v>4546</v>
      </c>
      <c r="AH108" t="s">
        <v>4562</v>
      </c>
      <c r="AI108" t="s">
        <v>4565</v>
      </c>
      <c r="AJ108" t="s">
        <v>4566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210</v>
      </c>
      <c r="AZ108" t="s">
        <v>4571</v>
      </c>
      <c r="BA108">
        <v>3888627436.4055991</v>
      </c>
      <c r="BB108" t="s">
        <v>4572</v>
      </c>
      <c r="BC108" t="s">
        <v>4588</v>
      </c>
    </row>
    <row r="109" spans="1:55" x14ac:dyDescent="0.25">
      <c r="A109">
        <v>857</v>
      </c>
      <c r="B109" t="s">
        <v>315</v>
      </c>
      <c r="C109" t="s">
        <v>1750</v>
      </c>
      <c r="D109" t="s">
        <v>3185</v>
      </c>
      <c r="E109" t="s">
        <v>93</v>
      </c>
      <c r="F109">
        <v>1393932000</v>
      </c>
      <c r="G109">
        <v>6.4720370000000003</v>
      </c>
      <c r="H109" t="s">
        <v>101</v>
      </c>
      <c r="I109">
        <v>9021579479.4840012</v>
      </c>
      <c r="J109" t="s">
        <v>205</v>
      </c>
      <c r="K109">
        <v>25041577.448764998</v>
      </c>
      <c r="L109">
        <v>1</v>
      </c>
      <c r="M109" t="s">
        <v>4536</v>
      </c>
      <c r="O109" t="s">
        <v>207</v>
      </c>
      <c r="Q109" t="s">
        <v>207</v>
      </c>
      <c r="R109" t="s">
        <v>207</v>
      </c>
      <c r="S109" t="s">
        <v>207</v>
      </c>
      <c r="T109" t="s">
        <v>207</v>
      </c>
      <c r="U109" t="s">
        <v>207</v>
      </c>
      <c r="V109" t="s">
        <v>207</v>
      </c>
      <c r="W109" t="s">
        <v>207</v>
      </c>
      <c r="X109" t="s">
        <v>207</v>
      </c>
      <c r="AG109" t="s">
        <v>4546</v>
      </c>
      <c r="AH109" t="s">
        <v>4563</v>
      </c>
      <c r="AI109" t="s">
        <v>4565</v>
      </c>
      <c r="AJ109" t="s">
        <v>4566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210</v>
      </c>
      <c r="BA109">
        <v>9021579479.4840012</v>
      </c>
      <c r="BB109" t="s">
        <v>4572</v>
      </c>
      <c r="BC109" t="s">
        <v>4578</v>
      </c>
    </row>
    <row r="110" spans="1:55" x14ac:dyDescent="0.25">
      <c r="A110">
        <v>510</v>
      </c>
      <c r="B110" t="s">
        <v>316</v>
      </c>
      <c r="C110" t="s">
        <v>1751</v>
      </c>
      <c r="D110" t="s">
        <v>3186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204</v>
      </c>
      <c r="K110">
        <v>48165124.814670198</v>
      </c>
      <c r="L110">
        <v>1</v>
      </c>
      <c r="M110" t="s">
        <v>4536</v>
      </c>
      <c r="O110" t="s">
        <v>207</v>
      </c>
      <c r="Q110" t="s">
        <v>207</v>
      </c>
      <c r="R110" t="s">
        <v>207</v>
      </c>
      <c r="S110" t="s">
        <v>207</v>
      </c>
      <c r="T110" t="s">
        <v>207</v>
      </c>
      <c r="U110" t="s">
        <v>207</v>
      </c>
      <c r="V110" t="s">
        <v>207</v>
      </c>
      <c r="W110" t="s">
        <v>207</v>
      </c>
      <c r="X110" t="s">
        <v>207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209</v>
      </c>
      <c r="AZ110" t="s">
        <v>4571</v>
      </c>
      <c r="BA110">
        <v>25734702578.641201</v>
      </c>
      <c r="BB110" t="s">
        <v>4572</v>
      </c>
      <c r="BC110" t="s">
        <v>4577</v>
      </c>
    </row>
    <row r="111" spans="1:55" x14ac:dyDescent="0.25">
      <c r="A111">
        <v>721</v>
      </c>
      <c r="B111" t="s">
        <v>317</v>
      </c>
      <c r="C111" t="s">
        <v>1752</v>
      </c>
      <c r="D111" t="s">
        <v>3187</v>
      </c>
      <c r="E111" t="s">
        <v>93</v>
      </c>
      <c r="F111">
        <v>759482240</v>
      </c>
      <c r="G111">
        <v>22.575389999999999</v>
      </c>
      <c r="H111" t="s">
        <v>101</v>
      </c>
      <c r="I111">
        <v>17145607766.073601</v>
      </c>
      <c r="J111" t="s">
        <v>205</v>
      </c>
      <c r="K111">
        <v>91037922.172476396</v>
      </c>
      <c r="L111">
        <v>0.95</v>
      </c>
      <c r="M111" t="s">
        <v>4536</v>
      </c>
      <c r="O111" t="s">
        <v>207</v>
      </c>
      <c r="Q111" t="s">
        <v>207</v>
      </c>
      <c r="R111" t="s">
        <v>207</v>
      </c>
      <c r="S111" t="s">
        <v>207</v>
      </c>
      <c r="T111" t="s">
        <v>207</v>
      </c>
      <c r="U111" t="s">
        <v>207</v>
      </c>
      <c r="V111" t="s">
        <v>207</v>
      </c>
      <c r="W111" t="s">
        <v>207</v>
      </c>
      <c r="X111" t="s">
        <v>207</v>
      </c>
      <c r="AG111" t="s">
        <v>4547</v>
      </c>
      <c r="AI111" t="s">
        <v>4565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210</v>
      </c>
      <c r="BA111">
        <v>16288327377.76992</v>
      </c>
      <c r="BB111" t="s">
        <v>4572</v>
      </c>
      <c r="BC111" t="s">
        <v>4597</v>
      </c>
    </row>
    <row r="112" spans="1:55" x14ac:dyDescent="0.25">
      <c r="A112">
        <v>489</v>
      </c>
      <c r="B112" t="s">
        <v>318</v>
      </c>
      <c r="C112" t="s">
        <v>1753</v>
      </c>
      <c r="D112" t="s">
        <v>3188</v>
      </c>
      <c r="E112" t="s">
        <v>96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203</v>
      </c>
      <c r="K112">
        <v>78679459.003174603</v>
      </c>
      <c r="L112">
        <v>0.95000000000000007</v>
      </c>
      <c r="M112" t="s">
        <v>4536</v>
      </c>
      <c r="O112" t="s">
        <v>207</v>
      </c>
      <c r="Q112" t="s">
        <v>207</v>
      </c>
      <c r="R112" t="s">
        <v>207</v>
      </c>
      <c r="S112" t="s">
        <v>207</v>
      </c>
      <c r="T112" t="s">
        <v>207</v>
      </c>
      <c r="U112" t="s">
        <v>207</v>
      </c>
      <c r="V112" t="s">
        <v>207</v>
      </c>
      <c r="W112" t="s">
        <v>207</v>
      </c>
      <c r="X112" t="s">
        <v>207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209</v>
      </c>
      <c r="BA112">
        <v>26702036317.880001</v>
      </c>
      <c r="BB112" t="s">
        <v>4572</v>
      </c>
      <c r="BC112" t="s">
        <v>4536</v>
      </c>
    </row>
    <row r="113" spans="1:55" x14ac:dyDescent="0.25">
      <c r="A113">
        <v>26</v>
      </c>
      <c r="B113" t="s">
        <v>319</v>
      </c>
      <c r="C113" t="s">
        <v>1754</v>
      </c>
      <c r="D113" t="s">
        <v>3189</v>
      </c>
      <c r="E113" t="s">
        <v>96</v>
      </c>
      <c r="F113">
        <v>393830692</v>
      </c>
      <c r="G113">
        <v>710.1</v>
      </c>
      <c r="H113" t="s">
        <v>99</v>
      </c>
      <c r="I113">
        <v>279659174389.20001</v>
      </c>
      <c r="J113" t="s">
        <v>203</v>
      </c>
      <c r="K113">
        <v>522122564.220635</v>
      </c>
      <c r="L113">
        <v>1</v>
      </c>
      <c r="M113" t="s">
        <v>4536</v>
      </c>
      <c r="O113" t="s">
        <v>207</v>
      </c>
      <c r="Q113" t="s">
        <v>207</v>
      </c>
      <c r="R113" t="s">
        <v>207</v>
      </c>
      <c r="S113" t="s">
        <v>207</v>
      </c>
      <c r="T113" t="s">
        <v>207</v>
      </c>
      <c r="U113" t="s">
        <v>207</v>
      </c>
      <c r="V113" t="s">
        <v>207</v>
      </c>
      <c r="W113" t="s">
        <v>207</v>
      </c>
      <c r="X113" t="s">
        <v>207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209</v>
      </c>
      <c r="BA113">
        <v>279659174389.20001</v>
      </c>
      <c r="BB113" t="s">
        <v>4572</v>
      </c>
      <c r="BC113" t="s">
        <v>4536</v>
      </c>
    </row>
    <row r="114" spans="1:55" x14ac:dyDescent="0.25">
      <c r="A114">
        <v>1327</v>
      </c>
      <c r="B114" t="s">
        <v>320</v>
      </c>
      <c r="C114" t="s">
        <v>1755</v>
      </c>
      <c r="D114" t="s">
        <v>3190</v>
      </c>
      <c r="E114" t="s">
        <v>4518</v>
      </c>
      <c r="F114">
        <v>416458620</v>
      </c>
      <c r="G114">
        <v>9.4983199999999997</v>
      </c>
      <c r="H114" t="s">
        <v>4529</v>
      </c>
      <c r="I114">
        <v>3955657239.5184002</v>
      </c>
      <c r="J114" t="s">
        <v>205</v>
      </c>
      <c r="K114">
        <v>17843171.780268099</v>
      </c>
      <c r="L114">
        <v>0.75</v>
      </c>
      <c r="M114" t="s">
        <v>4536</v>
      </c>
      <c r="O114" t="s">
        <v>207</v>
      </c>
      <c r="Q114" t="s">
        <v>207</v>
      </c>
      <c r="R114" t="s">
        <v>207</v>
      </c>
      <c r="S114" t="s">
        <v>207</v>
      </c>
      <c r="T114" t="s">
        <v>207</v>
      </c>
      <c r="U114" t="s">
        <v>207</v>
      </c>
      <c r="V114" t="s">
        <v>207</v>
      </c>
      <c r="W114" t="s">
        <v>207</v>
      </c>
      <c r="X114" t="s">
        <v>207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210</v>
      </c>
      <c r="BA114">
        <v>2966742929.6388001</v>
      </c>
      <c r="BB114" t="s">
        <v>4572</v>
      </c>
      <c r="BC114" t="s">
        <v>4536</v>
      </c>
    </row>
    <row r="115" spans="1:55" x14ac:dyDescent="0.25">
      <c r="A115">
        <v>965</v>
      </c>
      <c r="B115" t="s">
        <v>321</v>
      </c>
      <c r="C115" t="s">
        <v>1756</v>
      </c>
      <c r="D115" t="s">
        <v>3191</v>
      </c>
      <c r="E115" t="s">
        <v>96</v>
      </c>
      <c r="F115">
        <v>211326978</v>
      </c>
      <c r="G115">
        <v>48.4</v>
      </c>
      <c r="H115" t="s">
        <v>99</v>
      </c>
      <c r="I115">
        <v>10228225735.200001</v>
      </c>
      <c r="J115" t="s">
        <v>203</v>
      </c>
      <c r="K115">
        <v>18152462.072539698</v>
      </c>
      <c r="L115">
        <v>0.65</v>
      </c>
      <c r="M115" t="s">
        <v>4536</v>
      </c>
      <c r="O115" t="s">
        <v>207</v>
      </c>
      <c r="Q115" t="s">
        <v>207</v>
      </c>
      <c r="R115" t="s">
        <v>207</v>
      </c>
      <c r="S115" t="s">
        <v>207</v>
      </c>
      <c r="T115" t="s">
        <v>207</v>
      </c>
      <c r="U115" t="s">
        <v>207</v>
      </c>
      <c r="V115" t="s">
        <v>207</v>
      </c>
      <c r="W115" t="s">
        <v>207</v>
      </c>
      <c r="X115" t="s">
        <v>207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209</v>
      </c>
      <c r="BA115">
        <v>6648346727.8799992</v>
      </c>
      <c r="BB115" t="s">
        <v>4572</v>
      </c>
      <c r="BC115" t="s">
        <v>4536</v>
      </c>
    </row>
    <row r="116" spans="1:55" x14ac:dyDescent="0.25">
      <c r="A116">
        <v>456</v>
      </c>
      <c r="B116" t="s">
        <v>322</v>
      </c>
      <c r="C116" t="s">
        <v>1757</v>
      </c>
      <c r="D116" t="s">
        <v>3192</v>
      </c>
      <c r="E116" t="s">
        <v>4519</v>
      </c>
      <c r="F116">
        <v>1055050400</v>
      </c>
      <c r="G116">
        <v>29.5566</v>
      </c>
      <c r="H116" t="s">
        <v>4530</v>
      </c>
      <c r="I116">
        <v>31183702652.639999</v>
      </c>
      <c r="J116" t="s">
        <v>204</v>
      </c>
      <c r="K116">
        <v>42342444.337286301</v>
      </c>
      <c r="L116">
        <v>0.95</v>
      </c>
      <c r="O116" t="s">
        <v>207</v>
      </c>
      <c r="Q116" t="s">
        <v>207</v>
      </c>
      <c r="R116" t="s">
        <v>207</v>
      </c>
      <c r="S116" t="s">
        <v>207</v>
      </c>
      <c r="T116" t="s">
        <v>207</v>
      </c>
      <c r="U116" t="s">
        <v>207</v>
      </c>
      <c r="V116" t="s">
        <v>207</v>
      </c>
      <c r="W116" t="s">
        <v>207</v>
      </c>
      <c r="X116" t="s">
        <v>207</v>
      </c>
      <c r="AG116" t="s">
        <v>4546</v>
      </c>
      <c r="AH116" t="s">
        <v>4564</v>
      </c>
      <c r="AI116" t="s">
        <v>4565</v>
      </c>
      <c r="AJ116" t="s">
        <v>4566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209</v>
      </c>
      <c r="AZ116" t="s">
        <v>4571</v>
      </c>
      <c r="BA116">
        <v>29624517520.007999</v>
      </c>
      <c r="BB116" t="s">
        <v>4572</v>
      </c>
      <c r="BC116" t="s">
        <v>4598</v>
      </c>
    </row>
    <row r="117" spans="1:55" x14ac:dyDescent="0.25">
      <c r="A117">
        <v>962</v>
      </c>
      <c r="B117" t="s">
        <v>323</v>
      </c>
      <c r="C117" t="s">
        <v>1758</v>
      </c>
      <c r="D117" t="s">
        <v>3193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204</v>
      </c>
      <c r="K117">
        <v>20593004.536175001</v>
      </c>
      <c r="L117">
        <v>0.4</v>
      </c>
      <c r="M117" t="s">
        <v>4536</v>
      </c>
      <c r="O117" t="s">
        <v>207</v>
      </c>
      <c r="Q117" t="s">
        <v>207</v>
      </c>
      <c r="R117" t="s">
        <v>207</v>
      </c>
      <c r="S117" t="s">
        <v>207</v>
      </c>
      <c r="T117" t="s">
        <v>207</v>
      </c>
      <c r="U117" t="s">
        <v>207</v>
      </c>
      <c r="V117" t="s">
        <v>207</v>
      </c>
      <c r="W117" t="s">
        <v>207</v>
      </c>
      <c r="X117" t="s">
        <v>207</v>
      </c>
      <c r="AG117" t="s">
        <v>4546</v>
      </c>
      <c r="AH117" t="s">
        <v>4563</v>
      </c>
      <c r="AI117" t="s">
        <v>4565</v>
      </c>
      <c r="AJ117" t="s">
        <v>4566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209</v>
      </c>
      <c r="BA117">
        <v>6727869438.2800007</v>
      </c>
      <c r="BB117" t="s">
        <v>4572</v>
      </c>
      <c r="BC117" t="s">
        <v>4578</v>
      </c>
    </row>
    <row r="118" spans="1:55" x14ac:dyDescent="0.25">
      <c r="A118">
        <v>699</v>
      </c>
      <c r="B118" t="s">
        <v>324</v>
      </c>
      <c r="C118" t="s">
        <v>1759</v>
      </c>
      <c r="D118" t="s">
        <v>3194</v>
      </c>
      <c r="E118" t="s">
        <v>93</v>
      </c>
      <c r="F118">
        <v>1809663100</v>
      </c>
      <c r="G118">
        <v>9.3723030000000005</v>
      </c>
      <c r="H118" t="s">
        <v>101</v>
      </c>
      <c r="I118">
        <v>16960710901.119301</v>
      </c>
      <c r="J118" t="s">
        <v>205</v>
      </c>
      <c r="K118">
        <v>54749190.830784403</v>
      </c>
      <c r="L118">
        <v>1</v>
      </c>
      <c r="M118" t="s">
        <v>4536</v>
      </c>
      <c r="O118" t="s">
        <v>207</v>
      </c>
      <c r="Q118" t="s">
        <v>207</v>
      </c>
      <c r="R118" t="s">
        <v>207</v>
      </c>
      <c r="S118" t="s">
        <v>207</v>
      </c>
      <c r="T118" t="s">
        <v>207</v>
      </c>
      <c r="U118" t="s">
        <v>207</v>
      </c>
      <c r="V118" t="s">
        <v>207</v>
      </c>
      <c r="W118" t="s">
        <v>207</v>
      </c>
      <c r="X118" t="s">
        <v>207</v>
      </c>
      <c r="AG118" t="s">
        <v>4546</v>
      </c>
      <c r="AH118" t="s">
        <v>4562</v>
      </c>
      <c r="AI118" t="s">
        <v>4565</v>
      </c>
      <c r="AJ118" t="s">
        <v>4566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210</v>
      </c>
      <c r="BA118">
        <v>16960710901.119301</v>
      </c>
      <c r="BB118" t="s">
        <v>4572</v>
      </c>
      <c r="BC118" t="s">
        <v>4578</v>
      </c>
    </row>
    <row r="119" spans="1:55" x14ac:dyDescent="0.25">
      <c r="A119">
        <v>38</v>
      </c>
      <c r="B119" t="s">
        <v>325</v>
      </c>
      <c r="C119" t="s">
        <v>1760</v>
      </c>
      <c r="D119" t="s">
        <v>3195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204</v>
      </c>
      <c r="K119">
        <v>175769656.35404101</v>
      </c>
      <c r="L119">
        <v>1</v>
      </c>
      <c r="O119" t="s">
        <v>207</v>
      </c>
      <c r="Q119" t="s">
        <v>207</v>
      </c>
      <c r="R119" t="s">
        <v>207</v>
      </c>
      <c r="S119" t="s">
        <v>207</v>
      </c>
      <c r="T119" t="s">
        <v>207</v>
      </c>
      <c r="U119" t="s">
        <v>207</v>
      </c>
      <c r="V119" t="s">
        <v>207</v>
      </c>
      <c r="W119" t="s">
        <v>207</v>
      </c>
      <c r="X119" t="s">
        <v>207</v>
      </c>
      <c r="AG119" t="s">
        <v>4546</v>
      </c>
      <c r="AH119" t="s">
        <v>4562</v>
      </c>
      <c r="AI119" t="s">
        <v>4565</v>
      </c>
      <c r="AJ119" t="s">
        <v>4566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209</v>
      </c>
      <c r="BA119">
        <v>219474069849.72</v>
      </c>
      <c r="BB119" t="s">
        <v>4572</v>
      </c>
      <c r="BC119" t="s">
        <v>4581</v>
      </c>
    </row>
    <row r="120" spans="1:55" x14ac:dyDescent="0.25">
      <c r="A120">
        <v>908</v>
      </c>
      <c r="B120" t="s">
        <v>326</v>
      </c>
      <c r="C120" t="s">
        <v>1761</v>
      </c>
      <c r="D120" t="s">
        <v>3196</v>
      </c>
      <c r="E120" t="s">
        <v>94</v>
      </c>
      <c r="F120">
        <v>193887880</v>
      </c>
      <c r="G120">
        <v>40.262189999999997</v>
      </c>
      <c r="H120" t="s">
        <v>102</v>
      </c>
      <c r="I120">
        <v>7806350663.2571993</v>
      </c>
      <c r="J120" t="s">
        <v>205</v>
      </c>
      <c r="K120">
        <v>12957088.455305399</v>
      </c>
      <c r="L120">
        <v>1</v>
      </c>
      <c r="M120" t="s">
        <v>4536</v>
      </c>
      <c r="O120" t="s">
        <v>207</v>
      </c>
      <c r="Q120" t="s">
        <v>207</v>
      </c>
      <c r="R120" t="s">
        <v>207</v>
      </c>
      <c r="S120" t="s">
        <v>207</v>
      </c>
      <c r="T120" t="s">
        <v>207</v>
      </c>
      <c r="U120" t="s">
        <v>207</v>
      </c>
      <c r="V120" t="s">
        <v>207</v>
      </c>
      <c r="W120" t="s">
        <v>207</v>
      </c>
      <c r="X120" t="s">
        <v>207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210</v>
      </c>
      <c r="BA120">
        <v>7806350663.2571993</v>
      </c>
      <c r="BB120" t="s">
        <v>4572</v>
      </c>
      <c r="BC120" t="s">
        <v>4536</v>
      </c>
    </row>
    <row r="121" spans="1:55" x14ac:dyDescent="0.25">
      <c r="A121">
        <v>55</v>
      </c>
      <c r="B121" t="s">
        <v>327</v>
      </c>
      <c r="C121" t="s">
        <v>1762</v>
      </c>
      <c r="D121" t="s">
        <v>3197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202</v>
      </c>
      <c r="K121">
        <v>850572474.48704803</v>
      </c>
      <c r="L121">
        <v>1</v>
      </c>
      <c r="M121" t="s">
        <v>4536</v>
      </c>
      <c r="O121" t="s">
        <v>207</v>
      </c>
      <c r="Q121" t="s">
        <v>207</v>
      </c>
      <c r="R121" t="s">
        <v>207</v>
      </c>
      <c r="S121" t="s">
        <v>207</v>
      </c>
      <c r="T121" t="s">
        <v>207</v>
      </c>
      <c r="U121" t="s">
        <v>207</v>
      </c>
      <c r="V121" t="s">
        <v>207</v>
      </c>
      <c r="W121" t="s">
        <v>207</v>
      </c>
      <c r="X121" t="s">
        <v>207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208</v>
      </c>
      <c r="BA121">
        <v>182767306454.5</v>
      </c>
      <c r="BB121" t="s">
        <v>4572</v>
      </c>
      <c r="BC121" t="s">
        <v>4536</v>
      </c>
    </row>
    <row r="122" spans="1:55" x14ac:dyDescent="0.25">
      <c r="A122">
        <v>1286</v>
      </c>
      <c r="B122" t="s">
        <v>328</v>
      </c>
      <c r="C122" t="s">
        <v>1763</v>
      </c>
      <c r="D122" t="s">
        <v>3198</v>
      </c>
      <c r="E122" t="s">
        <v>94</v>
      </c>
      <c r="F122">
        <v>1450833700</v>
      </c>
      <c r="G122">
        <v>3.0975609999999998</v>
      </c>
      <c r="H122" t="s">
        <v>102</v>
      </c>
      <c r="I122">
        <v>4494045886.6056995</v>
      </c>
      <c r="J122" t="s">
        <v>205</v>
      </c>
      <c r="K122">
        <v>5893201.0554567799</v>
      </c>
      <c r="L122">
        <v>0.7</v>
      </c>
      <c r="M122" t="s">
        <v>4536</v>
      </c>
      <c r="N122" t="s">
        <v>4537</v>
      </c>
      <c r="O122" t="s">
        <v>207</v>
      </c>
      <c r="Q122" t="s">
        <v>207</v>
      </c>
      <c r="R122" t="s">
        <v>207</v>
      </c>
      <c r="S122" t="s">
        <v>207</v>
      </c>
      <c r="T122" t="s">
        <v>207</v>
      </c>
      <c r="U122" t="s">
        <v>207</v>
      </c>
      <c r="V122" t="s">
        <v>207</v>
      </c>
      <c r="W122" t="s">
        <v>207</v>
      </c>
      <c r="X122" t="s">
        <v>207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210</v>
      </c>
      <c r="BA122">
        <v>3145832120.6239901</v>
      </c>
      <c r="BB122" t="s">
        <v>4572</v>
      </c>
      <c r="BC122" t="s">
        <v>4575</v>
      </c>
    </row>
    <row r="123" spans="1:55" x14ac:dyDescent="0.25">
      <c r="A123">
        <v>331</v>
      </c>
      <c r="B123" t="s">
        <v>329</v>
      </c>
      <c r="C123" t="s">
        <v>1764</v>
      </c>
      <c r="D123" t="s">
        <v>3199</v>
      </c>
      <c r="E123" t="s">
        <v>4519</v>
      </c>
      <c r="F123">
        <v>3357576400</v>
      </c>
      <c r="G123">
        <v>16.707080000000001</v>
      </c>
      <c r="H123" t="s">
        <v>4530</v>
      </c>
      <c r="I123">
        <v>56095297520.912003</v>
      </c>
      <c r="J123" t="s">
        <v>204</v>
      </c>
      <c r="K123">
        <v>64764648.862512402</v>
      </c>
      <c r="L123">
        <v>0.75</v>
      </c>
      <c r="O123" t="s">
        <v>207</v>
      </c>
      <c r="Q123" t="s">
        <v>207</v>
      </c>
      <c r="R123" t="s">
        <v>207</v>
      </c>
      <c r="S123" t="s">
        <v>207</v>
      </c>
      <c r="T123" t="s">
        <v>207</v>
      </c>
      <c r="U123" t="s">
        <v>207</v>
      </c>
      <c r="V123" t="s">
        <v>207</v>
      </c>
      <c r="W123" t="s">
        <v>207</v>
      </c>
      <c r="X123" t="s">
        <v>207</v>
      </c>
      <c r="AK123">
        <v>0</v>
      </c>
      <c r="AL123">
        <v>0.05</v>
      </c>
      <c r="AM123">
        <v>0</v>
      </c>
      <c r="AO123" t="s">
        <v>4568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209</v>
      </c>
      <c r="BA123">
        <v>42071473140.684013</v>
      </c>
      <c r="BB123" t="s">
        <v>4572</v>
      </c>
      <c r="BC123" t="s">
        <v>4568</v>
      </c>
    </row>
    <row r="124" spans="1:55" x14ac:dyDescent="0.25">
      <c r="A124">
        <v>307</v>
      </c>
      <c r="B124" t="s">
        <v>330</v>
      </c>
      <c r="C124" t="s">
        <v>1765</v>
      </c>
      <c r="D124" t="s">
        <v>3200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202</v>
      </c>
      <c r="K124">
        <v>519201184.83697599</v>
      </c>
      <c r="L124">
        <v>1</v>
      </c>
      <c r="M124" t="s">
        <v>4536</v>
      </c>
      <c r="O124" t="s">
        <v>207</v>
      </c>
      <c r="Q124" t="s">
        <v>207</v>
      </c>
      <c r="R124" t="s">
        <v>207</v>
      </c>
      <c r="S124" t="s">
        <v>207</v>
      </c>
      <c r="T124" t="s">
        <v>207</v>
      </c>
      <c r="U124" t="s">
        <v>207</v>
      </c>
      <c r="V124" t="s">
        <v>207</v>
      </c>
      <c r="W124" t="s">
        <v>207</v>
      </c>
      <c r="X124" t="s">
        <v>207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208</v>
      </c>
      <c r="BA124">
        <v>44859065970.987999</v>
      </c>
      <c r="BB124" t="s">
        <v>4572</v>
      </c>
      <c r="BC124" t="s">
        <v>4536</v>
      </c>
    </row>
    <row r="125" spans="1:55" x14ac:dyDescent="0.25">
      <c r="A125">
        <v>558</v>
      </c>
      <c r="B125" t="s">
        <v>331</v>
      </c>
      <c r="C125" t="s">
        <v>1766</v>
      </c>
      <c r="D125" t="s">
        <v>3201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202</v>
      </c>
      <c r="K125">
        <v>117734889.008798</v>
      </c>
      <c r="L125">
        <v>1</v>
      </c>
      <c r="M125" t="s">
        <v>4536</v>
      </c>
      <c r="O125" t="s">
        <v>207</v>
      </c>
      <c r="Q125" t="s">
        <v>207</v>
      </c>
      <c r="R125" t="s">
        <v>207</v>
      </c>
      <c r="S125" t="s">
        <v>207</v>
      </c>
      <c r="T125" t="s">
        <v>207</v>
      </c>
      <c r="U125" t="s">
        <v>207</v>
      </c>
      <c r="V125" t="s">
        <v>207</v>
      </c>
      <c r="W125" t="s">
        <v>207</v>
      </c>
      <c r="X125" t="s">
        <v>207</v>
      </c>
      <c r="AK125">
        <v>0</v>
      </c>
      <c r="AL125">
        <v>1</v>
      </c>
      <c r="AM125">
        <v>0</v>
      </c>
      <c r="AO125" t="s">
        <v>4568</v>
      </c>
      <c r="AQ125">
        <v>0</v>
      </c>
      <c r="AR125">
        <v>0</v>
      </c>
      <c r="AW125">
        <v>6510</v>
      </c>
      <c r="AX125">
        <v>1.474</v>
      </c>
      <c r="AY125" t="s">
        <v>208</v>
      </c>
      <c r="AZ125" t="s">
        <v>4571</v>
      </c>
      <c r="BA125">
        <v>22757877894.48</v>
      </c>
      <c r="BB125" t="s">
        <v>4572</v>
      </c>
      <c r="BC125" t="s">
        <v>4594</v>
      </c>
    </row>
    <row r="126" spans="1:55" x14ac:dyDescent="0.25">
      <c r="A126">
        <v>923</v>
      </c>
      <c r="B126" t="s">
        <v>332</v>
      </c>
      <c r="C126" t="s">
        <v>1767</v>
      </c>
      <c r="D126" t="s">
        <v>3202</v>
      </c>
      <c r="E126" t="s">
        <v>4525</v>
      </c>
      <c r="F126">
        <v>1681824800</v>
      </c>
      <c r="G126">
        <v>4.4551939999999997</v>
      </c>
      <c r="H126" t="s">
        <v>4533</v>
      </c>
      <c r="I126">
        <v>7492855758.011199</v>
      </c>
      <c r="J126" t="s">
        <v>205</v>
      </c>
      <c r="K126">
        <v>36344549.758144803</v>
      </c>
      <c r="L126">
        <v>1</v>
      </c>
      <c r="M126" t="s">
        <v>4536</v>
      </c>
      <c r="O126" t="s">
        <v>207</v>
      </c>
      <c r="Q126" t="s">
        <v>207</v>
      </c>
      <c r="R126" t="s">
        <v>207</v>
      </c>
      <c r="S126" t="s">
        <v>207</v>
      </c>
      <c r="T126" t="s">
        <v>207</v>
      </c>
      <c r="U126" t="s">
        <v>207</v>
      </c>
      <c r="V126" t="s">
        <v>207</v>
      </c>
      <c r="W126" t="s">
        <v>207</v>
      </c>
      <c r="X126" t="s">
        <v>207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210</v>
      </c>
      <c r="BA126">
        <v>7492855758.011199</v>
      </c>
      <c r="BB126" t="s">
        <v>4572</v>
      </c>
      <c r="BC126" t="s">
        <v>4536</v>
      </c>
    </row>
    <row r="127" spans="1:55" x14ac:dyDescent="0.25">
      <c r="A127">
        <v>1249</v>
      </c>
      <c r="B127" t="s">
        <v>333</v>
      </c>
      <c r="C127" t="s">
        <v>1768</v>
      </c>
      <c r="D127" t="s">
        <v>3203</v>
      </c>
      <c r="E127" t="s">
        <v>94</v>
      </c>
      <c r="F127">
        <v>1773233800</v>
      </c>
      <c r="G127">
        <v>1.9939020000000001</v>
      </c>
      <c r="H127" t="s">
        <v>102</v>
      </c>
      <c r="I127">
        <v>3535654420.2876</v>
      </c>
      <c r="J127" t="s">
        <v>205</v>
      </c>
      <c r="K127">
        <v>12281884.1420433</v>
      </c>
      <c r="L127">
        <v>0.95</v>
      </c>
      <c r="M127" t="s">
        <v>4536</v>
      </c>
      <c r="O127" t="s">
        <v>207</v>
      </c>
      <c r="Q127" t="s">
        <v>207</v>
      </c>
      <c r="R127" t="s">
        <v>207</v>
      </c>
      <c r="S127" t="s">
        <v>207</v>
      </c>
      <c r="T127" t="s">
        <v>207</v>
      </c>
      <c r="U127" t="s">
        <v>207</v>
      </c>
      <c r="V127" t="s">
        <v>207</v>
      </c>
      <c r="W127" t="s">
        <v>207</v>
      </c>
      <c r="X127" t="s">
        <v>207</v>
      </c>
      <c r="AK127">
        <v>0.70199999999999996</v>
      </c>
      <c r="AL127">
        <v>0.70199999999999996</v>
      </c>
      <c r="AM127">
        <v>0</v>
      </c>
      <c r="AN127" t="s">
        <v>4567</v>
      </c>
      <c r="AO127" t="s">
        <v>4568</v>
      </c>
      <c r="AQ127">
        <v>0</v>
      </c>
      <c r="AR127">
        <v>0</v>
      </c>
      <c r="AW127">
        <v>5020</v>
      </c>
      <c r="AX127">
        <v>2.4289999999999998</v>
      </c>
      <c r="AY127" t="s">
        <v>210</v>
      </c>
      <c r="BA127">
        <v>3358871699.2732201</v>
      </c>
      <c r="BB127" t="s">
        <v>4572</v>
      </c>
      <c r="BC127" t="s">
        <v>4599</v>
      </c>
    </row>
    <row r="128" spans="1:55" x14ac:dyDescent="0.25">
      <c r="A128">
        <v>1471</v>
      </c>
      <c r="B128" t="s">
        <v>334</v>
      </c>
      <c r="C128" t="s">
        <v>1769</v>
      </c>
      <c r="D128" t="s">
        <v>3204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4535</v>
      </c>
      <c r="K128">
        <v>12362690.942213099</v>
      </c>
      <c r="L128">
        <v>0.55000000000000004</v>
      </c>
      <c r="M128" t="s">
        <v>4536</v>
      </c>
      <c r="O128" t="s">
        <v>207</v>
      </c>
      <c r="Q128" t="s">
        <v>207</v>
      </c>
      <c r="R128" t="s">
        <v>207</v>
      </c>
      <c r="S128" t="s">
        <v>207</v>
      </c>
      <c r="T128" t="s">
        <v>207</v>
      </c>
      <c r="U128" t="s">
        <v>207</v>
      </c>
      <c r="V128" t="s">
        <v>207</v>
      </c>
      <c r="W128" t="s">
        <v>207</v>
      </c>
      <c r="X128" t="s">
        <v>207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209</v>
      </c>
      <c r="BA128">
        <v>2067110077.5599999</v>
      </c>
      <c r="BB128" t="s">
        <v>4572</v>
      </c>
      <c r="BC128" t="s">
        <v>4536</v>
      </c>
    </row>
    <row r="129" spans="1:55" x14ac:dyDescent="0.25">
      <c r="A129">
        <v>887</v>
      </c>
      <c r="B129" t="s">
        <v>335</v>
      </c>
      <c r="C129" t="s">
        <v>1770</v>
      </c>
      <c r="D129" t="s">
        <v>3205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204</v>
      </c>
      <c r="K129">
        <v>16195575.448846901</v>
      </c>
      <c r="L129">
        <v>1</v>
      </c>
      <c r="M129" t="s">
        <v>4536</v>
      </c>
      <c r="O129" t="s">
        <v>207</v>
      </c>
      <c r="Q129" t="s">
        <v>207</v>
      </c>
      <c r="R129" t="s">
        <v>207</v>
      </c>
      <c r="S129" t="s">
        <v>207</v>
      </c>
      <c r="T129" t="s">
        <v>207</v>
      </c>
      <c r="U129" t="s">
        <v>207</v>
      </c>
      <c r="V129" t="s">
        <v>207</v>
      </c>
      <c r="W129" t="s">
        <v>207</v>
      </c>
      <c r="X129" t="s">
        <v>207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209</v>
      </c>
      <c r="BA129">
        <v>8239697894.3828001</v>
      </c>
      <c r="BB129" t="s">
        <v>4572</v>
      </c>
      <c r="BC129" t="s">
        <v>4536</v>
      </c>
    </row>
    <row r="130" spans="1:55" x14ac:dyDescent="0.25">
      <c r="A130">
        <v>1399</v>
      </c>
      <c r="B130" t="s">
        <v>336</v>
      </c>
      <c r="C130" t="s">
        <v>1771</v>
      </c>
      <c r="D130" t="s">
        <v>3206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4535</v>
      </c>
      <c r="K130">
        <v>6794826.6826229496</v>
      </c>
      <c r="L130">
        <v>0.6</v>
      </c>
      <c r="M130" t="s">
        <v>4536</v>
      </c>
      <c r="N130" t="s">
        <v>4537</v>
      </c>
      <c r="O130" t="s">
        <v>207</v>
      </c>
      <c r="Q130" t="s">
        <v>207</v>
      </c>
      <c r="R130" t="s">
        <v>207</v>
      </c>
      <c r="S130" t="s">
        <v>207</v>
      </c>
      <c r="T130" t="s">
        <v>207</v>
      </c>
      <c r="U130" t="s">
        <v>207</v>
      </c>
      <c r="V130" t="s">
        <v>207</v>
      </c>
      <c r="W130" t="s">
        <v>207</v>
      </c>
      <c r="X130" t="s">
        <v>207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209</v>
      </c>
      <c r="BA130">
        <v>2516096352</v>
      </c>
      <c r="BB130" t="s">
        <v>4572</v>
      </c>
      <c r="BC130" t="s">
        <v>4575</v>
      </c>
    </row>
    <row r="131" spans="1:55" x14ac:dyDescent="0.25">
      <c r="A131">
        <v>227</v>
      </c>
      <c r="B131" t="s">
        <v>337</v>
      </c>
      <c r="C131" t="s">
        <v>1772</v>
      </c>
      <c r="D131" t="s">
        <v>3207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202</v>
      </c>
      <c r="K131">
        <v>427183692.23649198</v>
      </c>
      <c r="L131">
        <v>1</v>
      </c>
      <c r="M131" t="s">
        <v>4536</v>
      </c>
      <c r="O131" t="s">
        <v>207</v>
      </c>
      <c r="Q131" t="s">
        <v>207</v>
      </c>
      <c r="R131" t="s">
        <v>207</v>
      </c>
      <c r="S131" t="s">
        <v>207</v>
      </c>
      <c r="T131" t="s">
        <v>207</v>
      </c>
      <c r="U131" t="s">
        <v>207</v>
      </c>
      <c r="V131" t="s">
        <v>207</v>
      </c>
      <c r="W131" t="s">
        <v>207</v>
      </c>
      <c r="X131" t="s">
        <v>207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208</v>
      </c>
      <c r="BA131">
        <v>58608311999.999992</v>
      </c>
      <c r="BB131" t="s">
        <v>4572</v>
      </c>
      <c r="BC131" t="s">
        <v>4536</v>
      </c>
    </row>
    <row r="132" spans="1:55" x14ac:dyDescent="0.25">
      <c r="A132">
        <v>101</v>
      </c>
      <c r="B132" t="s">
        <v>338</v>
      </c>
      <c r="C132" t="s">
        <v>1773</v>
      </c>
      <c r="D132" t="s">
        <v>3208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202</v>
      </c>
      <c r="K132">
        <v>491008173.31559098</v>
      </c>
      <c r="L132">
        <v>1</v>
      </c>
      <c r="M132" t="s">
        <v>4536</v>
      </c>
      <c r="O132" t="s">
        <v>207</v>
      </c>
      <c r="Q132" t="s">
        <v>207</v>
      </c>
      <c r="R132" t="s">
        <v>207</v>
      </c>
      <c r="S132" t="s">
        <v>207</v>
      </c>
      <c r="T132" t="s">
        <v>207</v>
      </c>
      <c r="U132" t="s">
        <v>207</v>
      </c>
      <c r="V132" t="s">
        <v>207</v>
      </c>
      <c r="W132" t="s">
        <v>207</v>
      </c>
      <c r="X132" t="s">
        <v>207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208</v>
      </c>
      <c r="BA132">
        <v>120936591513.504</v>
      </c>
      <c r="BB132" t="s">
        <v>4572</v>
      </c>
      <c r="BC132" t="s">
        <v>4536</v>
      </c>
    </row>
    <row r="133" spans="1:55" x14ac:dyDescent="0.25">
      <c r="A133">
        <v>248</v>
      </c>
      <c r="B133" t="s">
        <v>339</v>
      </c>
      <c r="C133" t="s">
        <v>1774</v>
      </c>
      <c r="D133" t="s">
        <v>3209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202</v>
      </c>
      <c r="K133">
        <v>380317763.71547103</v>
      </c>
      <c r="L133">
        <v>1</v>
      </c>
      <c r="M133" t="s">
        <v>4536</v>
      </c>
      <c r="O133" t="s">
        <v>207</v>
      </c>
      <c r="Q133" t="s">
        <v>207</v>
      </c>
      <c r="R133" t="s">
        <v>207</v>
      </c>
      <c r="S133" t="s">
        <v>207</v>
      </c>
      <c r="T133" t="s">
        <v>207</v>
      </c>
      <c r="U133" t="s">
        <v>207</v>
      </c>
      <c r="V133" t="s">
        <v>207</v>
      </c>
      <c r="W133" t="s">
        <v>207</v>
      </c>
      <c r="X133" t="s">
        <v>207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208</v>
      </c>
      <c r="BA133">
        <v>54078211444.079987</v>
      </c>
      <c r="BB133" t="s">
        <v>4572</v>
      </c>
      <c r="BC133" t="s">
        <v>4536</v>
      </c>
    </row>
    <row r="134" spans="1:55" x14ac:dyDescent="0.25">
      <c r="A134">
        <v>454</v>
      </c>
      <c r="B134" t="s">
        <v>340</v>
      </c>
      <c r="C134" t="s">
        <v>1775</v>
      </c>
      <c r="D134" t="s">
        <v>3210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202</v>
      </c>
      <c r="K134">
        <v>132573436.35708199</v>
      </c>
      <c r="L134">
        <v>1</v>
      </c>
      <c r="M134" t="s">
        <v>4536</v>
      </c>
      <c r="O134" t="s">
        <v>207</v>
      </c>
      <c r="Q134" t="s">
        <v>207</v>
      </c>
      <c r="R134" t="s">
        <v>207</v>
      </c>
      <c r="S134" t="s">
        <v>207</v>
      </c>
      <c r="T134" t="s">
        <v>207</v>
      </c>
      <c r="U134" t="s">
        <v>207</v>
      </c>
      <c r="V134" t="s">
        <v>207</v>
      </c>
      <c r="W134" t="s">
        <v>207</v>
      </c>
      <c r="X134" t="s">
        <v>207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208</v>
      </c>
      <c r="BA134">
        <v>29783423406.498001</v>
      </c>
      <c r="BB134" t="s">
        <v>4572</v>
      </c>
      <c r="BC134" t="s">
        <v>4536</v>
      </c>
    </row>
    <row r="135" spans="1:55" x14ac:dyDescent="0.25">
      <c r="A135">
        <v>1221</v>
      </c>
      <c r="B135" t="s">
        <v>341</v>
      </c>
      <c r="C135" t="s">
        <v>1776</v>
      </c>
      <c r="D135" t="s">
        <v>3211</v>
      </c>
      <c r="E135" t="s">
        <v>4519</v>
      </c>
      <c r="F135">
        <v>157236950</v>
      </c>
      <c r="G135">
        <v>30.078130000000002</v>
      </c>
      <c r="H135" t="s">
        <v>4530</v>
      </c>
      <c r="I135">
        <v>4729393422.9035006</v>
      </c>
      <c r="J135" t="s">
        <v>204</v>
      </c>
      <c r="K135">
        <v>8967483.0466652308</v>
      </c>
      <c r="L135">
        <v>0.75</v>
      </c>
      <c r="M135" t="s">
        <v>4536</v>
      </c>
      <c r="N135" t="s">
        <v>4537</v>
      </c>
      <c r="O135" t="s">
        <v>207</v>
      </c>
      <c r="Q135" t="s">
        <v>207</v>
      </c>
      <c r="R135" t="s">
        <v>207</v>
      </c>
      <c r="S135" t="s">
        <v>207</v>
      </c>
      <c r="T135" t="s">
        <v>207</v>
      </c>
      <c r="U135" t="s">
        <v>207</v>
      </c>
      <c r="V135" t="s">
        <v>207</v>
      </c>
      <c r="W135" t="s">
        <v>207</v>
      </c>
      <c r="X135" t="s">
        <v>207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209</v>
      </c>
      <c r="BA135">
        <v>3547045067.1776261</v>
      </c>
      <c r="BB135" t="s">
        <v>4572</v>
      </c>
      <c r="BC135" t="s">
        <v>4575</v>
      </c>
    </row>
    <row r="136" spans="1:55" x14ac:dyDescent="0.25">
      <c r="A136">
        <v>727</v>
      </c>
      <c r="B136" t="s">
        <v>342</v>
      </c>
      <c r="C136" t="s">
        <v>1777</v>
      </c>
      <c r="D136" t="s">
        <v>3212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204</v>
      </c>
      <c r="K136">
        <v>29758651.104662601</v>
      </c>
      <c r="L136">
        <v>1</v>
      </c>
      <c r="M136" t="s">
        <v>4536</v>
      </c>
      <c r="O136" t="s">
        <v>207</v>
      </c>
      <c r="Q136" t="s">
        <v>207</v>
      </c>
      <c r="R136" t="s">
        <v>207</v>
      </c>
      <c r="S136" t="s">
        <v>207</v>
      </c>
      <c r="T136" t="s">
        <v>207</v>
      </c>
      <c r="U136" t="s">
        <v>207</v>
      </c>
      <c r="V136" t="s">
        <v>207</v>
      </c>
      <c r="W136" t="s">
        <v>207</v>
      </c>
      <c r="X136" t="s">
        <v>207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209</v>
      </c>
      <c r="BA136">
        <v>16140310954.475401</v>
      </c>
      <c r="BB136" t="s">
        <v>4572</v>
      </c>
      <c r="BC136" t="s">
        <v>4536</v>
      </c>
    </row>
    <row r="137" spans="1:55" x14ac:dyDescent="0.25">
      <c r="A137">
        <v>1152</v>
      </c>
      <c r="B137" t="s">
        <v>343</v>
      </c>
      <c r="C137" t="s">
        <v>1778</v>
      </c>
      <c r="D137" t="s">
        <v>3213</v>
      </c>
      <c r="E137" t="s">
        <v>95</v>
      </c>
      <c r="F137">
        <v>146509670</v>
      </c>
      <c r="G137">
        <v>43.275799999999997</v>
      </c>
      <c r="H137" t="s">
        <v>103</v>
      </c>
      <c r="I137">
        <v>6340323176.9859991</v>
      </c>
      <c r="J137" t="s">
        <v>204</v>
      </c>
      <c r="K137">
        <v>12545870.2273711</v>
      </c>
      <c r="L137">
        <v>0.65</v>
      </c>
      <c r="M137" t="s">
        <v>4536</v>
      </c>
      <c r="O137" t="s">
        <v>207</v>
      </c>
      <c r="Q137" t="s">
        <v>207</v>
      </c>
      <c r="R137" t="s">
        <v>207</v>
      </c>
      <c r="S137" t="s">
        <v>207</v>
      </c>
      <c r="T137" t="s">
        <v>207</v>
      </c>
      <c r="U137" t="s">
        <v>207</v>
      </c>
      <c r="V137" t="s">
        <v>207</v>
      </c>
      <c r="W137" t="s">
        <v>207</v>
      </c>
      <c r="X137" t="s">
        <v>207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209</v>
      </c>
      <c r="BA137">
        <v>4121210065.0409002</v>
      </c>
      <c r="BB137" t="s">
        <v>4572</v>
      </c>
      <c r="BC137" t="s">
        <v>4536</v>
      </c>
    </row>
    <row r="138" spans="1:55" x14ac:dyDescent="0.25">
      <c r="A138">
        <v>375</v>
      </c>
      <c r="B138" t="s">
        <v>344</v>
      </c>
      <c r="C138" t="s">
        <v>1779</v>
      </c>
      <c r="D138" t="s">
        <v>3214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202</v>
      </c>
      <c r="K138">
        <v>530642651.08922398</v>
      </c>
      <c r="L138">
        <v>1</v>
      </c>
      <c r="M138" t="s">
        <v>4536</v>
      </c>
      <c r="O138" t="s">
        <v>207</v>
      </c>
      <c r="Q138" t="s">
        <v>207</v>
      </c>
      <c r="R138" t="s">
        <v>207</v>
      </c>
      <c r="S138" t="s">
        <v>207</v>
      </c>
      <c r="T138" t="s">
        <v>207</v>
      </c>
      <c r="U138" t="s">
        <v>207</v>
      </c>
      <c r="V138" t="s">
        <v>207</v>
      </c>
      <c r="W138" t="s">
        <v>207</v>
      </c>
      <c r="X138" t="s">
        <v>207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208</v>
      </c>
      <c r="AZ138" t="s">
        <v>4571</v>
      </c>
      <c r="BA138">
        <v>37432302840.327202</v>
      </c>
      <c r="BB138" t="s">
        <v>4572</v>
      </c>
      <c r="BC138" t="s">
        <v>4577</v>
      </c>
    </row>
    <row r="139" spans="1:55" x14ac:dyDescent="0.25">
      <c r="A139">
        <v>1218</v>
      </c>
      <c r="B139" t="s">
        <v>345</v>
      </c>
      <c r="C139" t="s">
        <v>1780</v>
      </c>
      <c r="D139" t="s">
        <v>3215</v>
      </c>
      <c r="E139" t="s">
        <v>93</v>
      </c>
      <c r="F139">
        <v>560672700</v>
      </c>
      <c r="G139">
        <v>7.4760989999999996</v>
      </c>
      <c r="H139" t="s">
        <v>101</v>
      </c>
      <c r="I139">
        <v>4191644611.7972999</v>
      </c>
      <c r="J139" t="s">
        <v>205</v>
      </c>
      <c r="K139">
        <v>8463761.6934656091</v>
      </c>
      <c r="L139">
        <v>0.85</v>
      </c>
      <c r="M139" t="s">
        <v>4536</v>
      </c>
      <c r="N139" t="s">
        <v>4537</v>
      </c>
      <c r="O139" t="s">
        <v>207</v>
      </c>
      <c r="Q139" t="s">
        <v>207</v>
      </c>
      <c r="R139" t="s">
        <v>207</v>
      </c>
      <c r="S139" t="s">
        <v>207</v>
      </c>
      <c r="T139" t="s">
        <v>207</v>
      </c>
      <c r="U139" t="s">
        <v>207</v>
      </c>
      <c r="V139" t="s">
        <v>207</v>
      </c>
      <c r="W139" t="s">
        <v>207</v>
      </c>
      <c r="X139" t="s">
        <v>207</v>
      </c>
      <c r="AK139">
        <v>0</v>
      </c>
      <c r="AL139">
        <v>0.05</v>
      </c>
      <c r="AM139">
        <v>0</v>
      </c>
      <c r="AO139" t="s">
        <v>4568</v>
      </c>
      <c r="AQ139">
        <v>0</v>
      </c>
      <c r="AR139">
        <v>0</v>
      </c>
      <c r="AW139">
        <v>5020</v>
      </c>
      <c r="AX139">
        <v>2.2090000000000001</v>
      </c>
      <c r="AY139" t="s">
        <v>210</v>
      </c>
      <c r="BA139">
        <v>3562897920.0277052</v>
      </c>
      <c r="BB139" t="s">
        <v>4572</v>
      </c>
      <c r="BC139" t="s">
        <v>4579</v>
      </c>
    </row>
    <row r="140" spans="1:55" x14ac:dyDescent="0.25">
      <c r="A140">
        <v>1270</v>
      </c>
      <c r="B140" t="s">
        <v>346</v>
      </c>
      <c r="C140" t="s">
        <v>1781</v>
      </c>
      <c r="D140" t="s">
        <v>3216</v>
      </c>
      <c r="E140" t="s">
        <v>4520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203</v>
      </c>
      <c r="K140">
        <v>5317765.4685714301</v>
      </c>
      <c r="L140">
        <v>0.65</v>
      </c>
      <c r="M140" t="s">
        <v>4536</v>
      </c>
      <c r="N140" t="s">
        <v>4537</v>
      </c>
      <c r="O140" t="s">
        <v>207</v>
      </c>
      <c r="Q140" t="s">
        <v>207</v>
      </c>
      <c r="R140" t="s">
        <v>207</v>
      </c>
      <c r="S140" t="s">
        <v>207</v>
      </c>
      <c r="T140" t="s">
        <v>207</v>
      </c>
      <c r="U140" t="s">
        <v>207</v>
      </c>
      <c r="V140" t="s">
        <v>207</v>
      </c>
      <c r="W140" t="s">
        <v>207</v>
      </c>
      <c r="X140" t="s">
        <v>207</v>
      </c>
      <c r="AK140">
        <v>0</v>
      </c>
      <c r="AL140">
        <v>0.01</v>
      </c>
      <c r="AM140">
        <v>0</v>
      </c>
      <c r="AO140" t="s">
        <v>4568</v>
      </c>
      <c r="AQ140">
        <v>0</v>
      </c>
      <c r="AR140">
        <v>0</v>
      </c>
      <c r="AW140">
        <v>5020</v>
      </c>
      <c r="AX140">
        <v>1.9630000000000001</v>
      </c>
      <c r="AY140" t="s">
        <v>209</v>
      </c>
      <c r="AZ140" t="s">
        <v>4571</v>
      </c>
      <c r="BA140">
        <v>3237572976.2870011</v>
      </c>
      <c r="BB140" t="s">
        <v>4572</v>
      </c>
      <c r="BC140" t="s">
        <v>4583</v>
      </c>
    </row>
    <row r="141" spans="1:55" x14ac:dyDescent="0.25">
      <c r="A141">
        <v>1325</v>
      </c>
      <c r="B141" t="s">
        <v>347</v>
      </c>
      <c r="C141" t="s">
        <v>1782</v>
      </c>
      <c r="D141" t="s">
        <v>3217</v>
      </c>
      <c r="E141" t="s">
        <v>4517</v>
      </c>
      <c r="F141">
        <v>143254497</v>
      </c>
      <c r="G141">
        <v>25.91</v>
      </c>
      <c r="H141" t="s">
        <v>99</v>
      </c>
      <c r="I141">
        <v>3711724017.27</v>
      </c>
      <c r="J141" t="s">
        <v>203</v>
      </c>
      <c r="K141">
        <v>17658868.7832787</v>
      </c>
      <c r="L141">
        <v>0.8</v>
      </c>
      <c r="M141" t="s">
        <v>4536</v>
      </c>
      <c r="O141" t="s">
        <v>207</v>
      </c>
      <c r="Q141" t="s">
        <v>207</v>
      </c>
      <c r="R141" t="s">
        <v>207</v>
      </c>
      <c r="S141" t="s">
        <v>207</v>
      </c>
      <c r="T141" t="s">
        <v>207</v>
      </c>
      <c r="U141" t="s">
        <v>207</v>
      </c>
      <c r="V141" t="s">
        <v>207</v>
      </c>
      <c r="W141" t="s">
        <v>207</v>
      </c>
      <c r="X141" t="s">
        <v>207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209</v>
      </c>
      <c r="AZ141" t="s">
        <v>4571</v>
      </c>
      <c r="BA141">
        <v>2969379213.816</v>
      </c>
      <c r="BB141" t="s">
        <v>4572</v>
      </c>
      <c r="BC141" t="s">
        <v>4577</v>
      </c>
    </row>
    <row r="142" spans="1:55" x14ac:dyDescent="0.25">
      <c r="A142">
        <v>1223</v>
      </c>
      <c r="B142" t="s">
        <v>348</v>
      </c>
      <c r="C142" t="s">
        <v>1783</v>
      </c>
      <c r="D142" t="s">
        <v>3218</v>
      </c>
      <c r="E142" t="s">
        <v>91</v>
      </c>
      <c r="F142">
        <v>1003783940</v>
      </c>
      <c r="G142">
        <v>3.5168149999999998</v>
      </c>
      <c r="H142" t="s">
        <v>100</v>
      </c>
      <c r="I142">
        <v>3530122416.9510999</v>
      </c>
      <c r="J142" t="s">
        <v>204</v>
      </c>
      <c r="K142">
        <v>13037440.7525615</v>
      </c>
      <c r="L142">
        <v>1</v>
      </c>
      <c r="O142" t="s">
        <v>207</v>
      </c>
      <c r="Q142" t="s">
        <v>207</v>
      </c>
      <c r="R142" t="s">
        <v>207</v>
      </c>
      <c r="S142" t="s">
        <v>207</v>
      </c>
      <c r="T142" t="s">
        <v>207</v>
      </c>
      <c r="U142" t="s">
        <v>207</v>
      </c>
      <c r="V142" t="s">
        <v>207</v>
      </c>
      <c r="W142" t="s">
        <v>207</v>
      </c>
      <c r="X142" t="s">
        <v>207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209</v>
      </c>
      <c r="BA142">
        <v>3530122416.9510999</v>
      </c>
      <c r="BB142" t="s">
        <v>211</v>
      </c>
    </row>
    <row r="143" spans="1:55" x14ac:dyDescent="0.25">
      <c r="A143">
        <v>1075</v>
      </c>
      <c r="B143" t="s">
        <v>349</v>
      </c>
      <c r="C143" t="s">
        <v>1784</v>
      </c>
      <c r="D143" t="s">
        <v>3219</v>
      </c>
      <c r="E143" t="s">
        <v>4526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203</v>
      </c>
      <c r="K143">
        <v>29346586.367082499</v>
      </c>
      <c r="L143">
        <v>0.60000000000000009</v>
      </c>
      <c r="M143" t="s">
        <v>4536</v>
      </c>
      <c r="O143" t="s">
        <v>207</v>
      </c>
      <c r="Q143" t="s">
        <v>207</v>
      </c>
      <c r="R143" t="s">
        <v>207</v>
      </c>
      <c r="S143" t="s">
        <v>207</v>
      </c>
      <c r="T143" t="s">
        <v>207</v>
      </c>
      <c r="U143" t="s">
        <v>207</v>
      </c>
      <c r="V143" t="s">
        <v>207</v>
      </c>
      <c r="W143" t="s">
        <v>207</v>
      </c>
      <c r="X143" t="s">
        <v>207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209</v>
      </c>
      <c r="AZ143" t="s">
        <v>4571</v>
      </c>
      <c r="BA143">
        <v>4985803005.3657598</v>
      </c>
      <c r="BB143" t="s">
        <v>4572</v>
      </c>
      <c r="BC143" t="s">
        <v>4577</v>
      </c>
    </row>
    <row r="144" spans="1:55" x14ac:dyDescent="0.25">
      <c r="A144">
        <v>1224</v>
      </c>
      <c r="B144" t="s">
        <v>350</v>
      </c>
      <c r="C144" t="s">
        <v>1785</v>
      </c>
      <c r="D144" t="s">
        <v>3220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204</v>
      </c>
      <c r="K144">
        <v>4235082.40176001</v>
      </c>
      <c r="L144">
        <v>0.9</v>
      </c>
      <c r="M144" t="s">
        <v>4536</v>
      </c>
      <c r="N144" t="s">
        <v>4537</v>
      </c>
      <c r="O144" t="s">
        <v>207</v>
      </c>
      <c r="Q144" t="s">
        <v>207</v>
      </c>
      <c r="R144" t="s">
        <v>207</v>
      </c>
      <c r="S144" t="s">
        <v>4538</v>
      </c>
      <c r="T144" t="s">
        <v>207</v>
      </c>
      <c r="U144" t="s">
        <v>206</v>
      </c>
      <c r="V144" t="s">
        <v>207</v>
      </c>
      <c r="W144" t="s">
        <v>207</v>
      </c>
      <c r="X144" t="s">
        <v>207</v>
      </c>
      <c r="AA144" t="s">
        <v>4541</v>
      </c>
      <c r="AC144" t="s">
        <v>4542</v>
      </c>
      <c r="AK144">
        <v>0</v>
      </c>
      <c r="AL144">
        <v>0.05</v>
      </c>
      <c r="AM144">
        <v>0</v>
      </c>
      <c r="AO144" t="s">
        <v>4568</v>
      </c>
      <c r="AQ144">
        <v>0</v>
      </c>
      <c r="AR144">
        <v>0</v>
      </c>
      <c r="AW144">
        <v>5020</v>
      </c>
      <c r="AX144">
        <v>2.456</v>
      </c>
      <c r="AY144" t="s">
        <v>209</v>
      </c>
      <c r="BA144">
        <v>3520728193.4978399</v>
      </c>
      <c r="BB144" t="s">
        <v>4572</v>
      </c>
      <c r="BC144" t="s">
        <v>4600</v>
      </c>
    </row>
    <row r="145" spans="1:55" x14ac:dyDescent="0.25">
      <c r="A145">
        <v>304</v>
      </c>
      <c r="B145" t="s">
        <v>351</v>
      </c>
      <c r="C145" t="s">
        <v>1786</v>
      </c>
      <c r="D145" t="s">
        <v>3221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204</v>
      </c>
      <c r="K145">
        <v>74698924.269767806</v>
      </c>
      <c r="L145">
        <v>1</v>
      </c>
      <c r="O145" t="s">
        <v>206</v>
      </c>
      <c r="Q145" t="s">
        <v>207</v>
      </c>
      <c r="R145" t="s">
        <v>207</v>
      </c>
      <c r="S145" t="s">
        <v>4538</v>
      </c>
      <c r="T145" t="s">
        <v>207</v>
      </c>
      <c r="U145" t="s">
        <v>206</v>
      </c>
      <c r="V145" t="s">
        <v>206</v>
      </c>
      <c r="W145" t="s">
        <v>206</v>
      </c>
      <c r="X145" t="s">
        <v>4538</v>
      </c>
      <c r="AA145" t="s">
        <v>4541</v>
      </c>
      <c r="AC145" t="s">
        <v>4542</v>
      </c>
      <c r="AD145" t="s">
        <v>4543</v>
      </c>
      <c r="AE145" t="s">
        <v>4544</v>
      </c>
      <c r="AF145" t="s">
        <v>4545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209</v>
      </c>
      <c r="BA145">
        <v>45642614894.968002</v>
      </c>
      <c r="BB145" t="s">
        <v>4572</v>
      </c>
      <c r="BC145" t="s">
        <v>4601</v>
      </c>
    </row>
    <row r="146" spans="1:55" x14ac:dyDescent="0.25">
      <c r="A146">
        <v>323</v>
      </c>
      <c r="B146" t="s">
        <v>352</v>
      </c>
      <c r="C146" t="s">
        <v>1787</v>
      </c>
      <c r="D146" t="s">
        <v>3222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202</v>
      </c>
      <c r="K146">
        <v>289755138.30878103</v>
      </c>
      <c r="L146">
        <v>1</v>
      </c>
      <c r="O146" t="s">
        <v>206</v>
      </c>
      <c r="Q146" t="s">
        <v>207</v>
      </c>
      <c r="R146" t="s">
        <v>207</v>
      </c>
      <c r="S146" t="s">
        <v>207</v>
      </c>
      <c r="T146" t="s">
        <v>207</v>
      </c>
      <c r="U146" t="s">
        <v>207</v>
      </c>
      <c r="V146" t="s">
        <v>207</v>
      </c>
      <c r="W146" t="s">
        <v>207</v>
      </c>
      <c r="X146" t="s">
        <v>207</v>
      </c>
      <c r="AG146" t="s">
        <v>4546</v>
      </c>
      <c r="AH146" t="s">
        <v>4564</v>
      </c>
      <c r="AI146" t="s">
        <v>4565</v>
      </c>
      <c r="AJ146" t="s">
        <v>4566</v>
      </c>
      <c r="AK146">
        <v>0</v>
      </c>
      <c r="AL146">
        <v>1</v>
      </c>
      <c r="AM146">
        <v>0</v>
      </c>
      <c r="AO146" t="s">
        <v>4568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208</v>
      </c>
      <c r="BA146">
        <v>43203156513.977997</v>
      </c>
      <c r="BB146" t="s">
        <v>4572</v>
      </c>
      <c r="BC146" t="s">
        <v>4573</v>
      </c>
    </row>
    <row r="147" spans="1:55" x14ac:dyDescent="0.25">
      <c r="A147">
        <v>910</v>
      </c>
      <c r="B147" t="s">
        <v>353</v>
      </c>
      <c r="C147" t="s">
        <v>1788</v>
      </c>
      <c r="D147" t="s">
        <v>3223</v>
      </c>
      <c r="E147" t="s">
        <v>95</v>
      </c>
      <c r="F147">
        <v>45800000</v>
      </c>
      <c r="G147">
        <v>178.20699999999999</v>
      </c>
      <c r="H147" t="s">
        <v>103</v>
      </c>
      <c r="I147">
        <v>8161880600</v>
      </c>
      <c r="J147" t="s">
        <v>204</v>
      </c>
      <c r="K147">
        <v>12889251.209706601</v>
      </c>
      <c r="L147">
        <v>0.95</v>
      </c>
      <c r="M147" t="s">
        <v>4536</v>
      </c>
      <c r="O147" t="s">
        <v>207</v>
      </c>
      <c r="Q147" t="s">
        <v>207</v>
      </c>
      <c r="R147" t="s">
        <v>207</v>
      </c>
      <c r="S147" t="s">
        <v>207</v>
      </c>
      <c r="T147" t="s">
        <v>207</v>
      </c>
      <c r="U147" t="s">
        <v>207</v>
      </c>
      <c r="V147" t="s">
        <v>207</v>
      </c>
      <c r="W147" t="s">
        <v>207</v>
      </c>
      <c r="X147" t="s">
        <v>207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209</v>
      </c>
      <c r="BA147">
        <v>7753786570</v>
      </c>
      <c r="BB147" t="s">
        <v>4572</v>
      </c>
      <c r="BC147" t="s">
        <v>4536</v>
      </c>
    </row>
    <row r="148" spans="1:55" x14ac:dyDescent="0.25">
      <c r="A148">
        <v>1373</v>
      </c>
      <c r="B148" t="s">
        <v>354</v>
      </c>
      <c r="C148" t="s">
        <v>1789</v>
      </c>
      <c r="D148" t="s">
        <v>3224</v>
      </c>
      <c r="E148" t="s">
        <v>4517</v>
      </c>
      <c r="F148">
        <v>116851637</v>
      </c>
      <c r="G148">
        <v>51.35</v>
      </c>
      <c r="H148" t="s">
        <v>99</v>
      </c>
      <c r="I148">
        <v>6000331559.9499998</v>
      </c>
      <c r="J148" t="s">
        <v>4535</v>
      </c>
      <c r="K148">
        <v>9819077.5196721293</v>
      </c>
      <c r="L148">
        <v>0.45</v>
      </c>
      <c r="M148" t="s">
        <v>4536</v>
      </c>
      <c r="N148" t="s">
        <v>4537</v>
      </c>
      <c r="O148" t="s">
        <v>207</v>
      </c>
      <c r="Q148" t="s">
        <v>207</v>
      </c>
      <c r="R148" t="s">
        <v>207</v>
      </c>
      <c r="S148" t="s">
        <v>207</v>
      </c>
      <c r="T148" t="s">
        <v>207</v>
      </c>
      <c r="U148" t="s">
        <v>207</v>
      </c>
      <c r="V148" t="s">
        <v>207</v>
      </c>
      <c r="W148" t="s">
        <v>207</v>
      </c>
      <c r="X148" t="s">
        <v>207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209</v>
      </c>
      <c r="BA148">
        <v>2700149201.9775</v>
      </c>
      <c r="BB148" t="s">
        <v>4572</v>
      </c>
      <c r="BC148" t="s">
        <v>4575</v>
      </c>
    </row>
    <row r="149" spans="1:55" x14ac:dyDescent="0.25">
      <c r="A149">
        <v>1309</v>
      </c>
      <c r="B149" t="s">
        <v>355</v>
      </c>
      <c r="C149" t="s">
        <v>1790</v>
      </c>
      <c r="D149" t="s">
        <v>3225</v>
      </c>
      <c r="E149" t="s">
        <v>4517</v>
      </c>
      <c r="F149">
        <v>745343391</v>
      </c>
      <c r="G149">
        <v>13.54</v>
      </c>
      <c r="H149" t="s">
        <v>99</v>
      </c>
      <c r="I149">
        <v>10091949514.139999</v>
      </c>
      <c r="J149" t="s">
        <v>203</v>
      </c>
      <c r="K149">
        <v>13825196.131885201</v>
      </c>
      <c r="L149">
        <v>0.3</v>
      </c>
      <c r="M149" t="s">
        <v>4536</v>
      </c>
      <c r="O149" t="s">
        <v>207</v>
      </c>
      <c r="Q149" t="s">
        <v>207</v>
      </c>
      <c r="R149" t="s">
        <v>207</v>
      </c>
      <c r="S149" t="s">
        <v>207</v>
      </c>
      <c r="T149" t="s">
        <v>207</v>
      </c>
      <c r="U149" t="s">
        <v>207</v>
      </c>
      <c r="V149" t="s">
        <v>207</v>
      </c>
      <c r="W149" t="s">
        <v>207</v>
      </c>
      <c r="X149" t="s">
        <v>207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209</v>
      </c>
      <c r="BA149">
        <v>3027584854.2420001</v>
      </c>
      <c r="BB149" t="s">
        <v>4572</v>
      </c>
      <c r="BC149" t="s">
        <v>4536</v>
      </c>
    </row>
    <row r="150" spans="1:55" x14ac:dyDescent="0.25">
      <c r="A150">
        <v>1028</v>
      </c>
      <c r="B150" t="s">
        <v>356</v>
      </c>
      <c r="C150" t="s">
        <v>1791</v>
      </c>
      <c r="D150" t="s">
        <v>3226</v>
      </c>
      <c r="E150" t="s">
        <v>4517</v>
      </c>
      <c r="F150">
        <v>1259689706</v>
      </c>
      <c r="G150">
        <v>6.43</v>
      </c>
      <c r="H150" t="s">
        <v>99</v>
      </c>
      <c r="I150">
        <v>8099804809.5799999</v>
      </c>
      <c r="J150" t="s">
        <v>203</v>
      </c>
      <c r="K150">
        <v>101530512.28059</v>
      </c>
      <c r="L150">
        <v>0.70000000000000007</v>
      </c>
      <c r="M150" t="s">
        <v>4536</v>
      </c>
      <c r="O150" t="s">
        <v>207</v>
      </c>
      <c r="Q150" t="s">
        <v>207</v>
      </c>
      <c r="R150" t="s">
        <v>207</v>
      </c>
      <c r="S150" t="s">
        <v>207</v>
      </c>
      <c r="T150" t="s">
        <v>207</v>
      </c>
      <c r="U150" t="s">
        <v>207</v>
      </c>
      <c r="V150" t="s">
        <v>207</v>
      </c>
      <c r="W150" t="s">
        <v>207</v>
      </c>
      <c r="X150" t="s">
        <v>207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209</v>
      </c>
      <c r="BA150">
        <v>5669863366.7060003</v>
      </c>
      <c r="BB150" t="s">
        <v>4572</v>
      </c>
      <c r="BC150" t="s">
        <v>4536</v>
      </c>
    </row>
    <row r="151" spans="1:55" x14ac:dyDescent="0.25">
      <c r="A151">
        <v>810</v>
      </c>
      <c r="B151" t="s">
        <v>357</v>
      </c>
      <c r="C151" t="s">
        <v>1792</v>
      </c>
      <c r="D151" t="s">
        <v>3227</v>
      </c>
      <c r="E151" t="s">
        <v>4517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203</v>
      </c>
      <c r="K151">
        <v>107595421.248656</v>
      </c>
      <c r="L151">
        <v>0.8</v>
      </c>
      <c r="M151" t="s">
        <v>4536</v>
      </c>
      <c r="O151" t="s">
        <v>207</v>
      </c>
      <c r="Q151" t="s">
        <v>207</v>
      </c>
      <c r="R151" t="s">
        <v>207</v>
      </c>
      <c r="S151" t="s">
        <v>207</v>
      </c>
      <c r="T151" t="s">
        <v>207</v>
      </c>
      <c r="U151" t="s">
        <v>207</v>
      </c>
      <c r="V151" t="s">
        <v>207</v>
      </c>
      <c r="W151" t="s">
        <v>207</v>
      </c>
      <c r="X151" t="s">
        <v>207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209</v>
      </c>
      <c r="BA151">
        <v>11025677294.476801</v>
      </c>
      <c r="BB151" t="s">
        <v>4572</v>
      </c>
      <c r="BC151" t="s">
        <v>4536</v>
      </c>
    </row>
    <row r="152" spans="1:55" x14ac:dyDescent="0.25">
      <c r="A152">
        <v>766</v>
      </c>
      <c r="B152" t="s">
        <v>358</v>
      </c>
      <c r="C152" t="s">
        <v>1793</v>
      </c>
      <c r="D152" t="s">
        <v>3228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203</v>
      </c>
      <c r="K152">
        <v>27278072.916000001</v>
      </c>
      <c r="L152">
        <v>1</v>
      </c>
      <c r="M152" t="s">
        <v>4536</v>
      </c>
      <c r="O152" t="s">
        <v>207</v>
      </c>
      <c r="Q152" t="s">
        <v>207</v>
      </c>
      <c r="R152" t="s">
        <v>207</v>
      </c>
      <c r="S152" t="s">
        <v>207</v>
      </c>
      <c r="T152" t="s">
        <v>207</v>
      </c>
      <c r="U152" t="s">
        <v>207</v>
      </c>
      <c r="V152" t="s">
        <v>207</v>
      </c>
      <c r="W152" t="s">
        <v>207</v>
      </c>
      <c r="X152" t="s">
        <v>207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209</v>
      </c>
      <c r="BA152">
        <v>13709358684</v>
      </c>
      <c r="BB152" t="s">
        <v>4572</v>
      </c>
      <c r="BC152" t="s">
        <v>4536</v>
      </c>
    </row>
    <row r="153" spans="1:55" x14ac:dyDescent="0.25">
      <c r="A153">
        <v>135</v>
      </c>
      <c r="B153" t="s">
        <v>359</v>
      </c>
      <c r="C153" t="s">
        <v>1794</v>
      </c>
      <c r="D153" t="s">
        <v>3229</v>
      </c>
      <c r="E153" t="s">
        <v>92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203</v>
      </c>
      <c r="K153">
        <v>149229392.385506</v>
      </c>
      <c r="L153">
        <v>1</v>
      </c>
      <c r="M153" t="s">
        <v>4536</v>
      </c>
      <c r="O153" t="s">
        <v>207</v>
      </c>
      <c r="Q153" t="s">
        <v>207</v>
      </c>
      <c r="R153" t="s">
        <v>207</v>
      </c>
      <c r="S153" t="s">
        <v>207</v>
      </c>
      <c r="T153" t="s">
        <v>207</v>
      </c>
      <c r="U153" t="s">
        <v>207</v>
      </c>
      <c r="V153" t="s">
        <v>207</v>
      </c>
      <c r="W153" t="s">
        <v>207</v>
      </c>
      <c r="X153" t="s">
        <v>207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209</v>
      </c>
      <c r="BA153">
        <v>89157262928</v>
      </c>
      <c r="BB153" t="s">
        <v>4572</v>
      </c>
      <c r="BC153" t="s">
        <v>4536</v>
      </c>
    </row>
    <row r="154" spans="1:55" x14ac:dyDescent="0.25">
      <c r="A154">
        <v>596</v>
      </c>
      <c r="B154" t="s">
        <v>360</v>
      </c>
      <c r="C154" t="s">
        <v>1795</v>
      </c>
      <c r="D154" t="s">
        <v>3230</v>
      </c>
      <c r="E154" t="s">
        <v>93</v>
      </c>
      <c r="F154">
        <v>660000000</v>
      </c>
      <c r="G154">
        <v>31.867750000000001</v>
      </c>
      <c r="H154" t="s">
        <v>101</v>
      </c>
      <c r="I154">
        <v>21032715000</v>
      </c>
      <c r="J154" t="s">
        <v>205</v>
      </c>
      <c r="K154">
        <v>67125640.199018598</v>
      </c>
      <c r="L154">
        <v>1</v>
      </c>
      <c r="M154" t="s">
        <v>4536</v>
      </c>
      <c r="O154" t="s">
        <v>207</v>
      </c>
      <c r="Q154" t="s">
        <v>207</v>
      </c>
      <c r="R154" t="s">
        <v>207</v>
      </c>
      <c r="S154" t="s">
        <v>207</v>
      </c>
      <c r="T154" t="s">
        <v>207</v>
      </c>
      <c r="U154" t="s">
        <v>207</v>
      </c>
      <c r="V154" t="s">
        <v>207</v>
      </c>
      <c r="W154" t="s">
        <v>207</v>
      </c>
      <c r="X154" t="s">
        <v>207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210</v>
      </c>
      <c r="BA154">
        <v>21032715000</v>
      </c>
      <c r="BB154" t="s">
        <v>4572</v>
      </c>
      <c r="BC154" t="s">
        <v>4536</v>
      </c>
    </row>
    <row r="155" spans="1:55" x14ac:dyDescent="0.25">
      <c r="A155">
        <v>220</v>
      </c>
      <c r="B155" t="s">
        <v>361</v>
      </c>
      <c r="C155" t="s">
        <v>1796</v>
      </c>
      <c r="D155" t="s">
        <v>3231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202</v>
      </c>
      <c r="K155">
        <v>305769270.44368702</v>
      </c>
      <c r="L155">
        <v>1</v>
      </c>
      <c r="M155" t="s">
        <v>4536</v>
      </c>
      <c r="O155" t="s">
        <v>207</v>
      </c>
      <c r="Q155" t="s">
        <v>207</v>
      </c>
      <c r="R155" t="s">
        <v>207</v>
      </c>
      <c r="S155" t="s">
        <v>207</v>
      </c>
      <c r="T155" t="s">
        <v>207</v>
      </c>
      <c r="U155" t="s">
        <v>207</v>
      </c>
      <c r="V155" t="s">
        <v>207</v>
      </c>
      <c r="W155" t="s">
        <v>207</v>
      </c>
      <c r="X155" t="s">
        <v>207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208</v>
      </c>
      <c r="BA155">
        <v>59892477272</v>
      </c>
      <c r="BB155" t="s">
        <v>4572</v>
      </c>
      <c r="BC155" t="s">
        <v>4536</v>
      </c>
    </row>
    <row r="156" spans="1:55" x14ac:dyDescent="0.25">
      <c r="A156">
        <v>24</v>
      </c>
      <c r="B156" t="s">
        <v>163</v>
      </c>
      <c r="C156" t="s">
        <v>12</v>
      </c>
      <c r="D156" t="s">
        <v>52</v>
      </c>
      <c r="E156" t="s">
        <v>88</v>
      </c>
      <c r="F156">
        <v>7610862300</v>
      </c>
      <c r="G156">
        <v>42.859870000000001</v>
      </c>
      <c r="H156" t="s">
        <v>98</v>
      </c>
      <c r="I156">
        <v>326200568765.901</v>
      </c>
      <c r="J156" t="s">
        <v>202</v>
      </c>
      <c r="K156">
        <v>1475886907.05828</v>
      </c>
      <c r="L156">
        <v>0.9</v>
      </c>
      <c r="O156" t="s">
        <v>206</v>
      </c>
      <c r="Q156" t="s">
        <v>207</v>
      </c>
      <c r="R156" t="s">
        <v>207</v>
      </c>
      <c r="S156" t="s">
        <v>207</v>
      </c>
      <c r="T156" t="s">
        <v>207</v>
      </c>
      <c r="U156" t="s">
        <v>207</v>
      </c>
      <c r="V156" t="s">
        <v>207</v>
      </c>
      <c r="W156" t="s">
        <v>207</v>
      </c>
      <c r="X156" t="s">
        <v>207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2.4329999999999998</v>
      </c>
      <c r="AY156" t="s">
        <v>208</v>
      </c>
      <c r="BA156">
        <v>293580511889.31091</v>
      </c>
      <c r="BB156" t="s">
        <v>211</v>
      </c>
    </row>
    <row r="157" spans="1:55" x14ac:dyDescent="0.25">
      <c r="A157">
        <v>819</v>
      </c>
      <c r="B157" t="s">
        <v>362</v>
      </c>
      <c r="C157" t="s">
        <v>1797</v>
      </c>
      <c r="D157" t="s">
        <v>3232</v>
      </c>
      <c r="E157" t="s">
        <v>4521</v>
      </c>
      <c r="F157">
        <v>1003409101</v>
      </c>
      <c r="G157">
        <v>10.44</v>
      </c>
      <c r="H157" t="s">
        <v>99</v>
      </c>
      <c r="I157">
        <v>10475591014.440001</v>
      </c>
      <c r="J157" t="s">
        <v>203</v>
      </c>
      <c r="K157">
        <v>17800026.3292921</v>
      </c>
      <c r="L157">
        <v>1</v>
      </c>
      <c r="M157" t="s">
        <v>4536</v>
      </c>
      <c r="O157" t="s">
        <v>207</v>
      </c>
      <c r="Q157" t="s">
        <v>207</v>
      </c>
      <c r="R157" t="s">
        <v>207</v>
      </c>
      <c r="S157" t="s">
        <v>207</v>
      </c>
      <c r="T157" t="s">
        <v>207</v>
      </c>
      <c r="U157" t="s">
        <v>207</v>
      </c>
      <c r="V157" t="s">
        <v>207</v>
      </c>
      <c r="W157" t="s">
        <v>207</v>
      </c>
      <c r="X157" t="s">
        <v>207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209</v>
      </c>
      <c r="BA157">
        <v>10475591014.440001</v>
      </c>
      <c r="BB157" t="s">
        <v>4572</v>
      </c>
      <c r="BC157" t="s">
        <v>4536</v>
      </c>
    </row>
    <row r="158" spans="1:55" x14ac:dyDescent="0.25">
      <c r="A158">
        <v>183</v>
      </c>
      <c r="B158" t="s">
        <v>363</v>
      </c>
      <c r="C158" t="s">
        <v>1798</v>
      </c>
      <c r="D158" t="s">
        <v>3233</v>
      </c>
      <c r="E158" t="s">
        <v>97</v>
      </c>
      <c r="F158">
        <v>729664900</v>
      </c>
      <c r="G158">
        <v>96.270930000000007</v>
      </c>
      <c r="H158" t="s">
        <v>104</v>
      </c>
      <c r="I158">
        <v>70245518511.35701</v>
      </c>
      <c r="J158" t="s">
        <v>202</v>
      </c>
      <c r="K158">
        <v>268840403.78482503</v>
      </c>
      <c r="L158">
        <v>1</v>
      </c>
      <c r="M158" t="s">
        <v>4536</v>
      </c>
      <c r="O158" t="s">
        <v>207</v>
      </c>
      <c r="Q158" t="s">
        <v>207</v>
      </c>
      <c r="R158" t="s">
        <v>207</v>
      </c>
      <c r="S158" t="s">
        <v>207</v>
      </c>
      <c r="T158" t="s">
        <v>207</v>
      </c>
      <c r="U158" t="s">
        <v>207</v>
      </c>
      <c r="V158" t="s">
        <v>207</v>
      </c>
      <c r="W158" t="s">
        <v>207</v>
      </c>
      <c r="X158" t="s">
        <v>207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208</v>
      </c>
      <c r="AZ158" t="s">
        <v>4571</v>
      </c>
      <c r="BA158">
        <v>70245518511.35701</v>
      </c>
      <c r="BB158" t="s">
        <v>4572</v>
      </c>
      <c r="BC158" t="s">
        <v>4577</v>
      </c>
    </row>
    <row r="159" spans="1:55" x14ac:dyDescent="0.25">
      <c r="A159">
        <v>223</v>
      </c>
      <c r="B159" t="s">
        <v>364</v>
      </c>
      <c r="C159" t="s">
        <v>1799</v>
      </c>
      <c r="D159" t="s">
        <v>3234</v>
      </c>
      <c r="E159" t="s">
        <v>97</v>
      </c>
      <c r="F159">
        <v>1229569600</v>
      </c>
      <c r="G159">
        <v>48.411560000000001</v>
      </c>
      <c r="H159" t="s">
        <v>104</v>
      </c>
      <c r="I159">
        <v>59525382464.575996</v>
      </c>
      <c r="J159" t="s">
        <v>202</v>
      </c>
      <c r="K159">
        <v>222368896.92223999</v>
      </c>
      <c r="L159">
        <v>1</v>
      </c>
      <c r="M159" t="s">
        <v>4536</v>
      </c>
      <c r="O159" t="s">
        <v>207</v>
      </c>
      <c r="Q159" t="s">
        <v>207</v>
      </c>
      <c r="R159" t="s">
        <v>207</v>
      </c>
      <c r="S159" t="s">
        <v>207</v>
      </c>
      <c r="T159" t="s">
        <v>207</v>
      </c>
      <c r="U159" t="s">
        <v>207</v>
      </c>
      <c r="V159" t="s">
        <v>207</v>
      </c>
      <c r="W159" t="s">
        <v>207</v>
      </c>
      <c r="X159" t="s">
        <v>207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208</v>
      </c>
      <c r="BA159">
        <v>59525382464.575996</v>
      </c>
      <c r="BB159" t="s">
        <v>4572</v>
      </c>
      <c r="BC159" t="s">
        <v>4536</v>
      </c>
    </row>
    <row r="160" spans="1:55" x14ac:dyDescent="0.25">
      <c r="A160">
        <v>1377</v>
      </c>
      <c r="B160" t="s">
        <v>365</v>
      </c>
      <c r="C160" t="s">
        <v>1800</v>
      </c>
      <c r="D160" t="s">
        <v>3235</v>
      </c>
      <c r="E160" t="s">
        <v>94</v>
      </c>
      <c r="F160">
        <v>661469500</v>
      </c>
      <c r="G160">
        <v>4.0487799999999998</v>
      </c>
      <c r="H160" t="s">
        <v>102</v>
      </c>
      <c r="I160">
        <v>2678144482.21</v>
      </c>
      <c r="J160" t="s">
        <v>205</v>
      </c>
      <c r="K160">
        <v>5951812.1038530301</v>
      </c>
      <c r="L160">
        <v>1</v>
      </c>
      <c r="M160" t="s">
        <v>4536</v>
      </c>
      <c r="N160" t="s">
        <v>4537</v>
      </c>
      <c r="O160" t="s">
        <v>207</v>
      </c>
      <c r="Q160" t="s">
        <v>207</v>
      </c>
      <c r="R160" t="s">
        <v>207</v>
      </c>
      <c r="S160" t="s">
        <v>207</v>
      </c>
      <c r="T160" t="s">
        <v>207</v>
      </c>
      <c r="U160" t="s">
        <v>207</v>
      </c>
      <c r="V160" t="s">
        <v>207</v>
      </c>
      <c r="W160" t="s">
        <v>207</v>
      </c>
      <c r="X160" t="s">
        <v>207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210</v>
      </c>
      <c r="BA160">
        <v>2678144482.21</v>
      </c>
      <c r="BB160" t="s">
        <v>4572</v>
      </c>
      <c r="BC160" t="s">
        <v>4575</v>
      </c>
    </row>
    <row r="161" spans="1:55" x14ac:dyDescent="0.25">
      <c r="A161">
        <v>1034</v>
      </c>
      <c r="B161" t="s">
        <v>366</v>
      </c>
      <c r="C161" t="s">
        <v>1801</v>
      </c>
      <c r="D161" t="s">
        <v>3236</v>
      </c>
      <c r="E161" t="s">
        <v>92</v>
      </c>
      <c r="F161">
        <v>898866150</v>
      </c>
      <c r="G161">
        <v>8.968</v>
      </c>
      <c r="H161" t="s">
        <v>99</v>
      </c>
      <c r="I161">
        <v>8061031633.1999998</v>
      </c>
      <c r="J161" t="s">
        <v>203</v>
      </c>
      <c r="K161">
        <v>16669299.799092099</v>
      </c>
      <c r="L161">
        <v>0.7</v>
      </c>
      <c r="M161" t="s">
        <v>4536</v>
      </c>
      <c r="O161" t="s">
        <v>207</v>
      </c>
      <c r="Q161" t="s">
        <v>207</v>
      </c>
      <c r="R161" t="s">
        <v>207</v>
      </c>
      <c r="S161" t="s">
        <v>207</v>
      </c>
      <c r="T161" t="s">
        <v>207</v>
      </c>
      <c r="U161" t="s">
        <v>207</v>
      </c>
      <c r="V161" t="s">
        <v>207</v>
      </c>
      <c r="W161" t="s">
        <v>207</v>
      </c>
      <c r="X161" t="s">
        <v>207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209</v>
      </c>
      <c r="BA161">
        <v>5642722143.2399998</v>
      </c>
      <c r="BB161" t="s">
        <v>4572</v>
      </c>
      <c r="BC161" t="s">
        <v>4536</v>
      </c>
    </row>
    <row r="162" spans="1:55" x14ac:dyDescent="0.25">
      <c r="A162">
        <v>254</v>
      </c>
      <c r="B162" t="s">
        <v>367</v>
      </c>
      <c r="C162" t="s">
        <v>1802</v>
      </c>
      <c r="D162" t="s">
        <v>3237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204</v>
      </c>
      <c r="K162">
        <v>97848428.157194898</v>
      </c>
      <c r="L162">
        <v>1</v>
      </c>
      <c r="O162" t="s">
        <v>207</v>
      </c>
      <c r="Q162" t="s">
        <v>207</v>
      </c>
      <c r="R162" t="s">
        <v>207</v>
      </c>
      <c r="S162" t="s">
        <v>207</v>
      </c>
      <c r="T162" t="s">
        <v>207</v>
      </c>
      <c r="U162" t="s">
        <v>207</v>
      </c>
      <c r="V162" t="s">
        <v>207</v>
      </c>
      <c r="W162" t="s">
        <v>207</v>
      </c>
      <c r="X162" t="s">
        <v>207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209</v>
      </c>
      <c r="AZ162" t="s">
        <v>4571</v>
      </c>
      <c r="BA162">
        <v>52909972651.073013</v>
      </c>
      <c r="BB162" t="s">
        <v>4572</v>
      </c>
      <c r="BC162" t="s">
        <v>4571</v>
      </c>
    </row>
    <row r="163" spans="1:55" x14ac:dyDescent="0.25">
      <c r="A163">
        <v>928</v>
      </c>
      <c r="B163" t="s">
        <v>368</v>
      </c>
      <c r="C163" t="s">
        <v>1803</v>
      </c>
      <c r="D163" t="s">
        <v>3238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204</v>
      </c>
      <c r="K163">
        <v>20081175.638739999</v>
      </c>
      <c r="L163">
        <v>1</v>
      </c>
      <c r="M163" t="s">
        <v>4536</v>
      </c>
      <c r="O163" t="s">
        <v>207</v>
      </c>
      <c r="Q163" t="s">
        <v>207</v>
      </c>
      <c r="R163" t="s">
        <v>207</v>
      </c>
      <c r="S163" t="s">
        <v>207</v>
      </c>
      <c r="T163" t="s">
        <v>207</v>
      </c>
      <c r="U163" t="s">
        <v>207</v>
      </c>
      <c r="V163" t="s">
        <v>207</v>
      </c>
      <c r="W163" t="s">
        <v>207</v>
      </c>
      <c r="X163" t="s">
        <v>207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209</v>
      </c>
      <c r="BA163">
        <v>7444736792.2351007</v>
      </c>
      <c r="BB163" t="s">
        <v>4572</v>
      </c>
      <c r="BC163" t="s">
        <v>4536</v>
      </c>
    </row>
    <row r="164" spans="1:55" x14ac:dyDescent="0.25">
      <c r="A164">
        <v>446</v>
      </c>
      <c r="B164" t="s">
        <v>369</v>
      </c>
      <c r="C164" t="s">
        <v>1804</v>
      </c>
      <c r="D164" t="s">
        <v>3239</v>
      </c>
      <c r="E164" t="s">
        <v>97</v>
      </c>
      <c r="F164">
        <v>1727100500</v>
      </c>
      <c r="G164">
        <v>17.542369999999998</v>
      </c>
      <c r="H164" t="s">
        <v>104</v>
      </c>
      <c r="I164">
        <v>30297435998.185001</v>
      </c>
      <c r="J164" t="s">
        <v>202</v>
      </c>
      <c r="K164">
        <v>53857149.850185901</v>
      </c>
      <c r="L164">
        <v>1</v>
      </c>
      <c r="M164" t="s">
        <v>4536</v>
      </c>
      <c r="O164" t="s">
        <v>206</v>
      </c>
      <c r="Q164" t="s">
        <v>207</v>
      </c>
      <c r="R164" t="s">
        <v>207</v>
      </c>
      <c r="S164" t="s">
        <v>207</v>
      </c>
      <c r="T164" t="s">
        <v>207</v>
      </c>
      <c r="U164" t="s">
        <v>207</v>
      </c>
      <c r="V164" t="s">
        <v>207</v>
      </c>
      <c r="W164" t="s">
        <v>207</v>
      </c>
      <c r="X164" t="s">
        <v>207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208</v>
      </c>
      <c r="BA164">
        <v>30297435998.185001</v>
      </c>
      <c r="BB164" t="s">
        <v>4572</v>
      </c>
      <c r="BC164" t="s">
        <v>4536</v>
      </c>
    </row>
    <row r="165" spans="1:55" x14ac:dyDescent="0.25">
      <c r="A165">
        <v>1129</v>
      </c>
      <c r="B165" t="s">
        <v>370</v>
      </c>
      <c r="C165" t="s">
        <v>1805</v>
      </c>
      <c r="D165" t="s">
        <v>3240</v>
      </c>
      <c r="E165" t="s">
        <v>95</v>
      </c>
      <c r="F165">
        <v>5488858</v>
      </c>
      <c r="G165">
        <v>1126.021</v>
      </c>
      <c r="H165" t="s">
        <v>103</v>
      </c>
      <c r="I165">
        <v>6180569374.0179996</v>
      </c>
      <c r="J165" t="s">
        <v>204</v>
      </c>
      <c r="K165">
        <v>21337047.627355602</v>
      </c>
      <c r="L165">
        <v>0.7</v>
      </c>
      <c r="O165" t="s">
        <v>207</v>
      </c>
      <c r="Q165" t="s">
        <v>207</v>
      </c>
      <c r="R165" t="s">
        <v>207</v>
      </c>
      <c r="S165" t="s">
        <v>207</v>
      </c>
      <c r="T165" t="s">
        <v>207</v>
      </c>
      <c r="U165" t="s">
        <v>207</v>
      </c>
      <c r="V165" t="s">
        <v>207</v>
      </c>
      <c r="W165" t="s">
        <v>207</v>
      </c>
      <c r="X165" t="s">
        <v>207</v>
      </c>
      <c r="AG165" t="s">
        <v>4546</v>
      </c>
      <c r="AH165" t="s">
        <v>4564</v>
      </c>
      <c r="AI165" t="s">
        <v>4565</v>
      </c>
      <c r="AJ165" t="s">
        <v>4566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209</v>
      </c>
      <c r="AZ165" t="s">
        <v>4571</v>
      </c>
      <c r="BA165">
        <v>4326398561.8125992</v>
      </c>
      <c r="BB165" t="s">
        <v>4572</v>
      </c>
      <c r="BC165" t="s">
        <v>4598</v>
      </c>
    </row>
    <row r="166" spans="1:55" x14ac:dyDescent="0.25">
      <c r="A166">
        <v>319</v>
      </c>
      <c r="B166" t="s">
        <v>371</v>
      </c>
      <c r="C166" t="s">
        <v>1806</v>
      </c>
      <c r="D166" t="s">
        <v>3241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203</v>
      </c>
      <c r="K166">
        <v>118759342.534959</v>
      </c>
      <c r="L166">
        <v>1</v>
      </c>
      <c r="O166" t="s">
        <v>207</v>
      </c>
      <c r="Q166" t="s">
        <v>207</v>
      </c>
      <c r="R166" t="s">
        <v>207</v>
      </c>
      <c r="S166" t="s">
        <v>207</v>
      </c>
      <c r="T166" t="s">
        <v>207</v>
      </c>
      <c r="U166" t="s">
        <v>207</v>
      </c>
      <c r="V166" t="s">
        <v>207</v>
      </c>
      <c r="W166" t="s">
        <v>207</v>
      </c>
      <c r="X166" t="s">
        <v>207</v>
      </c>
      <c r="AG166" t="s">
        <v>4546</v>
      </c>
      <c r="AH166" t="s">
        <v>4564</v>
      </c>
      <c r="AI166" t="s">
        <v>4565</v>
      </c>
      <c r="AJ166" t="s">
        <v>4566</v>
      </c>
      <c r="AK166">
        <v>2.9999999999999997E-4</v>
      </c>
      <c r="AL166">
        <v>0.1</v>
      </c>
      <c r="AM166">
        <v>8.3000000000000001E-3</v>
      </c>
      <c r="AN166" t="s">
        <v>4567</v>
      </c>
      <c r="AO166" t="s">
        <v>4568</v>
      </c>
      <c r="AP166" t="s">
        <v>4569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209</v>
      </c>
      <c r="BA166">
        <v>43718443159</v>
      </c>
      <c r="BB166" t="s">
        <v>4572</v>
      </c>
      <c r="BC166" t="s">
        <v>4602</v>
      </c>
    </row>
    <row r="167" spans="1:55" x14ac:dyDescent="0.25">
      <c r="A167">
        <v>934</v>
      </c>
      <c r="B167" t="s">
        <v>372</v>
      </c>
      <c r="C167" t="s">
        <v>1807</v>
      </c>
      <c r="D167" t="s">
        <v>3242</v>
      </c>
      <c r="E167" t="s">
        <v>4524</v>
      </c>
      <c r="F167">
        <v>78600000</v>
      </c>
      <c r="G167">
        <v>93</v>
      </c>
      <c r="H167" t="s">
        <v>99</v>
      </c>
      <c r="I167">
        <v>7309800000</v>
      </c>
      <c r="J167" t="s">
        <v>203</v>
      </c>
      <c r="K167">
        <v>9725314.9336065501</v>
      </c>
      <c r="L167">
        <v>1</v>
      </c>
      <c r="M167" t="s">
        <v>4536</v>
      </c>
      <c r="N167" t="s">
        <v>4537</v>
      </c>
      <c r="O167" t="s">
        <v>207</v>
      </c>
      <c r="Q167" t="s">
        <v>207</v>
      </c>
      <c r="R167" t="s">
        <v>207</v>
      </c>
      <c r="S167" t="s">
        <v>207</v>
      </c>
      <c r="T167" t="s">
        <v>207</v>
      </c>
      <c r="U167" t="s">
        <v>207</v>
      </c>
      <c r="V167" t="s">
        <v>207</v>
      </c>
      <c r="W167" t="s">
        <v>207</v>
      </c>
      <c r="X167" t="s">
        <v>207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209</v>
      </c>
      <c r="BA167">
        <v>7309800000</v>
      </c>
      <c r="BB167" t="s">
        <v>4572</v>
      </c>
      <c r="BC167" t="s">
        <v>4575</v>
      </c>
    </row>
    <row r="168" spans="1:55" x14ac:dyDescent="0.25">
      <c r="A168">
        <v>715</v>
      </c>
      <c r="B168" t="s">
        <v>373</v>
      </c>
      <c r="C168" t="s">
        <v>1808</v>
      </c>
      <c r="D168" t="s">
        <v>3243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202</v>
      </c>
      <c r="K168">
        <v>143120721.190007</v>
      </c>
      <c r="L168">
        <v>1</v>
      </c>
      <c r="O168" t="s">
        <v>207</v>
      </c>
      <c r="Q168" t="s">
        <v>207</v>
      </c>
      <c r="R168" t="s">
        <v>207</v>
      </c>
      <c r="S168" t="s">
        <v>207</v>
      </c>
      <c r="T168" t="s">
        <v>207</v>
      </c>
      <c r="U168" t="s">
        <v>207</v>
      </c>
      <c r="V168" t="s">
        <v>207</v>
      </c>
      <c r="W168" t="s">
        <v>207</v>
      </c>
      <c r="X168" t="s">
        <v>207</v>
      </c>
      <c r="AG168" t="s">
        <v>4546</v>
      </c>
      <c r="AH168" t="s">
        <v>4562</v>
      </c>
      <c r="AI168" t="s">
        <v>4565</v>
      </c>
      <c r="AJ168" t="s">
        <v>4566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208</v>
      </c>
      <c r="BA168">
        <v>16550127360</v>
      </c>
      <c r="BB168" t="s">
        <v>4572</v>
      </c>
      <c r="BC168" t="s">
        <v>4581</v>
      </c>
    </row>
    <row r="169" spans="1:55" x14ac:dyDescent="0.25">
      <c r="A169">
        <v>1011</v>
      </c>
      <c r="B169" t="s">
        <v>374</v>
      </c>
      <c r="C169" t="s">
        <v>1809</v>
      </c>
      <c r="D169" t="s">
        <v>3244</v>
      </c>
      <c r="E169" t="s">
        <v>93</v>
      </c>
      <c r="F169">
        <v>155411400</v>
      </c>
      <c r="G169">
        <v>42.253709999999998</v>
      </c>
      <c r="H169" t="s">
        <v>101</v>
      </c>
      <c r="I169">
        <v>6566708226.2939997</v>
      </c>
      <c r="J169" t="s">
        <v>205</v>
      </c>
      <c r="K169">
        <v>32421148.2790755</v>
      </c>
      <c r="L169">
        <v>0.9</v>
      </c>
      <c r="M169" t="s">
        <v>4536</v>
      </c>
      <c r="O169" t="s">
        <v>207</v>
      </c>
      <c r="Q169" t="s">
        <v>207</v>
      </c>
      <c r="R169" t="s">
        <v>207</v>
      </c>
      <c r="S169" t="s">
        <v>207</v>
      </c>
      <c r="T169" t="s">
        <v>207</v>
      </c>
      <c r="U169" t="s">
        <v>207</v>
      </c>
      <c r="V169" t="s">
        <v>207</v>
      </c>
      <c r="W169" t="s">
        <v>207</v>
      </c>
      <c r="X169" t="s">
        <v>207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210</v>
      </c>
      <c r="BA169">
        <v>5910037403.6645994</v>
      </c>
      <c r="BB169" t="s">
        <v>4572</v>
      </c>
      <c r="BC169" t="s">
        <v>4536</v>
      </c>
    </row>
    <row r="170" spans="1:55" x14ac:dyDescent="0.25">
      <c r="A170">
        <v>583</v>
      </c>
      <c r="B170" t="s">
        <v>375</v>
      </c>
      <c r="C170" t="s">
        <v>1810</v>
      </c>
      <c r="D170" t="s">
        <v>3245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203</v>
      </c>
      <c r="K170">
        <v>74110033.456483603</v>
      </c>
      <c r="L170">
        <v>1</v>
      </c>
      <c r="O170" t="s">
        <v>206</v>
      </c>
      <c r="Q170" t="s">
        <v>207</v>
      </c>
      <c r="R170" t="s">
        <v>207</v>
      </c>
      <c r="S170" t="s">
        <v>207</v>
      </c>
      <c r="T170" t="s">
        <v>207</v>
      </c>
      <c r="U170" t="s">
        <v>207</v>
      </c>
      <c r="V170" t="s">
        <v>207</v>
      </c>
      <c r="W170" t="s">
        <v>207</v>
      </c>
      <c r="X170" t="s">
        <v>4538</v>
      </c>
      <c r="AF170" t="s">
        <v>4545</v>
      </c>
      <c r="AG170" t="s">
        <v>4546</v>
      </c>
      <c r="AH170" t="s">
        <v>4563</v>
      </c>
      <c r="AI170" t="s">
        <v>4565</v>
      </c>
      <c r="AJ170" t="s">
        <v>4566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209</v>
      </c>
      <c r="BA170">
        <v>21662451405</v>
      </c>
      <c r="BB170" t="s">
        <v>4572</v>
      </c>
      <c r="BC170" t="s">
        <v>4603</v>
      </c>
    </row>
    <row r="171" spans="1:55" x14ac:dyDescent="0.25">
      <c r="A171">
        <v>181</v>
      </c>
      <c r="B171" t="s">
        <v>376</v>
      </c>
      <c r="C171" t="s">
        <v>1811</v>
      </c>
      <c r="D171" t="s">
        <v>3246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203</v>
      </c>
      <c r="K171">
        <v>93971375.653579399</v>
      </c>
      <c r="L171">
        <v>1</v>
      </c>
      <c r="M171" t="s">
        <v>4536</v>
      </c>
      <c r="O171" t="s">
        <v>207</v>
      </c>
      <c r="Q171" t="s">
        <v>207</v>
      </c>
      <c r="R171" t="s">
        <v>207</v>
      </c>
      <c r="S171" t="s">
        <v>207</v>
      </c>
      <c r="T171" t="s">
        <v>207</v>
      </c>
      <c r="U171" t="s">
        <v>207</v>
      </c>
      <c r="V171" t="s">
        <v>207</v>
      </c>
      <c r="W171" t="s">
        <v>207</v>
      </c>
      <c r="X171" t="s">
        <v>207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209</v>
      </c>
      <c r="BA171">
        <v>70830780024</v>
      </c>
      <c r="BB171" t="s">
        <v>4572</v>
      </c>
      <c r="BC171" t="s">
        <v>4536</v>
      </c>
    </row>
    <row r="172" spans="1:55" x14ac:dyDescent="0.25">
      <c r="A172">
        <v>1203</v>
      </c>
      <c r="B172" t="s">
        <v>377</v>
      </c>
      <c r="C172" t="s">
        <v>1812</v>
      </c>
      <c r="D172" t="s">
        <v>3247</v>
      </c>
      <c r="E172" t="s">
        <v>4517</v>
      </c>
      <c r="F172">
        <v>453385777</v>
      </c>
      <c r="G172">
        <v>10.09</v>
      </c>
      <c r="H172" t="s">
        <v>99</v>
      </c>
      <c r="I172">
        <v>4574662489.9300003</v>
      </c>
      <c r="J172" t="s">
        <v>203</v>
      </c>
      <c r="K172">
        <v>20030570.2642623</v>
      </c>
      <c r="L172">
        <v>0.8</v>
      </c>
      <c r="M172" t="s">
        <v>4536</v>
      </c>
      <c r="O172" t="s">
        <v>207</v>
      </c>
      <c r="Q172" t="s">
        <v>207</v>
      </c>
      <c r="R172" t="s">
        <v>207</v>
      </c>
      <c r="S172" t="s">
        <v>207</v>
      </c>
      <c r="T172" t="s">
        <v>207</v>
      </c>
      <c r="U172" t="s">
        <v>207</v>
      </c>
      <c r="V172" t="s">
        <v>207</v>
      </c>
      <c r="W172" t="s">
        <v>207</v>
      </c>
      <c r="X172" t="s">
        <v>207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209</v>
      </c>
      <c r="BA172">
        <v>3659729991.9439998</v>
      </c>
      <c r="BB172" t="s">
        <v>4572</v>
      </c>
      <c r="BC172" t="s">
        <v>4536</v>
      </c>
    </row>
    <row r="173" spans="1:55" x14ac:dyDescent="0.25">
      <c r="A173">
        <v>597</v>
      </c>
      <c r="B173" t="s">
        <v>378</v>
      </c>
      <c r="C173" t="s">
        <v>1813</v>
      </c>
      <c r="D173" t="s">
        <v>3248</v>
      </c>
      <c r="E173" t="s">
        <v>97</v>
      </c>
      <c r="F173">
        <v>912283100</v>
      </c>
      <c r="G173">
        <v>22.963339999999999</v>
      </c>
      <c r="H173" t="s">
        <v>104</v>
      </c>
      <c r="I173">
        <v>20949067001.554001</v>
      </c>
      <c r="J173" t="s">
        <v>202</v>
      </c>
      <c r="K173">
        <v>101471723.52913401</v>
      </c>
      <c r="L173">
        <v>1</v>
      </c>
      <c r="M173" t="s">
        <v>4536</v>
      </c>
      <c r="O173" t="s">
        <v>207</v>
      </c>
      <c r="Q173" t="s">
        <v>207</v>
      </c>
      <c r="R173" t="s">
        <v>207</v>
      </c>
      <c r="S173" t="s">
        <v>207</v>
      </c>
      <c r="T173" t="s">
        <v>207</v>
      </c>
      <c r="U173" t="s">
        <v>207</v>
      </c>
      <c r="V173" t="s">
        <v>207</v>
      </c>
      <c r="W173" t="s">
        <v>207</v>
      </c>
      <c r="X173" t="s">
        <v>207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208</v>
      </c>
      <c r="BA173">
        <v>20949067001.554001</v>
      </c>
      <c r="BB173" t="s">
        <v>4572</v>
      </c>
      <c r="BC173" t="s">
        <v>4536</v>
      </c>
    </row>
    <row r="174" spans="1:55" x14ac:dyDescent="0.25">
      <c r="A174">
        <v>835</v>
      </c>
      <c r="B174" t="s">
        <v>379</v>
      </c>
      <c r="C174" t="s">
        <v>1814</v>
      </c>
      <c r="D174" t="s">
        <v>3249</v>
      </c>
      <c r="E174" t="s">
        <v>96</v>
      </c>
      <c r="F174">
        <v>81146738</v>
      </c>
      <c r="G174">
        <v>119.7</v>
      </c>
      <c r="H174" t="s">
        <v>99</v>
      </c>
      <c r="I174">
        <v>9713264538.6000004</v>
      </c>
      <c r="J174" t="s">
        <v>203</v>
      </c>
      <c r="K174">
        <v>60641140.8782539</v>
      </c>
      <c r="L174">
        <v>1</v>
      </c>
      <c r="M174" t="s">
        <v>4536</v>
      </c>
      <c r="O174" t="s">
        <v>207</v>
      </c>
      <c r="Q174" t="s">
        <v>207</v>
      </c>
      <c r="R174" t="s">
        <v>207</v>
      </c>
      <c r="S174" t="s">
        <v>207</v>
      </c>
      <c r="T174" t="s">
        <v>207</v>
      </c>
      <c r="U174" t="s">
        <v>207</v>
      </c>
      <c r="V174" t="s">
        <v>207</v>
      </c>
      <c r="W174" t="s">
        <v>207</v>
      </c>
      <c r="X174" t="s">
        <v>207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209</v>
      </c>
      <c r="BA174">
        <v>9713264538.6000004</v>
      </c>
      <c r="BB174" t="s">
        <v>4572</v>
      </c>
      <c r="BC174" t="s">
        <v>4536</v>
      </c>
    </row>
    <row r="175" spans="1:55" x14ac:dyDescent="0.25">
      <c r="A175">
        <v>985</v>
      </c>
      <c r="B175" t="s">
        <v>380</v>
      </c>
      <c r="C175" t="s">
        <v>1815</v>
      </c>
      <c r="D175" t="s">
        <v>3250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204</v>
      </c>
      <c r="K175">
        <v>9064286.72148728</v>
      </c>
      <c r="L175">
        <v>1</v>
      </c>
      <c r="M175" t="s">
        <v>4536</v>
      </c>
      <c r="N175" t="s">
        <v>4537</v>
      </c>
      <c r="O175" t="s">
        <v>207</v>
      </c>
      <c r="Q175" t="s">
        <v>207</v>
      </c>
      <c r="R175" t="s">
        <v>207</v>
      </c>
      <c r="S175" t="s">
        <v>207</v>
      </c>
      <c r="T175" t="s">
        <v>207</v>
      </c>
      <c r="U175" t="s">
        <v>207</v>
      </c>
      <c r="V175" t="s">
        <v>207</v>
      </c>
      <c r="W175" t="s">
        <v>207</v>
      </c>
      <c r="X175" t="s">
        <v>207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209</v>
      </c>
      <c r="BA175">
        <v>6323053975.7280006</v>
      </c>
      <c r="BB175" t="s">
        <v>4572</v>
      </c>
      <c r="BC175" t="s">
        <v>4575</v>
      </c>
    </row>
    <row r="176" spans="1:55" x14ac:dyDescent="0.25">
      <c r="A176">
        <v>1362</v>
      </c>
      <c r="B176" t="s">
        <v>381</v>
      </c>
      <c r="C176" t="s">
        <v>1816</v>
      </c>
      <c r="D176" t="s">
        <v>3251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4535</v>
      </c>
      <c r="K176">
        <v>6984159.8536065603</v>
      </c>
      <c r="L176">
        <v>0.65</v>
      </c>
      <c r="M176" t="s">
        <v>4536</v>
      </c>
      <c r="N176" t="s">
        <v>4537</v>
      </c>
      <c r="O176" t="s">
        <v>207</v>
      </c>
      <c r="Q176" t="s">
        <v>207</v>
      </c>
      <c r="R176" t="s">
        <v>207</v>
      </c>
      <c r="S176" t="s">
        <v>207</v>
      </c>
      <c r="T176" t="s">
        <v>207</v>
      </c>
      <c r="U176" t="s">
        <v>207</v>
      </c>
      <c r="V176" t="s">
        <v>207</v>
      </c>
      <c r="W176" t="s">
        <v>207</v>
      </c>
      <c r="X176" t="s">
        <v>207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209</v>
      </c>
      <c r="BA176">
        <v>2732184000</v>
      </c>
      <c r="BB176" t="s">
        <v>4572</v>
      </c>
      <c r="BC176" t="s">
        <v>4575</v>
      </c>
    </row>
    <row r="177" spans="1:55" x14ac:dyDescent="0.25">
      <c r="A177">
        <v>216</v>
      </c>
      <c r="B177" t="s">
        <v>382</v>
      </c>
      <c r="C177" t="s">
        <v>1817</v>
      </c>
      <c r="D177" t="s">
        <v>3252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202</v>
      </c>
      <c r="K177">
        <v>467782545.072128</v>
      </c>
      <c r="L177">
        <v>1</v>
      </c>
      <c r="O177" t="s">
        <v>207</v>
      </c>
      <c r="Q177" t="s">
        <v>207</v>
      </c>
      <c r="R177" t="s">
        <v>207</v>
      </c>
      <c r="S177" t="s">
        <v>207</v>
      </c>
      <c r="T177" t="s">
        <v>207</v>
      </c>
      <c r="U177" t="s">
        <v>207</v>
      </c>
      <c r="V177" t="s">
        <v>207</v>
      </c>
      <c r="W177" t="s">
        <v>207</v>
      </c>
      <c r="X177" t="s">
        <v>207</v>
      </c>
      <c r="AG177" t="s">
        <v>4546</v>
      </c>
      <c r="AH177" t="s">
        <v>4562</v>
      </c>
      <c r="AI177" t="s">
        <v>4565</v>
      </c>
      <c r="AJ177" t="s">
        <v>4566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208</v>
      </c>
      <c r="BA177">
        <v>62461223973.419998</v>
      </c>
      <c r="BB177" t="s">
        <v>4572</v>
      </c>
      <c r="BC177" t="s">
        <v>4581</v>
      </c>
    </row>
    <row r="178" spans="1:55" x14ac:dyDescent="0.25">
      <c r="A178">
        <v>784</v>
      </c>
      <c r="B178" t="s">
        <v>383</v>
      </c>
      <c r="C178" t="s">
        <v>1818</v>
      </c>
      <c r="D178" t="s">
        <v>3253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203</v>
      </c>
      <c r="K178">
        <v>25987102.558196701</v>
      </c>
      <c r="L178">
        <v>0.4</v>
      </c>
      <c r="M178" t="s">
        <v>4536</v>
      </c>
      <c r="O178" t="s">
        <v>207</v>
      </c>
      <c r="Q178" t="s">
        <v>207</v>
      </c>
      <c r="R178" t="s">
        <v>207</v>
      </c>
      <c r="S178" t="s">
        <v>207</v>
      </c>
      <c r="T178" t="s">
        <v>207</v>
      </c>
      <c r="U178" t="s">
        <v>207</v>
      </c>
      <c r="V178" t="s">
        <v>207</v>
      </c>
      <c r="W178" t="s">
        <v>207</v>
      </c>
      <c r="X178" t="s">
        <v>207</v>
      </c>
      <c r="AG178" t="s">
        <v>4546</v>
      </c>
      <c r="AH178" t="s">
        <v>4564</v>
      </c>
      <c r="AI178" t="s">
        <v>4565</v>
      </c>
      <c r="AJ178" t="s">
        <v>4566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209</v>
      </c>
      <c r="BA178">
        <v>12712480000</v>
      </c>
      <c r="BB178" t="s">
        <v>4572</v>
      </c>
      <c r="BC178" t="s">
        <v>4578</v>
      </c>
    </row>
    <row r="179" spans="1:55" x14ac:dyDescent="0.25">
      <c r="A179">
        <v>1052</v>
      </c>
      <c r="B179" t="s">
        <v>384</v>
      </c>
      <c r="C179" t="s">
        <v>1819</v>
      </c>
      <c r="D179" t="s">
        <v>3254</v>
      </c>
      <c r="E179" t="s">
        <v>4519</v>
      </c>
      <c r="F179">
        <v>481135530</v>
      </c>
      <c r="G179">
        <v>15.088520000000001</v>
      </c>
      <c r="H179" t="s">
        <v>4530</v>
      </c>
      <c r="I179">
        <v>7259623067.1156006</v>
      </c>
      <c r="J179" t="s">
        <v>204</v>
      </c>
      <c r="K179">
        <v>10842068.6779061</v>
      </c>
      <c r="L179">
        <v>0.75</v>
      </c>
      <c r="M179" t="s">
        <v>4536</v>
      </c>
      <c r="O179" t="s">
        <v>207</v>
      </c>
      <c r="Q179" t="s">
        <v>207</v>
      </c>
      <c r="R179" t="s">
        <v>207</v>
      </c>
      <c r="S179" t="s">
        <v>207</v>
      </c>
      <c r="T179" t="s">
        <v>207</v>
      </c>
      <c r="U179" t="s">
        <v>207</v>
      </c>
      <c r="V179" t="s">
        <v>207</v>
      </c>
      <c r="W179" t="s">
        <v>207</v>
      </c>
      <c r="X179" t="s">
        <v>207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209</v>
      </c>
      <c r="AZ179" t="s">
        <v>4571</v>
      </c>
      <c r="BA179">
        <v>5444717300.3367004</v>
      </c>
      <c r="BB179" t="s">
        <v>4572</v>
      </c>
      <c r="BC179" t="s">
        <v>4577</v>
      </c>
    </row>
    <row r="180" spans="1:55" x14ac:dyDescent="0.25">
      <c r="A180">
        <v>949</v>
      </c>
      <c r="B180" t="s">
        <v>385</v>
      </c>
      <c r="C180" t="s">
        <v>1820</v>
      </c>
      <c r="D180" t="s">
        <v>3255</v>
      </c>
      <c r="E180" t="s">
        <v>95</v>
      </c>
      <c r="F180">
        <v>12300000</v>
      </c>
      <c r="G180">
        <v>707.08609999999999</v>
      </c>
      <c r="H180" t="s">
        <v>103</v>
      </c>
      <c r="I180">
        <v>8697159030</v>
      </c>
      <c r="J180" t="s">
        <v>204</v>
      </c>
      <c r="K180">
        <v>15549111.580239899</v>
      </c>
      <c r="L180">
        <v>0.8</v>
      </c>
      <c r="M180" t="s">
        <v>4536</v>
      </c>
      <c r="O180" t="s">
        <v>207</v>
      </c>
      <c r="Q180" t="s">
        <v>207</v>
      </c>
      <c r="R180" t="s">
        <v>207</v>
      </c>
      <c r="S180" t="s">
        <v>207</v>
      </c>
      <c r="T180" t="s">
        <v>207</v>
      </c>
      <c r="U180" t="s">
        <v>207</v>
      </c>
      <c r="V180" t="s">
        <v>207</v>
      </c>
      <c r="W180" t="s">
        <v>207</v>
      </c>
      <c r="X180" t="s">
        <v>207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209</v>
      </c>
      <c r="BA180">
        <v>6957727224</v>
      </c>
      <c r="BB180" t="s">
        <v>4572</v>
      </c>
      <c r="BC180" t="s">
        <v>4536</v>
      </c>
    </row>
    <row r="181" spans="1:55" x14ac:dyDescent="0.25">
      <c r="A181">
        <v>1255</v>
      </c>
      <c r="B181" t="s">
        <v>386</v>
      </c>
      <c r="C181" t="s">
        <v>1821</v>
      </c>
      <c r="D181" t="s">
        <v>3256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204</v>
      </c>
      <c r="K181">
        <v>10092470.100475</v>
      </c>
      <c r="L181">
        <v>1</v>
      </c>
      <c r="M181" t="s">
        <v>4536</v>
      </c>
      <c r="O181" t="s">
        <v>207</v>
      </c>
      <c r="Q181" t="s">
        <v>207</v>
      </c>
      <c r="R181" t="s">
        <v>207</v>
      </c>
      <c r="S181" t="s">
        <v>207</v>
      </c>
      <c r="T181" t="s">
        <v>207</v>
      </c>
      <c r="U181" t="s">
        <v>207</v>
      </c>
      <c r="V181" t="s">
        <v>207</v>
      </c>
      <c r="W181" t="s">
        <v>207</v>
      </c>
      <c r="X181" t="s">
        <v>207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209</v>
      </c>
      <c r="AZ181" t="s">
        <v>4571</v>
      </c>
      <c r="BA181">
        <v>3328040043.6427202</v>
      </c>
      <c r="BB181" t="s">
        <v>4572</v>
      </c>
      <c r="BC181" t="s">
        <v>4577</v>
      </c>
    </row>
    <row r="182" spans="1:55" x14ac:dyDescent="0.25">
      <c r="A182">
        <v>1185</v>
      </c>
      <c r="B182" t="s">
        <v>387</v>
      </c>
      <c r="C182" t="s">
        <v>1822</v>
      </c>
      <c r="D182" t="s">
        <v>3257</v>
      </c>
      <c r="E182" t="s">
        <v>94</v>
      </c>
      <c r="F182">
        <v>568292850</v>
      </c>
      <c r="G182">
        <v>6.6646340000000004</v>
      </c>
      <c r="H182" t="s">
        <v>102</v>
      </c>
      <c r="I182">
        <v>3787463850.0668998</v>
      </c>
      <c r="J182" t="s">
        <v>205</v>
      </c>
      <c r="K182">
        <v>10298590.5269442</v>
      </c>
      <c r="L182">
        <v>1</v>
      </c>
      <c r="M182" t="s">
        <v>4536</v>
      </c>
      <c r="O182" t="s">
        <v>207</v>
      </c>
      <c r="Q182" t="s">
        <v>207</v>
      </c>
      <c r="R182" t="s">
        <v>207</v>
      </c>
      <c r="S182" t="s">
        <v>207</v>
      </c>
      <c r="T182" t="s">
        <v>207</v>
      </c>
      <c r="U182" t="s">
        <v>207</v>
      </c>
      <c r="V182" t="s">
        <v>207</v>
      </c>
      <c r="W182" t="s">
        <v>207</v>
      </c>
      <c r="X182" t="s">
        <v>207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210</v>
      </c>
      <c r="BA182">
        <v>3787463850.0668998</v>
      </c>
      <c r="BB182" t="s">
        <v>4572</v>
      </c>
      <c r="BC182" t="s">
        <v>4536</v>
      </c>
    </row>
    <row r="183" spans="1:55" x14ac:dyDescent="0.25">
      <c r="A183">
        <v>1107</v>
      </c>
      <c r="B183" t="s">
        <v>388</v>
      </c>
      <c r="C183" t="s">
        <v>1823</v>
      </c>
      <c r="D183" t="s">
        <v>3258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204</v>
      </c>
      <c r="K183">
        <v>14477487.1262723</v>
      </c>
      <c r="L183">
        <v>1</v>
      </c>
      <c r="M183" t="s">
        <v>4536</v>
      </c>
      <c r="O183" t="s">
        <v>207</v>
      </c>
      <c r="Q183" t="s">
        <v>207</v>
      </c>
      <c r="R183" t="s">
        <v>207</v>
      </c>
      <c r="S183" t="s">
        <v>207</v>
      </c>
      <c r="T183" t="s">
        <v>207</v>
      </c>
      <c r="U183" t="s">
        <v>207</v>
      </c>
      <c r="V183" t="s">
        <v>207</v>
      </c>
      <c r="W183" t="s">
        <v>207</v>
      </c>
      <c r="X183" t="s">
        <v>207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209</v>
      </c>
      <c r="BA183">
        <v>4534741933.9588985</v>
      </c>
      <c r="BB183" t="s">
        <v>4572</v>
      </c>
      <c r="BC183" t="s">
        <v>4536</v>
      </c>
    </row>
    <row r="184" spans="1:55" x14ac:dyDescent="0.25">
      <c r="A184">
        <v>11</v>
      </c>
      <c r="B184" t="s">
        <v>389</v>
      </c>
      <c r="C184" t="s">
        <v>1824</v>
      </c>
      <c r="D184" t="s">
        <v>3259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202</v>
      </c>
      <c r="K184">
        <v>1748020203.92378</v>
      </c>
      <c r="L184">
        <v>1</v>
      </c>
      <c r="O184" t="s">
        <v>206</v>
      </c>
      <c r="Q184" t="s">
        <v>207</v>
      </c>
      <c r="R184" t="s">
        <v>207</v>
      </c>
      <c r="S184" t="s">
        <v>206</v>
      </c>
      <c r="T184" t="s">
        <v>207</v>
      </c>
      <c r="U184" t="s">
        <v>207</v>
      </c>
      <c r="V184" t="s">
        <v>206</v>
      </c>
      <c r="W184" t="s">
        <v>207</v>
      </c>
      <c r="X184" t="s">
        <v>207</v>
      </c>
      <c r="AA184" t="s">
        <v>4541</v>
      </c>
      <c r="AD184" t="s">
        <v>4543</v>
      </c>
      <c r="AG184" t="s">
        <v>4546</v>
      </c>
      <c r="AH184" t="s">
        <v>4563</v>
      </c>
      <c r="AI184" t="s">
        <v>4565</v>
      </c>
      <c r="AJ184" t="s">
        <v>4566</v>
      </c>
      <c r="AK184">
        <v>1.47E-2</v>
      </c>
      <c r="AL184">
        <v>8.8999999999999996E-2</v>
      </c>
      <c r="AM184">
        <v>2.0400000000000001E-2</v>
      </c>
      <c r="AN184" t="s">
        <v>4567</v>
      </c>
      <c r="AO184" t="s">
        <v>4568</v>
      </c>
      <c r="AP184" t="s">
        <v>4569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208</v>
      </c>
      <c r="AZ184" t="s">
        <v>4571</v>
      </c>
      <c r="BA184">
        <v>608302693116.45007</v>
      </c>
      <c r="BB184" t="s">
        <v>4572</v>
      </c>
      <c r="BC184" t="s">
        <v>4604</v>
      </c>
    </row>
    <row r="185" spans="1:55" x14ac:dyDescent="0.25">
      <c r="A185">
        <v>717</v>
      </c>
      <c r="B185" t="s">
        <v>390</v>
      </c>
      <c r="C185" t="s">
        <v>1825</v>
      </c>
      <c r="D185" t="s">
        <v>3260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202</v>
      </c>
      <c r="K185">
        <v>250123818.98745</v>
      </c>
      <c r="L185">
        <v>0.9</v>
      </c>
      <c r="M185" t="s">
        <v>4536</v>
      </c>
      <c r="O185" t="s">
        <v>207</v>
      </c>
      <c r="Q185" t="s">
        <v>207</v>
      </c>
      <c r="R185" t="s">
        <v>207</v>
      </c>
      <c r="S185" t="s">
        <v>207</v>
      </c>
      <c r="T185" t="s">
        <v>207</v>
      </c>
      <c r="U185" t="s">
        <v>207</v>
      </c>
      <c r="V185" t="s">
        <v>207</v>
      </c>
      <c r="W185" t="s">
        <v>207</v>
      </c>
      <c r="X185" t="s">
        <v>207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208</v>
      </c>
      <c r="BA185">
        <v>16523302968.40671</v>
      </c>
      <c r="BB185" t="s">
        <v>4572</v>
      </c>
      <c r="BC185" t="s">
        <v>4536</v>
      </c>
    </row>
    <row r="186" spans="1:55" x14ac:dyDescent="0.25">
      <c r="A186">
        <v>92</v>
      </c>
      <c r="B186" t="s">
        <v>391</v>
      </c>
      <c r="C186" t="s">
        <v>1826</v>
      </c>
      <c r="D186" t="s">
        <v>3261</v>
      </c>
      <c r="E186" t="s">
        <v>94</v>
      </c>
      <c r="F186">
        <v>5073901400</v>
      </c>
      <c r="G186">
        <v>25.158529999999999</v>
      </c>
      <c r="H186" t="s">
        <v>102</v>
      </c>
      <c r="I186">
        <v>127651900588.942</v>
      </c>
      <c r="J186" t="s">
        <v>205</v>
      </c>
      <c r="K186">
        <v>170001059.76072699</v>
      </c>
      <c r="L186">
        <v>1</v>
      </c>
      <c r="M186" t="s">
        <v>4536</v>
      </c>
      <c r="O186" t="s">
        <v>4538</v>
      </c>
      <c r="P186" t="s">
        <v>4540</v>
      </c>
      <c r="Q186" t="s">
        <v>207</v>
      </c>
      <c r="R186" t="s">
        <v>207</v>
      </c>
      <c r="S186" t="s">
        <v>207</v>
      </c>
      <c r="T186" t="s">
        <v>207</v>
      </c>
      <c r="U186" t="s">
        <v>207</v>
      </c>
      <c r="V186" t="s">
        <v>207</v>
      </c>
      <c r="W186" t="s">
        <v>207</v>
      </c>
      <c r="X186" t="s">
        <v>207</v>
      </c>
      <c r="AK186">
        <v>0.13800000000000001</v>
      </c>
      <c r="AL186">
        <v>0.14699999999999999</v>
      </c>
      <c r="AM186">
        <v>8.5000000000000006E-3</v>
      </c>
      <c r="AN186" t="s">
        <v>4567</v>
      </c>
      <c r="AO186" t="s">
        <v>4568</v>
      </c>
      <c r="AP186" t="s">
        <v>4569</v>
      </c>
      <c r="AQ186">
        <v>0</v>
      </c>
      <c r="AR186">
        <v>0</v>
      </c>
      <c r="AW186">
        <v>5510</v>
      </c>
      <c r="AX186">
        <v>1.776</v>
      </c>
      <c r="AY186" t="s">
        <v>210</v>
      </c>
      <c r="BA186">
        <v>127651900588.942</v>
      </c>
      <c r="BB186" t="s">
        <v>4572</v>
      </c>
      <c r="BC186" t="s">
        <v>4605</v>
      </c>
    </row>
    <row r="187" spans="1:55" x14ac:dyDescent="0.25">
      <c r="A187">
        <v>628</v>
      </c>
      <c r="B187" t="s">
        <v>392</v>
      </c>
      <c r="C187" t="s">
        <v>1827</v>
      </c>
      <c r="D187" t="s">
        <v>3262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202</v>
      </c>
      <c r="K187">
        <v>209847987.53405401</v>
      </c>
      <c r="L187">
        <v>1</v>
      </c>
      <c r="O187" t="s">
        <v>207</v>
      </c>
      <c r="Q187" t="s">
        <v>207</v>
      </c>
      <c r="R187" t="s">
        <v>207</v>
      </c>
      <c r="S187" t="s">
        <v>207</v>
      </c>
      <c r="T187" t="s">
        <v>207</v>
      </c>
      <c r="U187" t="s">
        <v>207</v>
      </c>
      <c r="V187" t="s">
        <v>207</v>
      </c>
      <c r="W187" t="s">
        <v>207</v>
      </c>
      <c r="X187" t="s">
        <v>207</v>
      </c>
      <c r="AG187" t="s">
        <v>4546</v>
      </c>
      <c r="AH187" t="s">
        <v>4562</v>
      </c>
      <c r="AI187" t="s">
        <v>4565</v>
      </c>
      <c r="AJ187" t="s">
        <v>4566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208</v>
      </c>
      <c r="BA187">
        <v>19690269103.835999</v>
      </c>
      <c r="BB187" t="s">
        <v>4572</v>
      </c>
      <c r="BC187" t="s">
        <v>4581</v>
      </c>
    </row>
    <row r="188" spans="1:55" x14ac:dyDescent="0.25">
      <c r="A188">
        <v>1320</v>
      </c>
      <c r="B188" t="s">
        <v>393</v>
      </c>
      <c r="C188" t="s">
        <v>1828</v>
      </c>
      <c r="D188" t="s">
        <v>3263</v>
      </c>
      <c r="E188" t="s">
        <v>95</v>
      </c>
      <c r="F188">
        <v>52800000</v>
      </c>
      <c r="G188">
        <v>162.04499999999999</v>
      </c>
      <c r="H188" t="s">
        <v>103</v>
      </c>
      <c r="I188">
        <v>8555975999.999999</v>
      </c>
      <c r="J188" t="s">
        <v>204</v>
      </c>
      <c r="K188">
        <v>6954705.7130941097</v>
      </c>
      <c r="L188">
        <v>0.35</v>
      </c>
      <c r="M188" t="s">
        <v>4536</v>
      </c>
      <c r="N188" t="s">
        <v>4537</v>
      </c>
      <c r="O188" t="s">
        <v>207</v>
      </c>
      <c r="Q188" t="s">
        <v>207</v>
      </c>
      <c r="R188" t="s">
        <v>207</v>
      </c>
      <c r="S188" t="s">
        <v>207</v>
      </c>
      <c r="T188" t="s">
        <v>207</v>
      </c>
      <c r="U188" t="s">
        <v>207</v>
      </c>
      <c r="V188" t="s">
        <v>207</v>
      </c>
      <c r="W188" t="s">
        <v>207</v>
      </c>
      <c r="X188" t="s">
        <v>207</v>
      </c>
      <c r="AK188">
        <v>1.89E-2</v>
      </c>
      <c r="AL188">
        <v>7.8E-2</v>
      </c>
      <c r="AM188">
        <v>7.7799999999999994E-2</v>
      </c>
      <c r="AN188" t="s">
        <v>4567</v>
      </c>
      <c r="AO188" t="s">
        <v>4568</v>
      </c>
      <c r="AP188" t="s">
        <v>4569</v>
      </c>
      <c r="AQ188">
        <v>0</v>
      </c>
      <c r="AR188">
        <v>0</v>
      </c>
      <c r="AW188">
        <v>6510</v>
      </c>
      <c r="AX188">
        <v>2.04</v>
      </c>
      <c r="AY188" t="s">
        <v>209</v>
      </c>
      <c r="AZ188" t="s">
        <v>4571</v>
      </c>
      <c r="BA188">
        <v>2994591600</v>
      </c>
      <c r="BB188" t="s">
        <v>4572</v>
      </c>
      <c r="BC188" t="s">
        <v>4606</v>
      </c>
    </row>
    <row r="189" spans="1:55" x14ac:dyDescent="0.25">
      <c r="A189">
        <v>83</v>
      </c>
      <c r="B189" t="s">
        <v>394</v>
      </c>
      <c r="C189" t="s">
        <v>1829</v>
      </c>
      <c r="D189" t="s">
        <v>3264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202</v>
      </c>
      <c r="K189">
        <v>779578778.61937106</v>
      </c>
      <c r="L189">
        <v>0.95</v>
      </c>
      <c r="M189" t="s">
        <v>4536</v>
      </c>
      <c r="O189" t="s">
        <v>206</v>
      </c>
      <c r="Q189" t="s">
        <v>207</v>
      </c>
      <c r="R189" t="s">
        <v>207</v>
      </c>
      <c r="S189" t="s">
        <v>207</v>
      </c>
      <c r="T189" t="s">
        <v>207</v>
      </c>
      <c r="U189" t="s">
        <v>207</v>
      </c>
      <c r="V189" t="s">
        <v>207</v>
      </c>
      <c r="W189" t="s">
        <v>207</v>
      </c>
      <c r="X189" t="s">
        <v>207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208</v>
      </c>
      <c r="BA189">
        <v>137103638160.7453</v>
      </c>
      <c r="BB189" t="s">
        <v>4572</v>
      </c>
      <c r="BC189" t="s">
        <v>4536</v>
      </c>
    </row>
    <row r="190" spans="1:55" x14ac:dyDescent="0.25">
      <c r="A190">
        <v>109</v>
      </c>
      <c r="B190" t="s">
        <v>395</v>
      </c>
      <c r="C190" t="s">
        <v>1830</v>
      </c>
      <c r="D190" t="s">
        <v>3265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202</v>
      </c>
      <c r="K190">
        <v>583065507.90078402</v>
      </c>
      <c r="L190">
        <v>1</v>
      </c>
      <c r="O190" t="s">
        <v>206</v>
      </c>
      <c r="Q190" t="s">
        <v>207</v>
      </c>
      <c r="R190" t="s">
        <v>207</v>
      </c>
      <c r="S190" t="s">
        <v>207</v>
      </c>
      <c r="T190" t="s">
        <v>207</v>
      </c>
      <c r="U190" t="s">
        <v>207</v>
      </c>
      <c r="V190" t="s">
        <v>207</v>
      </c>
      <c r="W190" t="s">
        <v>207</v>
      </c>
      <c r="X190" t="s">
        <v>207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208</v>
      </c>
      <c r="AZ190" t="s">
        <v>4571</v>
      </c>
      <c r="BA190">
        <v>109374239615.71001</v>
      </c>
      <c r="BB190" t="s">
        <v>4572</v>
      </c>
      <c r="BC190" t="s">
        <v>4571</v>
      </c>
    </row>
    <row r="191" spans="1:55" x14ac:dyDescent="0.25">
      <c r="A191">
        <v>382</v>
      </c>
      <c r="B191" t="s">
        <v>396</v>
      </c>
      <c r="C191" t="s">
        <v>1831</v>
      </c>
      <c r="D191" t="s">
        <v>3266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202</v>
      </c>
      <c r="K191">
        <v>605924150.88917196</v>
      </c>
      <c r="L191">
        <v>1</v>
      </c>
      <c r="M191" t="s">
        <v>4536</v>
      </c>
      <c r="O191" t="s">
        <v>207</v>
      </c>
      <c r="Q191" t="s">
        <v>207</v>
      </c>
      <c r="R191" t="s">
        <v>207</v>
      </c>
      <c r="S191" t="s">
        <v>207</v>
      </c>
      <c r="T191" t="s">
        <v>207</v>
      </c>
      <c r="U191" t="s">
        <v>207</v>
      </c>
      <c r="V191" t="s">
        <v>207</v>
      </c>
      <c r="W191" t="s">
        <v>207</v>
      </c>
      <c r="X191" t="s">
        <v>207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208</v>
      </c>
      <c r="BA191">
        <v>36593368341.639999</v>
      </c>
      <c r="BB191" t="s">
        <v>4572</v>
      </c>
      <c r="BC191" t="s">
        <v>4536</v>
      </c>
    </row>
    <row r="192" spans="1:55" x14ac:dyDescent="0.25">
      <c r="A192">
        <v>974</v>
      </c>
      <c r="B192" t="s">
        <v>397</v>
      </c>
      <c r="C192" t="s">
        <v>1832</v>
      </c>
      <c r="D192" t="s">
        <v>3267</v>
      </c>
      <c r="E192" t="s">
        <v>94</v>
      </c>
      <c r="F192">
        <v>438609860</v>
      </c>
      <c r="G192">
        <v>14.810980000000001</v>
      </c>
      <c r="H192" t="s">
        <v>102</v>
      </c>
      <c r="I192">
        <v>6496241864.2628002</v>
      </c>
      <c r="J192" t="s">
        <v>205</v>
      </c>
      <c r="K192">
        <v>20164535.577769</v>
      </c>
      <c r="L192">
        <v>1</v>
      </c>
      <c r="M192" t="s">
        <v>4536</v>
      </c>
      <c r="O192" t="s">
        <v>207</v>
      </c>
      <c r="Q192" t="s">
        <v>207</v>
      </c>
      <c r="R192" t="s">
        <v>207</v>
      </c>
      <c r="S192" t="s">
        <v>207</v>
      </c>
      <c r="T192" t="s">
        <v>207</v>
      </c>
      <c r="U192" t="s">
        <v>207</v>
      </c>
      <c r="V192" t="s">
        <v>207</v>
      </c>
      <c r="W192" t="s">
        <v>207</v>
      </c>
      <c r="X192" t="s">
        <v>207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210</v>
      </c>
      <c r="BA192">
        <v>6496241864.2628002</v>
      </c>
      <c r="BB192" t="s">
        <v>4572</v>
      </c>
      <c r="BC192" t="s">
        <v>4536</v>
      </c>
    </row>
    <row r="193" spans="1:55" x14ac:dyDescent="0.25">
      <c r="A193">
        <v>532</v>
      </c>
      <c r="B193" t="s">
        <v>398</v>
      </c>
      <c r="C193" t="s">
        <v>1833</v>
      </c>
      <c r="D193" t="s">
        <v>3268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203</v>
      </c>
      <c r="K193">
        <v>97231108.921311393</v>
      </c>
      <c r="L193">
        <v>0.5</v>
      </c>
      <c r="M193" t="s">
        <v>4536</v>
      </c>
      <c r="O193" t="s">
        <v>207</v>
      </c>
      <c r="Q193" t="s">
        <v>207</v>
      </c>
      <c r="R193" t="s">
        <v>207</v>
      </c>
      <c r="S193" t="s">
        <v>207</v>
      </c>
      <c r="T193" t="s">
        <v>207</v>
      </c>
      <c r="U193" t="s">
        <v>207</v>
      </c>
      <c r="V193" t="s">
        <v>207</v>
      </c>
      <c r="W193" t="s">
        <v>207</v>
      </c>
      <c r="X193" t="s">
        <v>207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209</v>
      </c>
      <c r="BA193">
        <v>23939762388.5</v>
      </c>
      <c r="BB193" t="s">
        <v>4572</v>
      </c>
      <c r="BC193" t="s">
        <v>4536</v>
      </c>
    </row>
    <row r="194" spans="1:55" x14ac:dyDescent="0.25">
      <c r="A194">
        <v>93</v>
      </c>
      <c r="B194" t="s">
        <v>399</v>
      </c>
      <c r="C194" t="s">
        <v>1834</v>
      </c>
      <c r="D194" t="s">
        <v>3269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202</v>
      </c>
      <c r="K194">
        <v>1506443573.4830401</v>
      </c>
      <c r="L194">
        <v>1</v>
      </c>
      <c r="M194" t="s">
        <v>4536</v>
      </c>
      <c r="O194" t="s">
        <v>4538</v>
      </c>
      <c r="P194" t="s">
        <v>4540</v>
      </c>
      <c r="Q194" t="s">
        <v>207</v>
      </c>
      <c r="R194" t="s">
        <v>207</v>
      </c>
      <c r="S194" t="s">
        <v>4538</v>
      </c>
      <c r="T194" t="s">
        <v>207</v>
      </c>
      <c r="U194" t="s">
        <v>206</v>
      </c>
      <c r="V194" t="s">
        <v>207</v>
      </c>
      <c r="W194" t="s">
        <v>206</v>
      </c>
      <c r="X194" t="s">
        <v>4539</v>
      </c>
      <c r="AA194" t="s">
        <v>4541</v>
      </c>
      <c r="AC194" t="s">
        <v>4542</v>
      </c>
      <c r="AE194" t="s">
        <v>4544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208</v>
      </c>
      <c r="BA194">
        <v>127092906365.75999</v>
      </c>
      <c r="BB194" t="s">
        <v>4572</v>
      </c>
      <c r="BC194" t="s">
        <v>4607</v>
      </c>
    </row>
    <row r="195" spans="1:55" x14ac:dyDescent="0.25">
      <c r="A195">
        <v>841</v>
      </c>
      <c r="B195" t="s">
        <v>400</v>
      </c>
      <c r="C195" t="s">
        <v>1835</v>
      </c>
      <c r="D195" t="s">
        <v>3270</v>
      </c>
      <c r="E195" t="s">
        <v>4519</v>
      </c>
      <c r="F195">
        <v>273511170</v>
      </c>
      <c r="G195">
        <v>34.493189999999998</v>
      </c>
      <c r="H195" t="s">
        <v>4530</v>
      </c>
      <c r="I195">
        <v>9434272753.9322987</v>
      </c>
      <c r="J195" t="s">
        <v>204</v>
      </c>
      <c r="K195">
        <v>33893772.8540629</v>
      </c>
      <c r="L195">
        <v>1</v>
      </c>
      <c r="M195" t="s">
        <v>4536</v>
      </c>
      <c r="O195" t="s">
        <v>207</v>
      </c>
      <c r="Q195" t="s">
        <v>207</v>
      </c>
      <c r="R195" t="s">
        <v>207</v>
      </c>
      <c r="S195" t="s">
        <v>207</v>
      </c>
      <c r="T195" t="s">
        <v>207</v>
      </c>
      <c r="U195" t="s">
        <v>207</v>
      </c>
      <c r="V195" t="s">
        <v>207</v>
      </c>
      <c r="W195" t="s">
        <v>207</v>
      </c>
      <c r="X195" t="s">
        <v>207</v>
      </c>
      <c r="AG195" t="s">
        <v>4546</v>
      </c>
      <c r="AH195" t="s">
        <v>4564</v>
      </c>
      <c r="AI195" t="s">
        <v>4565</v>
      </c>
      <c r="AJ195" t="s">
        <v>4566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209</v>
      </c>
      <c r="BA195">
        <v>9434272753.9322987</v>
      </c>
      <c r="BB195" t="s">
        <v>4572</v>
      </c>
      <c r="BC195" t="s">
        <v>4578</v>
      </c>
    </row>
    <row r="196" spans="1:55" x14ac:dyDescent="0.25">
      <c r="A196">
        <v>67</v>
      </c>
      <c r="B196" t="s">
        <v>401</v>
      </c>
      <c r="C196" t="s">
        <v>1836</v>
      </c>
      <c r="D196" t="s">
        <v>3271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202</v>
      </c>
      <c r="K196">
        <v>1169462907.59115</v>
      </c>
      <c r="L196">
        <v>1</v>
      </c>
      <c r="M196" t="s">
        <v>4536</v>
      </c>
      <c r="O196" t="s">
        <v>206</v>
      </c>
      <c r="Q196" t="s">
        <v>207</v>
      </c>
      <c r="R196" t="s">
        <v>207</v>
      </c>
      <c r="S196" t="s">
        <v>207</v>
      </c>
      <c r="T196" t="s">
        <v>207</v>
      </c>
      <c r="U196" t="s">
        <v>207</v>
      </c>
      <c r="V196" t="s">
        <v>207</v>
      </c>
      <c r="W196" t="s">
        <v>207</v>
      </c>
      <c r="X196" t="s">
        <v>207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208</v>
      </c>
      <c r="BA196">
        <v>156641650809.60001</v>
      </c>
      <c r="BB196" t="s">
        <v>4572</v>
      </c>
      <c r="BC196" t="s">
        <v>4536</v>
      </c>
    </row>
    <row r="197" spans="1:55" x14ac:dyDescent="0.25">
      <c r="A197">
        <v>76</v>
      </c>
      <c r="B197" t="s">
        <v>402</v>
      </c>
      <c r="C197" t="s">
        <v>1837</v>
      </c>
      <c r="D197" t="s">
        <v>3272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202</v>
      </c>
      <c r="K197">
        <v>506186978.01005602</v>
      </c>
      <c r="L197">
        <v>1</v>
      </c>
      <c r="M197" t="s">
        <v>4536</v>
      </c>
      <c r="O197" t="s">
        <v>207</v>
      </c>
      <c r="Q197" t="s">
        <v>207</v>
      </c>
      <c r="R197" t="s">
        <v>207</v>
      </c>
      <c r="S197" t="s">
        <v>207</v>
      </c>
      <c r="T197" t="s">
        <v>207</v>
      </c>
      <c r="U197" t="s">
        <v>207</v>
      </c>
      <c r="V197" t="s">
        <v>207</v>
      </c>
      <c r="W197" t="s">
        <v>207</v>
      </c>
      <c r="X197" t="s">
        <v>207</v>
      </c>
      <c r="AG197" t="s">
        <v>4546</v>
      </c>
      <c r="AH197" t="s">
        <v>4562</v>
      </c>
      <c r="AI197" t="s">
        <v>4565</v>
      </c>
      <c r="AJ197" t="s">
        <v>4566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208</v>
      </c>
      <c r="BA197">
        <v>147493115094.841</v>
      </c>
      <c r="BB197" t="s">
        <v>4572</v>
      </c>
      <c r="BC197" t="s">
        <v>4578</v>
      </c>
    </row>
    <row r="198" spans="1:55" x14ac:dyDescent="0.25">
      <c r="A198">
        <v>139</v>
      </c>
      <c r="B198" t="s">
        <v>403</v>
      </c>
      <c r="C198" t="s">
        <v>1838</v>
      </c>
      <c r="D198" t="s">
        <v>3273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204</v>
      </c>
      <c r="K198">
        <v>153841955.41591901</v>
      </c>
      <c r="L198">
        <v>1</v>
      </c>
      <c r="O198" t="s">
        <v>207</v>
      </c>
      <c r="Q198" t="s">
        <v>207</v>
      </c>
      <c r="R198" t="s">
        <v>207</v>
      </c>
      <c r="S198" t="s">
        <v>207</v>
      </c>
      <c r="T198" t="s">
        <v>207</v>
      </c>
      <c r="U198" t="s">
        <v>207</v>
      </c>
      <c r="V198" t="s">
        <v>207</v>
      </c>
      <c r="W198" t="s">
        <v>207</v>
      </c>
      <c r="X198" t="s">
        <v>207</v>
      </c>
      <c r="AG198" t="s">
        <v>4546</v>
      </c>
      <c r="AH198" t="s">
        <v>4564</v>
      </c>
      <c r="AI198" t="s">
        <v>4565</v>
      </c>
      <c r="AJ198" t="s">
        <v>4566</v>
      </c>
      <c r="AK198">
        <v>0</v>
      </c>
      <c r="AL198">
        <v>0.85699999999999998</v>
      </c>
      <c r="AM198">
        <v>3.2000000000000002E-3</v>
      </c>
      <c r="AO198" t="s">
        <v>4568</v>
      </c>
      <c r="AP198" t="s">
        <v>4569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209</v>
      </c>
      <c r="AZ198" t="s">
        <v>4571</v>
      </c>
      <c r="BA198">
        <v>86593120951.26001</v>
      </c>
      <c r="BB198" t="s">
        <v>4572</v>
      </c>
      <c r="BC198" t="s">
        <v>4608</v>
      </c>
    </row>
    <row r="199" spans="1:55" x14ac:dyDescent="0.25">
      <c r="A199">
        <v>961</v>
      </c>
      <c r="B199" t="s">
        <v>404</v>
      </c>
      <c r="C199" t="s">
        <v>1839</v>
      </c>
      <c r="D199" t="s">
        <v>3274</v>
      </c>
      <c r="E199" t="s">
        <v>4517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203</v>
      </c>
      <c r="K199">
        <v>111966595.383213</v>
      </c>
      <c r="L199">
        <v>0.70000000000000007</v>
      </c>
      <c r="M199" t="s">
        <v>4536</v>
      </c>
      <c r="O199" t="s">
        <v>207</v>
      </c>
      <c r="Q199" t="s">
        <v>207</v>
      </c>
      <c r="R199" t="s">
        <v>207</v>
      </c>
      <c r="S199" t="s">
        <v>207</v>
      </c>
      <c r="T199" t="s">
        <v>207</v>
      </c>
      <c r="U199" t="s">
        <v>207</v>
      </c>
      <c r="V199" t="s">
        <v>207</v>
      </c>
      <c r="W199" t="s">
        <v>207</v>
      </c>
      <c r="X199" t="s">
        <v>207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209</v>
      </c>
      <c r="BA199">
        <v>6768922056.2936001</v>
      </c>
      <c r="BB199" t="s">
        <v>4572</v>
      </c>
      <c r="BC199" t="s">
        <v>4536</v>
      </c>
    </row>
    <row r="200" spans="1:55" x14ac:dyDescent="0.25">
      <c r="A200">
        <v>1307</v>
      </c>
      <c r="B200" t="s">
        <v>405</v>
      </c>
      <c r="C200" t="s">
        <v>1840</v>
      </c>
      <c r="D200" t="s">
        <v>3275</v>
      </c>
      <c r="E200" t="s">
        <v>95</v>
      </c>
      <c r="F200">
        <v>86061900</v>
      </c>
      <c r="G200">
        <v>100.7996</v>
      </c>
      <c r="H200" t="s">
        <v>103</v>
      </c>
      <c r="I200">
        <v>8675005095.2399998</v>
      </c>
      <c r="J200" t="s">
        <v>204</v>
      </c>
      <c r="K200">
        <v>7565856.8700409401</v>
      </c>
      <c r="L200">
        <v>0.35</v>
      </c>
      <c r="M200" t="s">
        <v>4536</v>
      </c>
      <c r="N200" t="s">
        <v>4537</v>
      </c>
      <c r="O200" t="s">
        <v>207</v>
      </c>
      <c r="Q200" t="s">
        <v>207</v>
      </c>
      <c r="R200" t="s">
        <v>207</v>
      </c>
      <c r="S200" t="s">
        <v>207</v>
      </c>
      <c r="T200" t="s">
        <v>207</v>
      </c>
      <c r="U200" t="s">
        <v>207</v>
      </c>
      <c r="V200" t="s">
        <v>207</v>
      </c>
      <c r="W200" t="s">
        <v>207</v>
      </c>
      <c r="X200" t="s">
        <v>207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209</v>
      </c>
      <c r="BA200">
        <v>3036251783.3340001</v>
      </c>
      <c r="BB200" t="s">
        <v>4572</v>
      </c>
      <c r="BC200" t="s">
        <v>4575</v>
      </c>
    </row>
    <row r="201" spans="1:55" x14ac:dyDescent="0.25">
      <c r="A201">
        <v>709</v>
      </c>
      <c r="B201" t="s">
        <v>406</v>
      </c>
      <c r="C201" t="s">
        <v>1841</v>
      </c>
      <c r="D201" t="s">
        <v>3276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205</v>
      </c>
      <c r="K201">
        <v>30334574.6512486</v>
      </c>
      <c r="L201">
        <v>1</v>
      </c>
      <c r="M201" t="s">
        <v>4536</v>
      </c>
      <c r="O201" t="s">
        <v>207</v>
      </c>
      <c r="Q201" t="s">
        <v>207</v>
      </c>
      <c r="R201" t="s">
        <v>207</v>
      </c>
      <c r="S201" t="s">
        <v>207</v>
      </c>
      <c r="T201" t="s">
        <v>207</v>
      </c>
      <c r="U201" t="s">
        <v>207</v>
      </c>
      <c r="V201" t="s">
        <v>207</v>
      </c>
      <c r="W201" t="s">
        <v>207</v>
      </c>
      <c r="X201" t="s">
        <v>207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210</v>
      </c>
      <c r="BA201">
        <v>16721281243.146</v>
      </c>
      <c r="BB201" t="s">
        <v>4572</v>
      </c>
      <c r="BC201" t="s">
        <v>4536</v>
      </c>
    </row>
    <row r="202" spans="1:55" x14ac:dyDescent="0.25">
      <c r="A202">
        <v>907</v>
      </c>
      <c r="B202" t="s">
        <v>407</v>
      </c>
      <c r="C202" t="s">
        <v>1842</v>
      </c>
      <c r="D202" t="s">
        <v>3277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203</v>
      </c>
      <c r="K202">
        <v>14772640.9057377</v>
      </c>
      <c r="L202">
        <v>0.85</v>
      </c>
      <c r="M202" t="s">
        <v>4536</v>
      </c>
      <c r="O202" t="s">
        <v>207</v>
      </c>
      <c r="Q202" t="s">
        <v>207</v>
      </c>
      <c r="R202" t="s">
        <v>207</v>
      </c>
      <c r="S202" t="s">
        <v>207</v>
      </c>
      <c r="T202" t="s">
        <v>207</v>
      </c>
      <c r="U202" t="s">
        <v>207</v>
      </c>
      <c r="V202" t="s">
        <v>207</v>
      </c>
      <c r="W202" t="s">
        <v>207</v>
      </c>
      <c r="X202" t="s">
        <v>207</v>
      </c>
      <c r="AK202">
        <v>0</v>
      </c>
      <c r="AL202">
        <v>0.05</v>
      </c>
      <c r="AM202">
        <v>0</v>
      </c>
      <c r="AO202" t="s">
        <v>4568</v>
      </c>
      <c r="AQ202">
        <v>0</v>
      </c>
      <c r="AR202">
        <v>0</v>
      </c>
      <c r="AW202">
        <v>5520</v>
      </c>
      <c r="AX202">
        <v>2.6440000000000001</v>
      </c>
      <c r="AY202" t="s">
        <v>209</v>
      </c>
      <c r="BA202">
        <v>7827564605.9399996</v>
      </c>
      <c r="BB202" t="s">
        <v>4572</v>
      </c>
      <c r="BC202" t="s">
        <v>4582</v>
      </c>
    </row>
    <row r="203" spans="1:55" x14ac:dyDescent="0.25">
      <c r="A203">
        <v>1290</v>
      </c>
      <c r="B203" t="s">
        <v>408</v>
      </c>
      <c r="C203" t="s">
        <v>1843</v>
      </c>
      <c r="D203" t="s">
        <v>3278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204</v>
      </c>
      <c r="K203">
        <v>1563913.1787421501</v>
      </c>
      <c r="L203">
        <v>0.85</v>
      </c>
      <c r="M203" t="s">
        <v>4536</v>
      </c>
      <c r="N203" t="s">
        <v>4537</v>
      </c>
      <c r="O203" t="s">
        <v>207</v>
      </c>
      <c r="Q203" t="s">
        <v>207</v>
      </c>
      <c r="R203" t="s">
        <v>207</v>
      </c>
      <c r="S203" t="s">
        <v>207</v>
      </c>
      <c r="T203" t="s">
        <v>207</v>
      </c>
      <c r="U203" t="s">
        <v>207</v>
      </c>
      <c r="V203" t="s">
        <v>207</v>
      </c>
      <c r="W203" t="s">
        <v>207</v>
      </c>
      <c r="X203" t="s">
        <v>207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209</v>
      </c>
      <c r="AZ203" t="s">
        <v>4571</v>
      </c>
      <c r="BA203">
        <v>3134383200.5303459</v>
      </c>
      <c r="BB203" t="s">
        <v>4572</v>
      </c>
      <c r="BC203" t="s">
        <v>4584</v>
      </c>
    </row>
    <row r="204" spans="1:55" x14ac:dyDescent="0.25">
      <c r="A204">
        <v>527</v>
      </c>
      <c r="B204" t="s">
        <v>409</v>
      </c>
      <c r="C204" t="s">
        <v>1844</v>
      </c>
      <c r="D204" t="s">
        <v>3279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205</v>
      </c>
      <c r="K204">
        <v>75815827.116558403</v>
      </c>
      <c r="L204">
        <v>0.9</v>
      </c>
      <c r="O204" t="s">
        <v>207</v>
      </c>
      <c r="Q204" t="s">
        <v>207</v>
      </c>
      <c r="R204" t="s">
        <v>207</v>
      </c>
      <c r="S204" t="s">
        <v>207</v>
      </c>
      <c r="T204" t="s">
        <v>207</v>
      </c>
      <c r="U204" t="s">
        <v>207</v>
      </c>
      <c r="V204" t="s">
        <v>207</v>
      </c>
      <c r="W204" t="s">
        <v>207</v>
      </c>
      <c r="X204" t="s">
        <v>207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210</v>
      </c>
      <c r="BA204">
        <v>24441880885.632</v>
      </c>
      <c r="BB204" t="s">
        <v>211</v>
      </c>
    </row>
    <row r="205" spans="1:55" x14ac:dyDescent="0.25">
      <c r="A205">
        <v>110</v>
      </c>
      <c r="B205" t="s">
        <v>410</v>
      </c>
      <c r="C205" t="s">
        <v>1845</v>
      </c>
      <c r="D205" t="s">
        <v>3280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202</v>
      </c>
      <c r="K205">
        <v>591649492.84170198</v>
      </c>
      <c r="L205">
        <v>1</v>
      </c>
      <c r="O205" t="s">
        <v>207</v>
      </c>
      <c r="Q205" t="s">
        <v>207</v>
      </c>
      <c r="R205" t="s">
        <v>207</v>
      </c>
      <c r="S205" t="s">
        <v>207</v>
      </c>
      <c r="T205" t="s">
        <v>207</v>
      </c>
      <c r="U205" t="s">
        <v>207</v>
      </c>
      <c r="V205" t="s">
        <v>207</v>
      </c>
      <c r="W205" t="s">
        <v>207</v>
      </c>
      <c r="X205" t="s">
        <v>207</v>
      </c>
      <c r="AG205" t="s">
        <v>4546</v>
      </c>
      <c r="AH205" t="s">
        <v>4562</v>
      </c>
      <c r="AI205" t="s">
        <v>4565</v>
      </c>
      <c r="AJ205" t="s">
        <v>4566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208</v>
      </c>
      <c r="BA205">
        <v>108365849300.48</v>
      </c>
      <c r="BB205" t="s">
        <v>4572</v>
      </c>
      <c r="BC205" t="s">
        <v>4581</v>
      </c>
    </row>
    <row r="206" spans="1:55" x14ac:dyDescent="0.25">
      <c r="A206">
        <v>213</v>
      </c>
      <c r="B206" t="s">
        <v>411</v>
      </c>
      <c r="C206" t="s">
        <v>1846</v>
      </c>
      <c r="D206" t="s">
        <v>3281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204</v>
      </c>
      <c r="K206">
        <v>132061608.846582</v>
      </c>
      <c r="L206">
        <v>0.8</v>
      </c>
      <c r="M206" t="s">
        <v>4536</v>
      </c>
      <c r="O206" t="s">
        <v>207</v>
      </c>
      <c r="Q206" t="s">
        <v>207</v>
      </c>
      <c r="R206" t="s">
        <v>207</v>
      </c>
      <c r="S206" t="s">
        <v>207</v>
      </c>
      <c r="T206" t="s">
        <v>207</v>
      </c>
      <c r="U206" t="s">
        <v>207</v>
      </c>
      <c r="V206" t="s">
        <v>207</v>
      </c>
      <c r="W206" t="s">
        <v>207</v>
      </c>
      <c r="X206" t="s">
        <v>207</v>
      </c>
      <c r="AG206" t="s">
        <v>4546</v>
      </c>
      <c r="AH206" t="s">
        <v>4563</v>
      </c>
      <c r="AI206" t="s">
        <v>4565</v>
      </c>
      <c r="AJ206" t="s">
        <v>4566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209</v>
      </c>
      <c r="BA206">
        <v>63233012949.600014</v>
      </c>
      <c r="BB206" t="s">
        <v>4572</v>
      </c>
      <c r="BC206" t="s">
        <v>4578</v>
      </c>
    </row>
    <row r="207" spans="1:55" x14ac:dyDescent="0.25">
      <c r="A207">
        <v>1123</v>
      </c>
      <c r="B207" t="s">
        <v>412</v>
      </c>
      <c r="C207" t="s">
        <v>1847</v>
      </c>
      <c r="D207" t="s">
        <v>3282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204</v>
      </c>
      <c r="K207">
        <v>12488362.472988101</v>
      </c>
      <c r="L207">
        <v>1</v>
      </c>
      <c r="M207" t="s">
        <v>4536</v>
      </c>
      <c r="O207" t="s">
        <v>207</v>
      </c>
      <c r="Q207" t="s">
        <v>207</v>
      </c>
      <c r="R207" t="s">
        <v>207</v>
      </c>
      <c r="S207" t="s">
        <v>207</v>
      </c>
      <c r="T207" t="s">
        <v>207</v>
      </c>
      <c r="U207" t="s">
        <v>207</v>
      </c>
      <c r="V207" t="s">
        <v>207</v>
      </c>
      <c r="W207" t="s">
        <v>207</v>
      </c>
      <c r="X207" t="s">
        <v>207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209</v>
      </c>
      <c r="BA207">
        <v>4384751413.5331202</v>
      </c>
      <c r="BB207" t="s">
        <v>4572</v>
      </c>
      <c r="BC207" t="s">
        <v>4536</v>
      </c>
    </row>
    <row r="208" spans="1:55" x14ac:dyDescent="0.25">
      <c r="A208">
        <v>7</v>
      </c>
      <c r="B208" t="s">
        <v>413</v>
      </c>
      <c r="C208" t="s">
        <v>1848</v>
      </c>
      <c r="D208" t="s">
        <v>3283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202</v>
      </c>
      <c r="K208">
        <v>6914010698.3112402</v>
      </c>
      <c r="L208">
        <v>1</v>
      </c>
      <c r="M208" t="s">
        <v>4536</v>
      </c>
      <c r="O208" t="s">
        <v>207</v>
      </c>
      <c r="Q208" t="s">
        <v>207</v>
      </c>
      <c r="R208" t="s">
        <v>207</v>
      </c>
      <c r="S208" t="s">
        <v>207</v>
      </c>
      <c r="T208" t="s">
        <v>207</v>
      </c>
      <c r="U208" t="s">
        <v>207</v>
      </c>
      <c r="V208" t="s">
        <v>207</v>
      </c>
      <c r="W208" t="s">
        <v>207</v>
      </c>
      <c r="X208" t="s">
        <v>207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208</v>
      </c>
      <c r="BA208">
        <v>980332383264</v>
      </c>
      <c r="BB208" t="s">
        <v>4572</v>
      </c>
      <c r="BC208" t="s">
        <v>4536</v>
      </c>
    </row>
    <row r="209" spans="1:55" x14ac:dyDescent="0.25">
      <c r="A209">
        <v>499</v>
      </c>
      <c r="B209" t="s">
        <v>414</v>
      </c>
      <c r="C209" t="s">
        <v>1849</v>
      </c>
      <c r="D209" t="s">
        <v>3284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202</v>
      </c>
      <c r="K209">
        <v>103080083.875035</v>
      </c>
      <c r="L209">
        <v>1</v>
      </c>
      <c r="M209" t="s">
        <v>4536</v>
      </c>
      <c r="O209" t="s">
        <v>207</v>
      </c>
      <c r="Q209" t="s">
        <v>207</v>
      </c>
      <c r="R209" t="s">
        <v>207</v>
      </c>
      <c r="S209" t="s">
        <v>207</v>
      </c>
      <c r="T209" t="s">
        <v>207</v>
      </c>
      <c r="U209" t="s">
        <v>207</v>
      </c>
      <c r="V209" t="s">
        <v>207</v>
      </c>
      <c r="W209" t="s">
        <v>207</v>
      </c>
      <c r="X209" t="s">
        <v>207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208</v>
      </c>
      <c r="BA209">
        <v>26339560053.534</v>
      </c>
      <c r="BB209" t="s">
        <v>4572</v>
      </c>
      <c r="BC209" t="s">
        <v>4536</v>
      </c>
    </row>
    <row r="210" spans="1:55" x14ac:dyDescent="0.25">
      <c r="A210">
        <v>160</v>
      </c>
      <c r="B210" t="s">
        <v>415</v>
      </c>
      <c r="C210" t="s">
        <v>1850</v>
      </c>
      <c r="D210" t="s">
        <v>3285</v>
      </c>
      <c r="E210" t="s">
        <v>97</v>
      </c>
      <c r="F210">
        <v>1637198000</v>
      </c>
      <c r="G210">
        <v>56.10192</v>
      </c>
      <c r="H210" t="s">
        <v>104</v>
      </c>
      <c r="I210">
        <v>91849951220.160004</v>
      </c>
      <c r="J210" t="s">
        <v>202</v>
      </c>
      <c r="K210">
        <v>56364735.365361899</v>
      </c>
      <c r="L210">
        <v>0.85</v>
      </c>
      <c r="M210" t="s">
        <v>4536</v>
      </c>
      <c r="O210" t="s">
        <v>207</v>
      </c>
      <c r="Q210" t="s">
        <v>207</v>
      </c>
      <c r="R210" t="s">
        <v>207</v>
      </c>
      <c r="S210" t="s">
        <v>4538</v>
      </c>
      <c r="T210" t="s">
        <v>207</v>
      </c>
      <c r="U210" t="s">
        <v>207</v>
      </c>
      <c r="V210" t="s">
        <v>207</v>
      </c>
      <c r="W210" t="s">
        <v>207</v>
      </c>
      <c r="X210" t="s">
        <v>207</v>
      </c>
      <c r="AA210" t="s">
        <v>4541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208</v>
      </c>
      <c r="AZ210" t="s">
        <v>4571</v>
      </c>
      <c r="BA210">
        <v>78072458537.136002</v>
      </c>
      <c r="BB210" t="s">
        <v>4572</v>
      </c>
      <c r="BC210" t="s">
        <v>4609</v>
      </c>
    </row>
    <row r="211" spans="1:55" x14ac:dyDescent="0.25">
      <c r="A211">
        <v>170</v>
      </c>
      <c r="B211" t="s">
        <v>416</v>
      </c>
      <c r="C211" t="s">
        <v>1851</v>
      </c>
      <c r="D211" t="s">
        <v>3286</v>
      </c>
      <c r="E211" t="s">
        <v>97</v>
      </c>
      <c r="F211">
        <v>1646148300</v>
      </c>
      <c r="G211">
        <v>56.378019999999999</v>
      </c>
      <c r="H211" t="s">
        <v>104</v>
      </c>
      <c r="I211">
        <v>92806581780.365997</v>
      </c>
      <c r="J211" t="s">
        <v>202</v>
      </c>
      <c r="K211">
        <v>87691529.422489896</v>
      </c>
      <c r="L211">
        <v>0.8</v>
      </c>
      <c r="O211" t="s">
        <v>207</v>
      </c>
      <c r="Q211" t="s">
        <v>207</v>
      </c>
      <c r="R211" t="s">
        <v>207</v>
      </c>
      <c r="S211" t="s">
        <v>4538</v>
      </c>
      <c r="T211" t="s">
        <v>207</v>
      </c>
      <c r="U211" t="s">
        <v>207</v>
      </c>
      <c r="V211" t="s">
        <v>207</v>
      </c>
      <c r="W211" t="s">
        <v>207</v>
      </c>
      <c r="X211" t="s">
        <v>207</v>
      </c>
      <c r="AA211" t="s">
        <v>4541</v>
      </c>
      <c r="AK211">
        <v>0</v>
      </c>
      <c r="AL211">
        <v>0.19900000000000001</v>
      </c>
      <c r="AM211">
        <v>0</v>
      </c>
      <c r="AO211" t="s">
        <v>4568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208</v>
      </c>
      <c r="AZ211" t="s">
        <v>4571</v>
      </c>
      <c r="BA211">
        <v>74245265424.292801</v>
      </c>
      <c r="BB211" t="s">
        <v>4572</v>
      </c>
      <c r="BC211" t="s">
        <v>4585</v>
      </c>
    </row>
    <row r="212" spans="1:55" x14ac:dyDescent="0.25">
      <c r="A212">
        <v>1109</v>
      </c>
      <c r="B212" t="s">
        <v>417</v>
      </c>
      <c r="C212" t="s">
        <v>1852</v>
      </c>
      <c r="D212" t="s">
        <v>3287</v>
      </c>
      <c r="E212" t="s">
        <v>93</v>
      </c>
      <c r="F212">
        <v>257755920</v>
      </c>
      <c r="G212">
        <v>17.577470000000002</v>
      </c>
      <c r="H212" t="s">
        <v>101</v>
      </c>
      <c r="I212">
        <v>4530696951.1224003</v>
      </c>
      <c r="J212" t="s">
        <v>205</v>
      </c>
      <c r="K212">
        <v>16593645.8959518</v>
      </c>
      <c r="L212">
        <v>1</v>
      </c>
      <c r="M212" t="s">
        <v>4536</v>
      </c>
      <c r="O212" t="s">
        <v>207</v>
      </c>
      <c r="Q212" t="s">
        <v>207</v>
      </c>
      <c r="R212" t="s">
        <v>207</v>
      </c>
      <c r="S212" t="s">
        <v>207</v>
      </c>
      <c r="T212" t="s">
        <v>207</v>
      </c>
      <c r="U212" t="s">
        <v>207</v>
      </c>
      <c r="V212" t="s">
        <v>207</v>
      </c>
      <c r="W212" t="s">
        <v>207</v>
      </c>
      <c r="X212" t="s">
        <v>207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210</v>
      </c>
      <c r="BA212">
        <v>4530696951.1224003</v>
      </c>
      <c r="BB212" t="s">
        <v>4572</v>
      </c>
      <c r="BC212" t="s">
        <v>4536</v>
      </c>
    </row>
    <row r="213" spans="1:55" x14ac:dyDescent="0.25">
      <c r="A213">
        <v>505</v>
      </c>
      <c r="B213" t="s">
        <v>418</v>
      </c>
      <c r="C213" t="s">
        <v>1853</v>
      </c>
      <c r="D213" t="s">
        <v>3288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202</v>
      </c>
      <c r="K213">
        <v>144862998.684627</v>
      </c>
      <c r="L213">
        <v>0.85</v>
      </c>
      <c r="M213" t="s">
        <v>4536</v>
      </c>
      <c r="O213" t="s">
        <v>207</v>
      </c>
      <c r="Q213" t="s">
        <v>207</v>
      </c>
      <c r="R213" t="s">
        <v>207</v>
      </c>
      <c r="S213" t="s">
        <v>207</v>
      </c>
      <c r="T213" t="s">
        <v>207</v>
      </c>
      <c r="U213" t="s">
        <v>207</v>
      </c>
      <c r="V213" t="s">
        <v>207</v>
      </c>
      <c r="W213" t="s">
        <v>207</v>
      </c>
      <c r="X213" t="s">
        <v>207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208</v>
      </c>
      <c r="AZ213" t="s">
        <v>4571</v>
      </c>
      <c r="BA213">
        <v>25968668386.057201</v>
      </c>
      <c r="BB213" t="s">
        <v>4572</v>
      </c>
      <c r="BC213" t="s">
        <v>4577</v>
      </c>
    </row>
    <row r="214" spans="1:55" x14ac:dyDescent="0.25">
      <c r="A214">
        <v>1131</v>
      </c>
      <c r="B214" t="s">
        <v>419</v>
      </c>
      <c r="C214" t="s">
        <v>1854</v>
      </c>
      <c r="D214" t="s">
        <v>3289</v>
      </c>
      <c r="E214" t="s">
        <v>4517</v>
      </c>
      <c r="F214">
        <v>68000000</v>
      </c>
      <c r="G214">
        <v>126.6</v>
      </c>
      <c r="H214" t="s">
        <v>99</v>
      </c>
      <c r="I214">
        <v>8608800000</v>
      </c>
      <c r="J214" t="s">
        <v>203</v>
      </c>
      <c r="K214">
        <v>21164567.774590202</v>
      </c>
      <c r="L214">
        <v>0.5</v>
      </c>
      <c r="O214" t="s">
        <v>207</v>
      </c>
      <c r="Q214" t="s">
        <v>207</v>
      </c>
      <c r="R214" t="s">
        <v>207</v>
      </c>
      <c r="S214" t="s">
        <v>207</v>
      </c>
      <c r="T214" t="s">
        <v>207</v>
      </c>
      <c r="U214" t="s">
        <v>207</v>
      </c>
      <c r="V214" t="s">
        <v>207</v>
      </c>
      <c r="W214" t="s">
        <v>207</v>
      </c>
      <c r="X214" t="s">
        <v>207</v>
      </c>
      <c r="AG214" t="s">
        <v>4547</v>
      </c>
      <c r="AI214" t="s">
        <v>4565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209</v>
      </c>
      <c r="BA214">
        <v>4304400000</v>
      </c>
      <c r="BB214" t="s">
        <v>4572</v>
      </c>
      <c r="BC214" t="s">
        <v>4565</v>
      </c>
    </row>
    <row r="215" spans="1:55" x14ac:dyDescent="0.25">
      <c r="A215">
        <v>937</v>
      </c>
      <c r="B215" t="s">
        <v>420</v>
      </c>
      <c r="C215" t="s">
        <v>1855</v>
      </c>
      <c r="D215" t="s">
        <v>3290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204</v>
      </c>
      <c r="K215">
        <v>22456253.843416799</v>
      </c>
      <c r="L215">
        <v>0.4</v>
      </c>
      <c r="M215" t="s">
        <v>4536</v>
      </c>
      <c r="O215" t="s">
        <v>207</v>
      </c>
      <c r="Q215" t="s">
        <v>207</v>
      </c>
      <c r="R215" t="s">
        <v>207</v>
      </c>
      <c r="S215" t="s">
        <v>207</v>
      </c>
      <c r="T215" t="s">
        <v>207</v>
      </c>
      <c r="U215" t="s">
        <v>207</v>
      </c>
      <c r="V215" t="s">
        <v>207</v>
      </c>
      <c r="W215" t="s">
        <v>207</v>
      </c>
      <c r="X215" t="s">
        <v>207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209</v>
      </c>
      <c r="BA215">
        <v>7251237802.8464012</v>
      </c>
      <c r="BB215" t="s">
        <v>4572</v>
      </c>
      <c r="BC215" t="s">
        <v>4536</v>
      </c>
    </row>
    <row r="216" spans="1:55" x14ac:dyDescent="0.25">
      <c r="A216">
        <v>774</v>
      </c>
      <c r="B216" t="s">
        <v>421</v>
      </c>
      <c r="C216" t="s">
        <v>1856</v>
      </c>
      <c r="D216" t="s">
        <v>3291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204</v>
      </c>
      <c r="K216">
        <v>20420662.454890098</v>
      </c>
      <c r="L216">
        <v>1</v>
      </c>
      <c r="M216" t="s">
        <v>4536</v>
      </c>
      <c r="O216" t="s">
        <v>207</v>
      </c>
      <c r="Q216" t="s">
        <v>207</v>
      </c>
      <c r="R216" t="s">
        <v>207</v>
      </c>
      <c r="S216" t="s">
        <v>207</v>
      </c>
      <c r="T216" t="s">
        <v>207</v>
      </c>
      <c r="U216" t="s">
        <v>207</v>
      </c>
      <c r="V216" t="s">
        <v>207</v>
      </c>
      <c r="W216" t="s">
        <v>207</v>
      </c>
      <c r="X216" t="s">
        <v>207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209</v>
      </c>
      <c r="AZ216" t="s">
        <v>4571</v>
      </c>
      <c r="BA216">
        <v>13419159376.902599</v>
      </c>
      <c r="BB216" t="s">
        <v>4572</v>
      </c>
      <c r="BC216" t="s">
        <v>4577</v>
      </c>
    </row>
    <row r="217" spans="1:55" x14ac:dyDescent="0.25">
      <c r="A217">
        <v>1100</v>
      </c>
      <c r="B217" t="s">
        <v>422</v>
      </c>
      <c r="C217" t="s">
        <v>1857</v>
      </c>
      <c r="D217" t="s">
        <v>3292</v>
      </c>
      <c r="E217" t="s">
        <v>91</v>
      </c>
      <c r="F217">
        <v>358583600</v>
      </c>
      <c r="G217">
        <v>12.85107</v>
      </c>
      <c r="H217" t="s">
        <v>100</v>
      </c>
      <c r="I217">
        <v>4608182944.4519997</v>
      </c>
      <c r="J217" t="s">
        <v>204</v>
      </c>
      <c r="K217">
        <v>15235019.3876136</v>
      </c>
      <c r="L217">
        <v>1</v>
      </c>
      <c r="O217" t="s">
        <v>207</v>
      </c>
      <c r="Q217" t="s">
        <v>207</v>
      </c>
      <c r="R217" t="s">
        <v>207</v>
      </c>
      <c r="S217" t="s">
        <v>207</v>
      </c>
      <c r="T217" t="s">
        <v>207</v>
      </c>
      <c r="U217" t="s">
        <v>207</v>
      </c>
      <c r="V217" t="s">
        <v>207</v>
      </c>
      <c r="W217" t="s">
        <v>207</v>
      </c>
      <c r="X217" t="s">
        <v>207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209</v>
      </c>
      <c r="BA217">
        <v>4608182944.4519997</v>
      </c>
      <c r="BB217" t="s">
        <v>211</v>
      </c>
    </row>
    <row r="218" spans="1:55" x14ac:dyDescent="0.25">
      <c r="A218">
        <v>1336</v>
      </c>
      <c r="B218" t="s">
        <v>423</v>
      </c>
      <c r="C218" t="s">
        <v>1858</v>
      </c>
      <c r="D218" t="s">
        <v>3293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204</v>
      </c>
      <c r="K218">
        <v>1613213.2464775599</v>
      </c>
      <c r="L218">
        <v>0.9</v>
      </c>
      <c r="M218" t="s">
        <v>4536</v>
      </c>
      <c r="N218" t="s">
        <v>4537</v>
      </c>
      <c r="O218" t="s">
        <v>207</v>
      </c>
      <c r="Q218" t="s">
        <v>207</v>
      </c>
      <c r="R218" t="s">
        <v>207</v>
      </c>
      <c r="S218" t="s">
        <v>207</v>
      </c>
      <c r="T218" t="s">
        <v>207</v>
      </c>
      <c r="U218" t="s">
        <v>207</v>
      </c>
      <c r="V218" t="s">
        <v>207</v>
      </c>
      <c r="W218" t="s">
        <v>207</v>
      </c>
      <c r="X218" t="s">
        <v>207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209</v>
      </c>
      <c r="BA218">
        <v>2917423050.1487999</v>
      </c>
      <c r="BB218" t="s">
        <v>4572</v>
      </c>
      <c r="BC218" t="s">
        <v>4575</v>
      </c>
    </row>
    <row r="219" spans="1:55" x14ac:dyDescent="0.25">
      <c r="A219">
        <v>1252</v>
      </c>
      <c r="B219" t="s">
        <v>424</v>
      </c>
      <c r="C219" t="s">
        <v>1859</v>
      </c>
      <c r="D219" t="s">
        <v>3294</v>
      </c>
      <c r="E219" t="s">
        <v>4517</v>
      </c>
      <c r="F219">
        <v>192626154</v>
      </c>
      <c r="G219">
        <v>43.34</v>
      </c>
      <c r="H219" t="s">
        <v>99</v>
      </c>
      <c r="I219">
        <v>8348417514.3600006</v>
      </c>
      <c r="J219" t="s">
        <v>203</v>
      </c>
      <c r="K219">
        <v>17802475.344590198</v>
      </c>
      <c r="L219">
        <v>0.4</v>
      </c>
      <c r="M219" t="s">
        <v>4536</v>
      </c>
      <c r="O219" t="s">
        <v>207</v>
      </c>
      <c r="Q219" t="s">
        <v>207</v>
      </c>
      <c r="R219" t="s">
        <v>207</v>
      </c>
      <c r="S219" t="s">
        <v>207</v>
      </c>
      <c r="T219" t="s">
        <v>207</v>
      </c>
      <c r="U219" t="s">
        <v>207</v>
      </c>
      <c r="V219" t="s">
        <v>207</v>
      </c>
      <c r="W219" t="s">
        <v>207</v>
      </c>
      <c r="X219" t="s">
        <v>207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209</v>
      </c>
      <c r="BA219">
        <v>3339367005.744</v>
      </c>
      <c r="BB219" t="s">
        <v>4572</v>
      </c>
      <c r="BC219" t="s">
        <v>4536</v>
      </c>
    </row>
    <row r="220" spans="1:55" x14ac:dyDescent="0.25">
      <c r="A220">
        <v>195</v>
      </c>
      <c r="B220" t="s">
        <v>425</v>
      </c>
      <c r="C220" t="s">
        <v>1860</v>
      </c>
      <c r="D220" t="s">
        <v>3295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202</v>
      </c>
      <c r="K220">
        <v>493056283.76406801</v>
      </c>
      <c r="L220">
        <v>1</v>
      </c>
      <c r="M220" t="s">
        <v>4536</v>
      </c>
      <c r="O220" t="s">
        <v>207</v>
      </c>
      <c r="Q220" t="s">
        <v>207</v>
      </c>
      <c r="R220" t="s">
        <v>207</v>
      </c>
      <c r="S220" t="s">
        <v>207</v>
      </c>
      <c r="T220" t="s">
        <v>207</v>
      </c>
      <c r="U220" t="s">
        <v>207</v>
      </c>
      <c r="V220" t="s">
        <v>207</v>
      </c>
      <c r="W220" t="s">
        <v>207</v>
      </c>
      <c r="X220" t="s">
        <v>207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208</v>
      </c>
      <c r="BA220">
        <v>67731291886.800003</v>
      </c>
      <c r="BB220" t="s">
        <v>4572</v>
      </c>
      <c r="BC220" t="s">
        <v>4536</v>
      </c>
    </row>
    <row r="221" spans="1:55" x14ac:dyDescent="0.25">
      <c r="A221">
        <v>540</v>
      </c>
      <c r="B221" t="s">
        <v>426</v>
      </c>
      <c r="C221" t="s">
        <v>1861</v>
      </c>
      <c r="D221" t="s">
        <v>3296</v>
      </c>
      <c r="E221" t="s">
        <v>92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203</v>
      </c>
      <c r="K221">
        <v>56714187.6754127</v>
      </c>
      <c r="L221">
        <v>0.5</v>
      </c>
      <c r="M221" t="s">
        <v>4536</v>
      </c>
      <c r="O221" t="s">
        <v>207</v>
      </c>
      <c r="Q221" t="s">
        <v>207</v>
      </c>
      <c r="R221" t="s">
        <v>207</v>
      </c>
      <c r="S221" t="s">
        <v>207</v>
      </c>
      <c r="T221" t="s">
        <v>207</v>
      </c>
      <c r="U221" t="s">
        <v>207</v>
      </c>
      <c r="V221" t="s">
        <v>207</v>
      </c>
      <c r="W221" t="s">
        <v>207</v>
      </c>
      <c r="X221" t="s">
        <v>207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209</v>
      </c>
      <c r="BA221">
        <v>23304198624</v>
      </c>
      <c r="BB221" t="s">
        <v>4572</v>
      </c>
      <c r="BC221" t="s">
        <v>4536</v>
      </c>
    </row>
    <row r="222" spans="1:55" x14ac:dyDescent="0.25">
      <c r="A222">
        <v>667</v>
      </c>
      <c r="B222" t="s">
        <v>427</v>
      </c>
      <c r="C222" t="s">
        <v>1862</v>
      </c>
      <c r="D222" t="s">
        <v>3297</v>
      </c>
      <c r="E222" t="s">
        <v>97</v>
      </c>
      <c r="F222">
        <v>435188570</v>
      </c>
      <c r="G222">
        <v>41.663969999999999</v>
      </c>
      <c r="H222" t="s">
        <v>104</v>
      </c>
      <c r="I222">
        <v>18131683524.822899</v>
      </c>
      <c r="J222" t="s">
        <v>202</v>
      </c>
      <c r="K222">
        <v>59018532.373416699</v>
      </c>
      <c r="L222">
        <v>1</v>
      </c>
      <c r="M222" t="s">
        <v>4536</v>
      </c>
      <c r="O222" t="s">
        <v>207</v>
      </c>
      <c r="Q222" t="s">
        <v>207</v>
      </c>
      <c r="R222" t="s">
        <v>207</v>
      </c>
      <c r="S222" t="s">
        <v>4538</v>
      </c>
      <c r="T222" t="s">
        <v>207</v>
      </c>
      <c r="U222" t="s">
        <v>207</v>
      </c>
      <c r="V222" t="s">
        <v>207</v>
      </c>
      <c r="W222" t="s">
        <v>207</v>
      </c>
      <c r="X222" t="s">
        <v>207</v>
      </c>
      <c r="AA222" t="s">
        <v>4541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208</v>
      </c>
      <c r="BA222">
        <v>18131683524.822899</v>
      </c>
      <c r="BB222" t="s">
        <v>4572</v>
      </c>
      <c r="BC222" t="s">
        <v>4610</v>
      </c>
    </row>
    <row r="223" spans="1:55" x14ac:dyDescent="0.25">
      <c r="A223">
        <v>1228</v>
      </c>
      <c r="B223" t="s">
        <v>428</v>
      </c>
      <c r="C223" t="s">
        <v>1863</v>
      </c>
      <c r="D223" t="s">
        <v>3298</v>
      </c>
      <c r="E223" t="s">
        <v>4517</v>
      </c>
      <c r="F223">
        <v>1231267738</v>
      </c>
      <c r="G223">
        <v>5.7</v>
      </c>
      <c r="H223" t="s">
        <v>99</v>
      </c>
      <c r="I223">
        <v>7018226106.6000004</v>
      </c>
      <c r="J223" t="s">
        <v>203</v>
      </c>
      <c r="K223">
        <v>44776209.1487213</v>
      </c>
      <c r="L223">
        <v>0.5</v>
      </c>
      <c r="M223" t="s">
        <v>4536</v>
      </c>
      <c r="O223" t="s">
        <v>207</v>
      </c>
      <c r="Q223" t="s">
        <v>207</v>
      </c>
      <c r="R223" t="s">
        <v>207</v>
      </c>
      <c r="S223" t="s">
        <v>207</v>
      </c>
      <c r="T223" t="s">
        <v>207</v>
      </c>
      <c r="U223" t="s">
        <v>207</v>
      </c>
      <c r="V223" t="s">
        <v>207</v>
      </c>
      <c r="W223" t="s">
        <v>207</v>
      </c>
      <c r="X223" t="s">
        <v>207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209</v>
      </c>
      <c r="BA223">
        <v>3509113053.3000002</v>
      </c>
      <c r="BB223" t="s">
        <v>4572</v>
      </c>
      <c r="BC223" t="s">
        <v>4536</v>
      </c>
    </row>
    <row r="224" spans="1:55" x14ac:dyDescent="0.25">
      <c r="A224">
        <v>241</v>
      </c>
      <c r="B224" t="s">
        <v>429</v>
      </c>
      <c r="C224" t="s">
        <v>1864</v>
      </c>
      <c r="D224" t="s">
        <v>3299</v>
      </c>
      <c r="E224" t="s">
        <v>97</v>
      </c>
      <c r="F224">
        <v>627300000</v>
      </c>
      <c r="G224">
        <v>99.624510000000001</v>
      </c>
      <c r="H224" t="s">
        <v>104</v>
      </c>
      <c r="I224">
        <v>62494455123</v>
      </c>
      <c r="J224" t="s">
        <v>202</v>
      </c>
      <c r="K224">
        <v>122010444.799026</v>
      </c>
      <c r="L224">
        <v>0.9</v>
      </c>
      <c r="M224" t="s">
        <v>4536</v>
      </c>
      <c r="O224" t="s">
        <v>207</v>
      </c>
      <c r="Q224" t="s">
        <v>207</v>
      </c>
      <c r="R224" t="s">
        <v>207</v>
      </c>
      <c r="S224" t="s">
        <v>207</v>
      </c>
      <c r="T224" t="s">
        <v>207</v>
      </c>
      <c r="U224" t="s">
        <v>207</v>
      </c>
      <c r="V224" t="s">
        <v>207</v>
      </c>
      <c r="W224" t="s">
        <v>207</v>
      </c>
      <c r="X224" t="s">
        <v>207</v>
      </c>
      <c r="AK224">
        <v>0</v>
      </c>
      <c r="AL224">
        <v>0.19800000000000001</v>
      </c>
      <c r="AM224">
        <v>0</v>
      </c>
      <c r="AO224" t="s">
        <v>4568</v>
      </c>
      <c r="AQ224">
        <v>0</v>
      </c>
      <c r="AR224">
        <v>0</v>
      </c>
      <c r="AW224">
        <v>5020</v>
      </c>
      <c r="AX224">
        <v>2.2850000000000001</v>
      </c>
      <c r="AY224" t="s">
        <v>208</v>
      </c>
      <c r="BA224">
        <v>56245009610.699997</v>
      </c>
      <c r="BB224" t="s">
        <v>4572</v>
      </c>
      <c r="BC224" t="s">
        <v>4582</v>
      </c>
    </row>
    <row r="225" spans="1:55" x14ac:dyDescent="0.25">
      <c r="A225">
        <v>218</v>
      </c>
      <c r="B225" t="s">
        <v>430</v>
      </c>
      <c r="C225" t="s">
        <v>1865</v>
      </c>
      <c r="D225" t="s">
        <v>3300</v>
      </c>
      <c r="E225" t="s">
        <v>97</v>
      </c>
      <c r="F225">
        <v>2109858000</v>
      </c>
      <c r="G225">
        <v>28.727740000000001</v>
      </c>
      <c r="H225" t="s">
        <v>104</v>
      </c>
      <c r="I225">
        <v>60611452060.919998</v>
      </c>
      <c r="J225" t="s">
        <v>202</v>
      </c>
      <c r="K225">
        <v>335877395.13683599</v>
      </c>
      <c r="L225">
        <v>1</v>
      </c>
      <c r="M225" t="s">
        <v>4536</v>
      </c>
      <c r="O225" t="s">
        <v>207</v>
      </c>
      <c r="Q225" t="s">
        <v>207</v>
      </c>
      <c r="R225" t="s">
        <v>207</v>
      </c>
      <c r="S225" t="s">
        <v>207</v>
      </c>
      <c r="T225" t="s">
        <v>207</v>
      </c>
      <c r="U225" t="s">
        <v>207</v>
      </c>
      <c r="V225" t="s">
        <v>207</v>
      </c>
      <c r="W225" t="s">
        <v>207</v>
      </c>
      <c r="X225" t="s">
        <v>207</v>
      </c>
      <c r="AK225">
        <v>0</v>
      </c>
      <c r="AL225">
        <v>1</v>
      </c>
      <c r="AM225">
        <v>0.01</v>
      </c>
      <c r="AO225" t="s">
        <v>4568</v>
      </c>
      <c r="AP225" t="s">
        <v>4569</v>
      </c>
      <c r="AQ225">
        <v>0</v>
      </c>
      <c r="AR225">
        <v>0</v>
      </c>
      <c r="AW225">
        <v>6010</v>
      </c>
      <c r="AX225">
        <v>2.0369999999999999</v>
      </c>
      <c r="AY225" t="s">
        <v>208</v>
      </c>
      <c r="AZ225" t="s">
        <v>4571</v>
      </c>
      <c r="BA225">
        <v>60611452060.919998</v>
      </c>
      <c r="BB225" t="s">
        <v>4572</v>
      </c>
      <c r="BC225" t="s">
        <v>4611</v>
      </c>
    </row>
    <row r="226" spans="1:55" x14ac:dyDescent="0.25">
      <c r="A226">
        <v>186</v>
      </c>
      <c r="B226" t="s">
        <v>431</v>
      </c>
      <c r="C226" t="s">
        <v>1866</v>
      </c>
      <c r="D226" t="s">
        <v>3301</v>
      </c>
      <c r="E226" t="s">
        <v>97</v>
      </c>
      <c r="F226">
        <v>933344900</v>
      </c>
      <c r="G226">
        <v>74.156090000000006</v>
      </c>
      <c r="H226" t="s">
        <v>104</v>
      </c>
      <c r="I226">
        <v>69213208405.44101</v>
      </c>
      <c r="J226" t="s">
        <v>202</v>
      </c>
      <c r="K226">
        <v>112513540.621105</v>
      </c>
      <c r="L226">
        <v>1</v>
      </c>
      <c r="M226" t="s">
        <v>4536</v>
      </c>
      <c r="O226" t="s">
        <v>207</v>
      </c>
      <c r="Q226" t="s">
        <v>207</v>
      </c>
      <c r="R226" t="s">
        <v>207</v>
      </c>
      <c r="S226" t="s">
        <v>207</v>
      </c>
      <c r="T226" t="s">
        <v>207</v>
      </c>
      <c r="U226" t="s">
        <v>207</v>
      </c>
      <c r="V226" t="s">
        <v>207</v>
      </c>
      <c r="W226" t="s">
        <v>207</v>
      </c>
      <c r="X226" t="s">
        <v>207</v>
      </c>
      <c r="AK226">
        <v>0</v>
      </c>
      <c r="AL226">
        <v>0.2</v>
      </c>
      <c r="AM226">
        <v>0</v>
      </c>
      <c r="AO226" t="s">
        <v>4568</v>
      </c>
      <c r="AQ226">
        <v>0</v>
      </c>
      <c r="AR226">
        <v>0</v>
      </c>
      <c r="AW226">
        <v>5020</v>
      </c>
      <c r="AX226">
        <v>2.2690000000000001</v>
      </c>
      <c r="AY226" t="s">
        <v>208</v>
      </c>
      <c r="BA226">
        <v>69213208405.44101</v>
      </c>
      <c r="BB226" t="s">
        <v>4572</v>
      </c>
      <c r="BC226" t="s">
        <v>4582</v>
      </c>
    </row>
    <row r="227" spans="1:55" x14ac:dyDescent="0.25">
      <c r="A227">
        <v>440</v>
      </c>
      <c r="B227" t="s">
        <v>432</v>
      </c>
      <c r="C227" t="s">
        <v>1867</v>
      </c>
      <c r="D227" t="s">
        <v>3302</v>
      </c>
      <c r="E227" t="s">
        <v>93</v>
      </c>
      <c r="F227">
        <v>1333763400</v>
      </c>
      <c r="G227">
        <v>32.788670000000003</v>
      </c>
      <c r="H227" t="s">
        <v>101</v>
      </c>
      <c r="I227">
        <v>43732327980.678001</v>
      </c>
      <c r="J227" t="s">
        <v>205</v>
      </c>
      <c r="K227">
        <v>87704080.828316897</v>
      </c>
      <c r="L227">
        <v>0.7</v>
      </c>
      <c r="O227" t="s">
        <v>207</v>
      </c>
      <c r="Q227" t="s">
        <v>207</v>
      </c>
      <c r="R227" t="s">
        <v>207</v>
      </c>
      <c r="S227" t="s">
        <v>207</v>
      </c>
      <c r="T227" t="s">
        <v>207</v>
      </c>
      <c r="U227" t="s">
        <v>207</v>
      </c>
      <c r="V227" t="s">
        <v>207</v>
      </c>
      <c r="W227" t="s">
        <v>207</v>
      </c>
      <c r="X227" t="s">
        <v>207</v>
      </c>
      <c r="AG227" t="s">
        <v>4546</v>
      </c>
      <c r="AH227" t="s">
        <v>4563</v>
      </c>
      <c r="AI227" t="s">
        <v>4565</v>
      </c>
      <c r="AJ227" t="s">
        <v>4566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210</v>
      </c>
      <c r="BA227">
        <v>30612629586.474602</v>
      </c>
      <c r="BB227" t="s">
        <v>4572</v>
      </c>
      <c r="BC227" t="s">
        <v>4581</v>
      </c>
    </row>
    <row r="228" spans="1:55" x14ac:dyDescent="0.25">
      <c r="A228">
        <v>884</v>
      </c>
      <c r="B228" t="s">
        <v>433</v>
      </c>
      <c r="C228" t="s">
        <v>1868</v>
      </c>
      <c r="D228" t="s">
        <v>3303</v>
      </c>
      <c r="E228" t="s">
        <v>93</v>
      </c>
      <c r="F228">
        <v>533011200</v>
      </c>
      <c r="G228">
        <v>26.09919</v>
      </c>
      <c r="H228" t="s">
        <v>101</v>
      </c>
      <c r="I228">
        <v>13911160580.927999</v>
      </c>
      <c r="J228" t="s">
        <v>205</v>
      </c>
      <c r="K228">
        <v>32821897.4023895</v>
      </c>
      <c r="L228">
        <v>0.6</v>
      </c>
      <c r="M228" t="s">
        <v>4536</v>
      </c>
      <c r="O228" t="s">
        <v>207</v>
      </c>
      <c r="Q228" t="s">
        <v>207</v>
      </c>
      <c r="R228" t="s">
        <v>207</v>
      </c>
      <c r="S228" t="s">
        <v>207</v>
      </c>
      <c r="T228" t="s">
        <v>207</v>
      </c>
      <c r="U228" t="s">
        <v>207</v>
      </c>
      <c r="V228" t="s">
        <v>207</v>
      </c>
      <c r="W228" t="s">
        <v>207</v>
      </c>
      <c r="X228" t="s">
        <v>207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210</v>
      </c>
      <c r="BA228">
        <v>8346696348.5567989</v>
      </c>
      <c r="BB228" t="s">
        <v>4572</v>
      </c>
      <c r="BC228" t="s">
        <v>4536</v>
      </c>
    </row>
    <row r="229" spans="1:55" x14ac:dyDescent="0.25">
      <c r="A229">
        <v>172</v>
      </c>
      <c r="B229" t="s">
        <v>434</v>
      </c>
      <c r="C229" t="s">
        <v>1869</v>
      </c>
      <c r="D229" t="s">
        <v>3304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202</v>
      </c>
      <c r="K229">
        <v>548400880.52889502</v>
      </c>
      <c r="L229">
        <v>1</v>
      </c>
      <c r="M229" t="s">
        <v>4536</v>
      </c>
      <c r="O229" t="s">
        <v>207</v>
      </c>
      <c r="Q229" t="s">
        <v>207</v>
      </c>
      <c r="R229" t="s">
        <v>207</v>
      </c>
      <c r="S229" t="s">
        <v>207</v>
      </c>
      <c r="T229" t="s">
        <v>207</v>
      </c>
      <c r="U229" t="s">
        <v>207</v>
      </c>
      <c r="V229" t="s">
        <v>207</v>
      </c>
      <c r="W229" t="s">
        <v>207</v>
      </c>
      <c r="X229" t="s">
        <v>207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208</v>
      </c>
      <c r="AZ229" t="s">
        <v>4571</v>
      </c>
      <c r="BA229">
        <v>73019411688.210007</v>
      </c>
      <c r="BB229" t="s">
        <v>4572</v>
      </c>
      <c r="BC229" t="s">
        <v>4577</v>
      </c>
    </row>
    <row r="230" spans="1:55" x14ac:dyDescent="0.25">
      <c r="A230">
        <v>984</v>
      </c>
      <c r="B230" t="s">
        <v>435</v>
      </c>
      <c r="C230" t="s">
        <v>1870</v>
      </c>
      <c r="D230" t="s">
        <v>3305</v>
      </c>
      <c r="E230" t="s">
        <v>4527</v>
      </c>
      <c r="F230">
        <v>4400531300</v>
      </c>
      <c r="G230">
        <v>1.803599</v>
      </c>
      <c r="H230" t="s">
        <v>4534</v>
      </c>
      <c r="I230">
        <v>7936793852.1486998</v>
      </c>
      <c r="J230" t="s">
        <v>205</v>
      </c>
      <c r="K230">
        <v>18291208.750112399</v>
      </c>
      <c r="L230">
        <v>0.8</v>
      </c>
      <c r="M230" t="s">
        <v>4536</v>
      </c>
      <c r="O230" t="s">
        <v>207</v>
      </c>
      <c r="Q230" t="s">
        <v>207</v>
      </c>
      <c r="R230" t="s">
        <v>207</v>
      </c>
      <c r="S230" t="s">
        <v>207</v>
      </c>
      <c r="T230" t="s">
        <v>207</v>
      </c>
      <c r="U230" t="s">
        <v>207</v>
      </c>
      <c r="V230" t="s">
        <v>207</v>
      </c>
      <c r="W230" t="s">
        <v>207</v>
      </c>
      <c r="X230" t="s">
        <v>207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210</v>
      </c>
      <c r="BA230">
        <v>6349435081.7189598</v>
      </c>
      <c r="BB230" t="s">
        <v>4572</v>
      </c>
      <c r="BC230" t="s">
        <v>4536</v>
      </c>
    </row>
    <row r="231" spans="1:55" x14ac:dyDescent="0.25">
      <c r="A231">
        <v>889</v>
      </c>
      <c r="B231" t="s">
        <v>436</v>
      </c>
      <c r="C231" t="s">
        <v>1871</v>
      </c>
      <c r="D231" t="s">
        <v>3306</v>
      </c>
      <c r="E231" t="s">
        <v>4527</v>
      </c>
      <c r="F231">
        <v>7298469700</v>
      </c>
      <c r="G231">
        <v>1.395642</v>
      </c>
      <c r="H231" t="s">
        <v>4534</v>
      </c>
      <c r="I231">
        <v>10186050849.0474</v>
      </c>
      <c r="J231" t="s">
        <v>205</v>
      </c>
      <c r="K231">
        <v>29192964.592533</v>
      </c>
      <c r="L231">
        <v>0.8</v>
      </c>
      <c r="M231" t="s">
        <v>4536</v>
      </c>
      <c r="O231" t="s">
        <v>207</v>
      </c>
      <c r="Q231" t="s">
        <v>207</v>
      </c>
      <c r="R231" t="s">
        <v>207</v>
      </c>
      <c r="S231" t="s">
        <v>207</v>
      </c>
      <c r="T231" t="s">
        <v>207</v>
      </c>
      <c r="U231" t="s">
        <v>207</v>
      </c>
      <c r="V231" t="s">
        <v>207</v>
      </c>
      <c r="W231" t="s">
        <v>207</v>
      </c>
      <c r="X231" t="s">
        <v>207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210</v>
      </c>
      <c r="BA231">
        <v>8148840679.2379198</v>
      </c>
      <c r="BB231" t="s">
        <v>4572</v>
      </c>
      <c r="BC231" t="s">
        <v>4536</v>
      </c>
    </row>
    <row r="232" spans="1:55" x14ac:dyDescent="0.25">
      <c r="A232">
        <v>1104</v>
      </c>
      <c r="B232" t="s">
        <v>437</v>
      </c>
      <c r="C232" t="s">
        <v>1872</v>
      </c>
      <c r="D232" t="s">
        <v>3307</v>
      </c>
      <c r="E232" t="s">
        <v>4527</v>
      </c>
      <c r="F232">
        <v>5203196000</v>
      </c>
      <c r="G232">
        <v>1.7534989999999999</v>
      </c>
      <c r="H232" t="s">
        <v>4534</v>
      </c>
      <c r="I232">
        <v>9123798982.8039989</v>
      </c>
      <c r="J232" t="s">
        <v>205</v>
      </c>
      <c r="K232">
        <v>17502925.195713099</v>
      </c>
      <c r="L232">
        <v>0.5</v>
      </c>
      <c r="M232" t="s">
        <v>4536</v>
      </c>
      <c r="O232" t="s">
        <v>207</v>
      </c>
      <c r="Q232" t="s">
        <v>207</v>
      </c>
      <c r="R232" t="s">
        <v>207</v>
      </c>
      <c r="S232" t="s">
        <v>207</v>
      </c>
      <c r="T232" t="s">
        <v>207</v>
      </c>
      <c r="U232" t="s">
        <v>207</v>
      </c>
      <c r="V232" t="s">
        <v>207</v>
      </c>
      <c r="W232" t="s">
        <v>207</v>
      </c>
      <c r="X232" t="s">
        <v>207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210</v>
      </c>
      <c r="BA232">
        <v>4561899491.4019995</v>
      </c>
      <c r="BB232" t="s">
        <v>4572</v>
      </c>
      <c r="BC232" t="s">
        <v>4536</v>
      </c>
    </row>
    <row r="233" spans="1:55" x14ac:dyDescent="0.25">
      <c r="A233">
        <v>875</v>
      </c>
      <c r="B233" t="s">
        <v>438</v>
      </c>
      <c r="C233" t="s">
        <v>1873</v>
      </c>
      <c r="D233" t="s">
        <v>3308</v>
      </c>
      <c r="E233" t="s">
        <v>94</v>
      </c>
      <c r="F233">
        <v>377692540</v>
      </c>
      <c r="G233">
        <v>22.664629999999999</v>
      </c>
      <c r="H233" t="s">
        <v>102</v>
      </c>
      <c r="I233">
        <v>8560261672.8601999</v>
      </c>
      <c r="J233" t="s">
        <v>205</v>
      </c>
      <c r="K233">
        <v>23290942.0060426</v>
      </c>
      <c r="L233">
        <v>1</v>
      </c>
      <c r="M233" t="s">
        <v>4536</v>
      </c>
      <c r="O233" t="s">
        <v>207</v>
      </c>
      <c r="Q233" t="s">
        <v>207</v>
      </c>
      <c r="R233" t="s">
        <v>207</v>
      </c>
      <c r="S233" t="s">
        <v>207</v>
      </c>
      <c r="T233" t="s">
        <v>207</v>
      </c>
      <c r="U233" t="s">
        <v>207</v>
      </c>
      <c r="V233" t="s">
        <v>207</v>
      </c>
      <c r="W233" t="s">
        <v>207</v>
      </c>
      <c r="X233" t="s">
        <v>207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210</v>
      </c>
      <c r="BA233">
        <v>8560261672.8601999</v>
      </c>
      <c r="BB233" t="s">
        <v>4572</v>
      </c>
      <c r="BC233" t="s">
        <v>4536</v>
      </c>
    </row>
    <row r="234" spans="1:55" x14ac:dyDescent="0.25">
      <c r="A234">
        <v>462</v>
      </c>
      <c r="B234" t="s">
        <v>439</v>
      </c>
      <c r="C234" t="s">
        <v>1874</v>
      </c>
      <c r="D234" t="s">
        <v>3309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202</v>
      </c>
      <c r="K234">
        <v>262582103.25242499</v>
      </c>
      <c r="L234">
        <v>1</v>
      </c>
      <c r="M234" t="s">
        <v>4536</v>
      </c>
      <c r="O234" t="s">
        <v>206</v>
      </c>
      <c r="Q234" t="s">
        <v>207</v>
      </c>
      <c r="R234" t="s">
        <v>207</v>
      </c>
      <c r="S234" t="s">
        <v>207</v>
      </c>
      <c r="T234" t="s">
        <v>207</v>
      </c>
      <c r="U234" t="s">
        <v>207</v>
      </c>
      <c r="V234" t="s">
        <v>207</v>
      </c>
      <c r="W234" t="s">
        <v>207</v>
      </c>
      <c r="X234" t="s">
        <v>207</v>
      </c>
      <c r="AG234" t="s">
        <v>4546</v>
      </c>
      <c r="AH234" t="s">
        <v>4562</v>
      </c>
      <c r="AI234" t="s">
        <v>4565</v>
      </c>
      <c r="AJ234" t="s">
        <v>4566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208</v>
      </c>
      <c r="AZ234" t="s">
        <v>4571</v>
      </c>
      <c r="BA234">
        <v>29357855667.200001</v>
      </c>
      <c r="BB234" t="s">
        <v>4572</v>
      </c>
      <c r="BC234" t="s">
        <v>4588</v>
      </c>
    </row>
    <row r="235" spans="1:55" x14ac:dyDescent="0.25">
      <c r="A235">
        <v>804</v>
      </c>
      <c r="B235" t="s">
        <v>440</v>
      </c>
      <c r="C235" t="s">
        <v>1875</v>
      </c>
      <c r="D235" t="s">
        <v>3310</v>
      </c>
      <c r="E235" t="s">
        <v>4523</v>
      </c>
      <c r="F235">
        <v>100557556</v>
      </c>
      <c r="G235">
        <v>117.959</v>
      </c>
      <c r="H235" t="s">
        <v>4532</v>
      </c>
      <c r="I235">
        <v>11861668748.204</v>
      </c>
      <c r="J235" t="s">
        <v>204</v>
      </c>
      <c r="K235">
        <v>25662798.684428599</v>
      </c>
      <c r="L235">
        <v>0.95</v>
      </c>
      <c r="O235" t="s">
        <v>207</v>
      </c>
      <c r="Q235" t="s">
        <v>207</v>
      </c>
      <c r="R235" t="s">
        <v>207</v>
      </c>
      <c r="S235" t="s">
        <v>207</v>
      </c>
      <c r="T235" t="s">
        <v>207</v>
      </c>
      <c r="U235" t="s">
        <v>207</v>
      </c>
      <c r="V235" t="s">
        <v>207</v>
      </c>
      <c r="W235" t="s">
        <v>207</v>
      </c>
      <c r="X235" t="s">
        <v>207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209</v>
      </c>
      <c r="AZ235" t="s">
        <v>4571</v>
      </c>
      <c r="BA235">
        <v>11268585310.7938</v>
      </c>
      <c r="BB235" t="s">
        <v>4572</v>
      </c>
      <c r="BC235" t="s">
        <v>4571</v>
      </c>
    </row>
    <row r="236" spans="1:55" x14ac:dyDescent="0.25">
      <c r="A236">
        <v>542</v>
      </c>
      <c r="B236" t="s">
        <v>441</v>
      </c>
      <c r="C236" t="s">
        <v>1876</v>
      </c>
      <c r="D236" t="s">
        <v>3311</v>
      </c>
      <c r="E236" t="s">
        <v>88</v>
      </c>
      <c r="F236">
        <v>1164202800</v>
      </c>
      <c r="G236">
        <v>22.20947</v>
      </c>
      <c r="H236" t="s">
        <v>98</v>
      </c>
      <c r="I236">
        <v>25856327160.515999</v>
      </c>
      <c r="J236" t="s">
        <v>202</v>
      </c>
      <c r="K236">
        <v>501872427.40006202</v>
      </c>
      <c r="L236">
        <v>0.9</v>
      </c>
      <c r="O236" t="s">
        <v>207</v>
      </c>
      <c r="Q236" t="s">
        <v>207</v>
      </c>
      <c r="R236" t="s">
        <v>207</v>
      </c>
      <c r="S236" t="s">
        <v>207</v>
      </c>
      <c r="T236" t="s">
        <v>207</v>
      </c>
      <c r="U236" t="s">
        <v>207</v>
      </c>
      <c r="V236" t="s">
        <v>207</v>
      </c>
      <c r="W236" t="s">
        <v>207</v>
      </c>
      <c r="X236" t="s">
        <v>207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208</v>
      </c>
      <c r="BA236">
        <v>23270694444.464401</v>
      </c>
      <c r="BB236" t="s">
        <v>211</v>
      </c>
    </row>
    <row r="237" spans="1:55" x14ac:dyDescent="0.25">
      <c r="A237">
        <v>263</v>
      </c>
      <c r="B237" t="s">
        <v>442</v>
      </c>
      <c r="C237" t="s">
        <v>1877</v>
      </c>
      <c r="D237" t="s">
        <v>3312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202</v>
      </c>
      <c r="K237">
        <v>353821842.66099501</v>
      </c>
      <c r="L237">
        <v>0.95</v>
      </c>
      <c r="M237" t="s">
        <v>4536</v>
      </c>
      <c r="O237" t="s">
        <v>207</v>
      </c>
      <c r="Q237" t="s">
        <v>207</v>
      </c>
      <c r="R237" t="s">
        <v>207</v>
      </c>
      <c r="S237" t="s">
        <v>207</v>
      </c>
      <c r="T237" t="s">
        <v>207</v>
      </c>
      <c r="U237" t="s">
        <v>207</v>
      </c>
      <c r="V237" t="s">
        <v>207</v>
      </c>
      <c r="W237" t="s">
        <v>207</v>
      </c>
      <c r="X237" t="s">
        <v>207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208</v>
      </c>
      <c r="BA237">
        <v>52178048334.747147</v>
      </c>
      <c r="BB237" t="s">
        <v>4572</v>
      </c>
      <c r="BC237" t="s">
        <v>4536</v>
      </c>
    </row>
    <row r="238" spans="1:55" x14ac:dyDescent="0.25">
      <c r="A238">
        <v>468</v>
      </c>
      <c r="B238" t="s">
        <v>443</v>
      </c>
      <c r="C238" t="s">
        <v>1878</v>
      </c>
      <c r="D238" t="s">
        <v>3313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202</v>
      </c>
      <c r="K238">
        <v>778259041.08482599</v>
      </c>
      <c r="L238">
        <v>1</v>
      </c>
      <c r="M238" t="s">
        <v>4536</v>
      </c>
      <c r="O238" t="s">
        <v>207</v>
      </c>
      <c r="Q238" t="s">
        <v>207</v>
      </c>
      <c r="R238" t="s">
        <v>207</v>
      </c>
      <c r="S238" t="s">
        <v>207</v>
      </c>
      <c r="T238" t="s">
        <v>207</v>
      </c>
      <c r="U238" t="s">
        <v>207</v>
      </c>
      <c r="V238" t="s">
        <v>207</v>
      </c>
      <c r="W238" t="s">
        <v>207</v>
      </c>
      <c r="X238" t="s">
        <v>207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208</v>
      </c>
      <c r="AZ238" t="s">
        <v>4571</v>
      </c>
      <c r="BA238">
        <v>28634488081.98</v>
      </c>
      <c r="BB238" t="s">
        <v>4572</v>
      </c>
      <c r="BC238" t="s">
        <v>4577</v>
      </c>
    </row>
    <row r="239" spans="1:55" x14ac:dyDescent="0.25">
      <c r="A239">
        <v>1095</v>
      </c>
      <c r="B239" t="s">
        <v>444</v>
      </c>
      <c r="C239" t="s">
        <v>1879</v>
      </c>
      <c r="D239" t="s">
        <v>3314</v>
      </c>
      <c r="E239" t="s">
        <v>4519</v>
      </c>
      <c r="F239">
        <v>492601440</v>
      </c>
      <c r="G239">
        <v>10.556570000000001</v>
      </c>
      <c r="H239" t="s">
        <v>4530</v>
      </c>
      <c r="I239">
        <v>5200181583.4608002</v>
      </c>
      <c r="J239" t="s">
        <v>204</v>
      </c>
      <c r="K239">
        <v>15217501.354249701</v>
      </c>
      <c r="L239">
        <v>0.9</v>
      </c>
      <c r="M239" t="s">
        <v>4536</v>
      </c>
      <c r="O239" t="s">
        <v>207</v>
      </c>
      <c r="Q239" t="s">
        <v>207</v>
      </c>
      <c r="R239" t="s">
        <v>207</v>
      </c>
      <c r="S239" t="s">
        <v>207</v>
      </c>
      <c r="T239" t="s">
        <v>207</v>
      </c>
      <c r="U239" t="s">
        <v>207</v>
      </c>
      <c r="V239" t="s">
        <v>207</v>
      </c>
      <c r="W239" t="s">
        <v>207</v>
      </c>
      <c r="X239" t="s">
        <v>207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209</v>
      </c>
      <c r="BA239">
        <v>4680163425.1147203</v>
      </c>
      <c r="BB239" t="s">
        <v>4572</v>
      </c>
      <c r="BC239" t="s">
        <v>4536</v>
      </c>
    </row>
    <row r="240" spans="1:55" x14ac:dyDescent="0.25">
      <c r="A240">
        <v>69</v>
      </c>
      <c r="B240" t="s">
        <v>445</v>
      </c>
      <c r="C240" t="s">
        <v>1880</v>
      </c>
      <c r="D240" t="s">
        <v>3315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202</v>
      </c>
      <c r="K240">
        <v>791498128.55498195</v>
      </c>
      <c r="L240">
        <v>1</v>
      </c>
      <c r="O240" t="s">
        <v>207</v>
      </c>
      <c r="Q240" t="s">
        <v>207</v>
      </c>
      <c r="R240" t="s">
        <v>207</v>
      </c>
      <c r="S240" t="s">
        <v>207</v>
      </c>
      <c r="T240" t="s">
        <v>207</v>
      </c>
      <c r="U240" t="s">
        <v>207</v>
      </c>
      <c r="V240" t="s">
        <v>207</v>
      </c>
      <c r="W240" t="s">
        <v>207</v>
      </c>
      <c r="X240" t="s">
        <v>207</v>
      </c>
      <c r="AK240">
        <v>0.01</v>
      </c>
      <c r="AL240">
        <v>0.2</v>
      </c>
      <c r="AM240">
        <v>0</v>
      </c>
      <c r="AN240" t="s">
        <v>4567</v>
      </c>
      <c r="AO240" t="s">
        <v>4568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208</v>
      </c>
      <c r="BA240">
        <v>155443333587.66</v>
      </c>
      <c r="BB240" t="s">
        <v>4572</v>
      </c>
      <c r="BC240" t="s">
        <v>4580</v>
      </c>
    </row>
    <row r="241" spans="1:55" x14ac:dyDescent="0.25">
      <c r="A241">
        <v>362</v>
      </c>
      <c r="B241" t="s">
        <v>446</v>
      </c>
      <c r="C241" t="s">
        <v>1881</v>
      </c>
      <c r="D241" t="s">
        <v>3316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202</v>
      </c>
      <c r="K241">
        <v>252877485.43439201</v>
      </c>
      <c r="L241">
        <v>1</v>
      </c>
      <c r="M241" t="s">
        <v>4536</v>
      </c>
      <c r="O241" t="s">
        <v>207</v>
      </c>
      <c r="Q241" t="s">
        <v>207</v>
      </c>
      <c r="R241" t="s">
        <v>207</v>
      </c>
      <c r="S241" t="s">
        <v>207</v>
      </c>
      <c r="T241" t="s">
        <v>207</v>
      </c>
      <c r="U241" t="s">
        <v>207</v>
      </c>
      <c r="V241" t="s">
        <v>207</v>
      </c>
      <c r="W241" t="s">
        <v>207</v>
      </c>
      <c r="X241" t="s">
        <v>207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208</v>
      </c>
      <c r="BA241">
        <v>38966137561.332001</v>
      </c>
      <c r="BB241" t="s">
        <v>4572</v>
      </c>
      <c r="BC241" t="s">
        <v>4536</v>
      </c>
    </row>
    <row r="242" spans="1:55" x14ac:dyDescent="0.25">
      <c r="A242">
        <v>534</v>
      </c>
      <c r="B242" t="s">
        <v>447</v>
      </c>
      <c r="C242" t="s">
        <v>1882</v>
      </c>
      <c r="D242" t="s">
        <v>3317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202</v>
      </c>
      <c r="K242">
        <v>238084142.09409401</v>
      </c>
      <c r="L242">
        <v>1</v>
      </c>
      <c r="M242" t="s">
        <v>4536</v>
      </c>
      <c r="O242" t="s">
        <v>207</v>
      </c>
      <c r="Q242" t="s">
        <v>207</v>
      </c>
      <c r="R242" t="s">
        <v>207</v>
      </c>
      <c r="S242" t="s">
        <v>207</v>
      </c>
      <c r="T242" t="s">
        <v>207</v>
      </c>
      <c r="U242" t="s">
        <v>207</v>
      </c>
      <c r="V242" t="s">
        <v>207</v>
      </c>
      <c r="W242" t="s">
        <v>207</v>
      </c>
      <c r="X242" t="s">
        <v>207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208</v>
      </c>
      <c r="BA242">
        <v>23634436629.380001</v>
      </c>
      <c r="BB242" t="s">
        <v>4572</v>
      </c>
      <c r="BC242" t="s">
        <v>4536</v>
      </c>
    </row>
    <row r="243" spans="1:55" x14ac:dyDescent="0.25">
      <c r="A243">
        <v>644</v>
      </c>
      <c r="B243" t="s">
        <v>448</v>
      </c>
      <c r="C243" t="s">
        <v>1883</v>
      </c>
      <c r="D243" t="s">
        <v>3318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203</v>
      </c>
      <c r="K243">
        <v>41901141.976885699</v>
      </c>
      <c r="L243">
        <v>0.85</v>
      </c>
      <c r="M243" t="s">
        <v>4536</v>
      </c>
      <c r="O243" t="s">
        <v>207</v>
      </c>
      <c r="Q243" t="s">
        <v>207</v>
      </c>
      <c r="R243" t="s">
        <v>207</v>
      </c>
      <c r="S243" t="s">
        <v>207</v>
      </c>
      <c r="T243" t="s">
        <v>207</v>
      </c>
      <c r="U243" t="s">
        <v>207</v>
      </c>
      <c r="V243" t="s">
        <v>207</v>
      </c>
      <c r="W243" t="s">
        <v>207</v>
      </c>
      <c r="X243" t="s">
        <v>207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209</v>
      </c>
      <c r="BA243">
        <v>19072009898.400002</v>
      </c>
      <c r="BB243" t="s">
        <v>4572</v>
      </c>
      <c r="BC243" t="s">
        <v>4536</v>
      </c>
    </row>
    <row r="244" spans="1:55" x14ac:dyDescent="0.25">
      <c r="A244">
        <v>1317</v>
      </c>
      <c r="B244" t="s">
        <v>449</v>
      </c>
      <c r="C244" t="s">
        <v>1884</v>
      </c>
      <c r="D244" t="s">
        <v>3319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204</v>
      </c>
      <c r="K244">
        <v>6899526.1283943802</v>
      </c>
      <c r="L244">
        <v>1</v>
      </c>
      <c r="M244" t="s">
        <v>4536</v>
      </c>
      <c r="N244" t="s">
        <v>4537</v>
      </c>
      <c r="O244" t="s">
        <v>207</v>
      </c>
      <c r="Q244" t="s">
        <v>207</v>
      </c>
      <c r="R244" t="s">
        <v>207</v>
      </c>
      <c r="S244" t="s">
        <v>207</v>
      </c>
      <c r="T244" t="s">
        <v>207</v>
      </c>
      <c r="U244" t="s">
        <v>207</v>
      </c>
      <c r="V244" t="s">
        <v>207</v>
      </c>
      <c r="W244" t="s">
        <v>207</v>
      </c>
      <c r="X244" t="s">
        <v>207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209</v>
      </c>
      <c r="BA244">
        <v>3000066000</v>
      </c>
      <c r="BB244" t="s">
        <v>4572</v>
      </c>
      <c r="BC244" t="s">
        <v>4575</v>
      </c>
    </row>
    <row r="245" spans="1:55" x14ac:dyDescent="0.25">
      <c r="A245">
        <v>345</v>
      </c>
      <c r="B245" t="s">
        <v>188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44779913864.839996</v>
      </c>
      <c r="J245" t="s">
        <v>202</v>
      </c>
      <c r="K245">
        <v>310102172.60629201</v>
      </c>
      <c r="L245">
        <v>0.9</v>
      </c>
      <c r="O245" t="s">
        <v>206</v>
      </c>
      <c r="Q245" t="s">
        <v>207</v>
      </c>
      <c r="R245" t="s">
        <v>207</v>
      </c>
      <c r="S245" t="s">
        <v>207</v>
      </c>
      <c r="T245" t="s">
        <v>207</v>
      </c>
      <c r="U245" t="s">
        <v>207</v>
      </c>
      <c r="V245" t="s">
        <v>207</v>
      </c>
      <c r="W245" t="s">
        <v>207</v>
      </c>
      <c r="X245" t="s">
        <v>207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208</v>
      </c>
      <c r="BA245">
        <v>40301922478.356003</v>
      </c>
      <c r="BB245" t="s">
        <v>211</v>
      </c>
    </row>
    <row r="246" spans="1:55" x14ac:dyDescent="0.25">
      <c r="A246">
        <v>680</v>
      </c>
      <c r="B246" t="s">
        <v>450</v>
      </c>
      <c r="C246" t="s">
        <v>1885</v>
      </c>
      <c r="D246" t="s">
        <v>3320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202</v>
      </c>
      <c r="K246">
        <v>74729586.381557703</v>
      </c>
      <c r="L246">
        <v>0.7</v>
      </c>
      <c r="M246" t="s">
        <v>4536</v>
      </c>
      <c r="O246" t="s">
        <v>207</v>
      </c>
      <c r="Q246" t="s">
        <v>207</v>
      </c>
      <c r="R246" t="s">
        <v>207</v>
      </c>
      <c r="S246" t="s">
        <v>207</v>
      </c>
      <c r="T246" t="s">
        <v>207</v>
      </c>
      <c r="U246" t="s">
        <v>207</v>
      </c>
      <c r="V246" t="s">
        <v>207</v>
      </c>
      <c r="W246" t="s">
        <v>207</v>
      </c>
      <c r="X246" t="s">
        <v>207</v>
      </c>
      <c r="AK246">
        <v>0</v>
      </c>
      <c r="AL246">
        <v>0.95599999999999996</v>
      </c>
      <c r="AM246">
        <v>0.01</v>
      </c>
      <c r="AO246" t="s">
        <v>4568</v>
      </c>
      <c r="AP246" t="s">
        <v>4569</v>
      </c>
      <c r="AQ246">
        <v>0</v>
      </c>
      <c r="AR246">
        <v>0</v>
      </c>
      <c r="AW246">
        <v>6010</v>
      </c>
      <c r="AX246">
        <v>1.7629999999999999</v>
      </c>
      <c r="AY246" t="s">
        <v>208</v>
      </c>
      <c r="AZ246" t="s">
        <v>4571</v>
      </c>
      <c r="BA246">
        <v>17837467808.587002</v>
      </c>
      <c r="BB246" t="s">
        <v>4572</v>
      </c>
      <c r="BC246" t="s">
        <v>4611</v>
      </c>
    </row>
    <row r="247" spans="1:55" x14ac:dyDescent="0.25">
      <c r="A247">
        <v>504</v>
      </c>
      <c r="B247" t="s">
        <v>451</v>
      </c>
      <c r="C247" t="s">
        <v>1886</v>
      </c>
      <c r="D247" t="s">
        <v>3321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202</v>
      </c>
      <c r="K247">
        <v>297845518.04836702</v>
      </c>
      <c r="L247">
        <v>0.95</v>
      </c>
      <c r="M247" t="s">
        <v>4536</v>
      </c>
      <c r="O247" t="s">
        <v>207</v>
      </c>
      <c r="Q247" t="s">
        <v>207</v>
      </c>
      <c r="R247" t="s">
        <v>207</v>
      </c>
      <c r="S247" t="s">
        <v>207</v>
      </c>
      <c r="T247" t="s">
        <v>207</v>
      </c>
      <c r="U247" t="s">
        <v>207</v>
      </c>
      <c r="V247" t="s">
        <v>207</v>
      </c>
      <c r="W247" t="s">
        <v>207</v>
      </c>
      <c r="X247" t="s">
        <v>207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208</v>
      </c>
      <c r="BA247">
        <v>25998306432.804001</v>
      </c>
      <c r="BB247" t="s">
        <v>4572</v>
      </c>
      <c r="BC247" t="s">
        <v>4536</v>
      </c>
    </row>
    <row r="248" spans="1:55" x14ac:dyDescent="0.25">
      <c r="A248">
        <v>589</v>
      </c>
      <c r="B248" t="s">
        <v>452</v>
      </c>
      <c r="C248" t="s">
        <v>1887</v>
      </c>
      <c r="D248" t="s">
        <v>3322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202</v>
      </c>
      <c r="K248">
        <v>133407063.837799</v>
      </c>
      <c r="L248">
        <v>1</v>
      </c>
      <c r="M248" t="s">
        <v>4536</v>
      </c>
      <c r="O248" t="s">
        <v>207</v>
      </c>
      <c r="Q248" t="s">
        <v>207</v>
      </c>
      <c r="R248" t="s">
        <v>207</v>
      </c>
      <c r="S248" t="s">
        <v>207</v>
      </c>
      <c r="T248" t="s">
        <v>207</v>
      </c>
      <c r="U248" t="s">
        <v>207</v>
      </c>
      <c r="V248" t="s">
        <v>207</v>
      </c>
      <c r="W248" t="s">
        <v>207</v>
      </c>
      <c r="X248" t="s">
        <v>207</v>
      </c>
      <c r="AK248">
        <v>6.0499999999999998E-2</v>
      </c>
      <c r="AL248">
        <v>0.55300000000000005</v>
      </c>
      <c r="AM248">
        <v>6.0999999999999999E-2</v>
      </c>
      <c r="AN248" t="s">
        <v>4567</v>
      </c>
      <c r="AO248" t="s">
        <v>4568</v>
      </c>
      <c r="AP248" t="s">
        <v>4569</v>
      </c>
      <c r="AQ248">
        <v>0</v>
      </c>
      <c r="AR248">
        <v>0</v>
      </c>
      <c r="AW248">
        <v>6510</v>
      </c>
      <c r="AX248">
        <v>1.9039999999999999</v>
      </c>
      <c r="AY248" t="s">
        <v>208</v>
      </c>
      <c r="AZ248" t="s">
        <v>4571</v>
      </c>
      <c r="BA248">
        <v>21375226940.017502</v>
      </c>
      <c r="BB248" t="s">
        <v>4572</v>
      </c>
      <c r="BC248" t="s">
        <v>4612</v>
      </c>
    </row>
    <row r="249" spans="1:55" x14ac:dyDescent="0.25">
      <c r="A249">
        <v>647</v>
      </c>
      <c r="B249" t="s">
        <v>453</v>
      </c>
      <c r="C249" t="s">
        <v>1888</v>
      </c>
      <c r="D249" t="s">
        <v>3323</v>
      </c>
      <c r="E249" t="s">
        <v>93</v>
      </c>
      <c r="F249">
        <v>1030000000</v>
      </c>
      <c r="G249">
        <v>18.392859999999999</v>
      </c>
      <c r="H249" t="s">
        <v>101</v>
      </c>
      <c r="I249">
        <v>18944645800</v>
      </c>
      <c r="J249" t="s">
        <v>205</v>
      </c>
      <c r="K249">
        <v>40332528.021851197</v>
      </c>
      <c r="L249">
        <v>1</v>
      </c>
      <c r="M249" t="s">
        <v>4536</v>
      </c>
      <c r="O249" t="s">
        <v>207</v>
      </c>
      <c r="Q249" t="s">
        <v>207</v>
      </c>
      <c r="R249" t="s">
        <v>207</v>
      </c>
      <c r="S249" t="s">
        <v>207</v>
      </c>
      <c r="T249" t="s">
        <v>207</v>
      </c>
      <c r="U249" t="s">
        <v>207</v>
      </c>
      <c r="V249" t="s">
        <v>207</v>
      </c>
      <c r="W249" t="s">
        <v>207</v>
      </c>
      <c r="X249" t="s">
        <v>207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210</v>
      </c>
      <c r="BA249">
        <v>18944645800</v>
      </c>
      <c r="BB249" t="s">
        <v>4572</v>
      </c>
      <c r="BC249" t="s">
        <v>4536</v>
      </c>
    </row>
    <row r="250" spans="1:55" x14ac:dyDescent="0.25">
      <c r="A250">
        <v>862</v>
      </c>
      <c r="B250" t="s">
        <v>454</v>
      </c>
      <c r="C250" t="s">
        <v>1889</v>
      </c>
      <c r="D250" t="s">
        <v>3324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204</v>
      </c>
      <c r="K250">
        <v>21723379.367348999</v>
      </c>
      <c r="L250">
        <v>1</v>
      </c>
      <c r="M250" t="s">
        <v>4536</v>
      </c>
      <c r="O250" t="s">
        <v>207</v>
      </c>
      <c r="Q250" t="s">
        <v>207</v>
      </c>
      <c r="R250" t="s">
        <v>207</v>
      </c>
      <c r="S250" t="s">
        <v>207</v>
      </c>
      <c r="T250" t="s">
        <v>207</v>
      </c>
      <c r="U250" t="s">
        <v>207</v>
      </c>
      <c r="V250" t="s">
        <v>207</v>
      </c>
      <c r="W250" t="s">
        <v>207</v>
      </c>
      <c r="X250" t="s">
        <v>207</v>
      </c>
      <c r="AK250">
        <v>0</v>
      </c>
      <c r="AL250">
        <v>0.36399999999999999</v>
      </c>
      <c r="AM250">
        <v>1.3599999999999999E-2</v>
      </c>
      <c r="AO250" t="s">
        <v>4568</v>
      </c>
      <c r="AP250" t="s">
        <v>4569</v>
      </c>
      <c r="AQ250">
        <v>0</v>
      </c>
      <c r="AR250">
        <v>0</v>
      </c>
      <c r="AW250">
        <v>6510</v>
      </c>
      <c r="AX250">
        <v>2.2450000000000001</v>
      </c>
      <c r="AY250" t="s">
        <v>209</v>
      </c>
      <c r="AZ250" t="s">
        <v>4571</v>
      </c>
      <c r="BA250">
        <v>8859129086.2080002</v>
      </c>
      <c r="BB250" t="s">
        <v>4572</v>
      </c>
      <c r="BC250" t="s">
        <v>4611</v>
      </c>
    </row>
    <row r="251" spans="1:55" x14ac:dyDescent="0.25">
      <c r="A251">
        <v>626</v>
      </c>
      <c r="B251" t="s">
        <v>455</v>
      </c>
      <c r="C251" t="s">
        <v>1890</v>
      </c>
      <c r="D251" t="s">
        <v>3325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202</v>
      </c>
      <c r="K251">
        <v>37607451.879487403</v>
      </c>
      <c r="L251">
        <v>0.9</v>
      </c>
      <c r="O251" t="s">
        <v>207</v>
      </c>
      <c r="Q251" t="s">
        <v>207</v>
      </c>
      <c r="R251" t="s">
        <v>207</v>
      </c>
      <c r="S251" t="s">
        <v>207</v>
      </c>
      <c r="T251" t="s">
        <v>207</v>
      </c>
      <c r="U251" t="s">
        <v>207</v>
      </c>
      <c r="V251" t="s">
        <v>207</v>
      </c>
      <c r="W251" t="s">
        <v>207</v>
      </c>
      <c r="X251" t="s">
        <v>207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208</v>
      </c>
      <c r="BA251">
        <v>19723544771.1381</v>
      </c>
      <c r="BB251" t="s">
        <v>211</v>
      </c>
    </row>
    <row r="252" spans="1:55" x14ac:dyDescent="0.25">
      <c r="A252">
        <v>104</v>
      </c>
      <c r="B252" t="s">
        <v>456</v>
      </c>
      <c r="C252" t="s">
        <v>1891</v>
      </c>
      <c r="D252" t="s">
        <v>3326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202</v>
      </c>
      <c r="K252">
        <v>777174853.21546698</v>
      </c>
      <c r="L252">
        <v>0.85</v>
      </c>
      <c r="M252" t="s">
        <v>4536</v>
      </c>
      <c r="O252" t="s">
        <v>207</v>
      </c>
      <c r="Q252" t="s">
        <v>207</v>
      </c>
      <c r="R252" t="s">
        <v>207</v>
      </c>
      <c r="S252" t="s">
        <v>207</v>
      </c>
      <c r="T252" t="s">
        <v>207</v>
      </c>
      <c r="U252" t="s">
        <v>207</v>
      </c>
      <c r="V252" t="s">
        <v>207</v>
      </c>
      <c r="W252" t="s">
        <v>207</v>
      </c>
      <c r="X252" t="s">
        <v>207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208</v>
      </c>
      <c r="BA252">
        <v>118559712730.6608</v>
      </c>
      <c r="BB252" t="s">
        <v>4572</v>
      </c>
      <c r="BC252" t="s">
        <v>4536</v>
      </c>
    </row>
    <row r="253" spans="1:55" x14ac:dyDescent="0.25">
      <c r="A253">
        <v>399</v>
      </c>
      <c r="B253" t="s">
        <v>457</v>
      </c>
      <c r="C253" t="s">
        <v>1892</v>
      </c>
      <c r="D253" t="s">
        <v>3327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202</v>
      </c>
      <c r="K253">
        <v>370478493.86340201</v>
      </c>
      <c r="L253">
        <v>0.7</v>
      </c>
      <c r="M253" t="s">
        <v>4536</v>
      </c>
      <c r="O253" t="s">
        <v>207</v>
      </c>
      <c r="Q253" t="s">
        <v>207</v>
      </c>
      <c r="R253" t="s">
        <v>207</v>
      </c>
      <c r="S253" t="s">
        <v>207</v>
      </c>
      <c r="T253" t="s">
        <v>207</v>
      </c>
      <c r="U253" t="s">
        <v>207</v>
      </c>
      <c r="V253" t="s">
        <v>207</v>
      </c>
      <c r="W253" t="s">
        <v>207</v>
      </c>
      <c r="X253" t="s">
        <v>207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208</v>
      </c>
      <c r="AZ253" t="s">
        <v>4571</v>
      </c>
      <c r="BA253">
        <v>34309161302.203899</v>
      </c>
      <c r="BB253" t="s">
        <v>4572</v>
      </c>
      <c r="BC253" t="s">
        <v>4577</v>
      </c>
    </row>
    <row r="254" spans="1:55" x14ac:dyDescent="0.25">
      <c r="A254">
        <v>1071</v>
      </c>
      <c r="B254" t="s">
        <v>458</v>
      </c>
      <c r="C254" t="s">
        <v>1893</v>
      </c>
      <c r="D254" t="s">
        <v>3328</v>
      </c>
      <c r="E254" t="s">
        <v>94</v>
      </c>
      <c r="F254">
        <v>472997200</v>
      </c>
      <c r="G254">
        <v>10.689019999999999</v>
      </c>
      <c r="H254" t="s">
        <v>102</v>
      </c>
      <c r="I254">
        <v>5055876530.7439985</v>
      </c>
      <c r="J254" t="s">
        <v>205</v>
      </c>
      <c r="K254">
        <v>10314175.2151179</v>
      </c>
      <c r="L254">
        <v>1</v>
      </c>
      <c r="M254" t="s">
        <v>4536</v>
      </c>
      <c r="O254" t="s">
        <v>207</v>
      </c>
      <c r="Q254" t="s">
        <v>207</v>
      </c>
      <c r="R254" t="s">
        <v>207</v>
      </c>
      <c r="S254" t="s">
        <v>207</v>
      </c>
      <c r="T254" t="s">
        <v>207</v>
      </c>
      <c r="U254" t="s">
        <v>207</v>
      </c>
      <c r="V254" t="s">
        <v>207</v>
      </c>
      <c r="W254" t="s">
        <v>207</v>
      </c>
      <c r="X254" t="s">
        <v>207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210</v>
      </c>
      <c r="BA254">
        <v>5055876530.7439985</v>
      </c>
      <c r="BB254" t="s">
        <v>4572</v>
      </c>
      <c r="BC254" t="s">
        <v>4536</v>
      </c>
    </row>
    <row r="255" spans="1:55" x14ac:dyDescent="0.25">
      <c r="A255">
        <v>695</v>
      </c>
      <c r="B255" t="s">
        <v>459</v>
      </c>
      <c r="C255" t="s">
        <v>1894</v>
      </c>
      <c r="D255" t="s">
        <v>3329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202</v>
      </c>
      <c r="K255">
        <v>147099295.62858599</v>
      </c>
      <c r="L255">
        <v>0.75</v>
      </c>
      <c r="M255" t="s">
        <v>4536</v>
      </c>
      <c r="O255" t="s">
        <v>207</v>
      </c>
      <c r="Q255" t="s">
        <v>207</v>
      </c>
      <c r="R255" t="s">
        <v>207</v>
      </c>
      <c r="S255" t="s">
        <v>207</v>
      </c>
      <c r="T255" t="s">
        <v>207</v>
      </c>
      <c r="U255" t="s">
        <v>207</v>
      </c>
      <c r="V255" t="s">
        <v>207</v>
      </c>
      <c r="W255" t="s">
        <v>207</v>
      </c>
      <c r="X255" t="s">
        <v>207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208</v>
      </c>
      <c r="BA255">
        <v>17104883518.82955</v>
      </c>
      <c r="BB255" t="s">
        <v>4572</v>
      </c>
      <c r="BC255" t="s">
        <v>4536</v>
      </c>
    </row>
    <row r="256" spans="1:55" x14ac:dyDescent="0.25">
      <c r="A256">
        <v>289</v>
      </c>
      <c r="B256" t="s">
        <v>460</v>
      </c>
      <c r="C256" t="s">
        <v>1895</v>
      </c>
      <c r="D256" t="s">
        <v>3330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202</v>
      </c>
      <c r="K256">
        <v>429595668.61953199</v>
      </c>
      <c r="L256">
        <v>1</v>
      </c>
      <c r="M256" t="s">
        <v>4536</v>
      </c>
      <c r="O256" t="s">
        <v>207</v>
      </c>
      <c r="Q256" t="s">
        <v>207</v>
      </c>
      <c r="R256" t="s">
        <v>207</v>
      </c>
      <c r="S256" t="s">
        <v>207</v>
      </c>
      <c r="T256" t="s">
        <v>207</v>
      </c>
      <c r="U256" t="s">
        <v>207</v>
      </c>
      <c r="V256" t="s">
        <v>207</v>
      </c>
      <c r="W256" t="s">
        <v>207</v>
      </c>
      <c r="X256" t="s">
        <v>207</v>
      </c>
      <c r="AK256">
        <v>0</v>
      </c>
      <c r="AL256">
        <v>1</v>
      </c>
      <c r="AM256">
        <v>0</v>
      </c>
      <c r="AO256" t="s">
        <v>4568</v>
      </c>
      <c r="AQ256">
        <v>0</v>
      </c>
      <c r="AR256">
        <v>0</v>
      </c>
      <c r="AW256">
        <v>6010</v>
      </c>
      <c r="AX256">
        <v>2.4769999999999999</v>
      </c>
      <c r="AY256" t="s">
        <v>208</v>
      </c>
      <c r="BA256">
        <v>47313119929.543999</v>
      </c>
      <c r="BB256" t="s">
        <v>4572</v>
      </c>
      <c r="BC256" t="s">
        <v>4582</v>
      </c>
    </row>
    <row r="257" spans="1:55" x14ac:dyDescent="0.25">
      <c r="A257">
        <v>30</v>
      </c>
      <c r="B257" t="s">
        <v>461</v>
      </c>
      <c r="C257" t="s">
        <v>1896</v>
      </c>
      <c r="D257" t="s">
        <v>3331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202</v>
      </c>
      <c r="K257">
        <v>1192919241.3308799</v>
      </c>
      <c r="L257">
        <v>0.95</v>
      </c>
      <c r="M257" t="s">
        <v>4536</v>
      </c>
      <c r="O257" t="s">
        <v>206</v>
      </c>
      <c r="Q257" t="s">
        <v>207</v>
      </c>
      <c r="R257" t="s">
        <v>207</v>
      </c>
      <c r="S257" t="s">
        <v>207</v>
      </c>
      <c r="T257" t="s">
        <v>207</v>
      </c>
      <c r="U257" t="s">
        <v>207</v>
      </c>
      <c r="V257" t="s">
        <v>207</v>
      </c>
      <c r="W257" t="s">
        <v>207</v>
      </c>
      <c r="X257" t="s">
        <v>207</v>
      </c>
      <c r="AG257" t="s">
        <v>4546</v>
      </c>
      <c r="AH257" t="s">
        <v>4564</v>
      </c>
      <c r="AI257" t="s">
        <v>4565</v>
      </c>
      <c r="AJ257" t="s">
        <v>4566</v>
      </c>
      <c r="AK257">
        <v>0</v>
      </c>
      <c r="AL257">
        <v>1</v>
      </c>
      <c r="AM257">
        <v>9.9000000000000008E-3</v>
      </c>
      <c r="AO257" t="s">
        <v>4568</v>
      </c>
      <c r="AP257" t="s">
        <v>4569</v>
      </c>
      <c r="AQ257">
        <v>0</v>
      </c>
      <c r="AR257">
        <v>0.01</v>
      </c>
      <c r="AW257">
        <v>6010</v>
      </c>
      <c r="AX257">
        <v>1.847</v>
      </c>
      <c r="AY257" t="s">
        <v>208</v>
      </c>
      <c r="AZ257" t="s">
        <v>4571</v>
      </c>
      <c r="BA257">
        <v>251037322733.4675</v>
      </c>
      <c r="BB257" t="s">
        <v>4572</v>
      </c>
      <c r="BC257" t="s">
        <v>4613</v>
      </c>
    </row>
    <row r="258" spans="1:55" x14ac:dyDescent="0.25">
      <c r="A258">
        <v>998</v>
      </c>
      <c r="B258" t="s">
        <v>462</v>
      </c>
      <c r="C258" t="s">
        <v>1897</v>
      </c>
      <c r="D258" t="s">
        <v>3332</v>
      </c>
      <c r="E258" t="s">
        <v>93</v>
      </c>
      <c r="F258">
        <v>815521060</v>
      </c>
      <c r="G258">
        <v>8.8255049999999997</v>
      </c>
      <c r="H258" t="s">
        <v>101</v>
      </c>
      <c r="I258">
        <v>7197385192.6352997</v>
      </c>
      <c r="J258" t="s">
        <v>205</v>
      </c>
      <c r="K258">
        <v>21474023.142315399</v>
      </c>
      <c r="L258">
        <v>0.85</v>
      </c>
      <c r="M258" t="s">
        <v>4536</v>
      </c>
      <c r="O258" t="s">
        <v>207</v>
      </c>
      <c r="Q258" t="s">
        <v>207</v>
      </c>
      <c r="R258" t="s">
        <v>207</v>
      </c>
      <c r="S258" t="s">
        <v>207</v>
      </c>
      <c r="T258" t="s">
        <v>207</v>
      </c>
      <c r="U258" t="s">
        <v>207</v>
      </c>
      <c r="V258" t="s">
        <v>207</v>
      </c>
      <c r="W258" t="s">
        <v>207</v>
      </c>
      <c r="X258" t="s">
        <v>207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210</v>
      </c>
      <c r="AZ258" t="s">
        <v>4571</v>
      </c>
      <c r="BA258">
        <v>6117777413.7400045</v>
      </c>
      <c r="BB258" t="s">
        <v>4572</v>
      </c>
      <c r="BC258" t="s">
        <v>4577</v>
      </c>
    </row>
    <row r="259" spans="1:55" x14ac:dyDescent="0.25">
      <c r="A259">
        <v>199</v>
      </c>
      <c r="B259" t="s">
        <v>463</v>
      </c>
      <c r="C259" t="s">
        <v>1898</v>
      </c>
      <c r="D259" t="s">
        <v>3333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202</v>
      </c>
      <c r="K259">
        <v>543706876.77566004</v>
      </c>
      <c r="L259">
        <v>1</v>
      </c>
      <c r="M259" t="s">
        <v>4536</v>
      </c>
      <c r="O259" t="s">
        <v>207</v>
      </c>
      <c r="Q259" t="s">
        <v>207</v>
      </c>
      <c r="R259" t="s">
        <v>207</v>
      </c>
      <c r="S259" t="s">
        <v>207</v>
      </c>
      <c r="T259" t="s">
        <v>207</v>
      </c>
      <c r="U259" t="s">
        <v>207</v>
      </c>
      <c r="V259" t="s">
        <v>207</v>
      </c>
      <c r="W259" t="s">
        <v>207</v>
      </c>
      <c r="X259" t="s">
        <v>207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208</v>
      </c>
      <c r="BA259">
        <v>66775136363.730003</v>
      </c>
      <c r="BB259" t="s">
        <v>4572</v>
      </c>
      <c r="BC259" t="s">
        <v>4536</v>
      </c>
    </row>
    <row r="260" spans="1:55" x14ac:dyDescent="0.25">
      <c r="A260">
        <v>121</v>
      </c>
      <c r="B260" t="s">
        <v>464</v>
      </c>
      <c r="C260" t="s">
        <v>1899</v>
      </c>
      <c r="D260" t="s">
        <v>3334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202</v>
      </c>
      <c r="K260">
        <v>429157448.98576897</v>
      </c>
      <c r="L260">
        <v>0.95</v>
      </c>
      <c r="M260" t="s">
        <v>4536</v>
      </c>
      <c r="O260" t="s">
        <v>207</v>
      </c>
      <c r="Q260" t="s">
        <v>207</v>
      </c>
      <c r="R260" t="s">
        <v>207</v>
      </c>
      <c r="S260" t="s">
        <v>207</v>
      </c>
      <c r="T260" t="s">
        <v>207</v>
      </c>
      <c r="U260" t="s">
        <v>207</v>
      </c>
      <c r="V260" t="s">
        <v>207</v>
      </c>
      <c r="W260" t="s">
        <v>207</v>
      </c>
      <c r="X260" t="s">
        <v>207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208</v>
      </c>
      <c r="BA260">
        <v>97887647161.830002</v>
      </c>
      <c r="BB260" t="s">
        <v>4572</v>
      </c>
      <c r="BC260" t="s">
        <v>4536</v>
      </c>
    </row>
    <row r="261" spans="1:55" x14ac:dyDescent="0.25">
      <c r="A261">
        <v>918</v>
      </c>
      <c r="B261" t="s">
        <v>465</v>
      </c>
      <c r="C261" t="s">
        <v>1900</v>
      </c>
      <c r="D261" t="s">
        <v>3335</v>
      </c>
      <c r="E261" t="s">
        <v>93</v>
      </c>
      <c r="F261">
        <v>758000000</v>
      </c>
      <c r="G261">
        <v>10.018230000000001</v>
      </c>
      <c r="H261" t="s">
        <v>101</v>
      </c>
      <c r="I261">
        <v>7593818340.000001</v>
      </c>
      <c r="J261" t="s">
        <v>205</v>
      </c>
      <c r="K261">
        <v>23130397.041909698</v>
      </c>
      <c r="L261">
        <v>1</v>
      </c>
      <c r="M261" t="s">
        <v>4536</v>
      </c>
      <c r="O261" t="s">
        <v>206</v>
      </c>
      <c r="Q261" t="s">
        <v>207</v>
      </c>
      <c r="R261" t="s">
        <v>207</v>
      </c>
      <c r="S261" t="s">
        <v>207</v>
      </c>
      <c r="T261" t="s">
        <v>207</v>
      </c>
      <c r="U261" t="s">
        <v>207</v>
      </c>
      <c r="V261" t="s">
        <v>207</v>
      </c>
      <c r="W261" t="s">
        <v>207</v>
      </c>
      <c r="X261" t="s">
        <v>207</v>
      </c>
      <c r="AK261">
        <v>0.1857</v>
      </c>
      <c r="AL261">
        <v>0.77900000000000003</v>
      </c>
      <c r="AM261">
        <v>0.7681</v>
      </c>
      <c r="AN261" t="s">
        <v>4567</v>
      </c>
      <c r="AO261" t="s">
        <v>4568</v>
      </c>
      <c r="AP261" t="s">
        <v>4569</v>
      </c>
      <c r="AQ261">
        <v>0</v>
      </c>
      <c r="AR261">
        <v>0</v>
      </c>
      <c r="AW261">
        <v>6510</v>
      </c>
      <c r="AX261">
        <v>2.2669999999999999</v>
      </c>
      <c r="AY261" t="s">
        <v>210</v>
      </c>
      <c r="BA261">
        <v>7593818340.000001</v>
      </c>
      <c r="BB261" t="s">
        <v>4572</v>
      </c>
      <c r="BC261" t="s">
        <v>4576</v>
      </c>
    </row>
    <row r="262" spans="1:55" x14ac:dyDescent="0.25">
      <c r="A262">
        <v>409</v>
      </c>
      <c r="B262" t="s">
        <v>466</v>
      </c>
      <c r="C262" t="s">
        <v>1901</v>
      </c>
      <c r="D262" t="s">
        <v>3336</v>
      </c>
      <c r="E262" t="s">
        <v>93</v>
      </c>
      <c r="F262">
        <v>1679057600</v>
      </c>
      <c r="G262">
        <v>49.147829999999999</v>
      </c>
      <c r="H262" t="s">
        <v>101</v>
      </c>
      <c r="I262">
        <v>82522037485.007996</v>
      </c>
      <c r="J262" t="s">
        <v>205</v>
      </c>
      <c r="K262">
        <v>83831151.910209194</v>
      </c>
      <c r="L262">
        <v>0.4</v>
      </c>
      <c r="M262" t="s">
        <v>4536</v>
      </c>
      <c r="O262" t="s">
        <v>207</v>
      </c>
      <c r="Q262" t="s">
        <v>207</v>
      </c>
      <c r="R262" t="s">
        <v>207</v>
      </c>
      <c r="S262" t="s">
        <v>207</v>
      </c>
      <c r="T262" t="s">
        <v>207</v>
      </c>
      <c r="U262" t="s">
        <v>207</v>
      </c>
      <c r="V262" t="s">
        <v>207</v>
      </c>
      <c r="W262" t="s">
        <v>207</v>
      </c>
      <c r="X262" t="s">
        <v>207</v>
      </c>
      <c r="AG262" t="s">
        <v>4546</v>
      </c>
      <c r="AH262" t="s">
        <v>4562</v>
      </c>
      <c r="AI262" t="s">
        <v>4565</v>
      </c>
      <c r="AJ262" t="s">
        <v>4566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210</v>
      </c>
      <c r="BA262">
        <v>33008814994.003201</v>
      </c>
      <c r="BB262" t="s">
        <v>4572</v>
      </c>
      <c r="BC262" t="s">
        <v>4578</v>
      </c>
    </row>
    <row r="263" spans="1:55" x14ac:dyDescent="0.25">
      <c r="A263">
        <v>523</v>
      </c>
      <c r="B263" t="s">
        <v>467</v>
      </c>
      <c r="C263" t="s">
        <v>1902</v>
      </c>
      <c r="D263" t="s">
        <v>3337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202</v>
      </c>
      <c r="K263">
        <v>152600782.27461901</v>
      </c>
      <c r="L263">
        <v>1</v>
      </c>
      <c r="M263" t="s">
        <v>4536</v>
      </c>
      <c r="O263" t="s">
        <v>207</v>
      </c>
      <c r="Q263" t="s">
        <v>207</v>
      </c>
      <c r="R263" t="s">
        <v>207</v>
      </c>
      <c r="S263" t="s">
        <v>207</v>
      </c>
      <c r="T263" t="s">
        <v>207</v>
      </c>
      <c r="U263" t="s">
        <v>207</v>
      </c>
      <c r="V263" t="s">
        <v>207</v>
      </c>
      <c r="W263" t="s">
        <v>207</v>
      </c>
      <c r="X263" t="s">
        <v>207</v>
      </c>
      <c r="AG263" t="s">
        <v>4546</v>
      </c>
      <c r="AH263" t="s">
        <v>4564</v>
      </c>
      <c r="AI263" t="s">
        <v>4565</v>
      </c>
      <c r="AJ263" t="s">
        <v>4566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208</v>
      </c>
      <c r="BA263">
        <v>24780506127.467999</v>
      </c>
      <c r="BB263" t="s">
        <v>4572</v>
      </c>
      <c r="BC263" t="s">
        <v>4578</v>
      </c>
    </row>
    <row r="264" spans="1:55" x14ac:dyDescent="0.25">
      <c r="A264">
        <v>267</v>
      </c>
      <c r="B264" t="s">
        <v>468</v>
      </c>
      <c r="C264" t="s">
        <v>1903</v>
      </c>
      <c r="D264" t="s">
        <v>3338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54652702480.248703</v>
      </c>
      <c r="J264" t="s">
        <v>202</v>
      </c>
      <c r="K264">
        <v>244091693.79603699</v>
      </c>
      <c r="L264">
        <v>0.95</v>
      </c>
      <c r="M264" t="s">
        <v>4536</v>
      </c>
      <c r="O264" t="s">
        <v>207</v>
      </c>
      <c r="Q264" t="s">
        <v>207</v>
      </c>
      <c r="R264" t="s">
        <v>207</v>
      </c>
      <c r="S264" t="s">
        <v>207</v>
      </c>
      <c r="T264" t="s">
        <v>207</v>
      </c>
      <c r="U264" t="s">
        <v>207</v>
      </c>
      <c r="V264" t="s">
        <v>207</v>
      </c>
      <c r="W264" t="s">
        <v>207</v>
      </c>
      <c r="X264" t="s">
        <v>207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208</v>
      </c>
      <c r="BA264">
        <v>51920067356.236267</v>
      </c>
      <c r="BB264" t="s">
        <v>4572</v>
      </c>
      <c r="BC264" t="s">
        <v>4536</v>
      </c>
    </row>
    <row r="265" spans="1:55" x14ac:dyDescent="0.25">
      <c r="A265">
        <v>117</v>
      </c>
      <c r="B265" t="s">
        <v>469</v>
      </c>
      <c r="C265" t="s">
        <v>1904</v>
      </c>
      <c r="D265" t="s">
        <v>3339</v>
      </c>
      <c r="E265" t="s">
        <v>95</v>
      </c>
      <c r="F265">
        <v>537582100</v>
      </c>
      <c r="G265">
        <v>191.76390000000001</v>
      </c>
      <c r="H265" t="s">
        <v>103</v>
      </c>
      <c r="I265">
        <v>103088840066.19</v>
      </c>
      <c r="J265" t="s">
        <v>204</v>
      </c>
      <c r="K265">
        <v>192618578.12260699</v>
      </c>
      <c r="L265">
        <v>1</v>
      </c>
      <c r="O265" t="s">
        <v>207</v>
      </c>
      <c r="Q265" t="s">
        <v>207</v>
      </c>
      <c r="R265" t="s">
        <v>207</v>
      </c>
      <c r="S265" t="s">
        <v>207</v>
      </c>
      <c r="T265" t="s">
        <v>207</v>
      </c>
      <c r="U265" t="s">
        <v>207</v>
      </c>
      <c r="V265" t="s">
        <v>207</v>
      </c>
      <c r="W265" t="s">
        <v>207</v>
      </c>
      <c r="X265" t="s">
        <v>207</v>
      </c>
      <c r="AG265" t="s">
        <v>4547</v>
      </c>
      <c r="AI265" t="s">
        <v>4565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209</v>
      </c>
      <c r="BA265">
        <v>103088840066.19</v>
      </c>
      <c r="BB265" t="s">
        <v>4572</v>
      </c>
      <c r="BC265" t="s">
        <v>4565</v>
      </c>
    </row>
    <row r="266" spans="1:55" x14ac:dyDescent="0.25">
      <c r="A266">
        <v>156</v>
      </c>
      <c r="B266" t="s">
        <v>470</v>
      </c>
      <c r="C266" t="s">
        <v>1905</v>
      </c>
      <c r="D266" t="s">
        <v>3340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202</v>
      </c>
      <c r="K266">
        <v>570568497.29757404</v>
      </c>
      <c r="L266">
        <v>1</v>
      </c>
      <c r="M266" t="s">
        <v>4536</v>
      </c>
      <c r="O266" t="s">
        <v>207</v>
      </c>
      <c r="Q266" t="s">
        <v>207</v>
      </c>
      <c r="R266" t="s">
        <v>207</v>
      </c>
      <c r="S266" t="s">
        <v>207</v>
      </c>
      <c r="T266" t="s">
        <v>207</v>
      </c>
      <c r="U266" t="s">
        <v>207</v>
      </c>
      <c r="V266" t="s">
        <v>207</v>
      </c>
      <c r="W266" t="s">
        <v>207</v>
      </c>
      <c r="X266" t="s">
        <v>207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208</v>
      </c>
      <c r="BA266">
        <v>79763685062.225998</v>
      </c>
      <c r="BB266" t="s">
        <v>4572</v>
      </c>
      <c r="BC266" t="s">
        <v>4536</v>
      </c>
    </row>
    <row r="267" spans="1:55" x14ac:dyDescent="0.25">
      <c r="A267">
        <v>616</v>
      </c>
      <c r="B267" t="s">
        <v>471</v>
      </c>
      <c r="C267" t="s">
        <v>1906</v>
      </c>
      <c r="D267" t="s">
        <v>3341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202</v>
      </c>
      <c r="K267">
        <v>94800802.789185196</v>
      </c>
      <c r="L267">
        <v>1</v>
      </c>
      <c r="M267" t="s">
        <v>4536</v>
      </c>
      <c r="O267" t="s">
        <v>207</v>
      </c>
      <c r="Q267" t="s">
        <v>207</v>
      </c>
      <c r="R267" t="s">
        <v>207</v>
      </c>
      <c r="S267" t="s">
        <v>207</v>
      </c>
      <c r="T267" t="s">
        <v>207</v>
      </c>
      <c r="U267" t="s">
        <v>207</v>
      </c>
      <c r="V267" t="s">
        <v>207</v>
      </c>
      <c r="W267" t="s">
        <v>207</v>
      </c>
      <c r="X267" t="s">
        <v>207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208</v>
      </c>
      <c r="BA267">
        <v>20205087908.957001</v>
      </c>
      <c r="BB267" t="s">
        <v>4572</v>
      </c>
      <c r="BC267" t="s">
        <v>4536</v>
      </c>
    </row>
    <row r="268" spans="1:55" x14ac:dyDescent="0.25">
      <c r="A268">
        <v>197</v>
      </c>
      <c r="B268" t="s">
        <v>472</v>
      </c>
      <c r="C268" t="s">
        <v>1907</v>
      </c>
      <c r="D268" t="s">
        <v>3342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202</v>
      </c>
      <c r="K268">
        <v>374821035.46735197</v>
      </c>
      <c r="L268">
        <v>0.85</v>
      </c>
      <c r="M268" t="s">
        <v>4536</v>
      </c>
      <c r="O268" t="s">
        <v>207</v>
      </c>
      <c r="Q268" t="s">
        <v>207</v>
      </c>
      <c r="R268" t="s">
        <v>207</v>
      </c>
      <c r="S268" t="s">
        <v>207</v>
      </c>
      <c r="T268" t="s">
        <v>207</v>
      </c>
      <c r="U268" t="s">
        <v>207</v>
      </c>
      <c r="V268" t="s">
        <v>207</v>
      </c>
      <c r="W268" t="s">
        <v>207</v>
      </c>
      <c r="X268" t="s">
        <v>207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208</v>
      </c>
      <c r="BA268">
        <v>67070303901.518997</v>
      </c>
      <c r="BB268" t="s">
        <v>4572</v>
      </c>
      <c r="BC268" t="s">
        <v>4536</v>
      </c>
    </row>
    <row r="269" spans="1:55" x14ac:dyDescent="0.25">
      <c r="A269">
        <v>32</v>
      </c>
      <c r="B269" t="s">
        <v>166</v>
      </c>
      <c r="C269" t="s">
        <v>14</v>
      </c>
      <c r="D269" t="s">
        <v>54</v>
      </c>
      <c r="E269" t="s">
        <v>90</v>
      </c>
      <c r="F269">
        <v>3978292500</v>
      </c>
      <c r="G269">
        <v>61.195599999999999</v>
      </c>
      <c r="H269" t="s">
        <v>98</v>
      </c>
      <c r="I269">
        <v>243453996513</v>
      </c>
      <c r="J269" t="s">
        <v>202</v>
      </c>
      <c r="K269">
        <v>1147308204.02174</v>
      </c>
      <c r="L269">
        <v>1</v>
      </c>
      <c r="O269" t="s">
        <v>207</v>
      </c>
      <c r="Q269" t="s">
        <v>207</v>
      </c>
      <c r="R269" t="s">
        <v>207</v>
      </c>
      <c r="S269" t="s">
        <v>207</v>
      </c>
      <c r="T269" t="s">
        <v>207</v>
      </c>
      <c r="U269" t="s">
        <v>207</v>
      </c>
      <c r="V269" t="s">
        <v>207</v>
      </c>
      <c r="W269" t="s">
        <v>207</v>
      </c>
      <c r="X269" t="s">
        <v>207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208</v>
      </c>
      <c r="BA269">
        <v>243453996513</v>
      </c>
      <c r="BB269" t="s">
        <v>211</v>
      </c>
    </row>
    <row r="270" spans="1:55" x14ac:dyDescent="0.25">
      <c r="A270">
        <v>78</v>
      </c>
      <c r="B270" t="s">
        <v>173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143566526660.17499</v>
      </c>
      <c r="J270" t="s">
        <v>202</v>
      </c>
      <c r="K270">
        <v>1041228634.76247</v>
      </c>
      <c r="L270">
        <v>1</v>
      </c>
      <c r="O270" t="s">
        <v>207</v>
      </c>
      <c r="Q270" t="s">
        <v>207</v>
      </c>
      <c r="R270" t="s">
        <v>207</v>
      </c>
      <c r="S270" t="s">
        <v>207</v>
      </c>
      <c r="T270" t="s">
        <v>207</v>
      </c>
      <c r="U270" t="s">
        <v>207</v>
      </c>
      <c r="V270" t="s">
        <v>207</v>
      </c>
      <c r="W270" t="s">
        <v>207</v>
      </c>
      <c r="X270" t="s">
        <v>207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2.4009999999999998</v>
      </c>
      <c r="AY270" t="s">
        <v>208</v>
      </c>
      <c r="BA270">
        <v>143566526660.17499</v>
      </c>
      <c r="BB270" t="s">
        <v>211</v>
      </c>
    </row>
    <row r="271" spans="1:55" x14ac:dyDescent="0.25">
      <c r="A271">
        <v>652</v>
      </c>
      <c r="B271" t="s">
        <v>473</v>
      </c>
      <c r="C271" t="s">
        <v>1908</v>
      </c>
      <c r="D271" t="s">
        <v>3343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202</v>
      </c>
      <c r="K271">
        <v>167187205.10929099</v>
      </c>
      <c r="L271">
        <v>1</v>
      </c>
      <c r="M271" t="s">
        <v>4536</v>
      </c>
      <c r="O271" t="s">
        <v>207</v>
      </c>
      <c r="Q271" t="s">
        <v>207</v>
      </c>
      <c r="R271" t="s">
        <v>207</v>
      </c>
      <c r="S271" t="s">
        <v>207</v>
      </c>
      <c r="T271" t="s">
        <v>207</v>
      </c>
      <c r="U271" t="s">
        <v>207</v>
      </c>
      <c r="V271" t="s">
        <v>207</v>
      </c>
      <c r="W271" t="s">
        <v>207</v>
      </c>
      <c r="X271" t="s">
        <v>207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208</v>
      </c>
      <c r="BA271">
        <v>18764905685.709999</v>
      </c>
      <c r="BB271" t="s">
        <v>4572</v>
      </c>
      <c r="BC271" t="s">
        <v>4536</v>
      </c>
    </row>
    <row r="272" spans="1:55" x14ac:dyDescent="0.25">
      <c r="A272">
        <v>894</v>
      </c>
      <c r="B272" t="s">
        <v>474</v>
      </c>
      <c r="C272" t="s">
        <v>1909</v>
      </c>
      <c r="D272" t="s">
        <v>3344</v>
      </c>
      <c r="E272" t="s">
        <v>4518</v>
      </c>
      <c r="F272">
        <v>3499778300</v>
      </c>
      <c r="G272">
        <v>4.173597</v>
      </c>
      <c r="H272" t="s">
        <v>4529</v>
      </c>
      <c r="I272">
        <v>14606664213.545099</v>
      </c>
      <c r="J272" t="s">
        <v>205</v>
      </c>
      <c r="K272">
        <v>21149479.301869299</v>
      </c>
      <c r="L272">
        <v>0.55000000000000004</v>
      </c>
      <c r="M272" t="s">
        <v>4536</v>
      </c>
      <c r="O272" t="s">
        <v>207</v>
      </c>
      <c r="Q272" t="s">
        <v>207</v>
      </c>
      <c r="R272" t="s">
        <v>207</v>
      </c>
      <c r="S272" t="s">
        <v>207</v>
      </c>
      <c r="T272" t="s">
        <v>207</v>
      </c>
      <c r="U272" t="s">
        <v>207</v>
      </c>
      <c r="V272" t="s">
        <v>207</v>
      </c>
      <c r="W272" t="s">
        <v>207</v>
      </c>
      <c r="X272" t="s">
        <v>207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210</v>
      </c>
      <c r="AZ272" t="s">
        <v>4571</v>
      </c>
      <c r="BA272">
        <v>8033665317.4498053</v>
      </c>
      <c r="BB272" t="s">
        <v>4572</v>
      </c>
      <c r="BC272" t="s">
        <v>4577</v>
      </c>
    </row>
    <row r="273" spans="1:55" x14ac:dyDescent="0.25">
      <c r="A273">
        <v>781</v>
      </c>
      <c r="B273" t="s">
        <v>475</v>
      </c>
      <c r="C273" t="s">
        <v>1910</v>
      </c>
      <c r="D273" t="s">
        <v>3345</v>
      </c>
      <c r="E273" t="s">
        <v>4518</v>
      </c>
      <c r="F273">
        <v>3830044400</v>
      </c>
      <c r="G273">
        <v>4.8507290000000003</v>
      </c>
      <c r="H273" t="s">
        <v>4529</v>
      </c>
      <c r="I273">
        <v>18578507442.367599</v>
      </c>
      <c r="J273" t="s">
        <v>205</v>
      </c>
      <c r="K273">
        <v>27214865.714593802</v>
      </c>
      <c r="L273">
        <v>0.7</v>
      </c>
      <c r="M273" t="s">
        <v>4536</v>
      </c>
      <c r="O273" t="s">
        <v>207</v>
      </c>
      <c r="Q273" t="s">
        <v>207</v>
      </c>
      <c r="R273" t="s">
        <v>207</v>
      </c>
      <c r="S273" t="s">
        <v>207</v>
      </c>
      <c r="T273" t="s">
        <v>207</v>
      </c>
      <c r="U273" t="s">
        <v>207</v>
      </c>
      <c r="V273" t="s">
        <v>207</v>
      </c>
      <c r="W273" t="s">
        <v>207</v>
      </c>
      <c r="X273" t="s">
        <v>207</v>
      </c>
      <c r="AG273" t="s">
        <v>4546</v>
      </c>
      <c r="AH273" t="s">
        <v>4563</v>
      </c>
      <c r="AI273" t="s">
        <v>4565</v>
      </c>
      <c r="AJ273" t="s">
        <v>4566</v>
      </c>
      <c r="AK273">
        <v>2.2000000000000001E-3</v>
      </c>
      <c r="AL273">
        <v>0.15</v>
      </c>
      <c r="AM273">
        <v>6.8999999999999999E-3</v>
      </c>
      <c r="AN273" t="s">
        <v>4567</v>
      </c>
      <c r="AO273" t="s">
        <v>4568</v>
      </c>
      <c r="AP273" t="s">
        <v>4569</v>
      </c>
      <c r="AQ273">
        <v>0</v>
      </c>
      <c r="AR273">
        <v>0</v>
      </c>
      <c r="AW273">
        <v>5020</v>
      </c>
      <c r="AX273">
        <v>2.1379999999999999</v>
      </c>
      <c r="AY273" t="s">
        <v>210</v>
      </c>
      <c r="BA273">
        <v>13004955209.65732</v>
      </c>
      <c r="BB273" t="s">
        <v>4572</v>
      </c>
      <c r="BC273" t="s">
        <v>4614</v>
      </c>
    </row>
    <row r="274" spans="1:55" x14ac:dyDescent="0.25">
      <c r="A274">
        <v>1160</v>
      </c>
      <c r="B274" t="s">
        <v>476</v>
      </c>
      <c r="C274" t="s">
        <v>1911</v>
      </c>
      <c r="D274" t="s">
        <v>3346</v>
      </c>
      <c r="E274" t="s">
        <v>4518</v>
      </c>
      <c r="F274">
        <v>2519610800</v>
      </c>
      <c r="G274">
        <v>6.4266009999999998</v>
      </c>
      <c r="H274" t="s">
        <v>4529</v>
      </c>
      <c r="I274">
        <v>16192533286.8908</v>
      </c>
      <c r="J274" t="s">
        <v>205</v>
      </c>
      <c r="K274">
        <v>12974913.7255101</v>
      </c>
      <c r="L274">
        <v>0.25</v>
      </c>
      <c r="M274" t="s">
        <v>4536</v>
      </c>
      <c r="O274" t="s">
        <v>207</v>
      </c>
      <c r="Q274" t="s">
        <v>207</v>
      </c>
      <c r="R274" t="s">
        <v>207</v>
      </c>
      <c r="S274" t="s">
        <v>207</v>
      </c>
      <c r="T274" t="s">
        <v>207</v>
      </c>
      <c r="U274" t="s">
        <v>207</v>
      </c>
      <c r="V274" t="s">
        <v>207</v>
      </c>
      <c r="W274" t="s">
        <v>207</v>
      </c>
      <c r="X274" t="s">
        <v>207</v>
      </c>
      <c r="AK274">
        <v>2.12E-2</v>
      </c>
      <c r="AL274">
        <v>0.29399999999999998</v>
      </c>
      <c r="AM274">
        <v>6.8699999999999997E-2</v>
      </c>
      <c r="AN274" t="s">
        <v>4567</v>
      </c>
      <c r="AO274" t="s">
        <v>4568</v>
      </c>
      <c r="AP274" t="s">
        <v>4569</v>
      </c>
      <c r="AQ274">
        <v>0</v>
      </c>
      <c r="AR274">
        <v>0</v>
      </c>
      <c r="AW274">
        <v>6510</v>
      </c>
      <c r="AX274">
        <v>2.3199999999999998</v>
      </c>
      <c r="AY274" t="s">
        <v>210</v>
      </c>
      <c r="BA274">
        <v>4048133321.7227001</v>
      </c>
      <c r="BB274" t="s">
        <v>4572</v>
      </c>
      <c r="BC274" t="s">
        <v>4576</v>
      </c>
    </row>
    <row r="275" spans="1:55" x14ac:dyDescent="0.25">
      <c r="A275">
        <v>1324</v>
      </c>
      <c r="B275" t="s">
        <v>477</v>
      </c>
      <c r="C275" t="s">
        <v>1912</v>
      </c>
      <c r="D275" t="s">
        <v>3347</v>
      </c>
      <c r="E275" t="s">
        <v>94</v>
      </c>
      <c r="F275">
        <v>2231037000</v>
      </c>
      <c r="G275">
        <v>1.5731710000000001</v>
      </c>
      <c r="H275" t="s">
        <v>102</v>
      </c>
      <c r="I275">
        <v>3509802708.3270001</v>
      </c>
      <c r="J275" t="s">
        <v>205</v>
      </c>
      <c r="K275">
        <v>6981118.9846339896</v>
      </c>
      <c r="L275">
        <v>0.85</v>
      </c>
      <c r="M275" t="s">
        <v>4536</v>
      </c>
      <c r="N275" t="s">
        <v>4537</v>
      </c>
      <c r="O275" t="s">
        <v>207</v>
      </c>
      <c r="Q275" t="s">
        <v>207</v>
      </c>
      <c r="R275" t="s">
        <v>207</v>
      </c>
      <c r="S275" t="s">
        <v>207</v>
      </c>
      <c r="T275" t="s">
        <v>207</v>
      </c>
      <c r="U275" t="s">
        <v>207</v>
      </c>
      <c r="V275" t="s">
        <v>207</v>
      </c>
      <c r="W275" t="s">
        <v>207</v>
      </c>
      <c r="X275" t="s">
        <v>207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210</v>
      </c>
      <c r="BA275">
        <v>2983332302.07795</v>
      </c>
      <c r="BB275" t="s">
        <v>4572</v>
      </c>
      <c r="BC275" t="s">
        <v>4575</v>
      </c>
    </row>
    <row r="276" spans="1:55" x14ac:dyDescent="0.25">
      <c r="A276">
        <v>656</v>
      </c>
      <c r="B276" t="s">
        <v>478</v>
      </c>
      <c r="C276" t="s">
        <v>1913</v>
      </c>
      <c r="D276" t="s">
        <v>3348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202</v>
      </c>
      <c r="K276">
        <v>189422508.948535</v>
      </c>
      <c r="L276">
        <v>1</v>
      </c>
      <c r="M276" t="s">
        <v>4536</v>
      </c>
      <c r="O276" t="s">
        <v>207</v>
      </c>
      <c r="Q276" t="s">
        <v>207</v>
      </c>
      <c r="R276" t="s">
        <v>207</v>
      </c>
      <c r="S276" t="s">
        <v>207</v>
      </c>
      <c r="T276" t="s">
        <v>207</v>
      </c>
      <c r="U276" t="s">
        <v>207</v>
      </c>
      <c r="V276" t="s">
        <v>207</v>
      </c>
      <c r="W276" t="s">
        <v>207</v>
      </c>
      <c r="X276" t="s">
        <v>207</v>
      </c>
      <c r="AG276" t="s">
        <v>4546</v>
      </c>
      <c r="AH276" t="s">
        <v>4564</v>
      </c>
      <c r="AI276" t="s">
        <v>4565</v>
      </c>
      <c r="AJ276" t="s">
        <v>4566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208</v>
      </c>
      <c r="BA276">
        <v>18528556430.122501</v>
      </c>
      <c r="BB276" t="s">
        <v>4572</v>
      </c>
      <c r="BC276" t="s">
        <v>4578</v>
      </c>
    </row>
    <row r="277" spans="1:55" x14ac:dyDescent="0.25">
      <c r="A277">
        <v>310</v>
      </c>
      <c r="B277" t="s">
        <v>479</v>
      </c>
      <c r="C277" t="s">
        <v>1914</v>
      </c>
      <c r="D277" t="s">
        <v>3349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202</v>
      </c>
      <c r="K277">
        <v>427302978.25541103</v>
      </c>
      <c r="L277">
        <v>1</v>
      </c>
      <c r="M277" t="s">
        <v>4536</v>
      </c>
      <c r="O277" t="s">
        <v>207</v>
      </c>
      <c r="Q277" t="s">
        <v>207</v>
      </c>
      <c r="R277" t="s">
        <v>207</v>
      </c>
      <c r="S277" t="s">
        <v>207</v>
      </c>
      <c r="T277" t="s">
        <v>207</v>
      </c>
      <c r="U277" t="s">
        <v>207</v>
      </c>
      <c r="V277" t="s">
        <v>207</v>
      </c>
      <c r="W277" t="s">
        <v>207</v>
      </c>
      <c r="X277" t="s">
        <v>207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208</v>
      </c>
      <c r="BA277">
        <v>44813428262.963997</v>
      </c>
      <c r="BB277" t="s">
        <v>4572</v>
      </c>
      <c r="BC277" t="s">
        <v>4536</v>
      </c>
    </row>
    <row r="278" spans="1:55" x14ac:dyDescent="0.25">
      <c r="A278">
        <v>749</v>
      </c>
      <c r="B278" t="s">
        <v>480</v>
      </c>
      <c r="C278" t="s">
        <v>1915</v>
      </c>
      <c r="D278" t="s">
        <v>3350</v>
      </c>
      <c r="E278" t="s">
        <v>4518</v>
      </c>
      <c r="F278">
        <v>2526450700</v>
      </c>
      <c r="G278">
        <v>7.9347589999999997</v>
      </c>
      <c r="H278" t="s">
        <v>4529</v>
      </c>
      <c r="I278">
        <v>20046777429.881302</v>
      </c>
      <c r="J278" t="s">
        <v>205</v>
      </c>
      <c r="K278">
        <v>22060428.886542801</v>
      </c>
      <c r="L278">
        <v>0.75</v>
      </c>
      <c r="M278" t="s">
        <v>4536</v>
      </c>
      <c r="O278" t="s">
        <v>207</v>
      </c>
      <c r="Q278" t="s">
        <v>207</v>
      </c>
      <c r="R278" t="s">
        <v>207</v>
      </c>
      <c r="S278" t="s">
        <v>207</v>
      </c>
      <c r="T278" t="s">
        <v>207</v>
      </c>
      <c r="U278" t="s">
        <v>207</v>
      </c>
      <c r="V278" t="s">
        <v>207</v>
      </c>
      <c r="W278" t="s">
        <v>207</v>
      </c>
      <c r="X278" t="s">
        <v>207</v>
      </c>
      <c r="AK278">
        <v>0.35730000000000001</v>
      </c>
      <c r="AL278">
        <v>0.58299999999999996</v>
      </c>
      <c r="AM278">
        <v>0.50549999999999995</v>
      </c>
      <c r="AN278" t="s">
        <v>4567</v>
      </c>
      <c r="AO278" t="s">
        <v>4568</v>
      </c>
      <c r="AP278" t="s">
        <v>4569</v>
      </c>
      <c r="AQ278">
        <v>0</v>
      </c>
      <c r="AR278">
        <v>0</v>
      </c>
      <c r="AW278">
        <v>6510</v>
      </c>
      <c r="AX278">
        <v>2.9039999999999999</v>
      </c>
      <c r="AY278" t="s">
        <v>210</v>
      </c>
      <c r="BA278">
        <v>15035083072.410971</v>
      </c>
      <c r="BB278" t="s">
        <v>4572</v>
      </c>
      <c r="BC278" t="s">
        <v>4576</v>
      </c>
    </row>
    <row r="279" spans="1:55" x14ac:dyDescent="0.25">
      <c r="A279">
        <v>143</v>
      </c>
      <c r="B279" t="s">
        <v>481</v>
      </c>
      <c r="C279" t="s">
        <v>1916</v>
      </c>
      <c r="D279" t="s">
        <v>3351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202</v>
      </c>
      <c r="K279">
        <v>463023081.950477</v>
      </c>
      <c r="L279">
        <v>1</v>
      </c>
      <c r="M279" t="s">
        <v>4536</v>
      </c>
      <c r="O279" t="s">
        <v>207</v>
      </c>
      <c r="Q279" t="s">
        <v>207</v>
      </c>
      <c r="R279" t="s">
        <v>207</v>
      </c>
      <c r="S279" t="s">
        <v>207</v>
      </c>
      <c r="T279" t="s">
        <v>207</v>
      </c>
      <c r="U279" t="s">
        <v>207</v>
      </c>
      <c r="V279" t="s">
        <v>207</v>
      </c>
      <c r="W279" t="s">
        <v>207</v>
      </c>
      <c r="X279" t="s">
        <v>207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208</v>
      </c>
      <c r="BA279">
        <v>85779584735.543991</v>
      </c>
      <c r="BB279" t="s">
        <v>4572</v>
      </c>
      <c r="BC279" t="s">
        <v>4536</v>
      </c>
    </row>
    <row r="280" spans="1:55" x14ac:dyDescent="0.25">
      <c r="A280">
        <v>608</v>
      </c>
      <c r="B280" t="s">
        <v>482</v>
      </c>
      <c r="C280" t="s">
        <v>1917</v>
      </c>
      <c r="D280" t="s">
        <v>3352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202</v>
      </c>
      <c r="K280">
        <v>141355123.96691999</v>
      </c>
      <c r="L280">
        <v>1</v>
      </c>
      <c r="M280" t="s">
        <v>4536</v>
      </c>
      <c r="O280" t="s">
        <v>207</v>
      </c>
      <c r="Q280" t="s">
        <v>207</v>
      </c>
      <c r="R280" t="s">
        <v>207</v>
      </c>
      <c r="S280" t="s">
        <v>207</v>
      </c>
      <c r="T280" t="s">
        <v>207</v>
      </c>
      <c r="U280" t="s">
        <v>207</v>
      </c>
      <c r="V280" t="s">
        <v>207</v>
      </c>
      <c r="W280" t="s">
        <v>207</v>
      </c>
      <c r="X280" t="s">
        <v>207</v>
      </c>
      <c r="AK280">
        <v>0.1075</v>
      </c>
      <c r="AL280">
        <v>0.68700000000000006</v>
      </c>
      <c r="AM280">
        <v>0.3619</v>
      </c>
      <c r="AN280" t="s">
        <v>4567</v>
      </c>
      <c r="AO280" t="s">
        <v>4568</v>
      </c>
      <c r="AP280" t="s">
        <v>4569</v>
      </c>
      <c r="AQ280">
        <v>0</v>
      </c>
      <c r="AR280">
        <v>0</v>
      </c>
      <c r="AW280">
        <v>6510</v>
      </c>
      <c r="AX280">
        <v>1.7270000000000001</v>
      </c>
      <c r="AY280" t="s">
        <v>208</v>
      </c>
      <c r="AZ280" t="s">
        <v>4571</v>
      </c>
      <c r="BA280">
        <v>20431207661.633999</v>
      </c>
      <c r="BB280" t="s">
        <v>4572</v>
      </c>
      <c r="BC280" t="s">
        <v>4612</v>
      </c>
    </row>
    <row r="281" spans="1:55" x14ac:dyDescent="0.25">
      <c r="A281">
        <v>1425</v>
      </c>
      <c r="B281" t="s">
        <v>483</v>
      </c>
      <c r="C281" t="s">
        <v>1918</v>
      </c>
      <c r="D281" t="s">
        <v>3353</v>
      </c>
      <c r="E281" t="s">
        <v>93</v>
      </c>
      <c r="F281">
        <v>183268600</v>
      </c>
      <c r="G281">
        <v>15.7644</v>
      </c>
      <c r="H281" t="s">
        <v>101</v>
      </c>
      <c r="I281">
        <v>2889119517.8400002</v>
      </c>
      <c r="J281" t="s">
        <v>205</v>
      </c>
      <c r="K281">
        <v>9927698.6700804401</v>
      </c>
      <c r="L281">
        <v>0.8</v>
      </c>
      <c r="M281" t="s">
        <v>4536</v>
      </c>
      <c r="N281" t="s">
        <v>4537</v>
      </c>
      <c r="O281" t="s">
        <v>207</v>
      </c>
      <c r="Q281" t="s">
        <v>207</v>
      </c>
      <c r="R281" t="s">
        <v>207</v>
      </c>
      <c r="S281" t="s">
        <v>207</v>
      </c>
      <c r="T281" t="s">
        <v>207</v>
      </c>
      <c r="U281" t="s">
        <v>207</v>
      </c>
      <c r="V281" t="s">
        <v>207</v>
      </c>
      <c r="W281" t="s">
        <v>207</v>
      </c>
      <c r="X281" t="s">
        <v>207</v>
      </c>
      <c r="AG281" t="s">
        <v>4546</v>
      </c>
      <c r="AH281" t="s">
        <v>4564</v>
      </c>
      <c r="AI281" t="s">
        <v>4565</v>
      </c>
      <c r="AJ281" t="s">
        <v>4566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210</v>
      </c>
      <c r="BA281">
        <v>2311295614.2719998</v>
      </c>
      <c r="BB281" t="s">
        <v>4572</v>
      </c>
      <c r="BC281" t="s">
        <v>4592</v>
      </c>
    </row>
    <row r="282" spans="1:55" x14ac:dyDescent="0.25">
      <c r="A282">
        <v>29</v>
      </c>
      <c r="B282" t="s">
        <v>484</v>
      </c>
      <c r="C282" t="s">
        <v>1919</v>
      </c>
      <c r="D282" t="s">
        <v>3354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202</v>
      </c>
      <c r="K282">
        <v>1079623279.81794</v>
      </c>
      <c r="L282">
        <v>0.9</v>
      </c>
      <c r="O282" t="s">
        <v>206</v>
      </c>
      <c r="Q282" t="s">
        <v>207</v>
      </c>
      <c r="R282" t="s">
        <v>207</v>
      </c>
      <c r="S282" t="s">
        <v>207</v>
      </c>
      <c r="T282" t="s">
        <v>207</v>
      </c>
      <c r="U282" t="s">
        <v>207</v>
      </c>
      <c r="V282" t="s">
        <v>207</v>
      </c>
      <c r="W282" t="s">
        <v>207</v>
      </c>
      <c r="X282" t="s">
        <v>207</v>
      </c>
      <c r="AG282" t="s">
        <v>4546</v>
      </c>
      <c r="AH282" t="s">
        <v>4564</v>
      </c>
      <c r="AI282" t="s">
        <v>4565</v>
      </c>
      <c r="AJ282" t="s">
        <v>4566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208</v>
      </c>
      <c r="AZ282" t="s">
        <v>4571</v>
      </c>
      <c r="BA282">
        <v>264169059284.18701</v>
      </c>
      <c r="BB282" t="s">
        <v>4572</v>
      </c>
      <c r="BC282" t="s">
        <v>4598</v>
      </c>
    </row>
    <row r="283" spans="1:55" x14ac:dyDescent="0.25">
      <c r="A283">
        <v>691</v>
      </c>
      <c r="B283" t="s">
        <v>485</v>
      </c>
      <c r="C283" t="s">
        <v>1920</v>
      </c>
      <c r="D283" t="s">
        <v>3355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202</v>
      </c>
      <c r="K283">
        <v>120352917.86022</v>
      </c>
      <c r="L283">
        <v>0.45</v>
      </c>
      <c r="M283" t="s">
        <v>4536</v>
      </c>
      <c r="O283" t="s">
        <v>206</v>
      </c>
      <c r="Q283" t="s">
        <v>207</v>
      </c>
      <c r="R283" t="s">
        <v>207</v>
      </c>
      <c r="S283" t="s">
        <v>207</v>
      </c>
      <c r="T283" t="s">
        <v>207</v>
      </c>
      <c r="U283" t="s">
        <v>207</v>
      </c>
      <c r="V283" t="s">
        <v>207</v>
      </c>
      <c r="W283" t="s">
        <v>207</v>
      </c>
      <c r="X283" t="s">
        <v>207</v>
      </c>
      <c r="AK283">
        <v>1E-3</v>
      </c>
      <c r="AL283">
        <v>1E-3</v>
      </c>
      <c r="AM283">
        <v>0</v>
      </c>
      <c r="AN283" t="s">
        <v>4567</v>
      </c>
      <c r="AO283" t="s">
        <v>4568</v>
      </c>
      <c r="AQ283">
        <v>0</v>
      </c>
      <c r="AR283">
        <v>0</v>
      </c>
      <c r="AW283">
        <v>4510</v>
      </c>
      <c r="AX283">
        <v>2.532</v>
      </c>
      <c r="AY283" t="s">
        <v>208</v>
      </c>
      <c r="BA283">
        <v>17296628688.682652</v>
      </c>
      <c r="BB283" t="s">
        <v>4572</v>
      </c>
      <c r="BC283" t="s">
        <v>4599</v>
      </c>
    </row>
    <row r="284" spans="1:55" x14ac:dyDescent="0.25">
      <c r="A284">
        <v>898</v>
      </c>
      <c r="B284" t="s">
        <v>486</v>
      </c>
      <c r="C284" t="s">
        <v>1921</v>
      </c>
      <c r="D284" t="s">
        <v>3356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204</v>
      </c>
      <c r="K284">
        <v>14412050.783097999</v>
      </c>
      <c r="L284">
        <v>0.55000000000000004</v>
      </c>
      <c r="M284" t="s">
        <v>4536</v>
      </c>
      <c r="O284" t="s">
        <v>207</v>
      </c>
      <c r="Q284" t="s">
        <v>207</v>
      </c>
      <c r="R284" t="s">
        <v>207</v>
      </c>
      <c r="S284" t="s">
        <v>207</v>
      </c>
      <c r="T284" t="s">
        <v>207</v>
      </c>
      <c r="U284" t="s">
        <v>207</v>
      </c>
      <c r="V284" t="s">
        <v>207</v>
      </c>
      <c r="W284" t="s">
        <v>207</v>
      </c>
      <c r="X284" t="s">
        <v>207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209</v>
      </c>
      <c r="BA284">
        <v>7966529636.3514414</v>
      </c>
      <c r="BB284" t="s">
        <v>4572</v>
      </c>
      <c r="BC284" t="s">
        <v>4536</v>
      </c>
    </row>
    <row r="285" spans="1:55" x14ac:dyDescent="0.25">
      <c r="A285">
        <v>827</v>
      </c>
      <c r="B285" t="s">
        <v>487</v>
      </c>
      <c r="C285" t="s">
        <v>1922</v>
      </c>
      <c r="D285" t="s">
        <v>3357</v>
      </c>
      <c r="E285" t="s">
        <v>94</v>
      </c>
      <c r="F285">
        <v>65429930</v>
      </c>
      <c r="G285">
        <v>163.9085</v>
      </c>
      <c r="H285" t="s">
        <v>102</v>
      </c>
      <c r="I285">
        <v>10724521681.405001</v>
      </c>
      <c r="J285" t="s">
        <v>205</v>
      </c>
      <c r="K285">
        <v>23900691.6632655</v>
      </c>
      <c r="L285">
        <v>0.95</v>
      </c>
      <c r="M285" t="s">
        <v>4536</v>
      </c>
      <c r="O285" t="s">
        <v>207</v>
      </c>
      <c r="Q285" t="s">
        <v>207</v>
      </c>
      <c r="R285" t="s">
        <v>207</v>
      </c>
      <c r="S285" t="s">
        <v>207</v>
      </c>
      <c r="T285" t="s">
        <v>207</v>
      </c>
      <c r="U285" t="s">
        <v>207</v>
      </c>
      <c r="V285" t="s">
        <v>207</v>
      </c>
      <c r="W285" t="s">
        <v>207</v>
      </c>
      <c r="X285" t="s">
        <v>207</v>
      </c>
      <c r="AG285" t="s">
        <v>4546</v>
      </c>
      <c r="AH285" t="s">
        <v>4562</v>
      </c>
      <c r="AI285" t="s">
        <v>4565</v>
      </c>
      <c r="AJ285" t="s">
        <v>4566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210</v>
      </c>
      <c r="BA285">
        <v>10188295597.334749</v>
      </c>
      <c r="BB285" t="s">
        <v>4572</v>
      </c>
      <c r="BC285" t="s">
        <v>4578</v>
      </c>
    </row>
    <row r="286" spans="1:55" x14ac:dyDescent="0.25">
      <c r="A286">
        <v>1454</v>
      </c>
      <c r="B286" t="s">
        <v>488</v>
      </c>
      <c r="C286" t="s">
        <v>1923</v>
      </c>
      <c r="D286" t="s">
        <v>3358</v>
      </c>
      <c r="E286" t="s">
        <v>4520</v>
      </c>
      <c r="F286">
        <v>38096217</v>
      </c>
      <c r="G286">
        <v>56.45</v>
      </c>
      <c r="H286" t="s">
        <v>99</v>
      </c>
      <c r="I286">
        <v>2150531449.6500001</v>
      </c>
      <c r="J286" t="s">
        <v>4535</v>
      </c>
      <c r="K286">
        <v>4179097.8960317499</v>
      </c>
      <c r="L286">
        <v>1</v>
      </c>
      <c r="M286" t="s">
        <v>4536</v>
      </c>
      <c r="N286" t="s">
        <v>4537</v>
      </c>
      <c r="O286" t="s">
        <v>207</v>
      </c>
      <c r="Q286" t="s">
        <v>207</v>
      </c>
      <c r="R286" t="s">
        <v>207</v>
      </c>
      <c r="S286" t="s">
        <v>207</v>
      </c>
      <c r="T286" t="s">
        <v>207</v>
      </c>
      <c r="U286" t="s">
        <v>207</v>
      </c>
      <c r="V286" t="s">
        <v>207</v>
      </c>
      <c r="W286" t="s">
        <v>207</v>
      </c>
      <c r="X286" t="s">
        <v>207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209</v>
      </c>
      <c r="BA286">
        <v>2150531449.6500001</v>
      </c>
      <c r="BB286" t="s">
        <v>4572</v>
      </c>
      <c r="BC286" t="s">
        <v>4575</v>
      </c>
    </row>
    <row r="287" spans="1:55" x14ac:dyDescent="0.25">
      <c r="A287">
        <v>347</v>
      </c>
      <c r="B287" t="s">
        <v>489</v>
      </c>
      <c r="C287" t="s">
        <v>1924</v>
      </c>
      <c r="D287" t="s">
        <v>3359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202</v>
      </c>
      <c r="K287">
        <v>234076015.061297</v>
      </c>
      <c r="L287">
        <v>1</v>
      </c>
      <c r="M287" t="s">
        <v>4536</v>
      </c>
      <c r="O287" t="s">
        <v>207</v>
      </c>
      <c r="Q287" t="s">
        <v>207</v>
      </c>
      <c r="R287" t="s">
        <v>207</v>
      </c>
      <c r="S287" t="s">
        <v>207</v>
      </c>
      <c r="T287" t="s">
        <v>207</v>
      </c>
      <c r="U287" t="s">
        <v>207</v>
      </c>
      <c r="V287" t="s">
        <v>207</v>
      </c>
      <c r="W287" t="s">
        <v>207</v>
      </c>
      <c r="X287" t="s">
        <v>207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208</v>
      </c>
      <c r="BA287">
        <v>40151145243.440002</v>
      </c>
      <c r="BB287" t="s">
        <v>4572</v>
      </c>
      <c r="BC287" t="s">
        <v>4536</v>
      </c>
    </row>
    <row r="288" spans="1:55" x14ac:dyDescent="0.25">
      <c r="A288">
        <v>288</v>
      </c>
      <c r="B288" t="s">
        <v>490</v>
      </c>
      <c r="C288" t="s">
        <v>1925</v>
      </c>
      <c r="D288" t="s">
        <v>3360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202</v>
      </c>
      <c r="K288">
        <v>2679921833.22124</v>
      </c>
      <c r="L288">
        <v>1</v>
      </c>
      <c r="M288" t="s">
        <v>4536</v>
      </c>
      <c r="O288" t="s">
        <v>207</v>
      </c>
      <c r="Q288" t="s">
        <v>207</v>
      </c>
      <c r="R288" t="s">
        <v>207</v>
      </c>
      <c r="S288" t="s">
        <v>207</v>
      </c>
      <c r="T288" t="s">
        <v>207</v>
      </c>
      <c r="U288" t="s">
        <v>207</v>
      </c>
      <c r="V288" t="s">
        <v>207</v>
      </c>
      <c r="W288" t="s">
        <v>207</v>
      </c>
      <c r="X288" t="s">
        <v>207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208</v>
      </c>
      <c r="AZ288" t="s">
        <v>4571</v>
      </c>
      <c r="BA288">
        <v>47313604678.293999</v>
      </c>
      <c r="BB288" t="s">
        <v>4572</v>
      </c>
      <c r="BC288" t="s">
        <v>4577</v>
      </c>
    </row>
    <row r="289" spans="1:55" x14ac:dyDescent="0.25">
      <c r="A289">
        <v>734</v>
      </c>
      <c r="B289" t="s">
        <v>491</v>
      </c>
      <c r="C289" t="s">
        <v>1926</v>
      </c>
      <c r="D289" t="s">
        <v>3361</v>
      </c>
      <c r="E289" t="s">
        <v>94</v>
      </c>
      <c r="F289">
        <v>1340288100</v>
      </c>
      <c r="G289">
        <v>11.951219999999999</v>
      </c>
      <c r="H289" t="s">
        <v>102</v>
      </c>
      <c r="I289">
        <v>16018077946.482</v>
      </c>
      <c r="J289" t="s">
        <v>205</v>
      </c>
      <c r="K289">
        <v>24964340.777050201</v>
      </c>
      <c r="L289">
        <v>1</v>
      </c>
      <c r="M289" t="s">
        <v>4536</v>
      </c>
      <c r="O289" t="s">
        <v>207</v>
      </c>
      <c r="Q289" t="s">
        <v>207</v>
      </c>
      <c r="R289" t="s">
        <v>207</v>
      </c>
      <c r="S289" t="s">
        <v>207</v>
      </c>
      <c r="T289" t="s">
        <v>207</v>
      </c>
      <c r="U289" t="s">
        <v>207</v>
      </c>
      <c r="V289" t="s">
        <v>207</v>
      </c>
      <c r="W289" t="s">
        <v>207</v>
      </c>
      <c r="X289" t="s">
        <v>207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210</v>
      </c>
      <c r="BA289">
        <v>16018077946.482</v>
      </c>
      <c r="BB289" t="s">
        <v>4572</v>
      </c>
      <c r="BC289" t="s">
        <v>4536</v>
      </c>
    </row>
    <row r="290" spans="1:55" x14ac:dyDescent="0.25">
      <c r="A290">
        <v>185</v>
      </c>
      <c r="B290" t="s">
        <v>492</v>
      </c>
      <c r="C290" t="s">
        <v>1927</v>
      </c>
      <c r="D290" t="s">
        <v>3362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202</v>
      </c>
      <c r="K290">
        <v>399466543.06479502</v>
      </c>
      <c r="L290">
        <v>1</v>
      </c>
      <c r="M290" t="s">
        <v>4536</v>
      </c>
      <c r="O290" t="s">
        <v>207</v>
      </c>
      <c r="Q290" t="s">
        <v>207</v>
      </c>
      <c r="R290" t="s">
        <v>207</v>
      </c>
      <c r="S290" t="s">
        <v>207</v>
      </c>
      <c r="T290" t="s">
        <v>207</v>
      </c>
      <c r="U290" t="s">
        <v>207</v>
      </c>
      <c r="V290" t="s">
        <v>207</v>
      </c>
      <c r="W290" t="s">
        <v>207</v>
      </c>
      <c r="X290" t="s">
        <v>207</v>
      </c>
      <c r="AG290" t="s">
        <v>4546</v>
      </c>
      <c r="AH290" t="s">
        <v>4563</v>
      </c>
      <c r="AI290" t="s">
        <v>4565</v>
      </c>
      <c r="AJ290" t="s">
        <v>4566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208</v>
      </c>
      <c r="BA290">
        <v>69448269619.643204</v>
      </c>
      <c r="BB290" t="s">
        <v>4572</v>
      </c>
      <c r="BC290" t="s">
        <v>4578</v>
      </c>
    </row>
    <row r="291" spans="1:55" x14ac:dyDescent="0.25">
      <c r="A291">
        <v>702</v>
      </c>
      <c r="B291" t="s">
        <v>493</v>
      </c>
      <c r="C291" t="s">
        <v>1928</v>
      </c>
      <c r="D291" t="s">
        <v>3363</v>
      </c>
      <c r="E291" t="s">
        <v>4523</v>
      </c>
      <c r="F291">
        <v>210200000</v>
      </c>
      <c r="G291">
        <v>107.1014</v>
      </c>
      <c r="H291" t="s">
        <v>4532</v>
      </c>
      <c r="I291">
        <v>22512714280</v>
      </c>
      <c r="J291" t="s">
        <v>204</v>
      </c>
      <c r="K291">
        <v>21750532.031447802</v>
      </c>
      <c r="L291">
        <v>0.75</v>
      </c>
      <c r="O291" t="s">
        <v>207</v>
      </c>
      <c r="Q291" t="s">
        <v>207</v>
      </c>
      <c r="R291" t="s">
        <v>207</v>
      </c>
      <c r="S291" t="s">
        <v>207</v>
      </c>
      <c r="T291" t="s">
        <v>207</v>
      </c>
      <c r="U291" t="s">
        <v>207</v>
      </c>
      <c r="V291" t="s">
        <v>207</v>
      </c>
      <c r="W291" t="s">
        <v>207</v>
      </c>
      <c r="X291" t="s">
        <v>207</v>
      </c>
      <c r="AG291" t="s">
        <v>4546</v>
      </c>
      <c r="AH291" t="s">
        <v>4562</v>
      </c>
      <c r="AI291" t="s">
        <v>4565</v>
      </c>
      <c r="AJ291" t="s">
        <v>4566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209</v>
      </c>
      <c r="BA291">
        <v>16884535710</v>
      </c>
      <c r="BB291" t="s">
        <v>4572</v>
      </c>
      <c r="BC291" t="s">
        <v>4581</v>
      </c>
    </row>
    <row r="292" spans="1:55" x14ac:dyDescent="0.25">
      <c r="A292">
        <v>88</v>
      </c>
      <c r="B292" t="s">
        <v>494</v>
      </c>
      <c r="C292" t="s">
        <v>1929</v>
      </c>
      <c r="D292" t="s">
        <v>3364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202</v>
      </c>
      <c r="K292">
        <v>853506796.20792794</v>
      </c>
      <c r="L292">
        <v>1</v>
      </c>
      <c r="M292" t="s">
        <v>4536</v>
      </c>
      <c r="O292" t="s">
        <v>207</v>
      </c>
      <c r="Q292" t="s">
        <v>207</v>
      </c>
      <c r="R292" t="s">
        <v>207</v>
      </c>
      <c r="S292" t="s">
        <v>207</v>
      </c>
      <c r="T292" t="s">
        <v>207</v>
      </c>
      <c r="U292" t="s">
        <v>207</v>
      </c>
      <c r="V292" t="s">
        <v>207</v>
      </c>
      <c r="W292" t="s">
        <v>207</v>
      </c>
      <c r="X292" t="s">
        <v>207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208</v>
      </c>
      <c r="BA292">
        <v>130733608227.804</v>
      </c>
      <c r="BB292" t="s">
        <v>4572</v>
      </c>
      <c r="BC292" t="s">
        <v>4536</v>
      </c>
    </row>
    <row r="293" spans="1:55" x14ac:dyDescent="0.25">
      <c r="A293">
        <v>1464</v>
      </c>
      <c r="B293" t="s">
        <v>495</v>
      </c>
      <c r="C293" t="s">
        <v>1930</v>
      </c>
      <c r="D293" t="s">
        <v>3365</v>
      </c>
      <c r="E293" t="s">
        <v>4527</v>
      </c>
      <c r="F293">
        <v>2167448000</v>
      </c>
      <c r="G293">
        <v>0.97337090000000004</v>
      </c>
      <c r="H293" t="s">
        <v>4534</v>
      </c>
      <c r="I293">
        <v>2109730810.4632001</v>
      </c>
      <c r="J293" t="s">
        <v>205</v>
      </c>
      <c r="K293">
        <v>4630873.3600421799</v>
      </c>
      <c r="L293">
        <v>1</v>
      </c>
      <c r="M293" t="s">
        <v>4536</v>
      </c>
      <c r="N293" t="s">
        <v>4537</v>
      </c>
      <c r="O293" t="s">
        <v>207</v>
      </c>
      <c r="Q293" t="s">
        <v>207</v>
      </c>
      <c r="R293" t="s">
        <v>207</v>
      </c>
      <c r="S293" t="s">
        <v>207</v>
      </c>
      <c r="T293" t="s">
        <v>207</v>
      </c>
      <c r="U293" t="s">
        <v>207</v>
      </c>
      <c r="V293" t="s">
        <v>207</v>
      </c>
      <c r="W293" t="s">
        <v>207</v>
      </c>
      <c r="X293" t="s">
        <v>207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210</v>
      </c>
      <c r="BA293">
        <v>2109730810.4632001</v>
      </c>
      <c r="BB293" t="s">
        <v>4572</v>
      </c>
      <c r="BC293" t="s">
        <v>4575</v>
      </c>
    </row>
    <row r="294" spans="1:55" x14ac:dyDescent="0.25">
      <c r="A294">
        <v>658</v>
      </c>
      <c r="B294" t="s">
        <v>496</v>
      </c>
      <c r="C294" t="s">
        <v>1931</v>
      </c>
      <c r="D294" t="s">
        <v>3366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203</v>
      </c>
      <c r="K294">
        <v>92864872.3770082</v>
      </c>
      <c r="L294">
        <v>0.8</v>
      </c>
      <c r="M294" t="s">
        <v>4536</v>
      </c>
      <c r="O294" t="s">
        <v>207</v>
      </c>
      <c r="Q294" t="s">
        <v>207</v>
      </c>
      <c r="R294" t="s">
        <v>207</v>
      </c>
      <c r="S294" t="s">
        <v>207</v>
      </c>
      <c r="T294" t="s">
        <v>207</v>
      </c>
      <c r="U294" t="s">
        <v>207</v>
      </c>
      <c r="V294" t="s">
        <v>207</v>
      </c>
      <c r="W294" t="s">
        <v>207</v>
      </c>
      <c r="X294" t="s">
        <v>207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209</v>
      </c>
      <c r="BA294">
        <v>18504531342</v>
      </c>
      <c r="BB294" t="s">
        <v>4572</v>
      </c>
      <c r="BC294" t="s">
        <v>4536</v>
      </c>
    </row>
    <row r="295" spans="1:55" x14ac:dyDescent="0.25">
      <c r="A295">
        <v>70</v>
      </c>
      <c r="B295" t="s">
        <v>497</v>
      </c>
      <c r="C295" t="s">
        <v>1932</v>
      </c>
      <c r="D295" t="s">
        <v>3367</v>
      </c>
      <c r="E295" t="s">
        <v>94</v>
      </c>
      <c r="F295">
        <v>1673462400</v>
      </c>
      <c r="G295">
        <v>92.518280000000004</v>
      </c>
      <c r="H295" t="s">
        <v>102</v>
      </c>
      <c r="I295">
        <v>154825862892.672</v>
      </c>
      <c r="J295" t="s">
        <v>205</v>
      </c>
      <c r="K295">
        <v>178887915.08541501</v>
      </c>
      <c r="L295">
        <v>1</v>
      </c>
      <c r="M295" t="s">
        <v>4536</v>
      </c>
      <c r="O295" t="s">
        <v>207</v>
      </c>
      <c r="Q295" t="s">
        <v>207</v>
      </c>
      <c r="R295" t="s">
        <v>207</v>
      </c>
      <c r="S295" t="s">
        <v>207</v>
      </c>
      <c r="T295" t="s">
        <v>207</v>
      </c>
      <c r="U295" t="s">
        <v>207</v>
      </c>
      <c r="V295" t="s">
        <v>207</v>
      </c>
      <c r="W295" t="s">
        <v>207</v>
      </c>
      <c r="X295" t="s">
        <v>207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210</v>
      </c>
      <c r="BA295">
        <v>154825862892.672</v>
      </c>
      <c r="BB295" t="s">
        <v>4572</v>
      </c>
      <c r="BC295" t="s">
        <v>4536</v>
      </c>
    </row>
    <row r="296" spans="1:55" x14ac:dyDescent="0.25">
      <c r="A296">
        <v>235</v>
      </c>
      <c r="B296" t="s">
        <v>498</v>
      </c>
      <c r="C296" t="s">
        <v>1933</v>
      </c>
      <c r="D296" t="s">
        <v>3368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204</v>
      </c>
      <c r="K296">
        <v>64523516.076364703</v>
      </c>
      <c r="L296">
        <v>1</v>
      </c>
      <c r="M296" t="s">
        <v>4536</v>
      </c>
      <c r="O296" t="s">
        <v>206</v>
      </c>
      <c r="Q296" t="s">
        <v>207</v>
      </c>
      <c r="R296" t="s">
        <v>207</v>
      </c>
      <c r="S296" t="s">
        <v>207</v>
      </c>
      <c r="T296" t="s">
        <v>207</v>
      </c>
      <c r="U296" t="s">
        <v>207</v>
      </c>
      <c r="V296" t="s">
        <v>207</v>
      </c>
      <c r="W296" t="s">
        <v>207</v>
      </c>
      <c r="X296" t="s">
        <v>207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209</v>
      </c>
      <c r="BA296">
        <v>57335576629.674004</v>
      </c>
      <c r="BB296" t="s">
        <v>4572</v>
      </c>
      <c r="BC296" t="s">
        <v>4536</v>
      </c>
    </row>
    <row r="297" spans="1:55" x14ac:dyDescent="0.25">
      <c r="A297">
        <v>758</v>
      </c>
      <c r="B297" t="s">
        <v>499</v>
      </c>
      <c r="C297" t="s">
        <v>1934</v>
      </c>
      <c r="D297" t="s">
        <v>3369</v>
      </c>
      <c r="E297" t="s">
        <v>94</v>
      </c>
      <c r="F297">
        <v>585588200</v>
      </c>
      <c r="G297">
        <v>25.548780000000001</v>
      </c>
      <c r="H297" t="s">
        <v>102</v>
      </c>
      <c r="I297">
        <v>14961064092.396</v>
      </c>
      <c r="J297" t="s">
        <v>205</v>
      </c>
      <c r="K297">
        <v>29250872.000739601</v>
      </c>
      <c r="L297">
        <v>0.95</v>
      </c>
      <c r="M297" t="s">
        <v>4536</v>
      </c>
      <c r="O297" t="s">
        <v>207</v>
      </c>
      <c r="Q297" t="s">
        <v>207</v>
      </c>
      <c r="R297" t="s">
        <v>207</v>
      </c>
      <c r="S297" t="s">
        <v>207</v>
      </c>
      <c r="T297" t="s">
        <v>207</v>
      </c>
      <c r="U297" t="s">
        <v>207</v>
      </c>
      <c r="V297" t="s">
        <v>207</v>
      </c>
      <c r="W297" t="s">
        <v>207</v>
      </c>
      <c r="X297" t="s">
        <v>207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210</v>
      </c>
      <c r="AZ297" t="s">
        <v>4571</v>
      </c>
      <c r="BA297">
        <v>14213010887.776199</v>
      </c>
      <c r="BB297" t="s">
        <v>4572</v>
      </c>
      <c r="BC297" t="s">
        <v>4577</v>
      </c>
    </row>
    <row r="298" spans="1:55" x14ac:dyDescent="0.25">
      <c r="A298">
        <v>1413</v>
      </c>
      <c r="B298" t="s">
        <v>500</v>
      </c>
      <c r="C298" t="s">
        <v>1935</v>
      </c>
      <c r="D298" t="s">
        <v>3370</v>
      </c>
      <c r="E298" t="s">
        <v>93</v>
      </c>
      <c r="F298">
        <v>133000000</v>
      </c>
      <c r="G298">
        <v>20.253889999999998</v>
      </c>
      <c r="H298" t="s">
        <v>101</v>
      </c>
      <c r="I298">
        <v>2693767370</v>
      </c>
      <c r="J298" t="s">
        <v>205</v>
      </c>
      <c r="K298">
        <v>7229242.3905086303</v>
      </c>
      <c r="L298">
        <v>0.9</v>
      </c>
      <c r="M298" t="s">
        <v>4536</v>
      </c>
      <c r="N298" t="s">
        <v>4537</v>
      </c>
      <c r="O298" t="s">
        <v>207</v>
      </c>
      <c r="Q298" t="s">
        <v>207</v>
      </c>
      <c r="R298" t="s">
        <v>207</v>
      </c>
      <c r="S298" t="s">
        <v>207</v>
      </c>
      <c r="T298" t="s">
        <v>207</v>
      </c>
      <c r="U298" t="s">
        <v>207</v>
      </c>
      <c r="V298" t="s">
        <v>207</v>
      </c>
      <c r="W298" t="s">
        <v>207</v>
      </c>
      <c r="X298" t="s">
        <v>207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210</v>
      </c>
      <c r="AZ298" t="s">
        <v>4571</v>
      </c>
      <c r="BA298">
        <v>2424390633</v>
      </c>
      <c r="BB298" t="s">
        <v>4572</v>
      </c>
      <c r="BC298" t="s">
        <v>4584</v>
      </c>
    </row>
    <row r="299" spans="1:55" x14ac:dyDescent="0.25">
      <c r="A299">
        <v>947</v>
      </c>
      <c r="B299" t="s">
        <v>501</v>
      </c>
      <c r="C299" t="s">
        <v>1936</v>
      </c>
      <c r="D299" t="s">
        <v>3371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6987103481.2236004</v>
      </c>
      <c r="J299" t="s">
        <v>205</v>
      </c>
      <c r="K299">
        <v>22814966.2708776</v>
      </c>
      <c r="L299">
        <v>1</v>
      </c>
      <c r="M299" t="s">
        <v>4536</v>
      </c>
      <c r="O299" t="s">
        <v>207</v>
      </c>
      <c r="Q299" t="s">
        <v>207</v>
      </c>
      <c r="R299" t="s">
        <v>207</v>
      </c>
      <c r="S299" t="s">
        <v>207</v>
      </c>
      <c r="T299" t="s">
        <v>207</v>
      </c>
      <c r="U299" t="s">
        <v>207</v>
      </c>
      <c r="V299" t="s">
        <v>207</v>
      </c>
      <c r="W299" t="s">
        <v>207</v>
      </c>
      <c r="X299" t="s">
        <v>207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210</v>
      </c>
      <c r="BA299">
        <v>6987103481.2236004</v>
      </c>
      <c r="BB299" t="s">
        <v>4572</v>
      </c>
      <c r="BC299" t="s">
        <v>4536</v>
      </c>
    </row>
    <row r="300" spans="1:55" x14ac:dyDescent="0.25">
      <c r="A300">
        <v>102</v>
      </c>
      <c r="B300" t="s">
        <v>502</v>
      </c>
      <c r="C300" t="s">
        <v>1937</v>
      </c>
      <c r="D300" t="s">
        <v>3372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202</v>
      </c>
      <c r="K300">
        <v>718930473.45532596</v>
      </c>
      <c r="L300">
        <v>1</v>
      </c>
      <c r="M300" t="s">
        <v>4536</v>
      </c>
      <c r="O300" t="s">
        <v>207</v>
      </c>
      <c r="Q300" t="s">
        <v>207</v>
      </c>
      <c r="R300" t="s">
        <v>207</v>
      </c>
      <c r="S300" t="s">
        <v>207</v>
      </c>
      <c r="T300" t="s">
        <v>207</v>
      </c>
      <c r="U300" t="s">
        <v>207</v>
      </c>
      <c r="V300" t="s">
        <v>207</v>
      </c>
      <c r="W300" t="s">
        <v>207</v>
      </c>
      <c r="X300" t="s">
        <v>207</v>
      </c>
      <c r="AK300">
        <v>0</v>
      </c>
      <c r="AL300">
        <v>0.94399999999999995</v>
      </c>
      <c r="AM300">
        <v>0</v>
      </c>
      <c r="AO300" t="s">
        <v>4568</v>
      </c>
      <c r="AQ300">
        <v>0</v>
      </c>
      <c r="AR300">
        <v>0</v>
      </c>
      <c r="AW300">
        <v>6010</v>
      </c>
      <c r="AX300">
        <v>2.581</v>
      </c>
      <c r="AY300" t="s">
        <v>208</v>
      </c>
      <c r="BA300">
        <v>119193612490.134</v>
      </c>
      <c r="BB300" t="s">
        <v>4572</v>
      </c>
      <c r="BC300" t="s">
        <v>4582</v>
      </c>
    </row>
    <row r="301" spans="1:55" x14ac:dyDescent="0.25">
      <c r="A301">
        <v>413</v>
      </c>
      <c r="B301" t="s">
        <v>503</v>
      </c>
      <c r="C301" t="s">
        <v>1938</v>
      </c>
      <c r="D301" t="s">
        <v>3373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202</v>
      </c>
      <c r="K301">
        <v>212887198.468301</v>
      </c>
      <c r="L301">
        <v>1</v>
      </c>
      <c r="M301" t="s">
        <v>4536</v>
      </c>
      <c r="O301" t="s">
        <v>206</v>
      </c>
      <c r="Q301" t="s">
        <v>207</v>
      </c>
      <c r="R301" t="s">
        <v>207</v>
      </c>
      <c r="S301" t="s">
        <v>207</v>
      </c>
      <c r="T301" t="s">
        <v>207</v>
      </c>
      <c r="U301" t="s">
        <v>207</v>
      </c>
      <c r="V301" t="s">
        <v>207</v>
      </c>
      <c r="W301" t="s">
        <v>207</v>
      </c>
      <c r="X301" t="s">
        <v>207</v>
      </c>
      <c r="AK301">
        <v>0</v>
      </c>
      <c r="AL301">
        <v>0.33300000000000002</v>
      </c>
      <c r="AM301">
        <v>7.9699999999999993E-2</v>
      </c>
      <c r="AO301" t="s">
        <v>4568</v>
      </c>
      <c r="AP301" t="s">
        <v>4569</v>
      </c>
      <c r="AQ301">
        <v>0</v>
      </c>
      <c r="AR301">
        <v>0</v>
      </c>
      <c r="AW301">
        <v>6510</v>
      </c>
      <c r="AX301">
        <v>1.867</v>
      </c>
      <c r="AY301" t="s">
        <v>208</v>
      </c>
      <c r="AZ301" t="s">
        <v>4571</v>
      </c>
      <c r="BA301">
        <v>32585256628.733601</v>
      </c>
      <c r="BB301" t="s">
        <v>4572</v>
      </c>
      <c r="BC301" t="s">
        <v>4611</v>
      </c>
    </row>
    <row r="302" spans="1:55" x14ac:dyDescent="0.25">
      <c r="A302">
        <v>506</v>
      </c>
      <c r="B302" t="s">
        <v>504</v>
      </c>
      <c r="C302" t="s">
        <v>1939</v>
      </c>
      <c r="D302" t="s">
        <v>3374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202</v>
      </c>
      <c r="K302">
        <v>440420691.65583998</v>
      </c>
      <c r="L302">
        <v>0.85</v>
      </c>
      <c r="M302" t="s">
        <v>4536</v>
      </c>
      <c r="O302" t="s">
        <v>207</v>
      </c>
      <c r="Q302" t="s">
        <v>207</v>
      </c>
      <c r="R302" t="s">
        <v>207</v>
      </c>
      <c r="S302" t="s">
        <v>207</v>
      </c>
      <c r="T302" t="s">
        <v>207</v>
      </c>
      <c r="U302" t="s">
        <v>207</v>
      </c>
      <c r="V302" t="s">
        <v>207</v>
      </c>
      <c r="W302" t="s">
        <v>207</v>
      </c>
      <c r="X302" t="s">
        <v>207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208</v>
      </c>
      <c r="BA302">
        <v>25852503297.5368</v>
      </c>
      <c r="BB302" t="s">
        <v>4572</v>
      </c>
      <c r="BC302" t="s">
        <v>4536</v>
      </c>
    </row>
    <row r="303" spans="1:55" x14ac:dyDescent="0.25">
      <c r="A303">
        <v>148</v>
      </c>
      <c r="B303" t="s">
        <v>505</v>
      </c>
      <c r="C303" t="s">
        <v>1940</v>
      </c>
      <c r="D303" t="s">
        <v>3375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202</v>
      </c>
      <c r="K303">
        <v>1026291261.9453599</v>
      </c>
      <c r="L303">
        <v>1</v>
      </c>
      <c r="M303" t="s">
        <v>4536</v>
      </c>
      <c r="O303" t="s">
        <v>207</v>
      </c>
      <c r="Q303" t="s">
        <v>207</v>
      </c>
      <c r="R303" t="s">
        <v>207</v>
      </c>
      <c r="S303" t="s">
        <v>207</v>
      </c>
      <c r="T303" t="s">
        <v>207</v>
      </c>
      <c r="U303" t="s">
        <v>207</v>
      </c>
      <c r="V303" t="s">
        <v>207</v>
      </c>
      <c r="W303" t="s">
        <v>207</v>
      </c>
      <c r="X303" t="s">
        <v>207</v>
      </c>
      <c r="AK303">
        <v>0</v>
      </c>
      <c r="AL303">
        <v>0.216</v>
      </c>
      <c r="AM303">
        <v>6.5000000000000002E-2</v>
      </c>
      <c r="AO303" t="s">
        <v>4568</v>
      </c>
      <c r="AP303" t="s">
        <v>4569</v>
      </c>
      <c r="AQ303">
        <v>0</v>
      </c>
      <c r="AR303">
        <v>0</v>
      </c>
      <c r="AW303">
        <v>6510</v>
      </c>
      <c r="AX303">
        <v>2.1640000000000001</v>
      </c>
      <c r="AY303" t="s">
        <v>208</v>
      </c>
      <c r="BA303">
        <v>85113600972.311996</v>
      </c>
      <c r="BB303" t="s">
        <v>4572</v>
      </c>
      <c r="BC303" t="s">
        <v>4595</v>
      </c>
    </row>
    <row r="304" spans="1:55" x14ac:dyDescent="0.25">
      <c r="A304">
        <v>206</v>
      </c>
      <c r="B304" t="s">
        <v>506</v>
      </c>
      <c r="C304" t="s">
        <v>1941</v>
      </c>
      <c r="D304" t="s">
        <v>3376</v>
      </c>
      <c r="E304" t="s">
        <v>97</v>
      </c>
      <c r="F304">
        <v>21191530</v>
      </c>
      <c r="G304">
        <v>3259.3119999999999</v>
      </c>
      <c r="H304" t="s">
        <v>104</v>
      </c>
      <c r="I304">
        <v>69069808027.360001</v>
      </c>
      <c r="J304" t="s">
        <v>202</v>
      </c>
      <c r="K304">
        <v>91936843.640889302</v>
      </c>
      <c r="L304">
        <v>0.95</v>
      </c>
      <c r="O304" t="s">
        <v>207</v>
      </c>
      <c r="Q304" t="s">
        <v>207</v>
      </c>
      <c r="R304" t="s">
        <v>207</v>
      </c>
      <c r="S304" t="s">
        <v>207</v>
      </c>
      <c r="T304" t="s">
        <v>207</v>
      </c>
      <c r="U304" t="s">
        <v>207</v>
      </c>
      <c r="V304" t="s">
        <v>207</v>
      </c>
      <c r="W304" t="s">
        <v>207</v>
      </c>
      <c r="X304" t="s">
        <v>207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208</v>
      </c>
      <c r="AZ304" t="s">
        <v>4571</v>
      </c>
      <c r="BA304">
        <v>65616317625.991997</v>
      </c>
      <c r="BB304" t="s">
        <v>4572</v>
      </c>
      <c r="BC304" t="s">
        <v>4571</v>
      </c>
    </row>
    <row r="305" spans="1:55" x14ac:dyDescent="0.25">
      <c r="A305">
        <v>1183</v>
      </c>
      <c r="B305" t="s">
        <v>507</v>
      </c>
      <c r="C305" t="s">
        <v>1942</v>
      </c>
      <c r="D305" t="s">
        <v>3377</v>
      </c>
      <c r="E305" t="s">
        <v>4525</v>
      </c>
      <c r="F305">
        <v>797946530</v>
      </c>
      <c r="G305">
        <v>5.0162180000000003</v>
      </c>
      <c r="H305" t="s">
        <v>4533</v>
      </c>
      <c r="I305">
        <v>4002673746.8235402</v>
      </c>
      <c r="J305" t="s">
        <v>205</v>
      </c>
      <c r="K305">
        <v>5545727.5525728501</v>
      </c>
      <c r="L305">
        <v>0.95</v>
      </c>
      <c r="M305" t="s">
        <v>4536</v>
      </c>
      <c r="N305" t="s">
        <v>4537</v>
      </c>
      <c r="O305" t="s">
        <v>207</v>
      </c>
      <c r="Q305" t="s">
        <v>207</v>
      </c>
      <c r="R305" t="s">
        <v>207</v>
      </c>
      <c r="S305" t="s">
        <v>207</v>
      </c>
      <c r="T305" t="s">
        <v>207</v>
      </c>
      <c r="U305" t="s">
        <v>207</v>
      </c>
      <c r="V305" t="s">
        <v>207</v>
      </c>
      <c r="W305" t="s">
        <v>207</v>
      </c>
      <c r="X305" t="s">
        <v>207</v>
      </c>
      <c r="AK305">
        <v>0</v>
      </c>
      <c r="AL305">
        <v>0.2</v>
      </c>
      <c r="AM305">
        <v>0.16250000000000001</v>
      </c>
      <c r="AO305" t="s">
        <v>4568</v>
      </c>
      <c r="AP305" t="s">
        <v>4569</v>
      </c>
      <c r="AQ305">
        <v>0</v>
      </c>
      <c r="AR305">
        <v>0</v>
      </c>
      <c r="AW305">
        <v>6510</v>
      </c>
      <c r="AX305">
        <v>2.754</v>
      </c>
      <c r="AY305" t="s">
        <v>210</v>
      </c>
      <c r="BA305">
        <v>3802540059.4823632</v>
      </c>
      <c r="BB305" t="s">
        <v>4572</v>
      </c>
      <c r="BC305" t="s">
        <v>4615</v>
      </c>
    </row>
    <row r="306" spans="1:55" x14ac:dyDescent="0.25">
      <c r="A306">
        <v>919</v>
      </c>
      <c r="B306" t="s">
        <v>508</v>
      </c>
      <c r="C306" t="s">
        <v>1943</v>
      </c>
      <c r="D306" t="s">
        <v>3378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203</v>
      </c>
      <c r="K306">
        <v>24556942.140819699</v>
      </c>
      <c r="L306">
        <v>0.55000000000000004</v>
      </c>
      <c r="O306" t="s">
        <v>207</v>
      </c>
      <c r="Q306" t="s">
        <v>207</v>
      </c>
      <c r="R306" t="s">
        <v>207</v>
      </c>
      <c r="S306" t="s">
        <v>207</v>
      </c>
      <c r="T306" t="s">
        <v>207</v>
      </c>
      <c r="U306" t="s">
        <v>207</v>
      </c>
      <c r="V306" t="s">
        <v>207</v>
      </c>
      <c r="W306" t="s">
        <v>207</v>
      </c>
      <c r="X306" t="s">
        <v>207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209</v>
      </c>
      <c r="BA306">
        <v>7590226941.000001</v>
      </c>
      <c r="BB306" t="s">
        <v>211</v>
      </c>
    </row>
    <row r="307" spans="1:55" x14ac:dyDescent="0.25">
      <c r="A307">
        <v>1079</v>
      </c>
      <c r="B307" t="s">
        <v>509</v>
      </c>
      <c r="C307" t="s">
        <v>1944</v>
      </c>
      <c r="D307" t="s">
        <v>3379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204</v>
      </c>
      <c r="K307">
        <v>9155054.9499982595</v>
      </c>
      <c r="L307">
        <v>0.8</v>
      </c>
      <c r="M307" t="s">
        <v>4536</v>
      </c>
      <c r="N307" t="s">
        <v>4537</v>
      </c>
      <c r="O307" t="s">
        <v>207</v>
      </c>
      <c r="Q307" t="s">
        <v>207</v>
      </c>
      <c r="R307" t="s">
        <v>207</v>
      </c>
      <c r="S307" t="s">
        <v>207</v>
      </c>
      <c r="T307" t="s">
        <v>207</v>
      </c>
      <c r="U307" t="s">
        <v>207</v>
      </c>
      <c r="V307" t="s">
        <v>207</v>
      </c>
      <c r="W307" t="s">
        <v>207</v>
      </c>
      <c r="X307" t="s">
        <v>207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209</v>
      </c>
      <c r="BA307">
        <v>4904613567.5040007</v>
      </c>
      <c r="BB307" t="s">
        <v>4572</v>
      </c>
      <c r="BC307" t="s">
        <v>4575</v>
      </c>
    </row>
    <row r="308" spans="1:55" x14ac:dyDescent="0.25">
      <c r="A308">
        <v>701</v>
      </c>
      <c r="B308" t="s">
        <v>510</v>
      </c>
      <c r="C308" t="s">
        <v>1945</v>
      </c>
      <c r="D308" t="s">
        <v>3380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202</v>
      </c>
      <c r="K308">
        <v>137703874.405184</v>
      </c>
      <c r="L308">
        <v>1</v>
      </c>
      <c r="M308" t="s">
        <v>4536</v>
      </c>
      <c r="O308" t="s">
        <v>207</v>
      </c>
      <c r="Q308" t="s">
        <v>207</v>
      </c>
      <c r="R308" t="s">
        <v>207</v>
      </c>
      <c r="S308" t="s">
        <v>207</v>
      </c>
      <c r="T308" t="s">
        <v>207</v>
      </c>
      <c r="U308" t="s">
        <v>207</v>
      </c>
      <c r="V308" t="s">
        <v>207</v>
      </c>
      <c r="W308" t="s">
        <v>207</v>
      </c>
      <c r="X308" t="s">
        <v>207</v>
      </c>
      <c r="AG308" t="s">
        <v>4546</v>
      </c>
      <c r="AH308" t="s">
        <v>4562</v>
      </c>
      <c r="AI308" t="s">
        <v>4565</v>
      </c>
      <c r="AJ308" t="s">
        <v>4566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208</v>
      </c>
      <c r="AZ308" t="s">
        <v>4571</v>
      </c>
      <c r="BA308">
        <v>16922222781.996799</v>
      </c>
      <c r="BB308" t="s">
        <v>4572</v>
      </c>
      <c r="BC308" t="s">
        <v>4588</v>
      </c>
    </row>
    <row r="309" spans="1:55" x14ac:dyDescent="0.25">
      <c r="A309">
        <v>292</v>
      </c>
      <c r="B309" t="s">
        <v>511</v>
      </c>
      <c r="C309" t="s">
        <v>1946</v>
      </c>
      <c r="D309" t="s">
        <v>3381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202</v>
      </c>
      <c r="K309">
        <v>215840813.92852601</v>
      </c>
      <c r="L309">
        <v>0.9</v>
      </c>
      <c r="M309" t="s">
        <v>4536</v>
      </c>
      <c r="O309" t="s">
        <v>207</v>
      </c>
      <c r="Q309" t="s">
        <v>207</v>
      </c>
      <c r="R309" t="s">
        <v>207</v>
      </c>
      <c r="S309" t="s">
        <v>207</v>
      </c>
      <c r="T309" t="s">
        <v>207</v>
      </c>
      <c r="U309" t="s">
        <v>207</v>
      </c>
      <c r="V309" t="s">
        <v>207</v>
      </c>
      <c r="W309" t="s">
        <v>207</v>
      </c>
      <c r="X309" t="s">
        <v>207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208</v>
      </c>
      <c r="BA309">
        <v>46937793642.987602</v>
      </c>
      <c r="BB309" t="s">
        <v>4572</v>
      </c>
      <c r="BC309" t="s">
        <v>4536</v>
      </c>
    </row>
    <row r="310" spans="1:55" x14ac:dyDescent="0.25">
      <c r="A310">
        <v>370</v>
      </c>
      <c r="B310" t="s">
        <v>190</v>
      </c>
      <c r="C310" t="s">
        <v>16</v>
      </c>
      <c r="D310" t="s">
        <v>56</v>
      </c>
      <c r="E310" t="s">
        <v>88</v>
      </c>
      <c r="F310">
        <v>856564000</v>
      </c>
      <c r="G310">
        <v>49.249160000000003</v>
      </c>
      <c r="H310" t="s">
        <v>98</v>
      </c>
      <c r="I310">
        <v>42185057486.240013</v>
      </c>
      <c r="J310" t="s">
        <v>202</v>
      </c>
      <c r="K310">
        <v>232602254.25303</v>
      </c>
      <c r="L310">
        <v>0.9</v>
      </c>
      <c r="O310" t="s">
        <v>207</v>
      </c>
      <c r="Q310" t="s">
        <v>207</v>
      </c>
      <c r="R310" t="s">
        <v>207</v>
      </c>
      <c r="S310" t="s">
        <v>207</v>
      </c>
      <c r="T310" t="s">
        <v>207</v>
      </c>
      <c r="U310" t="s">
        <v>207</v>
      </c>
      <c r="V310" t="s">
        <v>207</v>
      </c>
      <c r="W310" t="s">
        <v>207</v>
      </c>
      <c r="X310" t="s">
        <v>207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208</v>
      </c>
      <c r="BA310">
        <v>37966551737.615997</v>
      </c>
      <c r="BB310" t="s">
        <v>211</v>
      </c>
    </row>
    <row r="311" spans="1:55" x14ac:dyDescent="0.25">
      <c r="A311">
        <v>549</v>
      </c>
      <c r="B311" t="s">
        <v>512</v>
      </c>
      <c r="C311" t="s">
        <v>1947</v>
      </c>
      <c r="D311" t="s">
        <v>3382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202</v>
      </c>
      <c r="K311">
        <v>154116041.14680299</v>
      </c>
      <c r="L311">
        <v>0.95</v>
      </c>
      <c r="M311" t="s">
        <v>4536</v>
      </c>
      <c r="O311" t="s">
        <v>207</v>
      </c>
      <c r="Q311" t="s">
        <v>207</v>
      </c>
      <c r="R311" t="s">
        <v>207</v>
      </c>
      <c r="S311" t="s">
        <v>207</v>
      </c>
      <c r="T311" t="s">
        <v>207</v>
      </c>
      <c r="U311" t="s">
        <v>207</v>
      </c>
      <c r="V311" t="s">
        <v>207</v>
      </c>
      <c r="W311" t="s">
        <v>207</v>
      </c>
      <c r="X311" t="s">
        <v>207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208</v>
      </c>
      <c r="AZ311" t="s">
        <v>4571</v>
      </c>
      <c r="BA311">
        <v>23046827472.956699</v>
      </c>
      <c r="BB311" t="s">
        <v>4572</v>
      </c>
      <c r="BC311" t="s">
        <v>4577</v>
      </c>
    </row>
    <row r="312" spans="1:55" x14ac:dyDescent="0.25">
      <c r="A312">
        <v>1417</v>
      </c>
      <c r="B312" t="s">
        <v>513</v>
      </c>
      <c r="C312" t="s">
        <v>1948</v>
      </c>
      <c r="D312" t="s">
        <v>3383</v>
      </c>
      <c r="E312" t="s">
        <v>92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4535</v>
      </c>
      <c r="K312">
        <v>5521652.7042698404</v>
      </c>
      <c r="L312">
        <v>0.3</v>
      </c>
      <c r="M312" t="s">
        <v>4536</v>
      </c>
      <c r="N312" t="s">
        <v>4537</v>
      </c>
      <c r="O312" t="s">
        <v>207</v>
      </c>
      <c r="Q312" t="s">
        <v>207</v>
      </c>
      <c r="R312" t="s">
        <v>207</v>
      </c>
      <c r="S312" t="s">
        <v>207</v>
      </c>
      <c r="T312" t="s">
        <v>207</v>
      </c>
      <c r="U312" t="s">
        <v>207</v>
      </c>
      <c r="V312" t="s">
        <v>207</v>
      </c>
      <c r="W312" t="s">
        <v>207</v>
      </c>
      <c r="X312" t="s">
        <v>207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209</v>
      </c>
      <c r="BA312">
        <v>2409442423.6799998</v>
      </c>
      <c r="BB312" t="s">
        <v>4572</v>
      </c>
      <c r="BC312" t="s">
        <v>4575</v>
      </c>
    </row>
    <row r="313" spans="1:55" x14ac:dyDescent="0.25">
      <c r="A313">
        <v>338</v>
      </c>
      <c r="B313" t="s">
        <v>514</v>
      </c>
      <c r="C313" t="s">
        <v>1949</v>
      </c>
      <c r="D313" t="s">
        <v>3384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202</v>
      </c>
      <c r="K313">
        <v>208144571.43003601</v>
      </c>
      <c r="L313">
        <v>1</v>
      </c>
      <c r="O313" t="s">
        <v>207</v>
      </c>
      <c r="Q313" t="s">
        <v>207</v>
      </c>
      <c r="R313" t="s">
        <v>207</v>
      </c>
      <c r="S313" t="s">
        <v>207</v>
      </c>
      <c r="T313" t="s">
        <v>207</v>
      </c>
      <c r="U313" t="s">
        <v>207</v>
      </c>
      <c r="V313" t="s">
        <v>207</v>
      </c>
      <c r="W313" t="s">
        <v>207</v>
      </c>
      <c r="X313" t="s">
        <v>207</v>
      </c>
      <c r="AG313" t="s">
        <v>4546</v>
      </c>
      <c r="AH313" t="s">
        <v>4564</v>
      </c>
      <c r="AI313" t="s">
        <v>4565</v>
      </c>
      <c r="AJ313" t="s">
        <v>4566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208</v>
      </c>
      <c r="BA313">
        <v>41153028601.639999</v>
      </c>
      <c r="BB313" t="s">
        <v>4572</v>
      </c>
      <c r="BC313" t="s">
        <v>4581</v>
      </c>
    </row>
    <row r="314" spans="1:55" x14ac:dyDescent="0.25">
      <c r="A314">
        <v>1301</v>
      </c>
      <c r="B314" t="s">
        <v>515</v>
      </c>
      <c r="C314" t="s">
        <v>1950</v>
      </c>
      <c r="D314" t="s">
        <v>3385</v>
      </c>
      <c r="E314" t="s">
        <v>93</v>
      </c>
      <c r="F314">
        <v>88353760</v>
      </c>
      <c r="G314">
        <v>43.551949999999998</v>
      </c>
      <c r="H314" t="s">
        <v>101</v>
      </c>
      <c r="I314">
        <v>3847978537.8319998</v>
      </c>
      <c r="J314" t="s">
        <v>205</v>
      </c>
      <c r="K314">
        <v>14544387.455688501</v>
      </c>
      <c r="L314">
        <v>0.8</v>
      </c>
      <c r="M314" t="s">
        <v>4536</v>
      </c>
      <c r="O314" t="s">
        <v>207</v>
      </c>
      <c r="Q314" t="s">
        <v>207</v>
      </c>
      <c r="R314" t="s">
        <v>207</v>
      </c>
      <c r="S314" t="s">
        <v>207</v>
      </c>
      <c r="T314" t="s">
        <v>207</v>
      </c>
      <c r="U314" t="s">
        <v>207</v>
      </c>
      <c r="V314" t="s">
        <v>207</v>
      </c>
      <c r="W314" t="s">
        <v>207</v>
      </c>
      <c r="X314" t="s">
        <v>207</v>
      </c>
      <c r="AG314" t="s">
        <v>4546</v>
      </c>
      <c r="AH314" t="s">
        <v>4564</v>
      </c>
      <c r="AI314" t="s">
        <v>4565</v>
      </c>
      <c r="AJ314" t="s">
        <v>4566</v>
      </c>
      <c r="AK314">
        <v>0</v>
      </c>
      <c r="AL314">
        <v>0.872</v>
      </c>
      <c r="AM314">
        <v>0</v>
      </c>
      <c r="AO314" t="s">
        <v>4568</v>
      </c>
      <c r="AQ314">
        <v>0</v>
      </c>
      <c r="AR314">
        <v>0</v>
      </c>
      <c r="AW314">
        <v>6010</v>
      </c>
      <c r="AX314">
        <v>2.0089999999999999</v>
      </c>
      <c r="AY314" t="s">
        <v>210</v>
      </c>
      <c r="BA314">
        <v>3078382830.2656002</v>
      </c>
      <c r="BB314" t="s">
        <v>4572</v>
      </c>
      <c r="BC314" t="s">
        <v>4616</v>
      </c>
    </row>
    <row r="315" spans="1:55" x14ac:dyDescent="0.25">
      <c r="A315">
        <v>1450</v>
      </c>
      <c r="B315" t="s">
        <v>516</v>
      </c>
      <c r="C315" t="s">
        <v>1951</v>
      </c>
      <c r="D315" t="s">
        <v>3386</v>
      </c>
      <c r="E315" t="s">
        <v>93</v>
      </c>
      <c r="F315">
        <v>80001600</v>
      </c>
      <c r="G315">
        <v>45.08043</v>
      </c>
      <c r="H315" t="s">
        <v>101</v>
      </c>
      <c r="I315">
        <v>3606506528.6880002</v>
      </c>
      <c r="J315" t="s">
        <v>205</v>
      </c>
      <c r="K315">
        <v>18176919.427192401</v>
      </c>
      <c r="L315">
        <v>0.6</v>
      </c>
      <c r="M315" t="s">
        <v>4536</v>
      </c>
      <c r="O315" t="s">
        <v>207</v>
      </c>
      <c r="Q315" t="s">
        <v>207</v>
      </c>
      <c r="R315" t="s">
        <v>207</v>
      </c>
      <c r="S315" t="s">
        <v>207</v>
      </c>
      <c r="T315" t="s">
        <v>207</v>
      </c>
      <c r="U315" t="s">
        <v>207</v>
      </c>
      <c r="V315" t="s">
        <v>207</v>
      </c>
      <c r="W315" t="s">
        <v>207</v>
      </c>
      <c r="X315" t="s">
        <v>207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210</v>
      </c>
      <c r="AZ315" t="s">
        <v>4571</v>
      </c>
      <c r="BA315">
        <v>2163903917.2128</v>
      </c>
      <c r="BB315" t="s">
        <v>4572</v>
      </c>
      <c r="BC315" t="s">
        <v>4577</v>
      </c>
    </row>
    <row r="316" spans="1:55" x14ac:dyDescent="0.25">
      <c r="A316">
        <v>449</v>
      </c>
      <c r="B316" t="s">
        <v>199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30122950182.616001</v>
      </c>
      <c r="J316" t="s">
        <v>202</v>
      </c>
      <c r="K316">
        <v>191619764.27894601</v>
      </c>
      <c r="L316">
        <v>1</v>
      </c>
      <c r="O316" t="s">
        <v>207</v>
      </c>
      <c r="Q316" t="s">
        <v>207</v>
      </c>
      <c r="R316" t="s">
        <v>207</v>
      </c>
      <c r="S316" t="s">
        <v>207</v>
      </c>
      <c r="T316" t="s">
        <v>207</v>
      </c>
      <c r="U316" t="s">
        <v>207</v>
      </c>
      <c r="V316" t="s">
        <v>207</v>
      </c>
      <c r="W316" t="s">
        <v>207</v>
      </c>
      <c r="X316" t="s">
        <v>207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208</v>
      </c>
      <c r="BA316">
        <v>30122950182.616001</v>
      </c>
      <c r="BB316" t="s">
        <v>211</v>
      </c>
    </row>
    <row r="317" spans="1:55" x14ac:dyDescent="0.25">
      <c r="A317">
        <v>14</v>
      </c>
      <c r="B317" t="s">
        <v>517</v>
      </c>
      <c r="C317" t="s">
        <v>1952</v>
      </c>
      <c r="D317" t="s">
        <v>3387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202</v>
      </c>
      <c r="K317">
        <v>1853796737.8434401</v>
      </c>
      <c r="L317">
        <v>1</v>
      </c>
      <c r="O317" t="s">
        <v>207</v>
      </c>
      <c r="Q317" t="s">
        <v>207</v>
      </c>
      <c r="R317" t="s">
        <v>207</v>
      </c>
      <c r="S317" t="s">
        <v>207</v>
      </c>
      <c r="T317" t="s">
        <v>207</v>
      </c>
      <c r="U317" t="s">
        <v>207</v>
      </c>
      <c r="V317" t="s">
        <v>207</v>
      </c>
      <c r="W317" t="s">
        <v>207</v>
      </c>
      <c r="X317" t="s">
        <v>207</v>
      </c>
      <c r="AG317" t="s">
        <v>4548</v>
      </c>
      <c r="AI317" t="s">
        <v>4565</v>
      </c>
      <c r="AK317">
        <v>0</v>
      </c>
      <c r="AL317">
        <v>0.128</v>
      </c>
      <c r="AM317">
        <v>0</v>
      </c>
      <c r="AO317" t="s">
        <v>4568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208</v>
      </c>
      <c r="BA317">
        <v>439453523646.302</v>
      </c>
      <c r="BB317" t="s">
        <v>4572</v>
      </c>
      <c r="BC317" t="s">
        <v>4617</v>
      </c>
    </row>
    <row r="318" spans="1:55" x14ac:dyDescent="0.25">
      <c r="A318">
        <v>624</v>
      </c>
      <c r="B318" t="s">
        <v>518</v>
      </c>
      <c r="C318" t="s">
        <v>1953</v>
      </c>
      <c r="D318" t="s">
        <v>3388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202</v>
      </c>
      <c r="K318">
        <v>153498313.487167</v>
      </c>
      <c r="L318">
        <v>1</v>
      </c>
      <c r="M318" t="s">
        <v>4536</v>
      </c>
      <c r="O318" t="s">
        <v>207</v>
      </c>
      <c r="Q318" t="s">
        <v>207</v>
      </c>
      <c r="R318" t="s">
        <v>207</v>
      </c>
      <c r="S318" t="s">
        <v>207</v>
      </c>
      <c r="T318" t="s">
        <v>207</v>
      </c>
      <c r="U318" t="s">
        <v>207</v>
      </c>
      <c r="V318" t="s">
        <v>207</v>
      </c>
      <c r="W318" t="s">
        <v>207</v>
      </c>
      <c r="X318" t="s">
        <v>207</v>
      </c>
      <c r="AK318">
        <v>0</v>
      </c>
      <c r="AL318">
        <v>0.94799999999999995</v>
      </c>
      <c r="AM318">
        <v>0</v>
      </c>
      <c r="AO318" t="s">
        <v>4568</v>
      </c>
      <c r="AQ318">
        <v>0</v>
      </c>
      <c r="AR318">
        <v>0</v>
      </c>
      <c r="AW318">
        <v>6010</v>
      </c>
      <c r="AX318">
        <v>2.3980000000000001</v>
      </c>
      <c r="AY318" t="s">
        <v>208</v>
      </c>
      <c r="BA318">
        <v>19821672239.215</v>
      </c>
      <c r="BB318" t="s">
        <v>4572</v>
      </c>
      <c r="BC318" t="s">
        <v>4582</v>
      </c>
    </row>
    <row r="319" spans="1:55" x14ac:dyDescent="0.25">
      <c r="A319">
        <v>439</v>
      </c>
      <c r="B319" t="s">
        <v>519</v>
      </c>
      <c r="C319" t="s">
        <v>1954</v>
      </c>
      <c r="D319" t="s">
        <v>3389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202</v>
      </c>
      <c r="K319">
        <v>167645873.58449101</v>
      </c>
      <c r="L319">
        <v>0.8</v>
      </c>
      <c r="M319" t="s">
        <v>4536</v>
      </c>
      <c r="O319" t="s">
        <v>207</v>
      </c>
      <c r="Q319" t="s">
        <v>207</v>
      </c>
      <c r="R319" t="s">
        <v>207</v>
      </c>
      <c r="S319" t="s">
        <v>207</v>
      </c>
      <c r="T319" t="s">
        <v>207</v>
      </c>
      <c r="U319" t="s">
        <v>207</v>
      </c>
      <c r="V319" t="s">
        <v>207</v>
      </c>
      <c r="W319" t="s">
        <v>207</v>
      </c>
      <c r="X319" t="s">
        <v>207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208</v>
      </c>
      <c r="AZ319" t="s">
        <v>4571</v>
      </c>
      <c r="BA319">
        <v>30843873168.768002</v>
      </c>
      <c r="BB319" t="s">
        <v>4572</v>
      </c>
      <c r="BC319" t="s">
        <v>4577</v>
      </c>
    </row>
    <row r="320" spans="1:55" x14ac:dyDescent="0.25">
      <c r="A320">
        <v>830</v>
      </c>
      <c r="B320" t="s">
        <v>520</v>
      </c>
      <c r="C320" t="s">
        <v>1955</v>
      </c>
      <c r="D320" t="s">
        <v>3390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203</v>
      </c>
      <c r="K320">
        <v>15370226.237376999</v>
      </c>
      <c r="L320">
        <v>0.9</v>
      </c>
      <c r="M320" t="s">
        <v>4536</v>
      </c>
      <c r="O320" t="s">
        <v>207</v>
      </c>
      <c r="Q320" t="s">
        <v>207</v>
      </c>
      <c r="R320" t="s">
        <v>207</v>
      </c>
      <c r="S320" t="s">
        <v>207</v>
      </c>
      <c r="T320" t="s">
        <v>207</v>
      </c>
      <c r="U320" t="s">
        <v>207</v>
      </c>
      <c r="V320" t="s">
        <v>207</v>
      </c>
      <c r="W320" t="s">
        <v>207</v>
      </c>
      <c r="X320" t="s">
        <v>207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209</v>
      </c>
      <c r="BA320">
        <v>9984870000</v>
      </c>
      <c r="BB320" t="s">
        <v>4572</v>
      </c>
      <c r="BC320" t="s">
        <v>4536</v>
      </c>
    </row>
    <row r="321" spans="1:55" x14ac:dyDescent="0.25">
      <c r="A321">
        <v>1271</v>
      </c>
      <c r="B321" t="s">
        <v>521</v>
      </c>
      <c r="C321" t="s">
        <v>1956</v>
      </c>
      <c r="D321" t="s">
        <v>3391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204</v>
      </c>
      <c r="K321">
        <v>4656583.6078323498</v>
      </c>
      <c r="L321">
        <v>1</v>
      </c>
      <c r="M321" t="s">
        <v>4536</v>
      </c>
      <c r="N321" t="s">
        <v>4537</v>
      </c>
      <c r="O321" t="s">
        <v>207</v>
      </c>
      <c r="Q321" t="s">
        <v>207</v>
      </c>
      <c r="R321" t="s">
        <v>207</v>
      </c>
      <c r="S321" t="s">
        <v>207</v>
      </c>
      <c r="T321" t="s">
        <v>207</v>
      </c>
      <c r="U321" t="s">
        <v>207</v>
      </c>
      <c r="V321" t="s">
        <v>207</v>
      </c>
      <c r="W321" t="s">
        <v>207</v>
      </c>
      <c r="X321" t="s">
        <v>207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209</v>
      </c>
      <c r="BA321">
        <v>3236066798.2946801</v>
      </c>
      <c r="BB321" t="s">
        <v>4572</v>
      </c>
      <c r="BC321" t="s">
        <v>4575</v>
      </c>
    </row>
    <row r="322" spans="1:55" x14ac:dyDescent="0.25">
      <c r="A322">
        <v>1212</v>
      </c>
      <c r="B322" t="s">
        <v>522</v>
      </c>
      <c r="C322" t="s">
        <v>1957</v>
      </c>
      <c r="D322" t="s">
        <v>3392</v>
      </c>
      <c r="E322" t="s">
        <v>93</v>
      </c>
      <c r="F322">
        <v>185444760</v>
      </c>
      <c r="G322">
        <v>22.875969999999999</v>
      </c>
      <c r="H322" t="s">
        <v>101</v>
      </c>
      <c r="I322">
        <v>4242228766.4172001</v>
      </c>
      <c r="J322" t="s">
        <v>205</v>
      </c>
      <c r="K322">
        <v>12962460.1389996</v>
      </c>
      <c r="L322">
        <v>0.85</v>
      </c>
      <c r="M322" t="s">
        <v>4536</v>
      </c>
      <c r="O322" t="s">
        <v>207</v>
      </c>
      <c r="Q322" t="s">
        <v>207</v>
      </c>
      <c r="R322" t="s">
        <v>207</v>
      </c>
      <c r="S322" t="s">
        <v>207</v>
      </c>
      <c r="T322" t="s">
        <v>207</v>
      </c>
      <c r="U322" t="s">
        <v>207</v>
      </c>
      <c r="V322" t="s">
        <v>207</v>
      </c>
      <c r="W322" t="s">
        <v>207</v>
      </c>
      <c r="X322" t="s">
        <v>207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210</v>
      </c>
      <c r="BA322">
        <v>3605894451.4546189</v>
      </c>
      <c r="BB322" t="s">
        <v>4572</v>
      </c>
      <c r="BC322" t="s">
        <v>4536</v>
      </c>
    </row>
    <row r="323" spans="1:55" x14ac:dyDescent="0.25">
      <c r="A323">
        <v>209</v>
      </c>
      <c r="B323" t="s">
        <v>183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95.973209999999995</v>
      </c>
      <c r="H323" t="s">
        <v>98</v>
      </c>
      <c r="I323">
        <v>65198123769.806999</v>
      </c>
      <c r="J323" t="s">
        <v>202</v>
      </c>
      <c r="K323">
        <v>367368674.71184701</v>
      </c>
      <c r="L323">
        <v>1</v>
      </c>
      <c r="O323" t="s">
        <v>207</v>
      </c>
      <c r="Q323" t="s">
        <v>207</v>
      </c>
      <c r="R323" t="s">
        <v>207</v>
      </c>
      <c r="S323" t="s">
        <v>207</v>
      </c>
      <c r="T323" t="s">
        <v>207</v>
      </c>
      <c r="U323" t="s">
        <v>207</v>
      </c>
      <c r="V323" t="s">
        <v>207</v>
      </c>
      <c r="W323" t="s">
        <v>207</v>
      </c>
      <c r="X323" t="s">
        <v>207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208</v>
      </c>
      <c r="BA323">
        <v>65198123769.806999</v>
      </c>
      <c r="BB323" t="s">
        <v>211</v>
      </c>
    </row>
    <row r="324" spans="1:55" x14ac:dyDescent="0.25">
      <c r="A324">
        <v>1084</v>
      </c>
      <c r="B324" t="s">
        <v>523</v>
      </c>
      <c r="C324" t="s">
        <v>1958</v>
      </c>
      <c r="D324" t="s">
        <v>3393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204</v>
      </c>
      <c r="K324">
        <v>13931708.9106241</v>
      </c>
      <c r="L324">
        <v>0.9</v>
      </c>
      <c r="O324" t="s">
        <v>207</v>
      </c>
      <c r="Q324" t="s">
        <v>207</v>
      </c>
      <c r="R324" t="s">
        <v>207</v>
      </c>
      <c r="S324" t="s">
        <v>207</v>
      </c>
      <c r="T324" t="s">
        <v>207</v>
      </c>
      <c r="U324" t="s">
        <v>207</v>
      </c>
      <c r="V324" t="s">
        <v>207</v>
      </c>
      <c r="W324" t="s">
        <v>207</v>
      </c>
      <c r="X324" t="s">
        <v>207</v>
      </c>
      <c r="AG324" t="s">
        <v>4546</v>
      </c>
      <c r="AH324" t="s">
        <v>4563</v>
      </c>
      <c r="AI324" t="s">
        <v>4565</v>
      </c>
      <c r="AJ324" t="s">
        <v>4566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209</v>
      </c>
      <c r="BA324">
        <v>4854168723.4840794</v>
      </c>
      <c r="BB324" t="s">
        <v>4572</v>
      </c>
      <c r="BC324" t="s">
        <v>4581</v>
      </c>
    </row>
    <row r="325" spans="1:55" x14ac:dyDescent="0.25">
      <c r="A325">
        <v>131</v>
      </c>
      <c r="B325" t="s">
        <v>524</v>
      </c>
      <c r="C325" t="s">
        <v>1959</v>
      </c>
      <c r="D325" t="s">
        <v>3394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202</v>
      </c>
      <c r="K325">
        <v>1264413394.5042801</v>
      </c>
      <c r="L325">
        <v>1</v>
      </c>
      <c r="M325" t="s">
        <v>4536</v>
      </c>
      <c r="O325" t="s">
        <v>207</v>
      </c>
      <c r="Q325" t="s">
        <v>207</v>
      </c>
      <c r="R325" t="s">
        <v>207</v>
      </c>
      <c r="S325" t="s">
        <v>207</v>
      </c>
      <c r="T325" t="s">
        <v>207</v>
      </c>
      <c r="U325" t="s">
        <v>207</v>
      </c>
      <c r="V325" t="s">
        <v>207</v>
      </c>
      <c r="W325" t="s">
        <v>207</v>
      </c>
      <c r="X325" t="s">
        <v>207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208</v>
      </c>
      <c r="AZ325" t="s">
        <v>4571</v>
      </c>
      <c r="BA325">
        <v>90963778837.122009</v>
      </c>
      <c r="BB325" t="s">
        <v>4572</v>
      </c>
      <c r="BC325" t="s">
        <v>4577</v>
      </c>
    </row>
    <row r="326" spans="1:55" x14ac:dyDescent="0.25">
      <c r="A326">
        <v>366</v>
      </c>
      <c r="B326" t="s">
        <v>525</v>
      </c>
      <c r="C326" t="s">
        <v>1960</v>
      </c>
      <c r="D326" t="s">
        <v>3395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202</v>
      </c>
      <c r="K326">
        <v>281664179.194965</v>
      </c>
      <c r="L326">
        <v>1</v>
      </c>
      <c r="M326" t="s">
        <v>4536</v>
      </c>
      <c r="O326" t="s">
        <v>207</v>
      </c>
      <c r="Q326" t="s">
        <v>207</v>
      </c>
      <c r="R326" t="s">
        <v>207</v>
      </c>
      <c r="S326" t="s">
        <v>207</v>
      </c>
      <c r="T326" t="s">
        <v>207</v>
      </c>
      <c r="U326" t="s">
        <v>207</v>
      </c>
      <c r="V326" t="s">
        <v>207</v>
      </c>
      <c r="W326" t="s">
        <v>207</v>
      </c>
      <c r="X326" t="s">
        <v>207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208</v>
      </c>
      <c r="BA326">
        <v>38321960965.762001</v>
      </c>
      <c r="BB326" t="s">
        <v>4572</v>
      </c>
      <c r="BC326" t="s">
        <v>4536</v>
      </c>
    </row>
    <row r="327" spans="1:55" x14ac:dyDescent="0.25">
      <c r="A327">
        <v>164</v>
      </c>
      <c r="B327" t="s">
        <v>526</v>
      </c>
      <c r="C327" t="s">
        <v>1961</v>
      </c>
      <c r="D327" t="s">
        <v>3396</v>
      </c>
      <c r="E327" t="s">
        <v>94</v>
      </c>
      <c r="F327">
        <v>484206730</v>
      </c>
      <c r="G327">
        <v>157.72559999999999</v>
      </c>
      <c r="H327" t="s">
        <v>102</v>
      </c>
      <c r="I327">
        <v>76371797013.287994</v>
      </c>
      <c r="J327" t="s">
        <v>205</v>
      </c>
      <c r="K327">
        <v>119317935.36762001</v>
      </c>
      <c r="L327">
        <v>1</v>
      </c>
      <c r="M327" t="s">
        <v>4536</v>
      </c>
      <c r="O327" t="s">
        <v>207</v>
      </c>
      <c r="Q327" t="s">
        <v>207</v>
      </c>
      <c r="R327" t="s">
        <v>207</v>
      </c>
      <c r="S327" t="s">
        <v>207</v>
      </c>
      <c r="T327" t="s">
        <v>207</v>
      </c>
      <c r="U327" t="s">
        <v>207</v>
      </c>
      <c r="V327" t="s">
        <v>207</v>
      </c>
      <c r="W327" t="s">
        <v>207</v>
      </c>
      <c r="X327" t="s">
        <v>207</v>
      </c>
      <c r="AG327" t="s">
        <v>4546</v>
      </c>
      <c r="AH327" t="s">
        <v>4562</v>
      </c>
      <c r="AI327" t="s">
        <v>4565</v>
      </c>
      <c r="AJ327" t="s">
        <v>4566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210</v>
      </c>
      <c r="AZ327" t="s">
        <v>4571</v>
      </c>
      <c r="BA327">
        <v>76371797013.287994</v>
      </c>
      <c r="BB327" t="s">
        <v>4572</v>
      </c>
      <c r="BC327" t="s">
        <v>4588</v>
      </c>
    </row>
    <row r="328" spans="1:55" x14ac:dyDescent="0.25">
      <c r="A328">
        <v>222</v>
      </c>
      <c r="B328" t="s">
        <v>527</v>
      </c>
      <c r="C328" t="s">
        <v>1962</v>
      </c>
      <c r="D328" t="s">
        <v>3397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202</v>
      </c>
      <c r="K328">
        <v>409946593.49767298</v>
      </c>
      <c r="L328">
        <v>1</v>
      </c>
      <c r="M328" t="s">
        <v>4536</v>
      </c>
      <c r="O328" t="s">
        <v>207</v>
      </c>
      <c r="Q328" t="s">
        <v>207</v>
      </c>
      <c r="R328" t="s">
        <v>207</v>
      </c>
      <c r="S328" t="s">
        <v>207</v>
      </c>
      <c r="T328" t="s">
        <v>207</v>
      </c>
      <c r="U328" t="s">
        <v>207</v>
      </c>
      <c r="V328" t="s">
        <v>207</v>
      </c>
      <c r="W328" t="s">
        <v>207</v>
      </c>
      <c r="X328" t="s">
        <v>207</v>
      </c>
      <c r="AK328">
        <v>0.17</v>
      </c>
      <c r="AL328">
        <v>0.17</v>
      </c>
      <c r="AM328">
        <v>0</v>
      </c>
      <c r="AN328" t="s">
        <v>4567</v>
      </c>
      <c r="AO328" t="s">
        <v>4568</v>
      </c>
      <c r="AQ328">
        <v>0</v>
      </c>
      <c r="AR328">
        <v>0</v>
      </c>
      <c r="AW328">
        <v>5020</v>
      </c>
      <c r="AX328">
        <v>1.875</v>
      </c>
      <c r="AY328" t="s">
        <v>208</v>
      </c>
      <c r="BA328">
        <v>59577180574.751999</v>
      </c>
      <c r="BB328" t="s">
        <v>4572</v>
      </c>
      <c r="BC328" t="s">
        <v>4599</v>
      </c>
    </row>
    <row r="329" spans="1:55" x14ac:dyDescent="0.25">
      <c r="A329">
        <v>1004</v>
      </c>
      <c r="B329" t="s">
        <v>528</v>
      </c>
      <c r="C329" t="s">
        <v>1963</v>
      </c>
      <c r="D329" t="s">
        <v>3398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203</v>
      </c>
      <c r="K329">
        <v>11613082.650409799</v>
      </c>
      <c r="L329">
        <v>0.6</v>
      </c>
      <c r="M329" t="s">
        <v>4536</v>
      </c>
      <c r="O329" t="s">
        <v>207</v>
      </c>
      <c r="Q329" t="s">
        <v>207</v>
      </c>
      <c r="R329" t="s">
        <v>207</v>
      </c>
      <c r="S329" t="s">
        <v>207</v>
      </c>
      <c r="T329" t="s">
        <v>207</v>
      </c>
      <c r="U329" t="s">
        <v>207</v>
      </c>
      <c r="V329" t="s">
        <v>207</v>
      </c>
      <c r="W329" t="s">
        <v>207</v>
      </c>
      <c r="X329" t="s">
        <v>207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209</v>
      </c>
      <c r="AZ329" t="s">
        <v>4571</v>
      </c>
      <c r="BA329">
        <v>5996160000</v>
      </c>
      <c r="BB329" t="s">
        <v>4572</v>
      </c>
      <c r="BC329" t="s">
        <v>4577</v>
      </c>
    </row>
    <row r="330" spans="1:55" x14ac:dyDescent="0.25">
      <c r="A330">
        <v>284</v>
      </c>
      <c r="B330" t="s">
        <v>529</v>
      </c>
      <c r="C330" t="s">
        <v>1964</v>
      </c>
      <c r="D330" t="s">
        <v>3399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202</v>
      </c>
      <c r="K330">
        <v>260231612.68076399</v>
      </c>
      <c r="L330">
        <v>1</v>
      </c>
      <c r="O330" t="s">
        <v>207</v>
      </c>
      <c r="Q330" t="s">
        <v>207</v>
      </c>
      <c r="R330" t="s">
        <v>207</v>
      </c>
      <c r="S330" t="s">
        <v>207</v>
      </c>
      <c r="T330" t="s">
        <v>207</v>
      </c>
      <c r="U330" t="s">
        <v>207</v>
      </c>
      <c r="V330" t="s">
        <v>207</v>
      </c>
      <c r="W330" t="s">
        <v>207</v>
      </c>
      <c r="X330" t="s">
        <v>207</v>
      </c>
      <c r="AG330" t="s">
        <v>4546</v>
      </c>
      <c r="AH330" t="s">
        <v>4564</v>
      </c>
      <c r="AI330" t="s">
        <v>4565</v>
      </c>
      <c r="AJ330" t="s">
        <v>4566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208</v>
      </c>
      <c r="BA330">
        <v>48249250329.489014</v>
      </c>
      <c r="BB330" t="s">
        <v>4572</v>
      </c>
      <c r="BC330" t="s">
        <v>4581</v>
      </c>
    </row>
    <row r="331" spans="1:55" x14ac:dyDescent="0.25">
      <c r="A331">
        <v>994</v>
      </c>
      <c r="B331" t="s">
        <v>530</v>
      </c>
      <c r="C331" t="s">
        <v>1965</v>
      </c>
      <c r="D331" t="s">
        <v>3400</v>
      </c>
      <c r="E331" t="s">
        <v>96</v>
      </c>
      <c r="F331">
        <v>1062984492</v>
      </c>
      <c r="G331">
        <v>23.24</v>
      </c>
      <c r="H331" t="s">
        <v>99</v>
      </c>
      <c r="I331">
        <v>24703759594.080002</v>
      </c>
      <c r="J331" t="s">
        <v>203</v>
      </c>
      <c r="K331">
        <v>18722175.1288095</v>
      </c>
      <c r="L331">
        <v>0.25</v>
      </c>
      <c r="M331" t="s">
        <v>4536</v>
      </c>
      <c r="O331" t="s">
        <v>207</v>
      </c>
      <c r="Q331" t="s">
        <v>207</v>
      </c>
      <c r="R331" t="s">
        <v>207</v>
      </c>
      <c r="S331" t="s">
        <v>207</v>
      </c>
      <c r="T331" t="s">
        <v>207</v>
      </c>
      <c r="U331" t="s">
        <v>207</v>
      </c>
      <c r="V331" t="s">
        <v>207</v>
      </c>
      <c r="W331" t="s">
        <v>207</v>
      </c>
      <c r="X331" t="s">
        <v>207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209</v>
      </c>
      <c r="BA331">
        <v>6175939898.5200005</v>
      </c>
      <c r="BB331" t="s">
        <v>4572</v>
      </c>
      <c r="BC331" t="s">
        <v>4536</v>
      </c>
    </row>
    <row r="332" spans="1:55" x14ac:dyDescent="0.25">
      <c r="A332">
        <v>163</v>
      </c>
      <c r="B332" t="s">
        <v>531</v>
      </c>
      <c r="C332" t="s">
        <v>1966</v>
      </c>
      <c r="D332" t="s">
        <v>3401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202</v>
      </c>
      <c r="K332">
        <v>687965434.04947305</v>
      </c>
      <c r="L332">
        <v>1</v>
      </c>
      <c r="M332" t="s">
        <v>4536</v>
      </c>
      <c r="O332" t="s">
        <v>206</v>
      </c>
      <c r="Q332" t="s">
        <v>207</v>
      </c>
      <c r="R332" t="s">
        <v>207</v>
      </c>
      <c r="S332" t="s">
        <v>207</v>
      </c>
      <c r="T332" t="s">
        <v>207</v>
      </c>
      <c r="U332" t="s">
        <v>207</v>
      </c>
      <c r="V332" t="s">
        <v>207</v>
      </c>
      <c r="W332" t="s">
        <v>207</v>
      </c>
      <c r="X332" t="s">
        <v>207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208</v>
      </c>
      <c r="BA332">
        <v>76552143901.199997</v>
      </c>
      <c r="BB332" t="s">
        <v>4572</v>
      </c>
      <c r="BC332" t="s">
        <v>4536</v>
      </c>
    </row>
    <row r="333" spans="1:55" x14ac:dyDescent="0.25">
      <c r="A333">
        <v>1312</v>
      </c>
      <c r="B333" t="s">
        <v>532</v>
      </c>
      <c r="C333" t="s">
        <v>1967</v>
      </c>
      <c r="D333" t="s">
        <v>3402</v>
      </c>
      <c r="E333" t="s">
        <v>93</v>
      </c>
      <c r="F333">
        <v>506463200</v>
      </c>
      <c r="G333">
        <v>7.4345290000000004</v>
      </c>
      <c r="H333" t="s">
        <v>101</v>
      </c>
      <c r="I333">
        <v>3765315347.8327999</v>
      </c>
      <c r="J333" t="s">
        <v>205</v>
      </c>
      <c r="K333">
        <v>23614430.405914798</v>
      </c>
      <c r="L333">
        <v>0.8</v>
      </c>
      <c r="M333" t="s">
        <v>4536</v>
      </c>
      <c r="O333" t="s">
        <v>207</v>
      </c>
      <c r="Q333" t="s">
        <v>207</v>
      </c>
      <c r="R333" t="s">
        <v>207</v>
      </c>
      <c r="S333" t="s">
        <v>207</v>
      </c>
      <c r="T333" t="s">
        <v>207</v>
      </c>
      <c r="U333" t="s">
        <v>207</v>
      </c>
      <c r="V333" t="s">
        <v>207</v>
      </c>
      <c r="W333" t="s">
        <v>207</v>
      </c>
      <c r="X333" t="s">
        <v>207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210</v>
      </c>
      <c r="BA333">
        <v>3012252278.2662411</v>
      </c>
      <c r="BB333" t="s">
        <v>4572</v>
      </c>
      <c r="BC333" t="s">
        <v>4536</v>
      </c>
    </row>
    <row r="334" spans="1:55" x14ac:dyDescent="0.25">
      <c r="A334">
        <v>670</v>
      </c>
      <c r="B334" t="s">
        <v>533</v>
      </c>
      <c r="C334" t="s">
        <v>1968</v>
      </c>
      <c r="D334" t="s">
        <v>3403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202</v>
      </c>
      <c r="K334">
        <v>173278406.91656899</v>
      </c>
      <c r="L334">
        <v>1</v>
      </c>
      <c r="M334" t="s">
        <v>4536</v>
      </c>
      <c r="O334" t="s">
        <v>207</v>
      </c>
      <c r="Q334" t="s">
        <v>207</v>
      </c>
      <c r="R334" t="s">
        <v>207</v>
      </c>
      <c r="S334" t="s">
        <v>207</v>
      </c>
      <c r="T334" t="s">
        <v>207</v>
      </c>
      <c r="U334" t="s">
        <v>207</v>
      </c>
      <c r="V334" t="s">
        <v>207</v>
      </c>
      <c r="W334" t="s">
        <v>207</v>
      </c>
      <c r="X334" t="s">
        <v>207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208</v>
      </c>
      <c r="BA334">
        <v>18070766304.066002</v>
      </c>
      <c r="BB334" t="s">
        <v>4572</v>
      </c>
      <c r="BC334" t="s">
        <v>4536</v>
      </c>
    </row>
    <row r="335" spans="1:55" x14ac:dyDescent="0.25">
      <c r="A335">
        <v>386</v>
      </c>
      <c r="B335" t="s">
        <v>534</v>
      </c>
      <c r="C335" t="s">
        <v>1969</v>
      </c>
      <c r="D335" t="s">
        <v>3404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202</v>
      </c>
      <c r="K335">
        <v>453069376.12835002</v>
      </c>
      <c r="L335">
        <v>0.95</v>
      </c>
      <c r="M335" t="s">
        <v>4536</v>
      </c>
      <c r="O335" t="s">
        <v>207</v>
      </c>
      <c r="Q335" t="s">
        <v>207</v>
      </c>
      <c r="R335" t="s">
        <v>207</v>
      </c>
      <c r="S335" t="s">
        <v>207</v>
      </c>
      <c r="T335" t="s">
        <v>207</v>
      </c>
      <c r="U335" t="s">
        <v>207</v>
      </c>
      <c r="V335" t="s">
        <v>207</v>
      </c>
      <c r="W335" t="s">
        <v>207</v>
      </c>
      <c r="X335" t="s">
        <v>207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208</v>
      </c>
      <c r="BA335">
        <v>36072869834.925003</v>
      </c>
      <c r="BB335" t="s">
        <v>4572</v>
      </c>
      <c r="BC335" t="s">
        <v>4536</v>
      </c>
    </row>
    <row r="336" spans="1:55" x14ac:dyDescent="0.25">
      <c r="A336">
        <v>989</v>
      </c>
      <c r="B336" t="s">
        <v>535</v>
      </c>
      <c r="C336" t="s">
        <v>1970</v>
      </c>
      <c r="D336" t="s">
        <v>3405</v>
      </c>
      <c r="E336" t="s">
        <v>93</v>
      </c>
      <c r="F336">
        <v>554480700</v>
      </c>
      <c r="G336">
        <v>14.08883</v>
      </c>
      <c r="H336" t="s">
        <v>101</v>
      </c>
      <c r="I336">
        <v>7811984320.5810003</v>
      </c>
      <c r="J336" t="s">
        <v>205</v>
      </c>
      <c r="K336">
        <v>23818729.846390799</v>
      </c>
      <c r="L336">
        <v>0.8</v>
      </c>
      <c r="M336" t="s">
        <v>4536</v>
      </c>
      <c r="O336" t="s">
        <v>207</v>
      </c>
      <c r="Q336" t="s">
        <v>207</v>
      </c>
      <c r="R336" t="s">
        <v>207</v>
      </c>
      <c r="S336" t="s">
        <v>207</v>
      </c>
      <c r="T336" t="s">
        <v>207</v>
      </c>
      <c r="U336" t="s">
        <v>207</v>
      </c>
      <c r="V336" t="s">
        <v>207</v>
      </c>
      <c r="W336" t="s">
        <v>207</v>
      </c>
      <c r="X336" t="s">
        <v>207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210</v>
      </c>
      <c r="BA336">
        <v>6249587456.4648008</v>
      </c>
      <c r="BB336" t="s">
        <v>4572</v>
      </c>
      <c r="BC336" t="s">
        <v>4536</v>
      </c>
    </row>
    <row r="337" spans="1:55" x14ac:dyDescent="0.25">
      <c r="A337">
        <v>837</v>
      </c>
      <c r="B337" t="s">
        <v>536</v>
      </c>
      <c r="C337" t="s">
        <v>1971</v>
      </c>
      <c r="D337" t="s">
        <v>3406</v>
      </c>
      <c r="E337" t="s">
        <v>93</v>
      </c>
      <c r="F337">
        <v>379830230</v>
      </c>
      <c r="G337">
        <v>25.229430000000001</v>
      </c>
      <c r="H337" t="s">
        <v>101</v>
      </c>
      <c r="I337">
        <v>9582900199.6688995</v>
      </c>
      <c r="J337" t="s">
        <v>205</v>
      </c>
      <c r="K337">
        <v>35716319.681758597</v>
      </c>
      <c r="L337">
        <v>1</v>
      </c>
      <c r="M337" t="s">
        <v>4536</v>
      </c>
      <c r="O337" t="s">
        <v>207</v>
      </c>
      <c r="Q337" t="s">
        <v>207</v>
      </c>
      <c r="R337" t="s">
        <v>207</v>
      </c>
      <c r="S337" t="s">
        <v>207</v>
      </c>
      <c r="T337" t="s">
        <v>207</v>
      </c>
      <c r="U337" t="s">
        <v>207</v>
      </c>
      <c r="V337" t="s">
        <v>207</v>
      </c>
      <c r="W337" t="s">
        <v>207</v>
      </c>
      <c r="X337" t="s">
        <v>207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210</v>
      </c>
      <c r="BA337">
        <v>9582900199.6688995</v>
      </c>
      <c r="BB337" t="s">
        <v>4572</v>
      </c>
      <c r="BC337" t="s">
        <v>4536</v>
      </c>
    </row>
    <row r="338" spans="1:55" x14ac:dyDescent="0.25">
      <c r="A338">
        <v>522</v>
      </c>
      <c r="B338" t="s">
        <v>537</v>
      </c>
      <c r="C338" t="s">
        <v>1972</v>
      </c>
      <c r="D338" t="s">
        <v>3407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205</v>
      </c>
      <c r="K338">
        <v>69834786.999998704</v>
      </c>
      <c r="L338">
        <v>0.9</v>
      </c>
      <c r="M338" t="s">
        <v>4536</v>
      </c>
      <c r="O338" t="s">
        <v>207</v>
      </c>
      <c r="Q338" t="s">
        <v>207</v>
      </c>
      <c r="R338" t="s">
        <v>207</v>
      </c>
      <c r="S338" t="s">
        <v>207</v>
      </c>
      <c r="T338" t="s">
        <v>207</v>
      </c>
      <c r="U338" t="s">
        <v>207</v>
      </c>
      <c r="V338" t="s">
        <v>207</v>
      </c>
      <c r="W338" t="s">
        <v>207</v>
      </c>
      <c r="X338" t="s">
        <v>207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210</v>
      </c>
      <c r="BA338">
        <v>24786623999.168098</v>
      </c>
      <c r="BB338" t="s">
        <v>4572</v>
      </c>
      <c r="BC338" t="s">
        <v>4536</v>
      </c>
    </row>
    <row r="339" spans="1:55" x14ac:dyDescent="0.25">
      <c r="A339">
        <v>333</v>
      </c>
      <c r="B339" t="s">
        <v>538</v>
      </c>
      <c r="C339" t="s">
        <v>1973</v>
      </c>
      <c r="D339" t="s">
        <v>3408</v>
      </c>
      <c r="E339" t="s">
        <v>93</v>
      </c>
      <c r="F339">
        <v>1908322100</v>
      </c>
      <c r="G339">
        <v>21.929459999999999</v>
      </c>
      <c r="H339" t="s">
        <v>101</v>
      </c>
      <c r="I339">
        <v>41848473159.065987</v>
      </c>
      <c r="J339" t="s">
        <v>205</v>
      </c>
      <c r="K339">
        <v>134868162.52401</v>
      </c>
      <c r="L339">
        <v>1</v>
      </c>
      <c r="O339" t="s">
        <v>207</v>
      </c>
      <c r="Q339" t="s">
        <v>207</v>
      </c>
      <c r="R339" t="s">
        <v>207</v>
      </c>
      <c r="S339" t="s">
        <v>207</v>
      </c>
      <c r="T339" t="s">
        <v>207</v>
      </c>
      <c r="U339" t="s">
        <v>207</v>
      </c>
      <c r="V339" t="s">
        <v>207</v>
      </c>
      <c r="W339" t="s">
        <v>207</v>
      </c>
      <c r="X339" t="s">
        <v>207</v>
      </c>
      <c r="AG339" t="s">
        <v>4546</v>
      </c>
      <c r="AH339" t="s">
        <v>4562</v>
      </c>
      <c r="AI339" t="s">
        <v>4565</v>
      </c>
      <c r="AJ339" t="s">
        <v>4566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210</v>
      </c>
      <c r="BA339">
        <v>41848473159.065987</v>
      </c>
      <c r="BB339" t="s">
        <v>4572</v>
      </c>
      <c r="BC339" t="s">
        <v>4581</v>
      </c>
    </row>
    <row r="340" spans="1:55" x14ac:dyDescent="0.25">
      <c r="A340">
        <v>452</v>
      </c>
      <c r="B340" t="s">
        <v>539</v>
      </c>
      <c r="C340" t="s">
        <v>1974</v>
      </c>
      <c r="D340" t="s">
        <v>3409</v>
      </c>
      <c r="E340" t="s">
        <v>93</v>
      </c>
      <c r="F340">
        <v>293113980</v>
      </c>
      <c r="G340">
        <v>102.1328</v>
      </c>
      <c r="H340" t="s">
        <v>101</v>
      </c>
      <c r="I340">
        <v>29936551496.543999</v>
      </c>
      <c r="J340" t="s">
        <v>205</v>
      </c>
      <c r="K340">
        <v>100054501.04532699</v>
      </c>
      <c r="L340">
        <v>1</v>
      </c>
      <c r="O340" t="s">
        <v>207</v>
      </c>
      <c r="Q340" t="s">
        <v>207</v>
      </c>
      <c r="R340" t="s">
        <v>207</v>
      </c>
      <c r="S340" t="s">
        <v>207</v>
      </c>
      <c r="T340" t="s">
        <v>207</v>
      </c>
      <c r="U340" t="s">
        <v>207</v>
      </c>
      <c r="V340" t="s">
        <v>207</v>
      </c>
      <c r="W340" t="s">
        <v>207</v>
      </c>
      <c r="X340" t="s">
        <v>4538</v>
      </c>
      <c r="AF340" t="s">
        <v>4545</v>
      </c>
      <c r="AG340" t="s">
        <v>4546</v>
      </c>
      <c r="AH340" t="s">
        <v>4564</v>
      </c>
      <c r="AI340" t="s">
        <v>4565</v>
      </c>
      <c r="AJ340" t="s">
        <v>4566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210</v>
      </c>
      <c r="BA340">
        <v>29936551496.543999</v>
      </c>
      <c r="BB340" t="s">
        <v>4572</v>
      </c>
      <c r="BC340" t="s">
        <v>4603</v>
      </c>
    </row>
    <row r="341" spans="1:55" x14ac:dyDescent="0.25">
      <c r="A341">
        <v>625</v>
      </c>
      <c r="B341" t="s">
        <v>540</v>
      </c>
      <c r="C341" t="s">
        <v>1975</v>
      </c>
      <c r="D341" t="s">
        <v>3410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203</v>
      </c>
      <c r="K341">
        <v>48774963.215819702</v>
      </c>
      <c r="L341">
        <v>0.6</v>
      </c>
      <c r="M341" t="s">
        <v>4536</v>
      </c>
      <c r="O341" t="s">
        <v>207</v>
      </c>
      <c r="Q341" t="s">
        <v>207</v>
      </c>
      <c r="R341" t="s">
        <v>207</v>
      </c>
      <c r="S341" t="s">
        <v>207</v>
      </c>
      <c r="T341" t="s">
        <v>207</v>
      </c>
      <c r="U341" t="s">
        <v>207</v>
      </c>
      <c r="V341" t="s">
        <v>207</v>
      </c>
      <c r="W341" t="s">
        <v>207</v>
      </c>
      <c r="X341" t="s">
        <v>207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209</v>
      </c>
      <c r="BA341">
        <v>19741276719</v>
      </c>
      <c r="BB341" t="s">
        <v>4572</v>
      </c>
      <c r="BC341" t="s">
        <v>4536</v>
      </c>
    </row>
    <row r="342" spans="1:55" x14ac:dyDescent="0.25">
      <c r="A342">
        <v>995</v>
      </c>
      <c r="B342" t="s">
        <v>541</v>
      </c>
      <c r="C342" t="s">
        <v>1976</v>
      </c>
      <c r="D342" t="s">
        <v>3411</v>
      </c>
      <c r="E342" t="s">
        <v>93</v>
      </c>
      <c r="F342">
        <v>68918976</v>
      </c>
      <c r="G342">
        <v>99.318920000000006</v>
      </c>
      <c r="H342" t="s">
        <v>101</v>
      </c>
      <c r="I342">
        <v>6844958263.8259201</v>
      </c>
      <c r="J342" t="s">
        <v>205</v>
      </c>
      <c r="K342">
        <v>20905118.0231984</v>
      </c>
      <c r="L342">
        <v>0.9</v>
      </c>
      <c r="M342" t="s">
        <v>4536</v>
      </c>
      <c r="O342" t="s">
        <v>207</v>
      </c>
      <c r="Q342" t="s">
        <v>207</v>
      </c>
      <c r="R342" t="s">
        <v>207</v>
      </c>
      <c r="S342" t="s">
        <v>207</v>
      </c>
      <c r="T342" t="s">
        <v>207</v>
      </c>
      <c r="U342" t="s">
        <v>207</v>
      </c>
      <c r="V342" t="s">
        <v>207</v>
      </c>
      <c r="W342" t="s">
        <v>207</v>
      </c>
      <c r="X342" t="s">
        <v>207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210</v>
      </c>
      <c r="BA342">
        <v>6160462437.4433279</v>
      </c>
      <c r="BB342" t="s">
        <v>4572</v>
      </c>
      <c r="BC342" t="s">
        <v>4536</v>
      </c>
    </row>
    <row r="343" spans="1:55" x14ac:dyDescent="0.25">
      <c r="A343">
        <v>619</v>
      </c>
      <c r="B343" t="s">
        <v>542</v>
      </c>
      <c r="C343" t="s">
        <v>1977</v>
      </c>
      <c r="D343" t="s">
        <v>3412</v>
      </c>
      <c r="E343" t="s">
        <v>93</v>
      </c>
      <c r="F343">
        <v>659478940</v>
      </c>
      <c r="G343">
        <v>31.88054</v>
      </c>
      <c r="H343" t="s">
        <v>101</v>
      </c>
      <c r="I343">
        <v>21024544725.827599</v>
      </c>
      <c r="J343" t="s">
        <v>205</v>
      </c>
      <c r="K343">
        <v>43091294.830060199</v>
      </c>
      <c r="L343">
        <v>0.95</v>
      </c>
      <c r="M343" t="s">
        <v>4536</v>
      </c>
      <c r="O343" t="s">
        <v>207</v>
      </c>
      <c r="Q343" t="s">
        <v>207</v>
      </c>
      <c r="R343" t="s">
        <v>207</v>
      </c>
      <c r="S343" t="s">
        <v>207</v>
      </c>
      <c r="T343" t="s">
        <v>207</v>
      </c>
      <c r="U343" t="s">
        <v>207</v>
      </c>
      <c r="V343" t="s">
        <v>207</v>
      </c>
      <c r="W343" t="s">
        <v>207</v>
      </c>
      <c r="X343" t="s">
        <v>207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210</v>
      </c>
      <c r="BA343">
        <v>19973317489.536221</v>
      </c>
      <c r="BB343" t="s">
        <v>4572</v>
      </c>
      <c r="BC343" t="s">
        <v>4536</v>
      </c>
    </row>
    <row r="344" spans="1:55" x14ac:dyDescent="0.25">
      <c r="A344">
        <v>1220</v>
      </c>
      <c r="B344" t="s">
        <v>543</v>
      </c>
      <c r="C344" t="s">
        <v>1978</v>
      </c>
      <c r="D344" t="s">
        <v>3413</v>
      </c>
      <c r="E344" t="s">
        <v>93</v>
      </c>
      <c r="F344">
        <v>2308216</v>
      </c>
      <c r="G344">
        <v>1539.347</v>
      </c>
      <c r="H344" t="s">
        <v>101</v>
      </c>
      <c r="I344">
        <v>3553145374.9520001</v>
      </c>
      <c r="J344" t="s">
        <v>205</v>
      </c>
      <c r="K344">
        <v>7495009.4880238101</v>
      </c>
      <c r="L344">
        <v>1</v>
      </c>
      <c r="M344" t="s">
        <v>4536</v>
      </c>
      <c r="N344" t="s">
        <v>4537</v>
      </c>
      <c r="O344" t="s">
        <v>207</v>
      </c>
      <c r="Q344" t="s">
        <v>207</v>
      </c>
      <c r="R344" t="s">
        <v>207</v>
      </c>
      <c r="S344" t="s">
        <v>207</v>
      </c>
      <c r="T344" t="s">
        <v>207</v>
      </c>
      <c r="U344" t="s">
        <v>207</v>
      </c>
      <c r="V344" t="s">
        <v>207</v>
      </c>
      <c r="W344" t="s">
        <v>207</v>
      </c>
      <c r="X344" t="s">
        <v>207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210</v>
      </c>
      <c r="AZ344" t="s">
        <v>4571</v>
      </c>
      <c r="BA344">
        <v>3553145374.9520001</v>
      </c>
      <c r="BB344" t="s">
        <v>4572</v>
      </c>
      <c r="BC344" t="s">
        <v>4584</v>
      </c>
    </row>
    <row r="345" spans="1:55" x14ac:dyDescent="0.25">
      <c r="A345">
        <v>840</v>
      </c>
      <c r="B345" t="s">
        <v>544</v>
      </c>
      <c r="C345" t="s">
        <v>1979</v>
      </c>
      <c r="D345" t="s">
        <v>3414</v>
      </c>
      <c r="E345" t="s">
        <v>93</v>
      </c>
      <c r="F345">
        <v>1569378800</v>
      </c>
      <c r="G345">
        <v>6.6990699999999999</v>
      </c>
      <c r="H345" t="s">
        <v>101</v>
      </c>
      <c r="I345">
        <v>10513378437.716</v>
      </c>
      <c r="J345" t="s">
        <v>205</v>
      </c>
      <c r="K345">
        <v>27763620.320676502</v>
      </c>
      <c r="L345">
        <v>0.9</v>
      </c>
      <c r="M345" t="s">
        <v>4536</v>
      </c>
      <c r="O345" t="s">
        <v>207</v>
      </c>
      <c r="Q345" t="s">
        <v>207</v>
      </c>
      <c r="R345" t="s">
        <v>207</v>
      </c>
      <c r="S345" t="s">
        <v>207</v>
      </c>
      <c r="T345" t="s">
        <v>207</v>
      </c>
      <c r="U345" t="s">
        <v>207</v>
      </c>
      <c r="V345" t="s">
        <v>207</v>
      </c>
      <c r="W345" t="s">
        <v>207</v>
      </c>
      <c r="X345" t="s">
        <v>207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210</v>
      </c>
      <c r="BA345">
        <v>9462040593.9444008</v>
      </c>
      <c r="BB345" t="s">
        <v>4572</v>
      </c>
      <c r="BC345" t="s">
        <v>4536</v>
      </c>
    </row>
    <row r="346" spans="1:55" x14ac:dyDescent="0.25">
      <c r="A346">
        <v>77</v>
      </c>
      <c r="B346" t="s">
        <v>545</v>
      </c>
      <c r="C346" t="s">
        <v>1980</v>
      </c>
      <c r="D346" t="s">
        <v>3415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202</v>
      </c>
      <c r="K346">
        <v>858402356.23920405</v>
      </c>
      <c r="L346">
        <v>1</v>
      </c>
      <c r="O346" t="s">
        <v>207</v>
      </c>
      <c r="Q346" t="s">
        <v>207</v>
      </c>
      <c r="R346" t="s">
        <v>207</v>
      </c>
      <c r="S346" t="s">
        <v>207</v>
      </c>
      <c r="T346" t="s">
        <v>207</v>
      </c>
      <c r="U346" t="s">
        <v>207</v>
      </c>
      <c r="V346" t="s">
        <v>207</v>
      </c>
      <c r="W346" t="s">
        <v>207</v>
      </c>
      <c r="X346" t="s">
        <v>207</v>
      </c>
      <c r="AG346" t="s">
        <v>4546</v>
      </c>
      <c r="AH346" t="s">
        <v>4562</v>
      </c>
      <c r="AI346" t="s">
        <v>4565</v>
      </c>
      <c r="AJ346" t="s">
        <v>4566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208</v>
      </c>
      <c r="BA346">
        <v>143714426395.07199</v>
      </c>
      <c r="BB346" t="s">
        <v>4572</v>
      </c>
      <c r="BC346" t="s">
        <v>4581</v>
      </c>
    </row>
    <row r="347" spans="1:55" x14ac:dyDescent="0.25">
      <c r="A347">
        <v>577</v>
      </c>
      <c r="B347" t="s">
        <v>546</v>
      </c>
      <c r="C347" t="s">
        <v>1981</v>
      </c>
      <c r="D347" t="s">
        <v>3416</v>
      </c>
      <c r="E347" t="s">
        <v>4523</v>
      </c>
      <c r="F347">
        <v>862184630</v>
      </c>
      <c r="G347">
        <v>31.647870000000001</v>
      </c>
      <c r="H347" t="s">
        <v>4532</v>
      </c>
      <c r="I347">
        <v>27286307086.238098</v>
      </c>
      <c r="J347" t="s">
        <v>204</v>
      </c>
      <c r="K347">
        <v>35639717.664424598</v>
      </c>
      <c r="L347">
        <v>0.8</v>
      </c>
      <c r="M347" t="s">
        <v>4536</v>
      </c>
      <c r="O347" t="s">
        <v>207</v>
      </c>
      <c r="Q347" t="s">
        <v>207</v>
      </c>
      <c r="R347" t="s">
        <v>207</v>
      </c>
      <c r="S347" t="s">
        <v>207</v>
      </c>
      <c r="T347" t="s">
        <v>207</v>
      </c>
      <c r="U347" t="s">
        <v>207</v>
      </c>
      <c r="V347" t="s">
        <v>207</v>
      </c>
      <c r="W347" t="s">
        <v>207</v>
      </c>
      <c r="X347" t="s">
        <v>207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209</v>
      </c>
      <c r="BA347">
        <v>21829045668.990479</v>
      </c>
      <c r="BB347" t="s">
        <v>4572</v>
      </c>
      <c r="BC347" t="s">
        <v>4536</v>
      </c>
    </row>
    <row r="348" spans="1:55" x14ac:dyDescent="0.25">
      <c r="A348">
        <v>587</v>
      </c>
      <c r="B348" t="s">
        <v>547</v>
      </c>
      <c r="C348" t="s">
        <v>1982</v>
      </c>
      <c r="D348" t="s">
        <v>3417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202</v>
      </c>
      <c r="K348">
        <v>224343478.610098</v>
      </c>
      <c r="L348">
        <v>1</v>
      </c>
      <c r="M348" t="s">
        <v>4536</v>
      </c>
      <c r="O348" t="s">
        <v>207</v>
      </c>
      <c r="Q348" t="s">
        <v>207</v>
      </c>
      <c r="R348" t="s">
        <v>207</v>
      </c>
      <c r="S348" t="s">
        <v>207</v>
      </c>
      <c r="T348" t="s">
        <v>207</v>
      </c>
      <c r="U348" t="s">
        <v>207</v>
      </c>
      <c r="V348" t="s">
        <v>207</v>
      </c>
      <c r="W348" t="s">
        <v>207</v>
      </c>
      <c r="X348" t="s">
        <v>207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208</v>
      </c>
      <c r="BA348">
        <v>21424812417.594002</v>
      </c>
      <c r="BB348" t="s">
        <v>4572</v>
      </c>
      <c r="BC348" t="s">
        <v>4536</v>
      </c>
    </row>
    <row r="349" spans="1:55" x14ac:dyDescent="0.25">
      <c r="A349">
        <v>384</v>
      </c>
      <c r="B349" t="s">
        <v>548</v>
      </c>
      <c r="C349" t="s">
        <v>1983</v>
      </c>
      <c r="D349" t="s">
        <v>3418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202</v>
      </c>
      <c r="K349">
        <v>712289846.32953799</v>
      </c>
      <c r="L349">
        <v>1</v>
      </c>
      <c r="M349" t="s">
        <v>4536</v>
      </c>
      <c r="O349" t="s">
        <v>207</v>
      </c>
      <c r="Q349" t="s">
        <v>207</v>
      </c>
      <c r="R349" t="s">
        <v>207</v>
      </c>
      <c r="S349" t="s">
        <v>207</v>
      </c>
      <c r="T349" t="s">
        <v>207</v>
      </c>
      <c r="U349" t="s">
        <v>207</v>
      </c>
      <c r="V349" t="s">
        <v>207</v>
      </c>
      <c r="W349" t="s">
        <v>207</v>
      </c>
      <c r="X349" t="s">
        <v>207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208</v>
      </c>
      <c r="BA349">
        <v>36304811231.419998</v>
      </c>
      <c r="BB349" t="s">
        <v>4572</v>
      </c>
      <c r="BC349" t="s">
        <v>4536</v>
      </c>
    </row>
    <row r="350" spans="1:55" x14ac:dyDescent="0.25">
      <c r="A350">
        <v>201</v>
      </c>
      <c r="B350" t="s">
        <v>549</v>
      </c>
      <c r="C350" t="s">
        <v>1984</v>
      </c>
      <c r="D350" t="s">
        <v>3419</v>
      </c>
      <c r="E350" t="s">
        <v>4527</v>
      </c>
      <c r="F350">
        <v>2846351600</v>
      </c>
      <c r="G350">
        <v>33.366579999999999</v>
      </c>
      <c r="H350" t="s">
        <v>4534</v>
      </c>
      <c r="I350">
        <v>94973018369.528</v>
      </c>
      <c r="J350" t="s">
        <v>205</v>
      </c>
      <c r="K350">
        <v>129736664.196637</v>
      </c>
      <c r="L350">
        <v>0.7</v>
      </c>
      <c r="M350" t="s">
        <v>4536</v>
      </c>
      <c r="O350" t="s">
        <v>207</v>
      </c>
      <c r="Q350" t="s">
        <v>207</v>
      </c>
      <c r="R350" t="s">
        <v>207</v>
      </c>
      <c r="S350" t="s">
        <v>207</v>
      </c>
      <c r="T350" t="s">
        <v>207</v>
      </c>
      <c r="U350" t="s">
        <v>207</v>
      </c>
      <c r="V350" t="s">
        <v>207</v>
      </c>
      <c r="W350" t="s">
        <v>207</v>
      </c>
      <c r="X350" t="s">
        <v>207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210</v>
      </c>
      <c r="BA350">
        <v>66481112858.669594</v>
      </c>
      <c r="BB350" t="s">
        <v>4572</v>
      </c>
      <c r="BC350" t="s">
        <v>4536</v>
      </c>
    </row>
    <row r="351" spans="1:55" x14ac:dyDescent="0.25">
      <c r="A351">
        <v>979</v>
      </c>
      <c r="B351" t="s">
        <v>550</v>
      </c>
      <c r="C351" t="s">
        <v>1985</v>
      </c>
      <c r="D351" t="s">
        <v>3420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204</v>
      </c>
      <c r="K351">
        <v>14258447.725384099</v>
      </c>
      <c r="L351">
        <v>1</v>
      </c>
      <c r="O351" t="s">
        <v>207</v>
      </c>
      <c r="Q351" t="s">
        <v>207</v>
      </c>
      <c r="R351" t="s">
        <v>207</v>
      </c>
      <c r="S351" t="s">
        <v>207</v>
      </c>
      <c r="T351" t="s">
        <v>207</v>
      </c>
      <c r="U351" t="s">
        <v>207</v>
      </c>
      <c r="V351" t="s">
        <v>207</v>
      </c>
      <c r="W351" t="s">
        <v>207</v>
      </c>
      <c r="X351" t="s">
        <v>207</v>
      </c>
      <c r="AK351">
        <v>0</v>
      </c>
      <c r="AL351">
        <v>0.71599999999999997</v>
      </c>
      <c r="AM351">
        <v>0</v>
      </c>
      <c r="AO351" t="s">
        <v>4568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209</v>
      </c>
      <c r="BA351">
        <v>6418903292.0360003</v>
      </c>
      <c r="BB351" t="s">
        <v>4572</v>
      </c>
      <c r="BC351" t="s">
        <v>4568</v>
      </c>
    </row>
    <row r="352" spans="1:55" x14ac:dyDescent="0.25">
      <c r="A352">
        <v>1391</v>
      </c>
      <c r="B352" t="s">
        <v>551</v>
      </c>
      <c r="C352" t="s">
        <v>1986</v>
      </c>
      <c r="D352" t="s">
        <v>3421</v>
      </c>
      <c r="E352" t="s">
        <v>94</v>
      </c>
      <c r="F352">
        <v>2397908700</v>
      </c>
      <c r="G352">
        <v>1.2743899999999999</v>
      </c>
      <c r="H352" t="s">
        <v>102</v>
      </c>
      <c r="I352">
        <v>3055870868.1929998</v>
      </c>
      <c r="J352" t="s">
        <v>205</v>
      </c>
      <c r="K352">
        <v>12331832.9107338</v>
      </c>
      <c r="L352">
        <v>0.85</v>
      </c>
      <c r="M352" t="s">
        <v>4536</v>
      </c>
      <c r="O352" t="s">
        <v>207</v>
      </c>
      <c r="Q352" t="s">
        <v>207</v>
      </c>
      <c r="R352" t="s">
        <v>207</v>
      </c>
      <c r="S352" t="s">
        <v>207</v>
      </c>
      <c r="T352" t="s">
        <v>207</v>
      </c>
      <c r="U352" t="s">
        <v>207</v>
      </c>
      <c r="V352" t="s">
        <v>207</v>
      </c>
      <c r="W352" t="s">
        <v>207</v>
      </c>
      <c r="X352" t="s">
        <v>207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210</v>
      </c>
      <c r="BA352">
        <v>2597490237.9640498</v>
      </c>
      <c r="BB352" t="s">
        <v>4572</v>
      </c>
      <c r="BC352" t="s">
        <v>4536</v>
      </c>
    </row>
    <row r="353" spans="1:55" x14ac:dyDescent="0.25">
      <c r="A353">
        <v>592</v>
      </c>
      <c r="B353" t="s">
        <v>552</v>
      </c>
      <c r="C353" t="s">
        <v>1987</v>
      </c>
      <c r="D353" t="s">
        <v>3422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202</v>
      </c>
      <c r="K353">
        <v>448932354.18976903</v>
      </c>
      <c r="L353">
        <v>1</v>
      </c>
      <c r="M353" t="s">
        <v>4536</v>
      </c>
      <c r="O353" t="s">
        <v>207</v>
      </c>
      <c r="Q353" t="s">
        <v>207</v>
      </c>
      <c r="R353" t="s">
        <v>207</v>
      </c>
      <c r="S353" t="s">
        <v>207</v>
      </c>
      <c r="T353" t="s">
        <v>207</v>
      </c>
      <c r="U353" t="s">
        <v>207</v>
      </c>
      <c r="V353" t="s">
        <v>207</v>
      </c>
      <c r="W353" t="s">
        <v>207</v>
      </c>
      <c r="X353" t="s">
        <v>207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208</v>
      </c>
      <c r="BA353">
        <v>21277343897.332001</v>
      </c>
      <c r="BB353" t="s">
        <v>4572</v>
      </c>
      <c r="BC353" t="s">
        <v>4536</v>
      </c>
    </row>
    <row r="354" spans="1:55" x14ac:dyDescent="0.25">
      <c r="A354">
        <v>99</v>
      </c>
      <c r="B354" t="s">
        <v>553</v>
      </c>
      <c r="C354" t="s">
        <v>1988</v>
      </c>
      <c r="D354" t="s">
        <v>3423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202</v>
      </c>
      <c r="K354">
        <v>604406441.52850103</v>
      </c>
      <c r="L354">
        <v>0.95</v>
      </c>
      <c r="O354" t="s">
        <v>207</v>
      </c>
      <c r="Q354" t="s">
        <v>207</v>
      </c>
      <c r="R354" t="s">
        <v>207</v>
      </c>
      <c r="S354" t="s">
        <v>207</v>
      </c>
      <c r="T354" t="s">
        <v>207</v>
      </c>
      <c r="U354" t="s">
        <v>207</v>
      </c>
      <c r="V354" t="s">
        <v>207</v>
      </c>
      <c r="W354" t="s">
        <v>207</v>
      </c>
      <c r="X354" t="s">
        <v>207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208</v>
      </c>
      <c r="AZ354" t="s">
        <v>4571</v>
      </c>
      <c r="BA354">
        <v>121256990967.55099</v>
      </c>
      <c r="BB354" t="s">
        <v>4572</v>
      </c>
      <c r="BC354" t="s">
        <v>4571</v>
      </c>
    </row>
    <row r="355" spans="1:55" x14ac:dyDescent="0.25">
      <c r="A355">
        <v>1007</v>
      </c>
      <c r="B355" t="s">
        <v>554</v>
      </c>
      <c r="C355" t="s">
        <v>1989</v>
      </c>
      <c r="D355" t="s">
        <v>3424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203</v>
      </c>
      <c r="K355">
        <v>23609328.206721298</v>
      </c>
      <c r="L355">
        <v>0.75</v>
      </c>
      <c r="M355" t="s">
        <v>4536</v>
      </c>
      <c r="O355" t="s">
        <v>207</v>
      </c>
      <c r="Q355" t="s">
        <v>207</v>
      </c>
      <c r="R355" t="s">
        <v>207</v>
      </c>
      <c r="S355" t="s">
        <v>207</v>
      </c>
      <c r="T355" t="s">
        <v>207</v>
      </c>
      <c r="U355" t="s">
        <v>207</v>
      </c>
      <c r="V355" t="s">
        <v>207</v>
      </c>
      <c r="W355" t="s">
        <v>207</v>
      </c>
      <c r="X355" t="s">
        <v>207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209</v>
      </c>
      <c r="BA355">
        <v>5975337047.25</v>
      </c>
      <c r="BB355" t="s">
        <v>4572</v>
      </c>
      <c r="BC355" t="s">
        <v>4536</v>
      </c>
    </row>
    <row r="356" spans="1:55" x14ac:dyDescent="0.25">
      <c r="A356">
        <v>400</v>
      </c>
      <c r="B356" t="s">
        <v>555</v>
      </c>
      <c r="C356" t="s">
        <v>1990</v>
      </c>
      <c r="D356" t="s">
        <v>3425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202</v>
      </c>
      <c r="K356">
        <v>956522133.69880104</v>
      </c>
      <c r="L356">
        <v>0.85</v>
      </c>
      <c r="M356" t="s">
        <v>4536</v>
      </c>
      <c r="O356" t="s">
        <v>207</v>
      </c>
      <c r="Q356" t="s">
        <v>207</v>
      </c>
      <c r="R356" t="s">
        <v>207</v>
      </c>
      <c r="S356" t="s">
        <v>206</v>
      </c>
      <c r="T356" t="s">
        <v>207</v>
      </c>
      <c r="U356" t="s">
        <v>207</v>
      </c>
      <c r="V356" t="s">
        <v>207</v>
      </c>
      <c r="W356" t="s">
        <v>207</v>
      </c>
      <c r="X356" t="s">
        <v>207</v>
      </c>
      <c r="AA356" t="s">
        <v>4541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208</v>
      </c>
      <c r="BA356">
        <v>34283211729.525501</v>
      </c>
      <c r="BB356" t="s">
        <v>4572</v>
      </c>
      <c r="BC356" t="s">
        <v>4610</v>
      </c>
    </row>
    <row r="357" spans="1:55" x14ac:dyDescent="0.25">
      <c r="A357">
        <v>1424</v>
      </c>
      <c r="B357" t="s">
        <v>556</v>
      </c>
      <c r="C357" t="s">
        <v>1991</v>
      </c>
      <c r="D357" t="s">
        <v>3426</v>
      </c>
      <c r="E357" t="s">
        <v>4517</v>
      </c>
      <c r="F357">
        <v>151294737</v>
      </c>
      <c r="G357">
        <v>34</v>
      </c>
      <c r="H357" t="s">
        <v>99</v>
      </c>
      <c r="I357">
        <v>5144021058</v>
      </c>
      <c r="J357" t="s">
        <v>4535</v>
      </c>
      <c r="K357">
        <v>3147990.9196721301</v>
      </c>
      <c r="L357">
        <v>0.45</v>
      </c>
      <c r="M357" t="s">
        <v>4536</v>
      </c>
      <c r="N357" t="s">
        <v>4537</v>
      </c>
      <c r="O357" t="s">
        <v>207</v>
      </c>
      <c r="Q357" t="s">
        <v>207</v>
      </c>
      <c r="R357" t="s">
        <v>207</v>
      </c>
      <c r="S357" t="s">
        <v>207</v>
      </c>
      <c r="T357" t="s">
        <v>207</v>
      </c>
      <c r="U357" t="s">
        <v>207</v>
      </c>
      <c r="V357" t="s">
        <v>207</v>
      </c>
      <c r="W357" t="s">
        <v>207</v>
      </c>
      <c r="X357" t="s">
        <v>207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209</v>
      </c>
      <c r="BA357">
        <v>2314809476.0999999</v>
      </c>
      <c r="BB357" t="s">
        <v>4572</v>
      </c>
      <c r="BC357" t="s">
        <v>4575</v>
      </c>
    </row>
    <row r="358" spans="1:55" x14ac:dyDescent="0.25">
      <c r="A358">
        <v>378</v>
      </c>
      <c r="B358" t="s">
        <v>557</v>
      </c>
      <c r="C358" t="s">
        <v>1992</v>
      </c>
      <c r="D358" t="s">
        <v>3427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202</v>
      </c>
      <c r="K358">
        <v>467480932.98214698</v>
      </c>
      <c r="L358">
        <v>1</v>
      </c>
      <c r="M358" t="s">
        <v>4536</v>
      </c>
      <c r="O358" t="s">
        <v>206</v>
      </c>
      <c r="Q358" t="s">
        <v>207</v>
      </c>
      <c r="R358" t="s">
        <v>207</v>
      </c>
      <c r="S358" t="s">
        <v>207</v>
      </c>
      <c r="T358" t="s">
        <v>207</v>
      </c>
      <c r="U358" t="s">
        <v>207</v>
      </c>
      <c r="V358" t="s">
        <v>207</v>
      </c>
      <c r="W358" t="s">
        <v>207</v>
      </c>
      <c r="X358" t="s">
        <v>207</v>
      </c>
      <c r="AK358">
        <v>0</v>
      </c>
      <c r="AL358">
        <v>5.8999999999999997E-2</v>
      </c>
      <c r="AM358">
        <v>0</v>
      </c>
      <c r="AO358" t="s">
        <v>4568</v>
      </c>
      <c r="AQ358">
        <v>0</v>
      </c>
      <c r="AR358">
        <v>0</v>
      </c>
      <c r="AW358">
        <v>4050</v>
      </c>
      <c r="AX358">
        <v>1.732</v>
      </c>
      <c r="AY358" t="s">
        <v>208</v>
      </c>
      <c r="BA358">
        <v>37070992780.7724</v>
      </c>
      <c r="BB358" t="s">
        <v>4572</v>
      </c>
      <c r="BC358" t="s">
        <v>4582</v>
      </c>
    </row>
    <row r="359" spans="1:55" x14ac:dyDescent="0.25">
      <c r="A359">
        <v>1283</v>
      </c>
      <c r="B359" t="s">
        <v>558</v>
      </c>
      <c r="C359" t="s">
        <v>1993</v>
      </c>
      <c r="D359" t="s">
        <v>3428</v>
      </c>
      <c r="E359" t="s">
        <v>4523</v>
      </c>
      <c r="F359">
        <v>221089800</v>
      </c>
      <c r="G359">
        <v>35.655799999999999</v>
      </c>
      <c r="H359" t="s">
        <v>4532</v>
      </c>
      <c r="I359">
        <v>7883133690.8400002</v>
      </c>
      <c r="J359" t="s">
        <v>204</v>
      </c>
      <c r="K359">
        <v>10220216.057256401</v>
      </c>
      <c r="L359">
        <v>0.4</v>
      </c>
      <c r="M359" t="s">
        <v>4536</v>
      </c>
      <c r="O359" t="s">
        <v>207</v>
      </c>
      <c r="Q359" t="s">
        <v>207</v>
      </c>
      <c r="R359" t="s">
        <v>207</v>
      </c>
      <c r="S359" t="s">
        <v>207</v>
      </c>
      <c r="T359" t="s">
        <v>207</v>
      </c>
      <c r="U359" t="s">
        <v>207</v>
      </c>
      <c r="V359" t="s">
        <v>207</v>
      </c>
      <c r="W359" t="s">
        <v>207</v>
      </c>
      <c r="X359" t="s">
        <v>207</v>
      </c>
      <c r="AG359" t="s">
        <v>4546</v>
      </c>
      <c r="AH359" t="s">
        <v>4562</v>
      </c>
      <c r="AI359" t="s">
        <v>4565</v>
      </c>
      <c r="AJ359" t="s">
        <v>4566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209</v>
      </c>
      <c r="AZ359" t="s">
        <v>4571</v>
      </c>
      <c r="BA359">
        <v>3153253476.336</v>
      </c>
      <c r="BB359" t="s">
        <v>4572</v>
      </c>
      <c r="BC359" t="s">
        <v>4588</v>
      </c>
    </row>
    <row r="360" spans="1:55" x14ac:dyDescent="0.25">
      <c r="A360">
        <v>1473</v>
      </c>
      <c r="B360" t="s">
        <v>559</v>
      </c>
      <c r="C360" t="s">
        <v>1994</v>
      </c>
      <c r="D360" t="s">
        <v>3429</v>
      </c>
      <c r="E360" t="s">
        <v>93</v>
      </c>
      <c r="F360">
        <v>122145546</v>
      </c>
      <c r="G360">
        <v>25.741060000000001</v>
      </c>
      <c r="H360" t="s">
        <v>101</v>
      </c>
      <c r="I360">
        <v>3144155828.3187599</v>
      </c>
      <c r="J360" t="s">
        <v>205</v>
      </c>
      <c r="K360">
        <v>214584591.18038699</v>
      </c>
      <c r="L360">
        <v>0.65</v>
      </c>
      <c r="M360" t="s">
        <v>4536</v>
      </c>
      <c r="O360" t="s">
        <v>207</v>
      </c>
      <c r="Q360" t="s">
        <v>207</v>
      </c>
      <c r="R360" t="s">
        <v>207</v>
      </c>
      <c r="S360" t="s">
        <v>207</v>
      </c>
      <c r="T360" t="s">
        <v>207</v>
      </c>
      <c r="U360" t="s">
        <v>207</v>
      </c>
      <c r="V360" t="s">
        <v>207</v>
      </c>
      <c r="W360" t="s">
        <v>207</v>
      </c>
      <c r="X360" t="s">
        <v>207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210</v>
      </c>
      <c r="BA360">
        <v>2043701288.4071939</v>
      </c>
      <c r="BB360" t="s">
        <v>4572</v>
      </c>
      <c r="BC360" t="s">
        <v>4536</v>
      </c>
    </row>
    <row r="361" spans="1:55" x14ac:dyDescent="0.25">
      <c r="A361">
        <v>481</v>
      </c>
      <c r="B361" t="s">
        <v>560</v>
      </c>
      <c r="C361" t="s">
        <v>1995</v>
      </c>
      <c r="D361" t="s">
        <v>3430</v>
      </c>
      <c r="E361" t="s">
        <v>93</v>
      </c>
      <c r="F361">
        <v>2910979700</v>
      </c>
      <c r="G361">
        <v>12.49001</v>
      </c>
      <c r="H361" t="s">
        <v>101</v>
      </c>
      <c r="I361">
        <v>36358165562.796997</v>
      </c>
      <c r="J361" t="s">
        <v>205</v>
      </c>
      <c r="K361">
        <v>102826235.11381</v>
      </c>
      <c r="L361">
        <v>0.75</v>
      </c>
      <c r="M361" t="s">
        <v>4536</v>
      </c>
      <c r="O361" t="s">
        <v>207</v>
      </c>
      <c r="Q361" t="s">
        <v>207</v>
      </c>
      <c r="R361" t="s">
        <v>207</v>
      </c>
      <c r="S361" t="s">
        <v>207</v>
      </c>
      <c r="T361" t="s">
        <v>207</v>
      </c>
      <c r="U361" t="s">
        <v>207</v>
      </c>
      <c r="V361" t="s">
        <v>207</v>
      </c>
      <c r="W361" t="s">
        <v>207</v>
      </c>
      <c r="X361" t="s">
        <v>207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210</v>
      </c>
      <c r="BA361">
        <v>27268624172.097752</v>
      </c>
      <c r="BB361" t="s">
        <v>4572</v>
      </c>
      <c r="BC361" t="s">
        <v>4536</v>
      </c>
    </row>
    <row r="362" spans="1:55" x14ac:dyDescent="0.25">
      <c r="A362">
        <v>1116</v>
      </c>
      <c r="B362" t="s">
        <v>561</v>
      </c>
      <c r="C362" t="s">
        <v>1996</v>
      </c>
      <c r="D362" t="s">
        <v>3431</v>
      </c>
      <c r="E362" t="s">
        <v>93</v>
      </c>
      <c r="F362">
        <v>265800000</v>
      </c>
      <c r="G362">
        <v>19.863779999999998</v>
      </c>
      <c r="H362" t="s">
        <v>101</v>
      </c>
      <c r="I362">
        <v>5279792724</v>
      </c>
      <c r="J362" t="s">
        <v>205</v>
      </c>
      <c r="K362">
        <v>26788770.7514356</v>
      </c>
      <c r="L362">
        <v>0.85</v>
      </c>
      <c r="M362" t="s">
        <v>4536</v>
      </c>
      <c r="O362" t="s">
        <v>207</v>
      </c>
      <c r="Q362" t="s">
        <v>207</v>
      </c>
      <c r="R362" t="s">
        <v>207</v>
      </c>
      <c r="S362" t="s">
        <v>207</v>
      </c>
      <c r="T362" t="s">
        <v>207</v>
      </c>
      <c r="U362" t="s">
        <v>207</v>
      </c>
      <c r="V362" t="s">
        <v>207</v>
      </c>
      <c r="W362" t="s">
        <v>207</v>
      </c>
      <c r="X362" t="s">
        <v>207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210</v>
      </c>
      <c r="BA362">
        <v>4487823815.3999996</v>
      </c>
      <c r="BB362" t="s">
        <v>4572</v>
      </c>
      <c r="BC362" t="s">
        <v>4536</v>
      </c>
    </row>
    <row r="363" spans="1:55" x14ac:dyDescent="0.25">
      <c r="A363">
        <v>367</v>
      </c>
      <c r="B363" t="s">
        <v>562</v>
      </c>
      <c r="C363" t="s">
        <v>1997</v>
      </c>
      <c r="D363" t="s">
        <v>3432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203</v>
      </c>
      <c r="K363">
        <v>129324709.25982</v>
      </c>
      <c r="L363">
        <v>1</v>
      </c>
      <c r="O363" t="s">
        <v>207</v>
      </c>
      <c r="Q363" t="s">
        <v>207</v>
      </c>
      <c r="R363" t="s">
        <v>207</v>
      </c>
      <c r="S363" t="s">
        <v>207</v>
      </c>
      <c r="T363" t="s">
        <v>207</v>
      </c>
      <c r="U363" t="s">
        <v>207</v>
      </c>
      <c r="V363" t="s">
        <v>207</v>
      </c>
      <c r="W363" t="s">
        <v>207</v>
      </c>
      <c r="X363" t="s">
        <v>207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209</v>
      </c>
      <c r="AZ363" t="s">
        <v>4571</v>
      </c>
      <c r="BA363">
        <v>38267583461.800003</v>
      </c>
      <c r="BB363" t="s">
        <v>4572</v>
      </c>
      <c r="BC363" t="s">
        <v>4571</v>
      </c>
    </row>
    <row r="364" spans="1:55" x14ac:dyDescent="0.25">
      <c r="A364">
        <v>297</v>
      </c>
      <c r="B364" t="s">
        <v>563</v>
      </c>
      <c r="C364" t="s">
        <v>1998</v>
      </c>
      <c r="D364" t="s">
        <v>3433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203</v>
      </c>
      <c r="K364">
        <v>64953417.481147498</v>
      </c>
      <c r="L364">
        <v>1</v>
      </c>
      <c r="M364" t="s">
        <v>4536</v>
      </c>
      <c r="O364" t="s">
        <v>207</v>
      </c>
      <c r="Q364" t="s">
        <v>207</v>
      </c>
      <c r="R364" t="s">
        <v>207</v>
      </c>
      <c r="S364" t="s">
        <v>207</v>
      </c>
      <c r="T364" t="s">
        <v>207</v>
      </c>
      <c r="U364" t="s">
        <v>207</v>
      </c>
      <c r="V364" t="s">
        <v>207</v>
      </c>
      <c r="W364" t="s">
        <v>207</v>
      </c>
      <c r="X364" t="s">
        <v>207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209</v>
      </c>
      <c r="BA364">
        <v>46397120000</v>
      </c>
      <c r="BB364" t="s">
        <v>4572</v>
      </c>
      <c r="BC364" t="s">
        <v>4536</v>
      </c>
    </row>
    <row r="365" spans="1:55" x14ac:dyDescent="0.25">
      <c r="A365">
        <v>373</v>
      </c>
      <c r="B365" t="s">
        <v>564</v>
      </c>
      <c r="C365" t="s">
        <v>1999</v>
      </c>
      <c r="D365" t="s">
        <v>3434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203</v>
      </c>
      <c r="K365">
        <v>86506590.769590095</v>
      </c>
      <c r="L365">
        <v>0.85</v>
      </c>
      <c r="O365" t="s">
        <v>207</v>
      </c>
      <c r="Q365" t="s">
        <v>207</v>
      </c>
      <c r="R365" t="s">
        <v>207</v>
      </c>
      <c r="S365" t="s">
        <v>207</v>
      </c>
      <c r="T365" t="s">
        <v>207</v>
      </c>
      <c r="U365" t="s">
        <v>207</v>
      </c>
      <c r="V365" t="s">
        <v>207</v>
      </c>
      <c r="W365" t="s">
        <v>207</v>
      </c>
      <c r="X365" t="s">
        <v>207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209</v>
      </c>
      <c r="AZ365" t="s">
        <v>4571</v>
      </c>
      <c r="BA365">
        <v>37576800000.000008</v>
      </c>
      <c r="BB365" t="s">
        <v>4572</v>
      </c>
      <c r="BC365" t="s">
        <v>4571</v>
      </c>
    </row>
    <row r="366" spans="1:55" x14ac:dyDescent="0.25">
      <c r="A366">
        <v>91</v>
      </c>
      <c r="B366" t="s">
        <v>565</v>
      </c>
      <c r="C366" t="s">
        <v>2000</v>
      </c>
      <c r="D366" t="s">
        <v>3435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203</v>
      </c>
      <c r="K366">
        <v>206808355.30581999</v>
      </c>
      <c r="L366">
        <v>0.75</v>
      </c>
      <c r="M366" t="s">
        <v>4536</v>
      </c>
      <c r="O366" t="s">
        <v>206</v>
      </c>
      <c r="Q366" t="s">
        <v>207</v>
      </c>
      <c r="R366" t="s">
        <v>207</v>
      </c>
      <c r="S366" t="s">
        <v>207</v>
      </c>
      <c r="T366" t="s">
        <v>207</v>
      </c>
      <c r="U366" t="s">
        <v>207</v>
      </c>
      <c r="V366" t="s">
        <v>207</v>
      </c>
      <c r="W366" t="s">
        <v>207</v>
      </c>
      <c r="X366" t="s">
        <v>207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209</v>
      </c>
      <c r="BA366">
        <v>129099410565</v>
      </c>
      <c r="BB366" t="s">
        <v>4572</v>
      </c>
      <c r="BC366" t="s">
        <v>4536</v>
      </c>
    </row>
    <row r="367" spans="1:55" x14ac:dyDescent="0.25">
      <c r="A367">
        <v>541</v>
      </c>
      <c r="B367" t="s">
        <v>566</v>
      </c>
      <c r="C367" t="s">
        <v>2001</v>
      </c>
      <c r="D367" t="s">
        <v>3436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202</v>
      </c>
      <c r="K367">
        <v>350070746.01450002</v>
      </c>
      <c r="L367">
        <v>1</v>
      </c>
      <c r="M367" t="s">
        <v>4536</v>
      </c>
      <c r="O367" t="s">
        <v>207</v>
      </c>
      <c r="Q367" t="s">
        <v>207</v>
      </c>
      <c r="R367" t="s">
        <v>207</v>
      </c>
      <c r="S367" t="s">
        <v>207</v>
      </c>
      <c r="T367" t="s">
        <v>207</v>
      </c>
      <c r="U367" t="s">
        <v>207</v>
      </c>
      <c r="V367" t="s">
        <v>207</v>
      </c>
      <c r="W367" t="s">
        <v>207</v>
      </c>
      <c r="X367" t="s">
        <v>207</v>
      </c>
      <c r="AK367">
        <v>0</v>
      </c>
      <c r="AL367">
        <v>1</v>
      </c>
      <c r="AM367">
        <v>0</v>
      </c>
      <c r="AO367" t="s">
        <v>4568</v>
      </c>
      <c r="AQ367">
        <v>0</v>
      </c>
      <c r="AR367">
        <v>0</v>
      </c>
      <c r="AW367">
        <v>6010</v>
      </c>
      <c r="AX367">
        <v>2.278</v>
      </c>
      <c r="AY367" t="s">
        <v>208</v>
      </c>
      <c r="BA367">
        <v>23272127560</v>
      </c>
      <c r="BB367" t="s">
        <v>4572</v>
      </c>
      <c r="BC367" t="s">
        <v>4582</v>
      </c>
    </row>
    <row r="368" spans="1:55" x14ac:dyDescent="0.25">
      <c r="A368">
        <v>407</v>
      </c>
      <c r="B368" t="s">
        <v>567</v>
      </c>
      <c r="C368" t="s">
        <v>2002</v>
      </c>
      <c r="D368" t="s">
        <v>3437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202</v>
      </c>
      <c r="K368">
        <v>276881756.27643198</v>
      </c>
      <c r="L368">
        <v>1</v>
      </c>
      <c r="M368" t="s">
        <v>4536</v>
      </c>
      <c r="O368" t="s">
        <v>207</v>
      </c>
      <c r="Q368" t="s">
        <v>207</v>
      </c>
      <c r="R368" t="s">
        <v>207</v>
      </c>
      <c r="S368" t="s">
        <v>207</v>
      </c>
      <c r="T368" t="s">
        <v>207</v>
      </c>
      <c r="U368" t="s">
        <v>207</v>
      </c>
      <c r="V368" t="s">
        <v>207</v>
      </c>
      <c r="W368" t="s">
        <v>207</v>
      </c>
      <c r="X368" t="s">
        <v>207</v>
      </c>
      <c r="AG368" t="s">
        <v>4546</v>
      </c>
      <c r="AH368" t="s">
        <v>4562</v>
      </c>
      <c r="AI368" t="s">
        <v>4565</v>
      </c>
      <c r="AJ368" t="s">
        <v>4566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208</v>
      </c>
      <c r="AZ368" t="s">
        <v>4571</v>
      </c>
      <c r="BA368">
        <v>33182916291.32</v>
      </c>
      <c r="BB368" t="s">
        <v>4572</v>
      </c>
      <c r="BC368" t="s">
        <v>4588</v>
      </c>
    </row>
    <row r="369" spans="1:55" x14ac:dyDescent="0.25">
      <c r="A369">
        <v>1408</v>
      </c>
      <c r="B369" t="s">
        <v>568</v>
      </c>
      <c r="C369" t="s">
        <v>2003</v>
      </c>
      <c r="D369" t="s">
        <v>3438</v>
      </c>
      <c r="E369" t="s">
        <v>93</v>
      </c>
      <c r="F369">
        <v>178644600</v>
      </c>
      <c r="G369">
        <v>14.51732</v>
      </c>
      <c r="H369" t="s">
        <v>101</v>
      </c>
      <c r="I369">
        <v>2593440824.4720001</v>
      </c>
      <c r="J369" t="s">
        <v>205</v>
      </c>
      <c r="K369">
        <v>11925507.787816601</v>
      </c>
      <c r="L369">
        <v>0.95</v>
      </c>
      <c r="M369" t="s">
        <v>4536</v>
      </c>
      <c r="O369" t="s">
        <v>207</v>
      </c>
      <c r="Q369" t="s">
        <v>207</v>
      </c>
      <c r="R369" t="s">
        <v>207</v>
      </c>
      <c r="S369" t="s">
        <v>207</v>
      </c>
      <c r="T369" t="s">
        <v>207</v>
      </c>
      <c r="U369" t="s">
        <v>207</v>
      </c>
      <c r="V369" t="s">
        <v>207</v>
      </c>
      <c r="W369" t="s">
        <v>207</v>
      </c>
      <c r="X369" t="s">
        <v>207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210</v>
      </c>
      <c r="AZ369" t="s">
        <v>4571</v>
      </c>
      <c r="BA369">
        <v>2463768783.2484002</v>
      </c>
      <c r="BB369" t="s">
        <v>4572</v>
      </c>
      <c r="BC369" t="s">
        <v>4577</v>
      </c>
    </row>
    <row r="370" spans="1:55" x14ac:dyDescent="0.25">
      <c r="A370">
        <v>1077</v>
      </c>
      <c r="B370" t="s">
        <v>569</v>
      </c>
      <c r="C370" t="s">
        <v>2004</v>
      </c>
      <c r="D370" t="s">
        <v>3439</v>
      </c>
      <c r="E370" t="s">
        <v>94</v>
      </c>
      <c r="F370">
        <v>1075565200</v>
      </c>
      <c r="G370">
        <v>4.6219510000000001</v>
      </c>
      <c r="H370" t="s">
        <v>102</v>
      </c>
      <c r="I370">
        <v>4971209651.7052002</v>
      </c>
      <c r="J370" t="s">
        <v>205</v>
      </c>
      <c r="K370">
        <v>29569633.4137461</v>
      </c>
      <c r="L370">
        <v>1</v>
      </c>
      <c r="M370" t="s">
        <v>4536</v>
      </c>
      <c r="O370" t="s">
        <v>207</v>
      </c>
      <c r="Q370" t="s">
        <v>207</v>
      </c>
      <c r="R370" t="s">
        <v>207</v>
      </c>
      <c r="S370" t="s">
        <v>207</v>
      </c>
      <c r="T370" t="s">
        <v>207</v>
      </c>
      <c r="U370" t="s">
        <v>207</v>
      </c>
      <c r="V370" t="s">
        <v>207</v>
      </c>
      <c r="W370" t="s">
        <v>207</v>
      </c>
      <c r="X370" t="s">
        <v>207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210</v>
      </c>
      <c r="BA370">
        <v>4971209651.7052002</v>
      </c>
      <c r="BB370" t="s">
        <v>4572</v>
      </c>
      <c r="BC370" t="s">
        <v>4536</v>
      </c>
    </row>
    <row r="371" spans="1:55" x14ac:dyDescent="0.25">
      <c r="A371">
        <v>225</v>
      </c>
      <c r="B371" t="s">
        <v>184</v>
      </c>
      <c r="C371" t="s">
        <v>19</v>
      </c>
      <c r="D371" t="s">
        <v>59</v>
      </c>
      <c r="E371" t="s">
        <v>91</v>
      </c>
      <c r="F371">
        <v>2225173800</v>
      </c>
      <c r="G371">
        <v>26.475850000000001</v>
      </c>
      <c r="H371" t="s">
        <v>100</v>
      </c>
      <c r="I371">
        <v>58913367752.730003</v>
      </c>
      <c r="J371" t="s">
        <v>204</v>
      </c>
      <c r="K371">
        <v>91262542.967915595</v>
      </c>
      <c r="L371">
        <v>1</v>
      </c>
      <c r="O371" t="s">
        <v>207</v>
      </c>
      <c r="Q371" t="s">
        <v>207</v>
      </c>
      <c r="R371" t="s">
        <v>207</v>
      </c>
      <c r="S371" t="s">
        <v>207</v>
      </c>
      <c r="T371" t="s">
        <v>207</v>
      </c>
      <c r="U371" t="s">
        <v>207</v>
      </c>
      <c r="V371" t="s">
        <v>207</v>
      </c>
      <c r="W371" t="s">
        <v>207</v>
      </c>
      <c r="X371" t="s">
        <v>207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209</v>
      </c>
      <c r="BA371">
        <v>58913367752.730003</v>
      </c>
      <c r="BB371" t="s">
        <v>211</v>
      </c>
    </row>
    <row r="372" spans="1:55" x14ac:dyDescent="0.25">
      <c r="A372">
        <v>471</v>
      </c>
      <c r="B372" t="s">
        <v>570</v>
      </c>
      <c r="C372" t="s">
        <v>2005</v>
      </c>
      <c r="D372" t="s">
        <v>3440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202</v>
      </c>
      <c r="K372">
        <v>348478206.36250001</v>
      </c>
      <c r="L372">
        <v>0.65</v>
      </c>
      <c r="M372" t="s">
        <v>4536</v>
      </c>
      <c r="O372" t="s">
        <v>207</v>
      </c>
      <c r="Q372" t="s">
        <v>207</v>
      </c>
      <c r="R372" t="s">
        <v>207</v>
      </c>
      <c r="S372" t="s">
        <v>207</v>
      </c>
      <c r="T372" t="s">
        <v>207</v>
      </c>
      <c r="U372" t="s">
        <v>207</v>
      </c>
      <c r="V372" t="s">
        <v>207</v>
      </c>
      <c r="W372" t="s">
        <v>207</v>
      </c>
      <c r="X372" t="s">
        <v>207</v>
      </c>
      <c r="AK372">
        <v>0</v>
      </c>
      <c r="AL372">
        <v>1</v>
      </c>
      <c r="AM372">
        <v>0</v>
      </c>
      <c r="AO372" t="s">
        <v>4568</v>
      </c>
      <c r="AQ372">
        <v>0</v>
      </c>
      <c r="AR372">
        <v>0</v>
      </c>
      <c r="AW372">
        <v>6010</v>
      </c>
      <c r="AX372">
        <v>2.629</v>
      </c>
      <c r="AY372" t="s">
        <v>208</v>
      </c>
      <c r="BA372">
        <v>28340969593.585999</v>
      </c>
      <c r="BB372" t="s">
        <v>4572</v>
      </c>
      <c r="BC372" t="s">
        <v>4582</v>
      </c>
    </row>
    <row r="373" spans="1:55" x14ac:dyDescent="0.25">
      <c r="A373">
        <v>1403</v>
      </c>
      <c r="B373" t="s">
        <v>571</v>
      </c>
      <c r="C373" t="s">
        <v>2006</v>
      </c>
      <c r="D373" t="s">
        <v>3441</v>
      </c>
      <c r="E373" t="s">
        <v>4517</v>
      </c>
      <c r="F373">
        <v>55948257</v>
      </c>
      <c r="G373">
        <v>99.5</v>
      </c>
      <c r="H373" t="s">
        <v>99</v>
      </c>
      <c r="I373">
        <v>5566851571.5</v>
      </c>
      <c r="J373" t="s">
        <v>4535</v>
      </c>
      <c r="K373">
        <v>11527840.3304918</v>
      </c>
      <c r="L373">
        <v>0.45</v>
      </c>
      <c r="M373" t="s">
        <v>4536</v>
      </c>
      <c r="O373" t="s">
        <v>207</v>
      </c>
      <c r="Q373" t="s">
        <v>207</v>
      </c>
      <c r="R373" t="s">
        <v>207</v>
      </c>
      <c r="S373" t="s">
        <v>207</v>
      </c>
      <c r="T373" t="s">
        <v>207</v>
      </c>
      <c r="U373" t="s">
        <v>207</v>
      </c>
      <c r="V373" t="s">
        <v>207</v>
      </c>
      <c r="W373" t="s">
        <v>207</v>
      </c>
      <c r="X373" t="s">
        <v>207</v>
      </c>
      <c r="AG373" t="s">
        <v>4546</v>
      </c>
      <c r="AH373" t="s">
        <v>4562</v>
      </c>
      <c r="AI373" t="s">
        <v>4565</v>
      </c>
      <c r="AJ373" t="s">
        <v>4566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209</v>
      </c>
      <c r="BA373">
        <v>2505083207.1750002</v>
      </c>
      <c r="BB373" t="s">
        <v>4572</v>
      </c>
      <c r="BC373" t="s">
        <v>4578</v>
      </c>
    </row>
    <row r="374" spans="1:55" x14ac:dyDescent="0.25">
      <c r="A374">
        <v>1233</v>
      </c>
      <c r="B374" t="s">
        <v>572</v>
      </c>
      <c r="C374" t="s">
        <v>2007</v>
      </c>
      <c r="D374" t="s">
        <v>3442</v>
      </c>
      <c r="E374" t="s">
        <v>4520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203</v>
      </c>
      <c r="K374">
        <v>12319207.047619</v>
      </c>
      <c r="L374">
        <v>0.4</v>
      </c>
      <c r="O374" t="s">
        <v>207</v>
      </c>
      <c r="Q374" t="s">
        <v>207</v>
      </c>
      <c r="R374" t="s">
        <v>207</v>
      </c>
      <c r="S374" t="s">
        <v>207</v>
      </c>
      <c r="T374" t="s">
        <v>207</v>
      </c>
      <c r="U374" t="s">
        <v>207</v>
      </c>
      <c r="V374" t="s">
        <v>207</v>
      </c>
      <c r="W374" t="s">
        <v>207</v>
      </c>
      <c r="X374" t="s">
        <v>207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209</v>
      </c>
      <c r="AZ374" t="s">
        <v>4571</v>
      </c>
      <c r="BA374">
        <v>3484639855.1199999</v>
      </c>
      <c r="BB374" t="s">
        <v>4572</v>
      </c>
      <c r="BC374" t="s">
        <v>4571</v>
      </c>
    </row>
    <row r="375" spans="1:55" x14ac:dyDescent="0.25">
      <c r="A375">
        <v>271</v>
      </c>
      <c r="B375" t="s">
        <v>186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53243719813.199997</v>
      </c>
      <c r="J375" t="s">
        <v>202</v>
      </c>
      <c r="K375">
        <v>365902620.51544499</v>
      </c>
      <c r="L375">
        <v>0.95</v>
      </c>
      <c r="O375" t="s">
        <v>207</v>
      </c>
      <c r="Q375" t="s">
        <v>207</v>
      </c>
      <c r="R375" t="s">
        <v>207</v>
      </c>
      <c r="S375" t="s">
        <v>207</v>
      </c>
      <c r="T375" t="s">
        <v>207</v>
      </c>
      <c r="U375" t="s">
        <v>207</v>
      </c>
      <c r="V375" t="s">
        <v>207</v>
      </c>
      <c r="W375" t="s">
        <v>207</v>
      </c>
      <c r="X375" t="s">
        <v>207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208</v>
      </c>
      <c r="BA375">
        <v>50581533822.540001</v>
      </c>
      <c r="BB375" t="s">
        <v>211</v>
      </c>
    </row>
    <row r="376" spans="1:55" x14ac:dyDescent="0.25">
      <c r="A376">
        <v>922</v>
      </c>
      <c r="B376" t="s">
        <v>573</v>
      </c>
      <c r="C376" t="s">
        <v>2008</v>
      </c>
      <c r="D376" t="s">
        <v>3443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204</v>
      </c>
      <c r="K376">
        <v>10091508.8565965</v>
      </c>
      <c r="L376">
        <v>1</v>
      </c>
      <c r="M376" t="s">
        <v>4536</v>
      </c>
      <c r="O376" t="s">
        <v>207</v>
      </c>
      <c r="Q376" t="s">
        <v>207</v>
      </c>
      <c r="R376" t="s">
        <v>207</v>
      </c>
      <c r="S376" t="s">
        <v>207</v>
      </c>
      <c r="T376" t="s">
        <v>207</v>
      </c>
      <c r="U376" t="s">
        <v>207</v>
      </c>
      <c r="V376" t="s">
        <v>207</v>
      </c>
      <c r="W376" t="s">
        <v>207</v>
      </c>
      <c r="X376" t="s">
        <v>207</v>
      </c>
      <c r="AK376">
        <v>0</v>
      </c>
      <c r="AL376">
        <v>0.05</v>
      </c>
      <c r="AM376">
        <v>0</v>
      </c>
      <c r="AO376" t="s">
        <v>4568</v>
      </c>
      <c r="AQ376">
        <v>0</v>
      </c>
      <c r="AR376">
        <v>0</v>
      </c>
      <c r="AW376">
        <v>5020</v>
      </c>
      <c r="AX376">
        <v>2.0249999999999999</v>
      </c>
      <c r="AY376" t="s">
        <v>209</v>
      </c>
      <c r="AZ376" t="s">
        <v>4571</v>
      </c>
      <c r="BA376">
        <v>7520120371.3859997</v>
      </c>
      <c r="BB376" t="s">
        <v>4572</v>
      </c>
      <c r="BC376" t="s">
        <v>4594</v>
      </c>
    </row>
    <row r="377" spans="1:55" x14ac:dyDescent="0.25">
      <c r="A377">
        <v>1144</v>
      </c>
      <c r="B377" t="s">
        <v>574</v>
      </c>
      <c r="C377" t="s">
        <v>2009</v>
      </c>
      <c r="D377" t="s">
        <v>3444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204</v>
      </c>
      <c r="K377">
        <v>12673712.369872499</v>
      </c>
      <c r="L377">
        <v>1</v>
      </c>
      <c r="M377" t="s">
        <v>4536</v>
      </c>
      <c r="O377" t="s">
        <v>207</v>
      </c>
      <c r="Q377" t="s">
        <v>207</v>
      </c>
      <c r="R377" t="s">
        <v>207</v>
      </c>
      <c r="S377" t="s">
        <v>207</v>
      </c>
      <c r="T377" t="s">
        <v>207</v>
      </c>
      <c r="U377" t="s">
        <v>207</v>
      </c>
      <c r="V377" t="s">
        <v>207</v>
      </c>
      <c r="W377" t="s">
        <v>207</v>
      </c>
      <c r="X377" t="s">
        <v>207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209</v>
      </c>
      <c r="BA377">
        <v>4182268756.3344002</v>
      </c>
      <c r="BB377" t="s">
        <v>4572</v>
      </c>
      <c r="BC377" t="s">
        <v>4536</v>
      </c>
    </row>
    <row r="378" spans="1:55" x14ac:dyDescent="0.25">
      <c r="A378">
        <v>469</v>
      </c>
      <c r="B378" t="s">
        <v>575</v>
      </c>
      <c r="C378" t="s">
        <v>2010</v>
      </c>
      <c r="D378" t="s">
        <v>3445</v>
      </c>
      <c r="E378" t="s">
        <v>93</v>
      </c>
      <c r="F378">
        <v>108390465</v>
      </c>
      <c r="G378">
        <v>293.16030000000001</v>
      </c>
      <c r="H378" t="s">
        <v>101</v>
      </c>
      <c r="I378">
        <v>31775781236.539501</v>
      </c>
      <c r="J378" t="s">
        <v>205</v>
      </c>
      <c r="K378">
        <v>1182267445.4147601</v>
      </c>
      <c r="L378">
        <v>0.9</v>
      </c>
      <c r="M378" t="s">
        <v>4536</v>
      </c>
      <c r="O378" t="s">
        <v>207</v>
      </c>
      <c r="Q378" t="s">
        <v>207</v>
      </c>
      <c r="R378" t="s">
        <v>207</v>
      </c>
      <c r="S378" t="s">
        <v>207</v>
      </c>
      <c r="T378" t="s">
        <v>207</v>
      </c>
      <c r="U378" t="s">
        <v>207</v>
      </c>
      <c r="V378" t="s">
        <v>207</v>
      </c>
      <c r="W378" t="s">
        <v>207</v>
      </c>
      <c r="X378" t="s">
        <v>207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210</v>
      </c>
      <c r="BA378">
        <v>28598203112.885551</v>
      </c>
      <c r="BB378" t="s">
        <v>4572</v>
      </c>
      <c r="BC378" t="s">
        <v>4536</v>
      </c>
    </row>
    <row r="379" spans="1:55" x14ac:dyDescent="0.25">
      <c r="A379">
        <v>294</v>
      </c>
      <c r="B379" t="s">
        <v>576</v>
      </c>
      <c r="C379" t="s">
        <v>2011</v>
      </c>
      <c r="D379" t="s">
        <v>3446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202</v>
      </c>
      <c r="K379">
        <v>263639464.534385</v>
      </c>
      <c r="L379">
        <v>1</v>
      </c>
      <c r="M379" t="s">
        <v>4536</v>
      </c>
      <c r="O379" t="s">
        <v>207</v>
      </c>
      <c r="Q379" t="s">
        <v>207</v>
      </c>
      <c r="R379" t="s">
        <v>207</v>
      </c>
      <c r="S379" t="s">
        <v>207</v>
      </c>
      <c r="T379" t="s">
        <v>207</v>
      </c>
      <c r="U379" t="s">
        <v>207</v>
      </c>
      <c r="V379" t="s">
        <v>207</v>
      </c>
      <c r="W379" t="s">
        <v>207</v>
      </c>
      <c r="X379" t="s">
        <v>207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208</v>
      </c>
      <c r="BA379">
        <v>46768779534.311996</v>
      </c>
      <c r="BB379" t="s">
        <v>4572</v>
      </c>
      <c r="BC379" t="s">
        <v>4536</v>
      </c>
    </row>
    <row r="380" spans="1:55" x14ac:dyDescent="0.25">
      <c r="A380">
        <v>1414</v>
      </c>
      <c r="B380" t="s">
        <v>577</v>
      </c>
      <c r="C380" t="s">
        <v>2012</v>
      </c>
      <c r="D380" t="s">
        <v>3447</v>
      </c>
      <c r="E380" t="s">
        <v>93</v>
      </c>
      <c r="F380">
        <v>141955600</v>
      </c>
      <c r="G380">
        <v>17.046659999999999</v>
      </c>
      <c r="H380" t="s">
        <v>101</v>
      </c>
      <c r="I380">
        <v>2419868848.296</v>
      </c>
      <c r="J380" t="s">
        <v>205</v>
      </c>
      <c r="K380">
        <v>19628470.208495699</v>
      </c>
      <c r="L380">
        <v>1</v>
      </c>
      <c r="M380" t="s">
        <v>4536</v>
      </c>
      <c r="O380" t="s">
        <v>207</v>
      </c>
      <c r="Q380" t="s">
        <v>207</v>
      </c>
      <c r="R380" t="s">
        <v>207</v>
      </c>
      <c r="S380" t="s">
        <v>207</v>
      </c>
      <c r="T380" t="s">
        <v>207</v>
      </c>
      <c r="U380" t="s">
        <v>207</v>
      </c>
      <c r="V380" t="s">
        <v>207</v>
      </c>
      <c r="W380" t="s">
        <v>207</v>
      </c>
      <c r="X380" t="s">
        <v>207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210</v>
      </c>
      <c r="BA380">
        <v>2419868848.296</v>
      </c>
      <c r="BB380" t="s">
        <v>4572</v>
      </c>
      <c r="BC380" t="s">
        <v>4536</v>
      </c>
    </row>
    <row r="381" spans="1:55" x14ac:dyDescent="0.25">
      <c r="A381">
        <v>682</v>
      </c>
      <c r="B381" t="s">
        <v>578</v>
      </c>
      <c r="C381" t="s">
        <v>2013</v>
      </c>
      <c r="D381" t="s">
        <v>3448</v>
      </c>
      <c r="E381" t="s">
        <v>4522</v>
      </c>
      <c r="F381">
        <v>1492530286</v>
      </c>
      <c r="G381">
        <v>21.722549999999998</v>
      </c>
      <c r="H381" t="s">
        <v>4531</v>
      </c>
      <c r="I381">
        <v>32421563764.1493</v>
      </c>
      <c r="J381" t="s">
        <v>204</v>
      </c>
      <c r="K381">
        <v>28339201.280232199</v>
      </c>
      <c r="L381">
        <v>0.55000000000000004</v>
      </c>
      <c r="M381" t="s">
        <v>4536</v>
      </c>
      <c r="O381" t="s">
        <v>207</v>
      </c>
      <c r="Q381" t="s">
        <v>207</v>
      </c>
      <c r="R381" t="s">
        <v>207</v>
      </c>
      <c r="S381" t="s">
        <v>207</v>
      </c>
      <c r="T381" t="s">
        <v>207</v>
      </c>
      <c r="U381" t="s">
        <v>207</v>
      </c>
      <c r="V381" t="s">
        <v>207</v>
      </c>
      <c r="W381" t="s">
        <v>207</v>
      </c>
      <c r="X381" t="s">
        <v>207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209</v>
      </c>
      <c r="BA381">
        <v>17831860070.28212</v>
      </c>
      <c r="BB381" t="s">
        <v>4572</v>
      </c>
      <c r="BC381" t="s">
        <v>4536</v>
      </c>
    </row>
    <row r="382" spans="1:55" x14ac:dyDescent="0.25">
      <c r="A382">
        <v>723</v>
      </c>
      <c r="B382" t="s">
        <v>579</v>
      </c>
      <c r="C382" t="s">
        <v>2014</v>
      </c>
      <c r="D382" t="s">
        <v>3449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202</v>
      </c>
      <c r="K382">
        <v>272017762.85187697</v>
      </c>
      <c r="L382">
        <v>1</v>
      </c>
      <c r="M382" t="s">
        <v>4536</v>
      </c>
      <c r="O382" t="s">
        <v>207</v>
      </c>
      <c r="Q382" t="s">
        <v>207</v>
      </c>
      <c r="R382" t="s">
        <v>207</v>
      </c>
      <c r="S382" t="s">
        <v>207</v>
      </c>
      <c r="T382" t="s">
        <v>207</v>
      </c>
      <c r="U382" t="s">
        <v>207</v>
      </c>
      <c r="V382" t="s">
        <v>207</v>
      </c>
      <c r="W382" t="s">
        <v>207</v>
      </c>
      <c r="X382" t="s">
        <v>207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208</v>
      </c>
      <c r="AZ382" t="s">
        <v>4571</v>
      </c>
      <c r="BA382">
        <v>16223685225.5205</v>
      </c>
      <c r="BB382" t="s">
        <v>4572</v>
      </c>
      <c r="BC382" t="s">
        <v>4577</v>
      </c>
    </row>
    <row r="383" spans="1:55" x14ac:dyDescent="0.25">
      <c r="A383">
        <v>729</v>
      </c>
      <c r="B383" t="s">
        <v>580</v>
      </c>
      <c r="C383" t="s">
        <v>2015</v>
      </c>
      <c r="D383" t="s">
        <v>3450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202</v>
      </c>
      <c r="K383">
        <v>266061702.75011799</v>
      </c>
      <c r="L383">
        <v>1</v>
      </c>
      <c r="M383" t="s">
        <v>4536</v>
      </c>
      <c r="O383" t="s">
        <v>207</v>
      </c>
      <c r="Q383" t="s">
        <v>207</v>
      </c>
      <c r="R383" t="s">
        <v>207</v>
      </c>
      <c r="S383" t="s">
        <v>207</v>
      </c>
      <c r="T383" t="s">
        <v>207</v>
      </c>
      <c r="U383" t="s">
        <v>207</v>
      </c>
      <c r="V383" t="s">
        <v>207</v>
      </c>
      <c r="W383" t="s">
        <v>207</v>
      </c>
      <c r="X383" t="s">
        <v>207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208</v>
      </c>
      <c r="BA383">
        <v>16132088911.648199</v>
      </c>
      <c r="BB383" t="s">
        <v>4572</v>
      </c>
      <c r="BC383" t="s">
        <v>4536</v>
      </c>
    </row>
    <row r="384" spans="1:55" x14ac:dyDescent="0.25">
      <c r="A384">
        <v>487</v>
      </c>
      <c r="B384" t="s">
        <v>581</v>
      </c>
      <c r="C384" t="s">
        <v>2016</v>
      </c>
      <c r="D384" t="s">
        <v>3451</v>
      </c>
      <c r="E384" t="s">
        <v>97</v>
      </c>
      <c r="F384">
        <v>277177340</v>
      </c>
      <c r="G384">
        <v>96.486410000000006</v>
      </c>
      <c r="H384" t="s">
        <v>104</v>
      </c>
      <c r="I384">
        <v>26743846469.949402</v>
      </c>
      <c r="J384" t="s">
        <v>202</v>
      </c>
      <c r="K384">
        <v>68553370.101451099</v>
      </c>
      <c r="L384">
        <v>1</v>
      </c>
      <c r="M384" t="s">
        <v>4536</v>
      </c>
      <c r="O384" t="s">
        <v>207</v>
      </c>
      <c r="Q384" t="s">
        <v>207</v>
      </c>
      <c r="R384" t="s">
        <v>207</v>
      </c>
      <c r="S384" t="s">
        <v>207</v>
      </c>
      <c r="T384" t="s">
        <v>207</v>
      </c>
      <c r="U384" t="s">
        <v>207</v>
      </c>
      <c r="V384" t="s">
        <v>207</v>
      </c>
      <c r="W384" t="s">
        <v>207</v>
      </c>
      <c r="X384" t="s">
        <v>207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208</v>
      </c>
      <c r="BA384">
        <v>26743846469.949402</v>
      </c>
      <c r="BB384" t="s">
        <v>4572</v>
      </c>
      <c r="BC384" t="s">
        <v>4536</v>
      </c>
    </row>
    <row r="385" spans="1:55" x14ac:dyDescent="0.25">
      <c r="A385">
        <v>300</v>
      </c>
      <c r="B385" t="s">
        <v>582</v>
      </c>
      <c r="C385" t="s">
        <v>2017</v>
      </c>
      <c r="D385" t="s">
        <v>3452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202</v>
      </c>
      <c r="K385">
        <v>241740151.49427801</v>
      </c>
      <c r="L385">
        <v>1</v>
      </c>
      <c r="M385" t="s">
        <v>4536</v>
      </c>
      <c r="O385" t="s">
        <v>207</v>
      </c>
      <c r="Q385" t="s">
        <v>207</v>
      </c>
      <c r="R385" t="s">
        <v>207</v>
      </c>
      <c r="S385" t="s">
        <v>207</v>
      </c>
      <c r="T385" t="s">
        <v>207</v>
      </c>
      <c r="U385" t="s">
        <v>207</v>
      </c>
      <c r="V385" t="s">
        <v>207</v>
      </c>
      <c r="W385" t="s">
        <v>207</v>
      </c>
      <c r="X385" t="s">
        <v>207</v>
      </c>
      <c r="AK385">
        <v>5.8500000000000003E-2</v>
      </c>
      <c r="AL385">
        <v>0.44900000000000001</v>
      </c>
      <c r="AM385">
        <v>0.36109999999999998</v>
      </c>
      <c r="AN385" t="s">
        <v>4567</v>
      </c>
      <c r="AO385" t="s">
        <v>4568</v>
      </c>
      <c r="AP385" t="s">
        <v>4569</v>
      </c>
      <c r="AQ385">
        <v>0</v>
      </c>
      <c r="AR385">
        <v>0</v>
      </c>
      <c r="AW385">
        <v>6510</v>
      </c>
      <c r="AX385">
        <v>2.0710000000000002</v>
      </c>
      <c r="AY385" t="s">
        <v>208</v>
      </c>
      <c r="BA385">
        <v>46142283931.562401</v>
      </c>
      <c r="BB385" t="s">
        <v>4572</v>
      </c>
      <c r="BC385" t="s">
        <v>4576</v>
      </c>
    </row>
    <row r="386" spans="1:55" x14ac:dyDescent="0.25">
      <c r="A386">
        <v>194</v>
      </c>
      <c r="B386" t="s">
        <v>583</v>
      </c>
      <c r="C386" t="s">
        <v>2018</v>
      </c>
      <c r="D386" t="s">
        <v>3453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202</v>
      </c>
      <c r="K386">
        <v>541055816.21002197</v>
      </c>
      <c r="L386">
        <v>0.9</v>
      </c>
      <c r="M386" t="s">
        <v>4536</v>
      </c>
      <c r="O386" t="s">
        <v>207</v>
      </c>
      <c r="Q386" t="s">
        <v>207</v>
      </c>
      <c r="R386" t="s">
        <v>207</v>
      </c>
      <c r="S386" t="s">
        <v>207</v>
      </c>
      <c r="T386" t="s">
        <v>207</v>
      </c>
      <c r="U386" t="s">
        <v>207</v>
      </c>
      <c r="V386" t="s">
        <v>207</v>
      </c>
      <c r="W386" t="s">
        <v>207</v>
      </c>
      <c r="X386" t="s">
        <v>207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208</v>
      </c>
      <c r="AZ386" t="s">
        <v>4571</v>
      </c>
      <c r="BA386">
        <v>67896686651.194801</v>
      </c>
      <c r="BB386" t="s">
        <v>4572</v>
      </c>
      <c r="BC386" t="s">
        <v>4577</v>
      </c>
    </row>
    <row r="387" spans="1:55" x14ac:dyDescent="0.25">
      <c r="A387">
        <v>500</v>
      </c>
      <c r="B387" t="s">
        <v>584</v>
      </c>
      <c r="C387" t="s">
        <v>2019</v>
      </c>
      <c r="D387" t="s">
        <v>3454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202</v>
      </c>
      <c r="K387">
        <v>148270867.05797899</v>
      </c>
      <c r="L387">
        <v>1</v>
      </c>
      <c r="O387" t="s">
        <v>207</v>
      </c>
      <c r="Q387" t="s">
        <v>207</v>
      </c>
      <c r="R387" t="s">
        <v>207</v>
      </c>
      <c r="S387" t="s">
        <v>207</v>
      </c>
      <c r="T387" t="s">
        <v>207</v>
      </c>
      <c r="U387" t="s">
        <v>207</v>
      </c>
      <c r="V387" t="s">
        <v>207</v>
      </c>
      <c r="W387" t="s">
        <v>207</v>
      </c>
      <c r="X387" t="s">
        <v>207</v>
      </c>
      <c r="AK387">
        <v>0</v>
      </c>
      <c r="AL387">
        <v>0.05</v>
      </c>
      <c r="AM387">
        <v>0</v>
      </c>
      <c r="AO387" t="s">
        <v>4568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208</v>
      </c>
      <c r="BA387">
        <v>26321547037.5</v>
      </c>
      <c r="BB387" t="s">
        <v>4572</v>
      </c>
      <c r="BC387" t="s">
        <v>4568</v>
      </c>
    </row>
    <row r="388" spans="1:55" x14ac:dyDescent="0.25">
      <c r="A388">
        <v>492</v>
      </c>
      <c r="B388" t="s">
        <v>585</v>
      </c>
      <c r="C388" t="s">
        <v>2020</v>
      </c>
      <c r="D388" t="s">
        <v>3455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202</v>
      </c>
      <c r="K388">
        <v>297269024.40436798</v>
      </c>
      <c r="L388">
        <v>1</v>
      </c>
      <c r="M388" t="s">
        <v>4536</v>
      </c>
      <c r="O388" t="s">
        <v>207</v>
      </c>
      <c r="Q388" t="s">
        <v>207</v>
      </c>
      <c r="R388" t="s">
        <v>207</v>
      </c>
      <c r="S388" t="s">
        <v>207</v>
      </c>
      <c r="T388" t="s">
        <v>207</v>
      </c>
      <c r="U388" t="s">
        <v>207</v>
      </c>
      <c r="V388" t="s">
        <v>207</v>
      </c>
      <c r="W388" t="s">
        <v>207</v>
      </c>
      <c r="X388" t="s">
        <v>207</v>
      </c>
      <c r="AG388" t="s">
        <v>4546</v>
      </c>
      <c r="AH388" t="s">
        <v>4564</v>
      </c>
      <c r="AI388" t="s">
        <v>4565</v>
      </c>
      <c r="AJ388" t="s">
        <v>4566</v>
      </c>
      <c r="AK388">
        <v>0</v>
      </c>
      <c r="AL388">
        <v>0.05</v>
      </c>
      <c r="AM388">
        <v>0</v>
      </c>
      <c r="AO388" t="s">
        <v>4568</v>
      </c>
      <c r="AQ388">
        <v>0</v>
      </c>
      <c r="AR388">
        <v>0</v>
      </c>
      <c r="AW388">
        <v>5020</v>
      </c>
      <c r="AX388">
        <v>3.0369999999999999</v>
      </c>
      <c r="AY388" t="s">
        <v>208</v>
      </c>
      <c r="BA388">
        <v>26598180531.907001</v>
      </c>
      <c r="BB388" t="s">
        <v>4572</v>
      </c>
      <c r="BC388" t="s">
        <v>4616</v>
      </c>
    </row>
    <row r="389" spans="1:55" x14ac:dyDescent="0.25">
      <c r="A389">
        <v>590</v>
      </c>
      <c r="B389" t="s">
        <v>586</v>
      </c>
      <c r="C389" t="s">
        <v>2021</v>
      </c>
      <c r="D389" t="s">
        <v>3456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202</v>
      </c>
      <c r="K389">
        <v>371947954.97454298</v>
      </c>
      <c r="L389">
        <v>1</v>
      </c>
      <c r="M389" t="s">
        <v>4536</v>
      </c>
      <c r="O389" t="s">
        <v>207</v>
      </c>
      <c r="Q389" t="s">
        <v>207</v>
      </c>
      <c r="R389" t="s">
        <v>207</v>
      </c>
      <c r="S389" t="s">
        <v>207</v>
      </c>
      <c r="T389" t="s">
        <v>207</v>
      </c>
      <c r="U389" t="s">
        <v>207</v>
      </c>
      <c r="V389" t="s">
        <v>207</v>
      </c>
      <c r="W389" t="s">
        <v>207</v>
      </c>
      <c r="X389" t="s">
        <v>207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208</v>
      </c>
      <c r="BA389">
        <v>21355622898.16</v>
      </c>
      <c r="BB389" t="s">
        <v>4572</v>
      </c>
      <c r="BC389" t="s">
        <v>4536</v>
      </c>
    </row>
    <row r="390" spans="1:55" x14ac:dyDescent="0.25">
      <c r="A390">
        <v>585</v>
      </c>
      <c r="B390" t="s">
        <v>587</v>
      </c>
      <c r="C390" t="s">
        <v>2022</v>
      </c>
      <c r="D390" t="s">
        <v>3457</v>
      </c>
      <c r="E390" t="s">
        <v>96</v>
      </c>
      <c r="F390">
        <v>265676388</v>
      </c>
      <c r="G390">
        <v>101.1</v>
      </c>
      <c r="H390" t="s">
        <v>99</v>
      </c>
      <c r="I390">
        <v>26859882826.799999</v>
      </c>
      <c r="J390" t="s">
        <v>203</v>
      </c>
      <c r="K390">
        <v>44080142.052063502</v>
      </c>
      <c r="L390">
        <v>0.8</v>
      </c>
      <c r="O390" t="s">
        <v>207</v>
      </c>
      <c r="Q390" t="s">
        <v>207</v>
      </c>
      <c r="R390" t="s">
        <v>207</v>
      </c>
      <c r="S390" t="s">
        <v>207</v>
      </c>
      <c r="T390" t="s">
        <v>207</v>
      </c>
      <c r="U390" t="s">
        <v>207</v>
      </c>
      <c r="V390" t="s">
        <v>207</v>
      </c>
      <c r="W390" t="s">
        <v>207</v>
      </c>
      <c r="X390" t="s">
        <v>207</v>
      </c>
      <c r="AG390" t="s">
        <v>4546</v>
      </c>
      <c r="AH390" t="s">
        <v>4563</v>
      </c>
      <c r="AI390" t="s">
        <v>4565</v>
      </c>
      <c r="AJ390" t="s">
        <v>4566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209</v>
      </c>
      <c r="BA390">
        <v>21487906261.439999</v>
      </c>
      <c r="BB390" t="s">
        <v>4572</v>
      </c>
      <c r="BC390" t="s">
        <v>4581</v>
      </c>
    </row>
    <row r="391" spans="1:55" x14ac:dyDescent="0.25">
      <c r="A391">
        <v>356</v>
      </c>
      <c r="B391" t="s">
        <v>588</v>
      </c>
      <c r="C391" t="s">
        <v>2023</v>
      </c>
      <c r="D391" t="s">
        <v>3458</v>
      </c>
      <c r="E391" t="s">
        <v>4523</v>
      </c>
      <c r="F391">
        <v>240444520</v>
      </c>
      <c r="G391">
        <v>193.42599999999999</v>
      </c>
      <c r="H391" t="s">
        <v>4532</v>
      </c>
      <c r="I391">
        <v>46508221725.519997</v>
      </c>
      <c r="J391" t="s">
        <v>204</v>
      </c>
      <c r="K391">
        <v>55041555.716175199</v>
      </c>
      <c r="L391">
        <v>0.85</v>
      </c>
      <c r="O391" t="s">
        <v>207</v>
      </c>
      <c r="Q391" t="s">
        <v>207</v>
      </c>
      <c r="R391" t="s">
        <v>207</v>
      </c>
      <c r="S391" t="s">
        <v>207</v>
      </c>
      <c r="T391" t="s">
        <v>207</v>
      </c>
      <c r="U391" t="s">
        <v>207</v>
      </c>
      <c r="V391" t="s">
        <v>207</v>
      </c>
      <c r="W391" t="s">
        <v>207</v>
      </c>
      <c r="X391" t="s">
        <v>207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209</v>
      </c>
      <c r="AZ391" t="s">
        <v>4571</v>
      </c>
      <c r="BA391">
        <v>39531988466.691994</v>
      </c>
      <c r="BB391" t="s">
        <v>4572</v>
      </c>
      <c r="BC391" t="s">
        <v>4571</v>
      </c>
    </row>
    <row r="392" spans="1:55" x14ac:dyDescent="0.25">
      <c r="A392">
        <v>503</v>
      </c>
      <c r="B392" t="s">
        <v>589</v>
      </c>
      <c r="C392" t="s">
        <v>2024</v>
      </c>
      <c r="D392" t="s">
        <v>3459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202</v>
      </c>
      <c r="K392">
        <v>143128006.82893801</v>
      </c>
      <c r="L392">
        <v>1</v>
      </c>
      <c r="M392" t="s">
        <v>4536</v>
      </c>
      <c r="O392" t="s">
        <v>207</v>
      </c>
      <c r="Q392" t="s">
        <v>207</v>
      </c>
      <c r="R392" t="s">
        <v>207</v>
      </c>
      <c r="S392" t="s">
        <v>207</v>
      </c>
      <c r="T392" t="s">
        <v>207</v>
      </c>
      <c r="U392" t="s">
        <v>207</v>
      </c>
      <c r="V392" t="s">
        <v>207</v>
      </c>
      <c r="W392" t="s">
        <v>207</v>
      </c>
      <c r="X392" t="s">
        <v>207</v>
      </c>
      <c r="AK392">
        <v>0.17230000000000001</v>
      </c>
      <c r="AL392">
        <v>0.46800000000000003</v>
      </c>
      <c r="AM392">
        <v>0.30399999999999999</v>
      </c>
      <c r="AN392" t="s">
        <v>4567</v>
      </c>
      <c r="AO392" t="s">
        <v>4568</v>
      </c>
      <c r="AP392" t="s">
        <v>4569</v>
      </c>
      <c r="AQ392">
        <v>0</v>
      </c>
      <c r="AR392">
        <v>0</v>
      </c>
      <c r="AW392">
        <v>6510</v>
      </c>
      <c r="AX392">
        <v>1.748</v>
      </c>
      <c r="AY392" t="s">
        <v>208</v>
      </c>
      <c r="AZ392" t="s">
        <v>4571</v>
      </c>
      <c r="BA392">
        <v>26163481319.462002</v>
      </c>
      <c r="BB392" t="s">
        <v>4572</v>
      </c>
      <c r="BC392" t="s">
        <v>4612</v>
      </c>
    </row>
    <row r="393" spans="1:55" x14ac:dyDescent="0.25">
      <c r="A393">
        <v>144</v>
      </c>
      <c r="B393" t="s">
        <v>590</v>
      </c>
      <c r="C393" t="s">
        <v>2025</v>
      </c>
      <c r="D393" t="s">
        <v>3460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202</v>
      </c>
      <c r="K393">
        <v>347037334.34295499</v>
      </c>
      <c r="L393">
        <v>1</v>
      </c>
      <c r="M393" t="s">
        <v>4536</v>
      </c>
      <c r="O393" t="s">
        <v>207</v>
      </c>
      <c r="Q393" t="s">
        <v>207</v>
      </c>
      <c r="R393" t="s">
        <v>207</v>
      </c>
      <c r="S393" t="s">
        <v>207</v>
      </c>
      <c r="T393" t="s">
        <v>207</v>
      </c>
      <c r="U393" t="s">
        <v>207</v>
      </c>
      <c r="V393" t="s">
        <v>207</v>
      </c>
      <c r="W393" t="s">
        <v>207</v>
      </c>
      <c r="X393" t="s">
        <v>207</v>
      </c>
      <c r="AK393">
        <v>0.1429</v>
      </c>
      <c r="AL393">
        <v>0.58299999999999996</v>
      </c>
      <c r="AM393">
        <v>0.50749999999999995</v>
      </c>
      <c r="AN393" t="s">
        <v>4567</v>
      </c>
      <c r="AO393" t="s">
        <v>4568</v>
      </c>
      <c r="AP393" t="s">
        <v>4569</v>
      </c>
      <c r="AQ393">
        <v>0</v>
      </c>
      <c r="AR393">
        <v>0</v>
      </c>
      <c r="AW393">
        <v>6510</v>
      </c>
      <c r="AX393">
        <v>2.137</v>
      </c>
      <c r="AY393" t="s">
        <v>208</v>
      </c>
      <c r="BA393">
        <v>85764528800</v>
      </c>
      <c r="BB393" t="s">
        <v>4572</v>
      </c>
      <c r="BC393" t="s">
        <v>4576</v>
      </c>
    </row>
    <row r="394" spans="1:55" x14ac:dyDescent="0.25">
      <c r="A394">
        <v>412</v>
      </c>
      <c r="B394" t="s">
        <v>591</v>
      </c>
      <c r="C394" t="s">
        <v>2026</v>
      </c>
      <c r="D394" t="s">
        <v>3461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202</v>
      </c>
      <c r="K394">
        <v>173519653.95996299</v>
      </c>
      <c r="L394">
        <v>1</v>
      </c>
      <c r="O394" t="s">
        <v>207</v>
      </c>
      <c r="Q394" t="s">
        <v>207</v>
      </c>
      <c r="R394" t="s">
        <v>207</v>
      </c>
      <c r="S394" t="s">
        <v>207</v>
      </c>
      <c r="T394" t="s">
        <v>207</v>
      </c>
      <c r="U394" t="s">
        <v>207</v>
      </c>
      <c r="V394" t="s">
        <v>207</v>
      </c>
      <c r="W394" t="s">
        <v>207</v>
      </c>
      <c r="X394" t="s">
        <v>207</v>
      </c>
      <c r="AG394" t="s">
        <v>4546</v>
      </c>
      <c r="AH394" t="s">
        <v>4564</v>
      </c>
      <c r="AI394" t="s">
        <v>4565</v>
      </c>
      <c r="AJ394" t="s">
        <v>4566</v>
      </c>
      <c r="AK394">
        <v>0</v>
      </c>
      <c r="AL394">
        <v>0.05</v>
      </c>
      <c r="AM394">
        <v>0</v>
      </c>
      <c r="AO394" t="s">
        <v>4568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208</v>
      </c>
      <c r="BA394">
        <v>32648215685.958</v>
      </c>
      <c r="BB394" t="s">
        <v>4572</v>
      </c>
      <c r="BC394" t="s">
        <v>4573</v>
      </c>
    </row>
    <row r="395" spans="1:55" x14ac:dyDescent="0.25">
      <c r="A395">
        <v>692</v>
      </c>
      <c r="B395" t="s">
        <v>592</v>
      </c>
      <c r="C395" t="s">
        <v>2027</v>
      </c>
      <c r="D395" t="s">
        <v>3462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202</v>
      </c>
      <c r="K395">
        <v>176736541.99495599</v>
      </c>
      <c r="L395">
        <v>1</v>
      </c>
      <c r="M395" t="s">
        <v>4536</v>
      </c>
      <c r="O395" t="s">
        <v>207</v>
      </c>
      <c r="Q395" t="s">
        <v>207</v>
      </c>
      <c r="R395" t="s">
        <v>207</v>
      </c>
      <c r="S395" t="s">
        <v>207</v>
      </c>
      <c r="T395" t="s">
        <v>207</v>
      </c>
      <c r="U395" t="s">
        <v>207</v>
      </c>
      <c r="V395" t="s">
        <v>207</v>
      </c>
      <c r="W395" t="s">
        <v>207</v>
      </c>
      <c r="X395" t="s">
        <v>207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208</v>
      </c>
      <c r="BA395">
        <v>17144983171.461201</v>
      </c>
      <c r="BB395" t="s">
        <v>4572</v>
      </c>
      <c r="BC395" t="s">
        <v>4536</v>
      </c>
    </row>
    <row r="396" spans="1:55" x14ac:dyDescent="0.25">
      <c r="A396">
        <v>501</v>
      </c>
      <c r="B396" t="s">
        <v>593</v>
      </c>
      <c r="C396" t="s">
        <v>2028</v>
      </c>
      <c r="D396" t="s">
        <v>3463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203</v>
      </c>
      <c r="K396">
        <v>66701910.419385202</v>
      </c>
      <c r="L396">
        <v>0.85</v>
      </c>
      <c r="O396" t="s">
        <v>207</v>
      </c>
      <c r="Q396" t="s">
        <v>207</v>
      </c>
      <c r="R396" t="s">
        <v>207</v>
      </c>
      <c r="S396" t="s">
        <v>207</v>
      </c>
      <c r="T396" t="s">
        <v>207</v>
      </c>
      <c r="U396" t="s">
        <v>207</v>
      </c>
      <c r="V396" t="s">
        <v>207</v>
      </c>
      <c r="W396" t="s">
        <v>207</v>
      </c>
      <c r="X396" t="s">
        <v>207</v>
      </c>
      <c r="AK396">
        <v>1.11E-2</v>
      </c>
      <c r="AL396">
        <v>0.26600000000000001</v>
      </c>
      <c r="AM396">
        <v>3.0999999999999999E-3</v>
      </c>
      <c r="AN396" t="s">
        <v>4567</v>
      </c>
      <c r="AO396" t="s">
        <v>4568</v>
      </c>
      <c r="AP396" t="s">
        <v>4569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209</v>
      </c>
      <c r="BA396">
        <v>26312817885.599998</v>
      </c>
      <c r="BB396" t="s">
        <v>4572</v>
      </c>
      <c r="BC396" t="s">
        <v>4618</v>
      </c>
    </row>
    <row r="397" spans="1:55" x14ac:dyDescent="0.25">
      <c r="A397">
        <v>599</v>
      </c>
      <c r="B397" t="s">
        <v>594</v>
      </c>
      <c r="C397" t="s">
        <v>2029</v>
      </c>
      <c r="D397" t="s">
        <v>3464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205</v>
      </c>
      <c r="K397">
        <v>45626201.3621305</v>
      </c>
      <c r="L397">
        <v>1</v>
      </c>
      <c r="M397" t="s">
        <v>4536</v>
      </c>
      <c r="O397" t="s">
        <v>207</v>
      </c>
      <c r="Q397" t="s">
        <v>207</v>
      </c>
      <c r="R397" t="s">
        <v>207</v>
      </c>
      <c r="S397" t="s">
        <v>207</v>
      </c>
      <c r="T397" t="s">
        <v>207</v>
      </c>
      <c r="U397" t="s">
        <v>207</v>
      </c>
      <c r="V397" t="s">
        <v>207</v>
      </c>
      <c r="W397" t="s">
        <v>207</v>
      </c>
      <c r="X397" t="s">
        <v>207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210</v>
      </c>
      <c r="AZ397" t="s">
        <v>4571</v>
      </c>
      <c r="BA397">
        <v>20792539116.702</v>
      </c>
      <c r="BB397" t="s">
        <v>4572</v>
      </c>
      <c r="BC397" t="s">
        <v>4577</v>
      </c>
    </row>
    <row r="398" spans="1:55" x14ac:dyDescent="0.25">
      <c r="A398">
        <v>1111</v>
      </c>
      <c r="B398" t="s">
        <v>595</v>
      </c>
      <c r="C398" t="s">
        <v>2030</v>
      </c>
      <c r="D398" t="s">
        <v>3465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204</v>
      </c>
      <c r="K398">
        <v>23260381.7895534</v>
      </c>
      <c r="L398">
        <v>1</v>
      </c>
      <c r="M398" t="s">
        <v>4536</v>
      </c>
      <c r="O398" t="s">
        <v>207</v>
      </c>
      <c r="Q398" t="s">
        <v>207</v>
      </c>
      <c r="R398" t="s">
        <v>207</v>
      </c>
      <c r="S398" t="s">
        <v>207</v>
      </c>
      <c r="T398" t="s">
        <v>207</v>
      </c>
      <c r="U398" t="s">
        <v>207</v>
      </c>
      <c r="V398" t="s">
        <v>207</v>
      </c>
      <c r="W398" t="s">
        <v>207</v>
      </c>
      <c r="X398" t="s">
        <v>207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209</v>
      </c>
      <c r="BA398">
        <v>4514142084.54</v>
      </c>
      <c r="BB398" t="s">
        <v>4572</v>
      </c>
      <c r="BC398" t="s">
        <v>4536</v>
      </c>
    </row>
    <row r="399" spans="1:55" x14ac:dyDescent="0.25">
      <c r="A399">
        <v>107</v>
      </c>
      <c r="B399" t="s">
        <v>596</v>
      </c>
      <c r="C399" t="s">
        <v>2031</v>
      </c>
      <c r="D399" t="s">
        <v>3466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202</v>
      </c>
      <c r="K399">
        <v>868891727.02393997</v>
      </c>
      <c r="L399">
        <v>1</v>
      </c>
      <c r="O399" t="s">
        <v>207</v>
      </c>
      <c r="Q399" t="s">
        <v>207</v>
      </c>
      <c r="R399" t="s">
        <v>207</v>
      </c>
      <c r="S399" t="s">
        <v>4538</v>
      </c>
      <c r="T399" t="s">
        <v>207</v>
      </c>
      <c r="U399" t="s">
        <v>207</v>
      </c>
      <c r="V399" t="s">
        <v>207</v>
      </c>
      <c r="W399" t="s">
        <v>207</v>
      </c>
      <c r="X399" t="s">
        <v>207</v>
      </c>
      <c r="AA399" t="s">
        <v>4541</v>
      </c>
      <c r="AG399" t="s">
        <v>4546</v>
      </c>
      <c r="AH399" t="s">
        <v>4564</v>
      </c>
      <c r="AI399" t="s">
        <v>4565</v>
      </c>
      <c r="AJ399" t="s">
        <v>4566</v>
      </c>
      <c r="AK399">
        <v>0</v>
      </c>
      <c r="AL399">
        <v>0.05</v>
      </c>
      <c r="AM399">
        <v>0</v>
      </c>
      <c r="AO399" t="s">
        <v>4568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208</v>
      </c>
      <c r="BA399">
        <v>112406143200</v>
      </c>
      <c r="BB399" t="s">
        <v>4572</v>
      </c>
      <c r="BC399" t="s">
        <v>4619</v>
      </c>
    </row>
    <row r="400" spans="1:55" x14ac:dyDescent="0.25">
      <c r="A400">
        <v>909</v>
      </c>
      <c r="B400" t="s">
        <v>597</v>
      </c>
      <c r="C400" t="s">
        <v>2032</v>
      </c>
      <c r="D400" t="s">
        <v>3467</v>
      </c>
      <c r="E400" t="s">
        <v>93</v>
      </c>
      <c r="F400">
        <v>462055730</v>
      </c>
      <c r="G400">
        <v>16.81962</v>
      </c>
      <c r="H400" t="s">
        <v>101</v>
      </c>
      <c r="I400">
        <v>7771601797.4225998</v>
      </c>
      <c r="J400" t="s">
        <v>205</v>
      </c>
      <c r="K400">
        <v>39914117.271454699</v>
      </c>
      <c r="L400">
        <v>1</v>
      </c>
      <c r="M400" t="s">
        <v>4536</v>
      </c>
      <c r="O400" t="s">
        <v>207</v>
      </c>
      <c r="Q400" t="s">
        <v>207</v>
      </c>
      <c r="R400" t="s">
        <v>207</v>
      </c>
      <c r="S400" t="s">
        <v>207</v>
      </c>
      <c r="T400" t="s">
        <v>207</v>
      </c>
      <c r="U400" t="s">
        <v>207</v>
      </c>
      <c r="V400" t="s">
        <v>207</v>
      </c>
      <c r="W400" t="s">
        <v>207</v>
      </c>
      <c r="X400" t="s">
        <v>207</v>
      </c>
      <c r="AK400">
        <v>0</v>
      </c>
      <c r="AL400">
        <v>0.2</v>
      </c>
      <c r="AM400">
        <v>0</v>
      </c>
      <c r="AO400" t="s">
        <v>4568</v>
      </c>
      <c r="AQ400">
        <v>0</v>
      </c>
      <c r="AR400">
        <v>0</v>
      </c>
      <c r="AW400">
        <v>5020</v>
      </c>
      <c r="AX400">
        <v>1.867</v>
      </c>
      <c r="AY400" t="s">
        <v>210</v>
      </c>
      <c r="BA400">
        <v>7771601797.4225998</v>
      </c>
      <c r="BB400" t="s">
        <v>4572</v>
      </c>
      <c r="BC400" t="s">
        <v>4582</v>
      </c>
    </row>
    <row r="401" spans="1:55" x14ac:dyDescent="0.25">
      <c r="A401">
        <v>421</v>
      </c>
      <c r="B401" t="s">
        <v>598</v>
      </c>
      <c r="C401" t="s">
        <v>2033</v>
      </c>
      <c r="D401" t="s">
        <v>3468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202</v>
      </c>
      <c r="K401">
        <v>268767502.65010798</v>
      </c>
      <c r="L401">
        <v>1</v>
      </c>
      <c r="M401" t="s">
        <v>4536</v>
      </c>
      <c r="O401" t="s">
        <v>207</v>
      </c>
      <c r="Q401" t="s">
        <v>207</v>
      </c>
      <c r="R401" t="s">
        <v>207</v>
      </c>
      <c r="S401" t="s">
        <v>207</v>
      </c>
      <c r="T401" t="s">
        <v>207</v>
      </c>
      <c r="U401" t="s">
        <v>207</v>
      </c>
      <c r="V401" t="s">
        <v>207</v>
      </c>
      <c r="W401" t="s">
        <v>207</v>
      </c>
      <c r="X401" t="s">
        <v>207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208</v>
      </c>
      <c r="BA401">
        <v>31791306640</v>
      </c>
      <c r="BB401" t="s">
        <v>4572</v>
      </c>
      <c r="BC401" t="s">
        <v>4536</v>
      </c>
    </row>
    <row r="402" spans="1:55" x14ac:dyDescent="0.25">
      <c r="A402">
        <v>1251</v>
      </c>
      <c r="B402" t="s">
        <v>599</v>
      </c>
      <c r="C402" t="s">
        <v>2034</v>
      </c>
      <c r="D402" t="s">
        <v>3469</v>
      </c>
      <c r="E402" t="s">
        <v>4525</v>
      </c>
      <c r="F402">
        <v>194692300</v>
      </c>
      <c r="G402">
        <v>21.45093</v>
      </c>
      <c r="H402" t="s">
        <v>4533</v>
      </c>
      <c r="I402">
        <v>4176330898.8390002</v>
      </c>
      <c r="J402" t="s">
        <v>205</v>
      </c>
      <c r="K402">
        <v>2345141.8955877498</v>
      </c>
      <c r="L402">
        <v>0.8</v>
      </c>
      <c r="M402" t="s">
        <v>4536</v>
      </c>
      <c r="N402" t="s">
        <v>4537</v>
      </c>
      <c r="O402" t="s">
        <v>207</v>
      </c>
      <c r="Q402" t="s">
        <v>207</v>
      </c>
      <c r="R402" t="s">
        <v>207</v>
      </c>
      <c r="S402" t="s">
        <v>207</v>
      </c>
      <c r="T402" t="s">
        <v>207</v>
      </c>
      <c r="U402" t="s">
        <v>207</v>
      </c>
      <c r="V402" t="s">
        <v>207</v>
      </c>
      <c r="W402" t="s">
        <v>207</v>
      </c>
      <c r="X402" t="s">
        <v>207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210</v>
      </c>
      <c r="AZ402" t="s">
        <v>4571</v>
      </c>
      <c r="BA402">
        <v>3341064719.0711999</v>
      </c>
      <c r="BB402" t="s">
        <v>4572</v>
      </c>
      <c r="BC402" t="s">
        <v>4584</v>
      </c>
    </row>
    <row r="403" spans="1:55" x14ac:dyDescent="0.25">
      <c r="A403">
        <v>212</v>
      </c>
      <c r="B403" t="s">
        <v>600</v>
      </c>
      <c r="C403" t="s">
        <v>2035</v>
      </c>
      <c r="D403" t="s">
        <v>3470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202</v>
      </c>
      <c r="K403">
        <v>276531651.60001802</v>
      </c>
      <c r="L403">
        <v>0.9</v>
      </c>
      <c r="M403" t="s">
        <v>4536</v>
      </c>
      <c r="O403" t="s">
        <v>207</v>
      </c>
      <c r="Q403" t="s">
        <v>207</v>
      </c>
      <c r="R403" t="s">
        <v>207</v>
      </c>
      <c r="S403" t="s">
        <v>207</v>
      </c>
      <c r="T403" t="s">
        <v>207</v>
      </c>
      <c r="U403" t="s">
        <v>207</v>
      </c>
      <c r="V403" t="s">
        <v>207</v>
      </c>
      <c r="W403" t="s">
        <v>207</v>
      </c>
      <c r="X403" t="s">
        <v>207</v>
      </c>
      <c r="AG403" t="s">
        <v>4546</v>
      </c>
      <c r="AH403" t="s">
        <v>4564</v>
      </c>
      <c r="AI403" t="s">
        <v>4565</v>
      </c>
      <c r="AJ403" t="s">
        <v>4566</v>
      </c>
      <c r="AK403">
        <v>0</v>
      </c>
      <c r="AL403">
        <v>0.05</v>
      </c>
      <c r="AM403">
        <v>0</v>
      </c>
      <c r="AO403" t="s">
        <v>4568</v>
      </c>
      <c r="AQ403">
        <v>0</v>
      </c>
      <c r="AR403">
        <v>0</v>
      </c>
      <c r="AW403">
        <v>5520</v>
      </c>
      <c r="AX403">
        <v>2.7080000000000002</v>
      </c>
      <c r="AY403" t="s">
        <v>208</v>
      </c>
      <c r="BA403">
        <v>64481909678.864098</v>
      </c>
      <c r="BB403" t="s">
        <v>4572</v>
      </c>
      <c r="BC403" t="s">
        <v>4616</v>
      </c>
    </row>
    <row r="404" spans="1:55" x14ac:dyDescent="0.25">
      <c r="A404">
        <v>639</v>
      </c>
      <c r="B404" t="s">
        <v>601</v>
      </c>
      <c r="C404" t="s">
        <v>2036</v>
      </c>
      <c r="D404" t="s">
        <v>3471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202</v>
      </c>
      <c r="K404">
        <v>274550968.36169702</v>
      </c>
      <c r="L404">
        <v>1</v>
      </c>
      <c r="M404" t="s">
        <v>4536</v>
      </c>
      <c r="O404" t="s">
        <v>207</v>
      </c>
      <c r="Q404" t="s">
        <v>207</v>
      </c>
      <c r="R404" t="s">
        <v>207</v>
      </c>
      <c r="S404" t="s">
        <v>207</v>
      </c>
      <c r="T404" t="s">
        <v>207</v>
      </c>
      <c r="U404" t="s">
        <v>207</v>
      </c>
      <c r="V404" t="s">
        <v>207</v>
      </c>
      <c r="W404" t="s">
        <v>207</v>
      </c>
      <c r="X404" t="s">
        <v>207</v>
      </c>
      <c r="AK404">
        <v>0</v>
      </c>
      <c r="AL404">
        <v>4.9000000000000002E-2</v>
      </c>
      <c r="AM404">
        <v>4.8899999999999999E-2</v>
      </c>
      <c r="AO404" t="s">
        <v>4568</v>
      </c>
      <c r="AP404" t="s">
        <v>4569</v>
      </c>
      <c r="AQ404">
        <v>0</v>
      </c>
      <c r="AR404">
        <v>0</v>
      </c>
      <c r="AW404">
        <v>6510</v>
      </c>
      <c r="AX404">
        <v>2.069</v>
      </c>
      <c r="AY404" t="s">
        <v>208</v>
      </c>
      <c r="BA404">
        <v>19318631998.3839</v>
      </c>
      <c r="BB404" t="s">
        <v>4572</v>
      </c>
      <c r="BC404" t="s">
        <v>4595</v>
      </c>
    </row>
    <row r="405" spans="1:55" x14ac:dyDescent="0.25">
      <c r="A405">
        <v>885</v>
      </c>
      <c r="B405" t="s">
        <v>602</v>
      </c>
      <c r="C405" t="s">
        <v>2037</v>
      </c>
      <c r="D405" t="s">
        <v>3472</v>
      </c>
      <c r="E405" t="s">
        <v>4526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203</v>
      </c>
      <c r="K405">
        <v>30466312.590372998</v>
      </c>
      <c r="L405">
        <v>0.65</v>
      </c>
      <c r="O405" t="s">
        <v>206</v>
      </c>
      <c r="Q405" t="s">
        <v>207</v>
      </c>
      <c r="R405" t="s">
        <v>207</v>
      </c>
      <c r="S405" t="s">
        <v>207</v>
      </c>
      <c r="T405" t="s">
        <v>207</v>
      </c>
      <c r="U405" t="s">
        <v>207</v>
      </c>
      <c r="V405" t="s">
        <v>207</v>
      </c>
      <c r="W405" t="s">
        <v>207</v>
      </c>
      <c r="X405" t="s">
        <v>207</v>
      </c>
      <c r="AK405">
        <v>3.2300000000000002E-2</v>
      </c>
      <c r="AL405">
        <v>0.15</v>
      </c>
      <c r="AM405">
        <v>7.1400000000000005E-2</v>
      </c>
      <c r="AN405" t="s">
        <v>4567</v>
      </c>
      <c r="AO405" t="s">
        <v>4568</v>
      </c>
      <c r="AP405" t="s">
        <v>4569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209</v>
      </c>
      <c r="BA405">
        <v>8251309044.6904001</v>
      </c>
      <c r="BB405" t="s">
        <v>4572</v>
      </c>
      <c r="BC405" t="s">
        <v>4618</v>
      </c>
    </row>
    <row r="406" spans="1:55" x14ac:dyDescent="0.25">
      <c r="A406">
        <v>1355</v>
      </c>
      <c r="B406" t="s">
        <v>603</v>
      </c>
      <c r="C406" t="s">
        <v>2038</v>
      </c>
      <c r="D406" t="s">
        <v>3473</v>
      </c>
      <c r="E406" t="s">
        <v>4526</v>
      </c>
      <c r="F406">
        <v>1039855871</v>
      </c>
      <c r="G406">
        <v>8.9</v>
      </c>
      <c r="H406" t="s">
        <v>99</v>
      </c>
      <c r="I406">
        <v>9254717251.8999996</v>
      </c>
      <c r="J406" t="s">
        <v>4535</v>
      </c>
      <c r="K406">
        <v>10677907.970952399</v>
      </c>
      <c r="L406">
        <v>0.3</v>
      </c>
      <c r="M406" t="s">
        <v>4536</v>
      </c>
      <c r="O406" t="s">
        <v>207</v>
      </c>
      <c r="Q406" t="s">
        <v>207</v>
      </c>
      <c r="R406" t="s">
        <v>207</v>
      </c>
      <c r="S406" t="s">
        <v>207</v>
      </c>
      <c r="T406" t="s">
        <v>207</v>
      </c>
      <c r="U406" t="s">
        <v>207</v>
      </c>
      <c r="V406" t="s">
        <v>207</v>
      </c>
      <c r="W406" t="s">
        <v>207</v>
      </c>
      <c r="X406" t="s">
        <v>207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209</v>
      </c>
      <c r="BA406">
        <v>2776415175.5700002</v>
      </c>
      <c r="BB406" t="s">
        <v>4572</v>
      </c>
      <c r="BC406" t="s">
        <v>4536</v>
      </c>
    </row>
    <row r="407" spans="1:55" x14ac:dyDescent="0.25">
      <c r="A407">
        <v>336</v>
      </c>
      <c r="B407" t="s">
        <v>604</v>
      </c>
      <c r="C407" t="s">
        <v>2039</v>
      </c>
      <c r="D407" t="s">
        <v>3474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202</v>
      </c>
      <c r="K407">
        <v>327780880.37736702</v>
      </c>
      <c r="L407">
        <v>1</v>
      </c>
      <c r="M407" t="s">
        <v>4536</v>
      </c>
      <c r="O407" t="s">
        <v>207</v>
      </c>
      <c r="Q407" t="s">
        <v>207</v>
      </c>
      <c r="R407" t="s">
        <v>207</v>
      </c>
      <c r="S407" t="s">
        <v>207</v>
      </c>
      <c r="T407" t="s">
        <v>207</v>
      </c>
      <c r="U407" t="s">
        <v>207</v>
      </c>
      <c r="V407" t="s">
        <v>207</v>
      </c>
      <c r="W407" t="s">
        <v>207</v>
      </c>
      <c r="X407" t="s">
        <v>207</v>
      </c>
      <c r="AG407" t="s">
        <v>4546</v>
      </c>
      <c r="AH407" t="s">
        <v>4562</v>
      </c>
      <c r="AI407" t="s">
        <v>4565</v>
      </c>
      <c r="AJ407" t="s">
        <v>4566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208</v>
      </c>
      <c r="BA407">
        <v>41350878000</v>
      </c>
      <c r="BB407" t="s">
        <v>4572</v>
      </c>
      <c r="BC407" t="s">
        <v>4578</v>
      </c>
    </row>
    <row r="408" spans="1:55" x14ac:dyDescent="0.25">
      <c r="A408">
        <v>897</v>
      </c>
      <c r="B408" t="s">
        <v>605</v>
      </c>
      <c r="C408" t="s">
        <v>2040</v>
      </c>
      <c r="D408" t="s">
        <v>3475</v>
      </c>
      <c r="E408" t="s">
        <v>93</v>
      </c>
      <c r="F408">
        <v>291649140</v>
      </c>
      <c r="G408">
        <v>27.365459999999999</v>
      </c>
      <c r="H408" t="s">
        <v>101</v>
      </c>
      <c r="I408">
        <v>7981112874.7044001</v>
      </c>
      <c r="J408" t="s">
        <v>205</v>
      </c>
      <c r="K408">
        <v>39953318.8171321</v>
      </c>
      <c r="L408">
        <v>1</v>
      </c>
      <c r="M408" t="s">
        <v>4536</v>
      </c>
      <c r="O408" t="s">
        <v>207</v>
      </c>
      <c r="Q408" t="s">
        <v>207</v>
      </c>
      <c r="R408" t="s">
        <v>207</v>
      </c>
      <c r="S408" t="s">
        <v>207</v>
      </c>
      <c r="T408" t="s">
        <v>207</v>
      </c>
      <c r="U408" t="s">
        <v>207</v>
      </c>
      <c r="V408" t="s">
        <v>207</v>
      </c>
      <c r="W408" t="s">
        <v>207</v>
      </c>
      <c r="X408" t="s">
        <v>207</v>
      </c>
      <c r="AG408" t="s">
        <v>4546</v>
      </c>
      <c r="AH408" t="s">
        <v>4562</v>
      </c>
      <c r="AI408" t="s">
        <v>4565</v>
      </c>
      <c r="AJ408" t="s">
        <v>4566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210</v>
      </c>
      <c r="BA408">
        <v>7981112874.7044001</v>
      </c>
      <c r="BB408" t="s">
        <v>4572</v>
      </c>
      <c r="BC408" t="s">
        <v>4578</v>
      </c>
    </row>
    <row r="409" spans="1:55" x14ac:dyDescent="0.25">
      <c r="A409">
        <v>1341</v>
      </c>
      <c r="B409" t="s">
        <v>606</v>
      </c>
      <c r="C409" t="s">
        <v>2041</v>
      </c>
      <c r="D409" t="s">
        <v>3476</v>
      </c>
      <c r="E409" t="s">
        <v>93</v>
      </c>
      <c r="F409">
        <v>183051100</v>
      </c>
      <c r="G409">
        <v>15.841139999999999</v>
      </c>
      <c r="H409" t="s">
        <v>101</v>
      </c>
      <c r="I409">
        <v>2899738102.2540002</v>
      </c>
      <c r="J409" t="s">
        <v>205</v>
      </c>
      <c r="K409">
        <v>9667153.6871764697</v>
      </c>
      <c r="L409">
        <v>1</v>
      </c>
      <c r="M409" t="s">
        <v>4536</v>
      </c>
      <c r="N409" t="s">
        <v>4537</v>
      </c>
      <c r="O409" t="s">
        <v>207</v>
      </c>
      <c r="Q409" t="s">
        <v>207</v>
      </c>
      <c r="R409" t="s">
        <v>207</v>
      </c>
      <c r="S409" t="s">
        <v>207</v>
      </c>
      <c r="T409" t="s">
        <v>207</v>
      </c>
      <c r="U409" t="s">
        <v>207</v>
      </c>
      <c r="V409" t="s">
        <v>207</v>
      </c>
      <c r="W409" t="s">
        <v>207</v>
      </c>
      <c r="X409" t="s">
        <v>207</v>
      </c>
      <c r="AK409">
        <v>0.4103</v>
      </c>
      <c r="AL409">
        <v>0.63500000000000001</v>
      </c>
      <c r="AM409">
        <v>0.61439999999999995</v>
      </c>
      <c r="AN409" t="s">
        <v>4567</v>
      </c>
      <c r="AO409" t="s">
        <v>4568</v>
      </c>
      <c r="AP409" t="s">
        <v>4569</v>
      </c>
      <c r="AQ409">
        <v>0</v>
      </c>
      <c r="AR409">
        <v>0</v>
      </c>
      <c r="AW409">
        <v>6510</v>
      </c>
      <c r="AX409">
        <v>2.7</v>
      </c>
      <c r="AY409" t="s">
        <v>210</v>
      </c>
      <c r="BA409">
        <v>2899738102.2540002</v>
      </c>
      <c r="BB409" t="s">
        <v>4572</v>
      </c>
      <c r="BC409" t="s">
        <v>4620</v>
      </c>
    </row>
    <row r="410" spans="1:55" x14ac:dyDescent="0.25">
      <c r="A410">
        <v>461</v>
      </c>
      <c r="B410" t="s">
        <v>607</v>
      </c>
      <c r="C410" t="s">
        <v>2042</v>
      </c>
      <c r="D410" t="s">
        <v>3477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202</v>
      </c>
      <c r="K410">
        <v>426608221.01034302</v>
      </c>
      <c r="L410">
        <v>0.9</v>
      </c>
      <c r="M410" t="s">
        <v>4536</v>
      </c>
      <c r="O410" t="s">
        <v>207</v>
      </c>
      <c r="Q410" t="s">
        <v>207</v>
      </c>
      <c r="R410" t="s">
        <v>207</v>
      </c>
      <c r="S410" t="s">
        <v>207</v>
      </c>
      <c r="T410" t="s">
        <v>207</v>
      </c>
      <c r="U410" t="s">
        <v>207</v>
      </c>
      <c r="V410" t="s">
        <v>207</v>
      </c>
      <c r="W410" t="s">
        <v>207</v>
      </c>
      <c r="X410" t="s">
        <v>207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208</v>
      </c>
      <c r="BA410">
        <v>29378374716.904202</v>
      </c>
      <c r="BB410" t="s">
        <v>4572</v>
      </c>
      <c r="BC410" t="s">
        <v>4536</v>
      </c>
    </row>
    <row r="411" spans="1:55" x14ac:dyDescent="0.25">
      <c r="A411">
        <v>150</v>
      </c>
      <c r="B411" t="s">
        <v>608</v>
      </c>
      <c r="C411" t="s">
        <v>2043</v>
      </c>
      <c r="D411" t="s">
        <v>3478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202</v>
      </c>
      <c r="K411">
        <v>644582681.79270995</v>
      </c>
      <c r="L411">
        <v>1</v>
      </c>
      <c r="M411" t="s">
        <v>4536</v>
      </c>
      <c r="O411" t="s">
        <v>207</v>
      </c>
      <c r="Q411" t="s">
        <v>207</v>
      </c>
      <c r="R411" t="s">
        <v>207</v>
      </c>
      <c r="S411" t="s">
        <v>207</v>
      </c>
      <c r="T411" t="s">
        <v>207</v>
      </c>
      <c r="U411" t="s">
        <v>207</v>
      </c>
      <c r="V411" t="s">
        <v>207</v>
      </c>
      <c r="W411" t="s">
        <v>207</v>
      </c>
      <c r="X411" t="s">
        <v>207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208</v>
      </c>
      <c r="BA411">
        <v>83742901471.735001</v>
      </c>
      <c r="BB411" t="s">
        <v>4572</v>
      </c>
      <c r="BC411" t="s">
        <v>4536</v>
      </c>
    </row>
    <row r="412" spans="1:55" x14ac:dyDescent="0.25">
      <c r="A412">
        <v>10</v>
      </c>
      <c r="B412" t="s">
        <v>609</v>
      </c>
      <c r="C412" t="s">
        <v>2044</v>
      </c>
      <c r="D412" t="s">
        <v>3479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202</v>
      </c>
      <c r="K412">
        <v>2765209867.0310302</v>
      </c>
      <c r="L412">
        <v>0.85</v>
      </c>
      <c r="O412" t="s">
        <v>207</v>
      </c>
      <c r="Q412" t="s">
        <v>207</v>
      </c>
      <c r="R412" t="s">
        <v>207</v>
      </c>
      <c r="S412" t="s">
        <v>207</v>
      </c>
      <c r="T412" t="s">
        <v>207</v>
      </c>
      <c r="U412" t="s">
        <v>207</v>
      </c>
      <c r="V412" t="s">
        <v>207</v>
      </c>
      <c r="W412" t="s">
        <v>207</v>
      </c>
      <c r="X412" t="s">
        <v>207</v>
      </c>
      <c r="AG412" t="s">
        <v>4546</v>
      </c>
      <c r="AH412" t="s">
        <v>4562</v>
      </c>
      <c r="AI412" t="s">
        <v>4565</v>
      </c>
      <c r="AJ412" t="s">
        <v>4566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208</v>
      </c>
      <c r="BA412">
        <v>673493646603.19995</v>
      </c>
      <c r="BB412" t="s">
        <v>4572</v>
      </c>
      <c r="BC412" t="s">
        <v>4581</v>
      </c>
    </row>
    <row r="413" spans="1:55" x14ac:dyDescent="0.25">
      <c r="A413">
        <v>1462</v>
      </c>
      <c r="B413" t="s">
        <v>610</v>
      </c>
      <c r="C413" t="s">
        <v>2045</v>
      </c>
      <c r="D413" t="s">
        <v>3480</v>
      </c>
      <c r="E413" t="s">
        <v>4520</v>
      </c>
      <c r="F413">
        <v>73521823</v>
      </c>
      <c r="G413">
        <v>64.05</v>
      </c>
      <c r="H413" t="s">
        <v>99</v>
      </c>
      <c r="I413">
        <v>4709072763.1499996</v>
      </c>
      <c r="J413" t="s">
        <v>4535</v>
      </c>
      <c r="K413">
        <v>6923248.3087301599</v>
      </c>
      <c r="L413">
        <v>0.45</v>
      </c>
      <c r="M413" t="s">
        <v>4536</v>
      </c>
      <c r="N413" t="s">
        <v>4537</v>
      </c>
      <c r="O413" t="s">
        <v>207</v>
      </c>
      <c r="Q413" t="s">
        <v>207</v>
      </c>
      <c r="R413" t="s">
        <v>207</v>
      </c>
      <c r="S413" t="s">
        <v>207</v>
      </c>
      <c r="T413" t="s">
        <v>207</v>
      </c>
      <c r="U413" t="s">
        <v>207</v>
      </c>
      <c r="V413" t="s">
        <v>207</v>
      </c>
      <c r="W413" t="s">
        <v>207</v>
      </c>
      <c r="X413" t="s">
        <v>207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209</v>
      </c>
      <c r="AZ413" t="s">
        <v>4571</v>
      </c>
      <c r="BA413">
        <v>2119082743.4175</v>
      </c>
      <c r="BB413" t="s">
        <v>4572</v>
      </c>
      <c r="BC413" t="s">
        <v>4584</v>
      </c>
    </row>
    <row r="414" spans="1:55" x14ac:dyDescent="0.25">
      <c r="A414">
        <v>977</v>
      </c>
      <c r="B414" t="s">
        <v>611</v>
      </c>
      <c r="C414" t="s">
        <v>2046</v>
      </c>
      <c r="D414" t="s">
        <v>3481</v>
      </c>
      <c r="E414" t="s">
        <v>4528</v>
      </c>
      <c r="F414">
        <v>167335070</v>
      </c>
      <c r="G414">
        <v>42.88</v>
      </c>
      <c r="H414" t="s">
        <v>99</v>
      </c>
      <c r="I414">
        <v>7175327801.6000004</v>
      </c>
      <c r="J414" t="s">
        <v>203</v>
      </c>
      <c r="K414">
        <v>11007741.5872881</v>
      </c>
      <c r="L414">
        <v>0.9</v>
      </c>
      <c r="M414" t="s">
        <v>4536</v>
      </c>
      <c r="O414" t="s">
        <v>207</v>
      </c>
      <c r="Q414" t="s">
        <v>207</v>
      </c>
      <c r="R414" t="s">
        <v>207</v>
      </c>
      <c r="S414" t="s">
        <v>207</v>
      </c>
      <c r="T414" t="s">
        <v>207</v>
      </c>
      <c r="U414" t="s">
        <v>207</v>
      </c>
      <c r="V414" t="s">
        <v>207</v>
      </c>
      <c r="W414" t="s">
        <v>207</v>
      </c>
      <c r="X414" t="s">
        <v>207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209</v>
      </c>
      <c r="BA414">
        <v>6457795021.4400005</v>
      </c>
      <c r="BB414" t="s">
        <v>4572</v>
      </c>
      <c r="BC414" t="s">
        <v>4536</v>
      </c>
    </row>
    <row r="415" spans="1:55" x14ac:dyDescent="0.25">
      <c r="A415">
        <v>683</v>
      </c>
      <c r="B415" t="s">
        <v>612</v>
      </c>
      <c r="C415" t="s">
        <v>2047</v>
      </c>
      <c r="D415" t="s">
        <v>3482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202</v>
      </c>
      <c r="K415">
        <v>194517565.40857399</v>
      </c>
      <c r="L415">
        <v>1</v>
      </c>
      <c r="M415" t="s">
        <v>4536</v>
      </c>
      <c r="O415" t="s">
        <v>207</v>
      </c>
      <c r="Q415" t="s">
        <v>207</v>
      </c>
      <c r="R415" t="s">
        <v>207</v>
      </c>
      <c r="S415" t="s">
        <v>207</v>
      </c>
      <c r="T415" t="s">
        <v>207</v>
      </c>
      <c r="U415" t="s">
        <v>207</v>
      </c>
      <c r="V415" t="s">
        <v>207</v>
      </c>
      <c r="W415" t="s">
        <v>207</v>
      </c>
      <c r="X415" t="s">
        <v>207</v>
      </c>
      <c r="AK415">
        <v>0</v>
      </c>
      <c r="AL415">
        <v>0.25</v>
      </c>
      <c r="AM415">
        <v>0</v>
      </c>
      <c r="AO415" t="s">
        <v>4568</v>
      </c>
      <c r="AQ415">
        <v>0</v>
      </c>
      <c r="AR415">
        <v>0</v>
      </c>
      <c r="AW415">
        <v>5010</v>
      </c>
      <c r="AX415">
        <v>1.931</v>
      </c>
      <c r="AY415" t="s">
        <v>208</v>
      </c>
      <c r="BA415">
        <v>17791420910.562</v>
      </c>
      <c r="BB415" t="s">
        <v>4572</v>
      </c>
      <c r="BC415" t="s">
        <v>4582</v>
      </c>
    </row>
    <row r="416" spans="1:55" x14ac:dyDescent="0.25">
      <c r="A416">
        <v>204</v>
      </c>
      <c r="B416" t="s">
        <v>613</v>
      </c>
      <c r="C416" t="s">
        <v>2048</v>
      </c>
      <c r="D416" t="s">
        <v>3483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202</v>
      </c>
      <c r="K416">
        <v>355639745.12479699</v>
      </c>
      <c r="L416">
        <v>1</v>
      </c>
      <c r="M416" t="s">
        <v>4536</v>
      </c>
      <c r="O416" t="s">
        <v>207</v>
      </c>
      <c r="Q416" t="s">
        <v>207</v>
      </c>
      <c r="R416" t="s">
        <v>207</v>
      </c>
      <c r="S416" t="s">
        <v>207</v>
      </c>
      <c r="T416" t="s">
        <v>207</v>
      </c>
      <c r="U416" t="s">
        <v>207</v>
      </c>
      <c r="V416" t="s">
        <v>207</v>
      </c>
      <c r="W416" t="s">
        <v>207</v>
      </c>
      <c r="X416" t="s">
        <v>207</v>
      </c>
      <c r="AK416">
        <v>0</v>
      </c>
      <c r="AL416">
        <v>0.15</v>
      </c>
      <c r="AM416">
        <v>0</v>
      </c>
      <c r="AO416" t="s">
        <v>4568</v>
      </c>
      <c r="AQ416">
        <v>0</v>
      </c>
      <c r="AR416">
        <v>0</v>
      </c>
      <c r="AW416">
        <v>5020</v>
      </c>
      <c r="AX416">
        <v>2.149</v>
      </c>
      <c r="AY416" t="s">
        <v>208</v>
      </c>
      <c r="BA416">
        <v>65720909690</v>
      </c>
      <c r="BB416" t="s">
        <v>4572</v>
      </c>
      <c r="BC416" t="s">
        <v>4582</v>
      </c>
    </row>
    <row r="417" spans="1:55" x14ac:dyDescent="0.25">
      <c r="A417">
        <v>1088</v>
      </c>
      <c r="B417" t="s">
        <v>614</v>
      </c>
      <c r="C417" t="s">
        <v>2049</v>
      </c>
      <c r="D417" t="s">
        <v>3484</v>
      </c>
      <c r="E417" t="s">
        <v>95</v>
      </c>
      <c r="F417">
        <v>23389029</v>
      </c>
      <c r="G417">
        <v>684.22540000000004</v>
      </c>
      <c r="H417" t="s">
        <v>103</v>
      </c>
      <c r="I417">
        <v>16003367723.1366</v>
      </c>
      <c r="J417" t="s">
        <v>204</v>
      </c>
      <c r="K417">
        <v>8145656.1700374298</v>
      </c>
      <c r="L417">
        <v>0.3</v>
      </c>
      <c r="M417" t="s">
        <v>4536</v>
      </c>
      <c r="N417" t="s">
        <v>4537</v>
      </c>
      <c r="O417" t="s">
        <v>207</v>
      </c>
      <c r="Q417" t="s">
        <v>207</v>
      </c>
      <c r="R417" t="s">
        <v>207</v>
      </c>
      <c r="S417" t="s">
        <v>207</v>
      </c>
      <c r="T417" t="s">
        <v>207</v>
      </c>
      <c r="U417" t="s">
        <v>207</v>
      </c>
      <c r="V417" t="s">
        <v>207</v>
      </c>
      <c r="W417" t="s">
        <v>207</v>
      </c>
      <c r="X417" t="s">
        <v>207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209</v>
      </c>
      <c r="AZ417" t="s">
        <v>4571</v>
      </c>
      <c r="BA417">
        <v>4801010316.94098</v>
      </c>
      <c r="BB417" t="s">
        <v>4572</v>
      </c>
      <c r="BC417" t="s">
        <v>4584</v>
      </c>
    </row>
    <row r="418" spans="1:55" x14ac:dyDescent="0.25">
      <c r="A418">
        <v>1371</v>
      </c>
      <c r="B418" t="s">
        <v>615</v>
      </c>
      <c r="C418" t="s">
        <v>2050</v>
      </c>
      <c r="D418" t="s">
        <v>3485</v>
      </c>
      <c r="E418" t="s">
        <v>92</v>
      </c>
      <c r="F418">
        <v>261990080</v>
      </c>
      <c r="G418">
        <v>12.14</v>
      </c>
      <c r="H418" t="s">
        <v>99</v>
      </c>
      <c r="I418">
        <v>3180559571.1999998</v>
      </c>
      <c r="J418" t="s">
        <v>4535</v>
      </c>
      <c r="K418">
        <v>13843158.4522698</v>
      </c>
      <c r="L418">
        <v>0.85</v>
      </c>
      <c r="M418" t="s">
        <v>4536</v>
      </c>
      <c r="O418" t="s">
        <v>207</v>
      </c>
      <c r="Q418" t="s">
        <v>207</v>
      </c>
      <c r="R418" t="s">
        <v>207</v>
      </c>
      <c r="S418" t="s">
        <v>207</v>
      </c>
      <c r="T418" t="s">
        <v>207</v>
      </c>
      <c r="U418" t="s">
        <v>207</v>
      </c>
      <c r="V418" t="s">
        <v>207</v>
      </c>
      <c r="W418" t="s">
        <v>207</v>
      </c>
      <c r="X418" t="s">
        <v>207</v>
      </c>
      <c r="AK418">
        <v>0</v>
      </c>
      <c r="AL418">
        <v>1</v>
      </c>
      <c r="AM418">
        <v>0</v>
      </c>
      <c r="AO418" t="s">
        <v>4568</v>
      </c>
      <c r="AQ418">
        <v>0</v>
      </c>
      <c r="AR418">
        <v>0</v>
      </c>
      <c r="AW418">
        <v>6010</v>
      </c>
      <c r="AX418">
        <v>3.2959999999999998</v>
      </c>
      <c r="AY418" t="s">
        <v>209</v>
      </c>
      <c r="BA418">
        <v>2703475635.52</v>
      </c>
      <c r="BB418" t="s">
        <v>4572</v>
      </c>
      <c r="BC418" t="s">
        <v>4582</v>
      </c>
    </row>
    <row r="419" spans="1:55" x14ac:dyDescent="0.25">
      <c r="A419">
        <v>138</v>
      </c>
      <c r="B419" t="s">
        <v>616</v>
      </c>
      <c r="C419" t="s">
        <v>2051</v>
      </c>
      <c r="D419" t="s">
        <v>3486</v>
      </c>
      <c r="E419" t="s">
        <v>97</v>
      </c>
      <c r="F419">
        <v>2179049600</v>
      </c>
      <c r="G419">
        <v>40.034320000000001</v>
      </c>
      <c r="H419" t="s">
        <v>104</v>
      </c>
      <c r="I419">
        <v>87236768982.272003</v>
      </c>
      <c r="J419" t="s">
        <v>202</v>
      </c>
      <c r="K419">
        <v>370114837.38598001</v>
      </c>
      <c r="L419">
        <v>1</v>
      </c>
      <c r="M419" t="s">
        <v>4536</v>
      </c>
      <c r="O419" t="s">
        <v>4538</v>
      </c>
      <c r="P419" t="s">
        <v>4540</v>
      </c>
      <c r="Q419" t="s">
        <v>207</v>
      </c>
      <c r="R419" t="s">
        <v>207</v>
      </c>
      <c r="S419" t="s">
        <v>207</v>
      </c>
      <c r="T419" t="s">
        <v>207</v>
      </c>
      <c r="U419" t="s">
        <v>207</v>
      </c>
      <c r="V419" t="s">
        <v>207</v>
      </c>
      <c r="W419" t="s">
        <v>207</v>
      </c>
      <c r="X419" t="s">
        <v>207</v>
      </c>
      <c r="AK419">
        <v>0</v>
      </c>
      <c r="AL419">
        <v>0.98399999999999999</v>
      </c>
      <c r="AM419">
        <v>1E-4</v>
      </c>
      <c r="AO419" t="s">
        <v>4568</v>
      </c>
      <c r="AP419" t="s">
        <v>4569</v>
      </c>
      <c r="AQ419">
        <v>0</v>
      </c>
      <c r="AR419">
        <v>0</v>
      </c>
      <c r="AW419">
        <v>6010</v>
      </c>
      <c r="AX419">
        <v>2.6949999999999998</v>
      </c>
      <c r="AY419" t="s">
        <v>208</v>
      </c>
      <c r="BA419">
        <v>87236768982.272003</v>
      </c>
      <c r="BB419" t="s">
        <v>4572</v>
      </c>
      <c r="BC419" t="s">
        <v>4621</v>
      </c>
    </row>
    <row r="420" spans="1:55" x14ac:dyDescent="0.25">
      <c r="A420">
        <v>1151</v>
      </c>
      <c r="B420" t="s">
        <v>617</v>
      </c>
      <c r="C420" t="s">
        <v>2052</v>
      </c>
      <c r="D420" t="s">
        <v>3487</v>
      </c>
      <c r="E420" t="s">
        <v>94</v>
      </c>
      <c r="F420">
        <v>1790980000</v>
      </c>
      <c r="G420">
        <v>2.7134140000000002</v>
      </c>
      <c r="H420" t="s">
        <v>102</v>
      </c>
      <c r="I420">
        <v>4859670205.7200003</v>
      </c>
      <c r="J420" t="s">
        <v>205</v>
      </c>
      <c r="K420">
        <v>13008257.278752699</v>
      </c>
      <c r="L420">
        <v>0.85</v>
      </c>
      <c r="M420" t="s">
        <v>4536</v>
      </c>
      <c r="O420" t="s">
        <v>207</v>
      </c>
      <c r="Q420" t="s">
        <v>207</v>
      </c>
      <c r="R420" t="s">
        <v>207</v>
      </c>
      <c r="S420" t="s">
        <v>207</v>
      </c>
      <c r="T420" t="s">
        <v>207</v>
      </c>
      <c r="U420" t="s">
        <v>207</v>
      </c>
      <c r="V420" t="s">
        <v>207</v>
      </c>
      <c r="W420" t="s">
        <v>207</v>
      </c>
      <c r="X420" t="s">
        <v>207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210</v>
      </c>
      <c r="BA420">
        <v>4130719674.862</v>
      </c>
      <c r="BB420" t="s">
        <v>4572</v>
      </c>
      <c r="BC420" t="s">
        <v>4536</v>
      </c>
    </row>
    <row r="421" spans="1:55" x14ac:dyDescent="0.25">
      <c r="A421">
        <v>956</v>
      </c>
      <c r="B421" t="s">
        <v>618</v>
      </c>
      <c r="C421" t="s">
        <v>2053</v>
      </c>
      <c r="D421" t="s">
        <v>3488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203</v>
      </c>
      <c r="K421">
        <v>22434183.7683127</v>
      </c>
      <c r="L421">
        <v>0.3</v>
      </c>
      <c r="M421" t="s">
        <v>4536</v>
      </c>
      <c r="O421" t="s">
        <v>207</v>
      </c>
      <c r="Q421" t="s">
        <v>207</v>
      </c>
      <c r="R421" t="s">
        <v>207</v>
      </c>
      <c r="S421" t="s">
        <v>207</v>
      </c>
      <c r="T421" t="s">
        <v>207</v>
      </c>
      <c r="U421" t="s">
        <v>207</v>
      </c>
      <c r="V421" t="s">
        <v>207</v>
      </c>
      <c r="W421" t="s">
        <v>207</v>
      </c>
      <c r="X421" t="s">
        <v>207</v>
      </c>
      <c r="AK421">
        <v>7.9000000000000008E-3</v>
      </c>
      <c r="AL421">
        <v>0.442</v>
      </c>
      <c r="AM421">
        <v>0.22919999999999999</v>
      </c>
      <c r="AN421" t="s">
        <v>4567</v>
      </c>
      <c r="AO421" t="s">
        <v>4568</v>
      </c>
      <c r="AP421" t="s">
        <v>4569</v>
      </c>
      <c r="AQ421">
        <v>0</v>
      </c>
      <c r="AR421">
        <v>0</v>
      </c>
      <c r="AW421">
        <v>6510</v>
      </c>
      <c r="AX421">
        <v>3.1190000000000002</v>
      </c>
      <c r="AY421" t="s">
        <v>209</v>
      </c>
      <c r="BA421">
        <v>6813069763.5</v>
      </c>
      <c r="BB421" t="s">
        <v>4572</v>
      </c>
      <c r="BC421" t="s">
        <v>4576</v>
      </c>
    </row>
    <row r="422" spans="1:55" x14ac:dyDescent="0.25">
      <c r="A422">
        <v>262</v>
      </c>
      <c r="B422" t="s">
        <v>619</v>
      </c>
      <c r="C422" t="s">
        <v>2054</v>
      </c>
      <c r="D422" t="s">
        <v>3489</v>
      </c>
      <c r="E422" t="s">
        <v>4517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203</v>
      </c>
      <c r="K422">
        <v>165055943.90309799</v>
      </c>
      <c r="L422">
        <v>0.75</v>
      </c>
      <c r="M422" t="s">
        <v>4536</v>
      </c>
      <c r="O422" t="s">
        <v>206</v>
      </c>
      <c r="Q422" t="s">
        <v>207</v>
      </c>
      <c r="R422" t="s">
        <v>207</v>
      </c>
      <c r="S422" t="s">
        <v>207</v>
      </c>
      <c r="T422" t="s">
        <v>207</v>
      </c>
      <c r="U422" t="s">
        <v>207</v>
      </c>
      <c r="V422" t="s">
        <v>207</v>
      </c>
      <c r="W422" t="s">
        <v>207</v>
      </c>
      <c r="X422" t="s">
        <v>207</v>
      </c>
      <c r="AK422">
        <v>1.9800000000000002E-2</v>
      </c>
      <c r="AL422">
        <v>0.377</v>
      </c>
      <c r="AM422">
        <v>0.1011</v>
      </c>
      <c r="AN422" t="s">
        <v>4567</v>
      </c>
      <c r="AO422" t="s">
        <v>4568</v>
      </c>
      <c r="AP422" t="s">
        <v>4569</v>
      </c>
      <c r="AQ422">
        <v>0</v>
      </c>
      <c r="AR422">
        <v>0</v>
      </c>
      <c r="AW422">
        <v>6510</v>
      </c>
      <c r="AX422">
        <v>2.8679999999999999</v>
      </c>
      <c r="AY422" t="s">
        <v>209</v>
      </c>
      <c r="BA422">
        <v>52208443192.696503</v>
      </c>
      <c r="BB422" t="s">
        <v>4572</v>
      </c>
      <c r="BC422" t="s">
        <v>4576</v>
      </c>
    </row>
    <row r="423" spans="1:55" x14ac:dyDescent="0.25">
      <c r="A423">
        <v>753</v>
      </c>
      <c r="B423" t="s">
        <v>620</v>
      </c>
      <c r="C423" t="s">
        <v>2055</v>
      </c>
      <c r="D423" t="s">
        <v>3490</v>
      </c>
      <c r="E423" t="s">
        <v>93</v>
      </c>
      <c r="F423">
        <v>3032850600</v>
      </c>
      <c r="G423">
        <v>5.4264070000000002</v>
      </c>
      <c r="H423" t="s">
        <v>101</v>
      </c>
      <c r="I423">
        <v>16457481725.794201</v>
      </c>
      <c r="J423" t="s">
        <v>205</v>
      </c>
      <c r="K423">
        <v>57350989.052812099</v>
      </c>
      <c r="L423">
        <v>0.9</v>
      </c>
      <c r="O423" t="s">
        <v>206</v>
      </c>
      <c r="Q423" t="s">
        <v>207</v>
      </c>
      <c r="R423" t="s">
        <v>207</v>
      </c>
      <c r="S423" t="s">
        <v>207</v>
      </c>
      <c r="T423" t="s">
        <v>207</v>
      </c>
      <c r="U423" t="s">
        <v>207</v>
      </c>
      <c r="V423" t="s">
        <v>207</v>
      </c>
      <c r="W423" t="s">
        <v>207</v>
      </c>
      <c r="X423" t="s">
        <v>207</v>
      </c>
      <c r="AK423">
        <v>0.01</v>
      </c>
      <c r="AL423">
        <v>0.76600000000000001</v>
      </c>
      <c r="AM423">
        <v>3.32E-2</v>
      </c>
      <c r="AN423" t="s">
        <v>4567</v>
      </c>
      <c r="AO423" t="s">
        <v>4568</v>
      </c>
      <c r="AP423" t="s">
        <v>4569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210</v>
      </c>
      <c r="BA423">
        <v>14811733553.214781</v>
      </c>
      <c r="BB423" t="s">
        <v>4572</v>
      </c>
      <c r="BC423" t="s">
        <v>4618</v>
      </c>
    </row>
    <row r="424" spans="1:55" x14ac:dyDescent="0.25">
      <c r="A424">
        <v>237</v>
      </c>
      <c r="B424" t="s">
        <v>621</v>
      </c>
      <c r="C424" t="s">
        <v>2056</v>
      </c>
      <c r="D424" t="s">
        <v>3491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202</v>
      </c>
      <c r="K424">
        <v>296359119.35652798</v>
      </c>
      <c r="L424">
        <v>0.9</v>
      </c>
      <c r="M424" t="s">
        <v>4536</v>
      </c>
      <c r="O424" t="s">
        <v>4538</v>
      </c>
      <c r="P424" t="s">
        <v>4540</v>
      </c>
      <c r="Q424" t="s">
        <v>207</v>
      </c>
      <c r="R424" t="s">
        <v>207</v>
      </c>
      <c r="S424" t="s">
        <v>207</v>
      </c>
      <c r="T424" t="s">
        <v>207</v>
      </c>
      <c r="U424" t="s">
        <v>207</v>
      </c>
      <c r="V424" t="s">
        <v>207</v>
      </c>
      <c r="W424" t="s">
        <v>207</v>
      </c>
      <c r="X424" t="s">
        <v>207</v>
      </c>
      <c r="AL424">
        <v>1</v>
      </c>
      <c r="AO424" t="s">
        <v>4568</v>
      </c>
      <c r="AQ424">
        <v>0</v>
      </c>
      <c r="AR424">
        <v>0.01</v>
      </c>
      <c r="AW424">
        <v>6010</v>
      </c>
      <c r="AX424">
        <v>1.7909999999999999</v>
      </c>
      <c r="AY424" t="s">
        <v>208</v>
      </c>
      <c r="AZ424" t="s">
        <v>4571</v>
      </c>
      <c r="BA424">
        <v>57272241926.718002</v>
      </c>
      <c r="BB424" t="s">
        <v>4572</v>
      </c>
      <c r="BC424" t="s">
        <v>4622</v>
      </c>
    </row>
    <row r="425" spans="1:55" x14ac:dyDescent="0.25">
      <c r="A425">
        <v>453</v>
      </c>
      <c r="B425" t="s">
        <v>622</v>
      </c>
      <c r="C425" t="s">
        <v>2057</v>
      </c>
      <c r="D425" t="s">
        <v>3492</v>
      </c>
      <c r="E425" t="s">
        <v>4517</v>
      </c>
      <c r="F425">
        <v>3284490525</v>
      </c>
      <c r="G425">
        <v>13.962</v>
      </c>
      <c r="H425" t="s">
        <v>99</v>
      </c>
      <c r="I425">
        <v>45858056710.050003</v>
      </c>
      <c r="J425" t="s">
        <v>203</v>
      </c>
      <c r="K425">
        <v>152237812.00885201</v>
      </c>
      <c r="L425">
        <v>0.65</v>
      </c>
      <c r="M425" t="s">
        <v>4536</v>
      </c>
      <c r="O425" t="s">
        <v>4538</v>
      </c>
      <c r="P425" t="s">
        <v>4540</v>
      </c>
      <c r="Q425" t="s">
        <v>207</v>
      </c>
      <c r="R425" t="s">
        <v>207</v>
      </c>
      <c r="S425" t="s">
        <v>207</v>
      </c>
      <c r="T425" t="s">
        <v>207</v>
      </c>
      <c r="U425" t="s">
        <v>207</v>
      </c>
      <c r="V425" t="s">
        <v>207</v>
      </c>
      <c r="W425" t="s">
        <v>207</v>
      </c>
      <c r="X425" t="s">
        <v>207</v>
      </c>
      <c r="AG425" t="s">
        <v>4546</v>
      </c>
      <c r="AH425" t="s">
        <v>4564</v>
      </c>
      <c r="AI425" t="s">
        <v>4565</v>
      </c>
      <c r="AJ425" t="s">
        <v>4566</v>
      </c>
      <c r="AK425">
        <v>0</v>
      </c>
      <c r="AL425">
        <v>0.88600000000000001</v>
      </c>
      <c r="AM425">
        <v>5.0900000000000001E-2</v>
      </c>
      <c r="AO425" t="s">
        <v>4568</v>
      </c>
      <c r="AP425" t="s">
        <v>4569</v>
      </c>
      <c r="AQ425">
        <v>0</v>
      </c>
      <c r="AR425">
        <v>0.01</v>
      </c>
      <c r="AW425">
        <v>6010</v>
      </c>
      <c r="AX425">
        <v>2.8540000000000001</v>
      </c>
      <c r="AY425" t="s">
        <v>209</v>
      </c>
      <c r="BA425">
        <v>29807736861.532501</v>
      </c>
      <c r="BB425" t="s">
        <v>4572</v>
      </c>
      <c r="BC425" t="s">
        <v>4623</v>
      </c>
    </row>
    <row r="426" spans="1:55" x14ac:dyDescent="0.25">
      <c r="A426">
        <v>1053</v>
      </c>
      <c r="B426" t="s">
        <v>623</v>
      </c>
      <c r="C426" t="s">
        <v>2058</v>
      </c>
      <c r="D426" t="s">
        <v>3493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204</v>
      </c>
      <c r="K426">
        <v>12703501.6579103</v>
      </c>
      <c r="L426">
        <v>0.95</v>
      </c>
      <c r="M426" t="s">
        <v>4536</v>
      </c>
      <c r="O426" t="s">
        <v>207</v>
      </c>
      <c r="Q426" t="s">
        <v>207</v>
      </c>
      <c r="R426" t="s">
        <v>207</v>
      </c>
      <c r="S426" t="s">
        <v>207</v>
      </c>
      <c r="T426" t="s">
        <v>207</v>
      </c>
      <c r="U426" t="s">
        <v>207</v>
      </c>
      <c r="V426" t="s">
        <v>207</v>
      </c>
      <c r="W426" t="s">
        <v>207</v>
      </c>
      <c r="X426" t="s">
        <v>207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209</v>
      </c>
      <c r="BA426">
        <v>5418702808.6416502</v>
      </c>
      <c r="BB426" t="s">
        <v>4572</v>
      </c>
      <c r="BC426" t="s">
        <v>4536</v>
      </c>
    </row>
    <row r="427" spans="1:55" x14ac:dyDescent="0.25">
      <c r="A427">
        <v>394</v>
      </c>
      <c r="B427" t="s">
        <v>624</v>
      </c>
      <c r="C427" t="s">
        <v>2059</v>
      </c>
      <c r="D427" t="s">
        <v>3494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202</v>
      </c>
      <c r="K427">
        <v>267515418.78647</v>
      </c>
      <c r="L427">
        <v>1</v>
      </c>
      <c r="M427" t="s">
        <v>4536</v>
      </c>
      <c r="O427" t="s">
        <v>207</v>
      </c>
      <c r="Q427" t="s">
        <v>207</v>
      </c>
      <c r="R427" t="s">
        <v>207</v>
      </c>
      <c r="S427" t="s">
        <v>207</v>
      </c>
      <c r="T427" t="s">
        <v>207</v>
      </c>
      <c r="U427" t="s">
        <v>207</v>
      </c>
      <c r="V427" t="s">
        <v>207</v>
      </c>
      <c r="W427" t="s">
        <v>207</v>
      </c>
      <c r="X427" t="s">
        <v>207</v>
      </c>
      <c r="AK427">
        <v>0.04</v>
      </c>
      <c r="AL427">
        <v>0.54600000000000004</v>
      </c>
      <c r="AM427">
        <v>0.53039999999999998</v>
      </c>
      <c r="AN427" t="s">
        <v>4567</v>
      </c>
      <c r="AO427" t="s">
        <v>4568</v>
      </c>
      <c r="AP427" t="s">
        <v>4569</v>
      </c>
      <c r="AQ427">
        <v>0</v>
      </c>
      <c r="AR427">
        <v>0</v>
      </c>
      <c r="AW427">
        <v>6510</v>
      </c>
      <c r="AX427">
        <v>2.0339999999999998</v>
      </c>
      <c r="AY427" t="s">
        <v>208</v>
      </c>
      <c r="BA427">
        <v>35029940489.207298</v>
      </c>
      <c r="BB427" t="s">
        <v>4572</v>
      </c>
      <c r="BC427" t="s">
        <v>4576</v>
      </c>
    </row>
    <row r="428" spans="1:55" x14ac:dyDescent="0.25">
      <c r="A428">
        <v>282</v>
      </c>
      <c r="B428" t="s">
        <v>625</v>
      </c>
      <c r="C428" t="s">
        <v>2060</v>
      </c>
      <c r="D428" t="s">
        <v>3495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202</v>
      </c>
      <c r="K428">
        <v>142514472.16091099</v>
      </c>
      <c r="L428">
        <v>0.7</v>
      </c>
      <c r="M428" t="s">
        <v>4536</v>
      </c>
      <c r="O428" t="s">
        <v>207</v>
      </c>
      <c r="Q428" t="s">
        <v>207</v>
      </c>
      <c r="R428" t="s">
        <v>207</v>
      </c>
      <c r="S428" t="s">
        <v>207</v>
      </c>
      <c r="T428" t="s">
        <v>207</v>
      </c>
      <c r="U428" t="s">
        <v>207</v>
      </c>
      <c r="V428" t="s">
        <v>207</v>
      </c>
      <c r="W428" t="s">
        <v>207</v>
      </c>
      <c r="X428" t="s">
        <v>207</v>
      </c>
      <c r="AG428" t="s">
        <v>4539</v>
      </c>
      <c r="AH428" t="s">
        <v>4539</v>
      </c>
      <c r="AI428" t="s">
        <v>4565</v>
      </c>
      <c r="AJ428" t="s">
        <v>4566</v>
      </c>
      <c r="AK428">
        <v>0</v>
      </c>
      <c r="AL428">
        <v>1</v>
      </c>
      <c r="AM428">
        <v>0</v>
      </c>
      <c r="AO428" t="s">
        <v>4568</v>
      </c>
      <c r="AQ428">
        <v>0</v>
      </c>
      <c r="AR428">
        <v>0</v>
      </c>
      <c r="AW428">
        <v>6010</v>
      </c>
      <c r="AY428" t="s">
        <v>208</v>
      </c>
      <c r="BA428">
        <v>48385335287.625</v>
      </c>
      <c r="BB428" t="s">
        <v>4572</v>
      </c>
      <c r="BC428" t="s">
        <v>4616</v>
      </c>
    </row>
    <row r="429" spans="1:55" x14ac:dyDescent="0.25">
      <c r="A429">
        <v>178</v>
      </c>
      <c r="B429" t="s">
        <v>626</v>
      </c>
      <c r="C429" t="s">
        <v>2061</v>
      </c>
      <c r="D429" t="s">
        <v>3496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202</v>
      </c>
      <c r="K429">
        <v>375015693.87549102</v>
      </c>
      <c r="L429">
        <v>1</v>
      </c>
      <c r="M429" t="s">
        <v>4536</v>
      </c>
      <c r="O429" t="s">
        <v>207</v>
      </c>
      <c r="Q429" t="s">
        <v>207</v>
      </c>
      <c r="R429" t="s">
        <v>207</v>
      </c>
      <c r="S429" t="s">
        <v>207</v>
      </c>
      <c r="T429" t="s">
        <v>207</v>
      </c>
      <c r="U429" t="s">
        <v>207</v>
      </c>
      <c r="V429" t="s">
        <v>207</v>
      </c>
      <c r="W429" t="s">
        <v>207</v>
      </c>
      <c r="X429" t="s">
        <v>207</v>
      </c>
      <c r="AK429">
        <v>0</v>
      </c>
      <c r="AL429">
        <v>1</v>
      </c>
      <c r="AM429">
        <v>0</v>
      </c>
      <c r="AO429" t="s">
        <v>4568</v>
      </c>
      <c r="AQ429">
        <v>0</v>
      </c>
      <c r="AR429">
        <v>0</v>
      </c>
      <c r="AW429">
        <v>6010</v>
      </c>
      <c r="AX429">
        <v>2.516</v>
      </c>
      <c r="AY429" t="s">
        <v>208</v>
      </c>
      <c r="BA429">
        <v>71593416586.895996</v>
      </c>
      <c r="BB429" t="s">
        <v>4572</v>
      </c>
      <c r="BC429" t="s">
        <v>4582</v>
      </c>
    </row>
    <row r="430" spans="1:55" x14ac:dyDescent="0.25">
      <c r="A430">
        <v>793</v>
      </c>
      <c r="B430" t="s">
        <v>627</v>
      </c>
      <c r="C430" t="s">
        <v>2062</v>
      </c>
      <c r="D430" t="s">
        <v>3497</v>
      </c>
      <c r="E430" t="s">
        <v>4519</v>
      </c>
      <c r="F430">
        <v>823765800</v>
      </c>
      <c r="G430">
        <v>19.65644</v>
      </c>
      <c r="H430" t="s">
        <v>4530</v>
      </c>
      <c r="I430">
        <v>16192303021.752001</v>
      </c>
      <c r="J430" t="s">
        <v>204</v>
      </c>
      <c r="K430">
        <v>17907130.638756901</v>
      </c>
      <c r="L430">
        <v>0.75</v>
      </c>
      <c r="M430" t="s">
        <v>4536</v>
      </c>
      <c r="O430" t="s">
        <v>207</v>
      </c>
      <c r="Q430" t="s">
        <v>207</v>
      </c>
      <c r="R430" t="s">
        <v>207</v>
      </c>
      <c r="S430" t="s">
        <v>207</v>
      </c>
      <c r="T430" t="s">
        <v>207</v>
      </c>
      <c r="U430" t="s">
        <v>207</v>
      </c>
      <c r="V430" t="s">
        <v>207</v>
      </c>
      <c r="W430" t="s">
        <v>207</v>
      </c>
      <c r="X430" t="s">
        <v>207</v>
      </c>
      <c r="AK430">
        <v>0.02</v>
      </c>
      <c r="AL430">
        <v>0.05</v>
      </c>
      <c r="AM430">
        <v>0</v>
      </c>
      <c r="AN430" t="s">
        <v>4567</v>
      </c>
      <c r="AO430" t="s">
        <v>4568</v>
      </c>
      <c r="AQ430">
        <v>0</v>
      </c>
      <c r="AR430">
        <v>0</v>
      </c>
      <c r="AW430">
        <v>5020</v>
      </c>
      <c r="AX430">
        <v>2.6</v>
      </c>
      <c r="AY430" t="s">
        <v>209</v>
      </c>
      <c r="BA430">
        <v>12144227266.313999</v>
      </c>
      <c r="BB430" t="s">
        <v>4572</v>
      </c>
      <c r="BC430" t="s">
        <v>4599</v>
      </c>
    </row>
    <row r="431" spans="1:55" x14ac:dyDescent="0.25">
      <c r="A431">
        <v>515</v>
      </c>
      <c r="B431" t="s">
        <v>628</v>
      </c>
      <c r="C431" t="s">
        <v>2063</v>
      </c>
      <c r="D431" t="s">
        <v>3498</v>
      </c>
      <c r="E431" t="s">
        <v>4519</v>
      </c>
      <c r="F431">
        <v>1241125400</v>
      </c>
      <c r="G431">
        <v>31.462900000000001</v>
      </c>
      <c r="H431" t="s">
        <v>4530</v>
      </c>
      <c r="I431">
        <v>39049404347.660004</v>
      </c>
      <c r="J431" t="s">
        <v>204</v>
      </c>
      <c r="K431">
        <v>31946725.174529798</v>
      </c>
      <c r="L431">
        <v>0.65</v>
      </c>
      <c r="O431" t="s">
        <v>207</v>
      </c>
      <c r="Q431" t="s">
        <v>207</v>
      </c>
      <c r="R431" t="s">
        <v>207</v>
      </c>
      <c r="S431" t="s">
        <v>207</v>
      </c>
      <c r="T431" t="s">
        <v>207</v>
      </c>
      <c r="U431" t="s">
        <v>207</v>
      </c>
      <c r="V431" t="s">
        <v>207</v>
      </c>
      <c r="W431" t="s">
        <v>207</v>
      </c>
      <c r="X431" t="s">
        <v>207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209</v>
      </c>
      <c r="BA431">
        <v>25382112825.979</v>
      </c>
      <c r="BB431" t="s">
        <v>211</v>
      </c>
    </row>
    <row r="432" spans="1:55" x14ac:dyDescent="0.25">
      <c r="A432">
        <v>466</v>
      </c>
      <c r="B432" t="s">
        <v>629</v>
      </c>
      <c r="C432" t="s">
        <v>2064</v>
      </c>
      <c r="D432" t="s">
        <v>3499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202</v>
      </c>
      <c r="K432">
        <v>366263903.89543098</v>
      </c>
      <c r="L432">
        <v>1</v>
      </c>
      <c r="M432" t="s">
        <v>4536</v>
      </c>
      <c r="O432" t="s">
        <v>206</v>
      </c>
      <c r="Q432" t="s">
        <v>207</v>
      </c>
      <c r="R432" t="s">
        <v>207</v>
      </c>
      <c r="S432" t="s">
        <v>207</v>
      </c>
      <c r="T432" t="s">
        <v>207</v>
      </c>
      <c r="U432" t="s">
        <v>207</v>
      </c>
      <c r="V432" t="s">
        <v>207</v>
      </c>
      <c r="W432" t="s">
        <v>207</v>
      </c>
      <c r="X432" t="s">
        <v>207</v>
      </c>
      <c r="AK432">
        <v>0</v>
      </c>
      <c r="AL432">
        <v>0.73399999999999999</v>
      </c>
      <c r="AM432">
        <v>0</v>
      </c>
      <c r="AO432" t="s">
        <v>4568</v>
      </c>
      <c r="AQ432">
        <v>0</v>
      </c>
      <c r="AR432">
        <v>0</v>
      </c>
      <c r="AW432">
        <v>6010</v>
      </c>
      <c r="AX432">
        <v>2.319</v>
      </c>
      <c r="AY432" t="s">
        <v>208</v>
      </c>
      <c r="BA432">
        <v>28709172914.369999</v>
      </c>
      <c r="BB432" t="s">
        <v>4572</v>
      </c>
      <c r="BC432" t="s">
        <v>4582</v>
      </c>
    </row>
    <row r="433" spans="1:55" x14ac:dyDescent="0.25">
      <c r="A433">
        <v>473</v>
      </c>
      <c r="B433" t="s">
        <v>630</v>
      </c>
      <c r="C433" t="s">
        <v>2065</v>
      </c>
      <c r="D433" t="s">
        <v>3500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202</v>
      </c>
      <c r="K433">
        <v>249000889.48604</v>
      </c>
      <c r="L433">
        <v>1</v>
      </c>
      <c r="M433" t="s">
        <v>4536</v>
      </c>
      <c r="O433" t="s">
        <v>207</v>
      </c>
      <c r="Q433" t="s">
        <v>207</v>
      </c>
      <c r="R433" t="s">
        <v>207</v>
      </c>
      <c r="S433" t="s">
        <v>207</v>
      </c>
      <c r="T433" t="s">
        <v>207</v>
      </c>
      <c r="U433" t="s">
        <v>207</v>
      </c>
      <c r="V433" t="s">
        <v>207</v>
      </c>
      <c r="W433" t="s">
        <v>207</v>
      </c>
      <c r="X433" t="s">
        <v>207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208</v>
      </c>
      <c r="AZ433" t="s">
        <v>4571</v>
      </c>
      <c r="BA433">
        <v>28236630310.613998</v>
      </c>
      <c r="BB433" t="s">
        <v>4572</v>
      </c>
      <c r="BC433" t="s">
        <v>4577</v>
      </c>
    </row>
    <row r="434" spans="1:55" x14ac:dyDescent="0.25">
      <c r="A434">
        <v>146</v>
      </c>
      <c r="B434" t="s">
        <v>180</v>
      </c>
      <c r="C434" t="s">
        <v>21</v>
      </c>
      <c r="D434" t="s">
        <v>61</v>
      </c>
      <c r="E434" t="s">
        <v>90</v>
      </c>
      <c r="F434">
        <v>97332010</v>
      </c>
      <c r="G434">
        <v>879.65560000000005</v>
      </c>
      <c r="H434" t="s">
        <v>98</v>
      </c>
      <c r="I434">
        <v>85618647655.756012</v>
      </c>
      <c r="J434" t="s">
        <v>202</v>
      </c>
      <c r="K434">
        <v>466800154.48756999</v>
      </c>
      <c r="L434">
        <v>1</v>
      </c>
      <c r="O434" t="s">
        <v>207</v>
      </c>
      <c r="Q434" t="s">
        <v>207</v>
      </c>
      <c r="R434" t="s">
        <v>207</v>
      </c>
      <c r="S434" t="s">
        <v>207</v>
      </c>
      <c r="T434" t="s">
        <v>207</v>
      </c>
      <c r="U434" t="s">
        <v>207</v>
      </c>
      <c r="V434" t="s">
        <v>207</v>
      </c>
      <c r="W434" t="s">
        <v>207</v>
      </c>
      <c r="X434" t="s">
        <v>207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208</v>
      </c>
      <c r="BA434">
        <v>85618647655.756012</v>
      </c>
      <c r="BB434" t="s">
        <v>211</v>
      </c>
    </row>
    <row r="435" spans="1:55" x14ac:dyDescent="0.25">
      <c r="A435">
        <v>582</v>
      </c>
      <c r="B435" t="s">
        <v>631</v>
      </c>
      <c r="C435" t="s">
        <v>2066</v>
      </c>
      <c r="D435" t="s">
        <v>3501</v>
      </c>
      <c r="E435" t="s">
        <v>4522</v>
      </c>
      <c r="F435">
        <v>2792781230</v>
      </c>
      <c r="G435">
        <v>22.199829999999999</v>
      </c>
      <c r="H435" t="s">
        <v>4531</v>
      </c>
      <c r="I435">
        <v>61999268533.190903</v>
      </c>
      <c r="J435" t="s">
        <v>204</v>
      </c>
      <c r="K435">
        <v>80984091.738194495</v>
      </c>
      <c r="L435">
        <v>0.35</v>
      </c>
      <c r="M435" t="s">
        <v>4536</v>
      </c>
      <c r="O435" t="s">
        <v>207</v>
      </c>
      <c r="Q435" t="s">
        <v>207</v>
      </c>
      <c r="R435" t="s">
        <v>207</v>
      </c>
      <c r="S435" t="s">
        <v>207</v>
      </c>
      <c r="T435" t="s">
        <v>207</v>
      </c>
      <c r="U435" t="s">
        <v>207</v>
      </c>
      <c r="V435" t="s">
        <v>207</v>
      </c>
      <c r="W435" t="s">
        <v>207</v>
      </c>
      <c r="X435" t="s">
        <v>207</v>
      </c>
      <c r="AK435">
        <v>0</v>
      </c>
      <c r="AL435">
        <v>0.997</v>
      </c>
      <c r="AM435">
        <v>5.4999999999999997E-3</v>
      </c>
      <c r="AO435" t="s">
        <v>4568</v>
      </c>
      <c r="AP435" t="s">
        <v>4569</v>
      </c>
      <c r="AQ435">
        <v>0</v>
      </c>
      <c r="AR435">
        <v>0</v>
      </c>
      <c r="AW435">
        <v>6010</v>
      </c>
      <c r="AX435">
        <v>2.1</v>
      </c>
      <c r="AY435" t="s">
        <v>209</v>
      </c>
      <c r="BA435">
        <v>21699743986.61681</v>
      </c>
      <c r="BB435" t="s">
        <v>4572</v>
      </c>
      <c r="BC435" t="s">
        <v>4595</v>
      </c>
    </row>
    <row r="436" spans="1:55" x14ac:dyDescent="0.25">
      <c r="A436">
        <v>537</v>
      </c>
      <c r="B436" t="s">
        <v>632</v>
      </c>
      <c r="C436" t="s">
        <v>2067</v>
      </c>
      <c r="D436" t="s">
        <v>3502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202</v>
      </c>
      <c r="K436">
        <v>104904397.645264</v>
      </c>
      <c r="L436">
        <v>0.9</v>
      </c>
      <c r="M436" t="s">
        <v>4536</v>
      </c>
      <c r="O436" t="s">
        <v>207</v>
      </c>
      <c r="Q436" t="s">
        <v>207</v>
      </c>
      <c r="R436" t="s">
        <v>207</v>
      </c>
      <c r="S436" t="s">
        <v>207</v>
      </c>
      <c r="T436" t="s">
        <v>207</v>
      </c>
      <c r="U436" t="s">
        <v>207</v>
      </c>
      <c r="V436" t="s">
        <v>207</v>
      </c>
      <c r="W436" t="s">
        <v>207</v>
      </c>
      <c r="X436" t="s">
        <v>207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208</v>
      </c>
      <c r="BA436">
        <v>23390278069.604038</v>
      </c>
      <c r="BB436" t="s">
        <v>4572</v>
      </c>
      <c r="BC436" t="s">
        <v>4536</v>
      </c>
    </row>
    <row r="437" spans="1:55" x14ac:dyDescent="0.25">
      <c r="A437">
        <v>566</v>
      </c>
      <c r="B437" t="s">
        <v>633</v>
      </c>
      <c r="C437" t="s">
        <v>2068</v>
      </c>
      <c r="D437" t="s">
        <v>3503</v>
      </c>
      <c r="E437" t="s">
        <v>4519</v>
      </c>
      <c r="F437">
        <v>3086495800</v>
      </c>
      <c r="G437">
        <v>7.6701490000000003</v>
      </c>
      <c r="H437" t="s">
        <v>4530</v>
      </c>
      <c r="I437">
        <v>23673882673.874199</v>
      </c>
      <c r="J437" t="s">
        <v>204</v>
      </c>
      <c r="K437">
        <v>52893673.909293599</v>
      </c>
      <c r="L437">
        <v>0.95</v>
      </c>
      <c r="O437" t="s">
        <v>206</v>
      </c>
      <c r="Q437" t="s">
        <v>207</v>
      </c>
      <c r="R437" t="s">
        <v>207</v>
      </c>
      <c r="S437" t="s">
        <v>207</v>
      </c>
      <c r="T437" t="s">
        <v>207</v>
      </c>
      <c r="U437" t="s">
        <v>207</v>
      </c>
      <c r="V437" t="s">
        <v>207</v>
      </c>
      <c r="W437" t="s">
        <v>207</v>
      </c>
      <c r="X437" t="s">
        <v>207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209</v>
      </c>
      <c r="BA437">
        <v>22490188540.180489</v>
      </c>
      <c r="BB437" t="s">
        <v>211</v>
      </c>
    </row>
    <row r="438" spans="1:55" x14ac:dyDescent="0.25">
      <c r="A438">
        <v>580</v>
      </c>
      <c r="B438" t="s">
        <v>634</v>
      </c>
      <c r="C438" t="s">
        <v>2069</v>
      </c>
      <c r="D438" t="s">
        <v>3504</v>
      </c>
      <c r="E438" t="s">
        <v>4524</v>
      </c>
      <c r="F438">
        <v>410514370</v>
      </c>
      <c r="G438">
        <v>66.3</v>
      </c>
      <c r="H438" t="s">
        <v>99</v>
      </c>
      <c r="I438">
        <v>27217102731</v>
      </c>
      <c r="J438" t="s">
        <v>203</v>
      </c>
      <c r="K438">
        <v>28633350.351147499</v>
      </c>
      <c r="L438">
        <v>0.8</v>
      </c>
      <c r="M438" t="s">
        <v>4536</v>
      </c>
      <c r="O438" t="s">
        <v>207</v>
      </c>
      <c r="Q438" t="s">
        <v>207</v>
      </c>
      <c r="R438" t="s">
        <v>207</v>
      </c>
      <c r="S438" t="s">
        <v>207</v>
      </c>
      <c r="T438" t="s">
        <v>207</v>
      </c>
      <c r="U438" t="s">
        <v>207</v>
      </c>
      <c r="V438" t="s">
        <v>207</v>
      </c>
      <c r="W438" t="s">
        <v>207</v>
      </c>
      <c r="X438" t="s">
        <v>207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209</v>
      </c>
      <c r="BA438">
        <v>21773682184.799999</v>
      </c>
      <c r="BB438" t="s">
        <v>4572</v>
      </c>
      <c r="BC438" t="s">
        <v>4536</v>
      </c>
    </row>
    <row r="439" spans="1:55" x14ac:dyDescent="0.25">
      <c r="A439">
        <v>1348</v>
      </c>
      <c r="B439" t="s">
        <v>635</v>
      </c>
      <c r="C439" t="s">
        <v>2070</v>
      </c>
      <c r="D439" t="s">
        <v>3505</v>
      </c>
      <c r="E439" t="s">
        <v>4518</v>
      </c>
      <c r="F439">
        <v>4245428000</v>
      </c>
      <c r="G439">
        <v>1.4995400000000001</v>
      </c>
      <c r="H439" t="s">
        <v>4529</v>
      </c>
      <c r="I439">
        <v>6366189103.1200008</v>
      </c>
      <c r="J439" t="s">
        <v>205</v>
      </c>
      <c r="K439">
        <v>15879412.670623399</v>
      </c>
      <c r="L439">
        <v>0.45</v>
      </c>
      <c r="M439" t="s">
        <v>4536</v>
      </c>
      <c r="O439" t="s">
        <v>207</v>
      </c>
      <c r="Q439" t="s">
        <v>207</v>
      </c>
      <c r="R439" t="s">
        <v>207</v>
      </c>
      <c r="S439" t="s">
        <v>207</v>
      </c>
      <c r="T439" t="s">
        <v>207</v>
      </c>
      <c r="U439" t="s">
        <v>207</v>
      </c>
      <c r="V439" t="s">
        <v>207</v>
      </c>
      <c r="W439" t="s">
        <v>207</v>
      </c>
      <c r="X439" t="s">
        <v>207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210</v>
      </c>
      <c r="BA439">
        <v>2864785096.4039998</v>
      </c>
      <c r="BB439" t="s">
        <v>4572</v>
      </c>
      <c r="BC439" t="s">
        <v>4536</v>
      </c>
    </row>
    <row r="440" spans="1:55" x14ac:dyDescent="0.25">
      <c r="A440">
        <v>666</v>
      </c>
      <c r="B440" t="s">
        <v>636</v>
      </c>
      <c r="C440" t="s">
        <v>2071</v>
      </c>
      <c r="D440" t="s">
        <v>3506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202</v>
      </c>
      <c r="K440">
        <v>117563511.490701</v>
      </c>
      <c r="L440">
        <v>1</v>
      </c>
      <c r="M440" t="s">
        <v>4536</v>
      </c>
      <c r="O440" t="s">
        <v>207</v>
      </c>
      <c r="Q440" t="s">
        <v>207</v>
      </c>
      <c r="R440" t="s">
        <v>207</v>
      </c>
      <c r="S440" t="s">
        <v>207</v>
      </c>
      <c r="T440" t="s">
        <v>207</v>
      </c>
      <c r="U440" t="s">
        <v>207</v>
      </c>
      <c r="V440" t="s">
        <v>207</v>
      </c>
      <c r="W440" t="s">
        <v>207</v>
      </c>
      <c r="X440" t="s">
        <v>207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208</v>
      </c>
      <c r="BA440">
        <v>18134076278.040001</v>
      </c>
      <c r="BB440" t="s">
        <v>4572</v>
      </c>
      <c r="BC440" t="s">
        <v>4536</v>
      </c>
    </row>
    <row r="441" spans="1:55" x14ac:dyDescent="0.25">
      <c r="A441">
        <v>750</v>
      </c>
      <c r="B441" t="s">
        <v>637</v>
      </c>
      <c r="C441" t="s">
        <v>2072</v>
      </c>
      <c r="D441" t="s">
        <v>3507</v>
      </c>
      <c r="E441" t="s">
        <v>4519</v>
      </c>
      <c r="F441">
        <v>643368840</v>
      </c>
      <c r="G441">
        <v>25.860900000000001</v>
      </c>
      <c r="H441" t="s">
        <v>4530</v>
      </c>
      <c r="I441">
        <v>16638097234.356001</v>
      </c>
      <c r="J441" t="s">
        <v>204</v>
      </c>
      <c r="K441">
        <v>36684374.367596902</v>
      </c>
      <c r="L441">
        <v>0.9</v>
      </c>
      <c r="O441" t="s">
        <v>207</v>
      </c>
      <c r="Q441" t="s">
        <v>207</v>
      </c>
      <c r="R441" t="s">
        <v>207</v>
      </c>
      <c r="S441" t="s">
        <v>207</v>
      </c>
      <c r="T441" t="s">
        <v>207</v>
      </c>
      <c r="U441" t="s">
        <v>207</v>
      </c>
      <c r="V441" t="s">
        <v>207</v>
      </c>
      <c r="W441" t="s">
        <v>207</v>
      </c>
      <c r="X441" t="s">
        <v>207</v>
      </c>
      <c r="AG441" t="s">
        <v>4546</v>
      </c>
      <c r="AH441" t="s">
        <v>4563</v>
      </c>
      <c r="AI441" t="s">
        <v>4565</v>
      </c>
      <c r="AJ441" t="s">
        <v>4566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209</v>
      </c>
      <c r="BA441">
        <v>14974287510.920401</v>
      </c>
      <c r="BB441" t="s">
        <v>4572</v>
      </c>
      <c r="BC441" t="s">
        <v>4581</v>
      </c>
    </row>
    <row r="442" spans="1:55" x14ac:dyDescent="0.25">
      <c r="A442">
        <v>730</v>
      </c>
      <c r="B442" t="s">
        <v>638</v>
      </c>
      <c r="C442" t="s">
        <v>2073</v>
      </c>
      <c r="D442" t="s">
        <v>3508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202</v>
      </c>
      <c r="K442">
        <v>313201399.85060698</v>
      </c>
      <c r="L442">
        <v>1</v>
      </c>
      <c r="O442" t="s">
        <v>207</v>
      </c>
      <c r="Q442" t="s">
        <v>207</v>
      </c>
      <c r="R442" t="s">
        <v>207</v>
      </c>
      <c r="S442" t="s">
        <v>207</v>
      </c>
      <c r="T442" t="s">
        <v>207</v>
      </c>
      <c r="U442" t="s">
        <v>207</v>
      </c>
      <c r="V442" t="s">
        <v>207</v>
      </c>
      <c r="W442" t="s">
        <v>207</v>
      </c>
      <c r="X442" t="s">
        <v>207</v>
      </c>
      <c r="AG442" t="s">
        <v>4546</v>
      </c>
      <c r="AH442" t="s">
        <v>4564</v>
      </c>
      <c r="AI442" t="s">
        <v>4565</v>
      </c>
      <c r="AJ442" t="s">
        <v>4566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208</v>
      </c>
      <c r="BA442">
        <v>16081925187.0576</v>
      </c>
      <c r="BB442" t="s">
        <v>4572</v>
      </c>
      <c r="BC442" t="s">
        <v>4581</v>
      </c>
    </row>
    <row r="443" spans="1:55" x14ac:dyDescent="0.25">
      <c r="A443">
        <v>570</v>
      </c>
      <c r="B443" t="s">
        <v>639</v>
      </c>
      <c r="C443" t="s">
        <v>2074</v>
      </c>
      <c r="D443" t="s">
        <v>3509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202</v>
      </c>
      <c r="K443">
        <v>153382924.02924299</v>
      </c>
      <c r="L443">
        <v>1</v>
      </c>
      <c r="M443" t="s">
        <v>4536</v>
      </c>
      <c r="O443" t="s">
        <v>207</v>
      </c>
      <c r="Q443" t="s">
        <v>207</v>
      </c>
      <c r="R443" t="s">
        <v>207</v>
      </c>
      <c r="S443" t="s">
        <v>207</v>
      </c>
      <c r="T443" t="s">
        <v>207</v>
      </c>
      <c r="U443" t="s">
        <v>207</v>
      </c>
      <c r="V443" t="s">
        <v>207</v>
      </c>
      <c r="W443" t="s">
        <v>207</v>
      </c>
      <c r="X443" t="s">
        <v>207</v>
      </c>
      <c r="AK443">
        <v>0</v>
      </c>
      <c r="AL443">
        <v>0.187</v>
      </c>
      <c r="AM443">
        <v>0</v>
      </c>
      <c r="AO443" t="s">
        <v>4568</v>
      </c>
      <c r="AQ443">
        <v>0</v>
      </c>
      <c r="AR443">
        <v>0</v>
      </c>
      <c r="AW443">
        <v>6510</v>
      </c>
      <c r="AX443">
        <v>2.3359999999999999</v>
      </c>
      <c r="AY443" t="s">
        <v>208</v>
      </c>
      <c r="BA443">
        <v>22244655380</v>
      </c>
      <c r="BB443" t="s">
        <v>4572</v>
      </c>
      <c r="BC443" t="s">
        <v>4582</v>
      </c>
    </row>
    <row r="444" spans="1:55" x14ac:dyDescent="0.25">
      <c r="A444">
        <v>787</v>
      </c>
      <c r="B444" t="s">
        <v>640</v>
      </c>
      <c r="C444" t="s">
        <v>2075</v>
      </c>
      <c r="D444" t="s">
        <v>3510</v>
      </c>
      <c r="E444" t="s">
        <v>4519</v>
      </c>
      <c r="F444">
        <v>211833200</v>
      </c>
      <c r="G444">
        <v>73.967929999999996</v>
      </c>
      <c r="H444" t="s">
        <v>4530</v>
      </c>
      <c r="I444">
        <v>15668863309.275999</v>
      </c>
      <c r="J444" t="s">
        <v>204</v>
      </c>
      <c r="K444">
        <v>62142347.337688804</v>
      </c>
      <c r="L444">
        <v>0.8</v>
      </c>
      <c r="M444" t="s">
        <v>4536</v>
      </c>
      <c r="O444" t="s">
        <v>207</v>
      </c>
      <c r="Q444" t="s">
        <v>207</v>
      </c>
      <c r="R444" t="s">
        <v>207</v>
      </c>
      <c r="S444" t="s">
        <v>207</v>
      </c>
      <c r="T444" t="s">
        <v>207</v>
      </c>
      <c r="U444" t="s">
        <v>207</v>
      </c>
      <c r="V444" t="s">
        <v>207</v>
      </c>
      <c r="W444" t="s">
        <v>207</v>
      </c>
      <c r="X444" t="s">
        <v>207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209</v>
      </c>
      <c r="AZ444" t="s">
        <v>4571</v>
      </c>
      <c r="BA444">
        <v>12535090647.420799</v>
      </c>
      <c r="BB444" t="s">
        <v>4572</v>
      </c>
      <c r="BC444" t="s">
        <v>4577</v>
      </c>
    </row>
    <row r="445" spans="1:55" x14ac:dyDescent="0.25">
      <c r="A445">
        <v>912</v>
      </c>
      <c r="B445" t="s">
        <v>641</v>
      </c>
      <c r="C445" t="s">
        <v>2076</v>
      </c>
      <c r="D445" t="s">
        <v>3511</v>
      </c>
      <c r="E445" t="s">
        <v>94</v>
      </c>
      <c r="F445">
        <v>1989342800</v>
      </c>
      <c r="G445">
        <v>3.8780489999999999</v>
      </c>
      <c r="H445" t="s">
        <v>102</v>
      </c>
      <c r="I445">
        <v>7714768856.1971998</v>
      </c>
      <c r="J445" t="s">
        <v>205</v>
      </c>
      <c r="K445">
        <v>20683896.237177599</v>
      </c>
      <c r="L445">
        <v>1</v>
      </c>
      <c r="M445" t="s">
        <v>4536</v>
      </c>
      <c r="O445" t="s">
        <v>207</v>
      </c>
      <c r="Q445" t="s">
        <v>207</v>
      </c>
      <c r="R445" t="s">
        <v>207</v>
      </c>
      <c r="S445" t="s">
        <v>207</v>
      </c>
      <c r="T445" t="s">
        <v>207</v>
      </c>
      <c r="U445" t="s">
        <v>207</v>
      </c>
      <c r="V445" t="s">
        <v>207</v>
      </c>
      <c r="W445" t="s">
        <v>207</v>
      </c>
      <c r="X445" t="s">
        <v>207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210</v>
      </c>
      <c r="BA445">
        <v>7714768856.1971998</v>
      </c>
      <c r="BB445" t="s">
        <v>4572</v>
      </c>
      <c r="BC445" t="s">
        <v>4536</v>
      </c>
    </row>
    <row r="446" spans="1:55" x14ac:dyDescent="0.25">
      <c r="A446">
        <v>1122</v>
      </c>
      <c r="B446" t="s">
        <v>642</v>
      </c>
      <c r="C446" t="s">
        <v>2077</v>
      </c>
      <c r="D446" t="s">
        <v>3512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203</v>
      </c>
      <c r="K446">
        <v>16872157.613934401</v>
      </c>
      <c r="L446">
        <v>0.5</v>
      </c>
      <c r="M446" t="s">
        <v>4536</v>
      </c>
      <c r="O446" t="s">
        <v>207</v>
      </c>
      <c r="Q446" t="s">
        <v>207</v>
      </c>
      <c r="R446" t="s">
        <v>207</v>
      </c>
      <c r="S446" t="s">
        <v>207</v>
      </c>
      <c r="T446" t="s">
        <v>207</v>
      </c>
      <c r="U446" t="s">
        <v>207</v>
      </c>
      <c r="V446" t="s">
        <v>207</v>
      </c>
      <c r="W446" t="s">
        <v>207</v>
      </c>
      <c r="X446" t="s">
        <v>207</v>
      </c>
      <c r="AG446" t="s">
        <v>4546</v>
      </c>
      <c r="AH446" t="s">
        <v>4564</v>
      </c>
      <c r="AI446" t="s">
        <v>4565</v>
      </c>
      <c r="AJ446" t="s">
        <v>4566</v>
      </c>
      <c r="AK446">
        <v>3.3999999999999998E-3</v>
      </c>
      <c r="AL446">
        <v>0.05</v>
      </c>
      <c r="AM446">
        <v>0.01</v>
      </c>
      <c r="AN446" t="s">
        <v>4567</v>
      </c>
      <c r="AO446" t="s">
        <v>4568</v>
      </c>
      <c r="AP446" t="s">
        <v>4569</v>
      </c>
      <c r="AQ446">
        <v>0</v>
      </c>
      <c r="AR446">
        <v>0</v>
      </c>
      <c r="AW446">
        <v>5520</v>
      </c>
      <c r="AX446">
        <v>2.661</v>
      </c>
      <c r="AY446" t="s">
        <v>209</v>
      </c>
      <c r="BA446">
        <v>4424670000</v>
      </c>
      <c r="BB446" t="s">
        <v>4572</v>
      </c>
      <c r="BC446" t="s">
        <v>4614</v>
      </c>
    </row>
    <row r="447" spans="1:55" x14ac:dyDescent="0.25">
      <c r="A447">
        <v>335</v>
      </c>
      <c r="B447" t="s">
        <v>643</v>
      </c>
      <c r="C447" t="s">
        <v>2078</v>
      </c>
      <c r="D447" t="s">
        <v>3513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202</v>
      </c>
      <c r="K447">
        <v>256795064.010014</v>
      </c>
      <c r="L447">
        <v>1</v>
      </c>
      <c r="M447" t="s">
        <v>4536</v>
      </c>
      <c r="O447" t="s">
        <v>207</v>
      </c>
      <c r="Q447" t="s">
        <v>207</v>
      </c>
      <c r="R447" t="s">
        <v>207</v>
      </c>
      <c r="S447" t="s">
        <v>207</v>
      </c>
      <c r="T447" t="s">
        <v>207</v>
      </c>
      <c r="U447" t="s">
        <v>207</v>
      </c>
      <c r="V447" t="s">
        <v>207</v>
      </c>
      <c r="W447" t="s">
        <v>207</v>
      </c>
      <c r="X447" t="s">
        <v>207</v>
      </c>
      <c r="AL447">
        <v>8.2000000000000003E-2</v>
      </c>
      <c r="AO447" t="s">
        <v>4568</v>
      </c>
      <c r="AQ447">
        <v>0</v>
      </c>
      <c r="AR447">
        <v>0</v>
      </c>
      <c r="AW447">
        <v>6510</v>
      </c>
      <c r="AX447">
        <v>2.0699999999999998</v>
      </c>
      <c r="AY447" t="s">
        <v>208</v>
      </c>
      <c r="BA447">
        <v>41718190852.657204</v>
      </c>
      <c r="BB447" t="s">
        <v>4572</v>
      </c>
      <c r="BC447" t="s">
        <v>4582</v>
      </c>
    </row>
    <row r="448" spans="1:55" x14ac:dyDescent="0.25">
      <c r="A448">
        <v>1465</v>
      </c>
      <c r="B448" t="s">
        <v>644</v>
      </c>
      <c r="C448" t="s">
        <v>2079</v>
      </c>
      <c r="D448" t="s">
        <v>3514</v>
      </c>
      <c r="E448" t="s">
        <v>93</v>
      </c>
      <c r="F448">
        <v>208624830</v>
      </c>
      <c r="G448">
        <v>11.204549999999999</v>
      </c>
      <c r="H448" t="s">
        <v>101</v>
      </c>
      <c r="I448">
        <v>2337547338.9765</v>
      </c>
      <c r="J448" t="s">
        <v>205</v>
      </c>
      <c r="K448">
        <v>6398353.9039346296</v>
      </c>
      <c r="L448">
        <v>0.9</v>
      </c>
      <c r="M448" t="s">
        <v>4536</v>
      </c>
      <c r="N448" t="s">
        <v>4537</v>
      </c>
      <c r="O448" t="s">
        <v>207</v>
      </c>
      <c r="Q448" t="s">
        <v>207</v>
      </c>
      <c r="R448" t="s">
        <v>207</v>
      </c>
      <c r="S448" t="s">
        <v>207</v>
      </c>
      <c r="T448" t="s">
        <v>207</v>
      </c>
      <c r="U448" t="s">
        <v>207</v>
      </c>
      <c r="V448" t="s">
        <v>207</v>
      </c>
      <c r="W448" t="s">
        <v>207</v>
      </c>
      <c r="X448" t="s">
        <v>207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210</v>
      </c>
      <c r="BA448">
        <v>2103792605.07885</v>
      </c>
      <c r="BB448" t="s">
        <v>4572</v>
      </c>
      <c r="BC448" t="s">
        <v>4575</v>
      </c>
    </row>
    <row r="449" spans="1:55" x14ac:dyDescent="0.25">
      <c r="A449">
        <v>843</v>
      </c>
      <c r="B449" t="s">
        <v>645</v>
      </c>
      <c r="C449" t="s">
        <v>2080</v>
      </c>
      <c r="D449" t="s">
        <v>3515</v>
      </c>
      <c r="E449" t="s">
        <v>96</v>
      </c>
      <c r="F449">
        <v>220984247</v>
      </c>
      <c r="G449">
        <v>94.1</v>
      </c>
      <c r="H449" t="s">
        <v>99</v>
      </c>
      <c r="I449">
        <v>20794617642.700001</v>
      </c>
      <c r="J449" t="s">
        <v>203</v>
      </c>
      <c r="K449">
        <v>13659265.351587299</v>
      </c>
      <c r="L449">
        <v>0.45</v>
      </c>
      <c r="M449" t="s">
        <v>4536</v>
      </c>
      <c r="O449" t="s">
        <v>206</v>
      </c>
      <c r="Q449" t="s">
        <v>207</v>
      </c>
      <c r="R449" t="s">
        <v>207</v>
      </c>
      <c r="S449" t="s">
        <v>207</v>
      </c>
      <c r="T449" t="s">
        <v>207</v>
      </c>
      <c r="U449" t="s">
        <v>207</v>
      </c>
      <c r="V449" t="s">
        <v>207</v>
      </c>
      <c r="W449" t="s">
        <v>207</v>
      </c>
      <c r="X449" t="s">
        <v>207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209</v>
      </c>
      <c r="BA449">
        <v>9357577939.2149982</v>
      </c>
      <c r="BB449" t="s">
        <v>4572</v>
      </c>
      <c r="BC449" t="s">
        <v>4536</v>
      </c>
    </row>
    <row r="450" spans="1:55" x14ac:dyDescent="0.25">
      <c r="A450">
        <v>550</v>
      </c>
      <c r="B450" t="s">
        <v>646</v>
      </c>
      <c r="C450" t="s">
        <v>2081</v>
      </c>
      <c r="D450" t="s">
        <v>3516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202</v>
      </c>
      <c r="K450">
        <v>258599179.87003899</v>
      </c>
      <c r="L450">
        <v>1</v>
      </c>
      <c r="M450" t="s">
        <v>4536</v>
      </c>
      <c r="O450" t="s">
        <v>207</v>
      </c>
      <c r="Q450" t="s">
        <v>207</v>
      </c>
      <c r="R450" t="s">
        <v>207</v>
      </c>
      <c r="S450" t="s">
        <v>207</v>
      </c>
      <c r="T450" t="s">
        <v>207</v>
      </c>
      <c r="U450" t="s">
        <v>207</v>
      </c>
      <c r="V450" t="s">
        <v>207</v>
      </c>
      <c r="W450" t="s">
        <v>207</v>
      </c>
      <c r="X450" t="s">
        <v>207</v>
      </c>
      <c r="AK450">
        <v>0</v>
      </c>
      <c r="AL450">
        <v>1</v>
      </c>
      <c r="AM450">
        <v>0</v>
      </c>
      <c r="AO450" t="s">
        <v>4568</v>
      </c>
      <c r="AQ450">
        <v>0</v>
      </c>
      <c r="AR450">
        <v>0</v>
      </c>
      <c r="AW450">
        <v>6010</v>
      </c>
      <c r="AX450">
        <v>2.4689999999999999</v>
      </c>
      <c r="AY450" t="s">
        <v>208</v>
      </c>
      <c r="BA450">
        <v>23019035149.500801</v>
      </c>
      <c r="BB450" t="s">
        <v>4572</v>
      </c>
      <c r="BC450" t="s">
        <v>4582</v>
      </c>
    </row>
    <row r="451" spans="1:55" x14ac:dyDescent="0.25">
      <c r="A451">
        <v>543</v>
      </c>
      <c r="B451" t="s">
        <v>647</v>
      </c>
      <c r="C451" t="s">
        <v>2082</v>
      </c>
      <c r="D451" t="s">
        <v>3517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202</v>
      </c>
      <c r="K451">
        <v>305823591.43094498</v>
      </c>
      <c r="L451">
        <v>1</v>
      </c>
      <c r="M451" t="s">
        <v>4536</v>
      </c>
      <c r="O451" t="s">
        <v>207</v>
      </c>
      <c r="Q451" t="s">
        <v>207</v>
      </c>
      <c r="R451" t="s">
        <v>207</v>
      </c>
      <c r="S451" t="s">
        <v>207</v>
      </c>
      <c r="T451" t="s">
        <v>207</v>
      </c>
      <c r="U451" t="s">
        <v>207</v>
      </c>
      <c r="V451" t="s">
        <v>207</v>
      </c>
      <c r="W451" t="s">
        <v>207</v>
      </c>
      <c r="X451" t="s">
        <v>207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208</v>
      </c>
      <c r="BA451">
        <v>23216926093.007401</v>
      </c>
      <c r="BB451" t="s">
        <v>4572</v>
      </c>
      <c r="BC451" t="s">
        <v>4536</v>
      </c>
    </row>
    <row r="452" spans="1:55" x14ac:dyDescent="0.25">
      <c r="A452">
        <v>330</v>
      </c>
      <c r="B452" t="s">
        <v>648</v>
      </c>
      <c r="C452" t="s">
        <v>2083</v>
      </c>
      <c r="D452" t="s">
        <v>3518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204</v>
      </c>
      <c r="K452">
        <v>53659580.624927901</v>
      </c>
      <c r="L452">
        <v>1</v>
      </c>
      <c r="M452" t="s">
        <v>4536</v>
      </c>
      <c r="O452" t="s">
        <v>207</v>
      </c>
      <c r="Q452" t="s">
        <v>207</v>
      </c>
      <c r="R452" t="s">
        <v>207</v>
      </c>
      <c r="S452" t="s">
        <v>207</v>
      </c>
      <c r="T452" t="s">
        <v>207</v>
      </c>
      <c r="U452" t="s">
        <v>207</v>
      </c>
      <c r="V452" t="s">
        <v>207</v>
      </c>
      <c r="W452" t="s">
        <v>207</v>
      </c>
      <c r="X452" t="s">
        <v>207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209</v>
      </c>
      <c r="BA452">
        <v>42656053398.844002</v>
      </c>
      <c r="BB452" t="s">
        <v>4572</v>
      </c>
      <c r="BC452" t="s">
        <v>4536</v>
      </c>
    </row>
    <row r="453" spans="1:55" x14ac:dyDescent="0.25">
      <c r="A453">
        <v>425</v>
      </c>
      <c r="B453" t="s">
        <v>649</v>
      </c>
      <c r="C453" t="s">
        <v>2084</v>
      </c>
      <c r="D453" t="s">
        <v>3519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202</v>
      </c>
      <c r="K453">
        <v>166024303.646467</v>
      </c>
      <c r="L453">
        <v>1</v>
      </c>
      <c r="M453" t="s">
        <v>4536</v>
      </c>
      <c r="O453" t="s">
        <v>207</v>
      </c>
      <c r="Q453" t="s">
        <v>207</v>
      </c>
      <c r="R453" t="s">
        <v>207</v>
      </c>
      <c r="S453" t="s">
        <v>207</v>
      </c>
      <c r="T453" t="s">
        <v>207</v>
      </c>
      <c r="U453" t="s">
        <v>207</v>
      </c>
      <c r="V453" t="s">
        <v>207</v>
      </c>
      <c r="W453" t="s">
        <v>207</v>
      </c>
      <c r="X453" t="s">
        <v>207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208</v>
      </c>
      <c r="BA453">
        <v>31620126450.266998</v>
      </c>
      <c r="BB453" t="s">
        <v>4572</v>
      </c>
      <c r="BC453" t="s">
        <v>4536</v>
      </c>
    </row>
    <row r="454" spans="1:55" x14ac:dyDescent="0.25">
      <c r="A454">
        <v>13</v>
      </c>
      <c r="B454" t="s">
        <v>650</v>
      </c>
      <c r="C454" t="s">
        <v>2085</v>
      </c>
      <c r="D454" t="s">
        <v>3520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202</v>
      </c>
      <c r="K454">
        <v>1661566484.0468299</v>
      </c>
      <c r="L454">
        <v>1</v>
      </c>
      <c r="O454" t="s">
        <v>4538</v>
      </c>
      <c r="P454" t="s">
        <v>4540</v>
      </c>
      <c r="Q454" t="s">
        <v>207</v>
      </c>
      <c r="R454" t="s">
        <v>207</v>
      </c>
      <c r="S454" t="s">
        <v>207</v>
      </c>
      <c r="T454" t="s">
        <v>207</v>
      </c>
      <c r="U454" t="s">
        <v>207</v>
      </c>
      <c r="V454" t="s">
        <v>207</v>
      </c>
      <c r="W454" t="s">
        <v>207</v>
      </c>
      <c r="X454" t="s">
        <v>207</v>
      </c>
      <c r="AG454" t="s">
        <v>4546</v>
      </c>
      <c r="AH454" t="s">
        <v>4564</v>
      </c>
      <c r="AI454" t="s">
        <v>4565</v>
      </c>
      <c r="AJ454" t="s">
        <v>4566</v>
      </c>
      <c r="AK454">
        <v>0</v>
      </c>
      <c r="AL454">
        <v>0.94499999999999995</v>
      </c>
      <c r="AM454">
        <v>0.01</v>
      </c>
      <c r="AO454" t="s">
        <v>4568</v>
      </c>
      <c r="AP454" t="s">
        <v>4569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208</v>
      </c>
      <c r="BA454">
        <v>459397282534.08002</v>
      </c>
      <c r="BB454" t="s">
        <v>4572</v>
      </c>
      <c r="BC454" t="s">
        <v>4624</v>
      </c>
    </row>
    <row r="455" spans="1:55" x14ac:dyDescent="0.25">
      <c r="A455">
        <v>720</v>
      </c>
      <c r="B455" t="s">
        <v>651</v>
      </c>
      <c r="C455" t="s">
        <v>2086</v>
      </c>
      <c r="D455" t="s">
        <v>3521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202</v>
      </c>
      <c r="K455">
        <v>148379523.729258</v>
      </c>
      <c r="L455">
        <v>1</v>
      </c>
      <c r="M455" t="s">
        <v>4536</v>
      </c>
      <c r="O455" t="s">
        <v>207</v>
      </c>
      <c r="Q455" t="s">
        <v>207</v>
      </c>
      <c r="R455" t="s">
        <v>207</v>
      </c>
      <c r="S455" t="s">
        <v>207</v>
      </c>
      <c r="T455" t="s">
        <v>207</v>
      </c>
      <c r="U455" t="s">
        <v>207</v>
      </c>
      <c r="V455" t="s">
        <v>207</v>
      </c>
      <c r="W455" t="s">
        <v>207</v>
      </c>
      <c r="X455" t="s">
        <v>207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208</v>
      </c>
      <c r="AZ455" t="s">
        <v>4571</v>
      </c>
      <c r="BA455">
        <v>16298137110.108801</v>
      </c>
      <c r="BB455" t="s">
        <v>4572</v>
      </c>
      <c r="BC455" t="s">
        <v>4577</v>
      </c>
    </row>
    <row r="456" spans="1:55" x14ac:dyDescent="0.25">
      <c r="A456">
        <v>706</v>
      </c>
      <c r="B456" t="s">
        <v>652</v>
      </c>
      <c r="C456" t="s">
        <v>2087</v>
      </c>
      <c r="D456" t="s">
        <v>3522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202</v>
      </c>
      <c r="K456">
        <v>131365937.852632</v>
      </c>
      <c r="L456">
        <v>1</v>
      </c>
      <c r="M456" t="s">
        <v>4536</v>
      </c>
      <c r="O456" t="s">
        <v>207</v>
      </c>
      <c r="Q456" t="s">
        <v>207</v>
      </c>
      <c r="R456" t="s">
        <v>207</v>
      </c>
      <c r="S456" t="s">
        <v>207</v>
      </c>
      <c r="T456" t="s">
        <v>207</v>
      </c>
      <c r="U456" t="s">
        <v>207</v>
      </c>
      <c r="V456" t="s">
        <v>207</v>
      </c>
      <c r="W456" t="s">
        <v>207</v>
      </c>
      <c r="X456" t="s">
        <v>207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208</v>
      </c>
      <c r="BA456">
        <v>16797239577.753</v>
      </c>
      <c r="BB456" t="s">
        <v>4572</v>
      </c>
      <c r="BC456" t="s">
        <v>4536</v>
      </c>
    </row>
    <row r="457" spans="1:55" x14ac:dyDescent="0.25">
      <c r="A457">
        <v>352</v>
      </c>
      <c r="B457" t="s">
        <v>653</v>
      </c>
      <c r="C457" t="s">
        <v>2088</v>
      </c>
      <c r="D457" t="s">
        <v>3523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202</v>
      </c>
      <c r="K457">
        <v>373052662.06039399</v>
      </c>
      <c r="L457">
        <v>1</v>
      </c>
      <c r="M457" t="s">
        <v>4536</v>
      </c>
      <c r="O457" t="s">
        <v>207</v>
      </c>
      <c r="Q457" t="s">
        <v>207</v>
      </c>
      <c r="R457" t="s">
        <v>207</v>
      </c>
      <c r="S457" t="s">
        <v>207</v>
      </c>
      <c r="T457" t="s">
        <v>207</v>
      </c>
      <c r="U457" t="s">
        <v>207</v>
      </c>
      <c r="V457" t="s">
        <v>207</v>
      </c>
      <c r="W457" t="s">
        <v>207</v>
      </c>
      <c r="X457" t="s">
        <v>207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208</v>
      </c>
      <c r="AZ457" t="s">
        <v>4571</v>
      </c>
      <c r="BA457">
        <v>39660136708.912003</v>
      </c>
      <c r="BB457" t="s">
        <v>4572</v>
      </c>
      <c r="BC457" t="s">
        <v>4577</v>
      </c>
    </row>
    <row r="458" spans="1:55" x14ac:dyDescent="0.25">
      <c r="A458">
        <v>437</v>
      </c>
      <c r="B458" t="s">
        <v>654</v>
      </c>
      <c r="C458" t="s">
        <v>2089</v>
      </c>
      <c r="D458" t="s">
        <v>3524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202</v>
      </c>
      <c r="K458">
        <v>92263996.723166198</v>
      </c>
      <c r="L458">
        <v>1</v>
      </c>
      <c r="M458" t="s">
        <v>4536</v>
      </c>
      <c r="O458" t="s">
        <v>207</v>
      </c>
      <c r="Q458" t="s">
        <v>207</v>
      </c>
      <c r="R458" t="s">
        <v>207</v>
      </c>
      <c r="S458" t="s">
        <v>207</v>
      </c>
      <c r="T458" t="s">
        <v>207</v>
      </c>
      <c r="U458" t="s">
        <v>207</v>
      </c>
      <c r="V458" t="s">
        <v>207</v>
      </c>
      <c r="W458" t="s">
        <v>207</v>
      </c>
      <c r="X458" t="s">
        <v>207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208</v>
      </c>
      <c r="BA458">
        <v>30893753106</v>
      </c>
      <c r="BB458" t="s">
        <v>4572</v>
      </c>
      <c r="BC458" t="s">
        <v>4536</v>
      </c>
    </row>
    <row r="459" spans="1:55" x14ac:dyDescent="0.25">
      <c r="A459">
        <v>483</v>
      </c>
      <c r="B459" t="s">
        <v>655</v>
      </c>
      <c r="C459" t="s">
        <v>2090</v>
      </c>
      <c r="D459" t="s">
        <v>3525</v>
      </c>
      <c r="E459" t="s">
        <v>93</v>
      </c>
      <c r="F459">
        <v>995418900</v>
      </c>
      <c r="G459">
        <v>28.567779999999999</v>
      </c>
      <c r="H459" t="s">
        <v>101</v>
      </c>
      <c r="I459">
        <v>28436908143.042</v>
      </c>
      <c r="J459" t="s">
        <v>205</v>
      </c>
      <c r="K459">
        <v>95169856.736526698</v>
      </c>
      <c r="L459">
        <v>0.95</v>
      </c>
      <c r="O459" t="s">
        <v>207</v>
      </c>
      <c r="Q459" t="s">
        <v>207</v>
      </c>
      <c r="R459" t="s">
        <v>207</v>
      </c>
      <c r="S459" t="s">
        <v>207</v>
      </c>
      <c r="T459" t="s">
        <v>207</v>
      </c>
      <c r="U459" t="s">
        <v>207</v>
      </c>
      <c r="V459" t="s">
        <v>207</v>
      </c>
      <c r="W459" t="s">
        <v>207</v>
      </c>
      <c r="X459" t="s">
        <v>207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210</v>
      </c>
      <c r="BA459">
        <v>27015062735.8899</v>
      </c>
      <c r="BB459" t="s">
        <v>211</v>
      </c>
    </row>
    <row r="460" spans="1:55" x14ac:dyDescent="0.25">
      <c r="A460">
        <v>233</v>
      </c>
      <c r="B460" t="s">
        <v>656</v>
      </c>
      <c r="C460" t="s">
        <v>2091</v>
      </c>
      <c r="D460" t="s">
        <v>3526</v>
      </c>
      <c r="E460" t="s">
        <v>93</v>
      </c>
      <c r="F460">
        <v>318220980</v>
      </c>
      <c r="G460">
        <v>300.45089999999999</v>
      </c>
      <c r="H460" t="s">
        <v>101</v>
      </c>
      <c r="I460">
        <v>95609779839.882004</v>
      </c>
      <c r="J460" t="s">
        <v>205</v>
      </c>
      <c r="K460">
        <v>365724370.86571598</v>
      </c>
      <c r="L460">
        <v>0.6</v>
      </c>
      <c r="M460" t="s">
        <v>4536</v>
      </c>
      <c r="O460" t="s">
        <v>206</v>
      </c>
      <c r="Q460" t="s">
        <v>207</v>
      </c>
      <c r="R460" t="s">
        <v>207</v>
      </c>
      <c r="S460" t="s">
        <v>207</v>
      </c>
      <c r="T460" t="s">
        <v>207</v>
      </c>
      <c r="U460" t="s">
        <v>207</v>
      </c>
      <c r="V460" t="s">
        <v>207</v>
      </c>
      <c r="W460" t="s">
        <v>207</v>
      </c>
      <c r="X460" t="s">
        <v>207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210</v>
      </c>
      <c r="BA460">
        <v>57365867903.929199</v>
      </c>
      <c r="BB460" t="s">
        <v>4572</v>
      </c>
      <c r="BC460" t="s">
        <v>4536</v>
      </c>
    </row>
    <row r="461" spans="1:55" x14ac:dyDescent="0.25">
      <c r="A461">
        <v>341</v>
      </c>
      <c r="B461" t="s">
        <v>657</v>
      </c>
      <c r="C461" t="s">
        <v>2092</v>
      </c>
      <c r="D461" t="s">
        <v>3527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202</v>
      </c>
      <c r="K461">
        <v>208060753.79047799</v>
      </c>
      <c r="L461">
        <v>1</v>
      </c>
      <c r="M461" t="s">
        <v>4536</v>
      </c>
      <c r="O461" t="s">
        <v>207</v>
      </c>
      <c r="Q461" t="s">
        <v>207</v>
      </c>
      <c r="R461" t="s">
        <v>207</v>
      </c>
      <c r="S461" t="s">
        <v>207</v>
      </c>
      <c r="T461" t="s">
        <v>207</v>
      </c>
      <c r="U461" t="s">
        <v>207</v>
      </c>
      <c r="V461" t="s">
        <v>207</v>
      </c>
      <c r="W461" t="s">
        <v>207</v>
      </c>
      <c r="X461" t="s">
        <v>207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208</v>
      </c>
      <c r="BA461">
        <v>41014176625.926003</v>
      </c>
      <c r="BB461" t="s">
        <v>4572</v>
      </c>
      <c r="BC461" t="s">
        <v>4536</v>
      </c>
    </row>
    <row r="462" spans="1:55" x14ac:dyDescent="0.25">
      <c r="A462">
        <v>1110</v>
      </c>
      <c r="B462" t="s">
        <v>658</v>
      </c>
      <c r="C462" t="s">
        <v>2093</v>
      </c>
      <c r="D462" t="s">
        <v>3528</v>
      </c>
      <c r="E462" t="s">
        <v>4519</v>
      </c>
      <c r="F462">
        <v>1122623400</v>
      </c>
      <c r="G462">
        <v>6.7223959999999998</v>
      </c>
      <c r="H462" t="s">
        <v>4530</v>
      </c>
      <c r="I462">
        <v>7546719053.6664</v>
      </c>
      <c r="J462" t="s">
        <v>204</v>
      </c>
      <c r="K462">
        <v>11845193.518166499</v>
      </c>
      <c r="L462">
        <v>0.6</v>
      </c>
      <c r="M462" t="s">
        <v>4536</v>
      </c>
      <c r="O462" t="s">
        <v>207</v>
      </c>
      <c r="Q462" t="s">
        <v>207</v>
      </c>
      <c r="R462" t="s">
        <v>207</v>
      </c>
      <c r="S462" t="s">
        <v>207</v>
      </c>
      <c r="T462" t="s">
        <v>207</v>
      </c>
      <c r="U462" t="s">
        <v>207</v>
      </c>
      <c r="V462" t="s">
        <v>207</v>
      </c>
      <c r="W462" t="s">
        <v>207</v>
      </c>
      <c r="X462" t="s">
        <v>207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209</v>
      </c>
      <c r="AZ462" t="s">
        <v>4571</v>
      </c>
      <c r="BA462">
        <v>4528031432.1998396</v>
      </c>
      <c r="BB462" t="s">
        <v>4572</v>
      </c>
      <c r="BC462" t="s">
        <v>4577</v>
      </c>
    </row>
    <row r="463" spans="1:55" x14ac:dyDescent="0.25">
      <c r="A463">
        <v>244</v>
      </c>
      <c r="B463" t="s">
        <v>659</v>
      </c>
      <c r="C463" t="s">
        <v>2094</v>
      </c>
      <c r="D463" t="s">
        <v>3529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202</v>
      </c>
      <c r="K463">
        <v>480327595.59156501</v>
      </c>
      <c r="L463">
        <v>0.95</v>
      </c>
      <c r="O463" t="s">
        <v>207</v>
      </c>
      <c r="Q463" t="s">
        <v>207</v>
      </c>
      <c r="R463" t="s">
        <v>207</v>
      </c>
      <c r="S463" t="s">
        <v>207</v>
      </c>
      <c r="T463" t="s">
        <v>207</v>
      </c>
      <c r="U463" t="s">
        <v>207</v>
      </c>
      <c r="V463" t="s">
        <v>207</v>
      </c>
      <c r="W463" t="s">
        <v>207</v>
      </c>
      <c r="X463" t="s">
        <v>207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208</v>
      </c>
      <c r="AZ463" t="s">
        <v>4571</v>
      </c>
      <c r="BA463">
        <v>55629579800.539001</v>
      </c>
      <c r="BB463" t="s">
        <v>4572</v>
      </c>
      <c r="BC463" t="s">
        <v>4571</v>
      </c>
    </row>
    <row r="464" spans="1:55" x14ac:dyDescent="0.25">
      <c r="A464">
        <v>404</v>
      </c>
      <c r="B464" t="s">
        <v>660</v>
      </c>
      <c r="C464" t="s">
        <v>2095</v>
      </c>
      <c r="D464" t="s">
        <v>3530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202</v>
      </c>
      <c r="K464">
        <v>285824647.78212899</v>
      </c>
      <c r="L464">
        <v>1</v>
      </c>
      <c r="M464" t="s">
        <v>4536</v>
      </c>
      <c r="O464" t="s">
        <v>207</v>
      </c>
      <c r="Q464" t="s">
        <v>207</v>
      </c>
      <c r="R464" t="s">
        <v>207</v>
      </c>
      <c r="S464" t="s">
        <v>207</v>
      </c>
      <c r="T464" t="s">
        <v>207</v>
      </c>
      <c r="U464" t="s">
        <v>207</v>
      </c>
      <c r="V464" t="s">
        <v>207</v>
      </c>
      <c r="W464" t="s">
        <v>207</v>
      </c>
      <c r="X464" t="s">
        <v>207</v>
      </c>
      <c r="AK464">
        <v>0</v>
      </c>
      <c r="AL464">
        <v>0.01</v>
      </c>
      <c r="AM464">
        <v>0</v>
      </c>
      <c r="AO464" t="s">
        <v>4568</v>
      </c>
      <c r="AQ464">
        <v>0</v>
      </c>
      <c r="AR464">
        <v>0</v>
      </c>
      <c r="AW464">
        <v>5020</v>
      </c>
      <c r="AX464">
        <v>2.105</v>
      </c>
      <c r="AY464" t="s">
        <v>208</v>
      </c>
      <c r="BA464">
        <v>33658950693.825001</v>
      </c>
      <c r="BB464" t="s">
        <v>4572</v>
      </c>
      <c r="BC464" t="s">
        <v>4582</v>
      </c>
    </row>
    <row r="465" spans="1:55" x14ac:dyDescent="0.25">
      <c r="A465">
        <v>243</v>
      </c>
      <c r="B465" t="s">
        <v>661</v>
      </c>
      <c r="C465" t="s">
        <v>2096</v>
      </c>
      <c r="D465" t="s">
        <v>3531</v>
      </c>
      <c r="E465" t="s">
        <v>4517</v>
      </c>
      <c r="F465">
        <v>193923499</v>
      </c>
      <c r="G465">
        <v>482.1</v>
      </c>
      <c r="H465" t="s">
        <v>99</v>
      </c>
      <c r="I465">
        <v>93490518867.900009</v>
      </c>
      <c r="J465" t="s">
        <v>203</v>
      </c>
      <c r="K465">
        <v>134327130.69590199</v>
      </c>
      <c r="L465">
        <v>0.60000000000000009</v>
      </c>
      <c r="M465" t="s">
        <v>4536</v>
      </c>
      <c r="O465" t="s">
        <v>207</v>
      </c>
      <c r="Q465" t="s">
        <v>207</v>
      </c>
      <c r="R465" t="s">
        <v>207</v>
      </c>
      <c r="S465" t="s">
        <v>207</v>
      </c>
      <c r="T465" t="s">
        <v>207</v>
      </c>
      <c r="U465" t="s">
        <v>207</v>
      </c>
      <c r="V465" t="s">
        <v>207</v>
      </c>
      <c r="W465" t="s">
        <v>207</v>
      </c>
      <c r="X465" t="s">
        <v>207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209</v>
      </c>
      <c r="BA465">
        <v>56094311320.740013</v>
      </c>
      <c r="BB465" t="s">
        <v>4572</v>
      </c>
      <c r="BC465" t="s">
        <v>4536</v>
      </c>
    </row>
    <row r="466" spans="1:55" x14ac:dyDescent="0.25">
      <c r="A466">
        <v>614</v>
      </c>
      <c r="B466" t="s">
        <v>662</v>
      </c>
      <c r="C466" t="s">
        <v>2097</v>
      </c>
      <c r="D466" t="s">
        <v>3532</v>
      </c>
      <c r="E466" t="s">
        <v>92</v>
      </c>
      <c r="F466">
        <v>729559940</v>
      </c>
      <c r="G466">
        <v>42.74</v>
      </c>
      <c r="H466" t="s">
        <v>99</v>
      </c>
      <c r="I466">
        <v>31181391835.599998</v>
      </c>
      <c r="J466" t="s">
        <v>203</v>
      </c>
      <c r="K466">
        <v>44305414.591396801</v>
      </c>
      <c r="L466">
        <v>0.65</v>
      </c>
      <c r="M466" t="s">
        <v>4536</v>
      </c>
      <c r="O466" t="s">
        <v>207</v>
      </c>
      <c r="Q466" t="s">
        <v>207</v>
      </c>
      <c r="R466" t="s">
        <v>207</v>
      </c>
      <c r="S466" t="s">
        <v>207</v>
      </c>
      <c r="T466" t="s">
        <v>207</v>
      </c>
      <c r="U466" t="s">
        <v>207</v>
      </c>
      <c r="V466" t="s">
        <v>207</v>
      </c>
      <c r="W466" t="s">
        <v>207</v>
      </c>
      <c r="X466" t="s">
        <v>207</v>
      </c>
      <c r="AK466">
        <v>0</v>
      </c>
      <c r="AL466">
        <v>0.01</v>
      </c>
      <c r="AM466">
        <v>0</v>
      </c>
      <c r="AO466" t="s">
        <v>4568</v>
      </c>
      <c r="AQ466">
        <v>0</v>
      </c>
      <c r="AR466">
        <v>0.01</v>
      </c>
      <c r="AW466">
        <v>5010</v>
      </c>
      <c r="AX466">
        <v>2.694</v>
      </c>
      <c r="AY466" t="s">
        <v>209</v>
      </c>
      <c r="BA466">
        <v>20267904693.139999</v>
      </c>
      <c r="BB466" t="s">
        <v>4572</v>
      </c>
      <c r="BC466" t="s">
        <v>4582</v>
      </c>
    </row>
    <row r="467" spans="1:55" x14ac:dyDescent="0.25">
      <c r="A467">
        <v>392</v>
      </c>
      <c r="B467" t="s">
        <v>663</v>
      </c>
      <c r="C467" t="s">
        <v>2098</v>
      </c>
      <c r="D467" t="s">
        <v>3533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202</v>
      </c>
      <c r="K467">
        <v>252478934.89791501</v>
      </c>
      <c r="L467">
        <v>1</v>
      </c>
      <c r="M467" t="s">
        <v>4536</v>
      </c>
      <c r="O467" t="s">
        <v>207</v>
      </c>
      <c r="Q467" t="s">
        <v>207</v>
      </c>
      <c r="R467" t="s">
        <v>207</v>
      </c>
      <c r="S467" t="s">
        <v>207</v>
      </c>
      <c r="T467" t="s">
        <v>207</v>
      </c>
      <c r="U467" t="s">
        <v>207</v>
      </c>
      <c r="V467" t="s">
        <v>207</v>
      </c>
      <c r="W467" t="s">
        <v>207</v>
      </c>
      <c r="X467" t="s">
        <v>207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208</v>
      </c>
      <c r="BA467">
        <v>35388764655.907997</v>
      </c>
      <c r="BB467" t="s">
        <v>4572</v>
      </c>
      <c r="BC467" t="s">
        <v>4536</v>
      </c>
    </row>
    <row r="468" spans="1:55" x14ac:dyDescent="0.25">
      <c r="A468">
        <v>479</v>
      </c>
      <c r="B468" t="s">
        <v>664</v>
      </c>
      <c r="C468" t="s">
        <v>2099</v>
      </c>
      <c r="D468" t="s">
        <v>3534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202</v>
      </c>
      <c r="K468">
        <v>189086046.75701401</v>
      </c>
      <c r="L468">
        <v>1</v>
      </c>
      <c r="M468" t="s">
        <v>4536</v>
      </c>
      <c r="O468" t="s">
        <v>207</v>
      </c>
      <c r="Q468" t="s">
        <v>207</v>
      </c>
      <c r="R468" t="s">
        <v>207</v>
      </c>
      <c r="S468" t="s">
        <v>207</v>
      </c>
      <c r="T468" t="s">
        <v>207</v>
      </c>
      <c r="U468" t="s">
        <v>207</v>
      </c>
      <c r="V468" t="s">
        <v>207</v>
      </c>
      <c r="W468" t="s">
        <v>207</v>
      </c>
      <c r="X468" t="s">
        <v>207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208</v>
      </c>
      <c r="BA468">
        <v>27501576965.987099</v>
      </c>
      <c r="BB468" t="s">
        <v>4572</v>
      </c>
      <c r="BC468" t="s">
        <v>4536</v>
      </c>
    </row>
    <row r="469" spans="1:55" x14ac:dyDescent="0.25">
      <c r="A469">
        <v>813</v>
      </c>
      <c r="B469" t="s">
        <v>665</v>
      </c>
      <c r="C469" t="s">
        <v>2100</v>
      </c>
      <c r="D469" t="s">
        <v>3535</v>
      </c>
      <c r="E469" t="s">
        <v>4517</v>
      </c>
      <c r="F469">
        <v>610999427</v>
      </c>
      <c r="G469">
        <v>17.695</v>
      </c>
      <c r="H469" t="s">
        <v>99</v>
      </c>
      <c r="I469">
        <v>10811634860.764999</v>
      </c>
      <c r="J469" t="s">
        <v>203</v>
      </c>
      <c r="K469">
        <v>31047353.379344299</v>
      </c>
      <c r="L469">
        <v>1</v>
      </c>
      <c r="M469" t="s">
        <v>4536</v>
      </c>
      <c r="O469" t="s">
        <v>207</v>
      </c>
      <c r="Q469" t="s">
        <v>207</v>
      </c>
      <c r="R469" t="s">
        <v>207</v>
      </c>
      <c r="S469" t="s">
        <v>207</v>
      </c>
      <c r="T469" t="s">
        <v>207</v>
      </c>
      <c r="U469" t="s">
        <v>207</v>
      </c>
      <c r="V469" t="s">
        <v>207</v>
      </c>
      <c r="W469" t="s">
        <v>207</v>
      </c>
      <c r="X469" t="s">
        <v>207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209</v>
      </c>
      <c r="BA469">
        <v>10811634860.764999</v>
      </c>
      <c r="BB469" t="s">
        <v>4572</v>
      </c>
      <c r="BC469" t="s">
        <v>4536</v>
      </c>
    </row>
    <row r="470" spans="1:55" x14ac:dyDescent="0.25">
      <c r="A470">
        <v>571</v>
      </c>
      <c r="B470" t="s">
        <v>666</v>
      </c>
      <c r="C470" t="s">
        <v>2101</v>
      </c>
      <c r="D470" t="s">
        <v>3536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202</v>
      </c>
      <c r="K470">
        <v>156048250.55525401</v>
      </c>
      <c r="L470">
        <v>0.9</v>
      </c>
      <c r="M470" t="s">
        <v>4536</v>
      </c>
      <c r="O470" t="s">
        <v>207</v>
      </c>
      <c r="Q470" t="s">
        <v>207</v>
      </c>
      <c r="R470" t="s">
        <v>207</v>
      </c>
      <c r="S470" t="s">
        <v>207</v>
      </c>
      <c r="T470" t="s">
        <v>207</v>
      </c>
      <c r="U470" t="s">
        <v>207</v>
      </c>
      <c r="V470" t="s">
        <v>207</v>
      </c>
      <c r="W470" t="s">
        <v>207</v>
      </c>
      <c r="X470" t="s">
        <v>207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208</v>
      </c>
      <c r="AZ470" t="s">
        <v>4571</v>
      </c>
      <c r="BA470">
        <v>22177877227.398899</v>
      </c>
      <c r="BB470" t="s">
        <v>4572</v>
      </c>
      <c r="BC470" t="s">
        <v>4577</v>
      </c>
    </row>
    <row r="471" spans="1:55" x14ac:dyDescent="0.25">
      <c r="A471">
        <v>572</v>
      </c>
      <c r="B471" t="s">
        <v>667</v>
      </c>
      <c r="C471" t="s">
        <v>2102</v>
      </c>
      <c r="D471" t="s">
        <v>3537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202</v>
      </c>
      <c r="K471">
        <v>123242136.52384099</v>
      </c>
      <c r="L471">
        <v>0.95</v>
      </c>
      <c r="M471" t="s">
        <v>4536</v>
      </c>
      <c r="O471" t="s">
        <v>206</v>
      </c>
      <c r="Q471" t="s">
        <v>207</v>
      </c>
      <c r="R471" t="s">
        <v>207</v>
      </c>
      <c r="S471" t="s">
        <v>207</v>
      </c>
      <c r="T471" t="s">
        <v>207</v>
      </c>
      <c r="U471" t="s">
        <v>207</v>
      </c>
      <c r="V471" t="s">
        <v>207</v>
      </c>
      <c r="W471" t="s">
        <v>207</v>
      </c>
      <c r="X471" t="s">
        <v>207</v>
      </c>
      <c r="AK471">
        <v>0.112</v>
      </c>
      <c r="AL471">
        <v>0.112</v>
      </c>
      <c r="AM471">
        <v>0.10199999999999999</v>
      </c>
      <c r="AN471" t="s">
        <v>4567</v>
      </c>
      <c r="AO471" t="s">
        <v>4568</v>
      </c>
      <c r="AP471" t="s">
        <v>4569</v>
      </c>
      <c r="AQ471">
        <v>0</v>
      </c>
      <c r="AR471">
        <v>0</v>
      </c>
      <c r="AW471">
        <v>6510</v>
      </c>
      <c r="AX471">
        <v>2.0739999999999998</v>
      </c>
      <c r="AY471" t="s">
        <v>208</v>
      </c>
      <c r="BA471">
        <v>22146175141.982498</v>
      </c>
      <c r="BB471" t="s">
        <v>4572</v>
      </c>
      <c r="BC471" t="s">
        <v>4576</v>
      </c>
    </row>
    <row r="472" spans="1:55" x14ac:dyDescent="0.25">
      <c r="A472">
        <v>95</v>
      </c>
      <c r="B472" t="s">
        <v>668</v>
      </c>
      <c r="C472" t="s">
        <v>2103</v>
      </c>
      <c r="D472" t="s">
        <v>3538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202</v>
      </c>
      <c r="K472">
        <v>591646533.71962905</v>
      </c>
      <c r="L472">
        <v>1</v>
      </c>
      <c r="M472" t="s">
        <v>4536</v>
      </c>
      <c r="O472" t="s">
        <v>207</v>
      </c>
      <c r="Q472" t="s">
        <v>207</v>
      </c>
      <c r="R472" t="s">
        <v>207</v>
      </c>
      <c r="S472" t="s">
        <v>207</v>
      </c>
      <c r="T472" t="s">
        <v>207</v>
      </c>
      <c r="U472" t="s">
        <v>207</v>
      </c>
      <c r="V472" t="s">
        <v>207</v>
      </c>
      <c r="W472" t="s">
        <v>207</v>
      </c>
      <c r="X472" t="s">
        <v>207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208</v>
      </c>
      <c r="BA472">
        <v>124734455331.68401</v>
      </c>
      <c r="BB472" t="s">
        <v>4572</v>
      </c>
      <c r="BC472" t="s">
        <v>4536</v>
      </c>
    </row>
    <row r="473" spans="1:55" x14ac:dyDescent="0.25">
      <c r="A473">
        <v>814</v>
      </c>
      <c r="B473" t="s">
        <v>669</v>
      </c>
      <c r="C473" t="s">
        <v>2104</v>
      </c>
      <c r="D473" t="s">
        <v>3539</v>
      </c>
      <c r="E473" t="s">
        <v>4525</v>
      </c>
      <c r="F473">
        <v>586139400</v>
      </c>
      <c r="G473">
        <v>19.30584</v>
      </c>
      <c r="H473" t="s">
        <v>4533</v>
      </c>
      <c r="I473">
        <v>11315913474.096001</v>
      </c>
      <c r="J473" t="s">
        <v>205</v>
      </c>
      <c r="K473">
        <v>9410681.1201536004</v>
      </c>
      <c r="L473">
        <v>0.95</v>
      </c>
      <c r="M473" t="s">
        <v>4536</v>
      </c>
      <c r="N473" t="s">
        <v>4537</v>
      </c>
      <c r="O473" t="s">
        <v>207</v>
      </c>
      <c r="Q473" t="s">
        <v>207</v>
      </c>
      <c r="R473" t="s">
        <v>207</v>
      </c>
      <c r="S473" t="s">
        <v>207</v>
      </c>
      <c r="T473" t="s">
        <v>207</v>
      </c>
      <c r="U473" t="s">
        <v>207</v>
      </c>
      <c r="V473" t="s">
        <v>207</v>
      </c>
      <c r="W473" t="s">
        <v>207</v>
      </c>
      <c r="X473" t="s">
        <v>207</v>
      </c>
      <c r="AG473" t="s">
        <v>4546</v>
      </c>
      <c r="AH473" t="s">
        <v>4562</v>
      </c>
      <c r="AI473" t="s">
        <v>4565</v>
      </c>
      <c r="AJ473" t="s">
        <v>4566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210</v>
      </c>
      <c r="BA473">
        <v>10750117800.391199</v>
      </c>
      <c r="BB473" t="s">
        <v>4572</v>
      </c>
      <c r="BC473" t="s">
        <v>4592</v>
      </c>
    </row>
    <row r="474" spans="1:55" x14ac:dyDescent="0.25">
      <c r="A474">
        <v>1132</v>
      </c>
      <c r="B474" t="s">
        <v>670</v>
      </c>
      <c r="C474" t="s">
        <v>2105</v>
      </c>
      <c r="D474" t="s">
        <v>3540</v>
      </c>
      <c r="E474" t="s">
        <v>95</v>
      </c>
      <c r="F474">
        <v>30701876</v>
      </c>
      <c r="G474">
        <v>233.49789999999999</v>
      </c>
      <c r="H474" t="s">
        <v>103</v>
      </c>
      <c r="I474">
        <v>7168823572.0604</v>
      </c>
      <c r="J474" t="s">
        <v>204</v>
      </c>
      <c r="K474">
        <v>11390899.690463601</v>
      </c>
      <c r="L474">
        <v>0.6</v>
      </c>
      <c r="M474" t="s">
        <v>4536</v>
      </c>
      <c r="O474" t="s">
        <v>207</v>
      </c>
      <c r="Q474" t="s">
        <v>207</v>
      </c>
      <c r="R474" t="s">
        <v>207</v>
      </c>
      <c r="S474" t="s">
        <v>207</v>
      </c>
      <c r="T474" t="s">
        <v>207</v>
      </c>
      <c r="U474" t="s">
        <v>207</v>
      </c>
      <c r="V474" t="s">
        <v>207</v>
      </c>
      <c r="W474" t="s">
        <v>207</v>
      </c>
      <c r="X474" t="s">
        <v>207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209</v>
      </c>
      <c r="AZ474" t="s">
        <v>4571</v>
      </c>
      <c r="BA474">
        <v>4301294143.2362394</v>
      </c>
      <c r="BB474" t="s">
        <v>4572</v>
      </c>
      <c r="BC474" t="s">
        <v>4577</v>
      </c>
    </row>
    <row r="475" spans="1:55" x14ac:dyDescent="0.25">
      <c r="A475">
        <v>317</v>
      </c>
      <c r="B475" t="s">
        <v>671</v>
      </c>
      <c r="C475" t="s">
        <v>2106</v>
      </c>
      <c r="D475" t="s">
        <v>3541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202</v>
      </c>
      <c r="K475">
        <v>348616198.58589703</v>
      </c>
      <c r="L475">
        <v>0.95</v>
      </c>
      <c r="M475" t="s">
        <v>4536</v>
      </c>
      <c r="O475" t="s">
        <v>207</v>
      </c>
      <c r="Q475" t="s">
        <v>207</v>
      </c>
      <c r="R475" t="s">
        <v>207</v>
      </c>
      <c r="S475" t="s">
        <v>207</v>
      </c>
      <c r="T475" t="s">
        <v>207</v>
      </c>
      <c r="U475" t="s">
        <v>207</v>
      </c>
      <c r="V475" t="s">
        <v>207</v>
      </c>
      <c r="W475" t="s">
        <v>207</v>
      </c>
      <c r="X475" t="s">
        <v>207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208</v>
      </c>
      <c r="BA475">
        <v>43961056201.786003</v>
      </c>
      <c r="BB475" t="s">
        <v>4572</v>
      </c>
      <c r="BC475" t="s">
        <v>4536</v>
      </c>
    </row>
    <row r="476" spans="1:55" x14ac:dyDescent="0.25">
      <c r="A476">
        <v>1148</v>
      </c>
      <c r="B476" t="s">
        <v>672</v>
      </c>
      <c r="C476" t="s">
        <v>2107</v>
      </c>
      <c r="D476" t="s">
        <v>3542</v>
      </c>
      <c r="E476" t="s">
        <v>4525</v>
      </c>
      <c r="F476">
        <v>1609190600</v>
      </c>
      <c r="G476">
        <v>2.5851120000000001</v>
      </c>
      <c r="H476" t="s">
        <v>4533</v>
      </c>
      <c r="I476">
        <v>4159937930.3471999</v>
      </c>
      <c r="J476" t="s">
        <v>205</v>
      </c>
      <c r="K476">
        <v>236407.74709656599</v>
      </c>
      <c r="L476">
        <v>1</v>
      </c>
      <c r="M476" t="s">
        <v>4536</v>
      </c>
      <c r="N476" t="s">
        <v>4537</v>
      </c>
      <c r="O476" t="s">
        <v>207</v>
      </c>
      <c r="Q476" t="s">
        <v>207</v>
      </c>
      <c r="R476" t="s">
        <v>207</v>
      </c>
      <c r="S476" t="s">
        <v>207</v>
      </c>
      <c r="T476" t="s">
        <v>207</v>
      </c>
      <c r="U476" t="s">
        <v>207</v>
      </c>
      <c r="V476" t="s">
        <v>207</v>
      </c>
      <c r="W476" t="s">
        <v>207</v>
      </c>
      <c r="X476" t="s">
        <v>207</v>
      </c>
      <c r="AK476">
        <v>2.8999999999999998E-3</v>
      </c>
      <c r="AL476">
        <v>0.01</v>
      </c>
      <c r="AM476">
        <v>8.0000000000000002E-3</v>
      </c>
      <c r="AN476" t="s">
        <v>4567</v>
      </c>
      <c r="AO476" t="s">
        <v>4568</v>
      </c>
      <c r="AP476" t="s">
        <v>4569</v>
      </c>
      <c r="AQ476">
        <v>0</v>
      </c>
      <c r="AR476">
        <v>0</v>
      </c>
      <c r="AW476">
        <v>4510</v>
      </c>
      <c r="AY476" t="s">
        <v>210</v>
      </c>
      <c r="BA476">
        <v>4159937930.3471999</v>
      </c>
      <c r="BB476" t="s">
        <v>4572</v>
      </c>
      <c r="BC476" t="s">
        <v>4620</v>
      </c>
    </row>
    <row r="477" spans="1:55" x14ac:dyDescent="0.25">
      <c r="A477">
        <v>397</v>
      </c>
      <c r="B477" t="s">
        <v>673</v>
      </c>
      <c r="C477" t="s">
        <v>2108</v>
      </c>
      <c r="D477" t="s">
        <v>3543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202</v>
      </c>
      <c r="K477">
        <v>642564084.70033395</v>
      </c>
      <c r="L477">
        <v>1</v>
      </c>
      <c r="M477" t="s">
        <v>4536</v>
      </c>
      <c r="O477" t="s">
        <v>207</v>
      </c>
      <c r="Q477" t="s">
        <v>207</v>
      </c>
      <c r="R477" t="s">
        <v>207</v>
      </c>
      <c r="S477" t="s">
        <v>207</v>
      </c>
      <c r="T477" t="s">
        <v>207</v>
      </c>
      <c r="U477" t="s">
        <v>207</v>
      </c>
      <c r="V477" t="s">
        <v>207</v>
      </c>
      <c r="W477" t="s">
        <v>207</v>
      </c>
      <c r="X477" t="s">
        <v>207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208</v>
      </c>
      <c r="BA477">
        <v>34551208826.215202</v>
      </c>
      <c r="BB477" t="s">
        <v>4572</v>
      </c>
      <c r="BC477" t="s">
        <v>4536</v>
      </c>
    </row>
    <row r="478" spans="1:55" x14ac:dyDescent="0.25">
      <c r="A478">
        <v>641</v>
      </c>
      <c r="B478" t="s">
        <v>674</v>
      </c>
      <c r="C478" t="s">
        <v>2109</v>
      </c>
      <c r="D478" t="s">
        <v>3544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205</v>
      </c>
      <c r="K478">
        <v>69503480.975879103</v>
      </c>
      <c r="L478">
        <v>0.55000000000000004</v>
      </c>
      <c r="M478" t="s">
        <v>4536</v>
      </c>
      <c r="O478" t="s">
        <v>206</v>
      </c>
      <c r="Q478" t="s">
        <v>207</v>
      </c>
      <c r="R478" t="s">
        <v>207</v>
      </c>
      <c r="S478" t="s">
        <v>207</v>
      </c>
      <c r="T478" t="s">
        <v>207</v>
      </c>
      <c r="U478" t="s">
        <v>207</v>
      </c>
      <c r="V478" t="s">
        <v>207</v>
      </c>
      <c r="W478" t="s">
        <v>207</v>
      </c>
      <c r="X478" t="s">
        <v>207</v>
      </c>
      <c r="AK478">
        <v>0</v>
      </c>
      <c r="AL478">
        <v>7.0000000000000001E-3</v>
      </c>
      <c r="AM478">
        <v>7.0000000000000001E-3</v>
      </c>
      <c r="AO478" t="s">
        <v>4568</v>
      </c>
      <c r="AP478" t="s">
        <v>4569</v>
      </c>
      <c r="AQ478">
        <v>0</v>
      </c>
      <c r="AR478">
        <v>0</v>
      </c>
      <c r="AW478">
        <v>5510</v>
      </c>
      <c r="AX478">
        <v>2.294</v>
      </c>
      <c r="AY478" t="s">
        <v>210</v>
      </c>
      <c r="BA478">
        <v>19257609817.462502</v>
      </c>
      <c r="BB478" t="s">
        <v>4572</v>
      </c>
      <c r="BC478" t="s">
        <v>4595</v>
      </c>
    </row>
    <row r="479" spans="1:55" x14ac:dyDescent="0.25">
      <c r="A479">
        <v>191</v>
      </c>
      <c r="B479" t="s">
        <v>675</v>
      </c>
      <c r="C479" t="s">
        <v>2110</v>
      </c>
      <c r="D479" t="s">
        <v>3545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202</v>
      </c>
      <c r="K479">
        <v>424279063.71575701</v>
      </c>
      <c r="L479">
        <v>0.85</v>
      </c>
      <c r="M479" t="s">
        <v>4536</v>
      </c>
      <c r="O479" t="s">
        <v>207</v>
      </c>
      <c r="Q479" t="s">
        <v>207</v>
      </c>
      <c r="R479" t="s">
        <v>207</v>
      </c>
      <c r="S479" t="s">
        <v>207</v>
      </c>
      <c r="T479" t="s">
        <v>207</v>
      </c>
      <c r="U479" t="s">
        <v>207</v>
      </c>
      <c r="V479" t="s">
        <v>207</v>
      </c>
      <c r="W479" t="s">
        <v>207</v>
      </c>
      <c r="X479" t="s">
        <v>207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208</v>
      </c>
      <c r="BA479">
        <v>68556982798.960487</v>
      </c>
      <c r="BB479" t="s">
        <v>4572</v>
      </c>
      <c r="BC479" t="s">
        <v>4536</v>
      </c>
    </row>
    <row r="480" spans="1:55" x14ac:dyDescent="0.25">
      <c r="A480">
        <v>594</v>
      </c>
      <c r="B480" t="s">
        <v>676</v>
      </c>
      <c r="C480" t="s">
        <v>2111</v>
      </c>
      <c r="D480" t="s">
        <v>3546</v>
      </c>
      <c r="E480" t="s">
        <v>97</v>
      </c>
      <c r="F480">
        <v>499300000</v>
      </c>
      <c r="G480">
        <v>42.243110000000001</v>
      </c>
      <c r="H480" t="s">
        <v>104</v>
      </c>
      <c r="I480">
        <v>21091984823</v>
      </c>
      <c r="J480" t="s">
        <v>202</v>
      </c>
      <c r="K480">
        <v>68744385.093248293</v>
      </c>
      <c r="L480">
        <v>1</v>
      </c>
      <c r="M480" t="s">
        <v>4536</v>
      </c>
      <c r="O480" t="s">
        <v>207</v>
      </c>
      <c r="Q480" t="s">
        <v>207</v>
      </c>
      <c r="R480" t="s">
        <v>207</v>
      </c>
      <c r="S480" t="s">
        <v>207</v>
      </c>
      <c r="T480" t="s">
        <v>207</v>
      </c>
      <c r="U480" t="s">
        <v>207</v>
      </c>
      <c r="V480" t="s">
        <v>207</v>
      </c>
      <c r="W480" t="s">
        <v>207</v>
      </c>
      <c r="X480" t="s">
        <v>207</v>
      </c>
      <c r="AK480">
        <v>3.3000000000000002E-2</v>
      </c>
      <c r="AL480">
        <v>0.309</v>
      </c>
      <c r="AM480">
        <v>0.1139</v>
      </c>
      <c r="AN480" t="s">
        <v>4567</v>
      </c>
      <c r="AO480" t="s">
        <v>4568</v>
      </c>
      <c r="AP480" t="s">
        <v>4569</v>
      </c>
      <c r="AQ480">
        <v>0</v>
      </c>
      <c r="AR480">
        <v>0</v>
      </c>
      <c r="AW480">
        <v>6510</v>
      </c>
      <c r="AX480">
        <v>2.0150000000000001</v>
      </c>
      <c r="AY480" t="s">
        <v>208</v>
      </c>
      <c r="BA480">
        <v>21091984823</v>
      </c>
      <c r="BB480" t="s">
        <v>4572</v>
      </c>
      <c r="BC480" t="s">
        <v>4576</v>
      </c>
    </row>
    <row r="481" spans="1:55" x14ac:dyDescent="0.25">
      <c r="A481">
        <v>494</v>
      </c>
      <c r="B481" t="s">
        <v>677</v>
      </c>
      <c r="C481" t="s">
        <v>2112</v>
      </c>
      <c r="D481" t="s">
        <v>3547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202</v>
      </c>
      <c r="K481">
        <v>182800832.00814301</v>
      </c>
      <c r="L481">
        <v>1</v>
      </c>
      <c r="M481" t="s">
        <v>4536</v>
      </c>
      <c r="O481" t="s">
        <v>207</v>
      </c>
      <c r="Q481" t="s">
        <v>207</v>
      </c>
      <c r="R481" t="s">
        <v>207</v>
      </c>
      <c r="S481" t="s">
        <v>4538</v>
      </c>
      <c r="T481" t="s">
        <v>207</v>
      </c>
      <c r="U481" t="s">
        <v>207</v>
      </c>
      <c r="V481" t="s">
        <v>207</v>
      </c>
      <c r="W481" t="s">
        <v>207</v>
      </c>
      <c r="X481" t="s">
        <v>207</v>
      </c>
      <c r="AA481" t="s">
        <v>4541</v>
      </c>
      <c r="AK481">
        <v>0</v>
      </c>
      <c r="AL481">
        <v>0.1</v>
      </c>
      <c r="AM481">
        <v>0</v>
      </c>
      <c r="AO481" t="s">
        <v>4568</v>
      </c>
      <c r="AQ481">
        <v>0</v>
      </c>
      <c r="AR481">
        <v>0</v>
      </c>
      <c r="AW481">
        <v>5020</v>
      </c>
      <c r="AX481">
        <v>1.992</v>
      </c>
      <c r="AY481" t="s">
        <v>208</v>
      </c>
      <c r="BA481">
        <v>26557961231.088001</v>
      </c>
      <c r="BB481" t="s">
        <v>4572</v>
      </c>
      <c r="BC481" t="s">
        <v>4625</v>
      </c>
    </row>
    <row r="482" spans="1:55" x14ac:dyDescent="0.25">
      <c r="A482">
        <v>1285</v>
      </c>
      <c r="B482" t="s">
        <v>678</v>
      </c>
      <c r="C482" t="s">
        <v>2113</v>
      </c>
      <c r="D482" t="s">
        <v>3548</v>
      </c>
      <c r="E482" t="s">
        <v>4519</v>
      </c>
      <c r="F482">
        <v>609984700</v>
      </c>
      <c r="G482">
        <v>6.447241</v>
      </c>
      <c r="H482" t="s">
        <v>4530</v>
      </c>
      <c r="I482">
        <v>3932718367.2126999</v>
      </c>
      <c r="J482" t="s">
        <v>204</v>
      </c>
      <c r="K482">
        <v>6040683.4964519897</v>
      </c>
      <c r="L482">
        <v>0.8</v>
      </c>
      <c r="M482" t="s">
        <v>4536</v>
      </c>
      <c r="N482" t="s">
        <v>4537</v>
      </c>
      <c r="O482" t="s">
        <v>207</v>
      </c>
      <c r="Q482" t="s">
        <v>207</v>
      </c>
      <c r="R482" t="s">
        <v>207</v>
      </c>
      <c r="S482" t="s">
        <v>207</v>
      </c>
      <c r="T482" t="s">
        <v>207</v>
      </c>
      <c r="U482" t="s">
        <v>207</v>
      </c>
      <c r="V482" t="s">
        <v>207</v>
      </c>
      <c r="W482" t="s">
        <v>207</v>
      </c>
      <c r="X482" t="s">
        <v>207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209</v>
      </c>
      <c r="BA482">
        <v>3146174693.7701602</v>
      </c>
      <c r="BB482" t="s">
        <v>4572</v>
      </c>
      <c r="BC482" t="s">
        <v>4575</v>
      </c>
    </row>
    <row r="483" spans="1:55" x14ac:dyDescent="0.25">
      <c r="A483">
        <v>964</v>
      </c>
      <c r="B483" t="s">
        <v>679</v>
      </c>
      <c r="C483" t="s">
        <v>2114</v>
      </c>
      <c r="D483" t="s">
        <v>3549</v>
      </c>
      <c r="E483" t="s">
        <v>4528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203</v>
      </c>
      <c r="K483">
        <v>21071183.960169502</v>
      </c>
      <c r="L483">
        <v>0.5</v>
      </c>
      <c r="M483" t="s">
        <v>4536</v>
      </c>
      <c r="O483" t="s">
        <v>207</v>
      </c>
      <c r="Q483" t="s">
        <v>207</v>
      </c>
      <c r="R483" t="s">
        <v>207</v>
      </c>
      <c r="S483" t="s">
        <v>207</v>
      </c>
      <c r="T483" t="s">
        <v>207</v>
      </c>
      <c r="U483" t="s">
        <v>207</v>
      </c>
      <c r="V483" t="s">
        <v>207</v>
      </c>
      <c r="W483" t="s">
        <v>207</v>
      </c>
      <c r="X483" t="s">
        <v>207</v>
      </c>
      <c r="AK483">
        <v>1.06E-2</v>
      </c>
      <c r="AL483">
        <v>9.5000000000000001E-2</v>
      </c>
      <c r="AM483">
        <v>1.23E-2</v>
      </c>
      <c r="AN483" t="s">
        <v>4567</v>
      </c>
      <c r="AO483" t="s">
        <v>4568</v>
      </c>
      <c r="AP483" t="s">
        <v>4569</v>
      </c>
      <c r="AQ483">
        <v>0</v>
      </c>
      <c r="AR483">
        <v>0</v>
      </c>
      <c r="AW483">
        <v>6510</v>
      </c>
      <c r="AX483">
        <v>2.5659999999999998</v>
      </c>
      <c r="AY483" t="s">
        <v>209</v>
      </c>
      <c r="BA483">
        <v>6691349785.0249996</v>
      </c>
      <c r="BB483" t="s">
        <v>4572</v>
      </c>
      <c r="BC483" t="s">
        <v>4576</v>
      </c>
    </row>
    <row r="484" spans="1:55" x14ac:dyDescent="0.25">
      <c r="A484">
        <v>513</v>
      </c>
      <c r="B484" t="s">
        <v>680</v>
      </c>
      <c r="C484" t="s">
        <v>2115</v>
      </c>
      <c r="D484" t="s">
        <v>3550</v>
      </c>
      <c r="E484" t="s">
        <v>97</v>
      </c>
      <c r="F484">
        <v>192492770</v>
      </c>
      <c r="G484">
        <v>132.8372</v>
      </c>
      <c r="H484" t="s">
        <v>104</v>
      </c>
      <c r="I484">
        <v>25570200587.043999</v>
      </c>
      <c r="J484" t="s">
        <v>202</v>
      </c>
      <c r="K484">
        <v>30483249.562998299</v>
      </c>
      <c r="L484">
        <v>1</v>
      </c>
      <c r="M484" t="s">
        <v>4536</v>
      </c>
      <c r="O484" t="s">
        <v>207</v>
      </c>
      <c r="Q484" t="s">
        <v>207</v>
      </c>
      <c r="R484" t="s">
        <v>207</v>
      </c>
      <c r="S484" t="s">
        <v>207</v>
      </c>
      <c r="T484" t="s">
        <v>207</v>
      </c>
      <c r="U484" t="s">
        <v>207</v>
      </c>
      <c r="V484" t="s">
        <v>207</v>
      </c>
      <c r="W484" t="s">
        <v>207</v>
      </c>
      <c r="X484" t="s">
        <v>207</v>
      </c>
      <c r="AK484">
        <v>0.01</v>
      </c>
      <c r="AL484">
        <v>0.18099999999999999</v>
      </c>
      <c r="AM484">
        <v>0</v>
      </c>
      <c r="AN484" t="s">
        <v>4567</v>
      </c>
      <c r="AO484" t="s">
        <v>4568</v>
      </c>
      <c r="AQ484">
        <v>0</v>
      </c>
      <c r="AR484">
        <v>0</v>
      </c>
      <c r="AW484">
        <v>5510</v>
      </c>
      <c r="AX484">
        <v>2.3210000000000002</v>
      </c>
      <c r="AY484" t="s">
        <v>208</v>
      </c>
      <c r="BA484">
        <v>25570200587.043999</v>
      </c>
      <c r="BB484" t="s">
        <v>4572</v>
      </c>
      <c r="BC484" t="s">
        <v>4599</v>
      </c>
    </row>
    <row r="485" spans="1:55" x14ac:dyDescent="0.25">
      <c r="A485">
        <v>1217</v>
      </c>
      <c r="B485" t="s">
        <v>681</v>
      </c>
      <c r="C485" t="s">
        <v>2116</v>
      </c>
      <c r="D485" t="s">
        <v>3551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203</v>
      </c>
      <c r="K485">
        <v>7255493.1916393396</v>
      </c>
      <c r="L485">
        <v>1</v>
      </c>
      <c r="M485" t="s">
        <v>4536</v>
      </c>
      <c r="N485" t="s">
        <v>4537</v>
      </c>
      <c r="O485" t="s">
        <v>207</v>
      </c>
      <c r="Q485" t="s">
        <v>207</v>
      </c>
      <c r="R485" t="s">
        <v>207</v>
      </c>
      <c r="S485" t="s">
        <v>207</v>
      </c>
      <c r="T485" t="s">
        <v>207</v>
      </c>
      <c r="U485" t="s">
        <v>207</v>
      </c>
      <c r="V485" t="s">
        <v>207</v>
      </c>
      <c r="W485" t="s">
        <v>207</v>
      </c>
      <c r="X485" t="s">
        <v>207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209</v>
      </c>
      <c r="BA485">
        <v>3567018000</v>
      </c>
      <c r="BB485" t="s">
        <v>4572</v>
      </c>
      <c r="BC485" t="s">
        <v>4575</v>
      </c>
    </row>
    <row r="486" spans="1:55" x14ac:dyDescent="0.25">
      <c r="A486">
        <v>270</v>
      </c>
      <c r="B486" t="s">
        <v>682</v>
      </c>
      <c r="C486" t="s">
        <v>2117</v>
      </c>
      <c r="D486" t="s">
        <v>3552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202</v>
      </c>
      <c r="K486">
        <v>500494916.816603</v>
      </c>
      <c r="L486">
        <v>1</v>
      </c>
      <c r="M486" t="s">
        <v>4536</v>
      </c>
      <c r="O486" t="s">
        <v>206</v>
      </c>
      <c r="Q486" t="s">
        <v>207</v>
      </c>
      <c r="R486" t="s">
        <v>207</v>
      </c>
      <c r="S486" t="s">
        <v>207</v>
      </c>
      <c r="T486" t="s">
        <v>207</v>
      </c>
      <c r="U486" t="s">
        <v>207</v>
      </c>
      <c r="V486" t="s">
        <v>207</v>
      </c>
      <c r="W486" t="s">
        <v>207</v>
      </c>
      <c r="X486" t="s">
        <v>207</v>
      </c>
      <c r="AK486">
        <v>0.01</v>
      </c>
      <c r="AL486">
        <v>0.01</v>
      </c>
      <c r="AM486">
        <v>0.01</v>
      </c>
      <c r="AN486" t="s">
        <v>4567</v>
      </c>
      <c r="AO486" t="s">
        <v>4568</v>
      </c>
      <c r="AP486" t="s">
        <v>4569</v>
      </c>
      <c r="AQ486">
        <v>0</v>
      </c>
      <c r="AR486">
        <v>0</v>
      </c>
      <c r="AW486">
        <v>5510</v>
      </c>
      <c r="AX486">
        <v>2.2109999999999999</v>
      </c>
      <c r="AY486" t="s">
        <v>208</v>
      </c>
      <c r="BA486">
        <v>50830191736.720001</v>
      </c>
      <c r="BB486" t="s">
        <v>4572</v>
      </c>
      <c r="BC486" t="s">
        <v>4576</v>
      </c>
    </row>
    <row r="487" spans="1:55" x14ac:dyDescent="0.25">
      <c r="A487">
        <v>852</v>
      </c>
      <c r="B487" t="s">
        <v>683</v>
      </c>
      <c r="C487" t="s">
        <v>2118</v>
      </c>
      <c r="D487" t="s">
        <v>3553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203</v>
      </c>
      <c r="K487">
        <v>20758867.199098401</v>
      </c>
      <c r="L487">
        <v>0.7</v>
      </c>
      <c r="M487" t="s">
        <v>4536</v>
      </c>
      <c r="O487" t="s">
        <v>207</v>
      </c>
      <c r="Q487" t="s">
        <v>207</v>
      </c>
      <c r="R487" t="s">
        <v>207</v>
      </c>
      <c r="S487" t="s">
        <v>207</v>
      </c>
      <c r="T487" t="s">
        <v>207</v>
      </c>
      <c r="U487" t="s">
        <v>207</v>
      </c>
      <c r="V487" t="s">
        <v>207</v>
      </c>
      <c r="W487" t="s">
        <v>207</v>
      </c>
      <c r="X487" t="s">
        <v>207</v>
      </c>
      <c r="AG487" t="s">
        <v>4546</v>
      </c>
      <c r="AH487" t="s">
        <v>4562</v>
      </c>
      <c r="AI487" t="s">
        <v>4565</v>
      </c>
      <c r="AJ487" t="s">
        <v>4566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209</v>
      </c>
      <c r="BA487">
        <v>9084373825.4499989</v>
      </c>
      <c r="BB487" t="s">
        <v>4572</v>
      </c>
      <c r="BC487" t="s">
        <v>4578</v>
      </c>
    </row>
    <row r="488" spans="1:55" x14ac:dyDescent="0.25">
      <c r="A488">
        <v>747</v>
      </c>
      <c r="B488" t="s">
        <v>684</v>
      </c>
      <c r="C488" t="s">
        <v>2119</v>
      </c>
      <c r="D488" t="s">
        <v>3554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203</v>
      </c>
      <c r="K488">
        <v>32270187.444180299</v>
      </c>
      <c r="L488">
        <v>0.75</v>
      </c>
      <c r="O488" t="s">
        <v>207</v>
      </c>
      <c r="Q488" t="s">
        <v>207</v>
      </c>
      <c r="R488" t="s">
        <v>207</v>
      </c>
      <c r="S488" t="s">
        <v>207</v>
      </c>
      <c r="T488" t="s">
        <v>207</v>
      </c>
      <c r="U488" t="s">
        <v>207</v>
      </c>
      <c r="V488" t="s">
        <v>207</v>
      </c>
      <c r="W488" t="s">
        <v>207</v>
      </c>
      <c r="X488" t="s">
        <v>207</v>
      </c>
      <c r="AG488" t="s">
        <v>4546</v>
      </c>
      <c r="AH488" t="s">
        <v>4562</v>
      </c>
      <c r="AI488" t="s">
        <v>4565</v>
      </c>
      <c r="AJ488" t="s">
        <v>4566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209</v>
      </c>
      <c r="BA488">
        <v>15414396807.75</v>
      </c>
      <c r="BB488" t="s">
        <v>4572</v>
      </c>
      <c r="BC488" t="s">
        <v>4581</v>
      </c>
    </row>
    <row r="489" spans="1:55" x14ac:dyDescent="0.25">
      <c r="A489">
        <v>1303</v>
      </c>
      <c r="B489" t="s">
        <v>685</v>
      </c>
      <c r="C489" t="s">
        <v>2120</v>
      </c>
      <c r="D489" t="s">
        <v>3555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203</v>
      </c>
      <c r="K489">
        <v>4075793.13295082</v>
      </c>
      <c r="L489">
        <v>1</v>
      </c>
      <c r="M489" t="s">
        <v>4536</v>
      </c>
      <c r="N489" t="s">
        <v>4537</v>
      </c>
      <c r="O489" t="s">
        <v>207</v>
      </c>
      <c r="Q489" t="s">
        <v>207</v>
      </c>
      <c r="R489" t="s">
        <v>207</v>
      </c>
      <c r="S489" t="s">
        <v>207</v>
      </c>
      <c r="T489" t="s">
        <v>207</v>
      </c>
      <c r="U489" t="s">
        <v>207</v>
      </c>
      <c r="V489" t="s">
        <v>207</v>
      </c>
      <c r="W489" t="s">
        <v>207</v>
      </c>
      <c r="X489" t="s">
        <v>207</v>
      </c>
      <c r="AK489">
        <v>0</v>
      </c>
      <c r="AL489">
        <v>0.05</v>
      </c>
      <c r="AM489">
        <v>0</v>
      </c>
      <c r="AO489" t="s">
        <v>4568</v>
      </c>
      <c r="AQ489">
        <v>0</v>
      </c>
      <c r="AR489">
        <v>0</v>
      </c>
      <c r="AW489">
        <v>5520</v>
      </c>
      <c r="AX489">
        <v>1.9930000000000001</v>
      </c>
      <c r="AY489" t="s">
        <v>209</v>
      </c>
      <c r="AZ489" t="s">
        <v>4571</v>
      </c>
      <c r="BA489">
        <v>3057540000</v>
      </c>
      <c r="BB489" t="s">
        <v>4572</v>
      </c>
      <c r="BC489" t="s">
        <v>4583</v>
      </c>
    </row>
    <row r="490" spans="1:55" x14ac:dyDescent="0.25">
      <c r="A490">
        <v>978</v>
      </c>
      <c r="B490" t="s">
        <v>686</v>
      </c>
      <c r="C490" t="s">
        <v>2121</v>
      </c>
      <c r="D490" t="s">
        <v>3556</v>
      </c>
      <c r="E490" t="s">
        <v>93</v>
      </c>
      <c r="F490">
        <v>149297000</v>
      </c>
      <c r="G490">
        <v>43.168230000000001</v>
      </c>
      <c r="H490" t="s">
        <v>101</v>
      </c>
      <c r="I490">
        <v>6444887234.3100004</v>
      </c>
      <c r="J490" t="s">
        <v>205</v>
      </c>
      <c r="K490">
        <v>37465442.073857397</v>
      </c>
      <c r="L490">
        <v>1</v>
      </c>
      <c r="M490" t="s">
        <v>4536</v>
      </c>
      <c r="O490" t="s">
        <v>207</v>
      </c>
      <c r="Q490" t="s">
        <v>207</v>
      </c>
      <c r="R490" t="s">
        <v>207</v>
      </c>
      <c r="S490" t="s">
        <v>207</v>
      </c>
      <c r="T490" t="s">
        <v>207</v>
      </c>
      <c r="U490" t="s">
        <v>207</v>
      </c>
      <c r="V490" t="s">
        <v>207</v>
      </c>
      <c r="W490" t="s">
        <v>207</v>
      </c>
      <c r="X490" t="s">
        <v>207</v>
      </c>
      <c r="AK490">
        <v>0</v>
      </c>
      <c r="AL490">
        <v>0.05</v>
      </c>
      <c r="AM490">
        <v>0</v>
      </c>
      <c r="AO490" t="s">
        <v>4568</v>
      </c>
      <c r="AQ490">
        <v>0</v>
      </c>
      <c r="AR490">
        <v>0</v>
      </c>
      <c r="AW490">
        <v>5020</v>
      </c>
      <c r="AX490">
        <v>2.2509999999999999</v>
      </c>
      <c r="AY490" t="s">
        <v>210</v>
      </c>
      <c r="BA490">
        <v>6444887234.3100004</v>
      </c>
      <c r="BB490" t="s">
        <v>4572</v>
      </c>
      <c r="BC490" t="s">
        <v>4582</v>
      </c>
    </row>
    <row r="491" spans="1:55" x14ac:dyDescent="0.25">
      <c r="A491">
        <v>1275</v>
      </c>
      <c r="B491" t="s">
        <v>687</v>
      </c>
      <c r="C491" t="s">
        <v>2122</v>
      </c>
      <c r="D491" t="s">
        <v>3557</v>
      </c>
      <c r="E491" t="s">
        <v>93</v>
      </c>
      <c r="F491">
        <v>234194490</v>
      </c>
      <c r="G491">
        <v>17.113810000000001</v>
      </c>
      <c r="H491" t="s">
        <v>101</v>
      </c>
      <c r="I491">
        <v>4007960004.9068999</v>
      </c>
      <c r="J491" t="s">
        <v>205</v>
      </c>
      <c r="K491">
        <v>174363351.960089</v>
      </c>
      <c r="L491">
        <v>0.8</v>
      </c>
      <c r="M491" t="s">
        <v>4536</v>
      </c>
      <c r="O491" t="s">
        <v>207</v>
      </c>
      <c r="Q491" t="s">
        <v>207</v>
      </c>
      <c r="R491" t="s">
        <v>207</v>
      </c>
      <c r="S491" t="s">
        <v>207</v>
      </c>
      <c r="T491" t="s">
        <v>207</v>
      </c>
      <c r="U491" t="s">
        <v>207</v>
      </c>
      <c r="V491" t="s">
        <v>207</v>
      </c>
      <c r="W491" t="s">
        <v>207</v>
      </c>
      <c r="X491" t="s">
        <v>207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210</v>
      </c>
      <c r="AZ491" t="s">
        <v>4571</v>
      </c>
      <c r="BA491">
        <v>3206368003.9255199</v>
      </c>
      <c r="BB491" t="s">
        <v>4572</v>
      </c>
      <c r="BC491" t="s">
        <v>4577</v>
      </c>
    </row>
    <row r="492" spans="1:55" x14ac:dyDescent="0.25">
      <c r="A492">
        <v>531</v>
      </c>
      <c r="B492" t="s">
        <v>688</v>
      </c>
      <c r="C492" t="s">
        <v>2123</v>
      </c>
      <c r="D492" t="s">
        <v>3558</v>
      </c>
      <c r="E492" t="s">
        <v>93</v>
      </c>
      <c r="F492">
        <v>1243877200</v>
      </c>
      <c r="G492">
        <v>19.294599999999999</v>
      </c>
      <c r="H492" t="s">
        <v>101</v>
      </c>
      <c r="I492">
        <v>24000113023.119999</v>
      </c>
      <c r="J492" t="s">
        <v>205</v>
      </c>
      <c r="K492">
        <v>66540190.361079499</v>
      </c>
      <c r="L492">
        <v>1</v>
      </c>
      <c r="M492" t="s">
        <v>4536</v>
      </c>
      <c r="O492" t="s">
        <v>207</v>
      </c>
      <c r="Q492" t="s">
        <v>207</v>
      </c>
      <c r="R492" t="s">
        <v>207</v>
      </c>
      <c r="S492" t="s">
        <v>207</v>
      </c>
      <c r="T492" t="s">
        <v>207</v>
      </c>
      <c r="U492" t="s">
        <v>207</v>
      </c>
      <c r="V492" t="s">
        <v>207</v>
      </c>
      <c r="W492" t="s">
        <v>207</v>
      </c>
      <c r="X492" t="s">
        <v>207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210</v>
      </c>
      <c r="BA492">
        <v>24000113023.119999</v>
      </c>
      <c r="BB492" t="s">
        <v>4572</v>
      </c>
      <c r="BC492" t="s">
        <v>4536</v>
      </c>
    </row>
    <row r="493" spans="1:55" x14ac:dyDescent="0.25">
      <c r="A493">
        <v>797</v>
      </c>
      <c r="B493" t="s">
        <v>689</v>
      </c>
      <c r="C493" t="s">
        <v>2124</v>
      </c>
      <c r="D493" t="s">
        <v>3559</v>
      </c>
      <c r="E493" t="s">
        <v>93</v>
      </c>
      <c r="F493">
        <v>295863430</v>
      </c>
      <c r="G493">
        <v>42.292079999999999</v>
      </c>
      <c r="H493" t="s">
        <v>101</v>
      </c>
      <c r="I493">
        <v>12512679850.634399</v>
      </c>
      <c r="J493" t="s">
        <v>205</v>
      </c>
      <c r="K493">
        <v>938649668.35472095</v>
      </c>
      <c r="L493">
        <v>0.95</v>
      </c>
      <c r="M493" t="s">
        <v>4536</v>
      </c>
      <c r="O493" t="s">
        <v>207</v>
      </c>
      <c r="Q493" t="s">
        <v>207</v>
      </c>
      <c r="R493" t="s">
        <v>207</v>
      </c>
      <c r="S493" t="s">
        <v>207</v>
      </c>
      <c r="T493" t="s">
        <v>207</v>
      </c>
      <c r="U493" t="s">
        <v>207</v>
      </c>
      <c r="V493" t="s">
        <v>207</v>
      </c>
      <c r="W493" t="s">
        <v>207</v>
      </c>
      <c r="X493" t="s">
        <v>207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210</v>
      </c>
      <c r="BA493">
        <v>11887045858.10268</v>
      </c>
      <c r="BB493" t="s">
        <v>4572</v>
      </c>
      <c r="BC493" t="s">
        <v>4536</v>
      </c>
    </row>
    <row r="494" spans="1:55" x14ac:dyDescent="0.25">
      <c r="A494">
        <v>406</v>
      </c>
      <c r="B494" t="s">
        <v>690</v>
      </c>
      <c r="C494" t="s">
        <v>2125</v>
      </c>
      <c r="D494" t="s">
        <v>3560</v>
      </c>
      <c r="E494" t="s">
        <v>93</v>
      </c>
      <c r="F494">
        <v>2071108400</v>
      </c>
      <c r="G494">
        <v>18.926870000000001</v>
      </c>
      <c r="H494" t="s">
        <v>101</v>
      </c>
      <c r="I494">
        <v>39199599442.708</v>
      </c>
      <c r="J494" t="s">
        <v>205</v>
      </c>
      <c r="K494">
        <v>92843323.005164504</v>
      </c>
      <c r="L494">
        <v>0.85</v>
      </c>
      <c r="M494" t="s">
        <v>4536</v>
      </c>
      <c r="O494" t="s">
        <v>207</v>
      </c>
      <c r="Q494" t="s">
        <v>207</v>
      </c>
      <c r="R494" t="s">
        <v>207</v>
      </c>
      <c r="S494" t="s">
        <v>4538</v>
      </c>
      <c r="T494" t="s">
        <v>207</v>
      </c>
      <c r="U494" t="s">
        <v>207</v>
      </c>
      <c r="V494" t="s">
        <v>207</v>
      </c>
      <c r="W494" t="s">
        <v>207</v>
      </c>
      <c r="X494" t="s">
        <v>207</v>
      </c>
      <c r="AA494" t="s">
        <v>4541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210</v>
      </c>
      <c r="BA494">
        <v>33319659526.3018</v>
      </c>
      <c r="BB494" t="s">
        <v>4572</v>
      </c>
      <c r="BC494" t="s">
        <v>4610</v>
      </c>
    </row>
    <row r="495" spans="1:55" x14ac:dyDescent="0.25">
      <c r="A495">
        <v>1074</v>
      </c>
      <c r="B495" t="s">
        <v>691</v>
      </c>
      <c r="C495" t="s">
        <v>2126</v>
      </c>
      <c r="D495" t="s">
        <v>3561</v>
      </c>
      <c r="E495" t="s">
        <v>93</v>
      </c>
      <c r="F495">
        <v>193029080</v>
      </c>
      <c r="G495">
        <v>25.945709999999998</v>
      </c>
      <c r="H495" t="s">
        <v>101</v>
      </c>
      <c r="I495">
        <v>5008276531.2467995</v>
      </c>
      <c r="J495" t="s">
        <v>205</v>
      </c>
      <c r="K495">
        <v>18834502.960268602</v>
      </c>
      <c r="L495">
        <v>1</v>
      </c>
      <c r="M495" t="s">
        <v>4536</v>
      </c>
      <c r="O495" t="s">
        <v>207</v>
      </c>
      <c r="Q495" t="s">
        <v>207</v>
      </c>
      <c r="R495" t="s">
        <v>207</v>
      </c>
      <c r="S495" t="s">
        <v>207</v>
      </c>
      <c r="T495" t="s">
        <v>207</v>
      </c>
      <c r="U495" t="s">
        <v>207</v>
      </c>
      <c r="V495" t="s">
        <v>207</v>
      </c>
      <c r="W495" t="s">
        <v>207</v>
      </c>
      <c r="X495" t="s">
        <v>207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210</v>
      </c>
      <c r="AZ495" t="s">
        <v>4571</v>
      </c>
      <c r="BA495">
        <v>5008276531.2467995</v>
      </c>
      <c r="BB495" t="s">
        <v>4572</v>
      </c>
      <c r="BC495" t="s">
        <v>4577</v>
      </c>
    </row>
    <row r="496" spans="1:55" x14ac:dyDescent="0.25">
      <c r="A496">
        <v>1291</v>
      </c>
      <c r="B496" t="s">
        <v>692</v>
      </c>
      <c r="C496" t="s">
        <v>2127</v>
      </c>
      <c r="D496" t="s">
        <v>3562</v>
      </c>
      <c r="E496" t="s">
        <v>93</v>
      </c>
      <c r="F496">
        <v>70666920</v>
      </c>
      <c r="G496">
        <v>44.242640000000002</v>
      </c>
      <c r="H496" t="s">
        <v>101</v>
      </c>
      <c r="I496">
        <v>3126491101.4688001</v>
      </c>
      <c r="J496" t="s">
        <v>205</v>
      </c>
      <c r="K496">
        <v>166051933.84872299</v>
      </c>
      <c r="L496">
        <v>1</v>
      </c>
      <c r="M496" t="s">
        <v>4536</v>
      </c>
      <c r="O496" t="s">
        <v>207</v>
      </c>
      <c r="Q496" t="s">
        <v>207</v>
      </c>
      <c r="R496" t="s">
        <v>207</v>
      </c>
      <c r="S496" t="s">
        <v>207</v>
      </c>
      <c r="T496" t="s">
        <v>207</v>
      </c>
      <c r="U496" t="s">
        <v>207</v>
      </c>
      <c r="V496" t="s">
        <v>207</v>
      </c>
      <c r="W496" t="s">
        <v>207</v>
      </c>
      <c r="X496" t="s">
        <v>207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210</v>
      </c>
      <c r="BA496">
        <v>3126491101.4688001</v>
      </c>
      <c r="BB496" t="s">
        <v>4572</v>
      </c>
      <c r="BC496" t="s">
        <v>4536</v>
      </c>
    </row>
    <row r="497" spans="1:55" x14ac:dyDescent="0.25">
      <c r="A497">
        <v>900</v>
      </c>
      <c r="B497" t="s">
        <v>693</v>
      </c>
      <c r="C497" t="s">
        <v>2128</v>
      </c>
      <c r="D497" t="s">
        <v>3563</v>
      </c>
      <c r="E497" t="s">
        <v>4518</v>
      </c>
      <c r="F497">
        <v>4374894500</v>
      </c>
      <c r="G497">
        <v>3.631891</v>
      </c>
      <c r="H497" t="s">
        <v>4529</v>
      </c>
      <c r="I497">
        <v>15889139960.4995</v>
      </c>
      <c r="J497" t="s">
        <v>205</v>
      </c>
      <c r="K497">
        <v>42143759.715613797</v>
      </c>
      <c r="L497">
        <v>0.5</v>
      </c>
      <c r="M497" t="s">
        <v>4536</v>
      </c>
      <c r="O497" t="s">
        <v>207</v>
      </c>
      <c r="Q497" t="s">
        <v>207</v>
      </c>
      <c r="R497" t="s">
        <v>207</v>
      </c>
      <c r="S497" t="s">
        <v>207</v>
      </c>
      <c r="T497" t="s">
        <v>207</v>
      </c>
      <c r="U497" t="s">
        <v>207</v>
      </c>
      <c r="V497" t="s">
        <v>207</v>
      </c>
      <c r="W497" t="s">
        <v>207</v>
      </c>
      <c r="X497" t="s">
        <v>207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210</v>
      </c>
      <c r="BA497">
        <v>7944569980.2497501</v>
      </c>
      <c r="BB497" t="s">
        <v>4572</v>
      </c>
      <c r="BC497" t="s">
        <v>4536</v>
      </c>
    </row>
    <row r="498" spans="1:55" x14ac:dyDescent="0.25">
      <c r="A498">
        <v>829</v>
      </c>
      <c r="B498" t="s">
        <v>694</v>
      </c>
      <c r="C498" t="s">
        <v>2129</v>
      </c>
      <c r="D498" t="s">
        <v>3564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204</v>
      </c>
      <c r="K498">
        <v>39424384.162367098</v>
      </c>
      <c r="L498">
        <v>0.35</v>
      </c>
      <c r="M498" t="s">
        <v>4536</v>
      </c>
      <c r="O498" t="s">
        <v>207</v>
      </c>
      <c r="Q498" t="s">
        <v>207</v>
      </c>
      <c r="R498" t="s">
        <v>207</v>
      </c>
      <c r="S498" t="s">
        <v>207</v>
      </c>
      <c r="T498" t="s">
        <v>207</v>
      </c>
      <c r="U498" t="s">
        <v>207</v>
      </c>
      <c r="V498" t="s">
        <v>207</v>
      </c>
      <c r="W498" t="s">
        <v>207</v>
      </c>
      <c r="X498" t="s">
        <v>207</v>
      </c>
      <c r="AG498" t="s">
        <v>4539</v>
      </c>
      <c r="AH498" t="s">
        <v>4539</v>
      </c>
      <c r="AI498" t="s">
        <v>4565</v>
      </c>
      <c r="AJ498" t="s">
        <v>4566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209</v>
      </c>
      <c r="AZ498" t="s">
        <v>4571</v>
      </c>
      <c r="BA498">
        <v>10069827231.180149</v>
      </c>
      <c r="BB498" t="s">
        <v>4572</v>
      </c>
      <c r="BC498" t="s">
        <v>4588</v>
      </c>
    </row>
    <row r="499" spans="1:55" x14ac:dyDescent="0.25">
      <c r="A499">
        <v>1125</v>
      </c>
      <c r="B499" t="s">
        <v>695</v>
      </c>
      <c r="C499" t="s">
        <v>2130</v>
      </c>
      <c r="D499" t="s">
        <v>3565</v>
      </c>
      <c r="E499" t="s">
        <v>95</v>
      </c>
      <c r="F499">
        <v>50000000</v>
      </c>
      <c r="G499">
        <v>87.136399999999995</v>
      </c>
      <c r="H499" t="s">
        <v>103</v>
      </c>
      <c r="I499">
        <v>4356820000</v>
      </c>
      <c r="J499" t="s">
        <v>204</v>
      </c>
      <c r="K499">
        <v>6692625.0379184401</v>
      </c>
      <c r="L499">
        <v>1</v>
      </c>
      <c r="M499" t="s">
        <v>4536</v>
      </c>
      <c r="N499" t="s">
        <v>4537</v>
      </c>
      <c r="O499" t="s">
        <v>207</v>
      </c>
      <c r="Q499" t="s">
        <v>207</v>
      </c>
      <c r="R499" t="s">
        <v>207</v>
      </c>
      <c r="S499" t="s">
        <v>207</v>
      </c>
      <c r="T499" t="s">
        <v>207</v>
      </c>
      <c r="U499" t="s">
        <v>207</v>
      </c>
      <c r="V499" t="s">
        <v>207</v>
      </c>
      <c r="W499" t="s">
        <v>207</v>
      </c>
      <c r="X499" t="s">
        <v>207</v>
      </c>
      <c r="AG499" t="s">
        <v>4546</v>
      </c>
      <c r="AH499" t="s">
        <v>4562</v>
      </c>
      <c r="AI499" t="s">
        <v>4565</v>
      </c>
      <c r="AJ499" t="s">
        <v>4566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209</v>
      </c>
      <c r="AZ499" t="s">
        <v>4571</v>
      </c>
      <c r="BA499">
        <v>4356820000</v>
      </c>
      <c r="BB499" t="s">
        <v>4572</v>
      </c>
      <c r="BC499" t="s">
        <v>4626</v>
      </c>
    </row>
    <row r="500" spans="1:55" x14ac:dyDescent="0.25">
      <c r="A500">
        <v>988</v>
      </c>
      <c r="B500" t="s">
        <v>696</v>
      </c>
      <c r="C500" t="s">
        <v>2131</v>
      </c>
      <c r="D500" t="s">
        <v>3566</v>
      </c>
      <c r="E500" t="s">
        <v>4526</v>
      </c>
      <c r="F500">
        <v>695415645</v>
      </c>
      <c r="G500">
        <v>15.05</v>
      </c>
      <c r="H500" t="s">
        <v>99</v>
      </c>
      <c r="I500">
        <v>10466005457.25</v>
      </c>
      <c r="J500" t="s">
        <v>203</v>
      </c>
      <c r="K500">
        <v>17976859.338015899</v>
      </c>
      <c r="L500">
        <v>0.60000000000000009</v>
      </c>
      <c r="M500" t="s">
        <v>4536</v>
      </c>
      <c r="O500" t="s">
        <v>207</v>
      </c>
      <c r="Q500" t="s">
        <v>207</v>
      </c>
      <c r="R500" t="s">
        <v>207</v>
      </c>
      <c r="S500" t="s">
        <v>207</v>
      </c>
      <c r="T500" t="s">
        <v>207</v>
      </c>
      <c r="U500" t="s">
        <v>207</v>
      </c>
      <c r="V500" t="s">
        <v>207</v>
      </c>
      <c r="W500" t="s">
        <v>207</v>
      </c>
      <c r="X500" t="s">
        <v>207</v>
      </c>
      <c r="AK500">
        <v>0</v>
      </c>
      <c r="AL500">
        <v>0.64300000000000002</v>
      </c>
      <c r="AM500">
        <v>2.06E-2</v>
      </c>
      <c r="AO500" t="s">
        <v>4568</v>
      </c>
      <c r="AP500" t="s">
        <v>4569</v>
      </c>
      <c r="AQ500">
        <v>0</v>
      </c>
      <c r="AR500">
        <v>0.01</v>
      </c>
      <c r="AW500">
        <v>6010</v>
      </c>
      <c r="AX500">
        <v>2.7130000000000001</v>
      </c>
      <c r="AY500" t="s">
        <v>209</v>
      </c>
      <c r="BA500">
        <v>6279603274.3500013</v>
      </c>
      <c r="BB500" t="s">
        <v>4572</v>
      </c>
      <c r="BC500" t="s">
        <v>4595</v>
      </c>
    </row>
    <row r="501" spans="1:55" x14ac:dyDescent="0.25">
      <c r="A501">
        <v>1035</v>
      </c>
      <c r="B501" t="s">
        <v>697</v>
      </c>
      <c r="C501" t="s">
        <v>2132</v>
      </c>
      <c r="D501" t="s">
        <v>3567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204</v>
      </c>
      <c r="K501">
        <v>12204449.7408753</v>
      </c>
      <c r="L501">
        <v>1</v>
      </c>
      <c r="M501" t="s">
        <v>4536</v>
      </c>
      <c r="O501" t="s">
        <v>207</v>
      </c>
      <c r="Q501" t="s">
        <v>207</v>
      </c>
      <c r="R501" t="s">
        <v>207</v>
      </c>
      <c r="S501" t="s">
        <v>207</v>
      </c>
      <c r="T501" t="s">
        <v>207</v>
      </c>
      <c r="U501" t="s">
        <v>207</v>
      </c>
      <c r="V501" t="s">
        <v>207</v>
      </c>
      <c r="W501" t="s">
        <v>207</v>
      </c>
      <c r="X501" t="s">
        <v>207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209</v>
      </c>
      <c r="AZ501" t="s">
        <v>4571</v>
      </c>
      <c r="BA501">
        <v>5640190849.7665005</v>
      </c>
      <c r="BB501" t="s">
        <v>4572</v>
      </c>
      <c r="BC501" t="s">
        <v>4577</v>
      </c>
    </row>
    <row r="502" spans="1:55" x14ac:dyDescent="0.25">
      <c r="A502">
        <v>408</v>
      </c>
      <c r="B502" t="s">
        <v>698</v>
      </c>
      <c r="C502" t="s">
        <v>2133</v>
      </c>
      <c r="D502" t="s">
        <v>3568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202</v>
      </c>
      <c r="K502">
        <v>172198531.163048</v>
      </c>
      <c r="L502">
        <v>0.8</v>
      </c>
      <c r="M502" t="s">
        <v>4536</v>
      </c>
      <c r="O502" t="s">
        <v>207</v>
      </c>
      <c r="Q502" t="s">
        <v>207</v>
      </c>
      <c r="R502" t="s">
        <v>207</v>
      </c>
      <c r="S502" t="s">
        <v>207</v>
      </c>
      <c r="T502" t="s">
        <v>207</v>
      </c>
      <c r="U502" t="s">
        <v>207</v>
      </c>
      <c r="V502" t="s">
        <v>207</v>
      </c>
      <c r="W502" t="s">
        <v>207</v>
      </c>
      <c r="X502" t="s">
        <v>207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208</v>
      </c>
      <c r="BA502">
        <v>33082783294.436798</v>
      </c>
      <c r="BB502" t="s">
        <v>4572</v>
      </c>
      <c r="BC502" t="s">
        <v>4536</v>
      </c>
    </row>
    <row r="503" spans="1:55" x14ac:dyDescent="0.25">
      <c r="A503">
        <v>389</v>
      </c>
      <c r="B503" t="s">
        <v>699</v>
      </c>
      <c r="C503" t="s">
        <v>2134</v>
      </c>
      <c r="D503" t="s">
        <v>3569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202</v>
      </c>
      <c r="K503">
        <v>224696730.44631499</v>
      </c>
      <c r="L503">
        <v>1</v>
      </c>
      <c r="M503" t="s">
        <v>4536</v>
      </c>
      <c r="O503" t="s">
        <v>207</v>
      </c>
      <c r="Q503" t="s">
        <v>207</v>
      </c>
      <c r="R503" t="s">
        <v>207</v>
      </c>
      <c r="S503" t="s">
        <v>207</v>
      </c>
      <c r="T503" t="s">
        <v>207</v>
      </c>
      <c r="U503" t="s">
        <v>207</v>
      </c>
      <c r="V503" t="s">
        <v>207</v>
      </c>
      <c r="W503" t="s">
        <v>207</v>
      </c>
      <c r="X503" t="s">
        <v>207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208</v>
      </c>
      <c r="AZ503" t="s">
        <v>4571</v>
      </c>
      <c r="BA503">
        <v>35848491227.273003</v>
      </c>
      <c r="BB503" t="s">
        <v>4572</v>
      </c>
      <c r="BC503" t="s">
        <v>4577</v>
      </c>
    </row>
    <row r="504" spans="1:55" x14ac:dyDescent="0.25">
      <c r="A504">
        <v>1063</v>
      </c>
      <c r="B504" t="s">
        <v>700</v>
      </c>
      <c r="C504" t="s">
        <v>2135</v>
      </c>
      <c r="D504" t="s">
        <v>3570</v>
      </c>
      <c r="E504" t="s">
        <v>4520</v>
      </c>
      <c r="F504">
        <v>138400000</v>
      </c>
      <c r="G504">
        <v>68.55</v>
      </c>
      <c r="H504" t="s">
        <v>99</v>
      </c>
      <c r="I504">
        <v>9487320000</v>
      </c>
      <c r="J504" t="s">
        <v>203</v>
      </c>
      <c r="K504">
        <v>6900889.3166666701</v>
      </c>
      <c r="L504">
        <v>0.55000000000000004</v>
      </c>
      <c r="M504" t="s">
        <v>4536</v>
      </c>
      <c r="N504" t="s">
        <v>4537</v>
      </c>
      <c r="O504" t="s">
        <v>207</v>
      </c>
      <c r="Q504" t="s">
        <v>207</v>
      </c>
      <c r="R504" t="s">
        <v>207</v>
      </c>
      <c r="S504" t="s">
        <v>207</v>
      </c>
      <c r="T504" t="s">
        <v>207</v>
      </c>
      <c r="U504" t="s">
        <v>207</v>
      </c>
      <c r="V504" t="s">
        <v>207</v>
      </c>
      <c r="W504" t="s">
        <v>207</v>
      </c>
      <c r="X504" t="s">
        <v>207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209</v>
      </c>
      <c r="AZ504" t="s">
        <v>4571</v>
      </c>
      <c r="BA504">
        <v>5218026000</v>
      </c>
      <c r="BB504" t="s">
        <v>4572</v>
      </c>
      <c r="BC504" t="s">
        <v>4584</v>
      </c>
    </row>
    <row r="505" spans="1:55" x14ac:dyDescent="0.25">
      <c r="A505">
        <v>45</v>
      </c>
      <c r="B505" t="s">
        <v>701</v>
      </c>
      <c r="C505" t="s">
        <v>2136</v>
      </c>
      <c r="D505" t="s">
        <v>3571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202</v>
      </c>
      <c r="K505">
        <v>933271376.78225899</v>
      </c>
      <c r="L505">
        <v>1</v>
      </c>
      <c r="O505" t="s">
        <v>207</v>
      </c>
      <c r="Q505" t="s">
        <v>207</v>
      </c>
      <c r="R505" t="s">
        <v>207</v>
      </c>
      <c r="S505" t="s">
        <v>207</v>
      </c>
      <c r="T505" t="s">
        <v>207</v>
      </c>
      <c r="U505" t="s">
        <v>207</v>
      </c>
      <c r="V505" t="s">
        <v>207</v>
      </c>
      <c r="W505" t="s">
        <v>207</v>
      </c>
      <c r="X505" t="s">
        <v>207</v>
      </c>
      <c r="AK505">
        <v>0</v>
      </c>
      <c r="AL505">
        <v>0.26100000000000001</v>
      </c>
      <c r="AM505">
        <v>0</v>
      </c>
      <c r="AO505" t="s">
        <v>4568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208</v>
      </c>
      <c r="BA505">
        <v>205141662452.70001</v>
      </c>
      <c r="BB505" t="s">
        <v>4572</v>
      </c>
      <c r="BC505" t="s">
        <v>4568</v>
      </c>
    </row>
    <row r="506" spans="1:55" x14ac:dyDescent="0.25">
      <c r="A506">
        <v>350</v>
      </c>
      <c r="B506" t="s">
        <v>702</v>
      </c>
      <c r="C506" t="s">
        <v>2137</v>
      </c>
      <c r="D506" t="s">
        <v>3572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202</v>
      </c>
      <c r="K506">
        <v>236191105.60144699</v>
      </c>
      <c r="L506">
        <v>1</v>
      </c>
      <c r="M506" t="s">
        <v>4536</v>
      </c>
      <c r="O506" t="s">
        <v>207</v>
      </c>
      <c r="Q506" t="s">
        <v>207</v>
      </c>
      <c r="R506" t="s">
        <v>207</v>
      </c>
      <c r="S506" t="s">
        <v>207</v>
      </c>
      <c r="T506" t="s">
        <v>207</v>
      </c>
      <c r="U506" t="s">
        <v>207</v>
      </c>
      <c r="V506" t="s">
        <v>207</v>
      </c>
      <c r="W506" t="s">
        <v>207</v>
      </c>
      <c r="X506" t="s">
        <v>207</v>
      </c>
      <c r="AG506" t="s">
        <v>4546</v>
      </c>
      <c r="AH506" t="s">
        <v>4562</v>
      </c>
      <c r="AI506" t="s">
        <v>4565</v>
      </c>
      <c r="AJ506" t="s">
        <v>4566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208</v>
      </c>
      <c r="BA506">
        <v>39842466507.191002</v>
      </c>
      <c r="BB506" t="s">
        <v>4572</v>
      </c>
      <c r="BC506" t="s">
        <v>4578</v>
      </c>
    </row>
    <row r="507" spans="1:55" x14ac:dyDescent="0.25">
      <c r="A507">
        <v>140</v>
      </c>
      <c r="B507" t="s">
        <v>703</v>
      </c>
      <c r="C507" t="s">
        <v>2138</v>
      </c>
      <c r="D507" t="s">
        <v>3573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202</v>
      </c>
      <c r="K507">
        <v>1153222546.7816701</v>
      </c>
      <c r="L507">
        <v>1</v>
      </c>
      <c r="M507" t="s">
        <v>4536</v>
      </c>
      <c r="O507" t="s">
        <v>207</v>
      </c>
      <c r="Q507" t="s">
        <v>207</v>
      </c>
      <c r="R507" t="s">
        <v>207</v>
      </c>
      <c r="S507" t="s">
        <v>207</v>
      </c>
      <c r="T507" t="s">
        <v>207</v>
      </c>
      <c r="U507" t="s">
        <v>207</v>
      </c>
      <c r="V507" t="s">
        <v>207</v>
      </c>
      <c r="W507" t="s">
        <v>207</v>
      </c>
      <c r="X507" t="s">
        <v>207</v>
      </c>
      <c r="AK507">
        <v>0</v>
      </c>
      <c r="AL507">
        <v>0.5</v>
      </c>
      <c r="AM507">
        <v>0</v>
      </c>
      <c r="AO507" t="s">
        <v>4568</v>
      </c>
      <c r="AQ507">
        <v>0</v>
      </c>
      <c r="AR507">
        <v>0</v>
      </c>
      <c r="AW507">
        <v>5020</v>
      </c>
      <c r="AX507">
        <v>2.0630000000000002</v>
      </c>
      <c r="AY507" t="s">
        <v>208</v>
      </c>
      <c r="BA507">
        <v>86525430474.132004</v>
      </c>
      <c r="BB507" t="s">
        <v>4572</v>
      </c>
      <c r="BC507" t="s">
        <v>4582</v>
      </c>
    </row>
    <row r="508" spans="1:55" x14ac:dyDescent="0.25">
      <c r="A508">
        <v>903</v>
      </c>
      <c r="B508" t="s">
        <v>704</v>
      </c>
      <c r="C508" t="s">
        <v>2139</v>
      </c>
      <c r="D508" t="s">
        <v>3574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203</v>
      </c>
      <c r="K508">
        <v>14659276.655082</v>
      </c>
      <c r="L508">
        <v>0.85</v>
      </c>
      <c r="O508" t="s">
        <v>207</v>
      </c>
      <c r="Q508" t="s">
        <v>207</v>
      </c>
      <c r="R508" t="s">
        <v>207</v>
      </c>
      <c r="S508" t="s">
        <v>207</v>
      </c>
      <c r="T508" t="s">
        <v>207</v>
      </c>
      <c r="U508" t="s">
        <v>207</v>
      </c>
      <c r="V508" t="s">
        <v>207</v>
      </c>
      <c r="W508" t="s">
        <v>207</v>
      </c>
      <c r="X508" t="s">
        <v>207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209</v>
      </c>
      <c r="BA508">
        <v>7902672042.5249996</v>
      </c>
      <c r="BB508" t="s">
        <v>211</v>
      </c>
    </row>
    <row r="509" spans="1:55" x14ac:dyDescent="0.25">
      <c r="A509">
        <v>629</v>
      </c>
      <c r="B509" t="s">
        <v>705</v>
      </c>
      <c r="C509" t="s">
        <v>2140</v>
      </c>
      <c r="D509" t="s">
        <v>3575</v>
      </c>
      <c r="E509" t="s">
        <v>95</v>
      </c>
      <c r="F509">
        <v>35189083</v>
      </c>
      <c r="G509">
        <v>559.07650000000001</v>
      </c>
      <c r="H509" t="s">
        <v>103</v>
      </c>
      <c r="I509">
        <v>19673389361.849499</v>
      </c>
      <c r="J509" t="s">
        <v>204</v>
      </c>
      <c r="K509">
        <v>44480339.436672702</v>
      </c>
      <c r="L509">
        <v>1</v>
      </c>
      <c r="M509" t="s">
        <v>4536</v>
      </c>
      <c r="O509" t="s">
        <v>207</v>
      </c>
      <c r="Q509" t="s">
        <v>207</v>
      </c>
      <c r="R509" t="s">
        <v>207</v>
      </c>
      <c r="S509" t="s">
        <v>207</v>
      </c>
      <c r="T509" t="s">
        <v>207</v>
      </c>
      <c r="U509" t="s">
        <v>207</v>
      </c>
      <c r="V509" t="s">
        <v>207</v>
      </c>
      <c r="W509" t="s">
        <v>207</v>
      </c>
      <c r="X509" t="s">
        <v>207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209</v>
      </c>
      <c r="BA509">
        <v>19673389361.849499</v>
      </c>
      <c r="BB509" t="s">
        <v>4572</v>
      </c>
      <c r="BC509" t="s">
        <v>4536</v>
      </c>
    </row>
    <row r="510" spans="1:55" x14ac:dyDescent="0.25">
      <c r="A510">
        <v>240</v>
      </c>
      <c r="B510" t="s">
        <v>706</v>
      </c>
      <c r="C510" t="s">
        <v>2141</v>
      </c>
      <c r="D510" t="s">
        <v>3576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202</v>
      </c>
      <c r="K510">
        <v>426218604.736736</v>
      </c>
      <c r="L510">
        <v>0.9</v>
      </c>
      <c r="M510" t="s">
        <v>4536</v>
      </c>
      <c r="O510" t="s">
        <v>206</v>
      </c>
      <c r="Q510" t="s">
        <v>207</v>
      </c>
      <c r="R510" t="s">
        <v>207</v>
      </c>
      <c r="S510" t="s">
        <v>4538</v>
      </c>
      <c r="T510" t="s">
        <v>207</v>
      </c>
      <c r="U510" t="s">
        <v>207</v>
      </c>
      <c r="V510" t="s">
        <v>4538</v>
      </c>
      <c r="W510" t="s">
        <v>207</v>
      </c>
      <c r="X510" t="s">
        <v>4538</v>
      </c>
      <c r="AA510" t="s">
        <v>4541</v>
      </c>
      <c r="AD510" t="s">
        <v>4543</v>
      </c>
      <c r="AF510" t="s">
        <v>4545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208</v>
      </c>
      <c r="BA510">
        <v>56566549548.612</v>
      </c>
      <c r="BB510" t="s">
        <v>4572</v>
      </c>
      <c r="BC510" t="s">
        <v>4627</v>
      </c>
    </row>
    <row r="511" spans="1:55" x14ac:dyDescent="0.25">
      <c r="A511">
        <v>417</v>
      </c>
      <c r="B511" t="s">
        <v>707</v>
      </c>
      <c r="C511" t="s">
        <v>2142</v>
      </c>
      <c r="D511" t="s">
        <v>3577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202</v>
      </c>
      <c r="K511">
        <v>267041511.45048901</v>
      </c>
      <c r="L511">
        <v>1</v>
      </c>
      <c r="O511" t="s">
        <v>207</v>
      </c>
      <c r="Q511" t="s">
        <v>207</v>
      </c>
      <c r="R511" t="s">
        <v>207</v>
      </c>
      <c r="S511" t="s">
        <v>207</v>
      </c>
      <c r="T511" t="s">
        <v>207</v>
      </c>
      <c r="U511" t="s">
        <v>207</v>
      </c>
      <c r="V511" t="s">
        <v>207</v>
      </c>
      <c r="W511" t="s">
        <v>207</v>
      </c>
      <c r="X511" t="s">
        <v>207</v>
      </c>
      <c r="AG511" t="s">
        <v>4546</v>
      </c>
      <c r="AH511" t="s">
        <v>4564</v>
      </c>
      <c r="AI511" t="s">
        <v>4565</v>
      </c>
      <c r="AJ511" t="s">
        <v>4566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208</v>
      </c>
      <c r="BA511">
        <v>32161747721.7654</v>
      </c>
      <c r="BB511" t="s">
        <v>4572</v>
      </c>
      <c r="BC511" t="s">
        <v>4581</v>
      </c>
    </row>
    <row r="512" spans="1:55" x14ac:dyDescent="0.25">
      <c r="A512">
        <v>316</v>
      </c>
      <c r="B512" t="s">
        <v>708</v>
      </c>
      <c r="C512" t="s">
        <v>2143</v>
      </c>
      <c r="D512" t="s">
        <v>3578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202</v>
      </c>
      <c r="K512">
        <v>542651097.80173397</v>
      </c>
      <c r="L512">
        <v>1</v>
      </c>
      <c r="M512" t="s">
        <v>4536</v>
      </c>
      <c r="O512" t="s">
        <v>207</v>
      </c>
      <c r="Q512" t="s">
        <v>207</v>
      </c>
      <c r="R512" t="s">
        <v>207</v>
      </c>
      <c r="S512" t="s">
        <v>207</v>
      </c>
      <c r="T512" t="s">
        <v>207</v>
      </c>
      <c r="U512" t="s">
        <v>207</v>
      </c>
      <c r="V512" t="s">
        <v>207</v>
      </c>
      <c r="W512" t="s">
        <v>207</v>
      </c>
      <c r="X512" t="s">
        <v>207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208</v>
      </c>
      <c r="BA512">
        <v>44054176773.392998</v>
      </c>
      <c r="BB512" t="s">
        <v>4572</v>
      </c>
      <c r="BC512" t="s">
        <v>4536</v>
      </c>
    </row>
    <row r="513" spans="1:55" x14ac:dyDescent="0.25">
      <c r="A513">
        <v>398</v>
      </c>
      <c r="B513" t="s">
        <v>709</v>
      </c>
      <c r="C513" t="s">
        <v>2144</v>
      </c>
      <c r="D513" t="s">
        <v>3579</v>
      </c>
      <c r="E513" t="s">
        <v>4517</v>
      </c>
      <c r="F513">
        <v>1569420004</v>
      </c>
      <c r="G513">
        <v>31.33</v>
      </c>
      <c r="H513" t="s">
        <v>99</v>
      </c>
      <c r="I513">
        <v>49169928725.32</v>
      </c>
      <c r="J513" t="s">
        <v>203</v>
      </c>
      <c r="K513">
        <v>104407090.472541</v>
      </c>
      <c r="L513">
        <v>0.70000000000000007</v>
      </c>
      <c r="O513" t="s">
        <v>207</v>
      </c>
      <c r="Q513" t="s">
        <v>207</v>
      </c>
      <c r="R513" t="s">
        <v>207</v>
      </c>
      <c r="S513" t="s">
        <v>207</v>
      </c>
      <c r="T513" t="s">
        <v>207</v>
      </c>
      <c r="U513" t="s">
        <v>207</v>
      </c>
      <c r="V513" t="s">
        <v>207</v>
      </c>
      <c r="W513" t="s">
        <v>207</v>
      </c>
      <c r="X513" t="s">
        <v>207</v>
      </c>
      <c r="AG513" t="s">
        <v>4548</v>
      </c>
      <c r="AI513" t="s">
        <v>4565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209</v>
      </c>
      <c r="BA513">
        <v>34418950107.724007</v>
      </c>
      <c r="BB513" t="s">
        <v>4572</v>
      </c>
      <c r="BC513" t="s">
        <v>4565</v>
      </c>
    </row>
    <row r="514" spans="1:55" x14ac:dyDescent="0.25">
      <c r="A514">
        <v>1431</v>
      </c>
      <c r="B514" t="s">
        <v>710</v>
      </c>
      <c r="C514" t="s">
        <v>2145</v>
      </c>
      <c r="D514" t="s">
        <v>3580</v>
      </c>
      <c r="E514" t="s">
        <v>94</v>
      </c>
      <c r="F514">
        <v>1128684400</v>
      </c>
      <c r="G514">
        <v>2.0121950000000002</v>
      </c>
      <c r="H514" t="s">
        <v>102</v>
      </c>
      <c r="I514">
        <v>2271133106.2579999</v>
      </c>
      <c r="J514" t="s">
        <v>205</v>
      </c>
      <c r="K514">
        <v>5172704.7173681799</v>
      </c>
      <c r="L514">
        <v>1</v>
      </c>
      <c r="M514" t="s">
        <v>4536</v>
      </c>
      <c r="N514" t="s">
        <v>4537</v>
      </c>
      <c r="O514" t="s">
        <v>207</v>
      </c>
      <c r="Q514" t="s">
        <v>207</v>
      </c>
      <c r="R514" t="s">
        <v>207</v>
      </c>
      <c r="S514" t="s">
        <v>207</v>
      </c>
      <c r="T514" t="s">
        <v>207</v>
      </c>
      <c r="U514" t="s">
        <v>207</v>
      </c>
      <c r="V514" t="s">
        <v>207</v>
      </c>
      <c r="W514" t="s">
        <v>207</v>
      </c>
      <c r="X514" t="s">
        <v>207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210</v>
      </c>
      <c r="AZ514" t="s">
        <v>4571</v>
      </c>
      <c r="BA514">
        <v>2271133106.2579999</v>
      </c>
      <c r="BB514" t="s">
        <v>4572</v>
      </c>
      <c r="BC514" t="s">
        <v>4584</v>
      </c>
    </row>
    <row r="515" spans="1:55" x14ac:dyDescent="0.25">
      <c r="A515">
        <v>762</v>
      </c>
      <c r="B515" t="s">
        <v>711</v>
      </c>
      <c r="C515" t="s">
        <v>2146</v>
      </c>
      <c r="D515" t="s">
        <v>3581</v>
      </c>
      <c r="E515" t="s">
        <v>4523</v>
      </c>
      <c r="F515">
        <v>66187190</v>
      </c>
      <c r="G515">
        <v>212.19220000000001</v>
      </c>
      <c r="H515" t="s">
        <v>4532</v>
      </c>
      <c r="I515">
        <v>14044405457.917999</v>
      </c>
      <c r="J515" t="s">
        <v>204</v>
      </c>
      <c r="K515">
        <v>23766057.6945187</v>
      </c>
      <c r="L515">
        <v>1</v>
      </c>
      <c r="M515" t="s">
        <v>4536</v>
      </c>
      <c r="O515" t="s">
        <v>207</v>
      </c>
      <c r="Q515" t="s">
        <v>207</v>
      </c>
      <c r="R515" t="s">
        <v>207</v>
      </c>
      <c r="S515" t="s">
        <v>207</v>
      </c>
      <c r="T515" t="s">
        <v>207</v>
      </c>
      <c r="U515" t="s">
        <v>207</v>
      </c>
      <c r="V515" t="s">
        <v>207</v>
      </c>
      <c r="W515" t="s">
        <v>207</v>
      </c>
      <c r="X515" t="s">
        <v>207</v>
      </c>
      <c r="AG515" t="s">
        <v>4546</v>
      </c>
      <c r="AH515" t="s">
        <v>4562</v>
      </c>
      <c r="AI515" t="s">
        <v>4565</v>
      </c>
      <c r="AJ515" t="s">
        <v>4566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209</v>
      </c>
      <c r="AZ515" t="s">
        <v>4571</v>
      </c>
      <c r="BA515">
        <v>14044405457.917999</v>
      </c>
      <c r="BB515" t="s">
        <v>4572</v>
      </c>
      <c r="BC515" t="s">
        <v>4588</v>
      </c>
    </row>
    <row r="516" spans="1:55" x14ac:dyDescent="0.25">
      <c r="A516">
        <v>1335</v>
      </c>
      <c r="B516" t="s">
        <v>712</v>
      </c>
      <c r="C516" t="s">
        <v>2147</v>
      </c>
      <c r="D516" t="s">
        <v>3582</v>
      </c>
      <c r="E516" t="s">
        <v>4527</v>
      </c>
      <c r="F516">
        <v>12094026000</v>
      </c>
      <c r="G516">
        <v>0.53678539999999997</v>
      </c>
      <c r="H516" t="s">
        <v>4534</v>
      </c>
      <c r="I516">
        <v>6491896584.0204</v>
      </c>
      <c r="J516" t="s">
        <v>205</v>
      </c>
      <c r="K516">
        <v>13356211.925218901</v>
      </c>
      <c r="L516">
        <v>0.45</v>
      </c>
      <c r="M516" t="s">
        <v>4536</v>
      </c>
      <c r="O516" t="s">
        <v>207</v>
      </c>
      <c r="Q516" t="s">
        <v>207</v>
      </c>
      <c r="R516" t="s">
        <v>207</v>
      </c>
      <c r="S516" t="s">
        <v>207</v>
      </c>
      <c r="T516" t="s">
        <v>207</v>
      </c>
      <c r="U516" t="s">
        <v>207</v>
      </c>
      <c r="V516" t="s">
        <v>207</v>
      </c>
      <c r="W516" t="s">
        <v>207</v>
      </c>
      <c r="X516" t="s">
        <v>207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210</v>
      </c>
      <c r="BA516">
        <v>2921353462.8091798</v>
      </c>
      <c r="BB516" t="s">
        <v>4572</v>
      </c>
      <c r="BC516" t="s">
        <v>4536</v>
      </c>
    </row>
    <row r="517" spans="1:55" x14ac:dyDescent="0.25">
      <c r="A517">
        <v>726</v>
      </c>
      <c r="B517" t="s">
        <v>713</v>
      </c>
      <c r="C517" t="s">
        <v>2148</v>
      </c>
      <c r="D517" t="s">
        <v>3583</v>
      </c>
      <c r="E517" t="s">
        <v>88</v>
      </c>
      <c r="F517">
        <v>138782030</v>
      </c>
      <c r="G517">
        <v>116.33669999999999</v>
      </c>
      <c r="H517" t="s">
        <v>98</v>
      </c>
      <c r="I517">
        <v>16145443389.500999</v>
      </c>
      <c r="J517" t="s">
        <v>202</v>
      </c>
      <c r="K517">
        <v>165179545.37004101</v>
      </c>
      <c r="L517">
        <v>1</v>
      </c>
      <c r="O517" t="s">
        <v>207</v>
      </c>
      <c r="Q517" t="s">
        <v>207</v>
      </c>
      <c r="R517" t="s">
        <v>207</v>
      </c>
      <c r="S517" t="s">
        <v>207</v>
      </c>
      <c r="T517" t="s">
        <v>207</v>
      </c>
      <c r="U517" t="s">
        <v>207</v>
      </c>
      <c r="V517" t="s">
        <v>207</v>
      </c>
      <c r="W517" t="s">
        <v>207</v>
      </c>
      <c r="X517" t="s">
        <v>207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208</v>
      </c>
      <c r="BA517">
        <v>16145443389.500999</v>
      </c>
      <c r="BB517" t="s">
        <v>211</v>
      </c>
    </row>
    <row r="518" spans="1:55" x14ac:dyDescent="0.25">
      <c r="A518">
        <v>1017</v>
      </c>
      <c r="B518" t="s">
        <v>714</v>
      </c>
      <c r="C518" t="s">
        <v>2149</v>
      </c>
      <c r="D518" t="s">
        <v>3584</v>
      </c>
      <c r="E518" t="s">
        <v>95</v>
      </c>
      <c r="F518">
        <v>82017960</v>
      </c>
      <c r="G518">
        <v>75.227580000000003</v>
      </c>
      <c r="H518" t="s">
        <v>103</v>
      </c>
      <c r="I518">
        <v>6170012647.3368006</v>
      </c>
      <c r="J518" t="s">
        <v>204</v>
      </c>
      <c r="K518">
        <v>12588349.586025</v>
      </c>
      <c r="L518">
        <v>0.95</v>
      </c>
      <c r="M518" t="s">
        <v>4536</v>
      </c>
      <c r="O518" t="s">
        <v>207</v>
      </c>
      <c r="Q518" t="s">
        <v>207</v>
      </c>
      <c r="R518" t="s">
        <v>207</v>
      </c>
      <c r="S518" t="s">
        <v>207</v>
      </c>
      <c r="T518" t="s">
        <v>207</v>
      </c>
      <c r="U518" t="s">
        <v>207</v>
      </c>
      <c r="V518" t="s">
        <v>207</v>
      </c>
      <c r="W518" t="s">
        <v>207</v>
      </c>
      <c r="X518" t="s">
        <v>207</v>
      </c>
      <c r="AK518">
        <v>0</v>
      </c>
      <c r="AL518">
        <v>0.1</v>
      </c>
      <c r="AM518">
        <v>0</v>
      </c>
      <c r="AO518" t="s">
        <v>4568</v>
      </c>
      <c r="AQ518">
        <v>0</v>
      </c>
      <c r="AR518">
        <v>0</v>
      </c>
      <c r="AW518">
        <v>5010</v>
      </c>
      <c r="AX518">
        <v>2.5390000000000001</v>
      </c>
      <c r="AY518" t="s">
        <v>209</v>
      </c>
      <c r="BA518">
        <v>5861512014.9699602</v>
      </c>
      <c r="BB518" t="s">
        <v>4572</v>
      </c>
      <c r="BC518" t="s">
        <v>4582</v>
      </c>
    </row>
    <row r="519" spans="1:55" x14ac:dyDescent="0.25">
      <c r="A519">
        <v>1358</v>
      </c>
      <c r="B519" t="s">
        <v>715</v>
      </c>
      <c r="C519" t="s">
        <v>2150</v>
      </c>
      <c r="D519" t="s">
        <v>3585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4535</v>
      </c>
      <c r="K519">
        <v>14023733.190163899</v>
      </c>
      <c r="L519">
        <v>1</v>
      </c>
      <c r="M519" t="s">
        <v>4536</v>
      </c>
      <c r="O519" t="s">
        <v>207</v>
      </c>
      <c r="Q519" t="s">
        <v>207</v>
      </c>
      <c r="R519" t="s">
        <v>207</v>
      </c>
      <c r="S519" t="s">
        <v>207</v>
      </c>
      <c r="T519" t="s">
        <v>207</v>
      </c>
      <c r="U519" t="s">
        <v>207</v>
      </c>
      <c r="V519" t="s">
        <v>207</v>
      </c>
      <c r="W519" t="s">
        <v>207</v>
      </c>
      <c r="X519" t="s">
        <v>207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209</v>
      </c>
      <c r="BA519">
        <v>2763200000</v>
      </c>
      <c r="BB519" t="s">
        <v>4572</v>
      </c>
      <c r="BC519" t="s">
        <v>4536</v>
      </c>
    </row>
    <row r="520" spans="1:55" x14ac:dyDescent="0.25">
      <c r="A520">
        <v>1136</v>
      </c>
      <c r="B520" t="s">
        <v>716</v>
      </c>
      <c r="C520" t="s">
        <v>2151</v>
      </c>
      <c r="D520" t="s">
        <v>3586</v>
      </c>
      <c r="E520" t="s">
        <v>4519</v>
      </c>
      <c r="F520">
        <v>254152370</v>
      </c>
      <c r="G520">
        <v>19.76435</v>
      </c>
      <c r="H520" t="s">
        <v>4530</v>
      </c>
      <c r="I520">
        <v>5023156394.0095015</v>
      </c>
      <c r="J520" t="s">
        <v>204</v>
      </c>
      <c r="K520">
        <v>16679244.3821142</v>
      </c>
      <c r="L520">
        <v>0.85</v>
      </c>
      <c r="O520" t="s">
        <v>207</v>
      </c>
      <c r="Q520" t="s">
        <v>207</v>
      </c>
      <c r="R520" t="s">
        <v>207</v>
      </c>
      <c r="S520" t="s">
        <v>207</v>
      </c>
      <c r="T520" t="s">
        <v>207</v>
      </c>
      <c r="U520" t="s">
        <v>207</v>
      </c>
      <c r="V520" t="s">
        <v>207</v>
      </c>
      <c r="W520" t="s">
        <v>207</v>
      </c>
      <c r="X520" t="s">
        <v>207</v>
      </c>
      <c r="AG520" t="s">
        <v>4546</v>
      </c>
      <c r="AH520" t="s">
        <v>4562</v>
      </c>
      <c r="AI520" t="s">
        <v>4565</v>
      </c>
      <c r="AJ520" t="s">
        <v>4566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209</v>
      </c>
      <c r="BA520">
        <v>4269682934.9080749</v>
      </c>
      <c r="BB520" t="s">
        <v>4572</v>
      </c>
      <c r="BC520" t="s">
        <v>4581</v>
      </c>
    </row>
    <row r="521" spans="1:55" x14ac:dyDescent="0.25">
      <c r="A521">
        <v>87</v>
      </c>
      <c r="B521" t="s">
        <v>717</v>
      </c>
      <c r="C521" t="s">
        <v>2152</v>
      </c>
      <c r="D521" t="s">
        <v>3587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202</v>
      </c>
      <c r="K521">
        <v>647315482.28427899</v>
      </c>
      <c r="L521">
        <v>1</v>
      </c>
      <c r="M521" t="s">
        <v>4536</v>
      </c>
      <c r="O521" t="s">
        <v>207</v>
      </c>
      <c r="Q521" t="s">
        <v>207</v>
      </c>
      <c r="R521" t="s">
        <v>207</v>
      </c>
      <c r="S521" t="s">
        <v>207</v>
      </c>
      <c r="T521" t="s">
        <v>207</v>
      </c>
      <c r="U521" t="s">
        <v>207</v>
      </c>
      <c r="V521" t="s">
        <v>207</v>
      </c>
      <c r="W521" t="s">
        <v>207</v>
      </c>
      <c r="X521" t="s">
        <v>207</v>
      </c>
      <c r="AG521" t="s">
        <v>4546</v>
      </c>
      <c r="AH521" t="s">
        <v>4562</v>
      </c>
      <c r="AI521" t="s">
        <v>4565</v>
      </c>
      <c r="AJ521" t="s">
        <v>4566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208</v>
      </c>
      <c r="BA521">
        <v>131063553373.5</v>
      </c>
      <c r="BB521" t="s">
        <v>4572</v>
      </c>
      <c r="BC521" t="s">
        <v>4578</v>
      </c>
    </row>
    <row r="522" spans="1:55" x14ac:dyDescent="0.25">
      <c r="A522">
        <v>396</v>
      </c>
      <c r="B522" t="s">
        <v>718</v>
      </c>
      <c r="C522" t="s">
        <v>2153</v>
      </c>
      <c r="D522" t="s">
        <v>3588</v>
      </c>
      <c r="E522" t="s">
        <v>95</v>
      </c>
      <c r="F522">
        <v>9233586</v>
      </c>
      <c r="G522">
        <v>4175.5290000000005</v>
      </c>
      <c r="H522" t="s">
        <v>103</v>
      </c>
      <c r="I522">
        <v>38555106116.994003</v>
      </c>
      <c r="J522" t="s">
        <v>204</v>
      </c>
      <c r="K522">
        <v>73350479.450200602</v>
      </c>
      <c r="L522">
        <v>0.9</v>
      </c>
      <c r="O522" t="s">
        <v>207</v>
      </c>
      <c r="Q522" t="s">
        <v>207</v>
      </c>
      <c r="R522" t="s">
        <v>207</v>
      </c>
      <c r="S522" t="s">
        <v>207</v>
      </c>
      <c r="T522" t="s">
        <v>207</v>
      </c>
      <c r="U522" t="s">
        <v>207</v>
      </c>
      <c r="V522" t="s">
        <v>207</v>
      </c>
      <c r="W522" t="s">
        <v>207</v>
      </c>
      <c r="X522" t="s">
        <v>207</v>
      </c>
      <c r="AG522" t="s">
        <v>4546</v>
      </c>
      <c r="AH522" t="s">
        <v>4564</v>
      </c>
      <c r="AI522" t="s">
        <v>4565</v>
      </c>
      <c r="AJ522" t="s">
        <v>4566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209</v>
      </c>
      <c r="BA522">
        <v>34699595505.294601</v>
      </c>
      <c r="BB522" t="s">
        <v>4572</v>
      </c>
      <c r="BC522" t="s">
        <v>4581</v>
      </c>
    </row>
    <row r="523" spans="1:55" x14ac:dyDescent="0.25">
      <c r="A523">
        <v>1177</v>
      </c>
      <c r="B523" t="s">
        <v>719</v>
      </c>
      <c r="C523" t="s">
        <v>2154</v>
      </c>
      <c r="D523" t="s">
        <v>3589</v>
      </c>
      <c r="E523" t="s">
        <v>4522</v>
      </c>
      <c r="F523">
        <v>500000000</v>
      </c>
      <c r="G523">
        <v>19.31466</v>
      </c>
      <c r="H523" t="s">
        <v>4531</v>
      </c>
      <c r="I523">
        <v>9657330000</v>
      </c>
      <c r="J523" t="s">
        <v>204</v>
      </c>
      <c r="K523">
        <v>6367465.42884677</v>
      </c>
      <c r="L523">
        <v>0.4</v>
      </c>
      <c r="M523" t="s">
        <v>4536</v>
      </c>
      <c r="N523" t="s">
        <v>4537</v>
      </c>
      <c r="O523" t="s">
        <v>207</v>
      </c>
      <c r="Q523" t="s">
        <v>207</v>
      </c>
      <c r="R523" t="s">
        <v>207</v>
      </c>
      <c r="S523" t="s">
        <v>207</v>
      </c>
      <c r="T523" t="s">
        <v>207</v>
      </c>
      <c r="U523" t="s">
        <v>207</v>
      </c>
      <c r="V523" t="s">
        <v>207</v>
      </c>
      <c r="W523" t="s">
        <v>207</v>
      </c>
      <c r="X523" t="s">
        <v>207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209</v>
      </c>
      <c r="BA523">
        <v>3862932000</v>
      </c>
      <c r="BB523" t="s">
        <v>4572</v>
      </c>
      <c r="BC523" t="s">
        <v>4575</v>
      </c>
    </row>
    <row r="524" spans="1:55" x14ac:dyDescent="0.25">
      <c r="A524">
        <v>1389</v>
      </c>
      <c r="B524" t="s">
        <v>720</v>
      </c>
      <c r="C524" t="s">
        <v>2155</v>
      </c>
      <c r="D524" t="s">
        <v>3590</v>
      </c>
      <c r="E524" t="s">
        <v>4521</v>
      </c>
      <c r="F524">
        <v>257743489</v>
      </c>
      <c r="G524">
        <v>14.48</v>
      </c>
      <c r="H524" t="s">
        <v>99</v>
      </c>
      <c r="I524">
        <v>3732125720.7199998</v>
      </c>
      <c r="J524" t="s">
        <v>4535</v>
      </c>
      <c r="K524">
        <v>6295135.98837143</v>
      </c>
      <c r="L524">
        <v>0.70000000000000007</v>
      </c>
      <c r="M524" t="s">
        <v>4536</v>
      </c>
      <c r="N524" t="s">
        <v>4537</v>
      </c>
      <c r="O524" t="s">
        <v>207</v>
      </c>
      <c r="Q524" t="s">
        <v>207</v>
      </c>
      <c r="R524" t="s">
        <v>207</v>
      </c>
      <c r="S524" t="s">
        <v>207</v>
      </c>
      <c r="T524" t="s">
        <v>207</v>
      </c>
      <c r="U524" t="s">
        <v>207</v>
      </c>
      <c r="V524" t="s">
        <v>207</v>
      </c>
      <c r="W524" t="s">
        <v>207</v>
      </c>
      <c r="X524" t="s">
        <v>207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209</v>
      </c>
      <c r="BA524">
        <v>2612488004.5040011</v>
      </c>
      <c r="BB524" t="s">
        <v>4572</v>
      </c>
      <c r="BC524" t="s">
        <v>4575</v>
      </c>
    </row>
    <row r="525" spans="1:55" x14ac:dyDescent="0.25">
      <c r="A525">
        <v>369</v>
      </c>
      <c r="B525" t="s">
        <v>721</v>
      </c>
      <c r="C525" t="s">
        <v>2156</v>
      </c>
      <c r="D525" t="s">
        <v>3591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204</v>
      </c>
      <c r="K525">
        <v>103220744.309798</v>
      </c>
      <c r="L525">
        <v>0.8</v>
      </c>
      <c r="M525" t="s">
        <v>4536</v>
      </c>
      <c r="O525" t="s">
        <v>206</v>
      </c>
      <c r="Q525" t="s">
        <v>207</v>
      </c>
      <c r="R525" t="s">
        <v>207</v>
      </c>
      <c r="S525" t="s">
        <v>207</v>
      </c>
      <c r="T525" t="s">
        <v>207</v>
      </c>
      <c r="U525" t="s">
        <v>207</v>
      </c>
      <c r="V525" t="s">
        <v>207</v>
      </c>
      <c r="W525" t="s">
        <v>207</v>
      </c>
      <c r="X525" t="s">
        <v>207</v>
      </c>
      <c r="AL525">
        <v>0.63600000000000001</v>
      </c>
      <c r="AO525" t="s">
        <v>4568</v>
      </c>
      <c r="AQ525">
        <v>0</v>
      </c>
      <c r="AR525">
        <v>0</v>
      </c>
      <c r="AW525">
        <v>5510</v>
      </c>
      <c r="AX525">
        <v>1.796</v>
      </c>
      <c r="AY525" t="s">
        <v>209</v>
      </c>
      <c r="AZ525" t="s">
        <v>4571</v>
      </c>
      <c r="BA525">
        <v>38167239000.844803</v>
      </c>
      <c r="BB525" t="s">
        <v>4572</v>
      </c>
      <c r="BC525" t="s">
        <v>4594</v>
      </c>
    </row>
    <row r="526" spans="1:55" x14ac:dyDescent="0.25">
      <c r="A526">
        <v>528</v>
      </c>
      <c r="B526" t="s">
        <v>722</v>
      </c>
      <c r="C526" t="s">
        <v>2157</v>
      </c>
      <c r="D526" t="s">
        <v>3592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202</v>
      </c>
      <c r="K526">
        <v>184858626.64814401</v>
      </c>
      <c r="L526">
        <v>1</v>
      </c>
      <c r="M526" t="s">
        <v>4536</v>
      </c>
      <c r="O526" t="s">
        <v>207</v>
      </c>
      <c r="Q526" t="s">
        <v>207</v>
      </c>
      <c r="R526" t="s">
        <v>207</v>
      </c>
      <c r="S526" t="s">
        <v>207</v>
      </c>
      <c r="T526" t="s">
        <v>207</v>
      </c>
      <c r="U526" t="s">
        <v>207</v>
      </c>
      <c r="V526" t="s">
        <v>207</v>
      </c>
      <c r="W526" t="s">
        <v>207</v>
      </c>
      <c r="X526" t="s">
        <v>207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208</v>
      </c>
      <c r="BA526">
        <v>24437146710.051601</v>
      </c>
      <c r="BB526" t="s">
        <v>4572</v>
      </c>
      <c r="BC526" t="s">
        <v>4536</v>
      </c>
    </row>
    <row r="527" spans="1:55" x14ac:dyDescent="0.25">
      <c r="A527">
        <v>1178</v>
      </c>
      <c r="B527" t="s">
        <v>723</v>
      </c>
      <c r="C527" t="s">
        <v>2158</v>
      </c>
      <c r="D527" t="s">
        <v>3593</v>
      </c>
      <c r="E527" t="s">
        <v>93</v>
      </c>
      <c r="F527">
        <v>4925331</v>
      </c>
      <c r="G527">
        <v>784.06299999999999</v>
      </c>
      <c r="H527" t="s">
        <v>101</v>
      </c>
      <c r="I527">
        <v>3861769799.8530002</v>
      </c>
      <c r="J527" t="s">
        <v>205</v>
      </c>
      <c r="K527">
        <v>8584215.4395846408</v>
      </c>
      <c r="L527">
        <v>1</v>
      </c>
      <c r="M527" t="s">
        <v>4536</v>
      </c>
      <c r="N527" t="s">
        <v>4537</v>
      </c>
      <c r="O527" t="s">
        <v>207</v>
      </c>
      <c r="Q527" t="s">
        <v>207</v>
      </c>
      <c r="R527" t="s">
        <v>207</v>
      </c>
      <c r="S527" t="s">
        <v>207</v>
      </c>
      <c r="T527" t="s">
        <v>207</v>
      </c>
      <c r="U527" t="s">
        <v>207</v>
      </c>
      <c r="V527" t="s">
        <v>207</v>
      </c>
      <c r="W527" t="s">
        <v>207</v>
      </c>
      <c r="X527" t="s">
        <v>207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210</v>
      </c>
      <c r="BA527">
        <v>3861769799.8530002</v>
      </c>
      <c r="BB527" t="s">
        <v>4572</v>
      </c>
      <c r="BC527" t="s">
        <v>4575</v>
      </c>
    </row>
    <row r="528" spans="1:55" x14ac:dyDescent="0.25">
      <c r="A528">
        <v>1419</v>
      </c>
      <c r="B528" t="s">
        <v>724</v>
      </c>
      <c r="C528" t="s">
        <v>2159</v>
      </c>
      <c r="D528" t="s">
        <v>3594</v>
      </c>
      <c r="E528" t="s">
        <v>93</v>
      </c>
      <c r="F528">
        <v>76557550</v>
      </c>
      <c r="G528">
        <v>51.673969999999997</v>
      </c>
      <c r="H528" t="s">
        <v>101</v>
      </c>
      <c r="I528">
        <v>3956032541.9734998</v>
      </c>
      <c r="J528" t="s">
        <v>205</v>
      </c>
      <c r="K528">
        <v>15026722.355965899</v>
      </c>
      <c r="L528">
        <v>0.6</v>
      </c>
      <c r="M528" t="s">
        <v>4536</v>
      </c>
      <c r="O528" t="s">
        <v>207</v>
      </c>
      <c r="Q528" t="s">
        <v>207</v>
      </c>
      <c r="R528" t="s">
        <v>207</v>
      </c>
      <c r="S528" t="s">
        <v>207</v>
      </c>
      <c r="T528" t="s">
        <v>207</v>
      </c>
      <c r="U528" t="s">
        <v>207</v>
      </c>
      <c r="V528" t="s">
        <v>207</v>
      </c>
      <c r="W528" t="s">
        <v>207</v>
      </c>
      <c r="X528" t="s">
        <v>207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210</v>
      </c>
      <c r="BA528">
        <v>2373619525.1841002</v>
      </c>
      <c r="BB528" t="s">
        <v>4572</v>
      </c>
      <c r="BC528" t="s">
        <v>4536</v>
      </c>
    </row>
    <row r="529" spans="1:55" x14ac:dyDescent="0.25">
      <c r="A529">
        <v>536</v>
      </c>
      <c r="B529" t="s">
        <v>725</v>
      </c>
      <c r="C529" t="s">
        <v>2160</v>
      </c>
      <c r="D529" t="s">
        <v>3595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202</v>
      </c>
      <c r="K529">
        <v>253977997.21602201</v>
      </c>
      <c r="L529">
        <v>1</v>
      </c>
      <c r="M529" t="s">
        <v>4536</v>
      </c>
      <c r="O529" t="s">
        <v>207</v>
      </c>
      <c r="Q529" t="s">
        <v>207</v>
      </c>
      <c r="R529" t="s">
        <v>207</v>
      </c>
      <c r="S529" t="s">
        <v>207</v>
      </c>
      <c r="T529" t="s">
        <v>207</v>
      </c>
      <c r="U529" t="s">
        <v>207</v>
      </c>
      <c r="V529" t="s">
        <v>207</v>
      </c>
      <c r="W529" t="s">
        <v>207</v>
      </c>
      <c r="X529" t="s">
        <v>207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208</v>
      </c>
      <c r="BA529">
        <v>23494426546.916</v>
      </c>
      <c r="BB529" t="s">
        <v>4572</v>
      </c>
      <c r="BC529" t="s">
        <v>4536</v>
      </c>
    </row>
    <row r="530" spans="1:55" x14ac:dyDescent="0.25">
      <c r="A530">
        <v>52</v>
      </c>
      <c r="B530" t="s">
        <v>726</v>
      </c>
      <c r="C530" t="s">
        <v>2161</v>
      </c>
      <c r="D530" t="s">
        <v>3596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202</v>
      </c>
      <c r="K530">
        <v>1329859658.8338799</v>
      </c>
      <c r="L530">
        <v>1</v>
      </c>
      <c r="M530" t="s">
        <v>4536</v>
      </c>
      <c r="O530" t="s">
        <v>207</v>
      </c>
      <c r="Q530" t="s">
        <v>207</v>
      </c>
      <c r="R530" t="s">
        <v>207</v>
      </c>
      <c r="S530" t="s">
        <v>207</v>
      </c>
      <c r="T530" t="s">
        <v>207</v>
      </c>
      <c r="U530" t="s">
        <v>207</v>
      </c>
      <c r="V530" t="s">
        <v>207</v>
      </c>
      <c r="W530" t="s">
        <v>207</v>
      </c>
      <c r="X530" t="s">
        <v>207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208</v>
      </c>
      <c r="BA530">
        <v>186716042537.22</v>
      </c>
      <c r="BB530" t="s">
        <v>4572</v>
      </c>
      <c r="BC530" t="s">
        <v>4536</v>
      </c>
    </row>
    <row r="531" spans="1:55" x14ac:dyDescent="0.25">
      <c r="A531">
        <v>346</v>
      </c>
      <c r="B531" t="s">
        <v>727</v>
      </c>
      <c r="C531" t="s">
        <v>2162</v>
      </c>
      <c r="D531" t="s">
        <v>3597</v>
      </c>
      <c r="E531" t="s">
        <v>94</v>
      </c>
      <c r="F531">
        <v>1911596400</v>
      </c>
      <c r="G531">
        <v>21.067070000000001</v>
      </c>
      <c r="H531" t="s">
        <v>102</v>
      </c>
      <c r="I531">
        <v>40271735170.547997</v>
      </c>
      <c r="J531" t="s">
        <v>205</v>
      </c>
      <c r="K531">
        <v>79205928.503524199</v>
      </c>
      <c r="L531">
        <v>1</v>
      </c>
      <c r="M531" t="s">
        <v>4536</v>
      </c>
      <c r="O531" t="s">
        <v>207</v>
      </c>
      <c r="Q531" t="s">
        <v>207</v>
      </c>
      <c r="R531" t="s">
        <v>207</v>
      </c>
      <c r="S531" t="s">
        <v>207</v>
      </c>
      <c r="T531" t="s">
        <v>207</v>
      </c>
      <c r="U531" t="s">
        <v>207</v>
      </c>
      <c r="V531" t="s">
        <v>207</v>
      </c>
      <c r="W531" t="s">
        <v>207</v>
      </c>
      <c r="X531" t="s">
        <v>207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210</v>
      </c>
      <c r="BA531">
        <v>40271735170.547997</v>
      </c>
      <c r="BB531" t="s">
        <v>4572</v>
      </c>
      <c r="BC531" t="s">
        <v>4536</v>
      </c>
    </row>
    <row r="532" spans="1:55" x14ac:dyDescent="0.25">
      <c r="A532">
        <v>1046</v>
      </c>
      <c r="B532" t="s">
        <v>728</v>
      </c>
      <c r="C532" t="s">
        <v>2163</v>
      </c>
      <c r="D532" t="s">
        <v>3598</v>
      </c>
      <c r="E532" t="s">
        <v>94</v>
      </c>
      <c r="F532">
        <v>1915577400</v>
      </c>
      <c r="G532">
        <v>2.8841459999999999</v>
      </c>
      <c r="H532" t="s">
        <v>102</v>
      </c>
      <c r="I532">
        <v>5524804895.9004002</v>
      </c>
      <c r="J532" t="s">
        <v>205</v>
      </c>
      <c r="K532">
        <v>17418400.784668401</v>
      </c>
      <c r="L532">
        <v>1</v>
      </c>
      <c r="M532" t="s">
        <v>4536</v>
      </c>
      <c r="O532" t="s">
        <v>207</v>
      </c>
      <c r="Q532" t="s">
        <v>207</v>
      </c>
      <c r="R532" t="s">
        <v>207</v>
      </c>
      <c r="S532" t="s">
        <v>207</v>
      </c>
      <c r="T532" t="s">
        <v>207</v>
      </c>
      <c r="U532" t="s">
        <v>207</v>
      </c>
      <c r="V532" t="s">
        <v>207</v>
      </c>
      <c r="W532" t="s">
        <v>207</v>
      </c>
      <c r="X532" t="s">
        <v>207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210</v>
      </c>
      <c r="BA532">
        <v>5524804895.9004002</v>
      </c>
      <c r="BB532" t="s">
        <v>4572</v>
      </c>
      <c r="BC532" t="s">
        <v>4536</v>
      </c>
    </row>
    <row r="533" spans="1:55" x14ac:dyDescent="0.25">
      <c r="A533">
        <v>1138</v>
      </c>
      <c r="B533" t="s">
        <v>729</v>
      </c>
      <c r="C533" t="s">
        <v>2164</v>
      </c>
      <c r="D533" t="s">
        <v>3599</v>
      </c>
      <c r="E533" t="s">
        <v>94</v>
      </c>
      <c r="F533">
        <v>2955282200</v>
      </c>
      <c r="G533">
        <v>1.4390240000000001</v>
      </c>
      <c r="H533" t="s">
        <v>102</v>
      </c>
      <c r="I533">
        <v>4252722012.5728002</v>
      </c>
      <c r="J533" t="s">
        <v>205</v>
      </c>
      <c r="K533">
        <v>6849919.5428326596</v>
      </c>
      <c r="L533">
        <v>1</v>
      </c>
      <c r="M533" t="s">
        <v>4536</v>
      </c>
      <c r="N533" t="s">
        <v>4537</v>
      </c>
      <c r="O533" t="s">
        <v>4539</v>
      </c>
      <c r="Q533" t="s">
        <v>207</v>
      </c>
      <c r="R533" t="s">
        <v>207</v>
      </c>
      <c r="S533" t="s">
        <v>207</v>
      </c>
      <c r="T533" t="s">
        <v>207</v>
      </c>
      <c r="U533" t="s">
        <v>207</v>
      </c>
      <c r="V533" t="s">
        <v>207</v>
      </c>
      <c r="W533" t="s">
        <v>207</v>
      </c>
      <c r="X533" t="s">
        <v>207</v>
      </c>
      <c r="AG533" t="s">
        <v>4539</v>
      </c>
      <c r="AH533" t="s">
        <v>4539</v>
      </c>
      <c r="AI533" t="s">
        <v>4565</v>
      </c>
      <c r="AJ533" t="s">
        <v>4566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210</v>
      </c>
      <c r="BA533">
        <v>4252722012.5728002</v>
      </c>
      <c r="BB533" t="s">
        <v>4572</v>
      </c>
      <c r="BC533" t="s">
        <v>4592</v>
      </c>
    </row>
    <row r="534" spans="1:55" x14ac:dyDescent="0.25">
      <c r="A534">
        <v>1356</v>
      </c>
      <c r="B534" t="s">
        <v>730</v>
      </c>
      <c r="C534" t="s">
        <v>2165</v>
      </c>
      <c r="D534" t="s">
        <v>3600</v>
      </c>
      <c r="E534" t="s">
        <v>92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4535</v>
      </c>
      <c r="K534">
        <v>17893390.7709365</v>
      </c>
      <c r="L534">
        <v>0.7</v>
      </c>
      <c r="M534" t="s">
        <v>4536</v>
      </c>
      <c r="O534" t="s">
        <v>207</v>
      </c>
      <c r="Q534" t="s">
        <v>207</v>
      </c>
      <c r="R534" t="s">
        <v>207</v>
      </c>
      <c r="S534" t="s">
        <v>207</v>
      </c>
      <c r="T534" t="s">
        <v>207</v>
      </c>
      <c r="U534" t="s">
        <v>207</v>
      </c>
      <c r="V534" t="s">
        <v>207</v>
      </c>
      <c r="W534" t="s">
        <v>207</v>
      </c>
      <c r="X534" t="s">
        <v>207</v>
      </c>
      <c r="AG534" t="s">
        <v>4546</v>
      </c>
      <c r="AH534" t="s">
        <v>4562</v>
      </c>
      <c r="AI534" t="s">
        <v>4565</v>
      </c>
      <c r="AJ534" t="s">
        <v>4566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209</v>
      </c>
      <c r="BA534">
        <v>2775894743.1599998</v>
      </c>
      <c r="BB534" t="s">
        <v>4572</v>
      </c>
      <c r="BC534" t="s">
        <v>4578</v>
      </c>
    </row>
    <row r="535" spans="1:55" x14ac:dyDescent="0.25">
      <c r="A535">
        <v>177</v>
      </c>
      <c r="B535" t="s">
        <v>731</v>
      </c>
      <c r="C535" t="s">
        <v>2166</v>
      </c>
      <c r="D535" t="s">
        <v>3601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204</v>
      </c>
      <c r="K535">
        <v>94231734.899956703</v>
      </c>
      <c r="L535">
        <v>1</v>
      </c>
      <c r="O535" t="s">
        <v>207</v>
      </c>
      <c r="Q535" t="s">
        <v>207</v>
      </c>
      <c r="R535" t="s">
        <v>207</v>
      </c>
      <c r="S535" t="s">
        <v>207</v>
      </c>
      <c r="T535" t="s">
        <v>207</v>
      </c>
      <c r="U535" t="s">
        <v>207</v>
      </c>
      <c r="V535" t="s">
        <v>207</v>
      </c>
      <c r="W535" t="s">
        <v>207</v>
      </c>
      <c r="X535" t="s">
        <v>207</v>
      </c>
      <c r="AG535" t="s">
        <v>4546</v>
      </c>
      <c r="AH535" t="s">
        <v>4562</v>
      </c>
      <c r="AI535" t="s">
        <v>4565</v>
      </c>
      <c r="AJ535" t="s">
        <v>4566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209</v>
      </c>
      <c r="BA535">
        <v>71624521813.740005</v>
      </c>
      <c r="BB535" t="s">
        <v>4572</v>
      </c>
      <c r="BC535" t="s">
        <v>4581</v>
      </c>
    </row>
    <row r="536" spans="1:55" x14ac:dyDescent="0.25">
      <c r="A536">
        <v>722</v>
      </c>
      <c r="B536" t="s">
        <v>732</v>
      </c>
      <c r="C536" t="s">
        <v>2167</v>
      </c>
      <c r="D536" t="s">
        <v>3602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202</v>
      </c>
      <c r="K536">
        <v>238017797.509565</v>
      </c>
      <c r="L536">
        <v>1</v>
      </c>
      <c r="M536" t="s">
        <v>4536</v>
      </c>
      <c r="O536" t="s">
        <v>207</v>
      </c>
      <c r="Q536" t="s">
        <v>207</v>
      </c>
      <c r="R536" t="s">
        <v>207</v>
      </c>
      <c r="S536" t="s">
        <v>207</v>
      </c>
      <c r="T536" t="s">
        <v>207</v>
      </c>
      <c r="U536" t="s">
        <v>207</v>
      </c>
      <c r="V536" t="s">
        <v>207</v>
      </c>
      <c r="W536" t="s">
        <v>207</v>
      </c>
      <c r="X536" t="s">
        <v>207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208</v>
      </c>
      <c r="BA536">
        <v>16273276806.996</v>
      </c>
      <c r="BB536" t="s">
        <v>4572</v>
      </c>
      <c r="BC536" t="s">
        <v>4536</v>
      </c>
    </row>
    <row r="537" spans="1:55" x14ac:dyDescent="0.25">
      <c r="A537">
        <v>1382</v>
      </c>
      <c r="B537" t="s">
        <v>733</v>
      </c>
      <c r="C537" t="s">
        <v>2168</v>
      </c>
      <c r="D537" t="s">
        <v>3603</v>
      </c>
      <c r="E537" t="s">
        <v>93</v>
      </c>
      <c r="F537">
        <v>415888180</v>
      </c>
      <c r="G537">
        <v>7.0955789999999999</v>
      </c>
      <c r="H537" t="s">
        <v>101</v>
      </c>
      <c r="I537">
        <v>2950967436.3562198</v>
      </c>
      <c r="J537" t="s">
        <v>205</v>
      </c>
      <c r="K537">
        <v>7471939.06201714</v>
      </c>
      <c r="L537">
        <v>0.9</v>
      </c>
      <c r="M537" t="s">
        <v>4536</v>
      </c>
      <c r="N537" t="s">
        <v>4537</v>
      </c>
      <c r="O537" t="s">
        <v>207</v>
      </c>
      <c r="Q537" t="s">
        <v>207</v>
      </c>
      <c r="R537" t="s">
        <v>207</v>
      </c>
      <c r="S537" t="s">
        <v>207</v>
      </c>
      <c r="T537" t="s">
        <v>207</v>
      </c>
      <c r="U537" t="s">
        <v>207</v>
      </c>
      <c r="V537" t="s">
        <v>207</v>
      </c>
      <c r="W537" t="s">
        <v>207</v>
      </c>
      <c r="X537" t="s">
        <v>207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210</v>
      </c>
      <c r="BA537">
        <v>2655870692.7205982</v>
      </c>
      <c r="BB537" t="s">
        <v>4572</v>
      </c>
      <c r="BC537" t="s">
        <v>4575</v>
      </c>
    </row>
    <row r="538" spans="1:55" x14ac:dyDescent="0.25">
      <c r="A538">
        <v>1311</v>
      </c>
      <c r="B538" t="s">
        <v>734</v>
      </c>
      <c r="C538" t="s">
        <v>2169</v>
      </c>
      <c r="D538" t="s">
        <v>3604</v>
      </c>
      <c r="E538" t="s">
        <v>93</v>
      </c>
      <c r="F538">
        <v>493767430</v>
      </c>
      <c r="G538">
        <v>6.4368629999999998</v>
      </c>
      <c r="H538" t="s">
        <v>101</v>
      </c>
      <c r="I538">
        <v>3178313300.77209</v>
      </c>
      <c r="J538" t="s">
        <v>205</v>
      </c>
      <c r="K538">
        <v>7306574.6860760804</v>
      </c>
      <c r="L538">
        <v>0.95</v>
      </c>
      <c r="M538" t="s">
        <v>4536</v>
      </c>
      <c r="N538" t="s">
        <v>4537</v>
      </c>
      <c r="O538" t="s">
        <v>207</v>
      </c>
      <c r="Q538" t="s">
        <v>207</v>
      </c>
      <c r="R538" t="s">
        <v>207</v>
      </c>
      <c r="S538" t="s">
        <v>207</v>
      </c>
      <c r="T538" t="s">
        <v>207</v>
      </c>
      <c r="U538" t="s">
        <v>207</v>
      </c>
      <c r="V538" t="s">
        <v>207</v>
      </c>
      <c r="W538" t="s">
        <v>207</v>
      </c>
      <c r="X538" t="s">
        <v>207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210</v>
      </c>
      <c r="BA538">
        <v>3019397635.7334852</v>
      </c>
      <c r="BB538" t="s">
        <v>4572</v>
      </c>
      <c r="BC538" t="s">
        <v>4575</v>
      </c>
    </row>
    <row r="539" spans="1:55" x14ac:dyDescent="0.25">
      <c r="A539">
        <v>1139</v>
      </c>
      <c r="B539" t="s">
        <v>735</v>
      </c>
      <c r="C539" t="s">
        <v>2170</v>
      </c>
      <c r="D539" t="s">
        <v>3605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203</v>
      </c>
      <c r="K539">
        <v>1803749.5730158701</v>
      </c>
      <c r="L539">
        <v>0.4</v>
      </c>
      <c r="M539" t="s">
        <v>4536</v>
      </c>
      <c r="N539" t="s">
        <v>4537</v>
      </c>
      <c r="O539" t="s">
        <v>207</v>
      </c>
      <c r="Q539" t="s">
        <v>207</v>
      </c>
      <c r="R539" t="s">
        <v>207</v>
      </c>
      <c r="S539" t="s">
        <v>207</v>
      </c>
      <c r="T539" t="s">
        <v>207</v>
      </c>
      <c r="U539" t="s">
        <v>207</v>
      </c>
      <c r="V539" t="s">
        <v>207</v>
      </c>
      <c r="W539" t="s">
        <v>207</v>
      </c>
      <c r="X539" t="s">
        <v>207</v>
      </c>
      <c r="AK539">
        <v>0</v>
      </c>
      <c r="AL539">
        <v>0.25</v>
      </c>
      <c r="AM539">
        <v>0</v>
      </c>
      <c r="AO539" t="s">
        <v>4568</v>
      </c>
      <c r="AQ539">
        <v>0</v>
      </c>
      <c r="AR539">
        <v>0</v>
      </c>
      <c r="AW539">
        <v>3020</v>
      </c>
      <c r="AY539" t="s">
        <v>209</v>
      </c>
      <c r="BA539">
        <v>4243815773.440001</v>
      </c>
      <c r="BB539" t="s">
        <v>4572</v>
      </c>
      <c r="BC539" t="s">
        <v>4579</v>
      </c>
    </row>
    <row r="540" spans="1:55" x14ac:dyDescent="0.25">
      <c r="A540">
        <v>343</v>
      </c>
      <c r="B540" t="s">
        <v>736</v>
      </c>
      <c r="C540" t="s">
        <v>2171</v>
      </c>
      <c r="D540" t="s">
        <v>3606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204</v>
      </c>
      <c r="K540">
        <v>65098471.127073102</v>
      </c>
      <c r="L540">
        <v>0.95</v>
      </c>
      <c r="M540" t="s">
        <v>4536</v>
      </c>
      <c r="O540" t="s">
        <v>207</v>
      </c>
      <c r="Q540" t="s">
        <v>207</v>
      </c>
      <c r="R540" t="s">
        <v>207</v>
      </c>
      <c r="S540" t="s">
        <v>207</v>
      </c>
      <c r="T540" t="s">
        <v>207</v>
      </c>
      <c r="U540" t="s">
        <v>207</v>
      </c>
      <c r="V540" t="s">
        <v>207</v>
      </c>
      <c r="W540" t="s">
        <v>207</v>
      </c>
      <c r="X540" t="s">
        <v>207</v>
      </c>
      <c r="AG540" t="s">
        <v>4546</v>
      </c>
      <c r="AH540" t="s">
        <v>4562</v>
      </c>
      <c r="AI540" t="s">
        <v>4565</v>
      </c>
      <c r="AJ540" t="s">
        <v>4566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209</v>
      </c>
      <c r="BA540">
        <v>40606727549.481667</v>
      </c>
      <c r="BB540" t="s">
        <v>4572</v>
      </c>
      <c r="BC540" t="s">
        <v>4578</v>
      </c>
    </row>
    <row r="541" spans="1:55" x14ac:dyDescent="0.25">
      <c r="A541">
        <v>578</v>
      </c>
      <c r="B541" t="s">
        <v>737</v>
      </c>
      <c r="C541" t="s">
        <v>2172</v>
      </c>
      <c r="D541" t="s">
        <v>3607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202</v>
      </c>
      <c r="K541">
        <v>266245820.01861399</v>
      </c>
      <c r="L541">
        <v>1</v>
      </c>
      <c r="M541" t="s">
        <v>4536</v>
      </c>
      <c r="O541" t="s">
        <v>207</v>
      </c>
      <c r="Q541" t="s">
        <v>207</v>
      </c>
      <c r="R541" t="s">
        <v>207</v>
      </c>
      <c r="S541" t="s">
        <v>207</v>
      </c>
      <c r="T541" t="s">
        <v>207</v>
      </c>
      <c r="U541" t="s">
        <v>207</v>
      </c>
      <c r="V541" t="s">
        <v>207</v>
      </c>
      <c r="W541" t="s">
        <v>207</v>
      </c>
      <c r="X541" t="s">
        <v>207</v>
      </c>
      <c r="AK541">
        <v>0</v>
      </c>
      <c r="AL541">
        <v>1</v>
      </c>
      <c r="AM541">
        <v>0</v>
      </c>
      <c r="AO541" t="s">
        <v>4568</v>
      </c>
      <c r="AQ541">
        <v>0</v>
      </c>
      <c r="AR541">
        <v>0</v>
      </c>
      <c r="AW541">
        <v>6010</v>
      </c>
      <c r="AX541">
        <v>2.5</v>
      </c>
      <c r="AY541" t="s">
        <v>208</v>
      </c>
      <c r="BA541">
        <v>21804004292.771999</v>
      </c>
      <c r="BB541" t="s">
        <v>4572</v>
      </c>
      <c r="BC541" t="s">
        <v>4582</v>
      </c>
    </row>
    <row r="542" spans="1:55" x14ac:dyDescent="0.25">
      <c r="A542">
        <v>775</v>
      </c>
      <c r="B542" t="s">
        <v>738</v>
      </c>
      <c r="C542" t="s">
        <v>2173</v>
      </c>
      <c r="D542" t="s">
        <v>3608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204</v>
      </c>
      <c r="K542">
        <v>15932782.7405691</v>
      </c>
      <c r="L542">
        <v>1</v>
      </c>
      <c r="M542" t="s">
        <v>4536</v>
      </c>
      <c r="O542" t="s">
        <v>207</v>
      </c>
      <c r="Q542" t="s">
        <v>207</v>
      </c>
      <c r="R542" t="s">
        <v>207</v>
      </c>
      <c r="S542" t="s">
        <v>207</v>
      </c>
      <c r="T542" t="s">
        <v>207</v>
      </c>
      <c r="U542" t="s">
        <v>207</v>
      </c>
      <c r="V542" t="s">
        <v>207</v>
      </c>
      <c r="W542" t="s">
        <v>207</v>
      </c>
      <c r="X542" t="s">
        <v>207</v>
      </c>
      <c r="AG542" t="s">
        <v>4546</v>
      </c>
      <c r="AH542" t="s">
        <v>4562</v>
      </c>
      <c r="AI542" t="s">
        <v>4565</v>
      </c>
      <c r="AJ542" t="s">
        <v>4566</v>
      </c>
      <c r="AK542">
        <v>0</v>
      </c>
      <c r="AL542">
        <v>0.05</v>
      </c>
      <c r="AM542">
        <v>0</v>
      </c>
      <c r="AO542" t="s">
        <v>4568</v>
      </c>
      <c r="AQ542">
        <v>0</v>
      </c>
      <c r="AR542">
        <v>0</v>
      </c>
      <c r="AW542">
        <v>5020</v>
      </c>
      <c r="AX542">
        <v>2.15</v>
      </c>
      <c r="AY542" t="s">
        <v>209</v>
      </c>
      <c r="BA542">
        <v>13374374529.296</v>
      </c>
      <c r="BB542" t="s">
        <v>4572</v>
      </c>
      <c r="BC542" t="s">
        <v>4616</v>
      </c>
    </row>
    <row r="543" spans="1:55" x14ac:dyDescent="0.25">
      <c r="A543">
        <v>1277</v>
      </c>
      <c r="B543" t="s">
        <v>739</v>
      </c>
      <c r="C543" t="s">
        <v>2174</v>
      </c>
      <c r="D543" t="s">
        <v>3609</v>
      </c>
      <c r="E543" t="s">
        <v>93</v>
      </c>
      <c r="F543">
        <v>330229220</v>
      </c>
      <c r="G543">
        <v>10.734500000000001</v>
      </c>
      <c r="H543" t="s">
        <v>101</v>
      </c>
      <c r="I543">
        <v>3544845562.0900002</v>
      </c>
      <c r="J543" t="s">
        <v>205</v>
      </c>
      <c r="K543">
        <v>24097242.8247342</v>
      </c>
      <c r="L543">
        <v>0.9</v>
      </c>
      <c r="M543" t="s">
        <v>4536</v>
      </c>
      <c r="O543" t="s">
        <v>207</v>
      </c>
      <c r="Q543" t="s">
        <v>207</v>
      </c>
      <c r="R543" t="s">
        <v>207</v>
      </c>
      <c r="S543" t="s">
        <v>207</v>
      </c>
      <c r="T543" t="s">
        <v>207</v>
      </c>
      <c r="U543" t="s">
        <v>207</v>
      </c>
      <c r="V543" t="s">
        <v>207</v>
      </c>
      <c r="W543" t="s">
        <v>207</v>
      </c>
      <c r="X543" t="s">
        <v>207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210</v>
      </c>
      <c r="BA543">
        <v>3190361005.881</v>
      </c>
      <c r="BB543" t="s">
        <v>4572</v>
      </c>
      <c r="BC543" t="s">
        <v>4536</v>
      </c>
    </row>
    <row r="544" spans="1:55" x14ac:dyDescent="0.25">
      <c r="A544">
        <v>871</v>
      </c>
      <c r="B544" t="s">
        <v>740</v>
      </c>
      <c r="C544" t="s">
        <v>2175</v>
      </c>
      <c r="D544" t="s">
        <v>3610</v>
      </c>
      <c r="E544" t="s">
        <v>4518</v>
      </c>
      <c r="F544">
        <v>1882267600</v>
      </c>
      <c r="G544">
        <v>13.148680000000001</v>
      </c>
      <c r="H544" t="s">
        <v>4529</v>
      </c>
      <c r="I544">
        <v>24749334346.768002</v>
      </c>
      <c r="J544" t="s">
        <v>205</v>
      </c>
      <c r="K544">
        <v>27894263.558972299</v>
      </c>
      <c r="L544">
        <v>0.35</v>
      </c>
      <c r="M544" t="s">
        <v>4536</v>
      </c>
      <c r="O544" t="s">
        <v>207</v>
      </c>
      <c r="Q544" t="s">
        <v>207</v>
      </c>
      <c r="R544" t="s">
        <v>207</v>
      </c>
      <c r="S544" t="s">
        <v>207</v>
      </c>
      <c r="T544" t="s">
        <v>207</v>
      </c>
      <c r="U544" t="s">
        <v>207</v>
      </c>
      <c r="V544" t="s">
        <v>207</v>
      </c>
      <c r="W544" t="s">
        <v>207</v>
      </c>
      <c r="X544" t="s">
        <v>207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210</v>
      </c>
      <c r="BA544">
        <v>8662267021.3687992</v>
      </c>
      <c r="BB544" t="s">
        <v>4572</v>
      </c>
      <c r="BC544" t="s">
        <v>4536</v>
      </c>
    </row>
    <row r="545" spans="1:55" x14ac:dyDescent="0.25">
      <c r="A545">
        <v>1038</v>
      </c>
      <c r="B545" t="s">
        <v>741</v>
      </c>
      <c r="C545" t="s">
        <v>2176</v>
      </c>
      <c r="D545" t="s">
        <v>3611</v>
      </c>
      <c r="E545" t="s">
        <v>93</v>
      </c>
      <c r="F545">
        <v>253008760</v>
      </c>
      <c r="G545">
        <v>23.33643</v>
      </c>
      <c r="H545" t="s">
        <v>101</v>
      </c>
      <c r="I545">
        <v>5904321217.1267996</v>
      </c>
      <c r="J545" t="s">
        <v>205</v>
      </c>
      <c r="K545">
        <v>12809723.172503101</v>
      </c>
      <c r="L545">
        <v>0.95</v>
      </c>
      <c r="M545" t="s">
        <v>4536</v>
      </c>
      <c r="O545" t="s">
        <v>207</v>
      </c>
      <c r="Q545" t="s">
        <v>207</v>
      </c>
      <c r="R545" t="s">
        <v>207</v>
      </c>
      <c r="S545" t="s">
        <v>207</v>
      </c>
      <c r="T545" t="s">
        <v>207</v>
      </c>
      <c r="U545" t="s">
        <v>207</v>
      </c>
      <c r="V545" t="s">
        <v>207</v>
      </c>
      <c r="W545" t="s">
        <v>207</v>
      </c>
      <c r="X545" t="s">
        <v>207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210</v>
      </c>
      <c r="BA545">
        <v>5609105156.2704592</v>
      </c>
      <c r="BB545" t="s">
        <v>4572</v>
      </c>
      <c r="BC545" t="s">
        <v>4536</v>
      </c>
    </row>
    <row r="546" spans="1:55" x14ac:dyDescent="0.25">
      <c r="A546">
        <v>752</v>
      </c>
      <c r="B546" t="s">
        <v>742</v>
      </c>
      <c r="C546" t="s">
        <v>2177</v>
      </c>
      <c r="D546" t="s">
        <v>3612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203</v>
      </c>
      <c r="K546">
        <v>25277333.998360701</v>
      </c>
      <c r="L546">
        <v>0.5</v>
      </c>
      <c r="M546" t="s">
        <v>4536</v>
      </c>
      <c r="O546" t="s">
        <v>207</v>
      </c>
      <c r="Q546" t="s">
        <v>207</v>
      </c>
      <c r="R546" t="s">
        <v>207</v>
      </c>
      <c r="S546" t="s">
        <v>207</v>
      </c>
      <c r="T546" t="s">
        <v>207</v>
      </c>
      <c r="U546" t="s">
        <v>207</v>
      </c>
      <c r="V546" t="s">
        <v>207</v>
      </c>
      <c r="W546" t="s">
        <v>207</v>
      </c>
      <c r="X546" t="s">
        <v>207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209</v>
      </c>
      <c r="BA546">
        <v>14851537791</v>
      </c>
      <c r="BB546" t="s">
        <v>4572</v>
      </c>
      <c r="BC546" t="s">
        <v>4536</v>
      </c>
    </row>
    <row r="547" spans="1:55" x14ac:dyDescent="0.25">
      <c r="A547">
        <v>1472</v>
      </c>
      <c r="B547" t="s">
        <v>743</v>
      </c>
      <c r="C547" t="s">
        <v>2178</v>
      </c>
      <c r="D547" t="s">
        <v>3613</v>
      </c>
      <c r="E547" t="s">
        <v>93</v>
      </c>
      <c r="F547">
        <v>96315400</v>
      </c>
      <c r="G547">
        <v>32.679949999999998</v>
      </c>
      <c r="H547" t="s">
        <v>101</v>
      </c>
      <c r="I547">
        <v>3147582456.23</v>
      </c>
      <c r="J547" t="s">
        <v>205</v>
      </c>
      <c r="K547">
        <v>46560718.122766703</v>
      </c>
      <c r="L547">
        <v>0.65</v>
      </c>
      <c r="M547" t="s">
        <v>4536</v>
      </c>
      <c r="O547" t="s">
        <v>207</v>
      </c>
      <c r="Q547" t="s">
        <v>207</v>
      </c>
      <c r="R547" t="s">
        <v>207</v>
      </c>
      <c r="S547" t="s">
        <v>207</v>
      </c>
      <c r="T547" t="s">
        <v>207</v>
      </c>
      <c r="U547" t="s">
        <v>207</v>
      </c>
      <c r="V547" t="s">
        <v>207</v>
      </c>
      <c r="W547" t="s">
        <v>207</v>
      </c>
      <c r="X547" t="s">
        <v>207</v>
      </c>
      <c r="AK547">
        <v>0</v>
      </c>
      <c r="AL547">
        <v>0.01</v>
      </c>
      <c r="AM547">
        <v>0</v>
      </c>
      <c r="AO547" t="s">
        <v>4568</v>
      </c>
      <c r="AQ547">
        <v>0</v>
      </c>
      <c r="AR547">
        <v>0</v>
      </c>
      <c r="AW547">
        <v>5020</v>
      </c>
      <c r="AX547">
        <v>1.93</v>
      </c>
      <c r="AY547" t="s">
        <v>210</v>
      </c>
      <c r="BA547">
        <v>2045928596.5495</v>
      </c>
      <c r="BB547" t="s">
        <v>4572</v>
      </c>
      <c r="BC547" t="s">
        <v>4582</v>
      </c>
    </row>
    <row r="548" spans="1:55" x14ac:dyDescent="0.25">
      <c r="A548">
        <v>443</v>
      </c>
      <c r="B548" t="s">
        <v>744</v>
      </c>
      <c r="C548" t="s">
        <v>2179</v>
      </c>
      <c r="D548" t="s">
        <v>3614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202</v>
      </c>
      <c r="K548">
        <v>178973803.704824</v>
      </c>
      <c r="L548">
        <v>1</v>
      </c>
      <c r="M548" t="s">
        <v>4536</v>
      </c>
      <c r="O548" t="s">
        <v>207</v>
      </c>
      <c r="Q548" t="s">
        <v>207</v>
      </c>
      <c r="R548" t="s">
        <v>207</v>
      </c>
      <c r="S548" t="s">
        <v>207</v>
      </c>
      <c r="T548" t="s">
        <v>207</v>
      </c>
      <c r="U548" t="s">
        <v>207</v>
      </c>
      <c r="V548" t="s">
        <v>207</v>
      </c>
      <c r="W548" t="s">
        <v>207</v>
      </c>
      <c r="X548" t="s">
        <v>207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208</v>
      </c>
      <c r="BA548">
        <v>30419428868.700001</v>
      </c>
      <c r="BB548" t="s">
        <v>4572</v>
      </c>
      <c r="BC548" t="s">
        <v>4536</v>
      </c>
    </row>
    <row r="549" spans="1:55" x14ac:dyDescent="0.25">
      <c r="A549">
        <v>1244</v>
      </c>
      <c r="B549" t="s">
        <v>745</v>
      </c>
      <c r="C549" t="s">
        <v>2180</v>
      </c>
      <c r="D549" t="s">
        <v>3615</v>
      </c>
      <c r="E549" t="s">
        <v>93</v>
      </c>
      <c r="F549">
        <v>300794400</v>
      </c>
      <c r="G549">
        <v>12.56995</v>
      </c>
      <c r="H549" t="s">
        <v>101</v>
      </c>
      <c r="I549">
        <v>3780970568.2800002</v>
      </c>
      <c r="J549" t="s">
        <v>205</v>
      </c>
      <c r="K549">
        <v>9299066.7450955603</v>
      </c>
      <c r="L549">
        <v>0.9</v>
      </c>
      <c r="M549" t="s">
        <v>4536</v>
      </c>
      <c r="N549" t="s">
        <v>4537</v>
      </c>
      <c r="O549" t="s">
        <v>207</v>
      </c>
      <c r="Q549" t="s">
        <v>207</v>
      </c>
      <c r="R549" t="s">
        <v>207</v>
      </c>
      <c r="S549" t="s">
        <v>207</v>
      </c>
      <c r="T549" t="s">
        <v>207</v>
      </c>
      <c r="U549" t="s">
        <v>207</v>
      </c>
      <c r="V549" t="s">
        <v>207</v>
      </c>
      <c r="W549" t="s">
        <v>207</v>
      </c>
      <c r="X549" t="s">
        <v>207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210</v>
      </c>
      <c r="BA549">
        <v>3402873511.4520001</v>
      </c>
      <c r="BB549" t="s">
        <v>4572</v>
      </c>
      <c r="BC549" t="s">
        <v>4575</v>
      </c>
    </row>
    <row r="550" spans="1:55" x14ac:dyDescent="0.25">
      <c r="A550">
        <v>258</v>
      </c>
      <c r="B550" t="s">
        <v>746</v>
      </c>
      <c r="C550" t="s">
        <v>2181</v>
      </c>
      <c r="D550" t="s">
        <v>3616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202</v>
      </c>
      <c r="K550">
        <v>460456455.285999</v>
      </c>
      <c r="L550">
        <v>0.7</v>
      </c>
      <c r="M550" t="s">
        <v>4536</v>
      </c>
      <c r="O550" t="s">
        <v>207</v>
      </c>
      <c r="Q550" t="s">
        <v>207</v>
      </c>
      <c r="R550" t="s">
        <v>207</v>
      </c>
      <c r="S550" t="s">
        <v>207</v>
      </c>
      <c r="T550" t="s">
        <v>207</v>
      </c>
      <c r="U550" t="s">
        <v>207</v>
      </c>
      <c r="V550" t="s">
        <v>207</v>
      </c>
      <c r="W550" t="s">
        <v>207</v>
      </c>
      <c r="X550" t="s">
        <v>207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208</v>
      </c>
      <c r="AZ550" t="s">
        <v>4571</v>
      </c>
      <c r="BA550">
        <v>52612386304.834999</v>
      </c>
      <c r="BB550" t="s">
        <v>4572</v>
      </c>
      <c r="BC550" t="s">
        <v>4577</v>
      </c>
    </row>
    <row r="551" spans="1:55" x14ac:dyDescent="0.25">
      <c r="A551">
        <v>684</v>
      </c>
      <c r="B551" t="s">
        <v>747</v>
      </c>
      <c r="C551" t="s">
        <v>2182</v>
      </c>
      <c r="D551" t="s">
        <v>3617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203</v>
      </c>
      <c r="K551">
        <v>51429480.884426199</v>
      </c>
      <c r="L551">
        <v>0.7</v>
      </c>
      <c r="O551" t="s">
        <v>207</v>
      </c>
      <c r="Q551" t="s">
        <v>207</v>
      </c>
      <c r="R551" t="s">
        <v>207</v>
      </c>
      <c r="S551" t="s">
        <v>207</v>
      </c>
      <c r="T551" t="s">
        <v>207</v>
      </c>
      <c r="U551" t="s">
        <v>207</v>
      </c>
      <c r="V551" t="s">
        <v>207</v>
      </c>
      <c r="W551" t="s">
        <v>207</v>
      </c>
      <c r="X551" t="s">
        <v>207</v>
      </c>
      <c r="AK551">
        <v>0</v>
      </c>
      <c r="AL551">
        <v>0.05</v>
      </c>
      <c r="AM551">
        <v>0</v>
      </c>
      <c r="AO551" t="s">
        <v>4568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209</v>
      </c>
      <c r="BA551">
        <v>17619642313</v>
      </c>
      <c r="BB551" t="s">
        <v>4572</v>
      </c>
      <c r="BC551" t="s">
        <v>4568</v>
      </c>
    </row>
    <row r="552" spans="1:55" x14ac:dyDescent="0.25">
      <c r="A552">
        <v>565</v>
      </c>
      <c r="B552" t="s">
        <v>748</v>
      </c>
      <c r="C552" t="s">
        <v>2183</v>
      </c>
      <c r="D552" t="s">
        <v>3618</v>
      </c>
      <c r="E552" t="s">
        <v>96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203</v>
      </c>
      <c r="K552">
        <v>57643601.420317397</v>
      </c>
      <c r="L552">
        <v>0.5</v>
      </c>
      <c r="M552" t="s">
        <v>4536</v>
      </c>
      <c r="O552" t="s">
        <v>207</v>
      </c>
      <c r="Q552" t="s">
        <v>207</v>
      </c>
      <c r="R552" t="s">
        <v>207</v>
      </c>
      <c r="S552" t="s">
        <v>207</v>
      </c>
      <c r="T552" t="s">
        <v>207</v>
      </c>
      <c r="U552" t="s">
        <v>207</v>
      </c>
      <c r="V552" t="s">
        <v>207</v>
      </c>
      <c r="W552" t="s">
        <v>207</v>
      </c>
      <c r="X552" t="s">
        <v>207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209</v>
      </c>
      <c r="BA552">
        <v>22533222220.560001</v>
      </c>
      <c r="BB552" t="s">
        <v>4572</v>
      </c>
      <c r="BC552" t="s">
        <v>4536</v>
      </c>
    </row>
    <row r="553" spans="1:55" x14ac:dyDescent="0.25">
      <c r="A553">
        <v>1010</v>
      </c>
      <c r="B553" t="s">
        <v>749</v>
      </c>
      <c r="C553" t="s">
        <v>2184</v>
      </c>
      <c r="D553" t="s">
        <v>3619</v>
      </c>
      <c r="E553" t="s">
        <v>95</v>
      </c>
      <c r="F553">
        <v>53025684</v>
      </c>
      <c r="G553">
        <v>171.50829999999999</v>
      </c>
      <c r="H553" t="s">
        <v>103</v>
      </c>
      <c r="I553">
        <v>9094344919.1772003</v>
      </c>
      <c r="J553" t="s">
        <v>204</v>
      </c>
      <c r="K553">
        <v>10840718.428241801</v>
      </c>
      <c r="L553">
        <v>0.65</v>
      </c>
      <c r="O553" t="s">
        <v>207</v>
      </c>
      <c r="Q553" t="s">
        <v>207</v>
      </c>
      <c r="R553" t="s">
        <v>207</v>
      </c>
      <c r="S553" t="s">
        <v>207</v>
      </c>
      <c r="T553" t="s">
        <v>207</v>
      </c>
      <c r="U553" t="s">
        <v>207</v>
      </c>
      <c r="V553" t="s">
        <v>207</v>
      </c>
      <c r="W553" t="s">
        <v>207</v>
      </c>
      <c r="X553" t="s">
        <v>207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209</v>
      </c>
      <c r="AZ553" t="s">
        <v>4571</v>
      </c>
      <c r="BA553">
        <v>5911324197.4651804</v>
      </c>
      <c r="BB553" t="s">
        <v>4572</v>
      </c>
      <c r="BC553" t="s">
        <v>4571</v>
      </c>
    </row>
    <row r="554" spans="1:55" x14ac:dyDescent="0.25">
      <c r="A554">
        <v>1198</v>
      </c>
      <c r="B554" t="s">
        <v>750</v>
      </c>
      <c r="C554" t="s">
        <v>2185</v>
      </c>
      <c r="D554" t="s">
        <v>3620</v>
      </c>
      <c r="E554" t="s">
        <v>4518</v>
      </c>
      <c r="F554">
        <v>4841387000</v>
      </c>
      <c r="G554">
        <v>2.5300120000000001</v>
      </c>
      <c r="H554" t="s">
        <v>4529</v>
      </c>
      <c r="I554">
        <v>12248767206.643999</v>
      </c>
      <c r="J554" t="s">
        <v>205</v>
      </c>
      <c r="K554">
        <v>10151616.517208399</v>
      </c>
      <c r="L554">
        <v>0.3</v>
      </c>
      <c r="M554" t="s">
        <v>4536</v>
      </c>
      <c r="O554" t="s">
        <v>207</v>
      </c>
      <c r="Q554" t="s">
        <v>207</v>
      </c>
      <c r="R554" t="s">
        <v>207</v>
      </c>
      <c r="S554" t="s">
        <v>207</v>
      </c>
      <c r="T554" t="s">
        <v>207</v>
      </c>
      <c r="U554" t="s">
        <v>207</v>
      </c>
      <c r="V554" t="s">
        <v>207</v>
      </c>
      <c r="W554" t="s">
        <v>207</v>
      </c>
      <c r="X554" t="s">
        <v>207</v>
      </c>
      <c r="AK554">
        <v>0.01</v>
      </c>
      <c r="AL554">
        <v>0.1</v>
      </c>
      <c r="AM554">
        <v>0</v>
      </c>
      <c r="AN554" t="s">
        <v>4567</v>
      </c>
      <c r="AO554" t="s">
        <v>4568</v>
      </c>
      <c r="AQ554">
        <v>0</v>
      </c>
      <c r="AR554">
        <v>0</v>
      </c>
      <c r="AW554">
        <v>3510</v>
      </c>
      <c r="AX554">
        <v>2.3149999999999999</v>
      </c>
      <c r="AY554" t="s">
        <v>210</v>
      </c>
      <c r="BA554">
        <v>3674630161.9931998</v>
      </c>
      <c r="BB554" t="s">
        <v>4572</v>
      </c>
      <c r="BC554" t="s">
        <v>4599</v>
      </c>
    </row>
    <row r="555" spans="1:55" x14ac:dyDescent="0.25">
      <c r="A555">
        <v>772</v>
      </c>
      <c r="B555" t="s">
        <v>751</v>
      </c>
      <c r="C555" t="s">
        <v>2186</v>
      </c>
      <c r="D555" t="s">
        <v>3621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203</v>
      </c>
      <c r="K555">
        <v>27155576.799672101</v>
      </c>
      <c r="L555">
        <v>0.9</v>
      </c>
      <c r="O555" t="s">
        <v>207</v>
      </c>
      <c r="Q555" t="s">
        <v>207</v>
      </c>
      <c r="R555" t="s">
        <v>207</v>
      </c>
      <c r="S555" t="s">
        <v>207</v>
      </c>
      <c r="T555" t="s">
        <v>207</v>
      </c>
      <c r="U555" t="s">
        <v>207</v>
      </c>
      <c r="V555" t="s">
        <v>207</v>
      </c>
      <c r="W555" t="s">
        <v>207</v>
      </c>
      <c r="X555" t="s">
        <v>207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4570</v>
      </c>
      <c r="AW555">
        <v>4020</v>
      </c>
      <c r="AY555" t="s">
        <v>209</v>
      </c>
      <c r="BA555">
        <v>13453078313.700001</v>
      </c>
      <c r="BB555" t="s">
        <v>4572</v>
      </c>
      <c r="BC555" t="s">
        <v>4570</v>
      </c>
    </row>
    <row r="556" spans="1:55" x14ac:dyDescent="0.25">
      <c r="A556">
        <v>986</v>
      </c>
      <c r="B556" t="s">
        <v>752</v>
      </c>
      <c r="C556" t="s">
        <v>2187</v>
      </c>
      <c r="D556" t="s">
        <v>3622</v>
      </c>
      <c r="E556" t="s">
        <v>4519</v>
      </c>
      <c r="F556">
        <v>1416142200</v>
      </c>
      <c r="G556">
        <v>12.719139999999999</v>
      </c>
      <c r="H556" t="s">
        <v>4530</v>
      </c>
      <c r="I556">
        <v>18012110901.708</v>
      </c>
      <c r="J556" t="s">
        <v>204</v>
      </c>
      <c r="K556">
        <v>36949208.726181597</v>
      </c>
      <c r="L556">
        <v>0.35</v>
      </c>
      <c r="O556" t="s">
        <v>207</v>
      </c>
      <c r="Q556" t="s">
        <v>207</v>
      </c>
      <c r="R556" t="s">
        <v>207</v>
      </c>
      <c r="S556" t="s">
        <v>207</v>
      </c>
      <c r="T556" t="s">
        <v>207</v>
      </c>
      <c r="U556" t="s">
        <v>207</v>
      </c>
      <c r="V556" t="s">
        <v>207</v>
      </c>
      <c r="W556" t="s">
        <v>207</v>
      </c>
      <c r="X556" t="s">
        <v>207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209</v>
      </c>
      <c r="BA556">
        <v>6304238815.5977993</v>
      </c>
      <c r="BB556" t="s">
        <v>211</v>
      </c>
    </row>
    <row r="557" spans="1:55" x14ac:dyDescent="0.25">
      <c r="A557">
        <v>1386</v>
      </c>
      <c r="B557" t="s">
        <v>753</v>
      </c>
      <c r="C557" t="s">
        <v>2188</v>
      </c>
      <c r="D557" t="s">
        <v>3623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4535</v>
      </c>
      <c r="K557">
        <v>14081153.9208197</v>
      </c>
      <c r="L557">
        <v>0.5</v>
      </c>
      <c r="M557" t="s">
        <v>4536</v>
      </c>
      <c r="O557" t="s">
        <v>207</v>
      </c>
      <c r="Q557" t="s">
        <v>207</v>
      </c>
      <c r="R557" t="s">
        <v>207</v>
      </c>
      <c r="S557" t="s">
        <v>207</v>
      </c>
      <c r="T557" t="s">
        <v>207</v>
      </c>
      <c r="U557" t="s">
        <v>207</v>
      </c>
      <c r="V557" t="s">
        <v>207</v>
      </c>
      <c r="W557" t="s">
        <v>207</v>
      </c>
      <c r="X557" t="s">
        <v>207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209</v>
      </c>
      <c r="BA557">
        <v>2629935000</v>
      </c>
      <c r="BB557" t="s">
        <v>4572</v>
      </c>
      <c r="BC557" t="s">
        <v>4536</v>
      </c>
    </row>
    <row r="558" spans="1:55" x14ac:dyDescent="0.25">
      <c r="A558">
        <v>1337</v>
      </c>
      <c r="B558" t="s">
        <v>754</v>
      </c>
      <c r="C558" t="s">
        <v>2189</v>
      </c>
      <c r="D558" t="s">
        <v>3624</v>
      </c>
      <c r="E558" t="s">
        <v>4517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203</v>
      </c>
      <c r="K558">
        <v>8228782.6217540996</v>
      </c>
      <c r="L558">
        <v>0.55000000000000004</v>
      </c>
      <c r="M558" t="s">
        <v>4536</v>
      </c>
      <c r="N558" t="s">
        <v>4537</v>
      </c>
      <c r="O558" t="s">
        <v>207</v>
      </c>
      <c r="Q558" t="s">
        <v>207</v>
      </c>
      <c r="R558" t="s">
        <v>207</v>
      </c>
      <c r="S558" t="s">
        <v>207</v>
      </c>
      <c r="T558" t="s">
        <v>207</v>
      </c>
      <c r="U558" t="s">
        <v>207</v>
      </c>
      <c r="V558" t="s">
        <v>207</v>
      </c>
      <c r="W558" t="s">
        <v>207</v>
      </c>
      <c r="X558" t="s">
        <v>207</v>
      </c>
      <c r="AK558">
        <v>0</v>
      </c>
      <c r="AL558">
        <v>0.5</v>
      </c>
      <c r="AM558">
        <v>9.7000000000000003E-3</v>
      </c>
      <c r="AO558" t="s">
        <v>4568</v>
      </c>
      <c r="AP558" t="s">
        <v>4569</v>
      </c>
      <c r="AQ558">
        <v>0</v>
      </c>
      <c r="AR558">
        <v>0</v>
      </c>
      <c r="AW558">
        <v>6510</v>
      </c>
      <c r="AX558">
        <v>2.4860000000000002</v>
      </c>
      <c r="AY558" t="s">
        <v>209</v>
      </c>
      <c r="BA558">
        <v>2914878370.0904999</v>
      </c>
      <c r="BB558" t="s">
        <v>4572</v>
      </c>
      <c r="BC558" t="s">
        <v>4615</v>
      </c>
    </row>
    <row r="559" spans="1:55" x14ac:dyDescent="0.25">
      <c r="A559">
        <v>529</v>
      </c>
      <c r="B559" t="s">
        <v>755</v>
      </c>
      <c r="C559" t="s">
        <v>2190</v>
      </c>
      <c r="D559" t="s">
        <v>3625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202</v>
      </c>
      <c r="K559">
        <v>380459854.20005298</v>
      </c>
      <c r="L559">
        <v>1</v>
      </c>
      <c r="M559" t="s">
        <v>4536</v>
      </c>
      <c r="O559" t="s">
        <v>207</v>
      </c>
      <c r="Q559" t="s">
        <v>207</v>
      </c>
      <c r="R559" t="s">
        <v>207</v>
      </c>
      <c r="S559" t="s">
        <v>207</v>
      </c>
      <c r="T559" t="s">
        <v>207</v>
      </c>
      <c r="U559" t="s">
        <v>207</v>
      </c>
      <c r="V559" t="s">
        <v>207</v>
      </c>
      <c r="W559" t="s">
        <v>207</v>
      </c>
      <c r="X559" t="s">
        <v>207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208</v>
      </c>
      <c r="BA559">
        <v>24436361988.863998</v>
      </c>
      <c r="BB559" t="s">
        <v>4572</v>
      </c>
      <c r="BC559" t="s">
        <v>4536</v>
      </c>
    </row>
    <row r="560" spans="1:55" x14ac:dyDescent="0.25">
      <c r="A560">
        <v>360</v>
      </c>
      <c r="B560" t="s">
        <v>756</v>
      </c>
      <c r="C560" t="s">
        <v>2191</v>
      </c>
      <c r="D560" t="s">
        <v>3626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202</v>
      </c>
      <c r="K560">
        <v>250608934.31130701</v>
      </c>
      <c r="L560">
        <v>0.9</v>
      </c>
      <c r="M560" t="s">
        <v>4536</v>
      </c>
      <c r="O560" t="s">
        <v>207</v>
      </c>
      <c r="Q560" t="s">
        <v>207</v>
      </c>
      <c r="R560" t="s">
        <v>207</v>
      </c>
      <c r="S560" t="s">
        <v>207</v>
      </c>
      <c r="T560" t="s">
        <v>207</v>
      </c>
      <c r="U560" t="s">
        <v>207</v>
      </c>
      <c r="V560" t="s">
        <v>207</v>
      </c>
      <c r="W560" t="s">
        <v>207</v>
      </c>
      <c r="X560" t="s">
        <v>207</v>
      </c>
      <c r="AK560">
        <v>0</v>
      </c>
      <c r="AL560">
        <v>1</v>
      </c>
      <c r="AM560">
        <v>0</v>
      </c>
      <c r="AO560" t="s">
        <v>4568</v>
      </c>
      <c r="AQ560">
        <v>0</v>
      </c>
      <c r="AR560">
        <v>0</v>
      </c>
      <c r="AW560">
        <v>6010</v>
      </c>
      <c r="AX560">
        <v>2.3940000000000001</v>
      </c>
      <c r="AY560" t="s">
        <v>208</v>
      </c>
      <c r="BA560">
        <v>39284421858.106201</v>
      </c>
      <c r="BB560" t="s">
        <v>4572</v>
      </c>
      <c r="BC560" t="s">
        <v>4582</v>
      </c>
    </row>
    <row r="561" spans="1:55" x14ac:dyDescent="0.25">
      <c r="A561">
        <v>495</v>
      </c>
      <c r="B561" t="s">
        <v>757</v>
      </c>
      <c r="C561" t="s">
        <v>2192</v>
      </c>
      <c r="D561" t="s">
        <v>3627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202</v>
      </c>
      <c r="K561">
        <v>310568658.73606002</v>
      </c>
      <c r="L561">
        <v>1</v>
      </c>
      <c r="M561" t="s">
        <v>4536</v>
      </c>
      <c r="O561" t="s">
        <v>207</v>
      </c>
      <c r="Q561" t="s">
        <v>207</v>
      </c>
      <c r="R561" t="s">
        <v>207</v>
      </c>
      <c r="S561" t="s">
        <v>206</v>
      </c>
      <c r="T561" t="s">
        <v>207</v>
      </c>
      <c r="U561" t="s">
        <v>207</v>
      </c>
      <c r="V561" t="s">
        <v>207</v>
      </c>
      <c r="W561" t="s">
        <v>207</v>
      </c>
      <c r="X561" t="s">
        <v>207</v>
      </c>
      <c r="AA561" t="s">
        <v>4541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208</v>
      </c>
      <c r="BA561">
        <v>26557114823.910999</v>
      </c>
      <c r="BB561" t="s">
        <v>4572</v>
      </c>
      <c r="BC561" t="s">
        <v>4610</v>
      </c>
    </row>
    <row r="562" spans="1:55" x14ac:dyDescent="0.25">
      <c r="A562">
        <v>533</v>
      </c>
      <c r="B562" t="s">
        <v>758</v>
      </c>
      <c r="C562" t="s">
        <v>2193</v>
      </c>
      <c r="D562" t="s">
        <v>3628</v>
      </c>
      <c r="E562" t="s">
        <v>4519</v>
      </c>
      <c r="F562">
        <v>2595227800</v>
      </c>
      <c r="G562">
        <v>11.41081</v>
      </c>
      <c r="H562" t="s">
        <v>4530</v>
      </c>
      <c r="I562">
        <v>29613651332.518002</v>
      </c>
      <c r="J562" t="s">
        <v>204</v>
      </c>
      <c r="K562">
        <v>42986585.751212597</v>
      </c>
      <c r="L562">
        <v>0.8</v>
      </c>
      <c r="M562" t="s">
        <v>4536</v>
      </c>
      <c r="O562" t="s">
        <v>207</v>
      </c>
      <c r="Q562" t="s">
        <v>207</v>
      </c>
      <c r="R562" t="s">
        <v>207</v>
      </c>
      <c r="S562" t="s">
        <v>207</v>
      </c>
      <c r="T562" t="s">
        <v>207</v>
      </c>
      <c r="U562" t="s">
        <v>207</v>
      </c>
      <c r="V562" t="s">
        <v>207</v>
      </c>
      <c r="W562" t="s">
        <v>207</v>
      </c>
      <c r="X562" t="s">
        <v>207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209</v>
      </c>
      <c r="BA562">
        <v>23690921066.0144</v>
      </c>
      <c r="BB562" t="s">
        <v>4572</v>
      </c>
      <c r="BC562" t="s">
        <v>4536</v>
      </c>
    </row>
    <row r="563" spans="1:55" x14ac:dyDescent="0.25">
      <c r="A563">
        <v>1146</v>
      </c>
      <c r="B563" t="s">
        <v>759</v>
      </c>
      <c r="C563" t="s">
        <v>2194</v>
      </c>
      <c r="D563" t="s">
        <v>3629</v>
      </c>
      <c r="E563" t="s">
        <v>93</v>
      </c>
      <c r="F563">
        <v>44269640</v>
      </c>
      <c r="G563">
        <v>235.6026</v>
      </c>
      <c r="H563" t="s">
        <v>101</v>
      </c>
      <c r="I563">
        <v>10430042285.063999</v>
      </c>
      <c r="J563" t="s">
        <v>205</v>
      </c>
      <c r="K563">
        <v>13103574.9655215</v>
      </c>
      <c r="L563">
        <v>0.4</v>
      </c>
      <c r="M563" t="s">
        <v>4536</v>
      </c>
      <c r="O563" t="s">
        <v>207</v>
      </c>
      <c r="Q563" t="s">
        <v>207</v>
      </c>
      <c r="R563" t="s">
        <v>207</v>
      </c>
      <c r="S563" t="s">
        <v>207</v>
      </c>
      <c r="T563" t="s">
        <v>207</v>
      </c>
      <c r="U563" t="s">
        <v>207</v>
      </c>
      <c r="V563" t="s">
        <v>207</v>
      </c>
      <c r="W563" t="s">
        <v>207</v>
      </c>
      <c r="X563" t="s">
        <v>207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210</v>
      </c>
      <c r="BA563">
        <v>4172016914.0256</v>
      </c>
      <c r="BB563" t="s">
        <v>4572</v>
      </c>
      <c r="BC563" t="s">
        <v>4536</v>
      </c>
    </row>
    <row r="564" spans="1:55" x14ac:dyDescent="0.25">
      <c r="A564">
        <v>1098</v>
      </c>
      <c r="B564" t="s">
        <v>760</v>
      </c>
      <c r="C564" t="s">
        <v>2195</v>
      </c>
      <c r="D564" t="s">
        <v>3630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204</v>
      </c>
      <c r="K564">
        <v>7589738.3235018896</v>
      </c>
      <c r="L564">
        <v>0.75</v>
      </c>
      <c r="M564" t="s">
        <v>4536</v>
      </c>
      <c r="N564" t="s">
        <v>4537</v>
      </c>
      <c r="O564" t="s">
        <v>207</v>
      </c>
      <c r="Q564" t="s">
        <v>207</v>
      </c>
      <c r="R564" t="s">
        <v>207</v>
      </c>
      <c r="S564" t="s">
        <v>207</v>
      </c>
      <c r="T564" t="s">
        <v>207</v>
      </c>
      <c r="U564" t="s">
        <v>207</v>
      </c>
      <c r="V564" t="s">
        <v>207</v>
      </c>
      <c r="W564" t="s">
        <v>207</v>
      </c>
      <c r="X564" t="s">
        <v>207</v>
      </c>
      <c r="AG564" t="s">
        <v>4546</v>
      </c>
      <c r="AH564" t="s">
        <v>4562</v>
      </c>
      <c r="AI564" t="s">
        <v>4565</v>
      </c>
      <c r="AJ564" t="s">
        <v>4566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209</v>
      </c>
      <c r="AZ564" t="s">
        <v>4571</v>
      </c>
      <c r="BA564">
        <v>4647399146.22855</v>
      </c>
      <c r="BB564" t="s">
        <v>4572</v>
      </c>
      <c r="BC564" t="s">
        <v>4626</v>
      </c>
    </row>
    <row r="565" spans="1:55" x14ac:dyDescent="0.25">
      <c r="A565">
        <v>221</v>
      </c>
      <c r="B565" t="s">
        <v>761</v>
      </c>
      <c r="C565" t="s">
        <v>2196</v>
      </c>
      <c r="D565" t="s">
        <v>3631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202</v>
      </c>
      <c r="K565">
        <v>352562233.282695</v>
      </c>
      <c r="L565">
        <v>1</v>
      </c>
      <c r="M565" t="s">
        <v>4536</v>
      </c>
      <c r="O565" t="s">
        <v>207</v>
      </c>
      <c r="Q565" t="s">
        <v>207</v>
      </c>
      <c r="R565" t="s">
        <v>207</v>
      </c>
      <c r="S565" t="s">
        <v>207</v>
      </c>
      <c r="T565" t="s">
        <v>207</v>
      </c>
      <c r="U565" t="s">
        <v>207</v>
      </c>
      <c r="V565" t="s">
        <v>207</v>
      </c>
      <c r="W565" t="s">
        <v>207</v>
      </c>
      <c r="X565" t="s">
        <v>207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208</v>
      </c>
      <c r="BA565">
        <v>59715331992.470001</v>
      </c>
      <c r="BB565" t="s">
        <v>4572</v>
      </c>
      <c r="BC565" t="s">
        <v>4536</v>
      </c>
    </row>
    <row r="566" spans="1:55" x14ac:dyDescent="0.25">
      <c r="A566">
        <v>1420</v>
      </c>
      <c r="B566" t="s">
        <v>762</v>
      </c>
      <c r="C566" t="s">
        <v>2197</v>
      </c>
      <c r="D566" t="s">
        <v>3632</v>
      </c>
      <c r="E566" t="s">
        <v>93</v>
      </c>
      <c r="F566">
        <v>308775630</v>
      </c>
      <c r="G566">
        <v>7.6839459999999997</v>
      </c>
      <c r="H566" t="s">
        <v>101</v>
      </c>
      <c r="I566">
        <v>2372615267.0359802</v>
      </c>
      <c r="J566" t="s">
        <v>205</v>
      </c>
      <c r="K566">
        <v>4367880.6039792001</v>
      </c>
      <c r="L566">
        <v>1</v>
      </c>
      <c r="M566" t="s">
        <v>4536</v>
      </c>
      <c r="N566" t="s">
        <v>4537</v>
      </c>
      <c r="O566" t="s">
        <v>207</v>
      </c>
      <c r="Q566" t="s">
        <v>207</v>
      </c>
      <c r="R566" t="s">
        <v>207</v>
      </c>
      <c r="S566" t="s">
        <v>207</v>
      </c>
      <c r="T566" t="s">
        <v>207</v>
      </c>
      <c r="U566" t="s">
        <v>207</v>
      </c>
      <c r="V566" t="s">
        <v>207</v>
      </c>
      <c r="W566" t="s">
        <v>207</v>
      </c>
      <c r="X566" t="s">
        <v>207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210</v>
      </c>
      <c r="BA566">
        <v>2372615267.0359802</v>
      </c>
      <c r="BB566" t="s">
        <v>4572</v>
      </c>
      <c r="BC566" t="s">
        <v>4575</v>
      </c>
    </row>
    <row r="567" spans="1:55" x14ac:dyDescent="0.25">
      <c r="A567">
        <v>1215</v>
      </c>
      <c r="B567" t="s">
        <v>763</v>
      </c>
      <c r="C567" t="s">
        <v>2198</v>
      </c>
      <c r="D567" t="s">
        <v>3633</v>
      </c>
      <c r="E567" t="s">
        <v>93</v>
      </c>
      <c r="F567">
        <v>35693970</v>
      </c>
      <c r="G567">
        <v>118.1211</v>
      </c>
      <c r="H567" t="s">
        <v>101</v>
      </c>
      <c r="I567">
        <v>4216210999.7670002</v>
      </c>
      <c r="J567" t="s">
        <v>205</v>
      </c>
      <c r="K567">
        <v>11975894.620777201</v>
      </c>
      <c r="L567">
        <v>0.85</v>
      </c>
      <c r="M567" t="s">
        <v>4536</v>
      </c>
      <c r="O567" t="s">
        <v>207</v>
      </c>
      <c r="Q567" t="s">
        <v>207</v>
      </c>
      <c r="R567" t="s">
        <v>207</v>
      </c>
      <c r="S567" t="s">
        <v>207</v>
      </c>
      <c r="T567" t="s">
        <v>207</v>
      </c>
      <c r="U567" t="s">
        <v>207</v>
      </c>
      <c r="V567" t="s">
        <v>207</v>
      </c>
      <c r="W567" t="s">
        <v>207</v>
      </c>
      <c r="X567" t="s">
        <v>207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210</v>
      </c>
      <c r="BA567">
        <v>3583779349.80195</v>
      </c>
      <c r="BB567" t="s">
        <v>4572</v>
      </c>
      <c r="BC567" t="s">
        <v>4536</v>
      </c>
    </row>
    <row r="568" spans="1:55" x14ac:dyDescent="0.25">
      <c r="A568">
        <v>1134</v>
      </c>
      <c r="B568" t="s">
        <v>764</v>
      </c>
      <c r="C568" t="s">
        <v>2199</v>
      </c>
      <c r="D568" t="s">
        <v>3634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204</v>
      </c>
      <c r="K568">
        <v>7489836.6816277802</v>
      </c>
      <c r="L568">
        <v>1</v>
      </c>
      <c r="M568" t="s">
        <v>4536</v>
      </c>
      <c r="N568" t="s">
        <v>4537</v>
      </c>
      <c r="O568" t="s">
        <v>207</v>
      </c>
      <c r="Q568" t="s">
        <v>207</v>
      </c>
      <c r="R568" t="s">
        <v>207</v>
      </c>
      <c r="S568" t="s">
        <v>207</v>
      </c>
      <c r="T568" t="s">
        <v>207</v>
      </c>
      <c r="U568" t="s">
        <v>207</v>
      </c>
      <c r="V568" t="s">
        <v>207</v>
      </c>
      <c r="W568" t="s">
        <v>207</v>
      </c>
      <c r="X568" t="s">
        <v>207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209</v>
      </c>
      <c r="AZ568" t="s">
        <v>4571</v>
      </c>
      <c r="BA568">
        <v>4291087081.4008002</v>
      </c>
      <c r="BB568" t="s">
        <v>4572</v>
      </c>
      <c r="BC568" t="s">
        <v>4584</v>
      </c>
    </row>
    <row r="569" spans="1:55" x14ac:dyDescent="0.25">
      <c r="A569">
        <v>97</v>
      </c>
      <c r="B569" t="s">
        <v>765</v>
      </c>
      <c r="C569" t="s">
        <v>2200</v>
      </c>
      <c r="D569" t="s">
        <v>3635</v>
      </c>
      <c r="E569" t="s">
        <v>93</v>
      </c>
      <c r="F569">
        <v>4580342000</v>
      </c>
      <c r="G569">
        <v>26.815470000000001</v>
      </c>
      <c r="H569" t="s">
        <v>101</v>
      </c>
      <c r="I569">
        <v>122824023490.74001</v>
      </c>
      <c r="J569" t="s">
        <v>205</v>
      </c>
      <c r="K569">
        <v>290005467.81717002</v>
      </c>
      <c r="L569">
        <v>1</v>
      </c>
      <c r="M569" t="s">
        <v>4536</v>
      </c>
      <c r="O569" t="s">
        <v>207</v>
      </c>
      <c r="Q569" t="s">
        <v>207</v>
      </c>
      <c r="R569" t="s">
        <v>207</v>
      </c>
      <c r="S569" t="s">
        <v>207</v>
      </c>
      <c r="T569" t="s">
        <v>207</v>
      </c>
      <c r="U569" t="s">
        <v>207</v>
      </c>
      <c r="V569" t="s">
        <v>207</v>
      </c>
      <c r="W569" t="s">
        <v>207</v>
      </c>
      <c r="X569" t="s">
        <v>207</v>
      </c>
      <c r="AK569">
        <v>0</v>
      </c>
      <c r="AL569">
        <v>0.05</v>
      </c>
      <c r="AM569">
        <v>0</v>
      </c>
      <c r="AO569" t="s">
        <v>4568</v>
      </c>
      <c r="AQ569">
        <v>0</v>
      </c>
      <c r="AR569">
        <v>0</v>
      </c>
      <c r="AW569">
        <v>5020</v>
      </c>
      <c r="AX569">
        <v>2.3490000000000002</v>
      </c>
      <c r="AY569" t="s">
        <v>210</v>
      </c>
      <c r="BA569">
        <v>122824023490.74001</v>
      </c>
      <c r="BB569" t="s">
        <v>4572</v>
      </c>
      <c r="BC569" t="s">
        <v>4582</v>
      </c>
    </row>
    <row r="570" spans="1:55" x14ac:dyDescent="0.25">
      <c r="A570">
        <v>1376</v>
      </c>
      <c r="B570" t="s">
        <v>766</v>
      </c>
      <c r="C570" t="s">
        <v>2201</v>
      </c>
      <c r="D570" t="s">
        <v>3636</v>
      </c>
      <c r="E570" t="s">
        <v>93</v>
      </c>
      <c r="F570">
        <v>215115040</v>
      </c>
      <c r="G570">
        <v>24.954440000000002</v>
      </c>
      <c r="H570" t="s">
        <v>101</v>
      </c>
      <c r="I570">
        <v>5368075358.7776003</v>
      </c>
      <c r="J570" t="s">
        <v>205</v>
      </c>
      <c r="K570">
        <v>26010335.384305999</v>
      </c>
      <c r="L570">
        <v>0.5</v>
      </c>
      <c r="M570" t="s">
        <v>4536</v>
      </c>
      <c r="O570" t="s">
        <v>207</v>
      </c>
      <c r="Q570" t="s">
        <v>207</v>
      </c>
      <c r="R570" t="s">
        <v>207</v>
      </c>
      <c r="S570" t="s">
        <v>207</v>
      </c>
      <c r="T570" t="s">
        <v>207</v>
      </c>
      <c r="U570" t="s">
        <v>207</v>
      </c>
      <c r="V570" t="s">
        <v>207</v>
      </c>
      <c r="W570" t="s">
        <v>207</v>
      </c>
      <c r="X570" t="s">
        <v>207</v>
      </c>
      <c r="AK570">
        <v>0.05</v>
      </c>
      <c r="AL570">
        <v>0.05</v>
      </c>
      <c r="AM570">
        <v>0</v>
      </c>
      <c r="AN570" t="s">
        <v>4567</v>
      </c>
      <c r="AO570" t="s">
        <v>4568</v>
      </c>
      <c r="AQ570">
        <v>0</v>
      </c>
      <c r="AR570">
        <v>0</v>
      </c>
      <c r="AW570">
        <v>5020</v>
      </c>
      <c r="AX570">
        <v>2.4380000000000002</v>
      </c>
      <c r="AY570" t="s">
        <v>210</v>
      </c>
      <c r="BA570">
        <v>2684037679.3888001</v>
      </c>
      <c r="BB570" t="s">
        <v>4572</v>
      </c>
      <c r="BC570" t="s">
        <v>4599</v>
      </c>
    </row>
    <row r="571" spans="1:55" x14ac:dyDescent="0.25">
      <c r="A571">
        <v>1150</v>
      </c>
      <c r="B571" t="s">
        <v>767</v>
      </c>
      <c r="C571" t="s">
        <v>2202</v>
      </c>
      <c r="D571" t="s">
        <v>3637</v>
      </c>
      <c r="E571" t="s">
        <v>4518</v>
      </c>
      <c r="F571">
        <v>7579776400</v>
      </c>
      <c r="G571">
        <v>1.2114510000000001</v>
      </c>
      <c r="H571" t="s">
        <v>4529</v>
      </c>
      <c r="I571">
        <v>9182527699.5564003</v>
      </c>
      <c r="J571" t="s">
        <v>205</v>
      </c>
      <c r="K571">
        <v>6568299.1595475599</v>
      </c>
      <c r="L571">
        <v>0.45</v>
      </c>
      <c r="M571" t="s">
        <v>4536</v>
      </c>
      <c r="N571" t="s">
        <v>4537</v>
      </c>
      <c r="O571" t="s">
        <v>207</v>
      </c>
      <c r="Q571" t="s">
        <v>207</v>
      </c>
      <c r="R571" t="s">
        <v>207</v>
      </c>
      <c r="S571" t="s">
        <v>207</v>
      </c>
      <c r="T571" t="s">
        <v>207</v>
      </c>
      <c r="U571" t="s">
        <v>207</v>
      </c>
      <c r="V571" t="s">
        <v>207</v>
      </c>
      <c r="W571" t="s">
        <v>207</v>
      </c>
      <c r="X571" t="s">
        <v>207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210</v>
      </c>
      <c r="BA571">
        <v>4132137464.8003802</v>
      </c>
      <c r="BB571" t="s">
        <v>4572</v>
      </c>
      <c r="BC571" t="s">
        <v>4575</v>
      </c>
    </row>
    <row r="572" spans="1:55" x14ac:dyDescent="0.25">
      <c r="A572">
        <v>1329</v>
      </c>
      <c r="B572" t="s">
        <v>768</v>
      </c>
      <c r="C572" t="s">
        <v>2203</v>
      </c>
      <c r="D572" t="s">
        <v>3638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203</v>
      </c>
      <c r="K572">
        <v>7129659.5229508197</v>
      </c>
      <c r="L572">
        <v>0.25</v>
      </c>
      <c r="M572" t="s">
        <v>4536</v>
      </c>
      <c r="N572" t="s">
        <v>4537</v>
      </c>
      <c r="O572" t="s">
        <v>206</v>
      </c>
      <c r="Q572" t="s">
        <v>207</v>
      </c>
      <c r="R572" t="s">
        <v>207</v>
      </c>
      <c r="S572" t="s">
        <v>207</v>
      </c>
      <c r="T572" t="s">
        <v>207</v>
      </c>
      <c r="U572" t="s">
        <v>207</v>
      </c>
      <c r="V572" t="s">
        <v>207</v>
      </c>
      <c r="W572" t="s">
        <v>207</v>
      </c>
      <c r="X572" t="s">
        <v>207</v>
      </c>
      <c r="AK572">
        <v>0.05</v>
      </c>
      <c r="AL572">
        <v>0.05</v>
      </c>
      <c r="AM572">
        <v>0</v>
      </c>
      <c r="AN572" t="s">
        <v>4567</v>
      </c>
      <c r="AO572" t="s">
        <v>4568</v>
      </c>
      <c r="AQ572">
        <v>0</v>
      </c>
      <c r="AR572">
        <v>0</v>
      </c>
      <c r="AW572">
        <v>5010</v>
      </c>
      <c r="AX572">
        <v>2.613</v>
      </c>
      <c r="AY572" t="s">
        <v>209</v>
      </c>
      <c r="BA572">
        <v>2947201052.5</v>
      </c>
      <c r="BB572" t="s">
        <v>4572</v>
      </c>
      <c r="BC572" t="s">
        <v>4593</v>
      </c>
    </row>
    <row r="573" spans="1:55" x14ac:dyDescent="0.25">
      <c r="A573">
        <v>229</v>
      </c>
      <c r="B573" t="s">
        <v>769</v>
      </c>
      <c r="C573" t="s">
        <v>2204</v>
      </c>
      <c r="D573" t="s">
        <v>3639</v>
      </c>
      <c r="E573" t="s">
        <v>95</v>
      </c>
      <c r="F573">
        <v>579124630</v>
      </c>
      <c r="G573">
        <v>100.3318</v>
      </c>
      <c r="H573" t="s">
        <v>103</v>
      </c>
      <c r="I573">
        <v>58104616552.234001</v>
      </c>
      <c r="J573" t="s">
        <v>204</v>
      </c>
      <c r="K573">
        <v>96686992.910873801</v>
      </c>
      <c r="L573">
        <v>1</v>
      </c>
      <c r="O573" t="s">
        <v>207</v>
      </c>
      <c r="Q573" t="s">
        <v>207</v>
      </c>
      <c r="R573" t="s">
        <v>207</v>
      </c>
      <c r="S573" t="s">
        <v>207</v>
      </c>
      <c r="T573" t="s">
        <v>207</v>
      </c>
      <c r="U573" t="s">
        <v>207</v>
      </c>
      <c r="V573" t="s">
        <v>207</v>
      </c>
      <c r="W573" t="s">
        <v>207</v>
      </c>
      <c r="X573" t="s">
        <v>207</v>
      </c>
      <c r="AK573">
        <v>0</v>
      </c>
      <c r="AL573">
        <v>0.05</v>
      </c>
      <c r="AM573">
        <v>0</v>
      </c>
      <c r="AO573" t="s">
        <v>4568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209</v>
      </c>
      <c r="BA573">
        <v>58104616552.234001</v>
      </c>
      <c r="BB573" t="s">
        <v>4572</v>
      </c>
      <c r="BC573" t="s">
        <v>4568</v>
      </c>
    </row>
    <row r="574" spans="1:55" x14ac:dyDescent="0.25">
      <c r="A574">
        <v>1294</v>
      </c>
      <c r="B574" t="s">
        <v>770</v>
      </c>
      <c r="C574" t="s">
        <v>2205</v>
      </c>
      <c r="D574" t="s">
        <v>3640</v>
      </c>
      <c r="E574" t="s">
        <v>4519</v>
      </c>
      <c r="F574">
        <v>117265854</v>
      </c>
      <c r="G574">
        <v>37.964089999999999</v>
      </c>
      <c r="H574" t="s">
        <v>4530</v>
      </c>
      <c r="I574">
        <v>4451891435.1828594</v>
      </c>
      <c r="J574" t="s">
        <v>204</v>
      </c>
      <c r="K574">
        <v>6060556.5064524701</v>
      </c>
      <c r="L574">
        <v>0.7</v>
      </c>
      <c r="M574" t="s">
        <v>4536</v>
      </c>
      <c r="N574" t="s">
        <v>4537</v>
      </c>
      <c r="O574" t="s">
        <v>207</v>
      </c>
      <c r="Q574" t="s">
        <v>207</v>
      </c>
      <c r="R574" t="s">
        <v>207</v>
      </c>
      <c r="S574" t="s">
        <v>207</v>
      </c>
      <c r="T574" t="s">
        <v>207</v>
      </c>
      <c r="U574" t="s">
        <v>207</v>
      </c>
      <c r="V574" t="s">
        <v>207</v>
      </c>
      <c r="W574" t="s">
        <v>207</v>
      </c>
      <c r="X574" t="s">
        <v>207</v>
      </c>
      <c r="AK574">
        <v>0</v>
      </c>
      <c r="AL574">
        <v>0.01</v>
      </c>
      <c r="AM574">
        <v>0</v>
      </c>
      <c r="AO574" t="s">
        <v>4568</v>
      </c>
      <c r="AQ574">
        <v>0</v>
      </c>
      <c r="AR574">
        <v>0</v>
      </c>
      <c r="AW574">
        <v>5510</v>
      </c>
      <c r="AX574">
        <v>2.331</v>
      </c>
      <c r="AY574" t="s">
        <v>209</v>
      </c>
      <c r="BA574">
        <v>3116324004.6280012</v>
      </c>
      <c r="BB574" t="s">
        <v>4572</v>
      </c>
      <c r="BC574" t="s">
        <v>4579</v>
      </c>
    </row>
    <row r="575" spans="1:55" x14ac:dyDescent="0.25">
      <c r="A575">
        <v>21</v>
      </c>
      <c r="B575" t="s">
        <v>771</v>
      </c>
      <c r="C575" t="s">
        <v>2206</v>
      </c>
      <c r="D575" t="s">
        <v>3641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202</v>
      </c>
      <c r="K575">
        <v>1217076430.84603</v>
      </c>
      <c r="L575">
        <v>1</v>
      </c>
      <c r="M575" t="s">
        <v>4536</v>
      </c>
      <c r="O575" t="s">
        <v>207</v>
      </c>
      <c r="Q575" t="s">
        <v>207</v>
      </c>
      <c r="R575" t="s">
        <v>207</v>
      </c>
      <c r="S575" t="s">
        <v>207</v>
      </c>
      <c r="T575" t="s">
        <v>207</v>
      </c>
      <c r="U575" t="s">
        <v>207</v>
      </c>
      <c r="V575" t="s">
        <v>207</v>
      </c>
      <c r="W575" t="s">
        <v>207</v>
      </c>
      <c r="X575" t="s">
        <v>207</v>
      </c>
      <c r="AK575">
        <v>0</v>
      </c>
      <c r="AL575">
        <v>0.01</v>
      </c>
      <c r="AM575">
        <v>0</v>
      </c>
      <c r="AO575" t="s">
        <v>4568</v>
      </c>
      <c r="AQ575">
        <v>0</v>
      </c>
      <c r="AR575">
        <v>0</v>
      </c>
      <c r="AW575">
        <v>4040</v>
      </c>
      <c r="AX575">
        <v>1.73</v>
      </c>
      <c r="AY575" t="s">
        <v>208</v>
      </c>
      <c r="BA575">
        <v>366085707030.67999</v>
      </c>
      <c r="BB575" t="s">
        <v>4572</v>
      </c>
      <c r="BC575" t="s">
        <v>4582</v>
      </c>
    </row>
    <row r="576" spans="1:55" x14ac:dyDescent="0.25">
      <c r="A576">
        <v>355</v>
      </c>
      <c r="B576" t="s">
        <v>772</v>
      </c>
      <c r="C576" t="s">
        <v>2207</v>
      </c>
      <c r="D576" t="s">
        <v>3642</v>
      </c>
      <c r="E576" t="s">
        <v>93</v>
      </c>
      <c r="F576">
        <v>5280000000</v>
      </c>
      <c r="G576">
        <v>8.8255049999999997</v>
      </c>
      <c r="H576" t="s">
        <v>101</v>
      </c>
      <c r="I576">
        <v>46598666400</v>
      </c>
      <c r="J576" t="s">
        <v>205</v>
      </c>
      <c r="K576">
        <v>276127645.671049</v>
      </c>
      <c r="L576">
        <v>0.85</v>
      </c>
      <c r="M576" t="s">
        <v>4536</v>
      </c>
      <c r="O576" t="s">
        <v>207</v>
      </c>
      <c r="Q576" t="s">
        <v>207</v>
      </c>
      <c r="R576" t="s">
        <v>207</v>
      </c>
      <c r="S576" t="s">
        <v>207</v>
      </c>
      <c r="T576" t="s">
        <v>207</v>
      </c>
      <c r="U576" t="s">
        <v>207</v>
      </c>
      <c r="V576" t="s">
        <v>207</v>
      </c>
      <c r="W576" t="s">
        <v>207</v>
      </c>
      <c r="X576" t="s">
        <v>207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210</v>
      </c>
      <c r="BA576">
        <v>39608866440</v>
      </c>
      <c r="BB576" t="s">
        <v>4572</v>
      </c>
      <c r="BC576" t="s">
        <v>4536</v>
      </c>
    </row>
    <row r="577" spans="1:55" x14ac:dyDescent="0.25">
      <c r="A577">
        <v>86</v>
      </c>
      <c r="B577" t="s">
        <v>773</v>
      </c>
      <c r="C577" t="s">
        <v>2208</v>
      </c>
      <c r="D577" t="s">
        <v>3643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202</v>
      </c>
      <c r="K577">
        <v>851439209.69830894</v>
      </c>
      <c r="L577">
        <v>1</v>
      </c>
      <c r="M577" t="s">
        <v>4536</v>
      </c>
      <c r="O577" t="s">
        <v>207</v>
      </c>
      <c r="Q577" t="s">
        <v>207</v>
      </c>
      <c r="R577" t="s">
        <v>207</v>
      </c>
      <c r="S577" t="s">
        <v>4538</v>
      </c>
      <c r="T577" t="s">
        <v>207</v>
      </c>
      <c r="U577" t="s">
        <v>207</v>
      </c>
      <c r="V577" t="s">
        <v>207</v>
      </c>
      <c r="W577" t="s">
        <v>207</v>
      </c>
      <c r="X577" t="s">
        <v>207</v>
      </c>
      <c r="AA577" t="s">
        <v>4541</v>
      </c>
      <c r="AG577" t="s">
        <v>4546</v>
      </c>
      <c r="AH577" t="s">
        <v>4564</v>
      </c>
      <c r="AI577" t="s">
        <v>4565</v>
      </c>
      <c r="AJ577" t="s">
        <v>4566</v>
      </c>
      <c r="AK577">
        <v>0</v>
      </c>
      <c r="AL577">
        <v>0.1</v>
      </c>
      <c r="AM577">
        <v>0</v>
      </c>
      <c r="AO577" t="s">
        <v>4568</v>
      </c>
      <c r="AQ577">
        <v>0</v>
      </c>
      <c r="AR577">
        <v>0</v>
      </c>
      <c r="AW577">
        <v>5020</v>
      </c>
      <c r="AX577">
        <v>2.5550000000000002</v>
      </c>
      <c r="AY577" t="s">
        <v>208</v>
      </c>
      <c r="BA577">
        <v>131749158885.03999</v>
      </c>
      <c r="BB577" t="s">
        <v>4572</v>
      </c>
      <c r="BC577" t="s">
        <v>4628</v>
      </c>
    </row>
    <row r="578" spans="1:55" x14ac:dyDescent="0.25">
      <c r="A578">
        <v>266</v>
      </c>
      <c r="B578" t="s">
        <v>774</v>
      </c>
      <c r="C578" t="s">
        <v>2209</v>
      </c>
      <c r="D578" t="s">
        <v>3644</v>
      </c>
      <c r="E578" t="s">
        <v>4518</v>
      </c>
      <c r="F578">
        <v>1267836900</v>
      </c>
      <c r="G578">
        <v>43.188720000000004</v>
      </c>
      <c r="H578" t="s">
        <v>4529</v>
      </c>
      <c r="I578">
        <v>54756252879.768013</v>
      </c>
      <c r="J578" t="s">
        <v>205</v>
      </c>
      <c r="K578">
        <v>253043525.50884601</v>
      </c>
      <c r="L578">
        <v>0.95</v>
      </c>
      <c r="M578" t="s">
        <v>4536</v>
      </c>
      <c r="O578" t="s">
        <v>207</v>
      </c>
      <c r="Q578" t="s">
        <v>207</v>
      </c>
      <c r="R578" t="s">
        <v>207</v>
      </c>
      <c r="S578" t="s">
        <v>207</v>
      </c>
      <c r="T578" t="s">
        <v>207</v>
      </c>
      <c r="U578" t="s">
        <v>207</v>
      </c>
      <c r="V578" t="s">
        <v>207</v>
      </c>
      <c r="W578" t="s">
        <v>207</v>
      </c>
      <c r="X578" t="s">
        <v>207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210</v>
      </c>
      <c r="BA578">
        <v>52018440235.779602</v>
      </c>
      <c r="BB578" t="s">
        <v>4572</v>
      </c>
      <c r="BC578" t="s">
        <v>4536</v>
      </c>
    </row>
    <row r="579" spans="1:55" x14ac:dyDescent="0.25">
      <c r="A579">
        <v>1133</v>
      </c>
      <c r="B579" t="s">
        <v>775</v>
      </c>
      <c r="C579" t="s">
        <v>2210</v>
      </c>
      <c r="D579" t="s">
        <v>3645</v>
      </c>
      <c r="E579" t="s">
        <v>4527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205</v>
      </c>
      <c r="K579">
        <v>11697316.9547191</v>
      </c>
      <c r="L579">
        <v>0.45</v>
      </c>
      <c r="M579" t="s">
        <v>4536</v>
      </c>
      <c r="O579" t="s">
        <v>207</v>
      </c>
      <c r="Q579" t="s">
        <v>207</v>
      </c>
      <c r="R579" t="s">
        <v>207</v>
      </c>
      <c r="S579" t="s">
        <v>207</v>
      </c>
      <c r="T579" t="s">
        <v>207</v>
      </c>
      <c r="U579" t="s">
        <v>207</v>
      </c>
      <c r="V579" t="s">
        <v>207</v>
      </c>
      <c r="W579" t="s">
        <v>207</v>
      </c>
      <c r="X579" t="s">
        <v>207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210</v>
      </c>
      <c r="BA579">
        <v>4292939682.7749</v>
      </c>
      <c r="BB579" t="s">
        <v>4572</v>
      </c>
      <c r="BC579" t="s">
        <v>4536</v>
      </c>
    </row>
    <row r="580" spans="1:55" x14ac:dyDescent="0.25">
      <c r="A580">
        <v>1366</v>
      </c>
      <c r="B580" t="s">
        <v>776</v>
      </c>
      <c r="C580" t="s">
        <v>2211</v>
      </c>
      <c r="D580" t="s">
        <v>3646</v>
      </c>
      <c r="E580" t="s">
        <v>93</v>
      </c>
      <c r="F580">
        <v>42233253</v>
      </c>
      <c r="G580">
        <v>64.272710000000004</v>
      </c>
      <c r="H580" t="s">
        <v>101</v>
      </c>
      <c r="I580">
        <v>2714445622.4256301</v>
      </c>
      <c r="J580" t="s">
        <v>205</v>
      </c>
      <c r="K580">
        <v>12910286.877875701</v>
      </c>
      <c r="L580">
        <v>1</v>
      </c>
      <c r="O580" t="s">
        <v>207</v>
      </c>
      <c r="Q580" t="s">
        <v>207</v>
      </c>
      <c r="R580" t="s">
        <v>207</v>
      </c>
      <c r="S580" t="s">
        <v>207</v>
      </c>
      <c r="T580" t="s">
        <v>207</v>
      </c>
      <c r="U580" t="s">
        <v>207</v>
      </c>
      <c r="V580" t="s">
        <v>207</v>
      </c>
      <c r="W580" t="s">
        <v>207</v>
      </c>
      <c r="X580" t="s">
        <v>207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210</v>
      </c>
      <c r="BA580">
        <v>2714445622.4256301</v>
      </c>
      <c r="BB580" t="s">
        <v>211</v>
      </c>
    </row>
    <row r="581" spans="1:55" x14ac:dyDescent="0.25">
      <c r="A581">
        <v>1099</v>
      </c>
      <c r="B581" t="s">
        <v>777</v>
      </c>
      <c r="C581" t="s">
        <v>2212</v>
      </c>
      <c r="D581" t="s">
        <v>3647</v>
      </c>
      <c r="E581" t="s">
        <v>93</v>
      </c>
      <c r="F581">
        <v>144890100</v>
      </c>
      <c r="G581">
        <v>37.521189999999997</v>
      </c>
      <c r="H581" t="s">
        <v>101</v>
      </c>
      <c r="I581">
        <v>5436448971.2189999</v>
      </c>
      <c r="J581" t="s">
        <v>205</v>
      </c>
      <c r="K581">
        <v>17054787.277258798</v>
      </c>
      <c r="L581">
        <v>0.85</v>
      </c>
      <c r="M581" t="s">
        <v>4536</v>
      </c>
      <c r="O581" t="s">
        <v>207</v>
      </c>
      <c r="Q581" t="s">
        <v>207</v>
      </c>
      <c r="R581" t="s">
        <v>207</v>
      </c>
      <c r="S581" t="s">
        <v>207</v>
      </c>
      <c r="T581" t="s">
        <v>207</v>
      </c>
      <c r="U581" t="s">
        <v>207</v>
      </c>
      <c r="V581" t="s">
        <v>207</v>
      </c>
      <c r="W581" t="s">
        <v>207</v>
      </c>
      <c r="X581" t="s">
        <v>207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210</v>
      </c>
      <c r="AZ581" t="s">
        <v>4571</v>
      </c>
      <c r="BA581">
        <v>4620981625.53615</v>
      </c>
      <c r="BB581" t="s">
        <v>4572</v>
      </c>
      <c r="BC581" t="s">
        <v>4577</v>
      </c>
    </row>
    <row r="582" spans="1:55" x14ac:dyDescent="0.25">
      <c r="A582">
        <v>1037</v>
      </c>
      <c r="B582" t="s">
        <v>778</v>
      </c>
      <c r="C582" t="s">
        <v>2213</v>
      </c>
      <c r="D582" t="s">
        <v>3648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204</v>
      </c>
      <c r="K582">
        <v>10746265.0323544</v>
      </c>
      <c r="L582">
        <v>1</v>
      </c>
      <c r="M582" t="s">
        <v>4536</v>
      </c>
      <c r="O582" t="s">
        <v>207</v>
      </c>
      <c r="Q582" t="s">
        <v>207</v>
      </c>
      <c r="R582" t="s">
        <v>207</v>
      </c>
      <c r="S582" t="s">
        <v>207</v>
      </c>
      <c r="T582" t="s">
        <v>207</v>
      </c>
      <c r="U582" t="s">
        <v>207</v>
      </c>
      <c r="V582" t="s">
        <v>207</v>
      </c>
      <c r="W582" t="s">
        <v>207</v>
      </c>
      <c r="X582" t="s">
        <v>207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209</v>
      </c>
      <c r="BA582">
        <v>5615983047.0179996</v>
      </c>
      <c r="BB582" t="s">
        <v>4572</v>
      </c>
      <c r="BC582" t="s">
        <v>4536</v>
      </c>
    </row>
    <row r="583" spans="1:55" x14ac:dyDescent="0.25">
      <c r="A583">
        <v>273</v>
      </c>
      <c r="B583" t="s">
        <v>779</v>
      </c>
      <c r="C583" t="s">
        <v>2214</v>
      </c>
      <c r="D583" t="s">
        <v>3649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202</v>
      </c>
      <c r="K583">
        <v>294889556.64341903</v>
      </c>
      <c r="L583">
        <v>1</v>
      </c>
      <c r="M583" t="s">
        <v>4536</v>
      </c>
      <c r="O583" t="s">
        <v>207</v>
      </c>
      <c r="Q583" t="s">
        <v>207</v>
      </c>
      <c r="R583" t="s">
        <v>207</v>
      </c>
      <c r="S583" t="s">
        <v>207</v>
      </c>
      <c r="T583" t="s">
        <v>207</v>
      </c>
      <c r="U583" t="s">
        <v>207</v>
      </c>
      <c r="V583" t="s">
        <v>207</v>
      </c>
      <c r="W583" t="s">
        <v>207</v>
      </c>
      <c r="X583" t="s">
        <v>207</v>
      </c>
      <c r="AK583">
        <v>0</v>
      </c>
      <c r="AL583">
        <v>0.1</v>
      </c>
      <c r="AM583">
        <v>0</v>
      </c>
      <c r="AO583" t="s">
        <v>4568</v>
      </c>
      <c r="AQ583">
        <v>0</v>
      </c>
      <c r="AR583">
        <v>0</v>
      </c>
      <c r="AW583">
        <v>5020</v>
      </c>
      <c r="AX583">
        <v>2.4420000000000002</v>
      </c>
      <c r="AY583" t="s">
        <v>208</v>
      </c>
      <c r="BA583">
        <v>50295615529.096001</v>
      </c>
      <c r="BB583" t="s">
        <v>4572</v>
      </c>
      <c r="BC583" t="s">
        <v>4582</v>
      </c>
    </row>
    <row r="584" spans="1:55" x14ac:dyDescent="0.25">
      <c r="A584">
        <v>361</v>
      </c>
      <c r="B584" t="s">
        <v>780</v>
      </c>
      <c r="C584" t="s">
        <v>2215</v>
      </c>
      <c r="D584" t="s">
        <v>3650</v>
      </c>
      <c r="E584" t="s">
        <v>93</v>
      </c>
      <c r="F584">
        <v>345859220</v>
      </c>
      <c r="G584">
        <v>113.2607</v>
      </c>
      <c r="H584" t="s">
        <v>101</v>
      </c>
      <c r="I584">
        <v>39172257358.653999</v>
      </c>
      <c r="J584" t="s">
        <v>205</v>
      </c>
      <c r="K584">
        <v>111998740.51796401</v>
      </c>
      <c r="L584">
        <v>1</v>
      </c>
      <c r="O584" t="s">
        <v>207</v>
      </c>
      <c r="Q584" t="s">
        <v>207</v>
      </c>
      <c r="R584" t="s">
        <v>207</v>
      </c>
      <c r="S584" t="s">
        <v>207</v>
      </c>
      <c r="T584" t="s">
        <v>207</v>
      </c>
      <c r="U584" t="s">
        <v>207</v>
      </c>
      <c r="V584" t="s">
        <v>207</v>
      </c>
      <c r="W584" t="s">
        <v>207</v>
      </c>
      <c r="X584" t="s">
        <v>207</v>
      </c>
      <c r="AG584" t="s">
        <v>4546</v>
      </c>
      <c r="AH584" t="s">
        <v>4562</v>
      </c>
      <c r="AI584" t="s">
        <v>4565</v>
      </c>
      <c r="AJ584" t="s">
        <v>4566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210</v>
      </c>
      <c r="BA584">
        <v>39172257358.653999</v>
      </c>
      <c r="BB584" t="s">
        <v>4572</v>
      </c>
      <c r="BC584" t="s">
        <v>4581</v>
      </c>
    </row>
    <row r="585" spans="1:55" x14ac:dyDescent="0.25">
      <c r="A585">
        <v>433</v>
      </c>
      <c r="B585" t="s">
        <v>781</v>
      </c>
      <c r="C585" t="s">
        <v>2216</v>
      </c>
      <c r="D585" t="s">
        <v>3651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202</v>
      </c>
      <c r="K585">
        <v>228071500.390883</v>
      </c>
      <c r="L585">
        <v>1</v>
      </c>
      <c r="M585" t="s">
        <v>4536</v>
      </c>
      <c r="O585" t="s">
        <v>207</v>
      </c>
      <c r="Q585" t="s">
        <v>207</v>
      </c>
      <c r="R585" t="s">
        <v>207</v>
      </c>
      <c r="S585" t="s">
        <v>207</v>
      </c>
      <c r="T585" t="s">
        <v>207</v>
      </c>
      <c r="U585" t="s">
        <v>207</v>
      </c>
      <c r="V585" t="s">
        <v>207</v>
      </c>
      <c r="W585" t="s">
        <v>207</v>
      </c>
      <c r="X585" t="s">
        <v>207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208</v>
      </c>
      <c r="BA585">
        <v>31062588815.306999</v>
      </c>
      <c r="BB585" t="s">
        <v>4572</v>
      </c>
      <c r="BC585" t="s">
        <v>4536</v>
      </c>
    </row>
    <row r="586" spans="1:55" x14ac:dyDescent="0.25">
      <c r="A586">
        <v>60</v>
      </c>
      <c r="B586" t="s">
        <v>782</v>
      </c>
      <c r="C586" t="s">
        <v>2217</v>
      </c>
      <c r="D586" t="s">
        <v>3652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204</v>
      </c>
      <c r="K586">
        <v>160045769.54936501</v>
      </c>
      <c r="L586">
        <v>0.9</v>
      </c>
      <c r="M586" t="s">
        <v>4536</v>
      </c>
      <c r="O586" t="s">
        <v>207</v>
      </c>
      <c r="Q586" t="s">
        <v>207</v>
      </c>
      <c r="R586" t="s">
        <v>207</v>
      </c>
      <c r="S586" t="s">
        <v>207</v>
      </c>
      <c r="T586" t="s">
        <v>207</v>
      </c>
      <c r="U586" t="s">
        <v>207</v>
      </c>
      <c r="V586" t="s">
        <v>207</v>
      </c>
      <c r="W586" t="s">
        <v>207</v>
      </c>
      <c r="X586" t="s">
        <v>207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209</v>
      </c>
      <c r="BA586">
        <v>171769008037.21201</v>
      </c>
      <c r="BB586" t="s">
        <v>4572</v>
      </c>
      <c r="BC586" t="s">
        <v>4536</v>
      </c>
    </row>
    <row r="587" spans="1:55" x14ac:dyDescent="0.25">
      <c r="A587">
        <v>1330</v>
      </c>
      <c r="B587" t="s">
        <v>783</v>
      </c>
      <c r="C587" t="s">
        <v>2218</v>
      </c>
      <c r="D587" t="s">
        <v>3653</v>
      </c>
      <c r="E587" t="s">
        <v>94</v>
      </c>
      <c r="F587">
        <v>81172820</v>
      </c>
      <c r="G587">
        <v>48.329270000000001</v>
      </c>
      <c r="H587" t="s">
        <v>102</v>
      </c>
      <c r="I587">
        <v>3923023134.4414001</v>
      </c>
      <c r="J587" t="s">
        <v>205</v>
      </c>
      <c r="K587">
        <v>10907454.113974299</v>
      </c>
      <c r="L587">
        <v>0.75</v>
      </c>
      <c r="M587" t="s">
        <v>4536</v>
      </c>
      <c r="O587" t="s">
        <v>207</v>
      </c>
      <c r="Q587" t="s">
        <v>207</v>
      </c>
      <c r="R587" t="s">
        <v>207</v>
      </c>
      <c r="S587" t="s">
        <v>207</v>
      </c>
      <c r="T587" t="s">
        <v>207</v>
      </c>
      <c r="U587" t="s">
        <v>207</v>
      </c>
      <c r="V587" t="s">
        <v>207</v>
      </c>
      <c r="W587" t="s">
        <v>207</v>
      </c>
      <c r="X587" t="s">
        <v>207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210</v>
      </c>
      <c r="AZ587" t="s">
        <v>4571</v>
      </c>
      <c r="BA587">
        <v>2942267350.8310499</v>
      </c>
      <c r="BB587" t="s">
        <v>4572</v>
      </c>
      <c r="BC587" t="s">
        <v>4577</v>
      </c>
    </row>
    <row r="588" spans="1:55" x14ac:dyDescent="0.25">
      <c r="A588">
        <v>636</v>
      </c>
      <c r="B588" t="s">
        <v>784</v>
      </c>
      <c r="C588" t="s">
        <v>2219</v>
      </c>
      <c r="D588" t="s">
        <v>3654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202</v>
      </c>
      <c r="K588">
        <v>205836588.242217</v>
      </c>
      <c r="L588">
        <v>1</v>
      </c>
      <c r="M588" t="s">
        <v>4536</v>
      </c>
      <c r="O588" t="s">
        <v>207</v>
      </c>
      <c r="Q588" t="s">
        <v>207</v>
      </c>
      <c r="R588" t="s">
        <v>207</v>
      </c>
      <c r="S588" t="s">
        <v>207</v>
      </c>
      <c r="T588" t="s">
        <v>207</v>
      </c>
      <c r="U588" t="s">
        <v>207</v>
      </c>
      <c r="V588" t="s">
        <v>207</v>
      </c>
      <c r="W588" t="s">
        <v>207</v>
      </c>
      <c r="X588" t="s">
        <v>207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208</v>
      </c>
      <c r="BA588">
        <v>19376826760.8675</v>
      </c>
      <c r="BB588" t="s">
        <v>4572</v>
      </c>
      <c r="BC588" t="s">
        <v>4536</v>
      </c>
    </row>
    <row r="589" spans="1:55" x14ac:dyDescent="0.25">
      <c r="A589">
        <v>385</v>
      </c>
      <c r="B589" t="s">
        <v>785</v>
      </c>
      <c r="C589" t="s">
        <v>2220</v>
      </c>
      <c r="D589" t="s">
        <v>3655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202</v>
      </c>
      <c r="K589">
        <v>341710899.168841</v>
      </c>
      <c r="L589">
        <v>1</v>
      </c>
      <c r="M589" t="s">
        <v>4536</v>
      </c>
      <c r="O589" t="s">
        <v>207</v>
      </c>
      <c r="Q589" t="s">
        <v>207</v>
      </c>
      <c r="R589" t="s">
        <v>207</v>
      </c>
      <c r="S589" t="s">
        <v>207</v>
      </c>
      <c r="T589" t="s">
        <v>207</v>
      </c>
      <c r="U589" t="s">
        <v>207</v>
      </c>
      <c r="V589" t="s">
        <v>207</v>
      </c>
      <c r="W589" t="s">
        <v>207</v>
      </c>
      <c r="X589" t="s">
        <v>207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208</v>
      </c>
      <c r="BA589">
        <v>36236786438.708397</v>
      </c>
      <c r="BB589" t="s">
        <v>4572</v>
      </c>
      <c r="BC589" t="s">
        <v>4536</v>
      </c>
    </row>
    <row r="590" spans="1:55" x14ac:dyDescent="0.25">
      <c r="A590">
        <v>1474</v>
      </c>
      <c r="B590" t="s">
        <v>786</v>
      </c>
      <c r="C590" t="s">
        <v>2221</v>
      </c>
      <c r="D590" t="s">
        <v>3656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4535</v>
      </c>
      <c r="K590">
        <v>14811054.4879508</v>
      </c>
      <c r="L590">
        <v>0.65</v>
      </c>
      <c r="M590" t="s">
        <v>4536</v>
      </c>
      <c r="O590" t="s">
        <v>206</v>
      </c>
      <c r="Q590" t="s">
        <v>207</v>
      </c>
      <c r="R590" t="s">
        <v>207</v>
      </c>
      <c r="S590" t="s">
        <v>207</v>
      </c>
      <c r="T590" t="s">
        <v>207</v>
      </c>
      <c r="U590" t="s">
        <v>207</v>
      </c>
      <c r="V590" t="s">
        <v>207</v>
      </c>
      <c r="W590" t="s">
        <v>207</v>
      </c>
      <c r="X590" t="s">
        <v>207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209</v>
      </c>
      <c r="BA590">
        <v>2040896000</v>
      </c>
      <c r="BB590" t="s">
        <v>4572</v>
      </c>
      <c r="BC590" t="s">
        <v>4536</v>
      </c>
    </row>
    <row r="591" spans="1:55" x14ac:dyDescent="0.25">
      <c r="A591">
        <v>1207</v>
      </c>
      <c r="B591" t="s">
        <v>787</v>
      </c>
      <c r="C591" t="s">
        <v>2222</v>
      </c>
      <c r="D591" t="s">
        <v>3657</v>
      </c>
      <c r="E591" t="s">
        <v>4528</v>
      </c>
      <c r="F591">
        <v>107760380</v>
      </c>
      <c r="G591">
        <v>37.44</v>
      </c>
      <c r="H591" t="s">
        <v>99</v>
      </c>
      <c r="I591">
        <v>4034548627.1999998</v>
      </c>
      <c r="J591" t="s">
        <v>203</v>
      </c>
      <c r="K591">
        <v>5079226.97288136</v>
      </c>
      <c r="L591">
        <v>0.9</v>
      </c>
      <c r="M591" t="s">
        <v>4536</v>
      </c>
      <c r="N591" t="s">
        <v>4537</v>
      </c>
      <c r="O591" t="s">
        <v>207</v>
      </c>
      <c r="Q591" t="s">
        <v>207</v>
      </c>
      <c r="R591" t="s">
        <v>207</v>
      </c>
      <c r="S591" t="s">
        <v>207</v>
      </c>
      <c r="T591" t="s">
        <v>207</v>
      </c>
      <c r="U591" t="s">
        <v>207</v>
      </c>
      <c r="V591" t="s">
        <v>207</v>
      </c>
      <c r="W591" t="s">
        <v>207</v>
      </c>
      <c r="X591" t="s">
        <v>207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209</v>
      </c>
      <c r="BA591">
        <v>3631093764.48</v>
      </c>
      <c r="BB591" t="s">
        <v>4572</v>
      </c>
      <c r="BC591" t="s">
        <v>4575</v>
      </c>
    </row>
    <row r="592" spans="1:55" x14ac:dyDescent="0.25">
      <c r="A592">
        <v>1002</v>
      </c>
      <c r="B592" t="s">
        <v>788</v>
      </c>
      <c r="C592" t="s">
        <v>2223</v>
      </c>
      <c r="D592" t="s">
        <v>3658</v>
      </c>
      <c r="E592" t="s">
        <v>93</v>
      </c>
      <c r="F592">
        <v>767907700</v>
      </c>
      <c r="G592">
        <v>8.7167849999999998</v>
      </c>
      <c r="H592" t="s">
        <v>101</v>
      </c>
      <c r="I592">
        <v>6693686320.7445002</v>
      </c>
      <c r="J592" t="s">
        <v>205</v>
      </c>
      <c r="K592">
        <v>45813763.202163197</v>
      </c>
      <c r="L592">
        <v>0.9</v>
      </c>
      <c r="M592" t="s">
        <v>4536</v>
      </c>
      <c r="O592" t="s">
        <v>207</v>
      </c>
      <c r="Q592" t="s">
        <v>207</v>
      </c>
      <c r="R592" t="s">
        <v>207</v>
      </c>
      <c r="S592" t="s">
        <v>207</v>
      </c>
      <c r="T592" t="s">
        <v>207</v>
      </c>
      <c r="U592" t="s">
        <v>207</v>
      </c>
      <c r="V592" t="s">
        <v>207</v>
      </c>
      <c r="W592" t="s">
        <v>207</v>
      </c>
      <c r="X592" t="s">
        <v>207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210</v>
      </c>
      <c r="BA592">
        <v>6024317688.6700506</v>
      </c>
      <c r="BB592" t="s">
        <v>4572</v>
      </c>
      <c r="BC592" t="s">
        <v>4536</v>
      </c>
    </row>
    <row r="593" spans="1:55" x14ac:dyDescent="0.25">
      <c r="A593">
        <v>460</v>
      </c>
      <c r="B593" t="s">
        <v>789</v>
      </c>
      <c r="C593" t="s">
        <v>2224</v>
      </c>
      <c r="D593" t="s">
        <v>3659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202</v>
      </c>
      <c r="K593">
        <v>447809036.010198</v>
      </c>
      <c r="L593">
        <v>1</v>
      </c>
      <c r="M593" t="s">
        <v>4536</v>
      </c>
      <c r="O593" t="s">
        <v>207</v>
      </c>
      <c r="Q593" t="s">
        <v>207</v>
      </c>
      <c r="R593" t="s">
        <v>207</v>
      </c>
      <c r="S593" t="s">
        <v>207</v>
      </c>
      <c r="T593" t="s">
        <v>207</v>
      </c>
      <c r="U593" t="s">
        <v>207</v>
      </c>
      <c r="V593" t="s">
        <v>207</v>
      </c>
      <c r="W593" t="s">
        <v>207</v>
      </c>
      <c r="X593" t="s">
        <v>207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208</v>
      </c>
      <c r="BA593">
        <v>29530550815.071999</v>
      </c>
      <c r="BB593" t="s">
        <v>4572</v>
      </c>
      <c r="BC593" t="s">
        <v>4536</v>
      </c>
    </row>
    <row r="594" spans="1:55" x14ac:dyDescent="0.25">
      <c r="A594">
        <v>568</v>
      </c>
      <c r="B594" t="s">
        <v>790</v>
      </c>
      <c r="C594" t="s">
        <v>2225</v>
      </c>
      <c r="D594" t="s">
        <v>3660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202</v>
      </c>
      <c r="K594">
        <v>274985870.47876501</v>
      </c>
      <c r="L594">
        <v>1</v>
      </c>
      <c r="M594" t="s">
        <v>4536</v>
      </c>
      <c r="O594" t="s">
        <v>207</v>
      </c>
      <c r="Q594" t="s">
        <v>207</v>
      </c>
      <c r="R594" t="s">
        <v>207</v>
      </c>
      <c r="S594" t="s">
        <v>207</v>
      </c>
      <c r="T594" t="s">
        <v>207</v>
      </c>
      <c r="U594" t="s">
        <v>207</v>
      </c>
      <c r="V594" t="s">
        <v>207</v>
      </c>
      <c r="W594" t="s">
        <v>207</v>
      </c>
      <c r="X594" t="s">
        <v>207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208</v>
      </c>
      <c r="BA594">
        <v>22456422523.845001</v>
      </c>
      <c r="BB594" t="s">
        <v>4572</v>
      </c>
      <c r="BC594" t="s">
        <v>4536</v>
      </c>
    </row>
    <row r="595" spans="1:55" x14ac:dyDescent="0.25">
      <c r="A595">
        <v>161</v>
      </c>
      <c r="B595" t="s">
        <v>791</v>
      </c>
      <c r="C595" t="s">
        <v>2226</v>
      </c>
      <c r="D595" t="s">
        <v>3661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203</v>
      </c>
      <c r="K595">
        <v>147817831.40333501</v>
      </c>
      <c r="L595">
        <v>0.9</v>
      </c>
      <c r="O595" t="s">
        <v>206</v>
      </c>
      <c r="Q595" t="s">
        <v>207</v>
      </c>
      <c r="R595" t="s">
        <v>207</v>
      </c>
      <c r="S595" t="s">
        <v>207</v>
      </c>
      <c r="T595" t="s">
        <v>207</v>
      </c>
      <c r="U595" t="s">
        <v>207</v>
      </c>
      <c r="V595" t="s">
        <v>207</v>
      </c>
      <c r="W595" t="s">
        <v>207</v>
      </c>
      <c r="X595" t="s">
        <v>207</v>
      </c>
      <c r="AK595">
        <v>0</v>
      </c>
      <c r="AL595">
        <v>0.21</v>
      </c>
      <c r="AM595">
        <v>0.1462</v>
      </c>
      <c r="AO595" t="s">
        <v>4568</v>
      </c>
      <c r="AP595" t="s">
        <v>4569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209</v>
      </c>
      <c r="BA595">
        <v>78049938478.5</v>
      </c>
      <c r="BB595" t="s">
        <v>4572</v>
      </c>
      <c r="BC595" t="s">
        <v>4586</v>
      </c>
    </row>
    <row r="596" spans="1:55" x14ac:dyDescent="0.25">
      <c r="A596">
        <v>1239</v>
      </c>
      <c r="B596" t="s">
        <v>792</v>
      </c>
      <c r="C596" t="s">
        <v>2227</v>
      </c>
      <c r="D596" t="s">
        <v>3662</v>
      </c>
      <c r="E596" t="s">
        <v>93</v>
      </c>
      <c r="F596">
        <v>140860570</v>
      </c>
      <c r="G596">
        <v>24.493970000000001</v>
      </c>
      <c r="H596" t="s">
        <v>101</v>
      </c>
      <c r="I596">
        <v>3450234575.7628999</v>
      </c>
      <c r="J596" t="s">
        <v>205</v>
      </c>
      <c r="K596">
        <v>62689257.4933424</v>
      </c>
      <c r="L596">
        <v>1</v>
      </c>
      <c r="M596" t="s">
        <v>4536</v>
      </c>
      <c r="O596" t="s">
        <v>207</v>
      </c>
      <c r="Q596" t="s">
        <v>207</v>
      </c>
      <c r="R596" t="s">
        <v>207</v>
      </c>
      <c r="S596" t="s">
        <v>207</v>
      </c>
      <c r="T596" t="s">
        <v>207</v>
      </c>
      <c r="U596" t="s">
        <v>207</v>
      </c>
      <c r="V596" t="s">
        <v>207</v>
      </c>
      <c r="W596" t="s">
        <v>207</v>
      </c>
      <c r="X596" t="s">
        <v>207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210</v>
      </c>
      <c r="BA596">
        <v>3450234575.7628999</v>
      </c>
      <c r="BB596" t="s">
        <v>4572</v>
      </c>
      <c r="BC596" t="s">
        <v>4536</v>
      </c>
    </row>
    <row r="597" spans="1:55" x14ac:dyDescent="0.25">
      <c r="A597">
        <v>34</v>
      </c>
      <c r="B597" t="s">
        <v>793</v>
      </c>
      <c r="C597" t="s">
        <v>2228</v>
      </c>
      <c r="D597" t="s">
        <v>3663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202</v>
      </c>
      <c r="K597">
        <v>1005301844.71898</v>
      </c>
      <c r="L597">
        <v>1</v>
      </c>
      <c r="O597" t="s">
        <v>207</v>
      </c>
      <c r="Q597" t="s">
        <v>207</v>
      </c>
      <c r="R597" t="s">
        <v>207</v>
      </c>
      <c r="S597" t="s">
        <v>206</v>
      </c>
      <c r="T597" t="s">
        <v>207</v>
      </c>
      <c r="U597" t="s">
        <v>207</v>
      </c>
      <c r="V597" t="s">
        <v>207</v>
      </c>
      <c r="W597" t="s">
        <v>207</v>
      </c>
      <c r="X597" t="s">
        <v>207</v>
      </c>
      <c r="AA597" t="s">
        <v>4541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208</v>
      </c>
      <c r="BA597">
        <v>231254119372.056</v>
      </c>
      <c r="BB597" t="s">
        <v>4572</v>
      </c>
      <c r="BC597" t="s">
        <v>4541</v>
      </c>
    </row>
    <row r="598" spans="1:55" x14ac:dyDescent="0.25">
      <c r="A598">
        <v>737</v>
      </c>
      <c r="B598" t="s">
        <v>794</v>
      </c>
      <c r="C598" t="s">
        <v>2229</v>
      </c>
      <c r="D598" t="s">
        <v>3664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202</v>
      </c>
      <c r="K598">
        <v>196542366.67710799</v>
      </c>
      <c r="L598">
        <v>1</v>
      </c>
      <c r="M598" t="s">
        <v>4536</v>
      </c>
      <c r="O598" t="s">
        <v>207</v>
      </c>
      <c r="Q598" t="s">
        <v>207</v>
      </c>
      <c r="R598" t="s">
        <v>207</v>
      </c>
      <c r="S598" t="s">
        <v>207</v>
      </c>
      <c r="T598" t="s">
        <v>207</v>
      </c>
      <c r="U598" t="s">
        <v>207</v>
      </c>
      <c r="V598" t="s">
        <v>207</v>
      </c>
      <c r="W598" t="s">
        <v>207</v>
      </c>
      <c r="X598" t="s">
        <v>207</v>
      </c>
      <c r="AG598" t="s">
        <v>4546</v>
      </c>
      <c r="AH598" t="s">
        <v>4562</v>
      </c>
      <c r="AI598" t="s">
        <v>4565</v>
      </c>
      <c r="AJ598" t="s">
        <v>4566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208</v>
      </c>
      <c r="BA598">
        <v>15903038770.181999</v>
      </c>
      <c r="BB598" t="s">
        <v>4572</v>
      </c>
      <c r="BC598" t="s">
        <v>4578</v>
      </c>
    </row>
    <row r="599" spans="1:55" x14ac:dyDescent="0.25">
      <c r="A599">
        <v>980</v>
      </c>
      <c r="B599" t="s">
        <v>795</v>
      </c>
      <c r="C599" t="s">
        <v>2230</v>
      </c>
      <c r="D599" t="s">
        <v>3665</v>
      </c>
      <c r="E599" t="s">
        <v>93</v>
      </c>
      <c r="F599">
        <v>1392642300</v>
      </c>
      <c r="G599">
        <v>6.5807580000000003</v>
      </c>
      <c r="H599" t="s">
        <v>101</v>
      </c>
      <c r="I599">
        <v>9164641956.8633995</v>
      </c>
      <c r="J599" t="s">
        <v>205</v>
      </c>
      <c r="K599">
        <v>22713078.006694902</v>
      </c>
      <c r="L599">
        <v>0.7</v>
      </c>
      <c r="M599" t="s">
        <v>4536</v>
      </c>
      <c r="O599" t="s">
        <v>207</v>
      </c>
      <c r="Q599" t="s">
        <v>207</v>
      </c>
      <c r="R599" t="s">
        <v>207</v>
      </c>
      <c r="S599" t="s">
        <v>207</v>
      </c>
      <c r="T599" t="s">
        <v>207</v>
      </c>
      <c r="U599" t="s">
        <v>207</v>
      </c>
      <c r="V599" t="s">
        <v>207</v>
      </c>
      <c r="W599" t="s">
        <v>207</v>
      </c>
      <c r="X599" t="s">
        <v>207</v>
      </c>
      <c r="AK599">
        <v>3.9E-2</v>
      </c>
      <c r="AL599">
        <v>0.875</v>
      </c>
      <c r="AM599">
        <v>9.7000000000000003E-3</v>
      </c>
      <c r="AN599" t="s">
        <v>4567</v>
      </c>
      <c r="AO599" t="s">
        <v>4568</v>
      </c>
      <c r="AP599" t="s">
        <v>4569</v>
      </c>
      <c r="AQ599">
        <v>0</v>
      </c>
      <c r="AR599">
        <v>0</v>
      </c>
      <c r="AW599">
        <v>6010</v>
      </c>
      <c r="AX599">
        <v>2.2519999999999998</v>
      </c>
      <c r="AY599" t="s">
        <v>210</v>
      </c>
      <c r="BA599">
        <v>6415249369.8043795</v>
      </c>
      <c r="BB599" t="s">
        <v>4572</v>
      </c>
      <c r="BC599" t="s">
        <v>4576</v>
      </c>
    </row>
    <row r="600" spans="1:55" x14ac:dyDescent="0.25">
      <c r="A600">
        <v>393</v>
      </c>
      <c r="B600" t="s">
        <v>796</v>
      </c>
      <c r="C600" t="s">
        <v>2231</v>
      </c>
      <c r="D600" t="s">
        <v>3666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202</v>
      </c>
      <c r="K600">
        <v>272899243.77848101</v>
      </c>
      <c r="L600">
        <v>1</v>
      </c>
      <c r="M600" t="s">
        <v>4536</v>
      </c>
      <c r="O600" t="s">
        <v>207</v>
      </c>
      <c r="Q600" t="s">
        <v>207</v>
      </c>
      <c r="R600" t="s">
        <v>207</v>
      </c>
      <c r="S600" t="s">
        <v>207</v>
      </c>
      <c r="T600" t="s">
        <v>207</v>
      </c>
      <c r="U600" t="s">
        <v>207</v>
      </c>
      <c r="V600" t="s">
        <v>207</v>
      </c>
      <c r="W600" t="s">
        <v>207</v>
      </c>
      <c r="X600" t="s">
        <v>207</v>
      </c>
      <c r="AG600" t="s">
        <v>4546</v>
      </c>
      <c r="AH600" t="s">
        <v>4562</v>
      </c>
      <c r="AI600" t="s">
        <v>4565</v>
      </c>
      <c r="AJ600" t="s">
        <v>4566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208</v>
      </c>
      <c r="BA600">
        <v>35220450589.065002</v>
      </c>
      <c r="BB600" t="s">
        <v>4572</v>
      </c>
      <c r="BC600" t="s">
        <v>4578</v>
      </c>
    </row>
    <row r="601" spans="1:55" x14ac:dyDescent="0.25">
      <c r="A601">
        <v>1159</v>
      </c>
      <c r="B601" t="s">
        <v>797</v>
      </c>
      <c r="C601" t="s">
        <v>2232</v>
      </c>
      <c r="D601" t="s">
        <v>3667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204</v>
      </c>
      <c r="K601">
        <v>7694153.9212434096</v>
      </c>
      <c r="L601">
        <v>1</v>
      </c>
      <c r="M601" t="s">
        <v>4536</v>
      </c>
      <c r="N601" t="s">
        <v>4537</v>
      </c>
      <c r="O601" t="s">
        <v>207</v>
      </c>
      <c r="Q601" t="s">
        <v>207</v>
      </c>
      <c r="R601" t="s">
        <v>207</v>
      </c>
      <c r="S601" t="s">
        <v>207</v>
      </c>
      <c r="T601" t="s">
        <v>207</v>
      </c>
      <c r="U601" t="s">
        <v>207</v>
      </c>
      <c r="V601" t="s">
        <v>207</v>
      </c>
      <c r="W601" t="s">
        <v>207</v>
      </c>
      <c r="X601" t="s">
        <v>207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209</v>
      </c>
      <c r="AZ601" t="s">
        <v>4571</v>
      </c>
      <c r="BA601">
        <v>4056109815.414</v>
      </c>
      <c r="BB601" t="s">
        <v>4572</v>
      </c>
      <c r="BC601" t="s">
        <v>4584</v>
      </c>
    </row>
    <row r="602" spans="1:55" x14ac:dyDescent="0.25">
      <c r="A602">
        <v>853</v>
      </c>
      <c r="B602" t="s">
        <v>798</v>
      </c>
      <c r="C602" t="s">
        <v>2233</v>
      </c>
      <c r="D602" t="s">
        <v>3668</v>
      </c>
      <c r="E602" t="s">
        <v>93</v>
      </c>
      <c r="F602">
        <v>154679950</v>
      </c>
      <c r="G602">
        <v>58.516939999999998</v>
      </c>
      <c r="H602" t="s">
        <v>101</v>
      </c>
      <c r="I602">
        <v>9051397353.3530006</v>
      </c>
      <c r="J602" t="s">
        <v>205</v>
      </c>
      <c r="K602">
        <v>804472518.05465698</v>
      </c>
      <c r="L602">
        <v>1</v>
      </c>
      <c r="O602" t="s">
        <v>207</v>
      </c>
      <c r="Q602" t="s">
        <v>207</v>
      </c>
      <c r="R602" t="s">
        <v>207</v>
      </c>
      <c r="S602" t="s">
        <v>207</v>
      </c>
      <c r="T602" t="s">
        <v>207</v>
      </c>
      <c r="U602" t="s">
        <v>207</v>
      </c>
      <c r="V602" t="s">
        <v>207</v>
      </c>
      <c r="W602" t="s">
        <v>207</v>
      </c>
      <c r="X602" t="s">
        <v>207</v>
      </c>
      <c r="AK602">
        <v>0</v>
      </c>
      <c r="AL602">
        <v>0.2</v>
      </c>
      <c r="AM602">
        <v>0</v>
      </c>
      <c r="AO602" t="s">
        <v>4568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210</v>
      </c>
      <c r="BA602">
        <v>9051397353.3530006</v>
      </c>
      <c r="BB602" t="s">
        <v>4572</v>
      </c>
      <c r="BC602" t="s">
        <v>4568</v>
      </c>
    </row>
    <row r="603" spans="1:55" x14ac:dyDescent="0.25">
      <c r="A603">
        <v>200</v>
      </c>
      <c r="B603" t="s">
        <v>799</v>
      </c>
      <c r="C603" t="s">
        <v>2234</v>
      </c>
      <c r="D603" t="s">
        <v>3669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202</v>
      </c>
      <c r="K603">
        <v>230804020.99896199</v>
      </c>
      <c r="L603">
        <v>0.9</v>
      </c>
      <c r="O603" t="s">
        <v>207</v>
      </c>
      <c r="Q603" t="s">
        <v>207</v>
      </c>
      <c r="R603" t="s">
        <v>207</v>
      </c>
      <c r="S603" t="s">
        <v>207</v>
      </c>
      <c r="T603" t="s">
        <v>207</v>
      </c>
      <c r="U603" t="s">
        <v>207</v>
      </c>
      <c r="V603" t="s">
        <v>207</v>
      </c>
      <c r="W603" t="s">
        <v>207</v>
      </c>
      <c r="X603" t="s">
        <v>207</v>
      </c>
      <c r="AG603" t="s">
        <v>4546</v>
      </c>
      <c r="AH603" t="s">
        <v>4564</v>
      </c>
      <c r="AI603" t="s">
        <v>4565</v>
      </c>
      <c r="AJ603" t="s">
        <v>4566</v>
      </c>
      <c r="AK603">
        <v>0</v>
      </c>
      <c r="AL603">
        <v>0.05</v>
      </c>
      <c r="AM603">
        <v>0</v>
      </c>
      <c r="AO603" t="s">
        <v>4568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208</v>
      </c>
      <c r="BA603">
        <v>66771467190</v>
      </c>
      <c r="BB603" t="s">
        <v>4572</v>
      </c>
      <c r="BC603" t="s">
        <v>4573</v>
      </c>
    </row>
    <row r="604" spans="1:55" x14ac:dyDescent="0.25">
      <c r="A604">
        <v>866</v>
      </c>
      <c r="B604" t="s">
        <v>800</v>
      </c>
      <c r="C604" t="s">
        <v>2235</v>
      </c>
      <c r="D604" t="s">
        <v>3670</v>
      </c>
      <c r="E604" t="s">
        <v>96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203</v>
      </c>
      <c r="K604">
        <v>12425239.6464286</v>
      </c>
      <c r="L604">
        <v>1</v>
      </c>
      <c r="M604" t="s">
        <v>4536</v>
      </c>
      <c r="O604" t="s">
        <v>207</v>
      </c>
      <c r="Q604" t="s">
        <v>207</v>
      </c>
      <c r="R604" t="s">
        <v>207</v>
      </c>
      <c r="S604" t="s">
        <v>207</v>
      </c>
      <c r="T604" t="s">
        <v>207</v>
      </c>
      <c r="U604" t="s">
        <v>207</v>
      </c>
      <c r="V604" t="s">
        <v>207</v>
      </c>
      <c r="W604" t="s">
        <v>207</v>
      </c>
      <c r="X604" t="s">
        <v>207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209</v>
      </c>
      <c r="BA604">
        <v>8810047250.9500008</v>
      </c>
      <c r="BB604" t="s">
        <v>4572</v>
      </c>
      <c r="BC604" t="s">
        <v>4536</v>
      </c>
    </row>
    <row r="605" spans="1:55" x14ac:dyDescent="0.25">
      <c r="A605">
        <v>1014</v>
      </c>
      <c r="B605" t="s">
        <v>801</v>
      </c>
      <c r="C605" t="s">
        <v>2236</v>
      </c>
      <c r="D605" t="s">
        <v>3671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204</v>
      </c>
      <c r="K605">
        <v>8445044.0097403806</v>
      </c>
      <c r="L605">
        <v>1</v>
      </c>
      <c r="M605" t="s">
        <v>4536</v>
      </c>
      <c r="N605" t="s">
        <v>4537</v>
      </c>
      <c r="O605" t="s">
        <v>207</v>
      </c>
      <c r="Q605" t="s">
        <v>207</v>
      </c>
      <c r="R605" t="s">
        <v>207</v>
      </c>
      <c r="S605" t="s">
        <v>207</v>
      </c>
      <c r="T605" t="s">
        <v>207</v>
      </c>
      <c r="U605" t="s">
        <v>207</v>
      </c>
      <c r="V605" t="s">
        <v>207</v>
      </c>
      <c r="W605" t="s">
        <v>207</v>
      </c>
      <c r="X605" t="s">
        <v>207</v>
      </c>
      <c r="AK605">
        <v>0</v>
      </c>
      <c r="AL605">
        <v>0.25</v>
      </c>
      <c r="AM605">
        <v>0</v>
      </c>
      <c r="AO605" t="s">
        <v>4568</v>
      </c>
      <c r="AQ605">
        <v>0</v>
      </c>
      <c r="AR605">
        <v>0</v>
      </c>
      <c r="AW605">
        <v>5020</v>
      </c>
      <c r="AX605">
        <v>2.7109999999999999</v>
      </c>
      <c r="AY605" t="s">
        <v>209</v>
      </c>
      <c r="BA605">
        <v>5900917543.4201994</v>
      </c>
      <c r="BB605" t="s">
        <v>4572</v>
      </c>
      <c r="BC605" t="s">
        <v>4579</v>
      </c>
    </row>
    <row r="606" spans="1:55" x14ac:dyDescent="0.25">
      <c r="A606">
        <v>511</v>
      </c>
      <c r="B606" t="s">
        <v>802</v>
      </c>
      <c r="C606" t="s">
        <v>2237</v>
      </c>
      <c r="D606" t="s">
        <v>3672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204</v>
      </c>
      <c r="K606">
        <v>43289020.3249387</v>
      </c>
      <c r="L606">
        <v>0.95</v>
      </c>
      <c r="M606" t="s">
        <v>4536</v>
      </c>
      <c r="O606" t="s">
        <v>207</v>
      </c>
      <c r="Q606" t="s">
        <v>207</v>
      </c>
      <c r="R606" t="s">
        <v>207</v>
      </c>
      <c r="S606" t="s">
        <v>207</v>
      </c>
      <c r="T606" t="s">
        <v>207</v>
      </c>
      <c r="U606" t="s">
        <v>207</v>
      </c>
      <c r="V606" t="s">
        <v>207</v>
      </c>
      <c r="W606" t="s">
        <v>207</v>
      </c>
      <c r="X606" t="s">
        <v>207</v>
      </c>
      <c r="AG606" t="s">
        <v>4546</v>
      </c>
      <c r="AH606" t="s">
        <v>4564</v>
      </c>
      <c r="AI606" t="s">
        <v>4565</v>
      </c>
      <c r="AJ606" t="s">
        <v>4566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209</v>
      </c>
      <c r="BA606">
        <v>25600992725.535</v>
      </c>
      <c r="BB606" t="s">
        <v>4572</v>
      </c>
      <c r="BC606" t="s">
        <v>4578</v>
      </c>
    </row>
    <row r="607" spans="1:55" x14ac:dyDescent="0.25">
      <c r="A607">
        <v>1269</v>
      </c>
      <c r="B607" t="s">
        <v>803</v>
      </c>
      <c r="C607" t="s">
        <v>2238</v>
      </c>
      <c r="D607" t="s">
        <v>3673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204</v>
      </c>
      <c r="K607">
        <v>5000939.9610535298</v>
      </c>
      <c r="L607">
        <v>1</v>
      </c>
      <c r="M607" t="s">
        <v>4536</v>
      </c>
      <c r="N607" t="s">
        <v>4537</v>
      </c>
      <c r="O607" t="s">
        <v>207</v>
      </c>
      <c r="Q607" t="s">
        <v>207</v>
      </c>
      <c r="R607" t="s">
        <v>207</v>
      </c>
      <c r="S607" t="s">
        <v>207</v>
      </c>
      <c r="T607" t="s">
        <v>207</v>
      </c>
      <c r="U607" t="s">
        <v>207</v>
      </c>
      <c r="V607" t="s">
        <v>207</v>
      </c>
      <c r="W607" t="s">
        <v>207</v>
      </c>
      <c r="X607" t="s">
        <v>207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209</v>
      </c>
      <c r="AZ607" t="s">
        <v>4571</v>
      </c>
      <c r="BA607">
        <v>3238137694.94628</v>
      </c>
      <c r="BB607" t="s">
        <v>4572</v>
      </c>
      <c r="BC607" t="s">
        <v>4584</v>
      </c>
    </row>
    <row r="608" spans="1:55" x14ac:dyDescent="0.25">
      <c r="A608">
        <v>1398</v>
      </c>
      <c r="B608" t="s">
        <v>804</v>
      </c>
      <c r="C608" t="s">
        <v>2239</v>
      </c>
      <c r="D608" t="s">
        <v>3674</v>
      </c>
      <c r="E608" t="s">
        <v>94</v>
      </c>
      <c r="F608">
        <v>1863889000</v>
      </c>
      <c r="G608">
        <v>1.6890240000000001</v>
      </c>
      <c r="H608" t="s">
        <v>102</v>
      </c>
      <c r="I608">
        <v>3148153254.336</v>
      </c>
      <c r="J608" t="s">
        <v>205</v>
      </c>
      <c r="K608">
        <v>8843726.9646651205</v>
      </c>
      <c r="L608">
        <v>0.8</v>
      </c>
      <c r="N608" t="s">
        <v>4537</v>
      </c>
      <c r="O608" t="s">
        <v>207</v>
      </c>
      <c r="Q608" t="s">
        <v>207</v>
      </c>
      <c r="R608" t="s">
        <v>207</v>
      </c>
      <c r="S608" t="s">
        <v>207</v>
      </c>
      <c r="T608" t="s">
        <v>207</v>
      </c>
      <c r="U608" t="s">
        <v>207</v>
      </c>
      <c r="V608" t="s">
        <v>207</v>
      </c>
      <c r="W608" t="s">
        <v>207</v>
      </c>
      <c r="X608" t="s">
        <v>207</v>
      </c>
      <c r="AK608">
        <v>0.14299999999999999</v>
      </c>
      <c r="AL608">
        <v>0.15</v>
      </c>
      <c r="AM608">
        <v>0</v>
      </c>
      <c r="AN608" t="s">
        <v>4567</v>
      </c>
      <c r="AO608" t="s">
        <v>4568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210</v>
      </c>
      <c r="BA608">
        <v>2518522603.4688001</v>
      </c>
      <c r="BB608" t="s">
        <v>4572</v>
      </c>
      <c r="BC608" t="s">
        <v>4629</v>
      </c>
    </row>
    <row r="609" spans="1:55" x14ac:dyDescent="0.25">
      <c r="A609">
        <v>208</v>
      </c>
      <c r="B609" t="s">
        <v>182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203</v>
      </c>
      <c r="K609">
        <v>95493793.569292098</v>
      </c>
      <c r="L609">
        <v>0.4</v>
      </c>
      <c r="O609" t="s">
        <v>207</v>
      </c>
      <c r="Q609" t="s">
        <v>207</v>
      </c>
      <c r="R609" t="s">
        <v>207</v>
      </c>
      <c r="S609" t="s">
        <v>207</v>
      </c>
      <c r="T609" t="s">
        <v>207</v>
      </c>
      <c r="U609" t="s">
        <v>207</v>
      </c>
      <c r="V609" t="s">
        <v>207</v>
      </c>
      <c r="W609" t="s">
        <v>207</v>
      </c>
      <c r="X609" t="s">
        <v>207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209</v>
      </c>
      <c r="BA609">
        <v>65374892352</v>
      </c>
      <c r="BB609" t="s">
        <v>211</v>
      </c>
    </row>
    <row r="610" spans="1:55" x14ac:dyDescent="0.25">
      <c r="A610">
        <v>1041</v>
      </c>
      <c r="B610" t="s">
        <v>805</v>
      </c>
      <c r="C610" t="s">
        <v>2240</v>
      </c>
      <c r="D610" t="s">
        <v>3675</v>
      </c>
      <c r="E610" t="s">
        <v>4519</v>
      </c>
      <c r="F610">
        <v>193522170</v>
      </c>
      <c r="G610">
        <v>36.138719999999999</v>
      </c>
      <c r="H610" t="s">
        <v>4530</v>
      </c>
      <c r="I610">
        <v>6993643515.4224005</v>
      </c>
      <c r="J610" t="s">
        <v>204</v>
      </c>
      <c r="K610">
        <v>10409530.8630605</v>
      </c>
      <c r="L610">
        <v>0.8</v>
      </c>
      <c r="M610" t="s">
        <v>4536</v>
      </c>
      <c r="O610" t="s">
        <v>207</v>
      </c>
      <c r="Q610" t="s">
        <v>207</v>
      </c>
      <c r="R610" t="s">
        <v>207</v>
      </c>
      <c r="S610" t="s">
        <v>207</v>
      </c>
      <c r="T610" t="s">
        <v>207</v>
      </c>
      <c r="U610" t="s">
        <v>207</v>
      </c>
      <c r="V610" t="s">
        <v>207</v>
      </c>
      <c r="W610" t="s">
        <v>207</v>
      </c>
      <c r="X610" t="s">
        <v>207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209</v>
      </c>
      <c r="BA610">
        <v>5594914812.3379202</v>
      </c>
      <c r="BB610" t="s">
        <v>4572</v>
      </c>
      <c r="BC610" t="s">
        <v>4536</v>
      </c>
    </row>
    <row r="611" spans="1:55" x14ac:dyDescent="0.25">
      <c r="A611">
        <v>906</v>
      </c>
      <c r="B611" t="s">
        <v>806</v>
      </c>
      <c r="C611" t="s">
        <v>2241</v>
      </c>
      <c r="D611" t="s">
        <v>3676</v>
      </c>
      <c r="E611" t="s">
        <v>4519</v>
      </c>
      <c r="F611">
        <v>364323000</v>
      </c>
      <c r="G611">
        <v>28.684380000000001</v>
      </c>
      <c r="H611" t="s">
        <v>4530</v>
      </c>
      <c r="I611">
        <v>10450379374.74</v>
      </c>
      <c r="J611" t="s">
        <v>204</v>
      </c>
      <c r="K611">
        <v>7406705.8083766503</v>
      </c>
      <c r="L611">
        <v>0.75</v>
      </c>
      <c r="M611" t="s">
        <v>4536</v>
      </c>
      <c r="N611" t="s">
        <v>4537</v>
      </c>
      <c r="O611" t="s">
        <v>207</v>
      </c>
      <c r="Q611" t="s">
        <v>207</v>
      </c>
      <c r="R611" t="s">
        <v>207</v>
      </c>
      <c r="S611" t="s">
        <v>207</v>
      </c>
      <c r="T611" t="s">
        <v>207</v>
      </c>
      <c r="U611" t="s">
        <v>207</v>
      </c>
      <c r="V611" t="s">
        <v>207</v>
      </c>
      <c r="W611" t="s">
        <v>207</v>
      </c>
      <c r="X611" t="s">
        <v>207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209</v>
      </c>
      <c r="BA611">
        <v>7837784531.0550003</v>
      </c>
      <c r="BB611" t="s">
        <v>4572</v>
      </c>
      <c r="BC611" t="s">
        <v>4575</v>
      </c>
    </row>
    <row r="612" spans="1:55" x14ac:dyDescent="0.25">
      <c r="A612">
        <v>272</v>
      </c>
      <c r="B612" t="s">
        <v>807</v>
      </c>
      <c r="C612" t="s">
        <v>2242</v>
      </c>
      <c r="D612" t="s">
        <v>3677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203</v>
      </c>
      <c r="K612">
        <v>140800741.44135201</v>
      </c>
      <c r="L612">
        <v>1</v>
      </c>
      <c r="M612" t="s">
        <v>4536</v>
      </c>
      <c r="O612" t="s">
        <v>207</v>
      </c>
      <c r="Q612" t="s">
        <v>207</v>
      </c>
      <c r="R612" t="s">
        <v>207</v>
      </c>
      <c r="S612" t="s">
        <v>207</v>
      </c>
      <c r="T612" t="s">
        <v>207</v>
      </c>
      <c r="U612" t="s">
        <v>207</v>
      </c>
      <c r="V612" t="s">
        <v>207</v>
      </c>
      <c r="W612" t="s">
        <v>207</v>
      </c>
      <c r="X612" t="s">
        <v>207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209</v>
      </c>
      <c r="BA612">
        <v>50297551166.5</v>
      </c>
      <c r="BB612" t="s">
        <v>4572</v>
      </c>
      <c r="BC612" t="s">
        <v>4536</v>
      </c>
    </row>
    <row r="613" spans="1:55" x14ac:dyDescent="0.25">
      <c r="A613">
        <v>760</v>
      </c>
      <c r="B613" t="s">
        <v>808</v>
      </c>
      <c r="C613" t="s">
        <v>2243</v>
      </c>
      <c r="D613" t="s">
        <v>3678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204</v>
      </c>
      <c r="K613">
        <v>18648977.796000201</v>
      </c>
      <c r="L613">
        <v>1</v>
      </c>
      <c r="M613" t="s">
        <v>4536</v>
      </c>
      <c r="O613" t="s">
        <v>207</v>
      </c>
      <c r="Q613" t="s">
        <v>207</v>
      </c>
      <c r="R613" t="s">
        <v>207</v>
      </c>
      <c r="S613" t="s">
        <v>207</v>
      </c>
      <c r="T613" t="s">
        <v>207</v>
      </c>
      <c r="U613" t="s">
        <v>207</v>
      </c>
      <c r="V613" t="s">
        <v>207</v>
      </c>
      <c r="W613" t="s">
        <v>207</v>
      </c>
      <c r="X613" t="s">
        <v>207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209</v>
      </c>
      <c r="BA613">
        <v>14193884947.823999</v>
      </c>
      <c r="BB613" t="s">
        <v>4572</v>
      </c>
      <c r="BC613" t="s">
        <v>4536</v>
      </c>
    </row>
    <row r="614" spans="1:55" x14ac:dyDescent="0.25">
      <c r="A614">
        <v>1022</v>
      </c>
      <c r="B614" t="s">
        <v>809</v>
      </c>
      <c r="C614" t="s">
        <v>2244</v>
      </c>
      <c r="D614" t="s">
        <v>3679</v>
      </c>
      <c r="E614" t="s">
        <v>4525</v>
      </c>
      <c r="F614">
        <v>968086100</v>
      </c>
      <c r="G614">
        <v>5.9512590000000003</v>
      </c>
      <c r="H614" t="s">
        <v>4533</v>
      </c>
      <c r="I614">
        <v>5761331115.3999004</v>
      </c>
      <c r="J614" t="s">
        <v>205</v>
      </c>
      <c r="K614">
        <v>16321763.213241201</v>
      </c>
      <c r="L614">
        <v>1</v>
      </c>
      <c r="M614" t="s">
        <v>4536</v>
      </c>
      <c r="O614" t="s">
        <v>207</v>
      </c>
      <c r="Q614" t="s">
        <v>207</v>
      </c>
      <c r="R614" t="s">
        <v>207</v>
      </c>
      <c r="S614" t="s">
        <v>207</v>
      </c>
      <c r="T614" t="s">
        <v>207</v>
      </c>
      <c r="U614" t="s">
        <v>207</v>
      </c>
      <c r="V614" t="s">
        <v>207</v>
      </c>
      <c r="W614" t="s">
        <v>207</v>
      </c>
      <c r="X614" t="s">
        <v>207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210</v>
      </c>
      <c r="BA614">
        <v>5761331115.3999004</v>
      </c>
      <c r="BB614" t="s">
        <v>4572</v>
      </c>
      <c r="BC614" t="s">
        <v>4536</v>
      </c>
    </row>
    <row r="615" spans="1:55" x14ac:dyDescent="0.25">
      <c r="A615">
        <v>264</v>
      </c>
      <c r="B615" t="s">
        <v>810</v>
      </c>
      <c r="C615" t="s">
        <v>2245</v>
      </c>
      <c r="D615" t="s">
        <v>3680</v>
      </c>
      <c r="E615" t="s">
        <v>96</v>
      </c>
      <c r="F615">
        <v>3147391173</v>
      </c>
      <c r="G615">
        <v>16.564</v>
      </c>
      <c r="H615" t="s">
        <v>99</v>
      </c>
      <c r="I615">
        <v>52133387389.571999</v>
      </c>
      <c r="J615" t="s">
        <v>203</v>
      </c>
      <c r="K615">
        <v>157598776.08198401</v>
      </c>
      <c r="L615">
        <v>1</v>
      </c>
      <c r="M615" t="s">
        <v>4536</v>
      </c>
      <c r="O615" t="s">
        <v>207</v>
      </c>
      <c r="Q615" t="s">
        <v>207</v>
      </c>
      <c r="R615" t="s">
        <v>207</v>
      </c>
      <c r="S615" t="s">
        <v>207</v>
      </c>
      <c r="T615" t="s">
        <v>207</v>
      </c>
      <c r="U615" t="s">
        <v>207</v>
      </c>
      <c r="V615" t="s">
        <v>207</v>
      </c>
      <c r="W615" t="s">
        <v>207</v>
      </c>
      <c r="X615" t="s">
        <v>207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209</v>
      </c>
      <c r="AZ615" t="s">
        <v>4571</v>
      </c>
      <c r="BA615">
        <v>52133387389.571999</v>
      </c>
      <c r="BB615" t="s">
        <v>4572</v>
      </c>
      <c r="BC615" t="s">
        <v>4577</v>
      </c>
    </row>
    <row r="616" spans="1:55" x14ac:dyDescent="0.25">
      <c r="A616">
        <v>416</v>
      </c>
      <c r="B616" t="s">
        <v>811</v>
      </c>
      <c r="C616" t="s">
        <v>2246</v>
      </c>
      <c r="D616" t="s">
        <v>3681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202</v>
      </c>
      <c r="K616">
        <v>199553257.16242501</v>
      </c>
      <c r="L616">
        <v>1</v>
      </c>
      <c r="M616" t="s">
        <v>4536</v>
      </c>
      <c r="O616" t="s">
        <v>207</v>
      </c>
      <c r="Q616" t="s">
        <v>207</v>
      </c>
      <c r="R616" t="s">
        <v>207</v>
      </c>
      <c r="S616" t="s">
        <v>207</v>
      </c>
      <c r="T616" t="s">
        <v>207</v>
      </c>
      <c r="U616" t="s">
        <v>207</v>
      </c>
      <c r="V616" t="s">
        <v>207</v>
      </c>
      <c r="W616" t="s">
        <v>207</v>
      </c>
      <c r="X616" t="s">
        <v>207</v>
      </c>
      <c r="AG616" t="s">
        <v>4546</v>
      </c>
      <c r="AH616" t="s">
        <v>4564</v>
      </c>
      <c r="AI616" t="s">
        <v>4565</v>
      </c>
      <c r="AJ616" t="s">
        <v>4566</v>
      </c>
      <c r="AK616">
        <v>0</v>
      </c>
      <c r="AL616">
        <v>0.1</v>
      </c>
      <c r="AM616">
        <v>0</v>
      </c>
      <c r="AO616" t="s">
        <v>4568</v>
      </c>
      <c r="AQ616">
        <v>0</v>
      </c>
      <c r="AR616">
        <v>0</v>
      </c>
      <c r="AW616">
        <v>5020</v>
      </c>
      <c r="AX616">
        <v>2.6320000000000001</v>
      </c>
      <c r="AY616" t="s">
        <v>208</v>
      </c>
      <c r="BA616">
        <v>32265939471.8475</v>
      </c>
      <c r="BB616" t="s">
        <v>4572</v>
      </c>
      <c r="BC616" t="s">
        <v>4616</v>
      </c>
    </row>
    <row r="617" spans="1:55" x14ac:dyDescent="0.25">
      <c r="A617">
        <v>1435</v>
      </c>
      <c r="B617" t="s">
        <v>812</v>
      </c>
      <c r="C617" t="s">
        <v>2247</v>
      </c>
      <c r="D617" t="s">
        <v>3682</v>
      </c>
      <c r="E617" t="s">
        <v>92</v>
      </c>
      <c r="F617">
        <v>627344670</v>
      </c>
      <c r="G617">
        <v>5.54</v>
      </c>
      <c r="H617" t="s">
        <v>99</v>
      </c>
      <c r="I617">
        <v>3475489471.8000002</v>
      </c>
      <c r="J617" t="s">
        <v>4535</v>
      </c>
      <c r="K617">
        <v>6522431.2524444396</v>
      </c>
      <c r="L617">
        <v>0.65</v>
      </c>
      <c r="M617" t="s">
        <v>4536</v>
      </c>
      <c r="N617" t="s">
        <v>4537</v>
      </c>
      <c r="O617" t="s">
        <v>207</v>
      </c>
      <c r="Q617" t="s">
        <v>207</v>
      </c>
      <c r="R617" t="s">
        <v>207</v>
      </c>
      <c r="S617" t="s">
        <v>207</v>
      </c>
      <c r="T617" t="s">
        <v>207</v>
      </c>
      <c r="U617" t="s">
        <v>207</v>
      </c>
      <c r="V617" t="s">
        <v>207</v>
      </c>
      <c r="W617" t="s">
        <v>207</v>
      </c>
      <c r="X617" t="s">
        <v>207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209</v>
      </c>
      <c r="BA617">
        <v>2259068156.6700001</v>
      </c>
      <c r="BB617" t="s">
        <v>4572</v>
      </c>
      <c r="BC617" t="s">
        <v>4575</v>
      </c>
    </row>
    <row r="618" spans="1:55" x14ac:dyDescent="0.25">
      <c r="A618">
        <v>789</v>
      </c>
      <c r="B618" t="s">
        <v>813</v>
      </c>
      <c r="C618" t="s">
        <v>2248</v>
      </c>
      <c r="D618" t="s">
        <v>3683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15420627225.339001</v>
      </c>
      <c r="J618" t="s">
        <v>205</v>
      </c>
      <c r="K618">
        <v>82630145.024667397</v>
      </c>
      <c r="L618">
        <v>0.8</v>
      </c>
      <c r="M618" t="s">
        <v>4536</v>
      </c>
      <c r="O618" t="s">
        <v>207</v>
      </c>
      <c r="Q618" t="s">
        <v>207</v>
      </c>
      <c r="R618" t="s">
        <v>207</v>
      </c>
      <c r="S618" t="s">
        <v>207</v>
      </c>
      <c r="T618" t="s">
        <v>207</v>
      </c>
      <c r="U618" t="s">
        <v>207</v>
      </c>
      <c r="V618" t="s">
        <v>207</v>
      </c>
      <c r="W618" t="s">
        <v>207</v>
      </c>
      <c r="X618" t="s">
        <v>207</v>
      </c>
      <c r="AK618">
        <v>0</v>
      </c>
      <c r="AL618">
        <v>0.996</v>
      </c>
      <c r="AM618">
        <v>4.0000000000000001E-3</v>
      </c>
      <c r="AO618" t="s">
        <v>4568</v>
      </c>
      <c r="AP618" t="s">
        <v>4569</v>
      </c>
      <c r="AQ618">
        <v>0</v>
      </c>
      <c r="AR618">
        <v>0</v>
      </c>
      <c r="AW618">
        <v>6010</v>
      </c>
      <c r="AX618">
        <v>2.4180000000000001</v>
      </c>
      <c r="AY618" t="s">
        <v>210</v>
      </c>
      <c r="BA618">
        <v>12336501780.2712</v>
      </c>
      <c r="BB618" t="s">
        <v>4572</v>
      </c>
      <c r="BC618" t="s">
        <v>4595</v>
      </c>
    </row>
    <row r="619" spans="1:55" x14ac:dyDescent="0.25">
      <c r="A619">
        <v>1231</v>
      </c>
      <c r="B619" t="s">
        <v>814</v>
      </c>
      <c r="C619" t="s">
        <v>2249</v>
      </c>
      <c r="D619" t="s">
        <v>3684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203</v>
      </c>
      <c r="K619">
        <v>7745434.1676984103</v>
      </c>
      <c r="L619">
        <v>0.4</v>
      </c>
      <c r="N619" t="s">
        <v>4537</v>
      </c>
      <c r="O619" t="s">
        <v>207</v>
      </c>
      <c r="Q619" t="s">
        <v>207</v>
      </c>
      <c r="R619" t="s">
        <v>207</v>
      </c>
      <c r="S619" t="s">
        <v>207</v>
      </c>
      <c r="T619" t="s">
        <v>207</v>
      </c>
      <c r="U619" t="s">
        <v>207</v>
      </c>
      <c r="V619" t="s">
        <v>207</v>
      </c>
      <c r="W619" t="s">
        <v>207</v>
      </c>
      <c r="X619" t="s">
        <v>207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209</v>
      </c>
      <c r="BA619">
        <v>3492000000</v>
      </c>
      <c r="BB619" t="s">
        <v>4572</v>
      </c>
      <c r="BC619" t="s">
        <v>4537</v>
      </c>
    </row>
    <row r="620" spans="1:55" x14ac:dyDescent="0.25">
      <c r="A620">
        <v>645</v>
      </c>
      <c r="B620" t="s">
        <v>815</v>
      </c>
      <c r="C620" t="s">
        <v>2250</v>
      </c>
      <c r="D620" t="s">
        <v>3685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202</v>
      </c>
      <c r="K620">
        <v>146317266.118613</v>
      </c>
      <c r="L620">
        <v>1</v>
      </c>
      <c r="M620" t="s">
        <v>4536</v>
      </c>
      <c r="O620" t="s">
        <v>207</v>
      </c>
      <c r="Q620" t="s">
        <v>207</v>
      </c>
      <c r="R620" t="s">
        <v>207</v>
      </c>
      <c r="S620" t="s">
        <v>207</v>
      </c>
      <c r="T620" t="s">
        <v>207</v>
      </c>
      <c r="U620" t="s">
        <v>207</v>
      </c>
      <c r="V620" t="s">
        <v>207</v>
      </c>
      <c r="W620" t="s">
        <v>207</v>
      </c>
      <c r="X620" t="s">
        <v>207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208</v>
      </c>
      <c r="BA620">
        <v>18995641729.323002</v>
      </c>
      <c r="BB620" t="s">
        <v>4572</v>
      </c>
      <c r="BC620" t="s">
        <v>4536</v>
      </c>
    </row>
    <row r="621" spans="1:55" x14ac:dyDescent="0.25">
      <c r="A621">
        <v>806</v>
      </c>
      <c r="B621" t="s">
        <v>816</v>
      </c>
      <c r="C621" t="s">
        <v>2251</v>
      </c>
      <c r="D621" t="s">
        <v>3686</v>
      </c>
      <c r="E621" t="s">
        <v>94</v>
      </c>
      <c r="F621">
        <v>2365284000</v>
      </c>
      <c r="G621">
        <v>4.7560969999999996</v>
      </c>
      <c r="H621" t="s">
        <v>102</v>
      </c>
      <c r="I621">
        <v>11249520136.548</v>
      </c>
      <c r="J621" t="s">
        <v>205</v>
      </c>
      <c r="K621">
        <v>24595500.902713802</v>
      </c>
      <c r="L621">
        <v>1</v>
      </c>
      <c r="M621" t="s">
        <v>4536</v>
      </c>
      <c r="O621" t="s">
        <v>207</v>
      </c>
      <c r="Q621" t="s">
        <v>207</v>
      </c>
      <c r="R621" t="s">
        <v>207</v>
      </c>
      <c r="S621" t="s">
        <v>207</v>
      </c>
      <c r="T621" t="s">
        <v>207</v>
      </c>
      <c r="U621" t="s">
        <v>207</v>
      </c>
      <c r="V621" t="s">
        <v>207</v>
      </c>
      <c r="W621" t="s">
        <v>207</v>
      </c>
      <c r="X621" t="s">
        <v>207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210</v>
      </c>
      <c r="BA621">
        <v>11249520136.548</v>
      </c>
      <c r="BB621" t="s">
        <v>4572</v>
      </c>
      <c r="BC621" t="s">
        <v>4536</v>
      </c>
    </row>
    <row r="622" spans="1:55" x14ac:dyDescent="0.25">
      <c r="A622">
        <v>450</v>
      </c>
      <c r="B622" t="s">
        <v>817</v>
      </c>
      <c r="C622" t="s">
        <v>2252</v>
      </c>
      <c r="D622" t="s">
        <v>3687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202</v>
      </c>
      <c r="K622">
        <v>48395542.947795101</v>
      </c>
      <c r="L622">
        <v>0.9</v>
      </c>
      <c r="M622" t="s">
        <v>4536</v>
      </c>
      <c r="O622" t="s">
        <v>207</v>
      </c>
      <c r="Q622" t="s">
        <v>207</v>
      </c>
      <c r="R622" t="s">
        <v>207</v>
      </c>
      <c r="S622" t="s">
        <v>207</v>
      </c>
      <c r="T622" t="s">
        <v>207</v>
      </c>
      <c r="U622" t="s">
        <v>207</v>
      </c>
      <c r="V622" t="s">
        <v>207</v>
      </c>
      <c r="W622" t="s">
        <v>207</v>
      </c>
      <c r="X622" t="s">
        <v>207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208</v>
      </c>
      <c r="BA622">
        <v>29988010408.2309</v>
      </c>
      <c r="BB622" t="s">
        <v>4572</v>
      </c>
      <c r="BC622" t="s">
        <v>4536</v>
      </c>
    </row>
    <row r="623" spans="1:55" x14ac:dyDescent="0.25">
      <c r="A623">
        <v>118</v>
      </c>
      <c r="B623" t="s">
        <v>177</v>
      </c>
      <c r="C623" t="s">
        <v>23</v>
      </c>
      <c r="D623" t="s">
        <v>63</v>
      </c>
      <c r="E623" t="s">
        <v>90</v>
      </c>
      <c r="F623">
        <v>4330000000</v>
      </c>
      <c r="G623">
        <v>23.787659999999999</v>
      </c>
      <c r="H623" t="s">
        <v>98</v>
      </c>
      <c r="I623">
        <v>103000567800</v>
      </c>
      <c r="J623" t="s">
        <v>202</v>
      </c>
      <c r="K623">
        <v>1847730055.9807899</v>
      </c>
      <c r="L623">
        <v>1</v>
      </c>
      <c r="O623" t="s">
        <v>207</v>
      </c>
      <c r="Q623" t="s">
        <v>207</v>
      </c>
      <c r="R623" t="s">
        <v>207</v>
      </c>
      <c r="S623" t="s">
        <v>207</v>
      </c>
      <c r="T623" t="s">
        <v>207</v>
      </c>
      <c r="U623" t="s">
        <v>207</v>
      </c>
      <c r="V623" t="s">
        <v>207</v>
      </c>
      <c r="W623" t="s">
        <v>207</v>
      </c>
      <c r="X623" t="s">
        <v>207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208</v>
      </c>
      <c r="BA623">
        <v>103000567800</v>
      </c>
      <c r="BB623" t="s">
        <v>211</v>
      </c>
    </row>
    <row r="624" spans="1:55" x14ac:dyDescent="0.25">
      <c r="A624">
        <v>556</v>
      </c>
      <c r="B624" t="s">
        <v>818</v>
      </c>
      <c r="C624" t="s">
        <v>2253</v>
      </c>
      <c r="D624" t="s">
        <v>3688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202</v>
      </c>
      <c r="K624">
        <v>285757635.822209</v>
      </c>
      <c r="L624">
        <v>1</v>
      </c>
      <c r="M624" t="s">
        <v>4536</v>
      </c>
      <c r="O624" t="s">
        <v>207</v>
      </c>
      <c r="Q624" t="s">
        <v>207</v>
      </c>
      <c r="R624" t="s">
        <v>207</v>
      </c>
      <c r="S624" t="s">
        <v>207</v>
      </c>
      <c r="T624" t="s">
        <v>207</v>
      </c>
      <c r="U624" t="s">
        <v>207</v>
      </c>
      <c r="V624" t="s">
        <v>207</v>
      </c>
      <c r="W624" t="s">
        <v>207</v>
      </c>
      <c r="X624" t="s">
        <v>207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208</v>
      </c>
      <c r="AZ624" t="s">
        <v>4571</v>
      </c>
      <c r="BA624">
        <v>22778669396.882</v>
      </c>
      <c r="BB624" t="s">
        <v>4572</v>
      </c>
      <c r="BC624" t="s">
        <v>4577</v>
      </c>
    </row>
    <row r="625" spans="1:55" x14ac:dyDescent="0.25">
      <c r="A625">
        <v>128</v>
      </c>
      <c r="B625" t="s">
        <v>819</v>
      </c>
      <c r="C625" t="s">
        <v>2254</v>
      </c>
      <c r="D625" t="s">
        <v>3689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202</v>
      </c>
      <c r="K625">
        <v>441671933.60388702</v>
      </c>
      <c r="L625">
        <v>1</v>
      </c>
      <c r="M625" t="s">
        <v>4536</v>
      </c>
      <c r="O625" t="s">
        <v>207</v>
      </c>
      <c r="Q625" t="s">
        <v>207</v>
      </c>
      <c r="R625" t="s">
        <v>207</v>
      </c>
      <c r="S625" t="s">
        <v>207</v>
      </c>
      <c r="T625" t="s">
        <v>207</v>
      </c>
      <c r="U625" t="s">
        <v>207</v>
      </c>
      <c r="V625" t="s">
        <v>207</v>
      </c>
      <c r="W625" t="s">
        <v>207</v>
      </c>
      <c r="X625" t="s">
        <v>207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208</v>
      </c>
      <c r="BA625">
        <v>92254610973.070007</v>
      </c>
      <c r="BB625" t="s">
        <v>4572</v>
      </c>
      <c r="BC625" t="s">
        <v>4536</v>
      </c>
    </row>
    <row r="626" spans="1:55" x14ac:dyDescent="0.25">
      <c r="A626">
        <v>673</v>
      </c>
      <c r="B626" t="s">
        <v>820</v>
      </c>
      <c r="C626" t="s">
        <v>2255</v>
      </c>
      <c r="D626" t="s">
        <v>3690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204</v>
      </c>
      <c r="K626">
        <v>32247793.982799198</v>
      </c>
      <c r="L626">
        <v>0.95</v>
      </c>
      <c r="M626" t="s">
        <v>4536</v>
      </c>
      <c r="O626" t="s">
        <v>207</v>
      </c>
      <c r="Q626" t="s">
        <v>207</v>
      </c>
      <c r="R626" t="s">
        <v>207</v>
      </c>
      <c r="S626" t="s">
        <v>207</v>
      </c>
      <c r="T626" t="s">
        <v>207</v>
      </c>
      <c r="U626" t="s">
        <v>207</v>
      </c>
      <c r="V626" t="s">
        <v>207</v>
      </c>
      <c r="W626" t="s">
        <v>207</v>
      </c>
      <c r="X626" t="s">
        <v>207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209</v>
      </c>
      <c r="BA626">
        <v>17984391984.924999</v>
      </c>
      <c r="BB626" t="s">
        <v>4572</v>
      </c>
      <c r="BC626" t="s">
        <v>4536</v>
      </c>
    </row>
    <row r="627" spans="1:55" x14ac:dyDescent="0.25">
      <c r="A627">
        <v>882</v>
      </c>
      <c r="B627" t="s">
        <v>821</v>
      </c>
      <c r="C627" t="s">
        <v>2256</v>
      </c>
      <c r="D627" t="s">
        <v>3691</v>
      </c>
      <c r="E627" t="s">
        <v>91</v>
      </c>
      <c r="F627">
        <v>290636470</v>
      </c>
      <c r="G627">
        <v>28.9421</v>
      </c>
      <c r="H627" t="s">
        <v>100</v>
      </c>
      <c r="I627">
        <v>8411629778.3870001</v>
      </c>
      <c r="J627" t="s">
        <v>204</v>
      </c>
      <c r="K627">
        <v>15022768.651234301</v>
      </c>
      <c r="L627">
        <v>1</v>
      </c>
      <c r="O627" t="s">
        <v>207</v>
      </c>
      <c r="Q627" t="s">
        <v>207</v>
      </c>
      <c r="R627" t="s">
        <v>207</v>
      </c>
      <c r="S627" t="s">
        <v>207</v>
      </c>
      <c r="T627" t="s">
        <v>207</v>
      </c>
      <c r="U627" t="s">
        <v>207</v>
      </c>
      <c r="V627" t="s">
        <v>207</v>
      </c>
      <c r="W627" t="s">
        <v>207</v>
      </c>
      <c r="X627" t="s">
        <v>207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209</v>
      </c>
      <c r="BA627">
        <v>8411629778.3870001</v>
      </c>
      <c r="BB627" t="s">
        <v>211</v>
      </c>
    </row>
    <row r="628" spans="1:55" x14ac:dyDescent="0.25">
      <c r="A628">
        <v>475</v>
      </c>
      <c r="B628" t="s">
        <v>822</v>
      </c>
      <c r="C628" t="s">
        <v>2257</v>
      </c>
      <c r="D628" t="s">
        <v>3692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202</v>
      </c>
      <c r="K628">
        <v>428530850.38432002</v>
      </c>
      <c r="L628">
        <v>1</v>
      </c>
      <c r="M628" t="s">
        <v>4536</v>
      </c>
      <c r="O628" t="s">
        <v>207</v>
      </c>
      <c r="Q628" t="s">
        <v>207</v>
      </c>
      <c r="R628" t="s">
        <v>207</v>
      </c>
      <c r="S628" t="s">
        <v>207</v>
      </c>
      <c r="T628" t="s">
        <v>207</v>
      </c>
      <c r="U628" t="s">
        <v>207</v>
      </c>
      <c r="V628" t="s">
        <v>207</v>
      </c>
      <c r="W628" t="s">
        <v>207</v>
      </c>
      <c r="X628" t="s">
        <v>207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208</v>
      </c>
      <c r="BA628">
        <v>27959387680.223999</v>
      </c>
      <c r="BB628" t="s">
        <v>4572</v>
      </c>
      <c r="BC628" t="s">
        <v>4536</v>
      </c>
    </row>
    <row r="629" spans="1:55" x14ac:dyDescent="0.25">
      <c r="A629">
        <v>1468</v>
      </c>
      <c r="B629" t="s">
        <v>823</v>
      </c>
      <c r="C629" t="s">
        <v>2258</v>
      </c>
      <c r="D629" t="s">
        <v>3693</v>
      </c>
      <c r="E629" t="s">
        <v>93</v>
      </c>
      <c r="F629">
        <v>183184890</v>
      </c>
      <c r="G629">
        <v>16.231259999999999</v>
      </c>
      <c r="H629" t="s">
        <v>101</v>
      </c>
      <c r="I629">
        <v>2973321577.6613998</v>
      </c>
      <c r="J629" t="s">
        <v>205</v>
      </c>
      <c r="K629">
        <v>8578285.1859303806</v>
      </c>
      <c r="L629">
        <v>0.7</v>
      </c>
      <c r="M629" t="s">
        <v>4536</v>
      </c>
      <c r="N629" t="s">
        <v>4537</v>
      </c>
      <c r="O629" t="s">
        <v>207</v>
      </c>
      <c r="Q629" t="s">
        <v>207</v>
      </c>
      <c r="R629" t="s">
        <v>207</v>
      </c>
      <c r="S629" t="s">
        <v>207</v>
      </c>
      <c r="T629" t="s">
        <v>207</v>
      </c>
      <c r="U629" t="s">
        <v>207</v>
      </c>
      <c r="V629" t="s">
        <v>207</v>
      </c>
      <c r="W629" t="s">
        <v>207</v>
      </c>
      <c r="X629" t="s">
        <v>207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210</v>
      </c>
      <c r="BA629">
        <v>2081325104.3629799</v>
      </c>
      <c r="BB629" t="s">
        <v>4572</v>
      </c>
      <c r="BC629" t="s">
        <v>4575</v>
      </c>
    </row>
    <row r="630" spans="1:55" x14ac:dyDescent="0.25">
      <c r="A630">
        <v>1297</v>
      </c>
      <c r="B630" t="s">
        <v>824</v>
      </c>
      <c r="C630" t="s">
        <v>2259</v>
      </c>
      <c r="D630" t="s">
        <v>3694</v>
      </c>
      <c r="E630" t="s">
        <v>4517</v>
      </c>
      <c r="F630">
        <v>108879294</v>
      </c>
      <c r="G630">
        <v>37.86</v>
      </c>
      <c r="H630" t="s">
        <v>99</v>
      </c>
      <c r="I630">
        <v>4122170070.8400002</v>
      </c>
      <c r="J630" t="s">
        <v>203</v>
      </c>
      <c r="K630">
        <v>10342821.648360699</v>
      </c>
      <c r="L630">
        <v>0.75</v>
      </c>
      <c r="M630" t="s">
        <v>4536</v>
      </c>
      <c r="O630" t="s">
        <v>207</v>
      </c>
      <c r="Q630" t="s">
        <v>207</v>
      </c>
      <c r="R630" t="s">
        <v>207</v>
      </c>
      <c r="S630" t="s">
        <v>207</v>
      </c>
      <c r="T630" t="s">
        <v>207</v>
      </c>
      <c r="U630" t="s">
        <v>207</v>
      </c>
      <c r="V630" t="s">
        <v>207</v>
      </c>
      <c r="W630" t="s">
        <v>207</v>
      </c>
      <c r="X630" t="s">
        <v>207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209</v>
      </c>
      <c r="BA630">
        <v>3091627553.1300001</v>
      </c>
      <c r="BB630" t="s">
        <v>4572</v>
      </c>
      <c r="BC630" t="s">
        <v>4536</v>
      </c>
    </row>
    <row r="631" spans="1:55" x14ac:dyDescent="0.25">
      <c r="A631">
        <v>826</v>
      </c>
      <c r="B631" t="s">
        <v>825</v>
      </c>
      <c r="C631" t="s">
        <v>2260</v>
      </c>
      <c r="D631" t="s">
        <v>3695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204</v>
      </c>
      <c r="K631">
        <v>15425814.2587307</v>
      </c>
      <c r="L631">
        <v>1</v>
      </c>
      <c r="M631" t="s">
        <v>4536</v>
      </c>
      <c r="O631" t="s">
        <v>207</v>
      </c>
      <c r="Q631" t="s">
        <v>207</v>
      </c>
      <c r="R631" t="s">
        <v>207</v>
      </c>
      <c r="S631" t="s">
        <v>207</v>
      </c>
      <c r="T631" t="s">
        <v>207</v>
      </c>
      <c r="U631" t="s">
        <v>207</v>
      </c>
      <c r="V631" t="s">
        <v>207</v>
      </c>
      <c r="W631" t="s">
        <v>207</v>
      </c>
      <c r="X631" t="s">
        <v>207</v>
      </c>
      <c r="AK631">
        <v>0.01</v>
      </c>
      <c r="AL631">
        <v>0.1</v>
      </c>
      <c r="AM631">
        <v>0</v>
      </c>
      <c r="AN631" t="s">
        <v>4567</v>
      </c>
      <c r="AO631" t="s">
        <v>4568</v>
      </c>
      <c r="AQ631">
        <v>0</v>
      </c>
      <c r="AR631">
        <v>0</v>
      </c>
      <c r="AW631">
        <v>5020</v>
      </c>
      <c r="AX631">
        <v>2.2000000000000002</v>
      </c>
      <c r="AY631" t="s">
        <v>209</v>
      </c>
      <c r="BA631">
        <v>10253299093.174801</v>
      </c>
      <c r="BB631" t="s">
        <v>4572</v>
      </c>
      <c r="BC631" t="s">
        <v>4599</v>
      </c>
    </row>
    <row r="632" spans="1:55" x14ac:dyDescent="0.25">
      <c r="A632">
        <v>173</v>
      </c>
      <c r="B632" t="s">
        <v>826</v>
      </c>
      <c r="C632" t="s">
        <v>2261</v>
      </c>
      <c r="D632" t="s">
        <v>3696</v>
      </c>
      <c r="E632" t="s">
        <v>4517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203</v>
      </c>
      <c r="K632">
        <v>260212884.25246701</v>
      </c>
      <c r="L632">
        <v>0.9</v>
      </c>
      <c r="M632" t="s">
        <v>4536</v>
      </c>
      <c r="O632" t="s">
        <v>207</v>
      </c>
      <c r="Q632" t="s">
        <v>207</v>
      </c>
      <c r="R632" t="s">
        <v>207</v>
      </c>
      <c r="S632" t="s">
        <v>207</v>
      </c>
      <c r="T632" t="s">
        <v>207</v>
      </c>
      <c r="U632" t="s">
        <v>207</v>
      </c>
      <c r="V632" t="s">
        <v>207</v>
      </c>
      <c r="W632" t="s">
        <v>207</v>
      </c>
      <c r="X632" t="s">
        <v>207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209</v>
      </c>
      <c r="BA632">
        <v>72433343249.793457</v>
      </c>
      <c r="BB632" t="s">
        <v>4572</v>
      </c>
      <c r="BC632" t="s">
        <v>4536</v>
      </c>
    </row>
    <row r="633" spans="1:55" x14ac:dyDescent="0.25">
      <c r="A633">
        <v>756</v>
      </c>
      <c r="B633" t="s">
        <v>827</v>
      </c>
      <c r="C633" t="s">
        <v>2262</v>
      </c>
      <c r="D633" t="s">
        <v>3697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204</v>
      </c>
      <c r="K633">
        <v>65258978.541418999</v>
      </c>
      <c r="L633">
        <v>0.75</v>
      </c>
      <c r="M633" t="s">
        <v>4536</v>
      </c>
      <c r="O633" t="s">
        <v>207</v>
      </c>
      <c r="Q633" t="s">
        <v>207</v>
      </c>
      <c r="R633" t="s">
        <v>207</v>
      </c>
      <c r="S633" t="s">
        <v>207</v>
      </c>
      <c r="T633" t="s">
        <v>207</v>
      </c>
      <c r="U633" t="s">
        <v>207</v>
      </c>
      <c r="V633" t="s">
        <v>207</v>
      </c>
      <c r="W633" t="s">
        <v>207</v>
      </c>
      <c r="X633" t="s">
        <v>207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209</v>
      </c>
      <c r="BA633">
        <v>14225925336.11865</v>
      </c>
      <c r="BB633" t="s">
        <v>4572</v>
      </c>
      <c r="BC633" t="s">
        <v>4536</v>
      </c>
    </row>
    <row r="634" spans="1:55" x14ac:dyDescent="0.25">
      <c r="A634">
        <v>685</v>
      </c>
      <c r="B634" t="s">
        <v>828</v>
      </c>
      <c r="C634" t="s">
        <v>2263</v>
      </c>
      <c r="D634" t="s">
        <v>3698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202</v>
      </c>
      <c r="K634">
        <v>118013362.82400601</v>
      </c>
      <c r="L634">
        <v>0.9</v>
      </c>
      <c r="O634" t="s">
        <v>207</v>
      </c>
      <c r="Q634" t="s">
        <v>207</v>
      </c>
      <c r="R634" t="s">
        <v>207</v>
      </c>
      <c r="S634" t="s">
        <v>207</v>
      </c>
      <c r="T634" t="s">
        <v>207</v>
      </c>
      <c r="U634" t="s">
        <v>207</v>
      </c>
      <c r="V634" t="s">
        <v>207</v>
      </c>
      <c r="W634" t="s">
        <v>207</v>
      </c>
      <c r="X634" t="s">
        <v>207</v>
      </c>
      <c r="AG634" t="s">
        <v>4546</v>
      </c>
      <c r="AH634" t="s">
        <v>4564</v>
      </c>
      <c r="AI634" t="s">
        <v>4565</v>
      </c>
      <c r="AJ634" t="s">
        <v>4566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208</v>
      </c>
      <c r="BA634">
        <v>17583754516.880402</v>
      </c>
      <c r="BB634" t="s">
        <v>4572</v>
      </c>
      <c r="BC634" t="s">
        <v>4581</v>
      </c>
    </row>
    <row r="635" spans="1:55" x14ac:dyDescent="0.25">
      <c r="A635">
        <v>72</v>
      </c>
      <c r="B635" t="s">
        <v>829</v>
      </c>
      <c r="C635" t="s">
        <v>2264</v>
      </c>
      <c r="D635" t="s">
        <v>3699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202</v>
      </c>
      <c r="K635">
        <v>1016872750.92915</v>
      </c>
      <c r="L635">
        <v>1</v>
      </c>
      <c r="M635" t="s">
        <v>4536</v>
      </c>
      <c r="O635" t="s">
        <v>207</v>
      </c>
      <c r="Q635" t="s">
        <v>207</v>
      </c>
      <c r="R635" t="s">
        <v>207</v>
      </c>
      <c r="S635" t="s">
        <v>207</v>
      </c>
      <c r="T635" t="s">
        <v>207</v>
      </c>
      <c r="U635" t="s">
        <v>207</v>
      </c>
      <c r="V635" t="s">
        <v>207</v>
      </c>
      <c r="W635" t="s">
        <v>207</v>
      </c>
      <c r="X635" t="s">
        <v>207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208</v>
      </c>
      <c r="BA635">
        <v>151396013564.224</v>
      </c>
      <c r="BB635" t="s">
        <v>4572</v>
      </c>
      <c r="BC635" t="s">
        <v>4536</v>
      </c>
    </row>
    <row r="636" spans="1:55" x14ac:dyDescent="0.25">
      <c r="A636">
        <v>47</v>
      </c>
      <c r="B636" t="s">
        <v>830</v>
      </c>
      <c r="C636" t="s">
        <v>2265</v>
      </c>
      <c r="D636" t="s">
        <v>3700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202</v>
      </c>
      <c r="K636">
        <v>831050399.02778101</v>
      </c>
      <c r="L636">
        <v>1</v>
      </c>
      <c r="M636" t="s">
        <v>4536</v>
      </c>
      <c r="O636" t="s">
        <v>207</v>
      </c>
      <c r="Q636" t="s">
        <v>207</v>
      </c>
      <c r="R636" t="s">
        <v>207</v>
      </c>
      <c r="S636" t="s">
        <v>207</v>
      </c>
      <c r="T636" t="s">
        <v>207</v>
      </c>
      <c r="U636" t="s">
        <v>207</v>
      </c>
      <c r="V636" t="s">
        <v>207</v>
      </c>
      <c r="W636" t="s">
        <v>207</v>
      </c>
      <c r="X636" t="s">
        <v>207</v>
      </c>
      <c r="AG636" t="s">
        <v>4546</v>
      </c>
      <c r="AH636" t="s">
        <v>4562</v>
      </c>
      <c r="AI636" t="s">
        <v>4565</v>
      </c>
      <c r="AJ636" t="s">
        <v>4566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208</v>
      </c>
      <c r="BA636">
        <v>201880423690.33499</v>
      </c>
      <c r="BB636" t="s">
        <v>4572</v>
      </c>
      <c r="BC636" t="s">
        <v>4578</v>
      </c>
    </row>
    <row r="637" spans="1:55" x14ac:dyDescent="0.25">
      <c r="A637">
        <v>1145</v>
      </c>
      <c r="B637" t="s">
        <v>831</v>
      </c>
      <c r="C637" t="s">
        <v>2266</v>
      </c>
      <c r="D637" t="s">
        <v>3701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204</v>
      </c>
      <c r="K637">
        <v>4694759.4826976797</v>
      </c>
      <c r="L637">
        <v>1</v>
      </c>
      <c r="M637" t="s">
        <v>4536</v>
      </c>
      <c r="N637" t="s">
        <v>4537</v>
      </c>
      <c r="O637" t="s">
        <v>207</v>
      </c>
      <c r="Q637" t="s">
        <v>207</v>
      </c>
      <c r="R637" t="s">
        <v>207</v>
      </c>
      <c r="S637" t="s">
        <v>207</v>
      </c>
      <c r="T637" t="s">
        <v>207</v>
      </c>
      <c r="U637" t="s">
        <v>207</v>
      </c>
      <c r="V637" t="s">
        <v>207</v>
      </c>
      <c r="W637" t="s">
        <v>207</v>
      </c>
      <c r="X637" t="s">
        <v>207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209</v>
      </c>
      <c r="AZ637" t="s">
        <v>4571</v>
      </c>
      <c r="BA637">
        <v>4172809756.2435002</v>
      </c>
      <c r="BB637" t="s">
        <v>4572</v>
      </c>
      <c r="BC637" t="s">
        <v>4584</v>
      </c>
    </row>
    <row r="638" spans="1:55" x14ac:dyDescent="0.25">
      <c r="A638">
        <v>255</v>
      </c>
      <c r="B638" t="s">
        <v>832</v>
      </c>
      <c r="C638" t="s">
        <v>2267</v>
      </c>
      <c r="D638" t="s">
        <v>3702</v>
      </c>
      <c r="E638" t="s">
        <v>4519</v>
      </c>
      <c r="F638">
        <v>1821936800</v>
      </c>
      <c r="G638">
        <v>28.96313</v>
      </c>
      <c r="H638" t="s">
        <v>4530</v>
      </c>
      <c r="I638">
        <v>52768992390.183998</v>
      </c>
      <c r="J638" t="s">
        <v>204</v>
      </c>
      <c r="K638">
        <v>71973486.503936604</v>
      </c>
      <c r="L638">
        <v>1</v>
      </c>
      <c r="M638" t="s">
        <v>4536</v>
      </c>
      <c r="O638" t="s">
        <v>207</v>
      </c>
      <c r="Q638" t="s">
        <v>207</v>
      </c>
      <c r="R638" t="s">
        <v>207</v>
      </c>
      <c r="S638" t="s">
        <v>207</v>
      </c>
      <c r="T638" t="s">
        <v>207</v>
      </c>
      <c r="U638" t="s">
        <v>207</v>
      </c>
      <c r="V638" t="s">
        <v>207</v>
      </c>
      <c r="W638" t="s">
        <v>207</v>
      </c>
      <c r="X638" t="s">
        <v>207</v>
      </c>
      <c r="AG638" t="s">
        <v>4546</v>
      </c>
      <c r="AH638" t="s">
        <v>4562</v>
      </c>
      <c r="AI638" t="s">
        <v>4565</v>
      </c>
      <c r="AJ638" t="s">
        <v>4566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209</v>
      </c>
      <c r="BA638">
        <v>52768992390.183998</v>
      </c>
      <c r="BB638" t="s">
        <v>4572</v>
      </c>
      <c r="BC638" t="s">
        <v>4578</v>
      </c>
    </row>
    <row r="639" spans="1:55" x14ac:dyDescent="0.25">
      <c r="A639">
        <v>1287</v>
      </c>
      <c r="B639" t="s">
        <v>833</v>
      </c>
      <c r="C639" t="s">
        <v>2268</v>
      </c>
      <c r="D639" t="s">
        <v>3703</v>
      </c>
      <c r="E639" t="s">
        <v>93</v>
      </c>
      <c r="F639">
        <v>7646453</v>
      </c>
      <c r="G639">
        <v>410.5779</v>
      </c>
      <c r="H639" t="s">
        <v>101</v>
      </c>
      <c r="I639">
        <v>3139464615.1887002</v>
      </c>
      <c r="J639" t="s">
        <v>205</v>
      </c>
      <c r="K639">
        <v>9809432.2295934409</v>
      </c>
      <c r="L639">
        <v>1</v>
      </c>
      <c r="M639" t="s">
        <v>4536</v>
      </c>
      <c r="N639" t="s">
        <v>4537</v>
      </c>
      <c r="O639" t="s">
        <v>207</v>
      </c>
      <c r="Q639" t="s">
        <v>207</v>
      </c>
      <c r="R639" t="s">
        <v>207</v>
      </c>
      <c r="S639" t="s">
        <v>207</v>
      </c>
      <c r="T639" t="s">
        <v>207</v>
      </c>
      <c r="U639" t="s">
        <v>207</v>
      </c>
      <c r="V639" t="s">
        <v>207</v>
      </c>
      <c r="W639" t="s">
        <v>207</v>
      </c>
      <c r="X639" t="s">
        <v>207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210</v>
      </c>
      <c r="BA639">
        <v>3139464615.1887002</v>
      </c>
      <c r="BB639" t="s">
        <v>4572</v>
      </c>
      <c r="BC639" t="s">
        <v>4575</v>
      </c>
    </row>
    <row r="640" spans="1:55" x14ac:dyDescent="0.25">
      <c r="A640">
        <v>704</v>
      </c>
      <c r="B640" t="s">
        <v>834</v>
      </c>
      <c r="C640" t="s">
        <v>2269</v>
      </c>
      <c r="D640" t="s">
        <v>3704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202</v>
      </c>
      <c r="K640">
        <v>90196198.498944104</v>
      </c>
      <c r="L640">
        <v>0.9</v>
      </c>
      <c r="M640" t="s">
        <v>4536</v>
      </c>
      <c r="O640" t="s">
        <v>207</v>
      </c>
      <c r="Q640" t="s">
        <v>207</v>
      </c>
      <c r="R640" t="s">
        <v>207</v>
      </c>
      <c r="S640" t="s">
        <v>207</v>
      </c>
      <c r="T640" t="s">
        <v>207</v>
      </c>
      <c r="U640" t="s">
        <v>207</v>
      </c>
      <c r="V640" t="s">
        <v>207</v>
      </c>
      <c r="W640" t="s">
        <v>207</v>
      </c>
      <c r="X640" t="s">
        <v>207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208</v>
      </c>
      <c r="AZ640" t="s">
        <v>4571</v>
      </c>
      <c r="BA640">
        <v>16817205543.08445</v>
      </c>
      <c r="BB640" t="s">
        <v>4572</v>
      </c>
      <c r="BC640" t="s">
        <v>4577</v>
      </c>
    </row>
    <row r="641" spans="1:55" x14ac:dyDescent="0.25">
      <c r="A641">
        <v>1300</v>
      </c>
      <c r="B641" t="s">
        <v>835</v>
      </c>
      <c r="C641" t="s">
        <v>2270</v>
      </c>
      <c r="D641" t="s">
        <v>3705</v>
      </c>
      <c r="E641" t="s">
        <v>4517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203</v>
      </c>
      <c r="K641">
        <v>11490417.005327901</v>
      </c>
      <c r="L641">
        <v>0.35</v>
      </c>
      <c r="M641" t="s">
        <v>4536</v>
      </c>
      <c r="O641" t="s">
        <v>207</v>
      </c>
      <c r="Q641" t="s">
        <v>207</v>
      </c>
      <c r="R641" t="s">
        <v>207</v>
      </c>
      <c r="S641" t="s">
        <v>207</v>
      </c>
      <c r="T641" t="s">
        <v>207</v>
      </c>
      <c r="U641" t="s">
        <v>207</v>
      </c>
      <c r="V641" t="s">
        <v>207</v>
      </c>
      <c r="W641" t="s">
        <v>207</v>
      </c>
      <c r="X641" t="s">
        <v>207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209</v>
      </c>
      <c r="BA641">
        <v>3082226208.0749998</v>
      </c>
      <c r="BB641" t="s">
        <v>4572</v>
      </c>
      <c r="BC641" t="s">
        <v>4536</v>
      </c>
    </row>
    <row r="642" spans="1:55" x14ac:dyDescent="0.25">
      <c r="A642">
        <v>441</v>
      </c>
      <c r="B642" t="s">
        <v>836</v>
      </c>
      <c r="C642" t="s">
        <v>2271</v>
      </c>
      <c r="D642" t="s">
        <v>3706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202</v>
      </c>
      <c r="K642">
        <v>269278010.48428798</v>
      </c>
      <c r="L642">
        <v>0.95</v>
      </c>
      <c r="M642" t="s">
        <v>4536</v>
      </c>
      <c r="O642" t="s">
        <v>207</v>
      </c>
      <c r="Q642" t="s">
        <v>207</v>
      </c>
      <c r="R642" t="s">
        <v>207</v>
      </c>
      <c r="S642" t="s">
        <v>207</v>
      </c>
      <c r="T642" t="s">
        <v>207</v>
      </c>
      <c r="U642" t="s">
        <v>207</v>
      </c>
      <c r="V642" t="s">
        <v>207</v>
      </c>
      <c r="W642" t="s">
        <v>207</v>
      </c>
      <c r="X642" t="s">
        <v>207</v>
      </c>
      <c r="AG642" t="s">
        <v>4546</v>
      </c>
      <c r="AH642" t="s">
        <v>4562</v>
      </c>
      <c r="AI642" t="s">
        <v>4565</v>
      </c>
      <c r="AJ642" t="s">
        <v>4566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208</v>
      </c>
      <c r="BA642">
        <v>30569146170</v>
      </c>
      <c r="BB642" t="s">
        <v>4572</v>
      </c>
      <c r="BC642" t="s">
        <v>4578</v>
      </c>
    </row>
    <row r="643" spans="1:55" x14ac:dyDescent="0.25">
      <c r="A643">
        <v>507</v>
      </c>
      <c r="B643" t="s">
        <v>837</v>
      </c>
      <c r="C643" t="s">
        <v>2272</v>
      </c>
      <c r="D643" t="s">
        <v>3707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202</v>
      </c>
      <c r="K643">
        <v>197051227.162646</v>
      </c>
      <c r="L643">
        <v>1</v>
      </c>
      <c r="M643" t="s">
        <v>4536</v>
      </c>
      <c r="O643" t="s">
        <v>207</v>
      </c>
      <c r="Q643" t="s">
        <v>207</v>
      </c>
      <c r="R643" t="s">
        <v>207</v>
      </c>
      <c r="S643" t="s">
        <v>207</v>
      </c>
      <c r="T643" t="s">
        <v>207</v>
      </c>
      <c r="U643" t="s">
        <v>207</v>
      </c>
      <c r="V643" t="s">
        <v>207</v>
      </c>
      <c r="W643" t="s">
        <v>207</v>
      </c>
      <c r="X643" t="s">
        <v>207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208</v>
      </c>
      <c r="BA643">
        <v>25786262274.765999</v>
      </c>
      <c r="BB643" t="s">
        <v>4572</v>
      </c>
      <c r="BC643" t="s">
        <v>4536</v>
      </c>
    </row>
    <row r="644" spans="1:55" x14ac:dyDescent="0.25">
      <c r="A644">
        <v>1039</v>
      </c>
      <c r="B644" t="s">
        <v>838</v>
      </c>
      <c r="C644" t="s">
        <v>2273</v>
      </c>
      <c r="D644" t="s">
        <v>3708</v>
      </c>
      <c r="E644" t="s">
        <v>93</v>
      </c>
      <c r="F644">
        <v>384452360</v>
      </c>
      <c r="G644">
        <v>14.58447</v>
      </c>
      <c r="H644" t="s">
        <v>101</v>
      </c>
      <c r="I644">
        <v>5607033910.8492002</v>
      </c>
      <c r="J644" t="s">
        <v>205</v>
      </c>
      <c r="K644">
        <v>53760349.339290902</v>
      </c>
      <c r="L644">
        <v>1</v>
      </c>
      <c r="M644" t="s">
        <v>4536</v>
      </c>
      <c r="O644" t="s">
        <v>207</v>
      </c>
      <c r="Q644" t="s">
        <v>207</v>
      </c>
      <c r="R644" t="s">
        <v>207</v>
      </c>
      <c r="S644" t="s">
        <v>207</v>
      </c>
      <c r="T644" t="s">
        <v>207</v>
      </c>
      <c r="U644" t="s">
        <v>207</v>
      </c>
      <c r="V644" t="s">
        <v>207</v>
      </c>
      <c r="W644" t="s">
        <v>207</v>
      </c>
      <c r="X644" t="s">
        <v>207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210</v>
      </c>
      <c r="BA644">
        <v>5607033910.8492002</v>
      </c>
      <c r="BB644" t="s">
        <v>4572</v>
      </c>
      <c r="BC644" t="s">
        <v>4536</v>
      </c>
    </row>
    <row r="645" spans="1:55" x14ac:dyDescent="0.25">
      <c r="A645">
        <v>1282</v>
      </c>
      <c r="B645" t="s">
        <v>839</v>
      </c>
      <c r="C645" t="s">
        <v>2274</v>
      </c>
      <c r="D645" t="s">
        <v>3709</v>
      </c>
      <c r="E645" t="s">
        <v>4523</v>
      </c>
      <c r="F645">
        <v>185668230</v>
      </c>
      <c r="G645">
        <v>22.72052</v>
      </c>
      <c r="H645" t="s">
        <v>4532</v>
      </c>
      <c r="I645">
        <v>4218478733.0795999</v>
      </c>
      <c r="J645" t="s">
        <v>204</v>
      </c>
      <c r="K645">
        <v>10254797.4187051</v>
      </c>
      <c r="L645">
        <v>0.75</v>
      </c>
      <c r="M645" t="s">
        <v>4536</v>
      </c>
      <c r="O645" t="s">
        <v>207</v>
      </c>
      <c r="Q645" t="s">
        <v>207</v>
      </c>
      <c r="R645" t="s">
        <v>207</v>
      </c>
      <c r="S645" t="s">
        <v>207</v>
      </c>
      <c r="T645" t="s">
        <v>207</v>
      </c>
      <c r="U645" t="s">
        <v>207</v>
      </c>
      <c r="V645" t="s">
        <v>207</v>
      </c>
      <c r="W645" t="s">
        <v>207</v>
      </c>
      <c r="X645" t="s">
        <v>207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209</v>
      </c>
      <c r="BA645">
        <v>3163859049.8097</v>
      </c>
      <c r="BB645" t="s">
        <v>4572</v>
      </c>
      <c r="BC645" t="s">
        <v>4536</v>
      </c>
    </row>
    <row r="646" spans="1:55" x14ac:dyDescent="0.25">
      <c r="A646">
        <v>915</v>
      </c>
      <c r="B646" t="s">
        <v>840</v>
      </c>
      <c r="C646" t="s">
        <v>2275</v>
      </c>
      <c r="D646" t="s">
        <v>3710</v>
      </c>
      <c r="E646" t="s">
        <v>93</v>
      </c>
      <c r="F646">
        <v>750873500</v>
      </c>
      <c r="G646">
        <v>12.710649999999999</v>
      </c>
      <c r="H646" t="s">
        <v>101</v>
      </c>
      <c r="I646">
        <v>9544090252.7749996</v>
      </c>
      <c r="J646" t="s">
        <v>205</v>
      </c>
      <c r="K646">
        <v>28329201.745855302</v>
      </c>
      <c r="L646">
        <v>0.8</v>
      </c>
      <c r="M646" t="s">
        <v>4536</v>
      </c>
      <c r="O646" t="s">
        <v>207</v>
      </c>
      <c r="Q646" t="s">
        <v>207</v>
      </c>
      <c r="R646" t="s">
        <v>207</v>
      </c>
      <c r="S646" t="s">
        <v>207</v>
      </c>
      <c r="T646" t="s">
        <v>207</v>
      </c>
      <c r="U646" t="s">
        <v>207</v>
      </c>
      <c r="V646" t="s">
        <v>207</v>
      </c>
      <c r="W646" t="s">
        <v>207</v>
      </c>
      <c r="X646" t="s">
        <v>207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210</v>
      </c>
      <c r="BA646">
        <v>7635272202.2200003</v>
      </c>
      <c r="BB646" t="s">
        <v>4572</v>
      </c>
      <c r="BC646" t="s">
        <v>4536</v>
      </c>
    </row>
    <row r="647" spans="1:55" x14ac:dyDescent="0.25">
      <c r="A647">
        <v>1345</v>
      </c>
      <c r="B647" t="s">
        <v>841</v>
      </c>
      <c r="C647" t="s">
        <v>2276</v>
      </c>
      <c r="D647" t="s">
        <v>3711</v>
      </c>
      <c r="E647" t="s">
        <v>4517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203</v>
      </c>
      <c r="K647">
        <v>13776096.4077459</v>
      </c>
      <c r="L647">
        <v>0.60000000000000009</v>
      </c>
      <c r="M647" t="s">
        <v>4536</v>
      </c>
      <c r="O647" t="s">
        <v>207</v>
      </c>
      <c r="Q647" t="s">
        <v>207</v>
      </c>
      <c r="R647" t="s">
        <v>207</v>
      </c>
      <c r="S647" t="s">
        <v>207</v>
      </c>
      <c r="T647" t="s">
        <v>207</v>
      </c>
      <c r="U647" t="s">
        <v>207</v>
      </c>
      <c r="V647" t="s">
        <v>207</v>
      </c>
      <c r="W647" t="s">
        <v>207</v>
      </c>
      <c r="X647" t="s">
        <v>207</v>
      </c>
      <c r="AK647">
        <v>0</v>
      </c>
      <c r="AL647">
        <v>0.55600000000000005</v>
      </c>
      <c r="AM647">
        <v>0</v>
      </c>
      <c r="AO647" t="s">
        <v>4568</v>
      </c>
      <c r="AQ647">
        <v>0</v>
      </c>
      <c r="AR647">
        <v>0</v>
      </c>
      <c r="AW647">
        <v>6510</v>
      </c>
      <c r="AX647">
        <v>3.16</v>
      </c>
      <c r="AY647" t="s">
        <v>209</v>
      </c>
      <c r="BA647">
        <v>2885785160.7150002</v>
      </c>
      <c r="BB647" t="s">
        <v>4572</v>
      </c>
      <c r="BC647" t="s">
        <v>4582</v>
      </c>
    </row>
    <row r="648" spans="1:55" x14ac:dyDescent="0.25">
      <c r="A648">
        <v>276</v>
      </c>
      <c r="B648" t="s">
        <v>842</v>
      </c>
      <c r="C648" t="s">
        <v>2277</v>
      </c>
      <c r="D648" t="s">
        <v>3712</v>
      </c>
      <c r="E648" t="s">
        <v>93</v>
      </c>
      <c r="F648">
        <v>1584889500</v>
      </c>
      <c r="G648">
        <v>39.273499999999999</v>
      </c>
      <c r="H648" t="s">
        <v>101</v>
      </c>
      <c r="I648">
        <v>62244157778.25</v>
      </c>
      <c r="J648" t="s">
        <v>205</v>
      </c>
      <c r="K648">
        <v>131701578.448525</v>
      </c>
      <c r="L648">
        <v>0.8</v>
      </c>
      <c r="M648" t="s">
        <v>4536</v>
      </c>
      <c r="O648" t="s">
        <v>207</v>
      </c>
      <c r="Q648" t="s">
        <v>207</v>
      </c>
      <c r="R648" t="s">
        <v>207</v>
      </c>
      <c r="S648" t="s">
        <v>207</v>
      </c>
      <c r="T648" t="s">
        <v>207</v>
      </c>
      <c r="U648" t="s">
        <v>207</v>
      </c>
      <c r="V648" t="s">
        <v>207</v>
      </c>
      <c r="W648" t="s">
        <v>207</v>
      </c>
      <c r="X648" t="s">
        <v>207</v>
      </c>
      <c r="AG648" t="s">
        <v>4549</v>
      </c>
      <c r="AH648" t="s">
        <v>4564</v>
      </c>
      <c r="AI648" t="s">
        <v>4565</v>
      </c>
      <c r="AJ648" t="s">
        <v>4566</v>
      </c>
      <c r="AK648">
        <v>1.24E-2</v>
      </c>
      <c r="AL648">
        <v>0.15</v>
      </c>
      <c r="AM648">
        <v>8.3000000000000001E-3</v>
      </c>
      <c r="AN648" t="s">
        <v>4567</v>
      </c>
      <c r="AO648" t="s">
        <v>4568</v>
      </c>
      <c r="AP648" t="s">
        <v>4569</v>
      </c>
      <c r="AQ648">
        <v>0</v>
      </c>
      <c r="AR648">
        <v>0.01</v>
      </c>
      <c r="AW648">
        <v>5020</v>
      </c>
      <c r="AX648">
        <v>2.0529999999999999</v>
      </c>
      <c r="AY648" t="s">
        <v>210</v>
      </c>
      <c r="BA648">
        <v>49795326222.600014</v>
      </c>
      <c r="BB648" t="s">
        <v>4572</v>
      </c>
      <c r="BC648" t="s">
        <v>4614</v>
      </c>
    </row>
    <row r="649" spans="1:55" x14ac:dyDescent="0.25">
      <c r="A649">
        <v>1342</v>
      </c>
      <c r="B649" t="s">
        <v>843</v>
      </c>
      <c r="C649" t="s">
        <v>2278</v>
      </c>
      <c r="D649" t="s">
        <v>3713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204</v>
      </c>
      <c r="K649">
        <v>6305475.5199635001</v>
      </c>
      <c r="L649">
        <v>0.85</v>
      </c>
      <c r="M649" t="s">
        <v>4536</v>
      </c>
      <c r="N649" t="s">
        <v>4537</v>
      </c>
      <c r="O649" t="s">
        <v>207</v>
      </c>
      <c r="Q649" t="s">
        <v>207</v>
      </c>
      <c r="R649" t="s">
        <v>207</v>
      </c>
      <c r="S649" t="s">
        <v>207</v>
      </c>
      <c r="T649" t="s">
        <v>207</v>
      </c>
      <c r="U649" t="s">
        <v>207</v>
      </c>
      <c r="V649" t="s">
        <v>207</v>
      </c>
      <c r="W649" t="s">
        <v>207</v>
      </c>
      <c r="X649" t="s">
        <v>207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209</v>
      </c>
      <c r="BA649">
        <v>2898798005.9503961</v>
      </c>
      <c r="BB649" t="s">
        <v>4572</v>
      </c>
      <c r="BC649" t="s">
        <v>4575</v>
      </c>
    </row>
    <row r="650" spans="1:55" x14ac:dyDescent="0.25">
      <c r="A650">
        <v>1365</v>
      </c>
      <c r="B650" t="s">
        <v>844</v>
      </c>
      <c r="C650" t="s">
        <v>2279</v>
      </c>
      <c r="D650" t="s">
        <v>3714</v>
      </c>
      <c r="E650" t="s">
        <v>4517</v>
      </c>
      <c r="F650">
        <v>271215400</v>
      </c>
      <c r="G650">
        <v>15.45</v>
      </c>
      <c r="H650" t="s">
        <v>99</v>
      </c>
      <c r="I650">
        <v>4190277930</v>
      </c>
      <c r="J650" t="s">
        <v>4535</v>
      </c>
      <c r="K650">
        <v>38168894.738655701</v>
      </c>
      <c r="L650">
        <v>0.65</v>
      </c>
      <c r="M650" t="s">
        <v>4536</v>
      </c>
      <c r="O650" t="s">
        <v>207</v>
      </c>
      <c r="Q650" t="s">
        <v>207</v>
      </c>
      <c r="R650" t="s">
        <v>207</v>
      </c>
      <c r="S650" t="s">
        <v>207</v>
      </c>
      <c r="T650" t="s">
        <v>207</v>
      </c>
      <c r="U650" t="s">
        <v>207</v>
      </c>
      <c r="V650" t="s">
        <v>207</v>
      </c>
      <c r="W650" t="s">
        <v>207</v>
      </c>
      <c r="X650" t="s">
        <v>207</v>
      </c>
      <c r="AK650">
        <v>0</v>
      </c>
      <c r="AL650">
        <v>0.05</v>
      </c>
      <c r="AM650">
        <v>0</v>
      </c>
      <c r="AO650" t="s">
        <v>4568</v>
      </c>
      <c r="AQ650">
        <v>0</v>
      </c>
      <c r="AR650">
        <v>0</v>
      </c>
      <c r="AW650">
        <v>5020</v>
      </c>
      <c r="AX650">
        <v>2.8140000000000001</v>
      </c>
      <c r="AY650" t="s">
        <v>209</v>
      </c>
      <c r="BA650">
        <v>2723680654.5</v>
      </c>
      <c r="BB650" t="s">
        <v>4572</v>
      </c>
      <c r="BC650" t="s">
        <v>4582</v>
      </c>
    </row>
    <row r="651" spans="1:55" x14ac:dyDescent="0.25">
      <c r="A651">
        <v>1444</v>
      </c>
      <c r="B651" t="s">
        <v>845</v>
      </c>
      <c r="C651" t="s">
        <v>2280</v>
      </c>
      <c r="D651" t="s">
        <v>3715</v>
      </c>
      <c r="E651" t="s">
        <v>93</v>
      </c>
      <c r="F651">
        <v>234246600</v>
      </c>
      <c r="G651">
        <v>9.995844</v>
      </c>
      <c r="H651" t="s">
        <v>101</v>
      </c>
      <c r="I651">
        <v>2341492471.1304002</v>
      </c>
      <c r="J651" t="s">
        <v>205</v>
      </c>
      <c r="K651">
        <v>7554606.7852525096</v>
      </c>
      <c r="L651">
        <v>0.95</v>
      </c>
      <c r="M651" t="s">
        <v>4536</v>
      </c>
      <c r="N651" t="s">
        <v>4537</v>
      </c>
      <c r="O651" t="s">
        <v>207</v>
      </c>
      <c r="Q651" t="s">
        <v>207</v>
      </c>
      <c r="R651" t="s">
        <v>207</v>
      </c>
      <c r="S651" t="s">
        <v>207</v>
      </c>
      <c r="T651" t="s">
        <v>207</v>
      </c>
      <c r="U651" t="s">
        <v>207</v>
      </c>
      <c r="V651" t="s">
        <v>207</v>
      </c>
      <c r="W651" t="s">
        <v>207</v>
      </c>
      <c r="X651" t="s">
        <v>207</v>
      </c>
      <c r="AG651" t="s">
        <v>4549</v>
      </c>
      <c r="AH651" t="s">
        <v>4564</v>
      </c>
      <c r="AI651" t="s">
        <v>4565</v>
      </c>
      <c r="AJ651" t="s">
        <v>4566</v>
      </c>
      <c r="AK651">
        <v>0</v>
      </c>
      <c r="AL651">
        <v>0.42099999999999999</v>
      </c>
      <c r="AM651">
        <v>0</v>
      </c>
      <c r="AO651" t="s">
        <v>4568</v>
      </c>
      <c r="AQ651">
        <v>0</v>
      </c>
      <c r="AR651">
        <v>0</v>
      </c>
      <c r="AW651">
        <v>6510</v>
      </c>
      <c r="AX651">
        <v>1.482</v>
      </c>
      <c r="AY651" t="s">
        <v>210</v>
      </c>
      <c r="AZ651" t="s">
        <v>4571</v>
      </c>
      <c r="BA651">
        <v>2224417847.5738802</v>
      </c>
      <c r="BB651" t="s">
        <v>4572</v>
      </c>
      <c r="BC651" t="s">
        <v>4630</v>
      </c>
    </row>
    <row r="652" spans="1:55" x14ac:dyDescent="0.25">
      <c r="A652">
        <v>1296</v>
      </c>
      <c r="B652" t="s">
        <v>846</v>
      </c>
      <c r="C652" t="s">
        <v>2281</v>
      </c>
      <c r="D652" t="s">
        <v>3716</v>
      </c>
      <c r="E652" t="s">
        <v>93</v>
      </c>
      <c r="F652">
        <v>313408840</v>
      </c>
      <c r="G652">
        <v>10.430720000000001</v>
      </c>
      <c r="H652" t="s">
        <v>101</v>
      </c>
      <c r="I652">
        <v>3269079855.5647998</v>
      </c>
      <c r="J652" t="s">
        <v>205</v>
      </c>
      <c r="K652">
        <v>9161375.7705057506</v>
      </c>
      <c r="L652">
        <v>0.95</v>
      </c>
      <c r="M652" t="s">
        <v>4536</v>
      </c>
      <c r="N652" t="s">
        <v>4537</v>
      </c>
      <c r="O652" t="s">
        <v>207</v>
      </c>
      <c r="Q652" t="s">
        <v>207</v>
      </c>
      <c r="R652" t="s">
        <v>207</v>
      </c>
      <c r="S652" t="s">
        <v>207</v>
      </c>
      <c r="T652" t="s">
        <v>207</v>
      </c>
      <c r="U652" t="s">
        <v>207</v>
      </c>
      <c r="V652" t="s">
        <v>207</v>
      </c>
      <c r="W652" t="s">
        <v>207</v>
      </c>
      <c r="X652" t="s">
        <v>207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210</v>
      </c>
      <c r="AZ652" t="s">
        <v>4571</v>
      </c>
      <c r="BA652">
        <v>3105625862.7865601</v>
      </c>
      <c r="BB652" t="s">
        <v>4572</v>
      </c>
      <c r="BC652" t="s">
        <v>4584</v>
      </c>
    </row>
    <row r="653" spans="1:55" x14ac:dyDescent="0.25">
      <c r="A653">
        <v>1055</v>
      </c>
      <c r="B653" t="s">
        <v>847</v>
      </c>
      <c r="C653" t="s">
        <v>2282</v>
      </c>
      <c r="D653" t="s">
        <v>3717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204</v>
      </c>
      <c r="K653">
        <v>17174087.552524298</v>
      </c>
      <c r="L653">
        <v>0.75</v>
      </c>
      <c r="M653" t="s">
        <v>4536</v>
      </c>
      <c r="O653" t="s">
        <v>207</v>
      </c>
      <c r="Q653" t="s">
        <v>207</v>
      </c>
      <c r="R653" t="s">
        <v>207</v>
      </c>
      <c r="S653" t="s">
        <v>207</v>
      </c>
      <c r="T653" t="s">
        <v>207</v>
      </c>
      <c r="U653" t="s">
        <v>207</v>
      </c>
      <c r="V653" t="s">
        <v>207</v>
      </c>
      <c r="W653" t="s">
        <v>207</v>
      </c>
      <c r="X653" t="s">
        <v>207</v>
      </c>
      <c r="AK653">
        <v>0</v>
      </c>
      <c r="AL653">
        <v>0.13100000000000001</v>
      </c>
      <c r="AM653">
        <v>0</v>
      </c>
      <c r="AO653" t="s">
        <v>4568</v>
      </c>
      <c r="AQ653">
        <v>0</v>
      </c>
      <c r="AR653">
        <v>0.01</v>
      </c>
      <c r="AW653">
        <v>4520</v>
      </c>
      <c r="AX653">
        <v>2.2170000000000001</v>
      </c>
      <c r="AY653" t="s">
        <v>209</v>
      </c>
      <c r="AZ653" t="s">
        <v>4571</v>
      </c>
      <c r="BA653">
        <v>5357457865.3544998</v>
      </c>
      <c r="BB653" t="s">
        <v>4572</v>
      </c>
      <c r="BC653" t="s">
        <v>4594</v>
      </c>
    </row>
    <row r="654" spans="1:55" x14ac:dyDescent="0.25">
      <c r="A654">
        <v>1241</v>
      </c>
      <c r="B654" t="s">
        <v>848</v>
      </c>
      <c r="C654" t="s">
        <v>2283</v>
      </c>
      <c r="D654" t="s">
        <v>3718</v>
      </c>
      <c r="E654" t="s">
        <v>93</v>
      </c>
      <c r="F654">
        <v>270565770</v>
      </c>
      <c r="G654">
        <v>12.70745</v>
      </c>
      <c r="H654" t="s">
        <v>101</v>
      </c>
      <c r="I654">
        <v>3438200993.9864998</v>
      </c>
      <c r="J654" t="s">
        <v>205</v>
      </c>
      <c r="K654">
        <v>21207656.461637799</v>
      </c>
      <c r="L654">
        <v>1</v>
      </c>
      <c r="M654" t="s">
        <v>4536</v>
      </c>
      <c r="O654" t="s">
        <v>207</v>
      </c>
      <c r="Q654" t="s">
        <v>207</v>
      </c>
      <c r="R654" t="s">
        <v>207</v>
      </c>
      <c r="S654" t="s">
        <v>207</v>
      </c>
      <c r="T654" t="s">
        <v>207</v>
      </c>
      <c r="U654" t="s">
        <v>207</v>
      </c>
      <c r="V654" t="s">
        <v>207</v>
      </c>
      <c r="W654" t="s">
        <v>207</v>
      </c>
      <c r="X654" t="s">
        <v>207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210</v>
      </c>
      <c r="BA654">
        <v>3438200993.9864998</v>
      </c>
      <c r="BB654" t="s">
        <v>4572</v>
      </c>
      <c r="BC654" t="s">
        <v>4536</v>
      </c>
    </row>
    <row r="655" spans="1:55" x14ac:dyDescent="0.25">
      <c r="A655">
        <v>1030</v>
      </c>
      <c r="B655" t="s">
        <v>849</v>
      </c>
      <c r="C655" t="s">
        <v>2284</v>
      </c>
      <c r="D655" t="s">
        <v>3719</v>
      </c>
      <c r="E655" t="s">
        <v>4526</v>
      </c>
      <c r="F655">
        <v>629293220</v>
      </c>
      <c r="G655">
        <v>19.98</v>
      </c>
      <c r="H655" t="s">
        <v>99</v>
      </c>
      <c r="I655">
        <v>12573278535.6</v>
      </c>
      <c r="J655" t="s">
        <v>203</v>
      </c>
      <c r="K655">
        <v>10766081.2461905</v>
      </c>
      <c r="L655">
        <v>0.45</v>
      </c>
      <c r="M655" t="s">
        <v>4536</v>
      </c>
      <c r="O655" t="s">
        <v>207</v>
      </c>
      <c r="Q655" t="s">
        <v>207</v>
      </c>
      <c r="R655" t="s">
        <v>207</v>
      </c>
      <c r="S655" t="s">
        <v>207</v>
      </c>
      <c r="T655" t="s">
        <v>207</v>
      </c>
      <c r="U655" t="s">
        <v>207</v>
      </c>
      <c r="V655" t="s">
        <v>207</v>
      </c>
      <c r="W655" t="s">
        <v>207</v>
      </c>
      <c r="X655" t="s">
        <v>207</v>
      </c>
      <c r="AG655" t="s">
        <v>4550</v>
      </c>
      <c r="AI655" t="s">
        <v>4565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209</v>
      </c>
      <c r="BA655">
        <v>5657975341.0200005</v>
      </c>
      <c r="BB655" t="s">
        <v>4572</v>
      </c>
      <c r="BC655" t="s">
        <v>4597</v>
      </c>
    </row>
    <row r="656" spans="1:55" x14ac:dyDescent="0.25">
      <c r="A656">
        <v>725</v>
      </c>
      <c r="B656" t="s">
        <v>850</v>
      </c>
      <c r="C656" t="s">
        <v>2285</v>
      </c>
      <c r="D656" t="s">
        <v>3720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202</v>
      </c>
      <c r="K656">
        <v>194277291.65387401</v>
      </c>
      <c r="L656">
        <v>0.95</v>
      </c>
      <c r="M656" t="s">
        <v>4536</v>
      </c>
      <c r="O656" t="s">
        <v>207</v>
      </c>
      <c r="Q656" t="s">
        <v>207</v>
      </c>
      <c r="R656" t="s">
        <v>207</v>
      </c>
      <c r="S656" t="s">
        <v>207</v>
      </c>
      <c r="T656" t="s">
        <v>207</v>
      </c>
      <c r="U656" t="s">
        <v>207</v>
      </c>
      <c r="V656" t="s">
        <v>207</v>
      </c>
      <c r="W656" t="s">
        <v>207</v>
      </c>
      <c r="X656" t="s">
        <v>207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208</v>
      </c>
      <c r="BA656">
        <v>16184509653.769199</v>
      </c>
      <c r="BB656" t="s">
        <v>4572</v>
      </c>
      <c r="BC656" t="s">
        <v>4536</v>
      </c>
    </row>
    <row r="657" spans="1:55" x14ac:dyDescent="0.25">
      <c r="A657">
        <v>1361</v>
      </c>
      <c r="B657" t="s">
        <v>851</v>
      </c>
      <c r="C657" t="s">
        <v>2286</v>
      </c>
      <c r="D657" t="s">
        <v>3721</v>
      </c>
      <c r="E657" t="s">
        <v>93</v>
      </c>
      <c r="F657">
        <v>93145400</v>
      </c>
      <c r="G657">
        <v>29.399170000000002</v>
      </c>
      <c r="H657" t="s">
        <v>101</v>
      </c>
      <c r="I657">
        <v>2738397449.3179998</v>
      </c>
      <c r="J657" t="s">
        <v>205</v>
      </c>
      <c r="K657">
        <v>9434034.8196796402</v>
      </c>
      <c r="L657">
        <v>1</v>
      </c>
      <c r="M657" t="s">
        <v>4536</v>
      </c>
      <c r="N657" t="s">
        <v>4537</v>
      </c>
      <c r="O657" t="s">
        <v>207</v>
      </c>
      <c r="Q657" t="s">
        <v>207</v>
      </c>
      <c r="R657" t="s">
        <v>207</v>
      </c>
      <c r="S657" t="s">
        <v>207</v>
      </c>
      <c r="T657" t="s">
        <v>207</v>
      </c>
      <c r="U657" t="s">
        <v>207</v>
      </c>
      <c r="V657" t="s">
        <v>207</v>
      </c>
      <c r="W657" t="s">
        <v>207</v>
      </c>
      <c r="X657" t="s">
        <v>207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210</v>
      </c>
      <c r="BA657">
        <v>2738397449.3179998</v>
      </c>
      <c r="BB657" t="s">
        <v>4572</v>
      </c>
      <c r="BC657" t="s">
        <v>4575</v>
      </c>
    </row>
    <row r="658" spans="1:55" x14ac:dyDescent="0.25">
      <c r="A658">
        <v>930</v>
      </c>
      <c r="B658" t="s">
        <v>852</v>
      </c>
      <c r="C658" t="s">
        <v>2287</v>
      </c>
      <c r="D658" t="s">
        <v>3722</v>
      </c>
      <c r="E658" t="s">
        <v>93</v>
      </c>
      <c r="F658">
        <v>437143500</v>
      </c>
      <c r="G658">
        <v>16.925149999999999</v>
      </c>
      <c r="H658" t="s">
        <v>101</v>
      </c>
      <c r="I658">
        <v>7398719309.0249996</v>
      </c>
      <c r="J658" t="s">
        <v>205</v>
      </c>
      <c r="K658">
        <v>32841500.3704543</v>
      </c>
      <c r="L658">
        <v>1</v>
      </c>
      <c r="M658" t="s">
        <v>4536</v>
      </c>
      <c r="O658" t="s">
        <v>207</v>
      </c>
      <c r="Q658" t="s">
        <v>207</v>
      </c>
      <c r="R658" t="s">
        <v>207</v>
      </c>
      <c r="S658" t="s">
        <v>207</v>
      </c>
      <c r="T658" t="s">
        <v>207</v>
      </c>
      <c r="U658" t="s">
        <v>207</v>
      </c>
      <c r="V658" t="s">
        <v>207</v>
      </c>
      <c r="W658" t="s">
        <v>207</v>
      </c>
      <c r="X658" t="s">
        <v>207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210</v>
      </c>
      <c r="BA658">
        <v>7398719309.0249996</v>
      </c>
      <c r="BB658" t="s">
        <v>4572</v>
      </c>
      <c r="BC658" t="s">
        <v>4536</v>
      </c>
    </row>
    <row r="659" spans="1:55" x14ac:dyDescent="0.25">
      <c r="A659">
        <v>821</v>
      </c>
      <c r="B659" t="s">
        <v>853</v>
      </c>
      <c r="C659" t="s">
        <v>2288</v>
      </c>
      <c r="D659" t="s">
        <v>3723</v>
      </c>
      <c r="E659" t="s">
        <v>93</v>
      </c>
      <c r="F659">
        <v>1044578400</v>
      </c>
      <c r="G659">
        <v>9.9574730000000002</v>
      </c>
      <c r="H659" t="s">
        <v>101</v>
      </c>
      <c r="I659">
        <v>10401361214.3832</v>
      </c>
      <c r="J659" t="s">
        <v>205</v>
      </c>
      <c r="K659">
        <v>24596826.7685287</v>
      </c>
      <c r="L659">
        <v>1</v>
      </c>
      <c r="M659" t="s">
        <v>4536</v>
      </c>
      <c r="O659" t="s">
        <v>207</v>
      </c>
      <c r="Q659" t="s">
        <v>207</v>
      </c>
      <c r="R659" t="s">
        <v>207</v>
      </c>
      <c r="S659" t="s">
        <v>207</v>
      </c>
      <c r="T659" t="s">
        <v>207</v>
      </c>
      <c r="U659" t="s">
        <v>207</v>
      </c>
      <c r="V659" t="s">
        <v>207</v>
      </c>
      <c r="W659" t="s">
        <v>207</v>
      </c>
      <c r="X659" t="s">
        <v>207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210</v>
      </c>
      <c r="BA659">
        <v>10401361214.3832</v>
      </c>
      <c r="BB659" t="s">
        <v>4572</v>
      </c>
      <c r="BC659" t="s">
        <v>4536</v>
      </c>
    </row>
    <row r="660" spans="1:55" x14ac:dyDescent="0.25">
      <c r="A660">
        <v>1441</v>
      </c>
      <c r="B660" t="s">
        <v>854</v>
      </c>
      <c r="C660" t="s">
        <v>2289</v>
      </c>
      <c r="D660" t="s">
        <v>3724</v>
      </c>
      <c r="E660" t="s">
        <v>93</v>
      </c>
      <c r="F660">
        <v>5097006</v>
      </c>
      <c r="G660">
        <v>438.07760000000002</v>
      </c>
      <c r="H660" t="s">
        <v>101</v>
      </c>
      <c r="I660">
        <v>2232884155.6655998</v>
      </c>
      <c r="J660" t="s">
        <v>205</v>
      </c>
      <c r="K660">
        <v>9505051.8232876193</v>
      </c>
      <c r="L660">
        <v>1</v>
      </c>
      <c r="M660" t="s">
        <v>4536</v>
      </c>
      <c r="N660" t="s">
        <v>4537</v>
      </c>
      <c r="O660" t="s">
        <v>207</v>
      </c>
      <c r="Q660" t="s">
        <v>207</v>
      </c>
      <c r="R660" t="s">
        <v>207</v>
      </c>
      <c r="S660" t="s">
        <v>207</v>
      </c>
      <c r="T660" t="s">
        <v>207</v>
      </c>
      <c r="U660" t="s">
        <v>207</v>
      </c>
      <c r="V660" t="s">
        <v>207</v>
      </c>
      <c r="W660" t="s">
        <v>207</v>
      </c>
      <c r="X660" t="s">
        <v>207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210</v>
      </c>
      <c r="BA660">
        <v>2232884155.6655998</v>
      </c>
      <c r="BB660" t="s">
        <v>4572</v>
      </c>
      <c r="BC660" t="s">
        <v>4575</v>
      </c>
    </row>
    <row r="661" spans="1:55" x14ac:dyDescent="0.25">
      <c r="A661">
        <v>1137</v>
      </c>
      <c r="B661" t="s">
        <v>855</v>
      </c>
      <c r="C661" t="s">
        <v>2290</v>
      </c>
      <c r="D661" t="s">
        <v>3725</v>
      </c>
      <c r="E661" t="s">
        <v>93</v>
      </c>
      <c r="F661">
        <v>7192809</v>
      </c>
      <c r="G661">
        <v>592.84379999999999</v>
      </c>
      <c r="H661" t="s">
        <v>101</v>
      </c>
      <c r="I661">
        <v>4264212220.2342</v>
      </c>
      <c r="J661" t="s">
        <v>205</v>
      </c>
      <c r="K661">
        <v>11230364.5344109</v>
      </c>
      <c r="L661">
        <v>1</v>
      </c>
      <c r="M661" t="s">
        <v>4536</v>
      </c>
      <c r="O661" t="s">
        <v>207</v>
      </c>
      <c r="Q661" t="s">
        <v>207</v>
      </c>
      <c r="R661" t="s">
        <v>207</v>
      </c>
      <c r="S661" t="s">
        <v>207</v>
      </c>
      <c r="T661" t="s">
        <v>207</v>
      </c>
      <c r="U661" t="s">
        <v>207</v>
      </c>
      <c r="V661" t="s">
        <v>207</v>
      </c>
      <c r="W661" t="s">
        <v>207</v>
      </c>
      <c r="X661" t="s">
        <v>207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210</v>
      </c>
      <c r="AZ661" t="s">
        <v>4571</v>
      </c>
      <c r="BA661">
        <v>4264212220.2342</v>
      </c>
      <c r="BB661" t="s">
        <v>4572</v>
      </c>
      <c r="BC661" t="s">
        <v>4577</v>
      </c>
    </row>
    <row r="662" spans="1:55" x14ac:dyDescent="0.25">
      <c r="A662">
        <v>761</v>
      </c>
      <c r="B662" t="s">
        <v>856</v>
      </c>
      <c r="C662" t="s">
        <v>2291</v>
      </c>
      <c r="D662" t="s">
        <v>3726</v>
      </c>
      <c r="E662" t="s">
        <v>93</v>
      </c>
      <c r="F662">
        <v>3617602500</v>
      </c>
      <c r="G662">
        <v>9.8039860000000001</v>
      </c>
      <c r="H662" t="s">
        <v>101</v>
      </c>
      <c r="I662">
        <v>35466924263.565002</v>
      </c>
      <c r="J662" t="s">
        <v>205</v>
      </c>
      <c r="K662">
        <v>52742591.743883803</v>
      </c>
      <c r="L662">
        <v>0.4</v>
      </c>
      <c r="M662" t="s">
        <v>4536</v>
      </c>
      <c r="O662" t="s">
        <v>207</v>
      </c>
      <c r="Q662" t="s">
        <v>207</v>
      </c>
      <c r="R662" t="s">
        <v>207</v>
      </c>
      <c r="S662" t="s">
        <v>207</v>
      </c>
      <c r="T662" t="s">
        <v>207</v>
      </c>
      <c r="U662" t="s">
        <v>207</v>
      </c>
      <c r="V662" t="s">
        <v>207</v>
      </c>
      <c r="W662" t="s">
        <v>207</v>
      </c>
      <c r="X662" t="s">
        <v>207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210</v>
      </c>
      <c r="BA662">
        <v>14186769705.426001</v>
      </c>
      <c r="BB662" t="s">
        <v>4572</v>
      </c>
      <c r="BC662" t="s">
        <v>4536</v>
      </c>
    </row>
    <row r="663" spans="1:55" x14ac:dyDescent="0.25">
      <c r="A663">
        <v>630</v>
      </c>
      <c r="B663" t="s">
        <v>857</v>
      </c>
      <c r="C663" t="s">
        <v>2292</v>
      </c>
      <c r="D663" t="s">
        <v>3727</v>
      </c>
      <c r="E663" t="s">
        <v>93</v>
      </c>
      <c r="F663">
        <v>3206240200</v>
      </c>
      <c r="G663">
        <v>10.1877</v>
      </c>
      <c r="H663" t="s">
        <v>101</v>
      </c>
      <c r="I663">
        <v>32664213285.540001</v>
      </c>
      <c r="J663" t="s">
        <v>205</v>
      </c>
      <c r="K663">
        <v>42864774.676906101</v>
      </c>
      <c r="L663">
        <v>0.6</v>
      </c>
      <c r="M663" t="s">
        <v>4536</v>
      </c>
      <c r="O663" t="s">
        <v>207</v>
      </c>
      <c r="Q663" t="s">
        <v>207</v>
      </c>
      <c r="R663" t="s">
        <v>207</v>
      </c>
      <c r="S663" t="s">
        <v>207</v>
      </c>
      <c r="T663" t="s">
        <v>207</v>
      </c>
      <c r="U663" t="s">
        <v>207</v>
      </c>
      <c r="V663" t="s">
        <v>207</v>
      </c>
      <c r="W663" t="s">
        <v>207</v>
      </c>
      <c r="X663" t="s">
        <v>207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210</v>
      </c>
      <c r="BA663">
        <v>19598527971.324001</v>
      </c>
      <c r="BB663" t="s">
        <v>4572</v>
      </c>
      <c r="BC663" t="s">
        <v>4536</v>
      </c>
    </row>
    <row r="664" spans="1:55" x14ac:dyDescent="0.25">
      <c r="A664">
        <v>1226</v>
      </c>
      <c r="B664" t="s">
        <v>858</v>
      </c>
      <c r="C664" t="s">
        <v>2293</v>
      </c>
      <c r="D664" t="s">
        <v>3728</v>
      </c>
      <c r="E664" t="s">
        <v>93</v>
      </c>
      <c r="F664">
        <v>383192300</v>
      </c>
      <c r="G664">
        <v>18.367280000000001</v>
      </c>
      <c r="H664" t="s">
        <v>101</v>
      </c>
      <c r="I664">
        <v>7038200267.9440002</v>
      </c>
      <c r="J664" t="s">
        <v>205</v>
      </c>
      <c r="K664">
        <v>15410267.362726601</v>
      </c>
      <c r="L664">
        <v>0.5</v>
      </c>
      <c r="M664" t="s">
        <v>4536</v>
      </c>
      <c r="O664" t="s">
        <v>207</v>
      </c>
      <c r="Q664" t="s">
        <v>207</v>
      </c>
      <c r="R664" t="s">
        <v>207</v>
      </c>
      <c r="S664" t="s">
        <v>207</v>
      </c>
      <c r="T664" t="s">
        <v>207</v>
      </c>
      <c r="U664" t="s">
        <v>207</v>
      </c>
      <c r="V664" t="s">
        <v>207</v>
      </c>
      <c r="W664" t="s">
        <v>207</v>
      </c>
      <c r="X664" t="s">
        <v>207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210</v>
      </c>
      <c r="BA664">
        <v>3519100133.9720001</v>
      </c>
      <c r="BB664" t="s">
        <v>4572</v>
      </c>
      <c r="BC664" t="s">
        <v>4536</v>
      </c>
    </row>
    <row r="665" spans="1:55" x14ac:dyDescent="0.25">
      <c r="A665">
        <v>1457</v>
      </c>
      <c r="B665" t="s">
        <v>859</v>
      </c>
      <c r="C665" t="s">
        <v>2294</v>
      </c>
      <c r="D665" t="s">
        <v>3729</v>
      </c>
      <c r="E665" t="s">
        <v>93</v>
      </c>
      <c r="F665">
        <v>997178</v>
      </c>
      <c r="G665">
        <v>2260.7359999999999</v>
      </c>
      <c r="H665" t="s">
        <v>101</v>
      </c>
      <c r="I665">
        <v>2254356203.0079999</v>
      </c>
      <c r="J665" t="s">
        <v>205</v>
      </c>
      <c r="K665">
        <v>3450249.6547395801</v>
      </c>
      <c r="L665">
        <v>0.95</v>
      </c>
      <c r="M665" t="s">
        <v>4536</v>
      </c>
      <c r="N665" t="s">
        <v>4537</v>
      </c>
      <c r="O665" t="s">
        <v>207</v>
      </c>
      <c r="Q665" t="s">
        <v>207</v>
      </c>
      <c r="R665" t="s">
        <v>207</v>
      </c>
      <c r="S665" t="s">
        <v>207</v>
      </c>
      <c r="T665" t="s">
        <v>207</v>
      </c>
      <c r="U665" t="s">
        <v>207</v>
      </c>
      <c r="V665" t="s">
        <v>207</v>
      </c>
      <c r="W665" t="s">
        <v>207</v>
      </c>
      <c r="X665" t="s">
        <v>207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210</v>
      </c>
      <c r="AZ665" t="s">
        <v>4571</v>
      </c>
      <c r="BA665">
        <v>2141638392.8576</v>
      </c>
      <c r="BB665" t="s">
        <v>4572</v>
      </c>
      <c r="BC665" t="s">
        <v>4584</v>
      </c>
    </row>
    <row r="666" spans="1:55" x14ac:dyDescent="0.25">
      <c r="A666">
        <v>1118</v>
      </c>
      <c r="B666" t="s">
        <v>860</v>
      </c>
      <c r="C666" t="s">
        <v>2295</v>
      </c>
      <c r="D666" t="s">
        <v>3730</v>
      </c>
      <c r="E666" t="s">
        <v>93</v>
      </c>
      <c r="F666">
        <v>7114320</v>
      </c>
      <c r="G666">
        <v>696.44749999999999</v>
      </c>
      <c r="H666" t="s">
        <v>101</v>
      </c>
      <c r="I666">
        <v>4954750378.1999998</v>
      </c>
      <c r="J666" t="s">
        <v>205</v>
      </c>
      <c r="K666">
        <v>17312607.532920301</v>
      </c>
      <c r="L666">
        <v>0.9</v>
      </c>
      <c r="M666" t="s">
        <v>4536</v>
      </c>
      <c r="O666" t="s">
        <v>207</v>
      </c>
      <c r="Q666" t="s">
        <v>207</v>
      </c>
      <c r="R666" t="s">
        <v>207</v>
      </c>
      <c r="S666" t="s">
        <v>207</v>
      </c>
      <c r="T666" t="s">
        <v>207</v>
      </c>
      <c r="U666" t="s">
        <v>207</v>
      </c>
      <c r="V666" t="s">
        <v>207</v>
      </c>
      <c r="W666" t="s">
        <v>207</v>
      </c>
      <c r="X666" t="s">
        <v>207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210</v>
      </c>
      <c r="BA666">
        <v>4459275340.3800001</v>
      </c>
      <c r="BB666" t="s">
        <v>4572</v>
      </c>
      <c r="BC666" t="s">
        <v>4536</v>
      </c>
    </row>
    <row r="667" spans="1:55" x14ac:dyDescent="0.25">
      <c r="A667">
        <v>1401</v>
      </c>
      <c r="B667" t="s">
        <v>861</v>
      </c>
      <c r="C667" t="s">
        <v>2296</v>
      </c>
      <c r="D667" t="s">
        <v>3731</v>
      </c>
      <c r="E667" t="s">
        <v>93</v>
      </c>
      <c r="F667">
        <v>74408980</v>
      </c>
      <c r="G667">
        <v>33.767150000000001</v>
      </c>
      <c r="H667" t="s">
        <v>101</v>
      </c>
      <c r="I667">
        <v>2512579189.007</v>
      </c>
      <c r="J667" t="s">
        <v>205</v>
      </c>
      <c r="K667">
        <v>39112055.858466297</v>
      </c>
      <c r="L667">
        <v>1</v>
      </c>
      <c r="M667" t="s">
        <v>4536</v>
      </c>
      <c r="O667" t="s">
        <v>207</v>
      </c>
      <c r="Q667" t="s">
        <v>207</v>
      </c>
      <c r="R667" t="s">
        <v>207</v>
      </c>
      <c r="S667" t="s">
        <v>207</v>
      </c>
      <c r="T667" t="s">
        <v>207</v>
      </c>
      <c r="U667" t="s">
        <v>207</v>
      </c>
      <c r="V667" t="s">
        <v>207</v>
      </c>
      <c r="W667" t="s">
        <v>207</v>
      </c>
      <c r="X667" t="s">
        <v>207</v>
      </c>
      <c r="AK667">
        <v>0</v>
      </c>
      <c r="AL667">
        <v>0.1</v>
      </c>
      <c r="AM667">
        <v>0</v>
      </c>
      <c r="AO667" t="s">
        <v>4568</v>
      </c>
      <c r="AQ667">
        <v>0</v>
      </c>
      <c r="AR667">
        <v>0</v>
      </c>
      <c r="AW667">
        <v>5020</v>
      </c>
      <c r="AX667">
        <v>2.161</v>
      </c>
      <c r="AY667" t="s">
        <v>210</v>
      </c>
      <c r="BA667">
        <v>2512579189.007</v>
      </c>
      <c r="BB667" t="s">
        <v>4572</v>
      </c>
      <c r="BC667" t="s">
        <v>4582</v>
      </c>
    </row>
    <row r="668" spans="1:55" x14ac:dyDescent="0.25">
      <c r="A668">
        <v>502</v>
      </c>
      <c r="B668" t="s">
        <v>862</v>
      </c>
      <c r="C668" t="s">
        <v>2297</v>
      </c>
      <c r="D668" t="s">
        <v>3732</v>
      </c>
      <c r="E668" t="s">
        <v>93</v>
      </c>
      <c r="F668">
        <v>2000000000</v>
      </c>
      <c r="G668">
        <v>23.835260000000002</v>
      </c>
      <c r="H668" t="s">
        <v>101</v>
      </c>
      <c r="I668">
        <v>47670520000</v>
      </c>
      <c r="J668" t="s">
        <v>205</v>
      </c>
      <c r="K668">
        <v>110805921.99902</v>
      </c>
      <c r="L668">
        <v>0.55000000000000004</v>
      </c>
      <c r="M668" t="s">
        <v>4536</v>
      </c>
      <c r="O668" t="s">
        <v>207</v>
      </c>
      <c r="Q668" t="s">
        <v>207</v>
      </c>
      <c r="R668" t="s">
        <v>207</v>
      </c>
      <c r="S668" t="s">
        <v>207</v>
      </c>
      <c r="T668" t="s">
        <v>207</v>
      </c>
      <c r="U668" t="s">
        <v>207</v>
      </c>
      <c r="V668" t="s">
        <v>207</v>
      </c>
      <c r="W668" t="s">
        <v>207</v>
      </c>
      <c r="X668" t="s">
        <v>207</v>
      </c>
      <c r="AG668" t="s">
        <v>4546</v>
      </c>
      <c r="AH668" t="s">
        <v>4562</v>
      </c>
      <c r="AI668" t="s">
        <v>4565</v>
      </c>
      <c r="AJ668" t="s">
        <v>4566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210</v>
      </c>
      <c r="BA668">
        <v>26218786000</v>
      </c>
      <c r="BB668" t="s">
        <v>4572</v>
      </c>
      <c r="BC668" t="s">
        <v>4578</v>
      </c>
    </row>
    <row r="669" spans="1:55" x14ac:dyDescent="0.25">
      <c r="A669">
        <v>920</v>
      </c>
      <c r="B669" t="s">
        <v>863</v>
      </c>
      <c r="C669" t="s">
        <v>2298</v>
      </c>
      <c r="D669" t="s">
        <v>3733</v>
      </c>
      <c r="E669" t="s">
        <v>4527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205</v>
      </c>
      <c r="K669">
        <v>8531039.7419205792</v>
      </c>
      <c r="L669">
        <v>0.65</v>
      </c>
      <c r="M669" t="s">
        <v>4536</v>
      </c>
      <c r="N669" t="s">
        <v>4537</v>
      </c>
      <c r="O669" t="s">
        <v>206</v>
      </c>
      <c r="Q669" t="s">
        <v>207</v>
      </c>
      <c r="R669" t="s">
        <v>207</v>
      </c>
      <c r="S669" t="s">
        <v>207</v>
      </c>
      <c r="T669" t="s">
        <v>207</v>
      </c>
      <c r="U669" t="s">
        <v>207</v>
      </c>
      <c r="V669" t="s">
        <v>207</v>
      </c>
      <c r="W669" t="s">
        <v>207</v>
      </c>
      <c r="X669" t="s">
        <v>207</v>
      </c>
      <c r="AG669" t="s">
        <v>4551</v>
      </c>
      <c r="AI669" t="s">
        <v>4565</v>
      </c>
      <c r="AK669">
        <v>0.1628</v>
      </c>
      <c r="AL669">
        <v>0.16300000000000001</v>
      </c>
      <c r="AM669">
        <v>9.7999999999999997E-3</v>
      </c>
      <c r="AN669" t="s">
        <v>4567</v>
      </c>
      <c r="AO669" t="s">
        <v>4568</v>
      </c>
      <c r="AP669" t="s">
        <v>4569</v>
      </c>
      <c r="AQ669">
        <v>0</v>
      </c>
      <c r="AR669">
        <v>0.01</v>
      </c>
      <c r="AW669">
        <v>5020</v>
      </c>
      <c r="AX669">
        <v>2.4390000000000001</v>
      </c>
      <c r="AY669" t="s">
        <v>210</v>
      </c>
      <c r="BA669">
        <v>7578480337.5759411</v>
      </c>
      <c r="BB669" t="s">
        <v>4572</v>
      </c>
      <c r="BC669" t="s">
        <v>4631</v>
      </c>
    </row>
    <row r="670" spans="1:55" x14ac:dyDescent="0.25">
      <c r="A670">
        <v>1000</v>
      </c>
      <c r="B670" t="s">
        <v>864</v>
      </c>
      <c r="C670" t="s">
        <v>2299</v>
      </c>
      <c r="D670" t="s">
        <v>3734</v>
      </c>
      <c r="E670" t="s">
        <v>94</v>
      </c>
      <c r="F670">
        <v>109333984</v>
      </c>
      <c r="G670">
        <v>55.902439999999999</v>
      </c>
      <c r="H670" t="s">
        <v>102</v>
      </c>
      <c r="I670">
        <v>6112036480.5209599</v>
      </c>
      <c r="J670" t="s">
        <v>205</v>
      </c>
      <c r="K670">
        <v>18473389.0577683</v>
      </c>
      <c r="L670">
        <v>1</v>
      </c>
      <c r="M670" t="s">
        <v>4536</v>
      </c>
      <c r="O670" t="s">
        <v>207</v>
      </c>
      <c r="Q670" t="s">
        <v>207</v>
      </c>
      <c r="R670" t="s">
        <v>207</v>
      </c>
      <c r="S670" t="s">
        <v>207</v>
      </c>
      <c r="T670" t="s">
        <v>207</v>
      </c>
      <c r="U670" t="s">
        <v>207</v>
      </c>
      <c r="V670" t="s">
        <v>207</v>
      </c>
      <c r="W670" t="s">
        <v>207</v>
      </c>
      <c r="X670" t="s">
        <v>207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210</v>
      </c>
      <c r="BA670">
        <v>6112036480.5209599</v>
      </c>
      <c r="BB670" t="s">
        <v>4572</v>
      </c>
      <c r="BC670" t="s">
        <v>4536</v>
      </c>
    </row>
    <row r="671" spans="1:55" x14ac:dyDescent="0.25">
      <c r="A671">
        <v>1395</v>
      </c>
      <c r="B671" t="s">
        <v>865</v>
      </c>
      <c r="C671" t="s">
        <v>2300</v>
      </c>
      <c r="D671" t="s">
        <v>3735</v>
      </c>
      <c r="E671" t="s">
        <v>96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4535</v>
      </c>
      <c r="K671">
        <v>6860133.68285714</v>
      </c>
      <c r="L671">
        <v>0.3</v>
      </c>
      <c r="M671" t="s">
        <v>4536</v>
      </c>
      <c r="N671" t="s">
        <v>4537</v>
      </c>
      <c r="O671" t="s">
        <v>207</v>
      </c>
      <c r="Q671" t="s">
        <v>207</v>
      </c>
      <c r="R671" t="s">
        <v>207</v>
      </c>
      <c r="S671" t="s">
        <v>207</v>
      </c>
      <c r="T671" t="s">
        <v>207</v>
      </c>
      <c r="U671" t="s">
        <v>207</v>
      </c>
      <c r="V671" t="s">
        <v>207</v>
      </c>
      <c r="W671" t="s">
        <v>207</v>
      </c>
      <c r="X671" t="s">
        <v>207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209</v>
      </c>
      <c r="BA671">
        <v>2548292511.2399998</v>
      </c>
      <c r="BB671" t="s">
        <v>4572</v>
      </c>
      <c r="BC671" t="s">
        <v>4575</v>
      </c>
    </row>
    <row r="672" spans="1:55" x14ac:dyDescent="0.25">
      <c r="A672">
        <v>931</v>
      </c>
      <c r="B672" t="s">
        <v>866</v>
      </c>
      <c r="C672" t="s">
        <v>2301</v>
      </c>
      <c r="D672" t="s">
        <v>3736</v>
      </c>
      <c r="E672" t="s">
        <v>93</v>
      </c>
      <c r="F672">
        <v>639438400</v>
      </c>
      <c r="G672">
        <v>11.524319999999999</v>
      </c>
      <c r="H672" t="s">
        <v>101</v>
      </c>
      <c r="I672">
        <v>7369092741.8879995</v>
      </c>
      <c r="J672" t="s">
        <v>205</v>
      </c>
      <c r="K672">
        <v>42180478.573938102</v>
      </c>
      <c r="L672">
        <v>1</v>
      </c>
      <c r="M672" t="s">
        <v>4536</v>
      </c>
      <c r="O672" t="s">
        <v>207</v>
      </c>
      <c r="Q672" t="s">
        <v>207</v>
      </c>
      <c r="R672" t="s">
        <v>207</v>
      </c>
      <c r="S672" t="s">
        <v>207</v>
      </c>
      <c r="T672" t="s">
        <v>207</v>
      </c>
      <c r="U672" t="s">
        <v>207</v>
      </c>
      <c r="V672" t="s">
        <v>207</v>
      </c>
      <c r="W672" t="s">
        <v>207</v>
      </c>
      <c r="X672" t="s">
        <v>207</v>
      </c>
      <c r="AK672">
        <v>0.01</v>
      </c>
      <c r="AL672">
        <v>0.05</v>
      </c>
      <c r="AM672">
        <v>0.01</v>
      </c>
      <c r="AN672" t="s">
        <v>4567</v>
      </c>
      <c r="AO672" t="s">
        <v>4568</v>
      </c>
      <c r="AP672" t="s">
        <v>4569</v>
      </c>
      <c r="AQ672">
        <v>0</v>
      </c>
      <c r="AR672">
        <v>0</v>
      </c>
      <c r="AW672">
        <v>5510</v>
      </c>
      <c r="AX672">
        <v>1.9259999999999999</v>
      </c>
      <c r="AY672" t="s">
        <v>210</v>
      </c>
      <c r="BA672">
        <v>7369092741.8879995</v>
      </c>
      <c r="BB672" t="s">
        <v>4572</v>
      </c>
      <c r="BC672" t="s">
        <v>4576</v>
      </c>
    </row>
    <row r="673" spans="1:55" x14ac:dyDescent="0.25">
      <c r="A673">
        <v>20</v>
      </c>
      <c r="B673" t="s">
        <v>867</v>
      </c>
      <c r="C673" t="s">
        <v>2302</v>
      </c>
      <c r="D673" t="s">
        <v>3737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202</v>
      </c>
      <c r="K673">
        <v>1249195894.10186</v>
      </c>
      <c r="L673">
        <v>1</v>
      </c>
      <c r="M673" t="s">
        <v>4536</v>
      </c>
      <c r="O673" t="s">
        <v>206</v>
      </c>
      <c r="Q673" t="s">
        <v>207</v>
      </c>
      <c r="R673" t="s">
        <v>207</v>
      </c>
      <c r="S673" t="s">
        <v>207</v>
      </c>
      <c r="T673" t="s">
        <v>207</v>
      </c>
      <c r="U673" t="s">
        <v>207</v>
      </c>
      <c r="V673" t="s">
        <v>207</v>
      </c>
      <c r="W673" t="s">
        <v>207</v>
      </c>
      <c r="X673" t="s">
        <v>207</v>
      </c>
      <c r="AG673" t="s">
        <v>4546</v>
      </c>
      <c r="AH673" t="s">
        <v>4563</v>
      </c>
      <c r="AI673" t="s">
        <v>4565</v>
      </c>
      <c r="AJ673" t="s">
        <v>4566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208</v>
      </c>
      <c r="BA673">
        <v>373750471372.89001</v>
      </c>
      <c r="BB673" t="s">
        <v>4572</v>
      </c>
      <c r="BC673" t="s">
        <v>4578</v>
      </c>
    </row>
    <row r="674" spans="1:55" x14ac:dyDescent="0.25">
      <c r="A674">
        <v>249</v>
      </c>
      <c r="B674" t="s">
        <v>868</v>
      </c>
      <c r="C674" t="s">
        <v>2303</v>
      </c>
      <c r="D674" t="s">
        <v>3738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202</v>
      </c>
      <c r="K674">
        <v>315185564.88723201</v>
      </c>
      <c r="L674">
        <v>1</v>
      </c>
      <c r="O674" t="s">
        <v>207</v>
      </c>
      <c r="Q674" t="s">
        <v>207</v>
      </c>
      <c r="R674" t="s">
        <v>207</v>
      </c>
      <c r="S674" t="s">
        <v>207</v>
      </c>
      <c r="T674" t="s">
        <v>207</v>
      </c>
      <c r="U674" t="s">
        <v>207</v>
      </c>
      <c r="V674" t="s">
        <v>207</v>
      </c>
      <c r="W674" t="s">
        <v>207</v>
      </c>
      <c r="X674" t="s">
        <v>207</v>
      </c>
      <c r="AK674">
        <v>0</v>
      </c>
      <c r="AL674">
        <v>0.05</v>
      </c>
      <c r="AM674">
        <v>0</v>
      </c>
      <c r="AO674" t="s">
        <v>4568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208</v>
      </c>
      <c r="BA674">
        <v>53846646890.550797</v>
      </c>
      <c r="BB674" t="s">
        <v>4572</v>
      </c>
      <c r="BC674" t="s">
        <v>4568</v>
      </c>
    </row>
    <row r="675" spans="1:55" x14ac:dyDescent="0.25">
      <c r="A675">
        <v>1326</v>
      </c>
      <c r="B675" t="s">
        <v>869</v>
      </c>
      <c r="C675" t="s">
        <v>2304</v>
      </c>
      <c r="D675" t="s">
        <v>3739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204</v>
      </c>
      <c r="K675">
        <v>8225014.00858921</v>
      </c>
      <c r="L675">
        <v>1</v>
      </c>
      <c r="M675" t="s">
        <v>4536</v>
      </c>
      <c r="N675" t="s">
        <v>4537</v>
      </c>
      <c r="O675" t="s">
        <v>207</v>
      </c>
      <c r="Q675" t="s">
        <v>207</v>
      </c>
      <c r="R675" t="s">
        <v>207</v>
      </c>
      <c r="S675" t="s">
        <v>207</v>
      </c>
      <c r="T675" t="s">
        <v>207</v>
      </c>
      <c r="U675" t="s">
        <v>207</v>
      </c>
      <c r="V675" t="s">
        <v>207</v>
      </c>
      <c r="W675" t="s">
        <v>207</v>
      </c>
      <c r="X675" t="s">
        <v>207</v>
      </c>
      <c r="AG675" t="s">
        <v>4546</v>
      </c>
      <c r="AH675" t="s">
        <v>4563</v>
      </c>
      <c r="AI675" t="s">
        <v>4565</v>
      </c>
      <c r="AJ675" t="s">
        <v>4566</v>
      </c>
      <c r="AK675">
        <v>0</v>
      </c>
      <c r="AL675">
        <v>4.2000000000000003E-2</v>
      </c>
      <c r="AM675">
        <v>0</v>
      </c>
      <c r="AO675" t="s">
        <v>4568</v>
      </c>
      <c r="AQ675">
        <v>0</v>
      </c>
      <c r="AR675">
        <v>0</v>
      </c>
      <c r="AW675">
        <v>5520</v>
      </c>
      <c r="AX675">
        <v>2.3690000000000002</v>
      </c>
      <c r="AY675" t="s">
        <v>209</v>
      </c>
      <c r="BA675">
        <v>2968537824.5236001</v>
      </c>
      <c r="BB675" t="s">
        <v>4572</v>
      </c>
      <c r="BC675" t="s">
        <v>4632</v>
      </c>
    </row>
    <row r="676" spans="1:55" x14ac:dyDescent="0.25">
      <c r="A676">
        <v>9</v>
      </c>
      <c r="B676" t="s">
        <v>870</v>
      </c>
      <c r="C676" t="s">
        <v>2305</v>
      </c>
      <c r="D676" t="s">
        <v>3740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202</v>
      </c>
      <c r="K676">
        <v>2181574515.98667</v>
      </c>
      <c r="L676">
        <v>1</v>
      </c>
      <c r="O676" t="s">
        <v>207</v>
      </c>
      <c r="Q676" t="s">
        <v>207</v>
      </c>
      <c r="R676" t="s">
        <v>207</v>
      </c>
      <c r="S676" t="s">
        <v>207</v>
      </c>
      <c r="T676" t="s">
        <v>207</v>
      </c>
      <c r="U676" t="s">
        <v>207</v>
      </c>
      <c r="V676" t="s">
        <v>207</v>
      </c>
      <c r="W676" t="s">
        <v>207</v>
      </c>
      <c r="X676" t="s">
        <v>207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208</v>
      </c>
      <c r="AZ676" t="s">
        <v>4571</v>
      </c>
      <c r="BA676">
        <v>706688719819.85999</v>
      </c>
      <c r="BB676" t="s">
        <v>4572</v>
      </c>
      <c r="BC676" t="s">
        <v>4571</v>
      </c>
    </row>
    <row r="677" spans="1:55" x14ac:dyDescent="0.25">
      <c r="A677">
        <v>1213</v>
      </c>
      <c r="B677" t="s">
        <v>871</v>
      </c>
      <c r="C677" t="s">
        <v>2306</v>
      </c>
      <c r="D677" t="s">
        <v>3741</v>
      </c>
      <c r="E677" t="s">
        <v>93</v>
      </c>
      <c r="F677">
        <v>157301600</v>
      </c>
      <c r="G677">
        <v>22.914339999999999</v>
      </c>
      <c r="H677" t="s">
        <v>101</v>
      </c>
      <c r="I677">
        <v>3604462344.9439998</v>
      </c>
      <c r="J677" t="s">
        <v>205</v>
      </c>
      <c r="K677">
        <v>11917906.140465301</v>
      </c>
      <c r="L677">
        <v>1</v>
      </c>
      <c r="M677" t="s">
        <v>4536</v>
      </c>
      <c r="O677" t="s">
        <v>207</v>
      </c>
      <c r="Q677" t="s">
        <v>207</v>
      </c>
      <c r="R677" t="s">
        <v>207</v>
      </c>
      <c r="S677" t="s">
        <v>207</v>
      </c>
      <c r="T677" t="s">
        <v>207</v>
      </c>
      <c r="U677" t="s">
        <v>207</v>
      </c>
      <c r="V677" t="s">
        <v>207</v>
      </c>
      <c r="W677" t="s">
        <v>207</v>
      </c>
      <c r="X677" t="s">
        <v>207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210</v>
      </c>
      <c r="BA677">
        <v>3604462344.9439998</v>
      </c>
      <c r="BB677" t="s">
        <v>4572</v>
      </c>
      <c r="BC677" t="s">
        <v>4536</v>
      </c>
    </row>
    <row r="678" spans="1:55" x14ac:dyDescent="0.25">
      <c r="A678">
        <v>783</v>
      </c>
      <c r="B678" t="s">
        <v>872</v>
      </c>
      <c r="C678" t="s">
        <v>2307</v>
      </c>
      <c r="D678" t="s">
        <v>3742</v>
      </c>
      <c r="E678" t="s">
        <v>95</v>
      </c>
      <c r="F678">
        <v>206001790</v>
      </c>
      <c r="G678">
        <v>62.627630000000003</v>
      </c>
      <c r="H678" t="s">
        <v>103</v>
      </c>
      <c r="I678">
        <v>12901403883.457701</v>
      </c>
      <c r="J678" t="s">
        <v>204</v>
      </c>
      <c r="K678">
        <v>34741508.719351202</v>
      </c>
      <c r="L678">
        <v>1</v>
      </c>
      <c r="M678" t="s">
        <v>4536</v>
      </c>
      <c r="O678" t="s">
        <v>207</v>
      </c>
      <c r="Q678" t="s">
        <v>207</v>
      </c>
      <c r="R678" t="s">
        <v>207</v>
      </c>
      <c r="S678" t="s">
        <v>207</v>
      </c>
      <c r="T678" t="s">
        <v>207</v>
      </c>
      <c r="U678" t="s">
        <v>207</v>
      </c>
      <c r="V678" t="s">
        <v>207</v>
      </c>
      <c r="W678" t="s">
        <v>207</v>
      </c>
      <c r="X678" t="s">
        <v>207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209</v>
      </c>
      <c r="BA678">
        <v>12901403883.457701</v>
      </c>
      <c r="BB678" t="s">
        <v>4572</v>
      </c>
      <c r="BC678" t="s">
        <v>4536</v>
      </c>
    </row>
    <row r="679" spans="1:55" x14ac:dyDescent="0.25">
      <c r="A679">
        <v>1469</v>
      </c>
      <c r="B679" t="s">
        <v>873</v>
      </c>
      <c r="C679" t="s">
        <v>2308</v>
      </c>
      <c r="D679" t="s">
        <v>3743</v>
      </c>
      <c r="E679" t="s">
        <v>96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4535</v>
      </c>
      <c r="K679">
        <v>22951414.598690499</v>
      </c>
      <c r="L679">
        <v>0.8</v>
      </c>
      <c r="M679" t="s">
        <v>4536</v>
      </c>
      <c r="O679" t="s">
        <v>207</v>
      </c>
      <c r="Q679" t="s">
        <v>207</v>
      </c>
      <c r="R679" t="s">
        <v>207</v>
      </c>
      <c r="S679" t="s">
        <v>207</v>
      </c>
      <c r="T679" t="s">
        <v>207</v>
      </c>
      <c r="U679" t="s">
        <v>207</v>
      </c>
      <c r="V679" t="s">
        <v>207</v>
      </c>
      <c r="W679" t="s">
        <v>207</v>
      </c>
      <c r="X679" t="s">
        <v>207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209</v>
      </c>
      <c r="BA679">
        <v>2077139494.6400001</v>
      </c>
      <c r="BB679" t="s">
        <v>4572</v>
      </c>
      <c r="BC679" t="s">
        <v>4536</v>
      </c>
    </row>
    <row r="680" spans="1:55" x14ac:dyDescent="0.25">
      <c r="A680">
        <v>1260</v>
      </c>
      <c r="B680" t="s">
        <v>874</v>
      </c>
      <c r="C680" t="s">
        <v>2309</v>
      </c>
      <c r="D680" t="s">
        <v>3744</v>
      </c>
      <c r="E680" t="s">
        <v>4523</v>
      </c>
      <c r="F680">
        <v>64272095</v>
      </c>
      <c r="G680">
        <v>73.523319999999998</v>
      </c>
      <c r="H680" t="s">
        <v>4532</v>
      </c>
      <c r="I680">
        <v>4725497807.7553997</v>
      </c>
      <c r="J680" t="s">
        <v>204</v>
      </c>
      <c r="K680">
        <v>7679046.3637891002</v>
      </c>
      <c r="L680">
        <v>0.7</v>
      </c>
      <c r="M680" t="s">
        <v>4536</v>
      </c>
      <c r="N680" t="s">
        <v>4537</v>
      </c>
      <c r="O680" t="s">
        <v>207</v>
      </c>
      <c r="Q680" t="s">
        <v>207</v>
      </c>
      <c r="R680" t="s">
        <v>207</v>
      </c>
      <c r="S680" t="s">
        <v>207</v>
      </c>
      <c r="T680" t="s">
        <v>207</v>
      </c>
      <c r="U680" t="s">
        <v>207</v>
      </c>
      <c r="V680" t="s">
        <v>207</v>
      </c>
      <c r="W680" t="s">
        <v>207</v>
      </c>
      <c r="X680" t="s">
        <v>207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209</v>
      </c>
      <c r="BA680">
        <v>3307848465.4287801</v>
      </c>
      <c r="BB680" t="s">
        <v>4572</v>
      </c>
      <c r="BC680" t="s">
        <v>4575</v>
      </c>
    </row>
    <row r="681" spans="1:55" x14ac:dyDescent="0.25">
      <c r="A681">
        <v>1443</v>
      </c>
      <c r="B681" t="s">
        <v>875</v>
      </c>
      <c r="C681" t="s">
        <v>2310</v>
      </c>
      <c r="D681" t="s">
        <v>3745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4535</v>
      </c>
      <c r="K681">
        <v>11280809.5082787</v>
      </c>
      <c r="L681">
        <v>0.95</v>
      </c>
      <c r="M681" t="s">
        <v>4536</v>
      </c>
      <c r="O681" t="s">
        <v>207</v>
      </c>
      <c r="Q681" t="s">
        <v>207</v>
      </c>
      <c r="R681" t="s">
        <v>207</v>
      </c>
      <c r="S681" t="s">
        <v>207</v>
      </c>
      <c r="T681" t="s">
        <v>207</v>
      </c>
      <c r="U681" t="s">
        <v>207</v>
      </c>
      <c r="V681" t="s">
        <v>207</v>
      </c>
      <c r="W681" t="s">
        <v>207</v>
      </c>
      <c r="X681" t="s">
        <v>207</v>
      </c>
      <c r="AG681" t="s">
        <v>4546</v>
      </c>
      <c r="AH681" t="s">
        <v>4564</v>
      </c>
      <c r="AI681" t="s">
        <v>4565</v>
      </c>
      <c r="AJ681" t="s">
        <v>4566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209</v>
      </c>
      <c r="AZ681" t="s">
        <v>4571</v>
      </c>
      <c r="BA681">
        <v>2228899500</v>
      </c>
      <c r="BB681" t="s">
        <v>4572</v>
      </c>
      <c r="BC681" t="s">
        <v>4588</v>
      </c>
    </row>
    <row r="682" spans="1:55" x14ac:dyDescent="0.25">
      <c r="A682">
        <v>1388</v>
      </c>
      <c r="B682" t="s">
        <v>876</v>
      </c>
      <c r="C682" t="s">
        <v>2311</v>
      </c>
      <c r="D682" t="s">
        <v>3746</v>
      </c>
      <c r="E682" t="s">
        <v>93</v>
      </c>
      <c r="F682">
        <v>148990300</v>
      </c>
      <c r="G682">
        <v>23.387589999999999</v>
      </c>
      <c r="H682" t="s">
        <v>101</v>
      </c>
      <c r="I682">
        <v>3484524050.3769999</v>
      </c>
      <c r="J682" t="s">
        <v>205</v>
      </c>
      <c r="K682">
        <v>25540227.233832698</v>
      </c>
      <c r="L682">
        <v>0.75</v>
      </c>
      <c r="M682" t="s">
        <v>4536</v>
      </c>
      <c r="O682" t="s">
        <v>207</v>
      </c>
      <c r="Q682" t="s">
        <v>207</v>
      </c>
      <c r="R682" t="s">
        <v>207</v>
      </c>
      <c r="S682" t="s">
        <v>207</v>
      </c>
      <c r="T682" t="s">
        <v>207</v>
      </c>
      <c r="U682" t="s">
        <v>207</v>
      </c>
      <c r="V682" t="s">
        <v>207</v>
      </c>
      <c r="W682" t="s">
        <v>207</v>
      </c>
      <c r="X682" t="s">
        <v>207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210</v>
      </c>
      <c r="BA682">
        <v>2613393037.7827501</v>
      </c>
      <c r="BB682" t="s">
        <v>4572</v>
      </c>
      <c r="BC682" t="s">
        <v>4536</v>
      </c>
    </row>
    <row r="683" spans="1:55" x14ac:dyDescent="0.25">
      <c r="A683">
        <v>838</v>
      </c>
      <c r="B683" t="s">
        <v>877</v>
      </c>
      <c r="C683" t="s">
        <v>2312</v>
      </c>
      <c r="D683" t="s">
        <v>3747</v>
      </c>
      <c r="E683" t="s">
        <v>93</v>
      </c>
      <c r="F683">
        <v>528656000</v>
      </c>
      <c r="G683">
        <v>20.042850000000001</v>
      </c>
      <c r="H683" t="s">
        <v>101</v>
      </c>
      <c r="I683">
        <v>10595772909.6</v>
      </c>
      <c r="J683" t="s">
        <v>205</v>
      </c>
      <c r="K683">
        <v>25151638.9067434</v>
      </c>
      <c r="L683">
        <v>0.9</v>
      </c>
      <c r="M683" t="s">
        <v>4536</v>
      </c>
      <c r="O683" t="s">
        <v>207</v>
      </c>
      <c r="Q683" t="s">
        <v>207</v>
      </c>
      <c r="R683" t="s">
        <v>207</v>
      </c>
      <c r="S683" t="s">
        <v>207</v>
      </c>
      <c r="T683" t="s">
        <v>207</v>
      </c>
      <c r="U683" t="s">
        <v>207</v>
      </c>
      <c r="V683" t="s">
        <v>207</v>
      </c>
      <c r="W683" t="s">
        <v>207</v>
      </c>
      <c r="X683" t="s">
        <v>207</v>
      </c>
      <c r="AK683">
        <v>0</v>
      </c>
      <c r="AL683">
        <v>0.01</v>
      </c>
      <c r="AM683">
        <v>0</v>
      </c>
      <c r="AO683" t="s">
        <v>4568</v>
      </c>
      <c r="AQ683">
        <v>0</v>
      </c>
      <c r="AR683">
        <v>0</v>
      </c>
      <c r="AW683">
        <v>5010</v>
      </c>
      <c r="AX683">
        <v>1.9339999999999999</v>
      </c>
      <c r="AY683" t="s">
        <v>210</v>
      </c>
      <c r="BA683">
        <v>9536195618.6400013</v>
      </c>
      <c r="BB683" t="s">
        <v>4572</v>
      </c>
      <c r="BC683" t="s">
        <v>4582</v>
      </c>
    </row>
    <row r="684" spans="1:55" x14ac:dyDescent="0.25">
      <c r="A684">
        <v>812</v>
      </c>
      <c r="B684" t="s">
        <v>878</v>
      </c>
      <c r="C684" t="s">
        <v>2313</v>
      </c>
      <c r="D684" t="s">
        <v>3748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205</v>
      </c>
      <c r="K684">
        <v>114315929.704567</v>
      </c>
      <c r="L684">
        <v>0.9</v>
      </c>
      <c r="M684" t="s">
        <v>4536</v>
      </c>
      <c r="O684" t="s">
        <v>206</v>
      </c>
      <c r="Q684" t="s">
        <v>207</v>
      </c>
      <c r="R684" t="s">
        <v>207</v>
      </c>
      <c r="S684" t="s">
        <v>207</v>
      </c>
      <c r="T684" t="s">
        <v>207</v>
      </c>
      <c r="U684" t="s">
        <v>207</v>
      </c>
      <c r="V684" t="s">
        <v>207</v>
      </c>
      <c r="W684" t="s">
        <v>207</v>
      </c>
      <c r="X684" t="s">
        <v>207</v>
      </c>
      <c r="AK684">
        <v>5.0200000000000002E-2</v>
      </c>
      <c r="AL684">
        <v>0.247</v>
      </c>
      <c r="AM684">
        <v>0.1842</v>
      </c>
      <c r="AN684" t="s">
        <v>4567</v>
      </c>
      <c r="AO684" t="s">
        <v>4568</v>
      </c>
      <c r="AP684" t="s">
        <v>4569</v>
      </c>
      <c r="AQ684">
        <v>0</v>
      </c>
      <c r="AR684">
        <v>0</v>
      </c>
      <c r="AW684">
        <v>6510</v>
      </c>
      <c r="AX684">
        <v>1.9339999999999999</v>
      </c>
      <c r="AY684" t="s">
        <v>210</v>
      </c>
      <c r="AZ684" t="s">
        <v>4571</v>
      </c>
      <c r="BA684">
        <v>10973512254.262501</v>
      </c>
      <c r="BB684" t="s">
        <v>4572</v>
      </c>
      <c r="BC684" t="s">
        <v>4612</v>
      </c>
    </row>
    <row r="685" spans="1:55" x14ac:dyDescent="0.25">
      <c r="A685">
        <v>1442</v>
      </c>
      <c r="B685" t="s">
        <v>879</v>
      </c>
      <c r="C685" t="s">
        <v>2314</v>
      </c>
      <c r="D685" t="s">
        <v>3749</v>
      </c>
      <c r="E685" t="s">
        <v>93</v>
      </c>
      <c r="F685">
        <v>186938960</v>
      </c>
      <c r="G685">
        <v>14.034470000000001</v>
      </c>
      <c r="H685" t="s">
        <v>101</v>
      </c>
      <c r="I685">
        <v>2623589225.9512</v>
      </c>
      <c r="J685" t="s">
        <v>205</v>
      </c>
      <c r="K685">
        <v>12408008.033058699</v>
      </c>
      <c r="L685">
        <v>0.85</v>
      </c>
      <c r="M685" t="s">
        <v>4536</v>
      </c>
      <c r="O685" t="s">
        <v>207</v>
      </c>
      <c r="Q685" t="s">
        <v>207</v>
      </c>
      <c r="R685" t="s">
        <v>207</v>
      </c>
      <c r="S685" t="s">
        <v>207</v>
      </c>
      <c r="T685" t="s">
        <v>207</v>
      </c>
      <c r="U685" t="s">
        <v>207</v>
      </c>
      <c r="V685" t="s">
        <v>207</v>
      </c>
      <c r="W685" t="s">
        <v>207</v>
      </c>
      <c r="X685" t="s">
        <v>207</v>
      </c>
      <c r="AG685" t="s">
        <v>4546</v>
      </c>
      <c r="AH685" t="s">
        <v>4564</v>
      </c>
      <c r="AI685" t="s">
        <v>4565</v>
      </c>
      <c r="AJ685" t="s">
        <v>4566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210</v>
      </c>
      <c r="AZ685" t="s">
        <v>4571</v>
      </c>
      <c r="BA685">
        <v>2230050842.0585198</v>
      </c>
      <c r="BB685" t="s">
        <v>4572</v>
      </c>
      <c r="BC685" t="s">
        <v>4588</v>
      </c>
    </row>
    <row r="686" spans="1:55" x14ac:dyDescent="0.25">
      <c r="A686">
        <v>659</v>
      </c>
      <c r="B686" t="s">
        <v>880</v>
      </c>
      <c r="C686" t="s">
        <v>2315</v>
      </c>
      <c r="D686" t="s">
        <v>3750</v>
      </c>
      <c r="E686" t="s">
        <v>93</v>
      </c>
      <c r="F686">
        <v>465900000</v>
      </c>
      <c r="G686">
        <v>41.735689999999998</v>
      </c>
      <c r="H686" t="s">
        <v>101</v>
      </c>
      <c r="I686">
        <v>19444657971</v>
      </c>
      <c r="J686" t="s">
        <v>205</v>
      </c>
      <c r="K686">
        <v>52184651.891227402</v>
      </c>
      <c r="L686">
        <v>0.95</v>
      </c>
      <c r="M686" t="s">
        <v>4536</v>
      </c>
      <c r="O686" t="s">
        <v>207</v>
      </c>
      <c r="Q686" t="s">
        <v>207</v>
      </c>
      <c r="R686" t="s">
        <v>207</v>
      </c>
      <c r="S686" t="s">
        <v>207</v>
      </c>
      <c r="T686" t="s">
        <v>207</v>
      </c>
      <c r="U686" t="s">
        <v>207</v>
      </c>
      <c r="V686" t="s">
        <v>207</v>
      </c>
      <c r="W686" t="s">
        <v>207</v>
      </c>
      <c r="X686" t="s">
        <v>207</v>
      </c>
      <c r="AG686" t="s">
        <v>4546</v>
      </c>
      <c r="AH686" t="s">
        <v>4563</v>
      </c>
      <c r="AI686" t="s">
        <v>4565</v>
      </c>
      <c r="AJ686" t="s">
        <v>4566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210</v>
      </c>
      <c r="BA686">
        <v>18472425072.450001</v>
      </c>
      <c r="BB686" t="s">
        <v>4572</v>
      </c>
      <c r="BC686" t="s">
        <v>4578</v>
      </c>
    </row>
    <row r="687" spans="1:55" x14ac:dyDescent="0.25">
      <c r="A687">
        <v>880</v>
      </c>
      <c r="B687" t="s">
        <v>881</v>
      </c>
      <c r="C687" t="s">
        <v>2316</v>
      </c>
      <c r="D687" t="s">
        <v>3751</v>
      </c>
      <c r="E687" t="s">
        <v>93</v>
      </c>
      <c r="F687">
        <v>167921800</v>
      </c>
      <c r="G687">
        <v>50.279800000000002</v>
      </c>
      <c r="H687" t="s">
        <v>101</v>
      </c>
      <c r="I687">
        <v>8443074519.6400003</v>
      </c>
      <c r="J687" t="s">
        <v>205</v>
      </c>
      <c r="K687">
        <v>532806842.21185201</v>
      </c>
      <c r="L687">
        <v>1</v>
      </c>
      <c r="M687" t="s">
        <v>4536</v>
      </c>
      <c r="O687" t="s">
        <v>207</v>
      </c>
      <c r="Q687" t="s">
        <v>207</v>
      </c>
      <c r="R687" t="s">
        <v>207</v>
      </c>
      <c r="S687" t="s">
        <v>207</v>
      </c>
      <c r="T687" t="s">
        <v>207</v>
      </c>
      <c r="U687" t="s">
        <v>207</v>
      </c>
      <c r="V687" t="s">
        <v>207</v>
      </c>
      <c r="W687" t="s">
        <v>207</v>
      </c>
      <c r="X687" t="s">
        <v>207</v>
      </c>
      <c r="AK687">
        <v>0</v>
      </c>
      <c r="AL687">
        <v>0.1</v>
      </c>
      <c r="AM687">
        <v>0</v>
      </c>
      <c r="AO687" t="s">
        <v>4568</v>
      </c>
      <c r="AQ687">
        <v>0</v>
      </c>
      <c r="AR687">
        <v>0</v>
      </c>
      <c r="AW687">
        <v>5020</v>
      </c>
      <c r="AX687">
        <v>2.427</v>
      </c>
      <c r="AY687" t="s">
        <v>210</v>
      </c>
      <c r="BA687">
        <v>8443074519.6400003</v>
      </c>
      <c r="BB687" t="s">
        <v>4572</v>
      </c>
      <c r="BC687" t="s">
        <v>4582</v>
      </c>
    </row>
    <row r="688" spans="1:55" x14ac:dyDescent="0.25">
      <c r="A688">
        <v>1013</v>
      </c>
      <c r="B688" t="s">
        <v>882</v>
      </c>
      <c r="C688" t="s">
        <v>2317</v>
      </c>
      <c r="D688" t="s">
        <v>3752</v>
      </c>
      <c r="E688" t="s">
        <v>93</v>
      </c>
      <c r="F688">
        <v>675172060</v>
      </c>
      <c r="G688">
        <v>13.4557</v>
      </c>
      <c r="H688" t="s">
        <v>101</v>
      </c>
      <c r="I688">
        <v>9084912687.7420006</v>
      </c>
      <c r="J688" t="s">
        <v>205</v>
      </c>
      <c r="K688">
        <v>93760792.792044103</v>
      </c>
      <c r="L688">
        <v>0.65</v>
      </c>
      <c r="M688" t="s">
        <v>4536</v>
      </c>
      <c r="O688" t="s">
        <v>207</v>
      </c>
      <c r="Q688" t="s">
        <v>207</v>
      </c>
      <c r="R688" t="s">
        <v>207</v>
      </c>
      <c r="S688" t="s">
        <v>207</v>
      </c>
      <c r="T688" t="s">
        <v>207</v>
      </c>
      <c r="U688" t="s">
        <v>207</v>
      </c>
      <c r="V688" t="s">
        <v>207</v>
      </c>
      <c r="W688" t="s">
        <v>207</v>
      </c>
      <c r="X688" t="s">
        <v>207</v>
      </c>
      <c r="AK688">
        <v>0</v>
      </c>
      <c r="AL688">
        <v>0.15</v>
      </c>
      <c r="AM688">
        <v>0</v>
      </c>
      <c r="AO688" t="s">
        <v>4568</v>
      </c>
      <c r="AQ688">
        <v>0</v>
      </c>
      <c r="AR688">
        <v>0</v>
      </c>
      <c r="AW688">
        <v>5020</v>
      </c>
      <c r="AX688">
        <v>1.677</v>
      </c>
      <c r="AY688" t="s">
        <v>210</v>
      </c>
      <c r="AZ688" t="s">
        <v>4571</v>
      </c>
      <c r="BA688">
        <v>5905193247.0323009</v>
      </c>
      <c r="BB688" t="s">
        <v>4572</v>
      </c>
      <c r="BC688" t="s">
        <v>4594</v>
      </c>
    </row>
    <row r="689" spans="1:55" x14ac:dyDescent="0.25">
      <c r="A689">
        <v>653</v>
      </c>
      <c r="B689" t="s">
        <v>883</v>
      </c>
      <c r="C689" t="s">
        <v>2318</v>
      </c>
      <c r="D689" t="s">
        <v>3753</v>
      </c>
      <c r="E689" t="s">
        <v>4520</v>
      </c>
      <c r="F689">
        <v>417544151</v>
      </c>
      <c r="G689">
        <v>81.3</v>
      </c>
      <c r="H689" t="s">
        <v>99</v>
      </c>
      <c r="I689">
        <v>33946339476.299999</v>
      </c>
      <c r="J689" t="s">
        <v>203</v>
      </c>
      <c r="K689">
        <v>34500356.415872999</v>
      </c>
      <c r="L689">
        <v>0.55000000000000004</v>
      </c>
      <c r="M689" t="s">
        <v>4536</v>
      </c>
      <c r="O689" t="s">
        <v>207</v>
      </c>
      <c r="Q689" t="s">
        <v>207</v>
      </c>
      <c r="R689" t="s">
        <v>207</v>
      </c>
      <c r="S689" t="s">
        <v>207</v>
      </c>
      <c r="T689" t="s">
        <v>207</v>
      </c>
      <c r="U689" t="s">
        <v>207</v>
      </c>
      <c r="V689" t="s">
        <v>207</v>
      </c>
      <c r="W689" t="s">
        <v>207</v>
      </c>
      <c r="X689" t="s">
        <v>207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209</v>
      </c>
      <c r="BA689">
        <v>18670486711.965</v>
      </c>
      <c r="BB689" t="s">
        <v>4572</v>
      </c>
      <c r="BC689" t="s">
        <v>4536</v>
      </c>
    </row>
    <row r="690" spans="1:55" x14ac:dyDescent="0.25">
      <c r="A690">
        <v>318</v>
      </c>
      <c r="B690" t="s">
        <v>187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67522305138.431999</v>
      </c>
      <c r="J690" t="s">
        <v>205</v>
      </c>
      <c r="K690">
        <v>116796534.91777401</v>
      </c>
      <c r="L690">
        <v>0.65</v>
      </c>
      <c r="O690" t="s">
        <v>207</v>
      </c>
      <c r="Q690" t="s">
        <v>207</v>
      </c>
      <c r="R690" t="s">
        <v>207</v>
      </c>
      <c r="S690" t="s">
        <v>207</v>
      </c>
      <c r="T690" t="s">
        <v>207</v>
      </c>
      <c r="U690" t="s">
        <v>207</v>
      </c>
      <c r="V690" t="s">
        <v>207</v>
      </c>
      <c r="W690" t="s">
        <v>207</v>
      </c>
      <c r="X690" t="s">
        <v>207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210</v>
      </c>
      <c r="BA690">
        <v>43889498339.980797</v>
      </c>
      <c r="BB690" t="s">
        <v>211</v>
      </c>
    </row>
    <row r="691" spans="1:55" x14ac:dyDescent="0.25">
      <c r="A691">
        <v>1458</v>
      </c>
      <c r="B691" t="s">
        <v>884</v>
      </c>
      <c r="C691" t="s">
        <v>2319</v>
      </c>
      <c r="D691" t="s">
        <v>3754</v>
      </c>
      <c r="E691" t="s">
        <v>93</v>
      </c>
      <c r="F691">
        <v>113182700</v>
      </c>
      <c r="G691">
        <v>20.995750000000001</v>
      </c>
      <c r="H691" t="s">
        <v>101</v>
      </c>
      <c r="I691">
        <v>2376355673.5250001</v>
      </c>
      <c r="J691" t="s">
        <v>205</v>
      </c>
      <c r="K691">
        <v>4970973.2174611697</v>
      </c>
      <c r="L691">
        <v>0.9</v>
      </c>
      <c r="M691" t="s">
        <v>4536</v>
      </c>
      <c r="N691" t="s">
        <v>4537</v>
      </c>
      <c r="O691" t="s">
        <v>207</v>
      </c>
      <c r="Q691" t="s">
        <v>207</v>
      </c>
      <c r="R691" t="s">
        <v>207</v>
      </c>
      <c r="S691" t="s">
        <v>207</v>
      </c>
      <c r="T691" t="s">
        <v>207</v>
      </c>
      <c r="U691" t="s">
        <v>207</v>
      </c>
      <c r="V691" t="s">
        <v>207</v>
      </c>
      <c r="W691" t="s">
        <v>207</v>
      </c>
      <c r="X691" t="s">
        <v>207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210</v>
      </c>
      <c r="AZ691" t="s">
        <v>4571</v>
      </c>
      <c r="BA691">
        <v>2138720106.1724999</v>
      </c>
      <c r="BB691" t="s">
        <v>4572</v>
      </c>
      <c r="BC691" t="s">
        <v>4584</v>
      </c>
    </row>
    <row r="692" spans="1:55" x14ac:dyDescent="0.25">
      <c r="A692">
        <v>1396</v>
      </c>
      <c r="B692" t="s">
        <v>885</v>
      </c>
      <c r="C692" t="s">
        <v>2320</v>
      </c>
      <c r="D692" t="s">
        <v>3755</v>
      </c>
      <c r="E692" t="s">
        <v>93</v>
      </c>
      <c r="F692">
        <v>275760560</v>
      </c>
      <c r="G692">
        <v>9.1964319999999997</v>
      </c>
      <c r="H692" t="s">
        <v>101</v>
      </c>
      <c r="I692">
        <v>2536013238.3219199</v>
      </c>
      <c r="J692" t="s">
        <v>205</v>
      </c>
      <c r="K692">
        <v>8292777.9739484303</v>
      </c>
      <c r="L692">
        <v>1</v>
      </c>
      <c r="M692" t="s">
        <v>4536</v>
      </c>
      <c r="N692" t="s">
        <v>4537</v>
      </c>
      <c r="O692" t="s">
        <v>207</v>
      </c>
      <c r="Q692" t="s">
        <v>207</v>
      </c>
      <c r="R692" t="s">
        <v>207</v>
      </c>
      <c r="S692" t="s">
        <v>207</v>
      </c>
      <c r="T692" t="s">
        <v>207</v>
      </c>
      <c r="U692" t="s">
        <v>207</v>
      </c>
      <c r="V692" t="s">
        <v>207</v>
      </c>
      <c r="W692" t="s">
        <v>207</v>
      </c>
      <c r="X692" t="s">
        <v>207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210</v>
      </c>
      <c r="AZ692" t="s">
        <v>4571</v>
      </c>
      <c r="BA692">
        <v>2536013238.3219199</v>
      </c>
      <c r="BB692" t="s">
        <v>4572</v>
      </c>
      <c r="BC692" t="s">
        <v>4584</v>
      </c>
    </row>
    <row r="693" spans="1:55" x14ac:dyDescent="0.25">
      <c r="A693">
        <v>1321</v>
      </c>
      <c r="B693" t="s">
        <v>886</v>
      </c>
      <c r="C693" t="s">
        <v>2321</v>
      </c>
      <c r="D693" t="s">
        <v>3756</v>
      </c>
      <c r="E693" t="s">
        <v>93</v>
      </c>
      <c r="F693">
        <v>128550830</v>
      </c>
      <c r="G693">
        <v>24.474789999999999</v>
      </c>
      <c r="H693" t="s">
        <v>101</v>
      </c>
      <c r="I693">
        <v>3146254568.5756998</v>
      </c>
      <c r="J693" t="s">
        <v>205</v>
      </c>
      <c r="K693">
        <v>9192090.3666777909</v>
      </c>
      <c r="L693">
        <v>0.95</v>
      </c>
      <c r="M693" t="s">
        <v>4536</v>
      </c>
      <c r="N693" t="s">
        <v>4537</v>
      </c>
      <c r="O693" t="s">
        <v>207</v>
      </c>
      <c r="Q693" t="s">
        <v>207</v>
      </c>
      <c r="R693" t="s">
        <v>207</v>
      </c>
      <c r="S693" t="s">
        <v>207</v>
      </c>
      <c r="T693" t="s">
        <v>207</v>
      </c>
      <c r="U693" t="s">
        <v>207</v>
      </c>
      <c r="V693" t="s">
        <v>207</v>
      </c>
      <c r="W693" t="s">
        <v>207</v>
      </c>
      <c r="X693" t="s">
        <v>207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210</v>
      </c>
      <c r="AZ693" t="s">
        <v>4571</v>
      </c>
      <c r="BA693">
        <v>2988941840.146914</v>
      </c>
      <c r="BB693" t="s">
        <v>4572</v>
      </c>
      <c r="BC693" t="s">
        <v>4584</v>
      </c>
    </row>
    <row r="694" spans="1:55" x14ac:dyDescent="0.25">
      <c r="A694">
        <v>1082</v>
      </c>
      <c r="B694" t="s">
        <v>887</v>
      </c>
      <c r="C694" t="s">
        <v>2322</v>
      </c>
      <c r="D694" t="s">
        <v>3757</v>
      </c>
      <c r="E694" t="s">
        <v>93</v>
      </c>
      <c r="F694">
        <v>517233600</v>
      </c>
      <c r="G694">
        <v>9.4138730000000006</v>
      </c>
      <c r="H694" t="s">
        <v>101</v>
      </c>
      <c r="I694">
        <v>4869171421.7327995</v>
      </c>
      <c r="J694" t="s">
        <v>205</v>
      </c>
      <c r="K694">
        <v>34983111.725599103</v>
      </c>
      <c r="L694">
        <v>1</v>
      </c>
      <c r="M694" t="s">
        <v>4536</v>
      </c>
      <c r="O694" t="s">
        <v>207</v>
      </c>
      <c r="Q694" t="s">
        <v>207</v>
      </c>
      <c r="R694" t="s">
        <v>207</v>
      </c>
      <c r="S694" t="s">
        <v>207</v>
      </c>
      <c r="T694" t="s">
        <v>207</v>
      </c>
      <c r="U694" t="s">
        <v>207</v>
      </c>
      <c r="V694" t="s">
        <v>207</v>
      </c>
      <c r="W694" t="s">
        <v>207</v>
      </c>
      <c r="X694" t="s">
        <v>207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210</v>
      </c>
      <c r="BA694">
        <v>4869171421.7327995</v>
      </c>
      <c r="BB694" t="s">
        <v>4572</v>
      </c>
      <c r="BC694" t="s">
        <v>4536</v>
      </c>
    </row>
    <row r="695" spans="1:55" x14ac:dyDescent="0.25">
      <c r="A695">
        <v>545</v>
      </c>
      <c r="B695" t="s">
        <v>888</v>
      </c>
      <c r="C695" t="s">
        <v>2323</v>
      </c>
      <c r="D695" t="s">
        <v>3758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202</v>
      </c>
      <c r="K695">
        <v>168718812.41196299</v>
      </c>
      <c r="L695">
        <v>0.85</v>
      </c>
      <c r="O695" t="s">
        <v>207</v>
      </c>
      <c r="Q695" t="s">
        <v>207</v>
      </c>
      <c r="R695" t="s">
        <v>207</v>
      </c>
      <c r="S695" t="s">
        <v>207</v>
      </c>
      <c r="T695" t="s">
        <v>207</v>
      </c>
      <c r="U695" t="s">
        <v>207</v>
      </c>
      <c r="V695" t="s">
        <v>207</v>
      </c>
      <c r="W695" t="s">
        <v>207</v>
      </c>
      <c r="X695" t="s">
        <v>207</v>
      </c>
      <c r="AG695" t="s">
        <v>4546</v>
      </c>
      <c r="AH695" t="s">
        <v>4564</v>
      </c>
      <c r="AI695" t="s">
        <v>4565</v>
      </c>
      <c r="AJ695" t="s">
        <v>4566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208</v>
      </c>
      <c r="BA695">
        <v>23199631294.714748</v>
      </c>
      <c r="BB695" t="s">
        <v>4572</v>
      </c>
      <c r="BC695" t="s">
        <v>4581</v>
      </c>
    </row>
    <row r="696" spans="1:55" x14ac:dyDescent="0.25">
      <c r="A696">
        <v>1397</v>
      </c>
      <c r="B696" t="s">
        <v>889</v>
      </c>
      <c r="C696" t="s">
        <v>2324</v>
      </c>
      <c r="D696" t="s">
        <v>3759</v>
      </c>
      <c r="E696" t="s">
        <v>4528</v>
      </c>
      <c r="F696">
        <v>155342560</v>
      </c>
      <c r="G696">
        <v>21.72</v>
      </c>
      <c r="H696" t="s">
        <v>99</v>
      </c>
      <c r="I696">
        <v>3374040403.1999998</v>
      </c>
      <c r="J696" t="s">
        <v>4535</v>
      </c>
      <c r="K696">
        <v>3610169.46864407</v>
      </c>
      <c r="L696">
        <v>0.75</v>
      </c>
      <c r="M696" t="s">
        <v>4536</v>
      </c>
      <c r="N696" t="s">
        <v>4537</v>
      </c>
      <c r="O696" t="s">
        <v>207</v>
      </c>
      <c r="Q696" t="s">
        <v>207</v>
      </c>
      <c r="R696" t="s">
        <v>207</v>
      </c>
      <c r="S696" t="s">
        <v>207</v>
      </c>
      <c r="T696" t="s">
        <v>207</v>
      </c>
      <c r="U696" t="s">
        <v>207</v>
      </c>
      <c r="V696" t="s">
        <v>207</v>
      </c>
      <c r="W696" t="s">
        <v>207</v>
      </c>
      <c r="X696" t="s">
        <v>207</v>
      </c>
      <c r="AG696" t="s">
        <v>4546</v>
      </c>
      <c r="AH696" t="s">
        <v>4564</v>
      </c>
      <c r="AI696" t="s">
        <v>4565</v>
      </c>
      <c r="AJ696" t="s">
        <v>4566</v>
      </c>
      <c r="AK696">
        <v>0</v>
      </c>
      <c r="AL696">
        <v>0.13600000000000001</v>
      </c>
      <c r="AM696">
        <v>0</v>
      </c>
      <c r="AO696" t="s">
        <v>4568</v>
      </c>
      <c r="AQ696">
        <v>0</v>
      </c>
      <c r="AR696">
        <v>0</v>
      </c>
      <c r="AW696">
        <v>5520</v>
      </c>
      <c r="AX696">
        <v>2.714</v>
      </c>
      <c r="AY696" t="s">
        <v>209</v>
      </c>
      <c r="BA696">
        <v>2530530302.4000001</v>
      </c>
      <c r="BB696" t="s">
        <v>4572</v>
      </c>
      <c r="BC696" t="s">
        <v>4632</v>
      </c>
    </row>
    <row r="697" spans="1:55" x14ac:dyDescent="0.25">
      <c r="A697">
        <v>1168</v>
      </c>
      <c r="B697" t="s">
        <v>890</v>
      </c>
      <c r="C697" t="s">
        <v>2325</v>
      </c>
      <c r="D697" t="s">
        <v>3760</v>
      </c>
      <c r="E697" t="s">
        <v>93</v>
      </c>
      <c r="F697">
        <v>4079309</v>
      </c>
      <c r="G697">
        <v>965.68939999999998</v>
      </c>
      <c r="H697" t="s">
        <v>101</v>
      </c>
      <c r="I697">
        <v>3939345460.6245999</v>
      </c>
      <c r="J697" t="s">
        <v>205</v>
      </c>
      <c r="K697">
        <v>8938321.6761405598</v>
      </c>
      <c r="L697">
        <v>1</v>
      </c>
      <c r="M697" t="s">
        <v>4536</v>
      </c>
      <c r="N697" t="s">
        <v>4537</v>
      </c>
      <c r="O697" t="s">
        <v>207</v>
      </c>
      <c r="Q697" t="s">
        <v>207</v>
      </c>
      <c r="R697" t="s">
        <v>207</v>
      </c>
      <c r="S697" t="s">
        <v>207</v>
      </c>
      <c r="T697" t="s">
        <v>207</v>
      </c>
      <c r="U697" t="s">
        <v>207</v>
      </c>
      <c r="V697" t="s">
        <v>207</v>
      </c>
      <c r="W697" t="s">
        <v>207</v>
      </c>
      <c r="X697" t="s">
        <v>207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210</v>
      </c>
      <c r="BA697">
        <v>3939345460.6245999</v>
      </c>
      <c r="BB697" t="s">
        <v>4572</v>
      </c>
      <c r="BC697" t="s">
        <v>4575</v>
      </c>
    </row>
    <row r="698" spans="1:55" x14ac:dyDescent="0.25">
      <c r="A698">
        <v>329</v>
      </c>
      <c r="B698" t="s">
        <v>891</v>
      </c>
      <c r="C698" t="s">
        <v>2326</v>
      </c>
      <c r="D698" t="s">
        <v>3761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202</v>
      </c>
      <c r="K698">
        <v>276922994.49039298</v>
      </c>
      <c r="L698">
        <v>1</v>
      </c>
      <c r="O698" t="s">
        <v>207</v>
      </c>
      <c r="Q698" t="s">
        <v>207</v>
      </c>
      <c r="R698" t="s">
        <v>207</v>
      </c>
      <c r="S698" t="s">
        <v>207</v>
      </c>
      <c r="T698" t="s">
        <v>207</v>
      </c>
      <c r="U698" t="s">
        <v>207</v>
      </c>
      <c r="V698" t="s">
        <v>207</v>
      </c>
      <c r="W698" t="s">
        <v>207</v>
      </c>
      <c r="X698" t="s">
        <v>207</v>
      </c>
      <c r="AG698" t="s">
        <v>4539</v>
      </c>
      <c r="AH698" t="s">
        <v>4539</v>
      </c>
      <c r="AI698" t="s">
        <v>4565</v>
      </c>
      <c r="AJ698" t="s">
        <v>4566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208</v>
      </c>
      <c r="AZ698" t="s">
        <v>4571</v>
      </c>
      <c r="BA698">
        <v>42764656377.888</v>
      </c>
      <c r="BB698" t="s">
        <v>4572</v>
      </c>
      <c r="BC698" t="s">
        <v>4598</v>
      </c>
    </row>
    <row r="699" spans="1:55" x14ac:dyDescent="0.25">
      <c r="A699">
        <v>943</v>
      </c>
      <c r="B699" t="s">
        <v>892</v>
      </c>
      <c r="C699" t="s">
        <v>2327</v>
      </c>
      <c r="D699" t="s">
        <v>3762</v>
      </c>
      <c r="E699" t="s">
        <v>4527</v>
      </c>
      <c r="F699">
        <v>1820557700</v>
      </c>
      <c r="G699">
        <v>4.8740119999999996</v>
      </c>
      <c r="H699" t="s">
        <v>4534</v>
      </c>
      <c r="I699">
        <v>8873420076.4923992</v>
      </c>
      <c r="J699" t="s">
        <v>205</v>
      </c>
      <c r="K699">
        <v>13714123.5674602</v>
      </c>
      <c r="L699">
        <v>0.8</v>
      </c>
      <c r="M699" t="s">
        <v>4536</v>
      </c>
      <c r="O699" t="s">
        <v>207</v>
      </c>
      <c r="Q699" t="s">
        <v>207</v>
      </c>
      <c r="R699" t="s">
        <v>207</v>
      </c>
      <c r="S699" t="s">
        <v>207</v>
      </c>
      <c r="T699" t="s">
        <v>207</v>
      </c>
      <c r="U699" t="s">
        <v>207</v>
      </c>
      <c r="V699" t="s">
        <v>207</v>
      </c>
      <c r="W699" t="s">
        <v>207</v>
      </c>
      <c r="X699" t="s">
        <v>207</v>
      </c>
      <c r="AK699">
        <v>0</v>
      </c>
      <c r="AL699">
        <v>9.8000000000000004E-2</v>
      </c>
      <c r="AM699">
        <v>3.73E-2</v>
      </c>
      <c r="AO699" t="s">
        <v>4568</v>
      </c>
      <c r="AP699" t="s">
        <v>4569</v>
      </c>
      <c r="AQ699">
        <v>0</v>
      </c>
      <c r="AR699">
        <v>0</v>
      </c>
      <c r="AW699">
        <v>6510</v>
      </c>
      <c r="AX699">
        <v>2.1520000000000001</v>
      </c>
      <c r="AY699" t="s">
        <v>210</v>
      </c>
      <c r="BA699">
        <v>7098736061.1939201</v>
      </c>
      <c r="BB699" t="s">
        <v>4572</v>
      </c>
      <c r="BC699" t="s">
        <v>4595</v>
      </c>
    </row>
    <row r="700" spans="1:55" x14ac:dyDescent="0.25">
      <c r="A700">
        <v>1370</v>
      </c>
      <c r="B700" t="s">
        <v>893</v>
      </c>
      <c r="C700" t="s">
        <v>2328</v>
      </c>
      <c r="D700" t="s">
        <v>3763</v>
      </c>
      <c r="E700" t="s">
        <v>4527</v>
      </c>
      <c r="F700">
        <v>2209075400</v>
      </c>
      <c r="G700">
        <v>1.531628</v>
      </c>
      <c r="H700" t="s">
        <v>4534</v>
      </c>
      <c r="I700">
        <v>3383481736.7512002</v>
      </c>
      <c r="J700" t="s">
        <v>205</v>
      </c>
      <c r="K700">
        <v>14355850.2652821</v>
      </c>
      <c r="L700">
        <v>0.8</v>
      </c>
      <c r="M700" t="s">
        <v>4536</v>
      </c>
      <c r="O700" t="s">
        <v>207</v>
      </c>
      <c r="Q700" t="s">
        <v>207</v>
      </c>
      <c r="R700" t="s">
        <v>207</v>
      </c>
      <c r="S700" t="s">
        <v>207</v>
      </c>
      <c r="T700" t="s">
        <v>207</v>
      </c>
      <c r="U700" t="s">
        <v>207</v>
      </c>
      <c r="V700" t="s">
        <v>207</v>
      </c>
      <c r="W700" t="s">
        <v>207</v>
      </c>
      <c r="X700" t="s">
        <v>207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210</v>
      </c>
      <c r="BA700">
        <v>2706785389.40096</v>
      </c>
      <c r="BB700" t="s">
        <v>4572</v>
      </c>
      <c r="BC700" t="s">
        <v>4536</v>
      </c>
    </row>
    <row r="701" spans="1:55" x14ac:dyDescent="0.25">
      <c r="A701">
        <v>724</v>
      </c>
      <c r="B701" t="s">
        <v>894</v>
      </c>
      <c r="C701" t="s">
        <v>2329</v>
      </c>
      <c r="D701" t="s">
        <v>3764</v>
      </c>
      <c r="E701" t="s">
        <v>4521</v>
      </c>
      <c r="F701">
        <v>165853264</v>
      </c>
      <c r="G701">
        <v>97.6</v>
      </c>
      <c r="H701" t="s">
        <v>99</v>
      </c>
      <c r="I701">
        <v>16187278566.4</v>
      </c>
      <c r="J701" t="s">
        <v>203</v>
      </c>
      <c r="K701">
        <v>28414003.9194762</v>
      </c>
      <c r="L701">
        <v>1</v>
      </c>
      <c r="M701" t="s">
        <v>4536</v>
      </c>
      <c r="O701" t="s">
        <v>207</v>
      </c>
      <c r="Q701" t="s">
        <v>207</v>
      </c>
      <c r="R701" t="s">
        <v>207</v>
      </c>
      <c r="S701" t="s">
        <v>207</v>
      </c>
      <c r="T701" t="s">
        <v>207</v>
      </c>
      <c r="U701" t="s">
        <v>207</v>
      </c>
      <c r="V701" t="s">
        <v>207</v>
      </c>
      <c r="W701" t="s">
        <v>207</v>
      </c>
      <c r="X701" t="s">
        <v>207</v>
      </c>
      <c r="AG701" t="s">
        <v>4546</v>
      </c>
      <c r="AH701" t="s">
        <v>4564</v>
      </c>
      <c r="AI701" t="s">
        <v>4565</v>
      </c>
      <c r="AJ701" t="s">
        <v>4566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209</v>
      </c>
      <c r="BA701">
        <v>16187278566.4</v>
      </c>
      <c r="BB701" t="s">
        <v>4572</v>
      </c>
      <c r="BC701" t="s">
        <v>4578</v>
      </c>
    </row>
    <row r="702" spans="1:55" x14ac:dyDescent="0.25">
      <c r="A702">
        <v>1078</v>
      </c>
      <c r="B702" t="s">
        <v>895</v>
      </c>
      <c r="C702" t="s">
        <v>2330</v>
      </c>
      <c r="D702" t="s">
        <v>3765</v>
      </c>
      <c r="E702" t="s">
        <v>4528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203</v>
      </c>
      <c r="K702">
        <v>9540190.1735593192</v>
      </c>
      <c r="L702">
        <v>1</v>
      </c>
      <c r="M702" t="s">
        <v>4536</v>
      </c>
      <c r="N702" t="s">
        <v>4537</v>
      </c>
      <c r="O702" t="s">
        <v>207</v>
      </c>
      <c r="Q702" t="s">
        <v>207</v>
      </c>
      <c r="R702" t="s">
        <v>207</v>
      </c>
      <c r="S702" t="s">
        <v>207</v>
      </c>
      <c r="T702" t="s">
        <v>207</v>
      </c>
      <c r="U702" t="s">
        <v>207</v>
      </c>
      <c r="V702" t="s">
        <v>207</v>
      </c>
      <c r="W702" t="s">
        <v>207</v>
      </c>
      <c r="X702" t="s">
        <v>207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209</v>
      </c>
      <c r="BA702">
        <v>4936842463.5</v>
      </c>
      <c r="BB702" t="s">
        <v>4572</v>
      </c>
      <c r="BC702" t="s">
        <v>4575</v>
      </c>
    </row>
    <row r="703" spans="1:55" x14ac:dyDescent="0.25">
      <c r="A703">
        <v>374</v>
      </c>
      <c r="B703" t="s">
        <v>896</v>
      </c>
      <c r="C703" t="s">
        <v>2331</v>
      </c>
      <c r="D703" t="s">
        <v>3766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202</v>
      </c>
      <c r="K703">
        <v>285239508.90887302</v>
      </c>
      <c r="L703">
        <v>0.85</v>
      </c>
      <c r="M703" t="s">
        <v>4536</v>
      </c>
      <c r="O703" t="s">
        <v>207</v>
      </c>
      <c r="Q703" t="s">
        <v>207</v>
      </c>
      <c r="R703" t="s">
        <v>207</v>
      </c>
      <c r="S703" t="s">
        <v>207</v>
      </c>
      <c r="T703" t="s">
        <v>207</v>
      </c>
      <c r="U703" t="s">
        <v>207</v>
      </c>
      <c r="V703" t="s">
        <v>207</v>
      </c>
      <c r="W703" t="s">
        <v>207</v>
      </c>
      <c r="X703" t="s">
        <v>207</v>
      </c>
      <c r="AG703" t="s">
        <v>4546</v>
      </c>
      <c r="AH703" t="s">
        <v>4564</v>
      </c>
      <c r="AI703" t="s">
        <v>4565</v>
      </c>
      <c r="AJ703" t="s">
        <v>4566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208</v>
      </c>
      <c r="BA703">
        <v>37539584123.960403</v>
      </c>
      <c r="BB703" t="s">
        <v>4572</v>
      </c>
      <c r="BC703" t="s">
        <v>4578</v>
      </c>
    </row>
    <row r="704" spans="1:55" x14ac:dyDescent="0.25">
      <c r="A704">
        <v>1453</v>
      </c>
      <c r="B704" t="s">
        <v>897</v>
      </c>
      <c r="C704" t="s">
        <v>2332</v>
      </c>
      <c r="D704" t="s">
        <v>3767</v>
      </c>
      <c r="E704" t="s">
        <v>93</v>
      </c>
      <c r="F704">
        <v>141500000</v>
      </c>
      <c r="G704">
        <v>17.881239999999998</v>
      </c>
      <c r="H704" t="s">
        <v>101</v>
      </c>
      <c r="I704">
        <v>2530195460</v>
      </c>
      <c r="J704" t="s">
        <v>205</v>
      </c>
      <c r="K704">
        <v>11508367.344942</v>
      </c>
      <c r="L704">
        <v>0.85</v>
      </c>
      <c r="M704" t="s">
        <v>4536</v>
      </c>
      <c r="O704" t="s">
        <v>207</v>
      </c>
      <c r="Q704" t="s">
        <v>207</v>
      </c>
      <c r="R704" t="s">
        <v>207</v>
      </c>
      <c r="S704" t="s">
        <v>207</v>
      </c>
      <c r="T704" t="s">
        <v>207</v>
      </c>
      <c r="U704" t="s">
        <v>207</v>
      </c>
      <c r="V704" t="s">
        <v>207</v>
      </c>
      <c r="W704" t="s">
        <v>207</v>
      </c>
      <c r="X704" t="s">
        <v>207</v>
      </c>
      <c r="AG704" t="s">
        <v>4546</v>
      </c>
      <c r="AH704" t="s">
        <v>4564</v>
      </c>
      <c r="AI704" t="s">
        <v>4565</v>
      </c>
      <c r="AJ704" t="s">
        <v>4566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210</v>
      </c>
      <c r="AZ704" t="s">
        <v>4571</v>
      </c>
      <c r="BA704">
        <v>2150666141</v>
      </c>
      <c r="BB704" t="s">
        <v>4572</v>
      </c>
      <c r="BC704" t="s">
        <v>4588</v>
      </c>
    </row>
    <row r="705" spans="1:55" x14ac:dyDescent="0.25">
      <c r="A705">
        <v>677</v>
      </c>
      <c r="B705" t="s">
        <v>898</v>
      </c>
      <c r="C705" t="s">
        <v>2333</v>
      </c>
      <c r="D705" t="s">
        <v>3768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202</v>
      </c>
      <c r="K705">
        <v>191043868.875366</v>
      </c>
      <c r="L705">
        <v>1</v>
      </c>
      <c r="M705" t="s">
        <v>4536</v>
      </c>
      <c r="O705" t="s">
        <v>207</v>
      </c>
      <c r="Q705" t="s">
        <v>207</v>
      </c>
      <c r="R705" t="s">
        <v>207</v>
      </c>
      <c r="S705" t="s">
        <v>207</v>
      </c>
      <c r="T705" t="s">
        <v>207</v>
      </c>
      <c r="U705" t="s">
        <v>207</v>
      </c>
      <c r="V705" t="s">
        <v>207</v>
      </c>
      <c r="W705" t="s">
        <v>207</v>
      </c>
      <c r="X705" t="s">
        <v>207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208</v>
      </c>
      <c r="BA705">
        <v>17895428899.952999</v>
      </c>
      <c r="BB705" t="s">
        <v>4572</v>
      </c>
      <c r="BC705" t="s">
        <v>4536</v>
      </c>
    </row>
    <row r="706" spans="1:55" x14ac:dyDescent="0.25">
      <c r="A706">
        <v>151</v>
      </c>
      <c r="B706" t="s">
        <v>899</v>
      </c>
      <c r="C706" t="s">
        <v>2334</v>
      </c>
      <c r="D706" t="s">
        <v>3769</v>
      </c>
      <c r="E706" t="s">
        <v>93</v>
      </c>
      <c r="F706">
        <v>243207690</v>
      </c>
      <c r="G706">
        <v>400.98489999999998</v>
      </c>
      <c r="H706" t="s">
        <v>101</v>
      </c>
      <c r="I706">
        <v>97522611253.880997</v>
      </c>
      <c r="J706" t="s">
        <v>205</v>
      </c>
      <c r="K706">
        <v>225535753.51467001</v>
      </c>
      <c r="L706">
        <v>0.85</v>
      </c>
      <c r="M706" t="s">
        <v>4536</v>
      </c>
      <c r="O706" t="s">
        <v>207</v>
      </c>
      <c r="Q706" t="s">
        <v>207</v>
      </c>
      <c r="R706" t="s">
        <v>207</v>
      </c>
      <c r="S706" t="s">
        <v>207</v>
      </c>
      <c r="T706" t="s">
        <v>207</v>
      </c>
      <c r="U706" t="s">
        <v>207</v>
      </c>
      <c r="V706" t="s">
        <v>207</v>
      </c>
      <c r="W706" t="s">
        <v>207</v>
      </c>
      <c r="X706" t="s">
        <v>207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210</v>
      </c>
      <c r="BA706">
        <v>82894219565.798843</v>
      </c>
      <c r="BB706" t="s">
        <v>4572</v>
      </c>
      <c r="BC706" t="s">
        <v>4536</v>
      </c>
    </row>
    <row r="707" spans="1:55" x14ac:dyDescent="0.25">
      <c r="A707">
        <v>464</v>
      </c>
      <c r="B707" t="s">
        <v>900</v>
      </c>
      <c r="C707" t="s">
        <v>2335</v>
      </c>
      <c r="D707" t="s">
        <v>3770</v>
      </c>
      <c r="E707" t="s">
        <v>88</v>
      </c>
      <c r="F707">
        <v>172907140</v>
      </c>
      <c r="G707">
        <v>167.81440000000001</v>
      </c>
      <c r="H707" t="s">
        <v>98</v>
      </c>
      <c r="I707">
        <v>29016307954.816002</v>
      </c>
      <c r="J707" t="s">
        <v>202</v>
      </c>
      <c r="K707">
        <v>175338806.796534</v>
      </c>
      <c r="L707">
        <v>1</v>
      </c>
      <c r="O707" t="s">
        <v>207</v>
      </c>
      <c r="Q707" t="s">
        <v>207</v>
      </c>
      <c r="R707" t="s">
        <v>207</v>
      </c>
      <c r="S707" t="s">
        <v>207</v>
      </c>
      <c r="T707" t="s">
        <v>207</v>
      </c>
      <c r="U707" t="s">
        <v>207</v>
      </c>
      <c r="V707" t="s">
        <v>207</v>
      </c>
      <c r="W707" t="s">
        <v>207</v>
      </c>
      <c r="X707" t="s">
        <v>207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208</v>
      </c>
      <c r="BA707">
        <v>29016307954.816002</v>
      </c>
      <c r="BB707" t="s">
        <v>211</v>
      </c>
    </row>
    <row r="708" spans="1:55" x14ac:dyDescent="0.25">
      <c r="A708">
        <v>863</v>
      </c>
      <c r="B708" t="s">
        <v>901</v>
      </c>
      <c r="C708" t="s">
        <v>2336</v>
      </c>
      <c r="D708" t="s">
        <v>3771</v>
      </c>
      <c r="E708" t="s">
        <v>93</v>
      </c>
      <c r="F708">
        <v>969416000</v>
      </c>
      <c r="G708">
        <v>9.1164909999999999</v>
      </c>
      <c r="H708" t="s">
        <v>101</v>
      </c>
      <c r="I708">
        <v>8837672239.2560005</v>
      </c>
      <c r="J708" t="s">
        <v>205</v>
      </c>
      <c r="K708">
        <v>21635403.368334301</v>
      </c>
      <c r="L708">
        <v>1</v>
      </c>
      <c r="M708" t="s">
        <v>4536</v>
      </c>
      <c r="O708" t="s">
        <v>207</v>
      </c>
      <c r="Q708" t="s">
        <v>207</v>
      </c>
      <c r="R708" t="s">
        <v>207</v>
      </c>
      <c r="S708" t="s">
        <v>207</v>
      </c>
      <c r="T708" t="s">
        <v>207</v>
      </c>
      <c r="U708" t="s">
        <v>207</v>
      </c>
      <c r="V708" t="s">
        <v>207</v>
      </c>
      <c r="W708" t="s">
        <v>207</v>
      </c>
      <c r="X708" t="s">
        <v>207</v>
      </c>
      <c r="AG708" t="s">
        <v>4546</v>
      </c>
      <c r="AH708" t="s">
        <v>4563</v>
      </c>
      <c r="AI708" t="s">
        <v>4565</v>
      </c>
      <c r="AJ708" t="s">
        <v>4566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210</v>
      </c>
      <c r="BA708">
        <v>8837672239.2560005</v>
      </c>
      <c r="BB708" t="s">
        <v>4572</v>
      </c>
      <c r="BC708" t="s">
        <v>4578</v>
      </c>
    </row>
    <row r="709" spans="1:55" x14ac:dyDescent="0.25">
      <c r="A709">
        <v>312</v>
      </c>
      <c r="B709" t="s">
        <v>902</v>
      </c>
      <c r="C709" t="s">
        <v>2337</v>
      </c>
      <c r="D709" t="s">
        <v>3772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202</v>
      </c>
      <c r="K709">
        <v>280130454.112679</v>
      </c>
      <c r="L709">
        <v>1</v>
      </c>
      <c r="M709" t="s">
        <v>4536</v>
      </c>
      <c r="O709" t="s">
        <v>207</v>
      </c>
      <c r="Q709" t="s">
        <v>207</v>
      </c>
      <c r="R709" t="s">
        <v>207</v>
      </c>
      <c r="S709" t="s">
        <v>207</v>
      </c>
      <c r="T709" t="s">
        <v>207</v>
      </c>
      <c r="U709" t="s">
        <v>207</v>
      </c>
      <c r="V709" t="s">
        <v>207</v>
      </c>
      <c r="W709" t="s">
        <v>207</v>
      </c>
      <c r="X709" t="s">
        <v>207</v>
      </c>
      <c r="AG709" t="s">
        <v>4546</v>
      </c>
      <c r="AH709" t="s">
        <v>4564</v>
      </c>
      <c r="AI709" t="s">
        <v>4565</v>
      </c>
      <c r="AJ709" t="s">
        <v>4566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208</v>
      </c>
      <c r="BA709">
        <v>44497446029.139999</v>
      </c>
      <c r="BB709" t="s">
        <v>4572</v>
      </c>
      <c r="BC709" t="s">
        <v>4578</v>
      </c>
    </row>
    <row r="710" spans="1:55" x14ac:dyDescent="0.25">
      <c r="A710">
        <v>1368</v>
      </c>
      <c r="B710" t="s">
        <v>903</v>
      </c>
      <c r="C710" t="s">
        <v>2338</v>
      </c>
      <c r="D710" t="s">
        <v>3773</v>
      </c>
      <c r="E710" t="s">
        <v>93</v>
      </c>
      <c r="F710">
        <v>202641080</v>
      </c>
      <c r="G710">
        <v>20.592849999999999</v>
      </c>
      <c r="H710" t="s">
        <v>101</v>
      </c>
      <c r="I710">
        <v>4172957364.2779999</v>
      </c>
      <c r="J710" t="s">
        <v>205</v>
      </c>
      <c r="K710">
        <v>8894026.1681395508</v>
      </c>
      <c r="L710">
        <v>0.65</v>
      </c>
      <c r="M710" t="s">
        <v>4536</v>
      </c>
      <c r="N710" t="s">
        <v>4537</v>
      </c>
      <c r="O710" t="s">
        <v>207</v>
      </c>
      <c r="Q710" t="s">
        <v>207</v>
      </c>
      <c r="R710" t="s">
        <v>207</v>
      </c>
      <c r="S710" t="s">
        <v>207</v>
      </c>
      <c r="T710" t="s">
        <v>207</v>
      </c>
      <c r="U710" t="s">
        <v>207</v>
      </c>
      <c r="V710" t="s">
        <v>207</v>
      </c>
      <c r="W710" t="s">
        <v>207</v>
      </c>
      <c r="X710" t="s">
        <v>207</v>
      </c>
      <c r="AK710">
        <v>0</v>
      </c>
      <c r="AL710">
        <v>0.05</v>
      </c>
      <c r="AM710">
        <v>0</v>
      </c>
      <c r="AO710" t="s">
        <v>4568</v>
      </c>
      <c r="AQ710">
        <v>0</v>
      </c>
      <c r="AR710">
        <v>0</v>
      </c>
      <c r="AW710">
        <v>5010</v>
      </c>
      <c r="AX710">
        <v>1.27</v>
      </c>
      <c r="AY710" t="s">
        <v>210</v>
      </c>
      <c r="AZ710" t="s">
        <v>4571</v>
      </c>
      <c r="BA710">
        <v>2712422286.7807002</v>
      </c>
      <c r="BB710" t="s">
        <v>4572</v>
      </c>
      <c r="BC710" t="s">
        <v>4583</v>
      </c>
    </row>
    <row r="711" spans="1:55" x14ac:dyDescent="0.25">
      <c r="A711">
        <v>286</v>
      </c>
      <c r="B711" t="s">
        <v>904</v>
      </c>
      <c r="C711" t="s">
        <v>2339</v>
      </c>
      <c r="D711" t="s">
        <v>3774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202</v>
      </c>
      <c r="K711">
        <v>380868476.74657899</v>
      </c>
      <c r="L711">
        <v>0.85</v>
      </c>
      <c r="M711" t="s">
        <v>4536</v>
      </c>
      <c r="O711" t="s">
        <v>207</v>
      </c>
      <c r="Q711" t="s">
        <v>207</v>
      </c>
      <c r="R711" t="s">
        <v>207</v>
      </c>
      <c r="S711" t="s">
        <v>207</v>
      </c>
      <c r="T711" t="s">
        <v>207</v>
      </c>
      <c r="U711" t="s">
        <v>207</v>
      </c>
      <c r="V711" t="s">
        <v>207</v>
      </c>
      <c r="W711" t="s">
        <v>207</v>
      </c>
      <c r="X711" t="s">
        <v>207</v>
      </c>
      <c r="AK711">
        <v>0</v>
      </c>
      <c r="AL711">
        <v>0.997</v>
      </c>
      <c r="AM711">
        <v>0</v>
      </c>
      <c r="AO711" t="s">
        <v>4568</v>
      </c>
      <c r="AQ711">
        <v>0</v>
      </c>
      <c r="AR711">
        <v>0</v>
      </c>
      <c r="AW711">
        <v>6010</v>
      </c>
      <c r="AX711">
        <v>2.4950000000000001</v>
      </c>
      <c r="AY711" t="s">
        <v>208</v>
      </c>
      <c r="BA711">
        <v>47708978468.026398</v>
      </c>
      <c r="BB711" t="s">
        <v>4572</v>
      </c>
      <c r="BC711" t="s">
        <v>4582</v>
      </c>
    </row>
    <row r="712" spans="1:55" x14ac:dyDescent="0.25">
      <c r="A712">
        <v>1112</v>
      </c>
      <c r="B712" t="s">
        <v>905</v>
      </c>
      <c r="C712" t="s">
        <v>2340</v>
      </c>
      <c r="D712" t="s">
        <v>3775</v>
      </c>
      <c r="E712" t="s">
        <v>91</v>
      </c>
      <c r="F712">
        <v>1788668100</v>
      </c>
      <c r="G712">
        <v>2.9667460000000001</v>
      </c>
      <c r="H712" t="s">
        <v>100</v>
      </c>
      <c r="I712">
        <v>5306523931.0025997</v>
      </c>
      <c r="J712" t="s">
        <v>204</v>
      </c>
      <c r="K712">
        <v>14671962.5543341</v>
      </c>
      <c r="L712">
        <v>0.85</v>
      </c>
      <c r="O712" t="s">
        <v>207</v>
      </c>
      <c r="Q712" t="s">
        <v>207</v>
      </c>
      <c r="R712" t="s">
        <v>207</v>
      </c>
      <c r="S712" t="s">
        <v>207</v>
      </c>
      <c r="T712" t="s">
        <v>207</v>
      </c>
      <c r="U712" t="s">
        <v>207</v>
      </c>
      <c r="V712" t="s">
        <v>207</v>
      </c>
      <c r="W712" t="s">
        <v>207</v>
      </c>
      <c r="X712" t="s">
        <v>207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209</v>
      </c>
      <c r="BA712">
        <v>4510545341.35221</v>
      </c>
      <c r="BB712" t="s">
        <v>211</v>
      </c>
    </row>
    <row r="713" spans="1:55" x14ac:dyDescent="0.25">
      <c r="A713">
        <v>800</v>
      </c>
      <c r="B713" t="s">
        <v>906</v>
      </c>
      <c r="C713" t="s">
        <v>2341</v>
      </c>
      <c r="D713" t="s">
        <v>3776</v>
      </c>
      <c r="E713" t="s">
        <v>4521</v>
      </c>
      <c r="F713">
        <v>181964859</v>
      </c>
      <c r="G713">
        <v>75.5</v>
      </c>
      <c r="H713" t="s">
        <v>99</v>
      </c>
      <c r="I713">
        <v>13738346854.5</v>
      </c>
      <c r="J713" t="s">
        <v>203</v>
      </c>
      <c r="K713">
        <v>27712783.5906079</v>
      </c>
      <c r="L713">
        <v>0.85000000000000009</v>
      </c>
      <c r="O713" t="s">
        <v>207</v>
      </c>
      <c r="Q713" t="s">
        <v>207</v>
      </c>
      <c r="R713" t="s">
        <v>207</v>
      </c>
      <c r="S713" t="s">
        <v>207</v>
      </c>
      <c r="T713" t="s">
        <v>207</v>
      </c>
      <c r="U713" t="s">
        <v>207</v>
      </c>
      <c r="V713" t="s">
        <v>207</v>
      </c>
      <c r="W713" t="s">
        <v>207</v>
      </c>
      <c r="X713" t="s">
        <v>207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209</v>
      </c>
      <c r="AZ713" t="s">
        <v>4571</v>
      </c>
      <c r="BA713">
        <v>11677594826.325001</v>
      </c>
      <c r="BB713" t="s">
        <v>4572</v>
      </c>
      <c r="BC713" t="s">
        <v>4571</v>
      </c>
    </row>
    <row r="714" spans="1:55" x14ac:dyDescent="0.25">
      <c r="A714">
        <v>1163</v>
      </c>
      <c r="B714" t="s">
        <v>907</v>
      </c>
      <c r="C714" t="s">
        <v>2342</v>
      </c>
      <c r="D714" t="s">
        <v>3777</v>
      </c>
      <c r="E714" t="s">
        <v>93</v>
      </c>
      <c r="F714">
        <v>190662060</v>
      </c>
      <c r="G714">
        <v>21.104469999999999</v>
      </c>
      <c r="H714" t="s">
        <v>101</v>
      </c>
      <c r="I714">
        <v>4023821725.4081998</v>
      </c>
      <c r="J714" t="s">
        <v>205</v>
      </c>
      <c r="K714">
        <v>10837992.027368501</v>
      </c>
      <c r="L714">
        <v>1</v>
      </c>
      <c r="M714" t="s">
        <v>4536</v>
      </c>
      <c r="O714" t="s">
        <v>207</v>
      </c>
      <c r="Q714" t="s">
        <v>207</v>
      </c>
      <c r="R714" t="s">
        <v>207</v>
      </c>
      <c r="S714" t="s">
        <v>207</v>
      </c>
      <c r="T714" t="s">
        <v>207</v>
      </c>
      <c r="U714" t="s">
        <v>207</v>
      </c>
      <c r="V714" t="s">
        <v>207</v>
      </c>
      <c r="W714" t="s">
        <v>207</v>
      </c>
      <c r="X714" t="s">
        <v>207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210</v>
      </c>
      <c r="BA714">
        <v>4023821725.4081998</v>
      </c>
      <c r="BB714" t="s">
        <v>4572</v>
      </c>
      <c r="BC714" t="s">
        <v>4536</v>
      </c>
    </row>
    <row r="715" spans="1:55" x14ac:dyDescent="0.25">
      <c r="A715">
        <v>1354</v>
      </c>
      <c r="B715" t="s">
        <v>908</v>
      </c>
      <c r="C715" t="s">
        <v>2343</v>
      </c>
      <c r="D715" t="s">
        <v>3778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4535</v>
      </c>
      <c r="K715">
        <v>9984600.5751639307</v>
      </c>
      <c r="L715">
        <v>0.55000000000000004</v>
      </c>
      <c r="N715" t="s">
        <v>4537</v>
      </c>
      <c r="O715" t="s">
        <v>207</v>
      </c>
      <c r="Q715" t="s">
        <v>207</v>
      </c>
      <c r="R715" t="s">
        <v>207</v>
      </c>
      <c r="S715" t="s">
        <v>207</v>
      </c>
      <c r="T715" t="s">
        <v>207</v>
      </c>
      <c r="U715" t="s">
        <v>207</v>
      </c>
      <c r="V715" t="s">
        <v>207</v>
      </c>
      <c r="W715" t="s">
        <v>207</v>
      </c>
      <c r="X715" t="s">
        <v>207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209</v>
      </c>
      <c r="BA715">
        <v>2786790524.6500001</v>
      </c>
      <c r="BB715" t="s">
        <v>4572</v>
      </c>
      <c r="BC715" t="s">
        <v>4537</v>
      </c>
    </row>
    <row r="716" spans="1:55" x14ac:dyDescent="0.25">
      <c r="A716">
        <v>817</v>
      </c>
      <c r="B716" t="s">
        <v>909</v>
      </c>
      <c r="C716" t="s">
        <v>2344</v>
      </c>
      <c r="D716" t="s">
        <v>3779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205</v>
      </c>
      <c r="K716">
        <v>32291297.3883579</v>
      </c>
      <c r="L716">
        <v>0.9</v>
      </c>
      <c r="M716" t="s">
        <v>4536</v>
      </c>
      <c r="O716" t="s">
        <v>207</v>
      </c>
      <c r="Q716" t="s">
        <v>207</v>
      </c>
      <c r="R716" t="s">
        <v>207</v>
      </c>
      <c r="S716" t="s">
        <v>207</v>
      </c>
      <c r="T716" t="s">
        <v>207</v>
      </c>
      <c r="U716" t="s">
        <v>207</v>
      </c>
      <c r="V716" t="s">
        <v>207</v>
      </c>
      <c r="W716" t="s">
        <v>207</v>
      </c>
      <c r="X716" t="s">
        <v>207</v>
      </c>
      <c r="AG716" t="s">
        <v>4546</v>
      </c>
      <c r="AH716" t="s">
        <v>4562</v>
      </c>
      <c r="AI716" t="s">
        <v>4565</v>
      </c>
      <c r="AJ716" t="s">
        <v>4566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210</v>
      </c>
      <c r="BA716">
        <v>10616228820</v>
      </c>
      <c r="BB716" t="s">
        <v>4572</v>
      </c>
      <c r="BC716" t="s">
        <v>4578</v>
      </c>
    </row>
    <row r="717" spans="1:55" x14ac:dyDescent="0.25">
      <c r="A717">
        <v>149</v>
      </c>
      <c r="B717" t="s">
        <v>910</v>
      </c>
      <c r="C717" t="s">
        <v>2345</v>
      </c>
      <c r="D717" t="s">
        <v>3780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202</v>
      </c>
      <c r="K717">
        <v>564261090.38169706</v>
      </c>
      <c r="L717">
        <v>0.75</v>
      </c>
      <c r="O717" t="s">
        <v>207</v>
      </c>
      <c r="Q717" t="s">
        <v>207</v>
      </c>
      <c r="R717" t="s">
        <v>207</v>
      </c>
      <c r="S717" t="s">
        <v>207</v>
      </c>
      <c r="T717" t="s">
        <v>207</v>
      </c>
      <c r="U717" t="s">
        <v>207</v>
      </c>
      <c r="V717" t="s">
        <v>207</v>
      </c>
      <c r="W717" t="s">
        <v>207</v>
      </c>
      <c r="X717" t="s">
        <v>207</v>
      </c>
      <c r="AG717" t="s">
        <v>4546</v>
      </c>
      <c r="AH717" t="s">
        <v>4562</v>
      </c>
      <c r="AI717" t="s">
        <v>4565</v>
      </c>
      <c r="AJ717" t="s">
        <v>4566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208</v>
      </c>
      <c r="BA717">
        <v>84247933816.214996</v>
      </c>
      <c r="BB717" t="s">
        <v>4572</v>
      </c>
      <c r="BC717" t="s">
        <v>4581</v>
      </c>
    </row>
    <row r="718" spans="1:55" x14ac:dyDescent="0.25">
      <c r="A718">
        <v>124</v>
      </c>
      <c r="B718" t="s">
        <v>911</v>
      </c>
      <c r="C718" t="s">
        <v>2346</v>
      </c>
      <c r="D718" t="s">
        <v>3781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202</v>
      </c>
      <c r="K718">
        <v>744702069.86238801</v>
      </c>
      <c r="L718">
        <v>1</v>
      </c>
      <c r="M718" t="s">
        <v>4536</v>
      </c>
      <c r="O718" t="s">
        <v>207</v>
      </c>
      <c r="Q718" t="s">
        <v>207</v>
      </c>
      <c r="R718" t="s">
        <v>207</v>
      </c>
      <c r="S718" t="s">
        <v>207</v>
      </c>
      <c r="T718" t="s">
        <v>207</v>
      </c>
      <c r="U718" t="s">
        <v>207</v>
      </c>
      <c r="V718" t="s">
        <v>207</v>
      </c>
      <c r="W718" t="s">
        <v>207</v>
      </c>
      <c r="X718" t="s">
        <v>207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208</v>
      </c>
      <c r="BA718">
        <v>95874202182.75</v>
      </c>
      <c r="BB718" t="s">
        <v>4572</v>
      </c>
      <c r="BC718" t="s">
        <v>4536</v>
      </c>
    </row>
    <row r="719" spans="1:55" x14ac:dyDescent="0.25">
      <c r="A719">
        <v>1059</v>
      </c>
      <c r="B719" t="s">
        <v>912</v>
      </c>
      <c r="C719" t="s">
        <v>2347</v>
      </c>
      <c r="D719" t="s">
        <v>3782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203</v>
      </c>
      <c r="K719">
        <v>9423306.8155737706</v>
      </c>
      <c r="L719">
        <v>0.4</v>
      </c>
      <c r="M719" t="s">
        <v>4536</v>
      </c>
      <c r="N719" t="s">
        <v>4537</v>
      </c>
      <c r="O719" t="s">
        <v>207</v>
      </c>
      <c r="Q719" t="s">
        <v>207</v>
      </c>
      <c r="R719" t="s">
        <v>207</v>
      </c>
      <c r="S719" t="s">
        <v>207</v>
      </c>
      <c r="T719" t="s">
        <v>207</v>
      </c>
      <c r="U719" t="s">
        <v>207</v>
      </c>
      <c r="V719" t="s">
        <v>207</v>
      </c>
      <c r="W719" t="s">
        <v>207</v>
      </c>
      <c r="X719" t="s">
        <v>207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209</v>
      </c>
      <c r="BA719">
        <v>5300256000</v>
      </c>
      <c r="BB719" t="s">
        <v>4572</v>
      </c>
      <c r="BC719" t="s">
        <v>4575</v>
      </c>
    </row>
    <row r="720" spans="1:55" x14ac:dyDescent="0.25">
      <c r="A720">
        <v>1299</v>
      </c>
      <c r="B720" t="s">
        <v>913</v>
      </c>
      <c r="C720" t="s">
        <v>2348</v>
      </c>
      <c r="D720" t="s">
        <v>3783</v>
      </c>
      <c r="E720" t="s">
        <v>93</v>
      </c>
      <c r="F720">
        <v>273600000</v>
      </c>
      <c r="G720">
        <v>20.496919999999999</v>
      </c>
      <c r="H720" t="s">
        <v>101</v>
      </c>
      <c r="I720">
        <v>5607957312</v>
      </c>
      <c r="J720" t="s">
        <v>205</v>
      </c>
      <c r="K720">
        <v>27052123.817301001</v>
      </c>
      <c r="L720">
        <v>0.55000000000000004</v>
      </c>
      <c r="M720" t="s">
        <v>4536</v>
      </c>
      <c r="O720" t="s">
        <v>207</v>
      </c>
      <c r="Q720" t="s">
        <v>207</v>
      </c>
      <c r="R720" t="s">
        <v>207</v>
      </c>
      <c r="S720" t="s">
        <v>207</v>
      </c>
      <c r="T720" t="s">
        <v>207</v>
      </c>
      <c r="U720" t="s">
        <v>207</v>
      </c>
      <c r="V720" t="s">
        <v>207</v>
      </c>
      <c r="W720" t="s">
        <v>207</v>
      </c>
      <c r="X720" t="s">
        <v>207</v>
      </c>
      <c r="AG720" t="s">
        <v>4548</v>
      </c>
      <c r="AI720" t="s">
        <v>4565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210</v>
      </c>
      <c r="AZ720" t="s">
        <v>4571</v>
      </c>
      <c r="BA720">
        <v>3084376521.5999999</v>
      </c>
      <c r="BB720" t="s">
        <v>4572</v>
      </c>
      <c r="BC720" t="s">
        <v>4633</v>
      </c>
    </row>
    <row r="721" spans="1:55" x14ac:dyDescent="0.25">
      <c r="A721">
        <v>1120</v>
      </c>
      <c r="B721" t="s">
        <v>914</v>
      </c>
      <c r="C721" t="s">
        <v>2349</v>
      </c>
      <c r="D721" t="s">
        <v>3784</v>
      </c>
      <c r="E721" t="s">
        <v>93</v>
      </c>
      <c r="F721">
        <v>396345980</v>
      </c>
      <c r="G721">
        <v>11.21095</v>
      </c>
      <c r="H721" t="s">
        <v>101</v>
      </c>
      <c r="I721">
        <v>4443414964.4809999</v>
      </c>
      <c r="J721" t="s">
        <v>205</v>
      </c>
      <c r="K721">
        <v>30492226.7445364</v>
      </c>
      <c r="L721">
        <v>1</v>
      </c>
      <c r="M721" t="s">
        <v>4536</v>
      </c>
      <c r="O721" t="s">
        <v>206</v>
      </c>
      <c r="Q721" t="s">
        <v>207</v>
      </c>
      <c r="R721" t="s">
        <v>207</v>
      </c>
      <c r="S721" t="s">
        <v>207</v>
      </c>
      <c r="T721" t="s">
        <v>207</v>
      </c>
      <c r="U721" t="s">
        <v>207</v>
      </c>
      <c r="V721" t="s">
        <v>207</v>
      </c>
      <c r="W721" t="s">
        <v>207</v>
      </c>
      <c r="X721" t="s">
        <v>207</v>
      </c>
      <c r="AK721">
        <v>8.5500000000000007E-2</v>
      </c>
      <c r="AL721">
        <v>0.2</v>
      </c>
      <c r="AM721">
        <v>0.125</v>
      </c>
      <c r="AN721" t="s">
        <v>4567</v>
      </c>
      <c r="AO721" t="s">
        <v>4568</v>
      </c>
      <c r="AP721" t="s">
        <v>4569</v>
      </c>
      <c r="AQ721">
        <v>0</v>
      </c>
      <c r="AR721">
        <v>0</v>
      </c>
      <c r="AW721">
        <v>5510</v>
      </c>
      <c r="AX721">
        <v>2.3079999999999998</v>
      </c>
      <c r="AY721" t="s">
        <v>210</v>
      </c>
      <c r="BA721">
        <v>4443414964.4809999</v>
      </c>
      <c r="BB721" t="s">
        <v>4572</v>
      </c>
      <c r="BC721" t="s">
        <v>4576</v>
      </c>
    </row>
    <row r="722" spans="1:55" x14ac:dyDescent="0.25">
      <c r="A722">
        <v>1383</v>
      </c>
      <c r="B722" t="s">
        <v>915</v>
      </c>
      <c r="C722" t="s">
        <v>2350</v>
      </c>
      <c r="D722" t="s">
        <v>3785</v>
      </c>
      <c r="E722" t="s">
        <v>93</v>
      </c>
      <c r="F722">
        <v>307833160</v>
      </c>
      <c r="G722">
        <v>12.32053</v>
      </c>
      <c r="H722" t="s">
        <v>101</v>
      </c>
      <c r="I722">
        <v>3792667682.7747998</v>
      </c>
      <c r="J722" t="s">
        <v>205</v>
      </c>
      <c r="K722">
        <v>12211886.163202301</v>
      </c>
      <c r="L722">
        <v>0.7</v>
      </c>
      <c r="M722" t="s">
        <v>4536</v>
      </c>
      <c r="O722" t="s">
        <v>207</v>
      </c>
      <c r="Q722" t="s">
        <v>207</v>
      </c>
      <c r="R722" t="s">
        <v>207</v>
      </c>
      <c r="S722" t="s">
        <v>207</v>
      </c>
      <c r="T722" t="s">
        <v>207</v>
      </c>
      <c r="U722" t="s">
        <v>207</v>
      </c>
      <c r="V722" t="s">
        <v>207</v>
      </c>
      <c r="W722" t="s">
        <v>207</v>
      </c>
      <c r="X722" t="s">
        <v>207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210</v>
      </c>
      <c r="BA722">
        <v>2654867377.9423599</v>
      </c>
      <c r="BB722" t="s">
        <v>4572</v>
      </c>
      <c r="BC722" t="s">
        <v>4536</v>
      </c>
    </row>
    <row r="723" spans="1:55" x14ac:dyDescent="0.25">
      <c r="A723">
        <v>1263</v>
      </c>
      <c r="B723" t="s">
        <v>916</v>
      </c>
      <c r="C723" t="s">
        <v>2351</v>
      </c>
      <c r="D723" t="s">
        <v>3786</v>
      </c>
      <c r="E723" t="s">
        <v>93</v>
      </c>
      <c r="F723">
        <v>236893040</v>
      </c>
      <c r="G723">
        <v>23.20852</v>
      </c>
      <c r="H723" t="s">
        <v>101</v>
      </c>
      <c r="I723">
        <v>5497936856.7007999</v>
      </c>
      <c r="J723" t="s">
        <v>205</v>
      </c>
      <c r="K723">
        <v>64931130.8679315</v>
      </c>
      <c r="L723">
        <v>0.6</v>
      </c>
      <c r="M723" t="s">
        <v>4536</v>
      </c>
      <c r="O723" t="s">
        <v>207</v>
      </c>
      <c r="Q723" t="s">
        <v>207</v>
      </c>
      <c r="R723" t="s">
        <v>207</v>
      </c>
      <c r="S723" t="s">
        <v>207</v>
      </c>
      <c r="T723" t="s">
        <v>207</v>
      </c>
      <c r="U723" t="s">
        <v>207</v>
      </c>
      <c r="V723" t="s">
        <v>207</v>
      </c>
      <c r="W723" t="s">
        <v>207</v>
      </c>
      <c r="X723" t="s">
        <v>207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210</v>
      </c>
      <c r="BA723">
        <v>3298762114.0204802</v>
      </c>
      <c r="BB723" t="s">
        <v>4572</v>
      </c>
      <c r="BC723" t="s">
        <v>4536</v>
      </c>
    </row>
    <row r="724" spans="1:55" x14ac:dyDescent="0.25">
      <c r="A724">
        <v>486</v>
      </c>
      <c r="B724" t="s">
        <v>917</v>
      </c>
      <c r="C724" t="s">
        <v>2352</v>
      </c>
      <c r="D724" t="s">
        <v>3787</v>
      </c>
      <c r="E724" t="s">
        <v>93</v>
      </c>
      <c r="F724">
        <v>950953100</v>
      </c>
      <c r="G724">
        <v>29.674160000000001</v>
      </c>
      <c r="H724" t="s">
        <v>101</v>
      </c>
      <c r="I724">
        <v>28218734441.896</v>
      </c>
      <c r="J724" t="s">
        <v>205</v>
      </c>
      <c r="K724">
        <v>70256216.374169305</v>
      </c>
      <c r="L724">
        <v>0.95</v>
      </c>
      <c r="O724" t="s">
        <v>207</v>
      </c>
      <c r="Q724" t="s">
        <v>207</v>
      </c>
      <c r="R724" t="s">
        <v>207</v>
      </c>
      <c r="S724" t="s">
        <v>207</v>
      </c>
      <c r="T724" t="s">
        <v>207</v>
      </c>
      <c r="U724" t="s">
        <v>207</v>
      </c>
      <c r="V724" t="s">
        <v>207</v>
      </c>
      <c r="W724" t="s">
        <v>207</v>
      </c>
      <c r="X724" t="s">
        <v>4538</v>
      </c>
      <c r="AF724" t="s">
        <v>4545</v>
      </c>
      <c r="AK724">
        <v>0.16500000000000001</v>
      </c>
      <c r="AL724">
        <v>0.2</v>
      </c>
      <c r="AM724">
        <v>0</v>
      </c>
      <c r="AN724" t="s">
        <v>4567</v>
      </c>
      <c r="AO724" t="s">
        <v>4568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210</v>
      </c>
      <c r="BA724">
        <v>26807797719.801201</v>
      </c>
      <c r="BB724" t="s">
        <v>4572</v>
      </c>
      <c r="BC724" t="s">
        <v>4634</v>
      </c>
    </row>
    <row r="725" spans="1:55" x14ac:dyDescent="0.25">
      <c r="A725">
        <v>794</v>
      </c>
      <c r="B725" t="s">
        <v>918</v>
      </c>
      <c r="C725" t="s">
        <v>2353</v>
      </c>
      <c r="D725" t="s">
        <v>3788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205</v>
      </c>
      <c r="K725">
        <v>42932461.370988697</v>
      </c>
      <c r="L725">
        <v>0.7</v>
      </c>
      <c r="M725" t="s">
        <v>4536</v>
      </c>
      <c r="O725" t="s">
        <v>207</v>
      </c>
      <c r="Q725" t="s">
        <v>207</v>
      </c>
      <c r="R725" t="s">
        <v>207</v>
      </c>
      <c r="S725" t="s">
        <v>207</v>
      </c>
      <c r="T725" t="s">
        <v>207</v>
      </c>
      <c r="U725" t="s">
        <v>207</v>
      </c>
      <c r="V725" t="s">
        <v>207</v>
      </c>
      <c r="W725" t="s">
        <v>207</v>
      </c>
      <c r="X725" t="s">
        <v>207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210</v>
      </c>
      <c r="AZ725" t="s">
        <v>4571</v>
      </c>
      <c r="BA725">
        <v>12064406620</v>
      </c>
      <c r="BB725" t="s">
        <v>4572</v>
      </c>
      <c r="BC725" t="s">
        <v>4577</v>
      </c>
    </row>
    <row r="726" spans="1:55" x14ac:dyDescent="0.25">
      <c r="A726">
        <v>593</v>
      </c>
      <c r="B726" t="s">
        <v>919</v>
      </c>
      <c r="C726" t="s">
        <v>2354</v>
      </c>
      <c r="D726" t="s">
        <v>3789</v>
      </c>
      <c r="E726" t="s">
        <v>4528</v>
      </c>
      <c r="F726">
        <v>453187130</v>
      </c>
      <c r="G726">
        <v>55.22</v>
      </c>
      <c r="H726" t="s">
        <v>99</v>
      </c>
      <c r="I726">
        <v>25024993318.599998</v>
      </c>
      <c r="J726" t="s">
        <v>203</v>
      </c>
      <c r="K726">
        <v>26322525.057796601</v>
      </c>
      <c r="L726">
        <v>0.85</v>
      </c>
      <c r="O726" t="s">
        <v>207</v>
      </c>
      <c r="Q726" t="s">
        <v>207</v>
      </c>
      <c r="R726" t="s">
        <v>207</v>
      </c>
      <c r="S726" t="s">
        <v>207</v>
      </c>
      <c r="T726" t="s">
        <v>207</v>
      </c>
      <c r="U726" t="s">
        <v>207</v>
      </c>
      <c r="V726" t="s">
        <v>207</v>
      </c>
      <c r="W726" t="s">
        <v>207</v>
      </c>
      <c r="X726" t="s">
        <v>207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209</v>
      </c>
      <c r="BA726">
        <v>21271244320.810001</v>
      </c>
      <c r="BB726" t="s">
        <v>211</v>
      </c>
    </row>
    <row r="727" spans="1:55" x14ac:dyDescent="0.25">
      <c r="A727">
        <v>1043</v>
      </c>
      <c r="B727" t="s">
        <v>920</v>
      </c>
      <c r="C727" t="s">
        <v>2355</v>
      </c>
      <c r="D727" t="s">
        <v>3790</v>
      </c>
      <c r="E727" t="s">
        <v>4528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203</v>
      </c>
      <c r="K727">
        <v>6635281.1484745797</v>
      </c>
      <c r="L727">
        <v>1</v>
      </c>
      <c r="M727" t="s">
        <v>4536</v>
      </c>
      <c r="N727" t="s">
        <v>4537</v>
      </c>
      <c r="O727" t="s">
        <v>207</v>
      </c>
      <c r="Q727" t="s">
        <v>207</v>
      </c>
      <c r="R727" t="s">
        <v>207</v>
      </c>
      <c r="S727" t="s">
        <v>207</v>
      </c>
      <c r="T727" t="s">
        <v>207</v>
      </c>
      <c r="U727" t="s">
        <v>207</v>
      </c>
      <c r="V727" t="s">
        <v>207</v>
      </c>
      <c r="W727" t="s">
        <v>207</v>
      </c>
      <c r="X727" t="s">
        <v>207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209</v>
      </c>
      <c r="BA727">
        <v>5537610810</v>
      </c>
      <c r="BB727" t="s">
        <v>4572</v>
      </c>
      <c r="BC727" t="s">
        <v>4575</v>
      </c>
    </row>
    <row r="728" spans="1:55" x14ac:dyDescent="0.25">
      <c r="A728">
        <v>828</v>
      </c>
      <c r="B728" t="s">
        <v>921</v>
      </c>
      <c r="C728" t="s">
        <v>2356</v>
      </c>
      <c r="D728" t="s">
        <v>3791</v>
      </c>
      <c r="E728" t="s">
        <v>4522</v>
      </c>
      <c r="F728">
        <v>175921849</v>
      </c>
      <c r="G728">
        <v>114.9764</v>
      </c>
      <c r="H728" t="s">
        <v>4531</v>
      </c>
      <c r="I728">
        <v>20226860879.363602</v>
      </c>
      <c r="J728" t="s">
        <v>204</v>
      </c>
      <c r="K728">
        <v>28936680.7306685</v>
      </c>
      <c r="L728">
        <v>0.5</v>
      </c>
      <c r="M728" t="s">
        <v>4536</v>
      </c>
      <c r="O728" t="s">
        <v>207</v>
      </c>
      <c r="Q728" t="s">
        <v>207</v>
      </c>
      <c r="R728" t="s">
        <v>207</v>
      </c>
      <c r="S728" t="s">
        <v>4538</v>
      </c>
      <c r="T728" t="s">
        <v>207</v>
      </c>
      <c r="U728" t="s">
        <v>207</v>
      </c>
      <c r="V728" t="s">
        <v>207</v>
      </c>
      <c r="W728" t="s">
        <v>207</v>
      </c>
      <c r="X728" t="s">
        <v>4539</v>
      </c>
      <c r="AA728" t="s">
        <v>4541</v>
      </c>
      <c r="AK728">
        <v>0</v>
      </c>
      <c r="AL728">
        <v>0.5</v>
      </c>
      <c r="AM728">
        <v>0</v>
      </c>
      <c r="AO728" t="s">
        <v>4568</v>
      </c>
      <c r="AQ728">
        <v>0</v>
      </c>
      <c r="AR728">
        <v>0</v>
      </c>
      <c r="AW728">
        <v>5020</v>
      </c>
      <c r="AX728">
        <v>2.42</v>
      </c>
      <c r="AY728" t="s">
        <v>209</v>
      </c>
      <c r="BA728">
        <v>10113430439.681801</v>
      </c>
      <c r="BB728" t="s">
        <v>4572</v>
      </c>
      <c r="BC728" t="s">
        <v>4625</v>
      </c>
    </row>
    <row r="729" spans="1:55" x14ac:dyDescent="0.25">
      <c r="A729">
        <v>769</v>
      </c>
      <c r="B729" t="s">
        <v>922</v>
      </c>
      <c r="C729" t="s">
        <v>2357</v>
      </c>
      <c r="D729" t="s">
        <v>3792</v>
      </c>
      <c r="E729" t="s">
        <v>96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203</v>
      </c>
      <c r="K729">
        <v>26549992.430079401</v>
      </c>
      <c r="L729">
        <v>1</v>
      </c>
      <c r="M729" t="s">
        <v>4536</v>
      </c>
      <c r="O729" t="s">
        <v>207</v>
      </c>
      <c r="Q729" t="s">
        <v>207</v>
      </c>
      <c r="R729" t="s">
        <v>207</v>
      </c>
      <c r="S729" t="s">
        <v>207</v>
      </c>
      <c r="T729" t="s">
        <v>207</v>
      </c>
      <c r="U729" t="s">
        <v>207</v>
      </c>
      <c r="V729" t="s">
        <v>207</v>
      </c>
      <c r="W729" t="s">
        <v>207</v>
      </c>
      <c r="X729" t="s">
        <v>207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209</v>
      </c>
      <c r="BA729">
        <v>13638478989.954</v>
      </c>
      <c r="BB729" t="s">
        <v>4572</v>
      </c>
      <c r="BC729" t="s">
        <v>4536</v>
      </c>
    </row>
    <row r="730" spans="1:55" x14ac:dyDescent="0.25">
      <c r="A730">
        <v>491</v>
      </c>
      <c r="B730" t="s">
        <v>923</v>
      </c>
      <c r="C730" t="s">
        <v>2358</v>
      </c>
      <c r="D730" t="s">
        <v>3793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202</v>
      </c>
      <c r="K730">
        <v>298273034.09260499</v>
      </c>
      <c r="L730">
        <v>0.75</v>
      </c>
      <c r="O730" t="s">
        <v>207</v>
      </c>
      <c r="Q730" t="s">
        <v>207</v>
      </c>
      <c r="R730" t="s">
        <v>207</v>
      </c>
      <c r="S730" t="s">
        <v>207</v>
      </c>
      <c r="T730" t="s">
        <v>207</v>
      </c>
      <c r="U730" t="s">
        <v>207</v>
      </c>
      <c r="V730" t="s">
        <v>207</v>
      </c>
      <c r="W730" t="s">
        <v>207</v>
      </c>
      <c r="X730" t="s">
        <v>207</v>
      </c>
      <c r="AG730" t="s">
        <v>4546</v>
      </c>
      <c r="AH730" t="s">
        <v>4564</v>
      </c>
      <c r="AI730" t="s">
        <v>4565</v>
      </c>
      <c r="AJ730" t="s">
        <v>4566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208</v>
      </c>
      <c r="BA730">
        <v>26685826573.275002</v>
      </c>
      <c r="BB730" t="s">
        <v>4572</v>
      </c>
      <c r="BC730" t="s">
        <v>4581</v>
      </c>
    </row>
    <row r="731" spans="1:55" x14ac:dyDescent="0.25">
      <c r="A731">
        <v>328</v>
      </c>
      <c r="B731" t="s">
        <v>924</v>
      </c>
      <c r="C731" t="s">
        <v>2359</v>
      </c>
      <c r="D731" t="s">
        <v>3794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202</v>
      </c>
      <c r="K731">
        <v>349351696.33888501</v>
      </c>
      <c r="L731">
        <v>0.95</v>
      </c>
      <c r="M731" t="s">
        <v>4536</v>
      </c>
      <c r="O731" t="s">
        <v>207</v>
      </c>
      <c r="Q731" t="s">
        <v>207</v>
      </c>
      <c r="R731" t="s">
        <v>207</v>
      </c>
      <c r="S731" t="s">
        <v>207</v>
      </c>
      <c r="T731" t="s">
        <v>207</v>
      </c>
      <c r="U731" t="s">
        <v>207</v>
      </c>
      <c r="V731" t="s">
        <v>207</v>
      </c>
      <c r="W731" t="s">
        <v>207</v>
      </c>
      <c r="X731" t="s">
        <v>207</v>
      </c>
      <c r="AK731">
        <v>0</v>
      </c>
      <c r="AL731">
        <v>0.111</v>
      </c>
      <c r="AM731">
        <v>0</v>
      </c>
      <c r="AO731" t="s">
        <v>4568</v>
      </c>
      <c r="AQ731">
        <v>0</v>
      </c>
      <c r="AR731">
        <v>0.01</v>
      </c>
      <c r="AW731">
        <v>4520</v>
      </c>
      <c r="AX731">
        <v>1.77</v>
      </c>
      <c r="AY731" t="s">
        <v>208</v>
      </c>
      <c r="AZ731" t="s">
        <v>4571</v>
      </c>
      <c r="BA731">
        <v>42777547191.423813</v>
      </c>
      <c r="BB731" t="s">
        <v>4572</v>
      </c>
      <c r="BC731" t="s">
        <v>4594</v>
      </c>
    </row>
    <row r="732" spans="1:55" x14ac:dyDescent="0.25">
      <c r="A732">
        <v>782</v>
      </c>
      <c r="B732" t="s">
        <v>925</v>
      </c>
      <c r="C732" t="s">
        <v>2360</v>
      </c>
      <c r="D732" t="s">
        <v>3795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205</v>
      </c>
      <c r="K732">
        <v>41329589.910537198</v>
      </c>
      <c r="L732">
        <v>0.9</v>
      </c>
      <c r="O732" t="s">
        <v>207</v>
      </c>
      <c r="Q732" t="s">
        <v>207</v>
      </c>
      <c r="R732" t="s">
        <v>207</v>
      </c>
      <c r="S732" t="s">
        <v>207</v>
      </c>
      <c r="T732" t="s">
        <v>207</v>
      </c>
      <c r="U732" t="s">
        <v>207</v>
      </c>
      <c r="V732" t="s">
        <v>207</v>
      </c>
      <c r="W732" t="s">
        <v>207</v>
      </c>
      <c r="X732" t="s">
        <v>207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210</v>
      </c>
      <c r="BA732">
        <v>12953804968.26</v>
      </c>
      <c r="BB732" t="s">
        <v>211</v>
      </c>
    </row>
    <row r="733" spans="1:55" x14ac:dyDescent="0.25">
      <c r="A733">
        <v>788</v>
      </c>
      <c r="B733" t="s">
        <v>926</v>
      </c>
      <c r="C733" t="s">
        <v>2361</v>
      </c>
      <c r="D733" t="s">
        <v>3796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27502410904.082401</v>
      </c>
      <c r="J733" t="s">
        <v>204</v>
      </c>
      <c r="K733">
        <v>39486005.994205497</v>
      </c>
      <c r="L733">
        <v>0.45</v>
      </c>
      <c r="O733" t="s">
        <v>207</v>
      </c>
      <c r="Q733" t="s">
        <v>207</v>
      </c>
      <c r="R733" t="s">
        <v>207</v>
      </c>
      <c r="S733" t="s">
        <v>207</v>
      </c>
      <c r="T733" t="s">
        <v>207</v>
      </c>
      <c r="U733" t="s">
        <v>207</v>
      </c>
      <c r="V733" t="s">
        <v>207</v>
      </c>
      <c r="W733" t="s">
        <v>207</v>
      </c>
      <c r="X733" t="s">
        <v>207</v>
      </c>
      <c r="AK733">
        <v>0</v>
      </c>
      <c r="AL733">
        <v>0.05</v>
      </c>
      <c r="AM733">
        <v>0</v>
      </c>
      <c r="AO733" t="s">
        <v>4568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209</v>
      </c>
      <c r="AZ733" t="s">
        <v>4571</v>
      </c>
      <c r="BA733">
        <v>12376084906.83708</v>
      </c>
      <c r="BB733" t="s">
        <v>4572</v>
      </c>
      <c r="BC733" t="s">
        <v>4635</v>
      </c>
    </row>
    <row r="734" spans="1:55" x14ac:dyDescent="0.25">
      <c r="A734">
        <v>1236</v>
      </c>
      <c r="B734" t="s">
        <v>927</v>
      </c>
      <c r="C734" t="s">
        <v>2362</v>
      </c>
      <c r="D734" t="s">
        <v>3797</v>
      </c>
      <c r="E734" t="s">
        <v>93</v>
      </c>
      <c r="F734">
        <v>324863620</v>
      </c>
      <c r="G734">
        <v>11.856870000000001</v>
      </c>
      <c r="H734" t="s">
        <v>101</v>
      </c>
      <c r="I734">
        <v>3851865710.0693998</v>
      </c>
      <c r="J734" t="s">
        <v>205</v>
      </c>
      <c r="K734">
        <v>23059810.588319801</v>
      </c>
      <c r="L734">
        <v>0.9</v>
      </c>
      <c r="M734" t="s">
        <v>4536</v>
      </c>
      <c r="O734" t="s">
        <v>207</v>
      </c>
      <c r="Q734" t="s">
        <v>207</v>
      </c>
      <c r="R734" t="s">
        <v>207</v>
      </c>
      <c r="S734" t="s">
        <v>207</v>
      </c>
      <c r="T734" t="s">
        <v>207</v>
      </c>
      <c r="U734" t="s">
        <v>207</v>
      </c>
      <c r="V734" t="s">
        <v>207</v>
      </c>
      <c r="W734" t="s">
        <v>207</v>
      </c>
      <c r="X734" t="s">
        <v>207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210</v>
      </c>
      <c r="BA734">
        <v>3466679139.0624599</v>
      </c>
      <c r="BB734" t="s">
        <v>4572</v>
      </c>
      <c r="BC734" t="s">
        <v>4536</v>
      </c>
    </row>
    <row r="735" spans="1:55" x14ac:dyDescent="0.25">
      <c r="A735">
        <v>1238</v>
      </c>
      <c r="B735" t="s">
        <v>928</v>
      </c>
      <c r="C735" t="s">
        <v>2363</v>
      </c>
      <c r="D735" t="s">
        <v>3798</v>
      </c>
      <c r="E735" t="s">
        <v>93</v>
      </c>
      <c r="F735">
        <v>116200690</v>
      </c>
      <c r="G735">
        <v>31.27299</v>
      </c>
      <c r="H735" t="s">
        <v>101</v>
      </c>
      <c r="I735">
        <v>3633943016.3631001</v>
      </c>
      <c r="J735" t="s">
        <v>205</v>
      </c>
      <c r="K735">
        <v>15645899.867331799</v>
      </c>
      <c r="L735">
        <v>0.95</v>
      </c>
      <c r="M735" t="s">
        <v>4536</v>
      </c>
      <c r="O735" t="s">
        <v>207</v>
      </c>
      <c r="Q735" t="s">
        <v>207</v>
      </c>
      <c r="R735" t="s">
        <v>207</v>
      </c>
      <c r="S735" t="s">
        <v>207</v>
      </c>
      <c r="T735" t="s">
        <v>207</v>
      </c>
      <c r="U735" t="s">
        <v>207</v>
      </c>
      <c r="V735" t="s">
        <v>207</v>
      </c>
      <c r="W735" t="s">
        <v>207</v>
      </c>
      <c r="X735" t="s">
        <v>207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210</v>
      </c>
      <c r="BA735">
        <v>3452245865.5449448</v>
      </c>
      <c r="BB735" t="s">
        <v>4572</v>
      </c>
      <c r="BC735" t="s">
        <v>4536</v>
      </c>
    </row>
    <row r="736" spans="1:55" x14ac:dyDescent="0.25">
      <c r="A736">
        <v>735</v>
      </c>
      <c r="B736" t="s">
        <v>929</v>
      </c>
      <c r="C736" t="s">
        <v>2364</v>
      </c>
      <c r="D736" t="s">
        <v>3799</v>
      </c>
      <c r="E736" t="s">
        <v>93</v>
      </c>
      <c r="F736">
        <v>1510474400</v>
      </c>
      <c r="G736">
        <v>11.140599999999999</v>
      </c>
      <c r="H736" t="s">
        <v>101</v>
      </c>
      <c r="I736">
        <v>16827591100.639999</v>
      </c>
      <c r="J736" t="s">
        <v>205</v>
      </c>
      <c r="K736">
        <v>47241198.752903402</v>
      </c>
      <c r="L736">
        <v>0.95</v>
      </c>
      <c r="M736" t="s">
        <v>4536</v>
      </c>
      <c r="O736" t="s">
        <v>207</v>
      </c>
      <c r="Q736" t="s">
        <v>207</v>
      </c>
      <c r="R736" t="s">
        <v>207</v>
      </c>
      <c r="S736" t="s">
        <v>206</v>
      </c>
      <c r="T736" t="s">
        <v>207</v>
      </c>
      <c r="U736" t="s">
        <v>207</v>
      </c>
      <c r="V736" t="s">
        <v>207</v>
      </c>
      <c r="W736" t="s">
        <v>207</v>
      </c>
      <c r="X736" t="s">
        <v>207</v>
      </c>
      <c r="AA736" t="s">
        <v>4541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210</v>
      </c>
      <c r="BA736">
        <v>15986211545.608</v>
      </c>
      <c r="BB736" t="s">
        <v>4572</v>
      </c>
      <c r="BC736" t="s">
        <v>4610</v>
      </c>
    </row>
    <row r="737" spans="1:55" x14ac:dyDescent="0.25">
      <c r="A737">
        <v>1191</v>
      </c>
      <c r="B737" t="s">
        <v>930</v>
      </c>
      <c r="C737" t="s">
        <v>2365</v>
      </c>
      <c r="D737" t="s">
        <v>3800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205</v>
      </c>
      <c r="K737">
        <v>16812352.588658199</v>
      </c>
      <c r="L737">
        <v>0.9</v>
      </c>
      <c r="M737" t="s">
        <v>4536</v>
      </c>
      <c r="O737" t="s">
        <v>207</v>
      </c>
      <c r="Q737" t="s">
        <v>207</v>
      </c>
      <c r="R737" t="s">
        <v>207</v>
      </c>
      <c r="S737" t="s">
        <v>207</v>
      </c>
      <c r="T737" t="s">
        <v>207</v>
      </c>
      <c r="U737" t="s">
        <v>207</v>
      </c>
      <c r="V737" t="s">
        <v>207</v>
      </c>
      <c r="W737" t="s">
        <v>207</v>
      </c>
      <c r="X737" t="s">
        <v>207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210</v>
      </c>
      <c r="BA737">
        <v>3742342342.2593999</v>
      </c>
      <c r="BB737" t="s">
        <v>4572</v>
      </c>
      <c r="BC737" t="s">
        <v>4536</v>
      </c>
    </row>
    <row r="738" spans="1:55" x14ac:dyDescent="0.25">
      <c r="A738">
        <v>1292</v>
      </c>
      <c r="B738" t="s">
        <v>931</v>
      </c>
      <c r="C738" t="s">
        <v>2366</v>
      </c>
      <c r="D738" t="s">
        <v>3801</v>
      </c>
      <c r="E738" t="s">
        <v>93</v>
      </c>
      <c r="F738">
        <v>525634500</v>
      </c>
      <c r="G738">
        <v>13.19989</v>
      </c>
      <c r="H738" t="s">
        <v>101</v>
      </c>
      <c r="I738">
        <v>6938317580.2049999</v>
      </c>
      <c r="J738" t="s">
        <v>205</v>
      </c>
      <c r="K738">
        <v>14467745.8372143</v>
      </c>
      <c r="L738">
        <v>0.45</v>
      </c>
      <c r="M738" t="s">
        <v>4536</v>
      </c>
      <c r="O738" t="s">
        <v>207</v>
      </c>
      <c r="Q738" t="s">
        <v>207</v>
      </c>
      <c r="R738" t="s">
        <v>207</v>
      </c>
      <c r="S738" t="s">
        <v>207</v>
      </c>
      <c r="T738" t="s">
        <v>207</v>
      </c>
      <c r="U738" t="s">
        <v>207</v>
      </c>
      <c r="V738" t="s">
        <v>207</v>
      </c>
      <c r="W738" t="s">
        <v>207</v>
      </c>
      <c r="X738" t="s">
        <v>207</v>
      </c>
      <c r="AG738" t="s">
        <v>4546</v>
      </c>
      <c r="AH738" t="s">
        <v>4562</v>
      </c>
      <c r="AI738" t="s">
        <v>4565</v>
      </c>
      <c r="AJ738" t="s">
        <v>4566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210</v>
      </c>
      <c r="BA738">
        <v>3122242911.0922499</v>
      </c>
      <c r="BB738" t="s">
        <v>4572</v>
      </c>
      <c r="BC738" t="s">
        <v>4578</v>
      </c>
    </row>
    <row r="739" spans="1:55" x14ac:dyDescent="0.25">
      <c r="A739">
        <v>1180</v>
      </c>
      <c r="B739" t="s">
        <v>932</v>
      </c>
      <c r="C739" t="s">
        <v>2367</v>
      </c>
      <c r="D739" t="s">
        <v>3802</v>
      </c>
      <c r="E739" t="s">
        <v>93</v>
      </c>
      <c r="F739">
        <v>474183930</v>
      </c>
      <c r="G739">
        <v>8.1028380000000002</v>
      </c>
      <c r="H739" t="s">
        <v>101</v>
      </c>
      <c r="I739">
        <v>3842235566.99334</v>
      </c>
      <c r="J739" t="s">
        <v>205</v>
      </c>
      <c r="K739">
        <v>18687975.843414199</v>
      </c>
      <c r="L739">
        <v>1</v>
      </c>
      <c r="M739" t="s">
        <v>4536</v>
      </c>
      <c r="O739" t="s">
        <v>207</v>
      </c>
      <c r="Q739" t="s">
        <v>207</v>
      </c>
      <c r="R739" t="s">
        <v>207</v>
      </c>
      <c r="S739" t="s">
        <v>207</v>
      </c>
      <c r="T739" t="s">
        <v>207</v>
      </c>
      <c r="U739" t="s">
        <v>207</v>
      </c>
      <c r="V739" t="s">
        <v>207</v>
      </c>
      <c r="W739" t="s">
        <v>207</v>
      </c>
      <c r="X739" t="s">
        <v>207</v>
      </c>
      <c r="AK739">
        <v>0.1719</v>
      </c>
      <c r="AL739">
        <v>0.35</v>
      </c>
      <c r="AM739">
        <v>0.3</v>
      </c>
      <c r="AN739" t="s">
        <v>4567</v>
      </c>
      <c r="AO739" t="s">
        <v>4568</v>
      </c>
      <c r="AP739" t="s">
        <v>4569</v>
      </c>
      <c r="AQ739">
        <v>0</v>
      </c>
      <c r="AR739">
        <v>0</v>
      </c>
      <c r="AW739">
        <v>6510</v>
      </c>
      <c r="AX739">
        <v>1.7969999999999999</v>
      </c>
      <c r="AY739" t="s">
        <v>210</v>
      </c>
      <c r="AZ739" t="s">
        <v>4571</v>
      </c>
      <c r="BA739">
        <v>3842235566.99334</v>
      </c>
      <c r="BB739" t="s">
        <v>4572</v>
      </c>
      <c r="BC739" t="s">
        <v>4612</v>
      </c>
    </row>
    <row r="740" spans="1:55" x14ac:dyDescent="0.25">
      <c r="A740">
        <v>1460</v>
      </c>
      <c r="B740" t="s">
        <v>933</v>
      </c>
      <c r="C740" t="s">
        <v>2368</v>
      </c>
      <c r="D740" t="s">
        <v>3803</v>
      </c>
      <c r="E740" t="s">
        <v>93</v>
      </c>
      <c r="F740">
        <v>463375980</v>
      </c>
      <c r="G740">
        <v>4.8342029999999996</v>
      </c>
      <c r="H740" t="s">
        <v>101</v>
      </c>
      <c r="I740">
        <v>2240053552.64394</v>
      </c>
      <c r="J740" t="s">
        <v>205</v>
      </c>
      <c r="K740">
        <v>6652836.1522850897</v>
      </c>
      <c r="L740">
        <v>0.95</v>
      </c>
      <c r="M740" t="s">
        <v>4536</v>
      </c>
      <c r="N740" t="s">
        <v>4537</v>
      </c>
      <c r="O740" t="s">
        <v>207</v>
      </c>
      <c r="Q740" t="s">
        <v>207</v>
      </c>
      <c r="R740" t="s">
        <v>207</v>
      </c>
      <c r="S740" t="s">
        <v>207</v>
      </c>
      <c r="T740" t="s">
        <v>207</v>
      </c>
      <c r="U740" t="s">
        <v>207</v>
      </c>
      <c r="V740" t="s">
        <v>207</v>
      </c>
      <c r="W740" t="s">
        <v>207</v>
      </c>
      <c r="X740" t="s">
        <v>207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210</v>
      </c>
      <c r="AZ740" t="s">
        <v>4571</v>
      </c>
      <c r="BA740">
        <v>2128050875.0117431</v>
      </c>
      <c r="BB740" t="s">
        <v>4572</v>
      </c>
      <c r="BC740" t="s">
        <v>4584</v>
      </c>
    </row>
    <row r="741" spans="1:55" x14ac:dyDescent="0.25">
      <c r="A741">
        <v>390</v>
      </c>
      <c r="B741" t="s">
        <v>934</v>
      </c>
      <c r="C741" t="s">
        <v>2369</v>
      </c>
      <c r="D741" t="s">
        <v>3804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202</v>
      </c>
      <c r="K741">
        <v>246818554.177203</v>
      </c>
      <c r="L741">
        <v>1</v>
      </c>
      <c r="M741" t="s">
        <v>4536</v>
      </c>
      <c r="O741" t="s">
        <v>207</v>
      </c>
      <c r="Q741" t="s">
        <v>207</v>
      </c>
      <c r="R741" t="s">
        <v>207</v>
      </c>
      <c r="S741" t="s">
        <v>4538</v>
      </c>
      <c r="T741" t="s">
        <v>207</v>
      </c>
      <c r="U741" t="s">
        <v>207</v>
      </c>
      <c r="V741" t="s">
        <v>207</v>
      </c>
      <c r="W741" t="s">
        <v>207</v>
      </c>
      <c r="X741" t="s">
        <v>4538</v>
      </c>
      <c r="AA741" t="s">
        <v>4541</v>
      </c>
      <c r="AF741" t="s">
        <v>4545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208</v>
      </c>
      <c r="BA741">
        <v>35847177774.407997</v>
      </c>
      <c r="BB741" t="s">
        <v>4572</v>
      </c>
      <c r="BC741" t="s">
        <v>4636</v>
      </c>
    </row>
    <row r="742" spans="1:55" x14ac:dyDescent="0.25">
      <c r="A742">
        <v>618</v>
      </c>
      <c r="B742" t="s">
        <v>935</v>
      </c>
      <c r="C742" t="s">
        <v>2370</v>
      </c>
      <c r="D742" t="s">
        <v>3805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202</v>
      </c>
      <c r="K742">
        <v>125966197.936022</v>
      </c>
      <c r="L742">
        <v>1</v>
      </c>
      <c r="M742" t="s">
        <v>4536</v>
      </c>
      <c r="O742" t="s">
        <v>207</v>
      </c>
      <c r="Q742" t="s">
        <v>207</v>
      </c>
      <c r="R742" t="s">
        <v>207</v>
      </c>
      <c r="S742" t="s">
        <v>207</v>
      </c>
      <c r="T742" t="s">
        <v>207</v>
      </c>
      <c r="U742" t="s">
        <v>207</v>
      </c>
      <c r="V742" t="s">
        <v>207</v>
      </c>
      <c r="W742" t="s">
        <v>207</v>
      </c>
      <c r="X742" t="s">
        <v>207</v>
      </c>
      <c r="AG742" t="s">
        <v>4546</v>
      </c>
      <c r="AH742" t="s">
        <v>4563</v>
      </c>
      <c r="AI742" t="s">
        <v>4565</v>
      </c>
      <c r="AJ742" t="s">
        <v>4566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208</v>
      </c>
      <c r="AZ742" t="s">
        <v>4571</v>
      </c>
      <c r="BA742">
        <v>19987825981.316002</v>
      </c>
      <c r="BB742" t="s">
        <v>4572</v>
      </c>
      <c r="BC742" t="s">
        <v>4588</v>
      </c>
    </row>
    <row r="743" spans="1:55" x14ac:dyDescent="0.25">
      <c r="A743">
        <v>1143</v>
      </c>
      <c r="B743" t="s">
        <v>936</v>
      </c>
      <c r="C743" t="s">
        <v>2371</v>
      </c>
      <c r="D743" t="s">
        <v>3806</v>
      </c>
      <c r="E743" t="s">
        <v>4519</v>
      </c>
      <c r="F743">
        <v>198768370</v>
      </c>
      <c r="G743">
        <v>21.09516</v>
      </c>
      <c r="H743" t="s">
        <v>4530</v>
      </c>
      <c r="I743">
        <v>4193050568.0892</v>
      </c>
      <c r="J743" t="s">
        <v>204</v>
      </c>
      <c r="K743">
        <v>3910347.66929272</v>
      </c>
      <c r="L743">
        <v>1</v>
      </c>
      <c r="M743" t="s">
        <v>4536</v>
      </c>
      <c r="N743" t="s">
        <v>4537</v>
      </c>
      <c r="O743" t="s">
        <v>207</v>
      </c>
      <c r="Q743" t="s">
        <v>207</v>
      </c>
      <c r="R743" t="s">
        <v>207</v>
      </c>
      <c r="S743" t="s">
        <v>207</v>
      </c>
      <c r="T743" t="s">
        <v>207</v>
      </c>
      <c r="U743" t="s">
        <v>207</v>
      </c>
      <c r="V743" t="s">
        <v>207</v>
      </c>
      <c r="W743" t="s">
        <v>207</v>
      </c>
      <c r="X743" t="s">
        <v>207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209</v>
      </c>
      <c r="AZ743" t="s">
        <v>4571</v>
      </c>
      <c r="BA743">
        <v>4193050568.0892</v>
      </c>
      <c r="BB743" t="s">
        <v>4572</v>
      </c>
      <c r="BC743" t="s">
        <v>4584</v>
      </c>
    </row>
    <row r="744" spans="1:55" x14ac:dyDescent="0.25">
      <c r="A744">
        <v>113</v>
      </c>
      <c r="B744" t="s">
        <v>937</v>
      </c>
      <c r="C744" t="s">
        <v>2372</v>
      </c>
      <c r="D744" t="s">
        <v>3807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202</v>
      </c>
      <c r="K744">
        <v>906523861.41275704</v>
      </c>
      <c r="L744">
        <v>1</v>
      </c>
      <c r="M744" t="s">
        <v>4536</v>
      </c>
      <c r="O744" t="s">
        <v>207</v>
      </c>
      <c r="Q744" t="s">
        <v>207</v>
      </c>
      <c r="R744" t="s">
        <v>207</v>
      </c>
      <c r="S744" t="s">
        <v>207</v>
      </c>
      <c r="T744" t="s">
        <v>207</v>
      </c>
      <c r="U744" t="s">
        <v>207</v>
      </c>
      <c r="V744" t="s">
        <v>207</v>
      </c>
      <c r="W744" t="s">
        <v>207</v>
      </c>
      <c r="X744" t="s">
        <v>207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208</v>
      </c>
      <c r="BA744">
        <v>105615113850.03999</v>
      </c>
      <c r="BB744" t="s">
        <v>4572</v>
      </c>
      <c r="BC744" t="s">
        <v>4536</v>
      </c>
    </row>
    <row r="745" spans="1:55" x14ac:dyDescent="0.25">
      <c r="A745">
        <v>1067</v>
      </c>
      <c r="B745" t="s">
        <v>938</v>
      </c>
      <c r="C745" t="s">
        <v>2373</v>
      </c>
      <c r="D745" t="s">
        <v>3808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204</v>
      </c>
      <c r="K745">
        <v>14821728.319426199</v>
      </c>
      <c r="L745">
        <v>1</v>
      </c>
      <c r="M745" t="s">
        <v>4536</v>
      </c>
      <c r="O745" t="s">
        <v>207</v>
      </c>
      <c r="Q745" t="s">
        <v>207</v>
      </c>
      <c r="R745" t="s">
        <v>207</v>
      </c>
      <c r="S745" t="s">
        <v>207</v>
      </c>
      <c r="T745" t="s">
        <v>207</v>
      </c>
      <c r="U745" t="s">
        <v>207</v>
      </c>
      <c r="V745" t="s">
        <v>207</v>
      </c>
      <c r="W745" t="s">
        <v>207</v>
      </c>
      <c r="X745" t="s">
        <v>207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209</v>
      </c>
      <c r="BA745">
        <v>5137851595.0580006</v>
      </c>
      <c r="BB745" t="s">
        <v>4572</v>
      </c>
      <c r="BC745" t="s">
        <v>4536</v>
      </c>
    </row>
    <row r="746" spans="1:55" x14ac:dyDescent="0.25">
      <c r="A746">
        <v>1421</v>
      </c>
      <c r="B746" t="s">
        <v>939</v>
      </c>
      <c r="C746" t="s">
        <v>2374</v>
      </c>
      <c r="D746" t="s">
        <v>3809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4535</v>
      </c>
      <c r="K746">
        <v>8437276.6798360609</v>
      </c>
      <c r="L746">
        <v>0.95</v>
      </c>
      <c r="M746" t="s">
        <v>4536</v>
      </c>
      <c r="N746" t="s">
        <v>4537</v>
      </c>
      <c r="O746" t="s">
        <v>207</v>
      </c>
      <c r="Q746" t="s">
        <v>207</v>
      </c>
      <c r="R746" t="s">
        <v>207</v>
      </c>
      <c r="S746" t="s">
        <v>207</v>
      </c>
      <c r="T746" t="s">
        <v>207</v>
      </c>
      <c r="U746" t="s">
        <v>207</v>
      </c>
      <c r="V746" t="s">
        <v>207</v>
      </c>
      <c r="W746" t="s">
        <v>207</v>
      </c>
      <c r="X746" t="s">
        <v>207</v>
      </c>
      <c r="AG746" t="s">
        <v>4546</v>
      </c>
      <c r="AH746" t="s">
        <v>4564</v>
      </c>
      <c r="AI746" t="s">
        <v>4565</v>
      </c>
      <c r="AJ746" t="s">
        <v>4566</v>
      </c>
      <c r="AK746">
        <v>0</v>
      </c>
      <c r="AL746">
        <v>0.01</v>
      </c>
      <c r="AM746">
        <v>0</v>
      </c>
      <c r="AO746" t="s">
        <v>4568</v>
      </c>
      <c r="AQ746">
        <v>0</v>
      </c>
      <c r="AR746">
        <v>0</v>
      </c>
      <c r="AW746">
        <v>5520</v>
      </c>
      <c r="AX746">
        <v>2.9009999999999998</v>
      </c>
      <c r="AY746" t="s">
        <v>209</v>
      </c>
      <c r="BA746">
        <v>2359974062.4390001</v>
      </c>
      <c r="BB746" t="s">
        <v>4572</v>
      </c>
      <c r="BC746" t="s">
        <v>4632</v>
      </c>
    </row>
    <row r="747" spans="1:55" x14ac:dyDescent="0.25">
      <c r="A747">
        <v>851</v>
      </c>
      <c r="B747" t="s">
        <v>940</v>
      </c>
      <c r="C747" t="s">
        <v>2375</v>
      </c>
      <c r="D747" t="s">
        <v>3810</v>
      </c>
      <c r="E747" t="s">
        <v>93</v>
      </c>
      <c r="F747">
        <v>94286400</v>
      </c>
      <c r="G747">
        <v>96.473010000000002</v>
      </c>
      <c r="H747" t="s">
        <v>101</v>
      </c>
      <c r="I747">
        <v>9096092810.0640011</v>
      </c>
      <c r="J747" t="s">
        <v>205</v>
      </c>
      <c r="K747">
        <v>666915230.64744997</v>
      </c>
      <c r="L747">
        <v>1</v>
      </c>
      <c r="M747" t="s">
        <v>4536</v>
      </c>
      <c r="O747" t="s">
        <v>207</v>
      </c>
      <c r="Q747" t="s">
        <v>207</v>
      </c>
      <c r="R747" t="s">
        <v>207</v>
      </c>
      <c r="S747" t="s">
        <v>207</v>
      </c>
      <c r="T747" t="s">
        <v>207</v>
      </c>
      <c r="U747" t="s">
        <v>207</v>
      </c>
      <c r="V747" t="s">
        <v>207</v>
      </c>
      <c r="W747" t="s">
        <v>207</v>
      </c>
      <c r="X747" t="s">
        <v>207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210</v>
      </c>
      <c r="BA747">
        <v>9096092810.0640011</v>
      </c>
      <c r="BB747" t="s">
        <v>4572</v>
      </c>
      <c r="BC747" t="s">
        <v>4536</v>
      </c>
    </row>
    <row r="748" spans="1:55" x14ac:dyDescent="0.25">
      <c r="A748">
        <v>1164</v>
      </c>
      <c r="B748" t="s">
        <v>941</v>
      </c>
      <c r="C748" t="s">
        <v>2376</v>
      </c>
      <c r="D748" t="s">
        <v>3811</v>
      </c>
      <c r="E748" t="s">
        <v>4519</v>
      </c>
      <c r="F748">
        <v>592253660</v>
      </c>
      <c r="G748">
        <v>26.912960000000002</v>
      </c>
      <c r="H748" t="s">
        <v>4530</v>
      </c>
      <c r="I748">
        <v>15939299061.433599</v>
      </c>
      <c r="J748" t="s">
        <v>204</v>
      </c>
      <c r="K748">
        <v>4402654.6376814097</v>
      </c>
      <c r="L748">
        <v>0.25</v>
      </c>
      <c r="M748" t="s">
        <v>4536</v>
      </c>
      <c r="N748" t="s">
        <v>4537</v>
      </c>
      <c r="O748" t="s">
        <v>207</v>
      </c>
      <c r="Q748" t="s">
        <v>207</v>
      </c>
      <c r="R748" t="s">
        <v>207</v>
      </c>
      <c r="S748" t="s">
        <v>207</v>
      </c>
      <c r="T748" t="s">
        <v>207</v>
      </c>
      <c r="U748" t="s">
        <v>207</v>
      </c>
      <c r="V748" t="s">
        <v>207</v>
      </c>
      <c r="W748" t="s">
        <v>207</v>
      </c>
      <c r="X748" t="s">
        <v>207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209</v>
      </c>
      <c r="AZ748" t="s">
        <v>4571</v>
      </c>
      <c r="BA748">
        <v>3984824765.3583999</v>
      </c>
      <c r="BB748" t="s">
        <v>4572</v>
      </c>
      <c r="BC748" t="s">
        <v>4584</v>
      </c>
    </row>
    <row r="749" spans="1:55" x14ac:dyDescent="0.25">
      <c r="A749">
        <v>1036</v>
      </c>
      <c r="B749" t="s">
        <v>942</v>
      </c>
      <c r="C749" t="s">
        <v>2377</v>
      </c>
      <c r="D749" t="s">
        <v>3812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203</v>
      </c>
      <c r="K749">
        <v>13732521.497377099</v>
      </c>
      <c r="L749">
        <v>1</v>
      </c>
      <c r="M749" t="s">
        <v>4536</v>
      </c>
      <c r="O749" t="s">
        <v>207</v>
      </c>
      <c r="Q749" t="s">
        <v>207</v>
      </c>
      <c r="R749" t="s">
        <v>207</v>
      </c>
      <c r="S749" t="s">
        <v>207</v>
      </c>
      <c r="T749" t="s">
        <v>207</v>
      </c>
      <c r="U749" t="s">
        <v>207</v>
      </c>
      <c r="V749" t="s">
        <v>207</v>
      </c>
      <c r="W749" t="s">
        <v>207</v>
      </c>
      <c r="X749" t="s">
        <v>207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209</v>
      </c>
      <c r="BA749">
        <v>5638843109.5200005</v>
      </c>
      <c r="BB749" t="s">
        <v>4572</v>
      </c>
      <c r="BC749" t="s">
        <v>4536</v>
      </c>
    </row>
    <row r="750" spans="1:55" x14ac:dyDescent="0.25">
      <c r="A750">
        <v>698</v>
      </c>
      <c r="B750" t="s">
        <v>943</v>
      </c>
      <c r="C750" t="s">
        <v>2378</v>
      </c>
      <c r="D750" t="s">
        <v>3813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204</v>
      </c>
      <c r="K750">
        <v>32798433.932136402</v>
      </c>
      <c r="L750">
        <v>1</v>
      </c>
      <c r="M750" t="s">
        <v>4536</v>
      </c>
      <c r="O750" t="s">
        <v>207</v>
      </c>
      <c r="Q750" t="s">
        <v>207</v>
      </c>
      <c r="R750" t="s">
        <v>207</v>
      </c>
      <c r="S750" t="s">
        <v>207</v>
      </c>
      <c r="T750" t="s">
        <v>207</v>
      </c>
      <c r="U750" t="s">
        <v>207</v>
      </c>
      <c r="V750" t="s">
        <v>207</v>
      </c>
      <c r="W750" t="s">
        <v>207</v>
      </c>
      <c r="X750" t="s">
        <v>207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209</v>
      </c>
      <c r="BA750">
        <v>16963667494.535999</v>
      </c>
      <c r="BB750" t="s">
        <v>4572</v>
      </c>
      <c r="BC750" t="s">
        <v>4536</v>
      </c>
    </row>
    <row r="751" spans="1:55" x14ac:dyDescent="0.25">
      <c r="A751">
        <v>736</v>
      </c>
      <c r="B751" t="s">
        <v>944</v>
      </c>
      <c r="C751" t="s">
        <v>2379</v>
      </c>
      <c r="D751" t="s">
        <v>3814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202</v>
      </c>
      <c r="K751">
        <v>200699191.37805599</v>
      </c>
      <c r="L751">
        <v>1</v>
      </c>
      <c r="M751" t="s">
        <v>4536</v>
      </c>
      <c r="O751" t="s">
        <v>207</v>
      </c>
      <c r="Q751" t="s">
        <v>207</v>
      </c>
      <c r="R751" t="s">
        <v>207</v>
      </c>
      <c r="S751" t="s">
        <v>4538</v>
      </c>
      <c r="T751" t="s">
        <v>207</v>
      </c>
      <c r="U751" t="s">
        <v>207</v>
      </c>
      <c r="V751" t="s">
        <v>207</v>
      </c>
      <c r="W751" t="s">
        <v>207</v>
      </c>
      <c r="X751" t="s">
        <v>207</v>
      </c>
      <c r="AA751" t="s">
        <v>4541</v>
      </c>
      <c r="AG751" t="s">
        <v>4546</v>
      </c>
      <c r="AH751" t="s">
        <v>4562</v>
      </c>
      <c r="AI751" t="s">
        <v>4565</v>
      </c>
      <c r="AJ751" t="s">
        <v>4566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208</v>
      </c>
      <c r="BA751">
        <v>15910706914.896</v>
      </c>
      <c r="BB751" t="s">
        <v>4572</v>
      </c>
      <c r="BC751" t="s">
        <v>4637</v>
      </c>
    </row>
    <row r="752" spans="1:55" x14ac:dyDescent="0.25">
      <c r="A752">
        <v>1433</v>
      </c>
      <c r="B752" t="s">
        <v>945</v>
      </c>
      <c r="C752" t="s">
        <v>2380</v>
      </c>
      <c r="D752" t="s">
        <v>3815</v>
      </c>
      <c r="E752" t="s">
        <v>94</v>
      </c>
      <c r="F752">
        <v>690047200</v>
      </c>
      <c r="G752">
        <v>3.8658540000000001</v>
      </c>
      <c r="H752" t="s">
        <v>102</v>
      </c>
      <c r="I752">
        <v>2667621728.3088002</v>
      </c>
      <c r="J752" t="s">
        <v>205</v>
      </c>
      <c r="K752">
        <v>3920500.2870517499</v>
      </c>
      <c r="L752">
        <v>0.85</v>
      </c>
      <c r="M752" t="s">
        <v>4536</v>
      </c>
      <c r="N752" t="s">
        <v>4537</v>
      </c>
      <c r="O752" t="s">
        <v>207</v>
      </c>
      <c r="Q752" t="s">
        <v>207</v>
      </c>
      <c r="R752" t="s">
        <v>207</v>
      </c>
      <c r="S752" t="s">
        <v>207</v>
      </c>
      <c r="T752" t="s">
        <v>207</v>
      </c>
      <c r="U752" t="s">
        <v>207</v>
      </c>
      <c r="V752" t="s">
        <v>207</v>
      </c>
      <c r="W752" t="s">
        <v>207</v>
      </c>
      <c r="X752" t="s">
        <v>207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210</v>
      </c>
      <c r="BA752">
        <v>2267478469.06248</v>
      </c>
      <c r="BB752" t="s">
        <v>4572</v>
      </c>
      <c r="BC752" t="s">
        <v>4575</v>
      </c>
    </row>
    <row r="753" spans="1:55" x14ac:dyDescent="0.25">
      <c r="A753">
        <v>484</v>
      </c>
      <c r="B753" t="s">
        <v>946</v>
      </c>
      <c r="C753" t="s">
        <v>2381</v>
      </c>
      <c r="D753" t="s">
        <v>3816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202</v>
      </c>
      <c r="K753">
        <v>425405538.99500102</v>
      </c>
      <c r="L753">
        <v>1</v>
      </c>
      <c r="M753" t="s">
        <v>4536</v>
      </c>
      <c r="O753" t="s">
        <v>207</v>
      </c>
      <c r="Q753" t="s">
        <v>207</v>
      </c>
      <c r="R753" t="s">
        <v>207</v>
      </c>
      <c r="S753" t="s">
        <v>207</v>
      </c>
      <c r="T753" t="s">
        <v>207</v>
      </c>
      <c r="U753" t="s">
        <v>207</v>
      </c>
      <c r="V753" t="s">
        <v>207</v>
      </c>
      <c r="W753" t="s">
        <v>207</v>
      </c>
      <c r="X753" t="s">
        <v>207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208</v>
      </c>
      <c r="AZ753" t="s">
        <v>4571</v>
      </c>
      <c r="BA753">
        <v>26929204625.112</v>
      </c>
      <c r="BB753" t="s">
        <v>4572</v>
      </c>
      <c r="BC753" t="s">
        <v>4577</v>
      </c>
    </row>
    <row r="754" spans="1:55" x14ac:dyDescent="0.25">
      <c r="A754">
        <v>651</v>
      </c>
      <c r="B754" t="s">
        <v>947</v>
      </c>
      <c r="C754" t="s">
        <v>2382</v>
      </c>
      <c r="D754" t="s">
        <v>3817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202</v>
      </c>
      <c r="K754">
        <v>277050949.72125298</v>
      </c>
      <c r="L754">
        <v>0.9</v>
      </c>
      <c r="M754" t="s">
        <v>4536</v>
      </c>
      <c r="O754" t="s">
        <v>207</v>
      </c>
      <c r="Q754" t="s">
        <v>207</v>
      </c>
      <c r="R754" t="s">
        <v>207</v>
      </c>
      <c r="S754" t="s">
        <v>207</v>
      </c>
      <c r="T754" t="s">
        <v>207</v>
      </c>
      <c r="U754" t="s">
        <v>207</v>
      </c>
      <c r="V754" t="s">
        <v>207</v>
      </c>
      <c r="W754" t="s">
        <v>207</v>
      </c>
      <c r="X754" t="s">
        <v>207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208</v>
      </c>
      <c r="BA754">
        <v>18804439854.609482</v>
      </c>
      <c r="BB754" t="s">
        <v>4572</v>
      </c>
      <c r="BC754" t="s">
        <v>4536</v>
      </c>
    </row>
    <row r="755" spans="1:55" x14ac:dyDescent="0.25">
      <c r="A755">
        <v>770</v>
      </c>
      <c r="B755" t="s">
        <v>948</v>
      </c>
      <c r="C755" t="s">
        <v>2383</v>
      </c>
      <c r="D755" t="s">
        <v>3818</v>
      </c>
      <c r="E755" t="s">
        <v>4518</v>
      </c>
      <c r="F755">
        <v>12404659000</v>
      </c>
      <c r="G755">
        <v>1.674363</v>
      </c>
      <c r="H755" t="s">
        <v>4529</v>
      </c>
      <c r="I755">
        <v>20769902057.216999</v>
      </c>
      <c r="J755" t="s">
        <v>205</v>
      </c>
      <c r="K755">
        <v>109950435.359359</v>
      </c>
      <c r="L755">
        <v>0.65</v>
      </c>
      <c r="M755" t="s">
        <v>4536</v>
      </c>
      <c r="O755" t="s">
        <v>207</v>
      </c>
      <c r="Q755" t="s">
        <v>207</v>
      </c>
      <c r="R755" t="s">
        <v>207</v>
      </c>
      <c r="S755" t="s">
        <v>207</v>
      </c>
      <c r="T755" t="s">
        <v>207</v>
      </c>
      <c r="U755" t="s">
        <v>207</v>
      </c>
      <c r="V755" t="s">
        <v>207</v>
      </c>
      <c r="W755" t="s">
        <v>207</v>
      </c>
      <c r="X755" t="s">
        <v>207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210</v>
      </c>
      <c r="BA755">
        <v>13500436337.19105</v>
      </c>
      <c r="BB755" t="s">
        <v>4572</v>
      </c>
      <c r="BC755" t="s">
        <v>4536</v>
      </c>
    </row>
    <row r="756" spans="1:55" x14ac:dyDescent="0.25">
      <c r="A756">
        <v>757</v>
      </c>
      <c r="B756" t="s">
        <v>949</v>
      </c>
      <c r="C756" t="s">
        <v>2384</v>
      </c>
      <c r="D756" t="s">
        <v>3819</v>
      </c>
      <c r="E756" t="s">
        <v>4517</v>
      </c>
      <c r="F756">
        <v>578150395</v>
      </c>
      <c r="G756">
        <v>35.15</v>
      </c>
      <c r="H756" t="s">
        <v>99</v>
      </c>
      <c r="I756">
        <v>20321986384.25</v>
      </c>
      <c r="J756" t="s">
        <v>203</v>
      </c>
      <c r="K756">
        <v>89516969.567786902</v>
      </c>
      <c r="L756">
        <v>0.70000000000000007</v>
      </c>
      <c r="O756" t="s">
        <v>207</v>
      </c>
      <c r="Q756" t="s">
        <v>207</v>
      </c>
      <c r="R756" t="s">
        <v>207</v>
      </c>
      <c r="S756" t="s">
        <v>4538</v>
      </c>
      <c r="T756" t="s">
        <v>207</v>
      </c>
      <c r="U756" t="s">
        <v>207</v>
      </c>
      <c r="V756" t="s">
        <v>207</v>
      </c>
      <c r="W756" t="s">
        <v>207</v>
      </c>
      <c r="X756" t="s">
        <v>207</v>
      </c>
      <c r="AA756" t="s">
        <v>4541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4570</v>
      </c>
      <c r="AW756">
        <v>5020</v>
      </c>
      <c r="AX756">
        <v>3.137</v>
      </c>
      <c r="AY756" t="s">
        <v>209</v>
      </c>
      <c r="BA756">
        <v>14225390468.975</v>
      </c>
      <c r="BB756" t="s">
        <v>4572</v>
      </c>
      <c r="BC756" t="s">
        <v>4638</v>
      </c>
    </row>
    <row r="757" spans="1:55" x14ac:dyDescent="0.25">
      <c r="A757">
        <v>604</v>
      </c>
      <c r="B757" t="s">
        <v>950</v>
      </c>
      <c r="C757" t="s">
        <v>2385</v>
      </c>
      <c r="D757" t="s">
        <v>3820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202</v>
      </c>
      <c r="K757">
        <v>105338940.96578801</v>
      </c>
      <c r="L757">
        <v>1</v>
      </c>
      <c r="M757" t="s">
        <v>4536</v>
      </c>
      <c r="O757" t="s">
        <v>207</v>
      </c>
      <c r="Q757" t="s">
        <v>207</v>
      </c>
      <c r="R757" t="s">
        <v>207</v>
      </c>
      <c r="S757" t="s">
        <v>207</v>
      </c>
      <c r="T757" t="s">
        <v>207</v>
      </c>
      <c r="U757" t="s">
        <v>207</v>
      </c>
      <c r="V757" t="s">
        <v>207</v>
      </c>
      <c r="W757" t="s">
        <v>207</v>
      </c>
      <c r="X757" t="s">
        <v>207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208</v>
      </c>
      <c r="AZ757" t="s">
        <v>4571</v>
      </c>
      <c r="BA757">
        <v>20589413210.6427</v>
      </c>
      <c r="BB757" t="s">
        <v>4572</v>
      </c>
      <c r="BC757" t="s">
        <v>4577</v>
      </c>
    </row>
    <row r="758" spans="1:55" x14ac:dyDescent="0.25">
      <c r="A758">
        <v>895</v>
      </c>
      <c r="B758" t="s">
        <v>951</v>
      </c>
      <c r="C758" t="s">
        <v>2386</v>
      </c>
      <c r="D758" t="s">
        <v>3821</v>
      </c>
      <c r="E758" t="s">
        <v>4519</v>
      </c>
      <c r="F758">
        <v>423836430</v>
      </c>
      <c r="G758">
        <v>34.439239999999998</v>
      </c>
      <c r="H758" t="s">
        <v>4530</v>
      </c>
      <c r="I758">
        <v>14596604533.513201</v>
      </c>
      <c r="J758" t="s">
        <v>204</v>
      </c>
      <c r="K758">
        <v>9679789.2063518707</v>
      </c>
      <c r="L758">
        <v>0.55000000000000004</v>
      </c>
      <c r="M758" t="s">
        <v>4536</v>
      </c>
      <c r="N758" t="s">
        <v>4537</v>
      </c>
      <c r="O758" t="s">
        <v>207</v>
      </c>
      <c r="Q758" t="s">
        <v>207</v>
      </c>
      <c r="R758" t="s">
        <v>207</v>
      </c>
      <c r="S758" t="s">
        <v>207</v>
      </c>
      <c r="T758" t="s">
        <v>207</v>
      </c>
      <c r="U758" t="s">
        <v>207</v>
      </c>
      <c r="V758" t="s">
        <v>207</v>
      </c>
      <c r="W758" t="s">
        <v>207</v>
      </c>
      <c r="X758" t="s">
        <v>207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209</v>
      </c>
      <c r="BA758">
        <v>8028132493.4322596</v>
      </c>
      <c r="BB758" t="s">
        <v>4572</v>
      </c>
      <c r="BC758" t="s">
        <v>4575</v>
      </c>
    </row>
    <row r="759" spans="1:55" x14ac:dyDescent="0.25">
      <c r="A759">
        <v>44</v>
      </c>
      <c r="B759" t="s">
        <v>952</v>
      </c>
      <c r="C759" t="s">
        <v>2387</v>
      </c>
      <c r="D759" t="s">
        <v>3822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202</v>
      </c>
      <c r="K759">
        <v>970033044.70223498</v>
      </c>
      <c r="L759">
        <v>1</v>
      </c>
      <c r="M759" t="s">
        <v>4536</v>
      </c>
      <c r="O759" t="s">
        <v>207</v>
      </c>
      <c r="Q759" t="s">
        <v>207</v>
      </c>
      <c r="R759" t="s">
        <v>207</v>
      </c>
      <c r="S759" t="s">
        <v>207</v>
      </c>
      <c r="T759" t="s">
        <v>207</v>
      </c>
      <c r="U759" t="s">
        <v>207</v>
      </c>
      <c r="V759" t="s">
        <v>207</v>
      </c>
      <c r="W759" t="s">
        <v>207</v>
      </c>
      <c r="X759" t="s">
        <v>207</v>
      </c>
      <c r="AG759" t="s">
        <v>4546</v>
      </c>
      <c r="AH759" t="s">
        <v>4564</v>
      </c>
      <c r="AI759" t="s">
        <v>4565</v>
      </c>
      <c r="AJ759" t="s">
        <v>4566</v>
      </c>
      <c r="AL759">
        <v>0.05</v>
      </c>
      <c r="AO759" t="s">
        <v>4568</v>
      </c>
      <c r="AQ759">
        <v>0</v>
      </c>
      <c r="AR759">
        <v>0</v>
      </c>
      <c r="AW759">
        <v>5520</v>
      </c>
      <c r="AX759">
        <v>2.1640000000000001</v>
      </c>
      <c r="AY759" t="s">
        <v>208</v>
      </c>
      <c r="AZ759" t="s">
        <v>4571</v>
      </c>
      <c r="BA759">
        <v>208589491321.41</v>
      </c>
      <c r="BB759" t="s">
        <v>4572</v>
      </c>
      <c r="BC759" t="s">
        <v>4574</v>
      </c>
    </row>
    <row r="760" spans="1:55" x14ac:dyDescent="0.25">
      <c r="A760">
        <v>799</v>
      </c>
      <c r="B760" t="s">
        <v>953</v>
      </c>
      <c r="C760" t="s">
        <v>2388</v>
      </c>
      <c r="D760" t="s">
        <v>3823</v>
      </c>
      <c r="E760" t="s">
        <v>95</v>
      </c>
      <c r="F760">
        <v>989547</v>
      </c>
      <c r="G760">
        <v>11802.49</v>
      </c>
      <c r="H760" t="s">
        <v>103</v>
      </c>
      <c r="I760">
        <v>11679118572.030001</v>
      </c>
      <c r="J760" t="s">
        <v>204</v>
      </c>
      <c r="K760">
        <v>26640981.149140999</v>
      </c>
      <c r="L760">
        <v>1</v>
      </c>
      <c r="O760" t="s">
        <v>207</v>
      </c>
      <c r="Q760" t="s">
        <v>207</v>
      </c>
      <c r="R760" t="s">
        <v>207</v>
      </c>
      <c r="S760" t="s">
        <v>207</v>
      </c>
      <c r="T760" t="s">
        <v>207</v>
      </c>
      <c r="U760" t="s">
        <v>207</v>
      </c>
      <c r="V760" t="s">
        <v>207</v>
      </c>
      <c r="W760" t="s">
        <v>207</v>
      </c>
      <c r="X760" t="s">
        <v>207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209</v>
      </c>
      <c r="AZ760" t="s">
        <v>4571</v>
      </c>
      <c r="BA760">
        <v>11679118572.030001</v>
      </c>
      <c r="BB760" t="s">
        <v>4572</v>
      </c>
      <c r="BC760" t="s">
        <v>4571</v>
      </c>
    </row>
    <row r="761" spans="1:55" x14ac:dyDescent="0.25">
      <c r="A761">
        <v>805</v>
      </c>
      <c r="B761" t="s">
        <v>954</v>
      </c>
      <c r="C761" t="s">
        <v>2389</v>
      </c>
      <c r="D761" t="s">
        <v>3824</v>
      </c>
      <c r="E761" t="s">
        <v>4518</v>
      </c>
      <c r="F761">
        <v>2599733200</v>
      </c>
      <c r="G761">
        <v>4.333647</v>
      </c>
      <c r="H761" t="s">
        <v>4529</v>
      </c>
      <c r="I761">
        <v>11266325982.9804</v>
      </c>
      <c r="J761" t="s">
        <v>205</v>
      </c>
      <c r="K761">
        <v>37899911.102703698</v>
      </c>
      <c r="L761">
        <v>1</v>
      </c>
      <c r="M761" t="s">
        <v>4536</v>
      </c>
      <c r="O761" t="s">
        <v>207</v>
      </c>
      <c r="Q761" t="s">
        <v>207</v>
      </c>
      <c r="R761" t="s">
        <v>207</v>
      </c>
      <c r="S761" t="s">
        <v>207</v>
      </c>
      <c r="T761" t="s">
        <v>207</v>
      </c>
      <c r="U761" t="s">
        <v>207</v>
      </c>
      <c r="V761" t="s">
        <v>207</v>
      </c>
      <c r="W761" t="s">
        <v>207</v>
      </c>
      <c r="X761" t="s">
        <v>207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210</v>
      </c>
      <c r="BA761">
        <v>11266325982.9804</v>
      </c>
      <c r="BB761" t="s">
        <v>4572</v>
      </c>
      <c r="BC761" t="s">
        <v>4536</v>
      </c>
    </row>
    <row r="762" spans="1:55" x14ac:dyDescent="0.25">
      <c r="A762">
        <v>1246</v>
      </c>
      <c r="B762" t="s">
        <v>955</v>
      </c>
      <c r="C762" t="s">
        <v>2390</v>
      </c>
      <c r="D762" t="s">
        <v>3825</v>
      </c>
      <c r="E762" t="s">
        <v>93</v>
      </c>
      <c r="F762">
        <v>284432740</v>
      </c>
      <c r="G762">
        <v>11.917630000000001</v>
      </c>
      <c r="H762" t="s">
        <v>101</v>
      </c>
      <c r="I762">
        <v>3389764155.2062001</v>
      </c>
      <c r="J762" t="s">
        <v>205</v>
      </c>
      <c r="K762">
        <v>13721586.1533395</v>
      </c>
      <c r="L762">
        <v>1</v>
      </c>
      <c r="M762" t="s">
        <v>4536</v>
      </c>
      <c r="O762" t="s">
        <v>207</v>
      </c>
      <c r="Q762" t="s">
        <v>207</v>
      </c>
      <c r="R762" t="s">
        <v>207</v>
      </c>
      <c r="S762" t="s">
        <v>207</v>
      </c>
      <c r="T762" t="s">
        <v>207</v>
      </c>
      <c r="U762" t="s">
        <v>207</v>
      </c>
      <c r="V762" t="s">
        <v>207</v>
      </c>
      <c r="W762" t="s">
        <v>207</v>
      </c>
      <c r="X762" t="s">
        <v>207</v>
      </c>
      <c r="AG762" t="s">
        <v>4546</v>
      </c>
      <c r="AH762" t="s">
        <v>4563</v>
      </c>
      <c r="AI762" t="s">
        <v>4565</v>
      </c>
      <c r="AJ762" t="s">
        <v>4566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210</v>
      </c>
      <c r="BA762">
        <v>3389764155.2062001</v>
      </c>
      <c r="BB762" t="s">
        <v>4572</v>
      </c>
      <c r="BC762" t="s">
        <v>4578</v>
      </c>
    </row>
    <row r="763" spans="1:55" x14ac:dyDescent="0.25">
      <c r="A763">
        <v>547</v>
      </c>
      <c r="B763" t="s">
        <v>956</v>
      </c>
      <c r="C763" t="s">
        <v>2391</v>
      </c>
      <c r="D763" t="s">
        <v>3826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202</v>
      </c>
      <c r="K763">
        <v>277183140.51844198</v>
      </c>
      <c r="L763">
        <v>0.7</v>
      </c>
      <c r="M763" t="s">
        <v>4536</v>
      </c>
      <c r="O763" t="s">
        <v>207</v>
      </c>
      <c r="Q763" t="s">
        <v>207</v>
      </c>
      <c r="R763" t="s">
        <v>207</v>
      </c>
      <c r="S763" t="s">
        <v>207</v>
      </c>
      <c r="T763" t="s">
        <v>207</v>
      </c>
      <c r="U763" t="s">
        <v>207</v>
      </c>
      <c r="V763" t="s">
        <v>207</v>
      </c>
      <c r="W763" t="s">
        <v>207</v>
      </c>
      <c r="X763" t="s">
        <v>207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208</v>
      </c>
      <c r="BA763">
        <v>23117925009.423302</v>
      </c>
      <c r="BB763" t="s">
        <v>4572</v>
      </c>
      <c r="BC763" t="s">
        <v>4536</v>
      </c>
    </row>
    <row r="764" spans="1:55" x14ac:dyDescent="0.25">
      <c r="A764">
        <v>1279</v>
      </c>
      <c r="B764" t="s">
        <v>957</v>
      </c>
      <c r="C764" t="s">
        <v>2392</v>
      </c>
      <c r="D764" t="s">
        <v>3827</v>
      </c>
      <c r="E764" t="s">
        <v>93</v>
      </c>
      <c r="F764">
        <v>287340450</v>
      </c>
      <c r="G764">
        <v>11.03828</v>
      </c>
      <c r="H764" t="s">
        <v>101</v>
      </c>
      <c r="I764">
        <v>3171744342.4260001</v>
      </c>
      <c r="J764" t="s">
        <v>205</v>
      </c>
      <c r="K764">
        <v>11375287.5753187</v>
      </c>
      <c r="L764">
        <v>1</v>
      </c>
      <c r="M764" t="s">
        <v>4536</v>
      </c>
      <c r="O764" t="s">
        <v>207</v>
      </c>
      <c r="Q764" t="s">
        <v>207</v>
      </c>
      <c r="R764" t="s">
        <v>207</v>
      </c>
      <c r="S764" t="s">
        <v>207</v>
      </c>
      <c r="T764" t="s">
        <v>207</v>
      </c>
      <c r="U764" t="s">
        <v>207</v>
      </c>
      <c r="V764" t="s">
        <v>207</v>
      </c>
      <c r="W764" t="s">
        <v>207</v>
      </c>
      <c r="X764" t="s">
        <v>207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210</v>
      </c>
      <c r="BA764">
        <v>3171744342.4260001</v>
      </c>
      <c r="BB764" t="s">
        <v>4572</v>
      </c>
      <c r="BC764" t="s">
        <v>4536</v>
      </c>
    </row>
    <row r="765" spans="1:55" x14ac:dyDescent="0.25">
      <c r="A765">
        <v>277</v>
      </c>
      <c r="B765" t="s">
        <v>958</v>
      </c>
      <c r="C765" t="s">
        <v>2393</v>
      </c>
      <c r="D765" t="s">
        <v>3828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204</v>
      </c>
      <c r="K765">
        <v>75488016.146108702</v>
      </c>
      <c r="L765">
        <v>1</v>
      </c>
      <c r="M765" t="s">
        <v>4536</v>
      </c>
      <c r="O765" t="s">
        <v>207</v>
      </c>
      <c r="Q765" t="s">
        <v>207</v>
      </c>
      <c r="R765" t="s">
        <v>207</v>
      </c>
      <c r="S765" t="s">
        <v>207</v>
      </c>
      <c r="T765" t="s">
        <v>207</v>
      </c>
      <c r="U765" t="s">
        <v>207</v>
      </c>
      <c r="V765" t="s">
        <v>207</v>
      </c>
      <c r="W765" t="s">
        <v>207</v>
      </c>
      <c r="X765" t="s">
        <v>207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209</v>
      </c>
      <c r="BA765">
        <v>49350436109.071587</v>
      </c>
      <c r="BB765" t="s">
        <v>4572</v>
      </c>
      <c r="BC765" t="s">
        <v>4536</v>
      </c>
    </row>
    <row r="766" spans="1:55" x14ac:dyDescent="0.25">
      <c r="A766">
        <v>732</v>
      </c>
      <c r="B766" t="s">
        <v>959</v>
      </c>
      <c r="C766" t="s">
        <v>2394</v>
      </c>
      <c r="D766" t="s">
        <v>3829</v>
      </c>
      <c r="E766" t="s">
        <v>97</v>
      </c>
      <c r="F766">
        <v>300962600</v>
      </c>
      <c r="G766">
        <v>118.4464</v>
      </c>
      <c r="H766" t="s">
        <v>104</v>
      </c>
      <c r="I766">
        <v>35647936504.639999</v>
      </c>
      <c r="J766" t="s">
        <v>202</v>
      </c>
      <c r="K766">
        <v>43676801.958058201</v>
      </c>
      <c r="L766">
        <v>0.45</v>
      </c>
      <c r="M766" t="s">
        <v>4536</v>
      </c>
      <c r="O766" t="s">
        <v>207</v>
      </c>
      <c r="Q766" t="s">
        <v>207</v>
      </c>
      <c r="R766" t="s">
        <v>207</v>
      </c>
      <c r="S766" t="s">
        <v>207</v>
      </c>
      <c r="T766" t="s">
        <v>207</v>
      </c>
      <c r="U766" t="s">
        <v>207</v>
      </c>
      <c r="V766" t="s">
        <v>207</v>
      </c>
      <c r="W766" t="s">
        <v>207</v>
      </c>
      <c r="X766" t="s">
        <v>207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208</v>
      </c>
      <c r="BA766">
        <v>16041571427.087999</v>
      </c>
      <c r="BB766" t="s">
        <v>4572</v>
      </c>
      <c r="BC766" t="s">
        <v>4536</v>
      </c>
    </row>
    <row r="767" spans="1:55" x14ac:dyDescent="0.25">
      <c r="A767">
        <v>120</v>
      </c>
      <c r="B767" t="s">
        <v>960</v>
      </c>
      <c r="C767" t="s">
        <v>2395</v>
      </c>
      <c r="D767" t="s">
        <v>3830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202</v>
      </c>
      <c r="K767">
        <v>671508983.99250305</v>
      </c>
      <c r="L767">
        <v>1</v>
      </c>
      <c r="M767" t="s">
        <v>4536</v>
      </c>
      <c r="O767" t="s">
        <v>206</v>
      </c>
      <c r="Q767" t="s">
        <v>207</v>
      </c>
      <c r="R767" t="s">
        <v>207</v>
      </c>
      <c r="S767" t="s">
        <v>4538</v>
      </c>
      <c r="T767" t="s">
        <v>207</v>
      </c>
      <c r="U767" t="s">
        <v>4538</v>
      </c>
      <c r="V767" t="s">
        <v>207</v>
      </c>
      <c r="W767" t="s">
        <v>4538</v>
      </c>
      <c r="X767" t="s">
        <v>4539</v>
      </c>
      <c r="AA767" t="s">
        <v>4541</v>
      </c>
      <c r="AC767" t="s">
        <v>4542</v>
      </c>
      <c r="AE767" t="s">
        <v>4544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208</v>
      </c>
      <c r="BA767">
        <v>99224548747.410004</v>
      </c>
      <c r="BB767" t="s">
        <v>4572</v>
      </c>
      <c r="BC767" t="s">
        <v>4639</v>
      </c>
    </row>
    <row r="768" spans="1:55" x14ac:dyDescent="0.25">
      <c r="A768">
        <v>748</v>
      </c>
      <c r="B768" t="s">
        <v>961</v>
      </c>
      <c r="C768" t="s">
        <v>2396</v>
      </c>
      <c r="D768" t="s">
        <v>3831</v>
      </c>
      <c r="E768" t="s">
        <v>95</v>
      </c>
      <c r="F768">
        <v>168994140</v>
      </c>
      <c r="G768">
        <v>99.481160000000003</v>
      </c>
      <c r="H768" t="s">
        <v>103</v>
      </c>
      <c r="I768">
        <v>16811733080.402399</v>
      </c>
      <c r="J768" t="s">
        <v>204</v>
      </c>
      <c r="K768">
        <v>53427462.634575203</v>
      </c>
      <c r="L768">
        <v>0.9</v>
      </c>
      <c r="M768" t="s">
        <v>4536</v>
      </c>
      <c r="O768" t="s">
        <v>207</v>
      </c>
      <c r="Q768" t="s">
        <v>207</v>
      </c>
      <c r="R768" t="s">
        <v>207</v>
      </c>
      <c r="S768" t="s">
        <v>207</v>
      </c>
      <c r="T768" t="s">
        <v>207</v>
      </c>
      <c r="U768" t="s">
        <v>207</v>
      </c>
      <c r="V768" t="s">
        <v>207</v>
      </c>
      <c r="W768" t="s">
        <v>207</v>
      </c>
      <c r="X768" t="s">
        <v>207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209</v>
      </c>
      <c r="BA768">
        <v>15130559772.36216</v>
      </c>
      <c r="BB768" t="s">
        <v>4572</v>
      </c>
      <c r="BC768" t="s">
        <v>4536</v>
      </c>
    </row>
    <row r="769" spans="1:55" x14ac:dyDescent="0.25">
      <c r="A769">
        <v>182</v>
      </c>
      <c r="B769" t="s">
        <v>962</v>
      </c>
      <c r="C769" t="s">
        <v>2397</v>
      </c>
      <c r="D769" t="s">
        <v>3832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204</v>
      </c>
      <c r="K769">
        <v>76651155.451063305</v>
      </c>
      <c r="L769">
        <v>0.95</v>
      </c>
      <c r="M769" t="s">
        <v>4536</v>
      </c>
      <c r="O769" t="s">
        <v>207</v>
      </c>
      <c r="Q769" t="s">
        <v>207</v>
      </c>
      <c r="R769" t="s">
        <v>207</v>
      </c>
      <c r="S769" t="s">
        <v>207</v>
      </c>
      <c r="T769" t="s">
        <v>207</v>
      </c>
      <c r="U769" t="s">
        <v>207</v>
      </c>
      <c r="V769" t="s">
        <v>207</v>
      </c>
      <c r="W769" t="s">
        <v>207</v>
      </c>
      <c r="X769" t="s">
        <v>207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209</v>
      </c>
      <c r="BA769">
        <v>70711418445.81279</v>
      </c>
      <c r="BB769" t="s">
        <v>4572</v>
      </c>
      <c r="BC769" t="s">
        <v>4536</v>
      </c>
    </row>
    <row r="770" spans="1:55" x14ac:dyDescent="0.25">
      <c r="A770">
        <v>1115</v>
      </c>
      <c r="B770" t="s">
        <v>963</v>
      </c>
      <c r="C770" t="s">
        <v>2398</v>
      </c>
      <c r="D770" t="s">
        <v>3833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204</v>
      </c>
      <c r="K770">
        <v>9830778.7073366791</v>
      </c>
      <c r="L770">
        <v>0.95</v>
      </c>
      <c r="M770" t="s">
        <v>4536</v>
      </c>
      <c r="N770" t="s">
        <v>4537</v>
      </c>
      <c r="O770" t="s">
        <v>207</v>
      </c>
      <c r="Q770" t="s">
        <v>207</v>
      </c>
      <c r="R770" t="s">
        <v>207</v>
      </c>
      <c r="S770" t="s">
        <v>207</v>
      </c>
      <c r="T770" t="s">
        <v>207</v>
      </c>
      <c r="U770" t="s">
        <v>207</v>
      </c>
      <c r="V770" t="s">
        <v>207</v>
      </c>
      <c r="W770" t="s">
        <v>207</v>
      </c>
      <c r="X770" t="s">
        <v>207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209</v>
      </c>
      <c r="BA770">
        <v>4492787728.4643602</v>
      </c>
      <c r="BB770" t="s">
        <v>4572</v>
      </c>
      <c r="BC770" t="s">
        <v>4575</v>
      </c>
    </row>
    <row r="771" spans="1:55" x14ac:dyDescent="0.25">
      <c r="A771">
        <v>309</v>
      </c>
      <c r="B771" t="s">
        <v>964</v>
      </c>
      <c r="C771" t="s">
        <v>2399</v>
      </c>
      <c r="D771" t="s">
        <v>3834</v>
      </c>
      <c r="E771" t="s">
        <v>95</v>
      </c>
      <c r="F771">
        <v>72226180</v>
      </c>
      <c r="G771">
        <v>620.53449999999998</v>
      </c>
      <c r="H771" t="s">
        <v>103</v>
      </c>
      <c r="I771">
        <v>44818836493.209999</v>
      </c>
      <c r="J771" t="s">
        <v>204</v>
      </c>
      <c r="K771">
        <v>96765406.915567294</v>
      </c>
      <c r="L771">
        <v>1</v>
      </c>
      <c r="M771" t="s">
        <v>4536</v>
      </c>
      <c r="O771" t="s">
        <v>207</v>
      </c>
      <c r="Q771" t="s">
        <v>207</v>
      </c>
      <c r="R771" t="s">
        <v>207</v>
      </c>
      <c r="S771" t="s">
        <v>207</v>
      </c>
      <c r="T771" t="s">
        <v>207</v>
      </c>
      <c r="U771" t="s">
        <v>207</v>
      </c>
      <c r="V771" t="s">
        <v>207</v>
      </c>
      <c r="W771" t="s">
        <v>207</v>
      </c>
      <c r="X771" t="s">
        <v>207</v>
      </c>
      <c r="AG771" t="s">
        <v>4546</v>
      </c>
      <c r="AH771" t="s">
        <v>4562</v>
      </c>
      <c r="AI771" t="s">
        <v>4565</v>
      </c>
      <c r="AJ771" t="s">
        <v>4566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209</v>
      </c>
      <c r="BA771">
        <v>44818836493.209999</v>
      </c>
      <c r="BB771" t="s">
        <v>4572</v>
      </c>
      <c r="BC771" t="s">
        <v>4578</v>
      </c>
    </row>
    <row r="772" spans="1:55" x14ac:dyDescent="0.25">
      <c r="A772">
        <v>954</v>
      </c>
      <c r="B772" t="s">
        <v>965</v>
      </c>
      <c r="C772" t="s">
        <v>2400</v>
      </c>
      <c r="D772" t="s">
        <v>3835</v>
      </c>
      <c r="E772" t="s">
        <v>94</v>
      </c>
      <c r="F772">
        <v>2225771700</v>
      </c>
      <c r="G772">
        <v>3.0670730000000002</v>
      </c>
      <c r="H772" t="s">
        <v>102</v>
      </c>
      <c r="I772">
        <v>6826604285.2341003</v>
      </c>
      <c r="J772" t="s">
        <v>205</v>
      </c>
      <c r="K772">
        <v>10589157.996309301</v>
      </c>
      <c r="L772">
        <v>1</v>
      </c>
      <c r="M772" t="s">
        <v>4536</v>
      </c>
      <c r="O772" t="s">
        <v>207</v>
      </c>
      <c r="Q772" t="s">
        <v>207</v>
      </c>
      <c r="R772" t="s">
        <v>207</v>
      </c>
      <c r="S772" t="s">
        <v>207</v>
      </c>
      <c r="T772" t="s">
        <v>207</v>
      </c>
      <c r="U772" t="s">
        <v>207</v>
      </c>
      <c r="V772" t="s">
        <v>207</v>
      </c>
      <c r="W772" t="s">
        <v>207</v>
      </c>
      <c r="X772" t="s">
        <v>207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210</v>
      </c>
      <c r="BA772">
        <v>6826604285.2341003</v>
      </c>
      <c r="BB772" t="s">
        <v>4572</v>
      </c>
      <c r="BC772" t="s">
        <v>4536</v>
      </c>
    </row>
    <row r="773" spans="1:55" x14ac:dyDescent="0.25">
      <c r="A773">
        <v>1404</v>
      </c>
      <c r="B773" t="s">
        <v>966</v>
      </c>
      <c r="C773" t="s">
        <v>2401</v>
      </c>
      <c r="D773" t="s">
        <v>3836</v>
      </c>
      <c r="E773" t="s">
        <v>4517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4535</v>
      </c>
      <c r="K773">
        <v>4725037.8195081996</v>
      </c>
      <c r="L773">
        <v>0.60000000000000009</v>
      </c>
      <c r="M773" t="s">
        <v>4536</v>
      </c>
      <c r="N773" t="s">
        <v>4537</v>
      </c>
      <c r="O773" t="s">
        <v>207</v>
      </c>
      <c r="Q773" t="s">
        <v>207</v>
      </c>
      <c r="R773" t="s">
        <v>207</v>
      </c>
      <c r="S773" t="s">
        <v>207</v>
      </c>
      <c r="T773" t="s">
        <v>207</v>
      </c>
      <c r="U773" t="s">
        <v>207</v>
      </c>
      <c r="V773" t="s">
        <v>207</v>
      </c>
      <c r="W773" t="s">
        <v>207</v>
      </c>
      <c r="X773" t="s">
        <v>207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209</v>
      </c>
      <c r="BA773">
        <v>2500199773.632</v>
      </c>
      <c r="BB773" t="s">
        <v>4572</v>
      </c>
      <c r="BC773" t="s">
        <v>4575</v>
      </c>
    </row>
    <row r="774" spans="1:55" x14ac:dyDescent="0.25">
      <c r="A774">
        <v>1193</v>
      </c>
      <c r="B774" t="s">
        <v>967</v>
      </c>
      <c r="C774" t="s">
        <v>2402</v>
      </c>
      <c r="D774" t="s">
        <v>3837</v>
      </c>
      <c r="E774" t="s">
        <v>4520</v>
      </c>
      <c r="F774">
        <v>816013</v>
      </c>
      <c r="G774">
        <v>9080</v>
      </c>
      <c r="H774" t="s">
        <v>99</v>
      </c>
      <c r="I774">
        <v>7409398040</v>
      </c>
      <c r="J774" t="s">
        <v>203</v>
      </c>
      <c r="K774">
        <v>6192176.3492063601</v>
      </c>
      <c r="L774">
        <v>0.5</v>
      </c>
      <c r="M774" t="s">
        <v>4536</v>
      </c>
      <c r="N774" t="s">
        <v>4537</v>
      </c>
      <c r="O774" t="s">
        <v>207</v>
      </c>
      <c r="Q774" t="s">
        <v>207</v>
      </c>
      <c r="R774" t="s">
        <v>207</v>
      </c>
      <c r="S774" t="s">
        <v>207</v>
      </c>
      <c r="T774" t="s">
        <v>207</v>
      </c>
      <c r="U774" t="s">
        <v>207</v>
      </c>
      <c r="V774" t="s">
        <v>207</v>
      </c>
      <c r="W774" t="s">
        <v>207</v>
      </c>
      <c r="X774" t="s">
        <v>207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209</v>
      </c>
      <c r="BA774">
        <v>3704699020</v>
      </c>
      <c r="BB774" t="s">
        <v>4572</v>
      </c>
      <c r="BC774" t="s">
        <v>4575</v>
      </c>
    </row>
    <row r="775" spans="1:55" x14ac:dyDescent="0.25">
      <c r="A775">
        <v>90</v>
      </c>
      <c r="B775" t="s">
        <v>968</v>
      </c>
      <c r="C775" t="s">
        <v>2403</v>
      </c>
      <c r="D775" t="s">
        <v>3838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202</v>
      </c>
      <c r="K775">
        <v>561222486.56838405</v>
      </c>
      <c r="L775">
        <v>1</v>
      </c>
      <c r="M775" t="s">
        <v>4536</v>
      </c>
      <c r="O775" t="s">
        <v>207</v>
      </c>
      <c r="Q775" t="s">
        <v>207</v>
      </c>
      <c r="R775" t="s">
        <v>207</v>
      </c>
      <c r="S775" t="s">
        <v>207</v>
      </c>
      <c r="T775" t="s">
        <v>207</v>
      </c>
      <c r="U775" t="s">
        <v>207</v>
      </c>
      <c r="V775" t="s">
        <v>207</v>
      </c>
      <c r="W775" t="s">
        <v>207</v>
      </c>
      <c r="X775" t="s">
        <v>207</v>
      </c>
      <c r="AK775">
        <v>0</v>
      </c>
      <c r="AL775">
        <v>0.01</v>
      </c>
      <c r="AM775">
        <v>0</v>
      </c>
      <c r="AO775" t="s">
        <v>4568</v>
      </c>
      <c r="AQ775">
        <v>0</v>
      </c>
      <c r="AR775">
        <v>0</v>
      </c>
      <c r="AW775">
        <v>4040</v>
      </c>
      <c r="AX775">
        <v>1.78</v>
      </c>
      <c r="AY775" t="s">
        <v>208</v>
      </c>
      <c r="BA775">
        <v>129170124510</v>
      </c>
      <c r="BB775" t="s">
        <v>4572</v>
      </c>
      <c r="BC775" t="s">
        <v>4582</v>
      </c>
    </row>
    <row r="776" spans="1:55" x14ac:dyDescent="0.25">
      <c r="A776">
        <v>496</v>
      </c>
      <c r="B776" t="s">
        <v>969</v>
      </c>
      <c r="C776" t="s">
        <v>2404</v>
      </c>
      <c r="D776" t="s">
        <v>3839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202</v>
      </c>
      <c r="K776">
        <v>189180812.41395101</v>
      </c>
      <c r="L776">
        <v>1</v>
      </c>
      <c r="M776" t="s">
        <v>4536</v>
      </c>
      <c r="O776" t="s">
        <v>207</v>
      </c>
      <c r="Q776" t="s">
        <v>207</v>
      </c>
      <c r="R776" t="s">
        <v>207</v>
      </c>
      <c r="S776" t="s">
        <v>207</v>
      </c>
      <c r="T776" t="s">
        <v>207</v>
      </c>
      <c r="U776" t="s">
        <v>207</v>
      </c>
      <c r="V776" t="s">
        <v>207</v>
      </c>
      <c r="W776" t="s">
        <v>207</v>
      </c>
      <c r="X776" t="s">
        <v>207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208</v>
      </c>
      <c r="BA776">
        <v>26543703132.299999</v>
      </c>
      <c r="BB776" t="s">
        <v>4572</v>
      </c>
      <c r="BC776" t="s">
        <v>4536</v>
      </c>
    </row>
    <row r="777" spans="1:55" x14ac:dyDescent="0.25">
      <c r="A777">
        <v>973</v>
      </c>
      <c r="B777" t="s">
        <v>970</v>
      </c>
      <c r="C777" t="s">
        <v>2405</v>
      </c>
      <c r="D777" t="s">
        <v>3840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203</v>
      </c>
      <c r="K777">
        <v>40455426.200245902</v>
      </c>
      <c r="L777">
        <v>0.85</v>
      </c>
      <c r="M777" t="s">
        <v>4536</v>
      </c>
      <c r="O777" t="s">
        <v>207</v>
      </c>
      <c r="Q777" t="s">
        <v>207</v>
      </c>
      <c r="R777" t="s">
        <v>207</v>
      </c>
      <c r="S777" t="s">
        <v>207</v>
      </c>
      <c r="T777" t="s">
        <v>207</v>
      </c>
      <c r="U777" t="s">
        <v>207</v>
      </c>
      <c r="V777" t="s">
        <v>207</v>
      </c>
      <c r="W777" t="s">
        <v>207</v>
      </c>
      <c r="X777" t="s">
        <v>207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209</v>
      </c>
      <c r="BA777">
        <v>6521961523.5</v>
      </c>
      <c r="BB777" t="s">
        <v>4572</v>
      </c>
      <c r="BC777" t="s">
        <v>4536</v>
      </c>
    </row>
    <row r="778" spans="1:55" x14ac:dyDescent="0.25">
      <c r="A778">
        <v>387</v>
      </c>
      <c r="B778" t="s">
        <v>191</v>
      </c>
      <c r="C778" t="s">
        <v>25</v>
      </c>
      <c r="D778" t="s">
        <v>65</v>
      </c>
      <c r="E778" t="s">
        <v>90</v>
      </c>
      <c r="F778">
        <v>116667564</v>
      </c>
      <c r="G778">
        <v>343.34769999999997</v>
      </c>
      <c r="H778" t="s">
        <v>98</v>
      </c>
      <c r="I778">
        <v>40057539764.0028</v>
      </c>
      <c r="J778" t="s">
        <v>202</v>
      </c>
      <c r="K778">
        <v>677059545.98014796</v>
      </c>
      <c r="L778">
        <v>0.9</v>
      </c>
      <c r="O778" t="s">
        <v>207</v>
      </c>
      <c r="Q778" t="s">
        <v>207</v>
      </c>
      <c r="R778" t="s">
        <v>207</v>
      </c>
      <c r="S778" t="s">
        <v>207</v>
      </c>
      <c r="T778" t="s">
        <v>207</v>
      </c>
      <c r="U778" t="s">
        <v>207</v>
      </c>
      <c r="V778" t="s">
        <v>207</v>
      </c>
      <c r="W778" t="s">
        <v>207</v>
      </c>
      <c r="X778" t="s">
        <v>207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208</v>
      </c>
      <c r="BA778">
        <v>36051785787.602524</v>
      </c>
      <c r="BB778" t="s">
        <v>211</v>
      </c>
    </row>
    <row r="779" spans="1:55" x14ac:dyDescent="0.25">
      <c r="A779">
        <v>1200</v>
      </c>
      <c r="B779" t="s">
        <v>971</v>
      </c>
      <c r="C779" t="s">
        <v>2406</v>
      </c>
      <c r="D779" t="s">
        <v>3841</v>
      </c>
      <c r="E779" t="s">
        <v>4519</v>
      </c>
      <c r="F779">
        <v>152000000</v>
      </c>
      <c r="G779">
        <v>48.331829999999997</v>
      </c>
      <c r="H779" t="s">
        <v>4530</v>
      </c>
      <c r="I779">
        <v>7346438159.999999</v>
      </c>
      <c r="J779" t="s">
        <v>204</v>
      </c>
      <c r="K779">
        <v>7006236.7921832995</v>
      </c>
      <c r="L779">
        <v>0.5</v>
      </c>
      <c r="M779" t="s">
        <v>4536</v>
      </c>
      <c r="N779" t="s">
        <v>4537</v>
      </c>
      <c r="O779" t="s">
        <v>207</v>
      </c>
      <c r="Q779" t="s">
        <v>207</v>
      </c>
      <c r="R779" t="s">
        <v>207</v>
      </c>
      <c r="S779" t="s">
        <v>207</v>
      </c>
      <c r="T779" t="s">
        <v>207</v>
      </c>
      <c r="U779" t="s">
        <v>207</v>
      </c>
      <c r="V779" t="s">
        <v>207</v>
      </c>
      <c r="W779" t="s">
        <v>207</v>
      </c>
      <c r="X779" t="s">
        <v>207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209</v>
      </c>
      <c r="AZ779" t="s">
        <v>4571</v>
      </c>
      <c r="BA779">
        <v>3673219080</v>
      </c>
      <c r="BB779" t="s">
        <v>4572</v>
      </c>
      <c r="BC779" t="s">
        <v>4584</v>
      </c>
    </row>
    <row r="780" spans="1:55" x14ac:dyDescent="0.25">
      <c r="A780">
        <v>858</v>
      </c>
      <c r="B780" t="s">
        <v>972</v>
      </c>
      <c r="C780" t="s">
        <v>2407</v>
      </c>
      <c r="D780" t="s">
        <v>3842</v>
      </c>
      <c r="E780" t="s">
        <v>93</v>
      </c>
      <c r="F780">
        <v>7152421400</v>
      </c>
      <c r="G780">
        <v>3.1439270000000001</v>
      </c>
      <c r="H780" t="s">
        <v>101</v>
      </c>
      <c r="I780">
        <v>22486690754.837799</v>
      </c>
      <c r="J780" t="s">
        <v>205</v>
      </c>
      <c r="K780">
        <v>31542507.719403401</v>
      </c>
      <c r="L780">
        <v>0.4</v>
      </c>
      <c r="M780" t="s">
        <v>4536</v>
      </c>
      <c r="O780" t="s">
        <v>207</v>
      </c>
      <c r="Q780" t="s">
        <v>207</v>
      </c>
      <c r="R780" t="s">
        <v>207</v>
      </c>
      <c r="S780" t="s">
        <v>207</v>
      </c>
      <c r="T780" t="s">
        <v>207</v>
      </c>
      <c r="U780" t="s">
        <v>207</v>
      </c>
      <c r="V780" t="s">
        <v>207</v>
      </c>
      <c r="W780" t="s">
        <v>207</v>
      </c>
      <c r="X780" t="s">
        <v>207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210</v>
      </c>
      <c r="BA780">
        <v>8994676301.9351215</v>
      </c>
      <c r="BB780" t="s">
        <v>4572</v>
      </c>
      <c r="BC780" t="s">
        <v>4536</v>
      </c>
    </row>
    <row r="781" spans="1:55" x14ac:dyDescent="0.25">
      <c r="A781">
        <v>1281</v>
      </c>
      <c r="B781" t="s">
        <v>973</v>
      </c>
      <c r="C781" t="s">
        <v>2408</v>
      </c>
      <c r="D781" t="s">
        <v>3843</v>
      </c>
      <c r="E781" t="s">
        <v>94</v>
      </c>
      <c r="F781">
        <v>934718200</v>
      </c>
      <c r="G781">
        <v>4.2378039999999997</v>
      </c>
      <c r="H781" t="s">
        <v>102</v>
      </c>
      <c r="I781">
        <v>3961152526.8327999</v>
      </c>
      <c r="J781" t="s">
        <v>205</v>
      </c>
      <c r="K781">
        <v>12504580.0850155</v>
      </c>
      <c r="L781">
        <v>0.8</v>
      </c>
      <c r="M781" t="s">
        <v>4536</v>
      </c>
      <c r="O781" t="s">
        <v>207</v>
      </c>
      <c r="Q781" t="s">
        <v>207</v>
      </c>
      <c r="R781" t="s">
        <v>207</v>
      </c>
      <c r="S781" t="s">
        <v>207</v>
      </c>
      <c r="T781" t="s">
        <v>207</v>
      </c>
      <c r="U781" t="s">
        <v>207</v>
      </c>
      <c r="V781" t="s">
        <v>207</v>
      </c>
      <c r="W781" t="s">
        <v>207</v>
      </c>
      <c r="X781" t="s">
        <v>207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210</v>
      </c>
      <c r="BA781">
        <v>3168922021.4662399</v>
      </c>
      <c r="BB781" t="s">
        <v>4572</v>
      </c>
      <c r="BC781" t="s">
        <v>4536</v>
      </c>
    </row>
    <row r="782" spans="1:55" x14ac:dyDescent="0.25">
      <c r="A782">
        <v>643</v>
      </c>
      <c r="B782" t="s">
        <v>974</v>
      </c>
      <c r="C782" t="s">
        <v>2409</v>
      </c>
      <c r="D782" t="s">
        <v>3844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202</v>
      </c>
      <c r="K782">
        <v>213981524.47718999</v>
      </c>
      <c r="L782">
        <v>0.8</v>
      </c>
      <c r="O782" t="s">
        <v>207</v>
      </c>
      <c r="Q782" t="s">
        <v>207</v>
      </c>
      <c r="R782" t="s">
        <v>207</v>
      </c>
      <c r="S782" t="s">
        <v>207</v>
      </c>
      <c r="T782" t="s">
        <v>207</v>
      </c>
      <c r="U782" t="s">
        <v>207</v>
      </c>
      <c r="V782" t="s">
        <v>207</v>
      </c>
      <c r="W782" t="s">
        <v>207</v>
      </c>
      <c r="X782" t="s">
        <v>207</v>
      </c>
      <c r="AG782" t="s">
        <v>4546</v>
      </c>
      <c r="AH782" t="s">
        <v>4564</v>
      </c>
      <c r="AI782" t="s">
        <v>4565</v>
      </c>
      <c r="AJ782" t="s">
        <v>4566</v>
      </c>
      <c r="AK782">
        <v>0</v>
      </c>
      <c r="AL782">
        <v>0.2</v>
      </c>
      <c r="AM782">
        <v>0</v>
      </c>
      <c r="AO782" t="s">
        <v>4568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208</v>
      </c>
      <c r="BA782">
        <v>19124462900.262402</v>
      </c>
      <c r="BB782" t="s">
        <v>4572</v>
      </c>
      <c r="BC782" t="s">
        <v>4573</v>
      </c>
    </row>
    <row r="783" spans="1:55" x14ac:dyDescent="0.25">
      <c r="A783">
        <v>1049</v>
      </c>
      <c r="B783" t="s">
        <v>975</v>
      </c>
      <c r="C783" t="s">
        <v>2410</v>
      </c>
      <c r="D783" t="s">
        <v>3845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204</v>
      </c>
      <c r="K783">
        <v>10687567.7809605</v>
      </c>
      <c r="L783">
        <v>0.9</v>
      </c>
      <c r="M783" t="s">
        <v>4536</v>
      </c>
      <c r="O783" t="s">
        <v>207</v>
      </c>
      <c r="Q783" t="s">
        <v>207</v>
      </c>
      <c r="R783" t="s">
        <v>207</v>
      </c>
      <c r="S783" t="s">
        <v>207</v>
      </c>
      <c r="T783" t="s">
        <v>207</v>
      </c>
      <c r="U783" t="s">
        <v>207</v>
      </c>
      <c r="V783" t="s">
        <v>207</v>
      </c>
      <c r="W783" t="s">
        <v>207</v>
      </c>
      <c r="X783" t="s">
        <v>207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209</v>
      </c>
      <c r="BA783">
        <v>5471683416.1677608</v>
      </c>
      <c r="BB783" t="s">
        <v>4572</v>
      </c>
      <c r="BC783" t="s">
        <v>4536</v>
      </c>
    </row>
    <row r="784" spans="1:55" x14ac:dyDescent="0.25">
      <c r="A784">
        <v>444</v>
      </c>
      <c r="B784" t="s">
        <v>976</v>
      </c>
      <c r="C784" t="s">
        <v>2411</v>
      </c>
      <c r="D784" t="s">
        <v>3846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202</v>
      </c>
      <c r="K784">
        <v>223940435.19238299</v>
      </c>
      <c r="L784">
        <v>1</v>
      </c>
      <c r="M784" t="s">
        <v>4536</v>
      </c>
      <c r="O784" t="s">
        <v>207</v>
      </c>
      <c r="Q784" t="s">
        <v>207</v>
      </c>
      <c r="R784" t="s">
        <v>207</v>
      </c>
      <c r="S784" t="s">
        <v>207</v>
      </c>
      <c r="T784" t="s">
        <v>207</v>
      </c>
      <c r="U784" t="s">
        <v>207</v>
      </c>
      <c r="V784" t="s">
        <v>207</v>
      </c>
      <c r="W784" t="s">
        <v>207</v>
      </c>
      <c r="X784" t="s">
        <v>207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208</v>
      </c>
      <c r="BA784">
        <v>30419370529.220001</v>
      </c>
      <c r="BB784" t="s">
        <v>4572</v>
      </c>
      <c r="BC784" t="s">
        <v>4536</v>
      </c>
    </row>
    <row r="785" spans="1:55" x14ac:dyDescent="0.25">
      <c r="A785">
        <v>1024</v>
      </c>
      <c r="B785" t="s">
        <v>977</v>
      </c>
      <c r="C785" t="s">
        <v>2412</v>
      </c>
      <c r="D785" t="s">
        <v>3847</v>
      </c>
      <c r="E785" t="s">
        <v>93</v>
      </c>
      <c r="F785">
        <v>679077900</v>
      </c>
      <c r="G785">
        <v>12.950469999999999</v>
      </c>
      <c r="H785" t="s">
        <v>101</v>
      </c>
      <c r="I785">
        <v>8794377971.612999</v>
      </c>
      <c r="J785" t="s">
        <v>205</v>
      </c>
      <c r="K785">
        <v>41856407.698704399</v>
      </c>
      <c r="L785">
        <v>0.65</v>
      </c>
      <c r="M785" t="s">
        <v>4536</v>
      </c>
      <c r="O785" t="s">
        <v>207</v>
      </c>
      <c r="Q785" t="s">
        <v>207</v>
      </c>
      <c r="R785" t="s">
        <v>207</v>
      </c>
      <c r="S785" t="s">
        <v>207</v>
      </c>
      <c r="T785" t="s">
        <v>207</v>
      </c>
      <c r="U785" t="s">
        <v>207</v>
      </c>
      <c r="V785" t="s">
        <v>207</v>
      </c>
      <c r="W785" t="s">
        <v>207</v>
      </c>
      <c r="X785" t="s">
        <v>207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210</v>
      </c>
      <c r="AZ785" t="s">
        <v>4571</v>
      </c>
      <c r="BA785">
        <v>5716345681.5484505</v>
      </c>
      <c r="BB785" t="s">
        <v>4572</v>
      </c>
      <c r="BC785" t="s">
        <v>4577</v>
      </c>
    </row>
    <row r="786" spans="1:55" x14ac:dyDescent="0.25">
      <c r="A786">
        <v>253</v>
      </c>
      <c r="B786" t="s">
        <v>185</v>
      </c>
      <c r="C786" t="s">
        <v>26</v>
      </c>
      <c r="D786" t="s">
        <v>66</v>
      </c>
      <c r="E786" t="s">
        <v>94</v>
      </c>
      <c r="F786">
        <v>381138430</v>
      </c>
      <c r="G786">
        <v>139.33539999999999</v>
      </c>
      <c r="H786" t="s">
        <v>102</v>
      </c>
      <c r="I786">
        <v>53106075599.421997</v>
      </c>
      <c r="J786" t="s">
        <v>205</v>
      </c>
      <c r="K786">
        <v>67557034.040618107</v>
      </c>
      <c r="L786">
        <v>1</v>
      </c>
      <c r="O786" t="s">
        <v>207</v>
      </c>
      <c r="Q786" t="s">
        <v>207</v>
      </c>
      <c r="R786" t="s">
        <v>207</v>
      </c>
      <c r="S786" t="s">
        <v>207</v>
      </c>
      <c r="T786" t="s">
        <v>207</v>
      </c>
      <c r="U786" t="s">
        <v>207</v>
      </c>
      <c r="V786" t="s">
        <v>207</v>
      </c>
      <c r="W786" t="s">
        <v>207</v>
      </c>
      <c r="X786" t="s">
        <v>207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210</v>
      </c>
      <c r="BA786">
        <v>53106075599.421997</v>
      </c>
      <c r="BB786" t="s">
        <v>211</v>
      </c>
    </row>
    <row r="787" spans="1:55" x14ac:dyDescent="0.25">
      <c r="A787">
        <v>1304</v>
      </c>
      <c r="B787" t="s">
        <v>978</v>
      </c>
      <c r="C787" t="s">
        <v>2413</v>
      </c>
      <c r="D787" t="s">
        <v>3848</v>
      </c>
      <c r="E787" t="s">
        <v>4525</v>
      </c>
      <c r="F787">
        <v>100698550</v>
      </c>
      <c r="G787">
        <v>37.951650000000001</v>
      </c>
      <c r="H787" t="s">
        <v>4533</v>
      </c>
      <c r="I787">
        <v>3821676125.1075001</v>
      </c>
      <c r="J787" t="s">
        <v>205</v>
      </c>
      <c r="K787">
        <v>1420915.4514345799</v>
      </c>
      <c r="L787">
        <v>0.8</v>
      </c>
      <c r="M787" t="s">
        <v>4536</v>
      </c>
      <c r="N787" t="s">
        <v>4537</v>
      </c>
      <c r="O787" t="s">
        <v>207</v>
      </c>
      <c r="Q787" t="s">
        <v>207</v>
      </c>
      <c r="R787" t="s">
        <v>207</v>
      </c>
      <c r="S787" t="s">
        <v>207</v>
      </c>
      <c r="T787" t="s">
        <v>207</v>
      </c>
      <c r="U787" t="s">
        <v>207</v>
      </c>
      <c r="V787" t="s">
        <v>207</v>
      </c>
      <c r="W787" t="s">
        <v>207</v>
      </c>
      <c r="X787" t="s">
        <v>207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210</v>
      </c>
      <c r="AZ787" t="s">
        <v>4571</v>
      </c>
      <c r="BA787">
        <v>3057340900.086</v>
      </c>
      <c r="BB787" t="s">
        <v>4572</v>
      </c>
      <c r="BC787" t="s">
        <v>4584</v>
      </c>
    </row>
    <row r="788" spans="1:55" x14ac:dyDescent="0.25">
      <c r="A788">
        <v>872</v>
      </c>
      <c r="B788" t="s">
        <v>979</v>
      </c>
      <c r="C788" t="s">
        <v>2414</v>
      </c>
      <c r="D788" t="s">
        <v>3849</v>
      </c>
      <c r="E788" t="s">
        <v>93</v>
      </c>
      <c r="F788">
        <v>280017550</v>
      </c>
      <c r="G788">
        <v>30.870080000000002</v>
      </c>
      <c r="H788" t="s">
        <v>101</v>
      </c>
      <c r="I788">
        <v>8644164169.9040012</v>
      </c>
      <c r="J788" t="s">
        <v>205</v>
      </c>
      <c r="K788">
        <v>24830941.931208901</v>
      </c>
      <c r="L788">
        <v>1</v>
      </c>
      <c r="M788" t="s">
        <v>4536</v>
      </c>
      <c r="O788" t="s">
        <v>207</v>
      </c>
      <c r="Q788" t="s">
        <v>207</v>
      </c>
      <c r="R788" t="s">
        <v>207</v>
      </c>
      <c r="S788" t="s">
        <v>207</v>
      </c>
      <c r="T788" t="s">
        <v>207</v>
      </c>
      <c r="U788" t="s">
        <v>207</v>
      </c>
      <c r="V788" t="s">
        <v>207</v>
      </c>
      <c r="W788" t="s">
        <v>207</v>
      </c>
      <c r="X788" t="s">
        <v>207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210</v>
      </c>
      <c r="AZ788" t="s">
        <v>4571</v>
      </c>
      <c r="BA788">
        <v>8644164169.9040012</v>
      </c>
      <c r="BB788" t="s">
        <v>4572</v>
      </c>
      <c r="BC788" t="s">
        <v>4577</v>
      </c>
    </row>
    <row r="789" spans="1:55" x14ac:dyDescent="0.25">
      <c r="A789">
        <v>1340</v>
      </c>
      <c r="B789" t="s">
        <v>980</v>
      </c>
      <c r="C789" t="s">
        <v>2415</v>
      </c>
      <c r="D789" t="s">
        <v>3850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204</v>
      </c>
      <c r="K789">
        <v>4088365.4284532</v>
      </c>
      <c r="L789">
        <v>0.95</v>
      </c>
      <c r="M789" t="s">
        <v>4536</v>
      </c>
      <c r="N789" t="s">
        <v>4537</v>
      </c>
      <c r="O789" t="s">
        <v>207</v>
      </c>
      <c r="Q789" t="s">
        <v>207</v>
      </c>
      <c r="R789" t="s">
        <v>207</v>
      </c>
      <c r="S789" t="s">
        <v>207</v>
      </c>
      <c r="T789" t="s">
        <v>207</v>
      </c>
      <c r="U789" t="s">
        <v>207</v>
      </c>
      <c r="V789" t="s">
        <v>207</v>
      </c>
      <c r="W789" t="s">
        <v>207</v>
      </c>
      <c r="X789" t="s">
        <v>207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209</v>
      </c>
      <c r="BA789">
        <v>2899995655.9647651</v>
      </c>
      <c r="BB789" t="s">
        <v>4572</v>
      </c>
      <c r="BC789" t="s">
        <v>4575</v>
      </c>
    </row>
    <row r="790" spans="1:55" x14ac:dyDescent="0.25">
      <c r="A790">
        <v>1390</v>
      </c>
      <c r="B790" t="s">
        <v>981</v>
      </c>
      <c r="C790" t="s">
        <v>2416</v>
      </c>
      <c r="D790" t="s">
        <v>3851</v>
      </c>
      <c r="E790" t="s">
        <v>4528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4535</v>
      </c>
      <c r="K790">
        <v>4042980.00423729</v>
      </c>
      <c r="L790">
        <v>0.95</v>
      </c>
      <c r="M790" t="s">
        <v>4536</v>
      </c>
      <c r="N790" t="s">
        <v>4537</v>
      </c>
      <c r="O790" t="s">
        <v>207</v>
      </c>
      <c r="Q790" t="s">
        <v>207</v>
      </c>
      <c r="R790" t="s">
        <v>207</v>
      </c>
      <c r="S790" t="s">
        <v>207</v>
      </c>
      <c r="T790" t="s">
        <v>207</v>
      </c>
      <c r="U790" t="s">
        <v>207</v>
      </c>
      <c r="V790" t="s">
        <v>207</v>
      </c>
      <c r="W790" t="s">
        <v>207</v>
      </c>
      <c r="X790" t="s">
        <v>207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209</v>
      </c>
      <c r="BA790">
        <v>2600802175.4749999</v>
      </c>
      <c r="BB790" t="s">
        <v>4572</v>
      </c>
      <c r="BC790" t="s">
        <v>4575</v>
      </c>
    </row>
    <row r="791" spans="1:55" x14ac:dyDescent="0.25">
      <c r="A791">
        <v>275</v>
      </c>
      <c r="B791" t="s">
        <v>982</v>
      </c>
      <c r="C791" t="s">
        <v>2417</v>
      </c>
      <c r="D791" t="s">
        <v>3852</v>
      </c>
      <c r="E791" t="s">
        <v>97</v>
      </c>
      <c r="F791">
        <v>1723170000</v>
      </c>
      <c r="G791">
        <v>29.064450000000001</v>
      </c>
      <c r="H791" t="s">
        <v>104</v>
      </c>
      <c r="I791">
        <v>50082988306.5</v>
      </c>
      <c r="J791" t="s">
        <v>202</v>
      </c>
      <c r="K791">
        <v>173393496.07536</v>
      </c>
      <c r="L791">
        <v>1</v>
      </c>
      <c r="M791" t="s">
        <v>4536</v>
      </c>
      <c r="O791" t="s">
        <v>207</v>
      </c>
      <c r="Q791" t="s">
        <v>207</v>
      </c>
      <c r="R791" t="s">
        <v>207</v>
      </c>
      <c r="S791" t="s">
        <v>207</v>
      </c>
      <c r="T791" t="s">
        <v>207</v>
      </c>
      <c r="U791" t="s">
        <v>207</v>
      </c>
      <c r="V791" t="s">
        <v>207</v>
      </c>
      <c r="W791" t="s">
        <v>207</v>
      </c>
      <c r="X791" t="s">
        <v>207</v>
      </c>
      <c r="AL791">
        <v>0.01</v>
      </c>
      <c r="AO791" t="s">
        <v>4568</v>
      </c>
      <c r="AQ791">
        <v>0</v>
      </c>
      <c r="AR791">
        <v>0</v>
      </c>
      <c r="AW791">
        <v>3030</v>
      </c>
      <c r="AX791">
        <v>2.4180000000000001</v>
      </c>
      <c r="AY791" t="s">
        <v>208</v>
      </c>
      <c r="BA791">
        <v>50082988306.5</v>
      </c>
      <c r="BB791" t="s">
        <v>4572</v>
      </c>
      <c r="BC791" t="s">
        <v>4582</v>
      </c>
    </row>
    <row r="792" spans="1:55" x14ac:dyDescent="0.25">
      <c r="A792">
        <v>1302</v>
      </c>
      <c r="B792" t="s">
        <v>983</v>
      </c>
      <c r="C792" t="s">
        <v>2418</v>
      </c>
      <c r="D792" t="s">
        <v>3853</v>
      </c>
      <c r="E792" t="s">
        <v>4527</v>
      </c>
      <c r="F792">
        <v>2848428200</v>
      </c>
      <c r="G792">
        <v>1.4314279999999999</v>
      </c>
      <c r="H792" t="s">
        <v>4534</v>
      </c>
      <c r="I792">
        <v>4077319881.4696002</v>
      </c>
      <c r="J792" t="s">
        <v>205</v>
      </c>
      <c r="K792">
        <v>10545517.2461833</v>
      </c>
      <c r="L792">
        <v>0.75</v>
      </c>
      <c r="M792" t="s">
        <v>4536</v>
      </c>
      <c r="O792" t="s">
        <v>207</v>
      </c>
      <c r="Q792" t="s">
        <v>207</v>
      </c>
      <c r="R792" t="s">
        <v>207</v>
      </c>
      <c r="S792" t="s">
        <v>207</v>
      </c>
      <c r="T792" t="s">
        <v>207</v>
      </c>
      <c r="U792" t="s">
        <v>207</v>
      </c>
      <c r="V792" t="s">
        <v>207</v>
      </c>
      <c r="W792" t="s">
        <v>207</v>
      </c>
      <c r="X792" t="s">
        <v>207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210</v>
      </c>
      <c r="BA792">
        <v>3057989911.1022</v>
      </c>
      <c r="BB792" t="s">
        <v>4572</v>
      </c>
      <c r="BC792" t="s">
        <v>4536</v>
      </c>
    </row>
    <row r="793" spans="1:55" x14ac:dyDescent="0.25">
      <c r="A793">
        <v>1264</v>
      </c>
      <c r="B793" t="s">
        <v>984</v>
      </c>
      <c r="C793" t="s">
        <v>2419</v>
      </c>
      <c r="D793" t="s">
        <v>3854</v>
      </c>
      <c r="E793" t="s">
        <v>4527</v>
      </c>
      <c r="F793">
        <v>5066733000</v>
      </c>
      <c r="G793">
        <v>0.8660139</v>
      </c>
      <c r="H793" t="s">
        <v>4534</v>
      </c>
      <c r="I793">
        <v>4387861205.5887003</v>
      </c>
      <c r="J793" t="s">
        <v>205</v>
      </c>
      <c r="K793">
        <v>14813341.686288601</v>
      </c>
      <c r="L793">
        <v>0.75</v>
      </c>
      <c r="M793" t="s">
        <v>4536</v>
      </c>
      <c r="O793" t="s">
        <v>207</v>
      </c>
      <c r="Q793" t="s">
        <v>207</v>
      </c>
      <c r="R793" t="s">
        <v>207</v>
      </c>
      <c r="S793" t="s">
        <v>207</v>
      </c>
      <c r="T793" t="s">
        <v>207</v>
      </c>
      <c r="U793" t="s">
        <v>207</v>
      </c>
      <c r="V793" t="s">
        <v>207</v>
      </c>
      <c r="W793" t="s">
        <v>207</v>
      </c>
      <c r="X793" t="s">
        <v>207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210</v>
      </c>
      <c r="BA793">
        <v>3290895904.191525</v>
      </c>
      <c r="BB793" t="s">
        <v>4572</v>
      </c>
      <c r="BC793" t="s">
        <v>4536</v>
      </c>
    </row>
    <row r="794" spans="1:55" x14ac:dyDescent="0.25">
      <c r="A794">
        <v>295</v>
      </c>
      <c r="B794" t="s">
        <v>985</v>
      </c>
      <c r="C794" t="s">
        <v>2420</v>
      </c>
      <c r="D794" t="s">
        <v>3855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202</v>
      </c>
      <c r="K794">
        <v>401851022.37425703</v>
      </c>
      <c r="L794">
        <v>1</v>
      </c>
      <c r="M794" t="s">
        <v>4536</v>
      </c>
      <c r="O794" t="s">
        <v>4538</v>
      </c>
      <c r="P794" t="s">
        <v>4540</v>
      </c>
      <c r="Q794" t="s">
        <v>207</v>
      </c>
      <c r="R794" t="s">
        <v>207</v>
      </c>
      <c r="S794" t="s">
        <v>207</v>
      </c>
      <c r="T794" t="s">
        <v>207</v>
      </c>
      <c r="U794" t="s">
        <v>207</v>
      </c>
      <c r="V794" t="s">
        <v>207</v>
      </c>
      <c r="W794" t="s">
        <v>207</v>
      </c>
      <c r="X794" t="s">
        <v>207</v>
      </c>
      <c r="AK794">
        <v>0</v>
      </c>
      <c r="AL794">
        <v>0.91500000000000004</v>
      </c>
      <c r="AM794">
        <v>0</v>
      </c>
      <c r="AO794" t="s">
        <v>4568</v>
      </c>
      <c r="AQ794">
        <v>0</v>
      </c>
      <c r="AR794">
        <v>0</v>
      </c>
      <c r="AW794">
        <v>6010</v>
      </c>
      <c r="AX794">
        <v>2.0870000000000002</v>
      </c>
      <c r="AY794" t="s">
        <v>208</v>
      </c>
      <c r="BA794">
        <v>46467578800</v>
      </c>
      <c r="BB794" t="s">
        <v>4572</v>
      </c>
      <c r="BC794" t="s">
        <v>4640</v>
      </c>
    </row>
    <row r="795" spans="1:55" x14ac:dyDescent="0.25">
      <c r="A795">
        <v>567</v>
      </c>
      <c r="B795" t="s">
        <v>986</v>
      </c>
      <c r="C795" t="s">
        <v>2421</v>
      </c>
      <c r="D795" t="s">
        <v>3856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202</v>
      </c>
      <c r="K795">
        <v>110868477.15842099</v>
      </c>
      <c r="L795">
        <v>1</v>
      </c>
      <c r="O795" t="s">
        <v>207</v>
      </c>
      <c r="Q795" t="s">
        <v>207</v>
      </c>
      <c r="R795" t="s">
        <v>207</v>
      </c>
      <c r="S795" t="s">
        <v>207</v>
      </c>
      <c r="T795" t="s">
        <v>207</v>
      </c>
      <c r="U795" t="s">
        <v>207</v>
      </c>
      <c r="V795" t="s">
        <v>207</v>
      </c>
      <c r="W795" t="s">
        <v>207</v>
      </c>
      <c r="X795" t="s">
        <v>207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208</v>
      </c>
      <c r="AZ795" t="s">
        <v>4571</v>
      </c>
      <c r="BA795">
        <v>22486917560</v>
      </c>
      <c r="BB795" t="s">
        <v>4572</v>
      </c>
      <c r="BC795" t="s">
        <v>4571</v>
      </c>
    </row>
    <row r="796" spans="1:55" x14ac:dyDescent="0.25">
      <c r="A796">
        <v>874</v>
      </c>
      <c r="B796" t="s">
        <v>987</v>
      </c>
      <c r="C796" t="s">
        <v>2422</v>
      </c>
      <c r="D796" t="s">
        <v>3857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204</v>
      </c>
      <c r="K796">
        <v>32668137.087276101</v>
      </c>
      <c r="L796">
        <v>1</v>
      </c>
      <c r="M796" t="s">
        <v>4536</v>
      </c>
      <c r="O796" t="s">
        <v>207</v>
      </c>
      <c r="Q796" t="s">
        <v>207</v>
      </c>
      <c r="R796" t="s">
        <v>207</v>
      </c>
      <c r="S796" t="s">
        <v>207</v>
      </c>
      <c r="T796" t="s">
        <v>207</v>
      </c>
      <c r="U796" t="s">
        <v>207</v>
      </c>
      <c r="V796" t="s">
        <v>207</v>
      </c>
      <c r="W796" t="s">
        <v>207</v>
      </c>
      <c r="X796" t="s">
        <v>207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209</v>
      </c>
      <c r="BA796">
        <v>8584483652.4776001</v>
      </c>
      <c r="BB796" t="s">
        <v>4572</v>
      </c>
      <c r="BC796" t="s">
        <v>4536</v>
      </c>
    </row>
    <row r="797" spans="1:55" x14ac:dyDescent="0.25">
      <c r="A797">
        <v>203</v>
      </c>
      <c r="B797" t="s">
        <v>988</v>
      </c>
      <c r="C797" t="s">
        <v>2423</v>
      </c>
      <c r="D797" t="s">
        <v>3858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202</v>
      </c>
      <c r="K797">
        <v>377372230.525181</v>
      </c>
      <c r="L797">
        <v>0.9</v>
      </c>
      <c r="M797" t="s">
        <v>4536</v>
      </c>
      <c r="O797" t="s">
        <v>206</v>
      </c>
      <c r="Q797" t="s">
        <v>207</v>
      </c>
      <c r="R797" t="s">
        <v>207</v>
      </c>
      <c r="S797" t="s">
        <v>207</v>
      </c>
      <c r="T797" t="s">
        <v>207</v>
      </c>
      <c r="U797" t="s">
        <v>207</v>
      </c>
      <c r="V797" t="s">
        <v>207</v>
      </c>
      <c r="W797" t="s">
        <v>207</v>
      </c>
      <c r="X797" t="s">
        <v>207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208</v>
      </c>
      <c r="BA797">
        <v>65851239478.842003</v>
      </c>
      <c r="BB797" t="s">
        <v>4572</v>
      </c>
      <c r="BC797" t="s">
        <v>4536</v>
      </c>
    </row>
    <row r="798" spans="1:55" x14ac:dyDescent="0.25">
      <c r="A798">
        <v>111</v>
      </c>
      <c r="B798" t="s">
        <v>175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202</v>
      </c>
      <c r="K798">
        <v>431604091.68485099</v>
      </c>
      <c r="L798">
        <v>1</v>
      </c>
      <c r="O798" t="s">
        <v>207</v>
      </c>
      <c r="Q798" t="s">
        <v>207</v>
      </c>
      <c r="R798" t="s">
        <v>207</v>
      </c>
      <c r="S798" t="s">
        <v>207</v>
      </c>
      <c r="T798" t="s">
        <v>207</v>
      </c>
      <c r="U798" t="s">
        <v>207</v>
      </c>
      <c r="V798" t="s">
        <v>207</v>
      </c>
      <c r="W798" t="s">
        <v>207</v>
      </c>
      <c r="X798" t="s">
        <v>207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208</v>
      </c>
      <c r="BA798">
        <v>108048848600</v>
      </c>
      <c r="BB798" t="s">
        <v>211</v>
      </c>
    </row>
    <row r="799" spans="1:55" x14ac:dyDescent="0.25">
      <c r="A799">
        <v>470</v>
      </c>
      <c r="B799" t="s">
        <v>989</v>
      </c>
      <c r="C799" t="s">
        <v>2424</v>
      </c>
      <c r="D799" t="s">
        <v>3859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202</v>
      </c>
      <c r="K799">
        <v>225918844.002231</v>
      </c>
      <c r="L799">
        <v>1</v>
      </c>
      <c r="M799" t="s">
        <v>4536</v>
      </c>
      <c r="O799" t="s">
        <v>207</v>
      </c>
      <c r="Q799" t="s">
        <v>207</v>
      </c>
      <c r="R799" t="s">
        <v>207</v>
      </c>
      <c r="S799" t="s">
        <v>207</v>
      </c>
      <c r="T799" t="s">
        <v>207</v>
      </c>
      <c r="U799" t="s">
        <v>207</v>
      </c>
      <c r="V799" t="s">
        <v>207</v>
      </c>
      <c r="W799" t="s">
        <v>207</v>
      </c>
      <c r="X799" t="s">
        <v>207</v>
      </c>
      <c r="AK799">
        <v>0</v>
      </c>
      <c r="AL799">
        <v>0.05</v>
      </c>
      <c r="AM799">
        <v>0</v>
      </c>
      <c r="AO799" t="s">
        <v>4568</v>
      </c>
      <c r="AQ799">
        <v>0</v>
      </c>
      <c r="AR799">
        <v>0</v>
      </c>
      <c r="AW799">
        <v>5010</v>
      </c>
      <c r="AX799">
        <v>1.6919999999999999</v>
      </c>
      <c r="AY799" t="s">
        <v>208</v>
      </c>
      <c r="BA799">
        <v>28567741964.085602</v>
      </c>
      <c r="BB799" t="s">
        <v>4572</v>
      </c>
      <c r="BC799" t="s">
        <v>4582</v>
      </c>
    </row>
    <row r="800" spans="1:55" x14ac:dyDescent="0.25">
      <c r="A800">
        <v>525</v>
      </c>
      <c r="B800" t="s">
        <v>990</v>
      </c>
      <c r="C800" t="s">
        <v>2425</v>
      </c>
      <c r="D800" t="s">
        <v>3860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205</v>
      </c>
      <c r="K800">
        <v>61051013.117017701</v>
      </c>
      <c r="L800">
        <v>1</v>
      </c>
      <c r="M800" t="s">
        <v>4536</v>
      </c>
      <c r="O800" t="s">
        <v>206</v>
      </c>
      <c r="Q800" t="s">
        <v>207</v>
      </c>
      <c r="R800" t="s">
        <v>207</v>
      </c>
      <c r="S800" t="s">
        <v>207</v>
      </c>
      <c r="T800" t="s">
        <v>207</v>
      </c>
      <c r="U800" t="s">
        <v>207</v>
      </c>
      <c r="V800" t="s">
        <v>207</v>
      </c>
      <c r="W800" t="s">
        <v>207</v>
      </c>
      <c r="X800" t="s">
        <v>207</v>
      </c>
      <c r="AG800" t="s">
        <v>4552</v>
      </c>
      <c r="AI800" t="s">
        <v>4565</v>
      </c>
      <c r="AK800">
        <v>5.8900000000000001E-2</v>
      </c>
      <c r="AL800">
        <v>0.15</v>
      </c>
      <c r="AM800">
        <v>2.81E-2</v>
      </c>
      <c r="AN800" t="s">
        <v>4567</v>
      </c>
      <c r="AO800" t="s">
        <v>4568</v>
      </c>
      <c r="AP800" t="s">
        <v>4569</v>
      </c>
      <c r="AQ800">
        <v>0</v>
      </c>
      <c r="AR800">
        <v>0</v>
      </c>
      <c r="AW800">
        <v>5020</v>
      </c>
      <c r="AX800">
        <v>2.3069999999999999</v>
      </c>
      <c r="AY800" t="s">
        <v>210</v>
      </c>
      <c r="BA800">
        <v>24545582166.59</v>
      </c>
      <c r="BB800" t="s">
        <v>4572</v>
      </c>
      <c r="BC800" t="s">
        <v>4641</v>
      </c>
    </row>
    <row r="801" spans="1:55" x14ac:dyDescent="0.25">
      <c r="A801">
        <v>1295</v>
      </c>
      <c r="B801" t="s">
        <v>991</v>
      </c>
      <c r="C801" t="s">
        <v>2426</v>
      </c>
      <c r="D801" t="s">
        <v>3861</v>
      </c>
      <c r="E801" t="s">
        <v>93</v>
      </c>
      <c r="F801">
        <v>208660420</v>
      </c>
      <c r="G801">
        <v>16.541429999999998</v>
      </c>
      <c r="H801" t="s">
        <v>101</v>
      </c>
      <c r="I801">
        <v>3451541731.2006001</v>
      </c>
      <c r="J801" t="s">
        <v>205</v>
      </c>
      <c r="K801">
        <v>9264504.3047295492</v>
      </c>
      <c r="L801">
        <v>0.9</v>
      </c>
      <c r="M801" t="s">
        <v>4536</v>
      </c>
      <c r="N801" t="s">
        <v>4537</v>
      </c>
      <c r="O801" t="s">
        <v>207</v>
      </c>
      <c r="Q801" t="s">
        <v>207</v>
      </c>
      <c r="R801" t="s">
        <v>207</v>
      </c>
      <c r="S801" t="s">
        <v>207</v>
      </c>
      <c r="T801" t="s">
        <v>207</v>
      </c>
      <c r="U801" t="s">
        <v>207</v>
      </c>
      <c r="V801" t="s">
        <v>207</v>
      </c>
      <c r="W801" t="s">
        <v>207</v>
      </c>
      <c r="X801" t="s">
        <v>207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210</v>
      </c>
      <c r="BA801">
        <v>3106387558.0805402</v>
      </c>
      <c r="BB801" t="s">
        <v>4572</v>
      </c>
      <c r="BC801" t="s">
        <v>4575</v>
      </c>
    </row>
    <row r="802" spans="1:55" x14ac:dyDescent="0.25">
      <c r="A802">
        <v>142</v>
      </c>
      <c r="B802" t="s">
        <v>992</v>
      </c>
      <c r="C802" t="s">
        <v>2427</v>
      </c>
      <c r="D802" t="s">
        <v>3862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202</v>
      </c>
      <c r="K802">
        <v>1569849783.6067901</v>
      </c>
      <c r="L802">
        <v>1</v>
      </c>
      <c r="M802" t="s">
        <v>4536</v>
      </c>
      <c r="O802" t="s">
        <v>207</v>
      </c>
      <c r="Q802" t="s">
        <v>207</v>
      </c>
      <c r="R802" t="s">
        <v>207</v>
      </c>
      <c r="S802" t="s">
        <v>207</v>
      </c>
      <c r="T802" t="s">
        <v>207</v>
      </c>
      <c r="U802" t="s">
        <v>207</v>
      </c>
      <c r="V802" t="s">
        <v>207</v>
      </c>
      <c r="W802" t="s">
        <v>207</v>
      </c>
      <c r="X802" t="s">
        <v>207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208</v>
      </c>
      <c r="BA802">
        <v>85917540660</v>
      </c>
      <c r="BB802" t="s">
        <v>4572</v>
      </c>
      <c r="BC802" t="s">
        <v>4536</v>
      </c>
    </row>
    <row r="803" spans="1:55" x14ac:dyDescent="0.25">
      <c r="A803">
        <v>15</v>
      </c>
      <c r="B803" t="s">
        <v>993</v>
      </c>
      <c r="C803" t="s">
        <v>2428</v>
      </c>
      <c r="D803" t="s">
        <v>3863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202</v>
      </c>
      <c r="K803">
        <v>1327696840.7198999</v>
      </c>
      <c r="L803">
        <v>0.9</v>
      </c>
      <c r="M803" t="s">
        <v>4536</v>
      </c>
      <c r="O803" t="s">
        <v>207</v>
      </c>
      <c r="Q803" t="s">
        <v>207</v>
      </c>
      <c r="R803" t="s">
        <v>207</v>
      </c>
      <c r="S803" t="s">
        <v>207</v>
      </c>
      <c r="T803" t="s">
        <v>207</v>
      </c>
      <c r="U803" t="s">
        <v>207</v>
      </c>
      <c r="V803" t="s">
        <v>207</v>
      </c>
      <c r="W803" t="s">
        <v>207</v>
      </c>
      <c r="X803" t="s">
        <v>207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208</v>
      </c>
      <c r="BA803">
        <v>434276894406.01501</v>
      </c>
      <c r="BB803" t="s">
        <v>4572</v>
      </c>
      <c r="BC803" t="s">
        <v>4536</v>
      </c>
    </row>
    <row r="804" spans="1:55" x14ac:dyDescent="0.25">
      <c r="A804">
        <v>1042</v>
      </c>
      <c r="B804" t="s">
        <v>994</v>
      </c>
      <c r="C804" t="s">
        <v>2429</v>
      </c>
      <c r="D804" t="s">
        <v>3864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6203302010.2546005</v>
      </c>
      <c r="J804" t="s">
        <v>205</v>
      </c>
      <c r="K804">
        <v>18195031.477421701</v>
      </c>
      <c r="L804">
        <v>0.9</v>
      </c>
      <c r="M804" t="s">
        <v>4536</v>
      </c>
      <c r="O804" t="s">
        <v>207</v>
      </c>
      <c r="Q804" t="s">
        <v>207</v>
      </c>
      <c r="R804" t="s">
        <v>207</v>
      </c>
      <c r="S804" t="s">
        <v>207</v>
      </c>
      <c r="T804" t="s">
        <v>207</v>
      </c>
      <c r="U804" t="s">
        <v>207</v>
      </c>
      <c r="V804" t="s">
        <v>207</v>
      </c>
      <c r="W804" t="s">
        <v>207</v>
      </c>
      <c r="X804" t="s">
        <v>207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210</v>
      </c>
      <c r="BA804">
        <v>5582971809.2291403</v>
      </c>
      <c r="BB804" t="s">
        <v>4572</v>
      </c>
      <c r="BC804" t="s">
        <v>4536</v>
      </c>
    </row>
    <row r="805" spans="1:55" x14ac:dyDescent="0.25">
      <c r="A805">
        <v>1171</v>
      </c>
      <c r="B805" t="s">
        <v>995</v>
      </c>
      <c r="C805" t="s">
        <v>2430</v>
      </c>
      <c r="D805" t="s">
        <v>3865</v>
      </c>
      <c r="E805" t="s">
        <v>93</v>
      </c>
      <c r="F805">
        <v>631803960</v>
      </c>
      <c r="G805">
        <v>6.4880259999999996</v>
      </c>
      <c r="H805" t="s">
        <v>101</v>
      </c>
      <c r="I805">
        <v>4099160519.3829598</v>
      </c>
      <c r="J805" t="s">
        <v>205</v>
      </c>
      <c r="K805">
        <v>59782179.314130798</v>
      </c>
      <c r="L805">
        <v>0.95</v>
      </c>
      <c r="M805" t="s">
        <v>4536</v>
      </c>
      <c r="O805" t="s">
        <v>207</v>
      </c>
      <c r="Q805" t="s">
        <v>207</v>
      </c>
      <c r="R805" t="s">
        <v>207</v>
      </c>
      <c r="S805" t="s">
        <v>207</v>
      </c>
      <c r="T805" t="s">
        <v>207</v>
      </c>
      <c r="U805" t="s">
        <v>207</v>
      </c>
      <c r="V805" t="s">
        <v>207</v>
      </c>
      <c r="W805" t="s">
        <v>207</v>
      </c>
      <c r="X805" t="s">
        <v>207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210</v>
      </c>
      <c r="BA805">
        <v>3894202493.4138122</v>
      </c>
      <c r="BB805" t="s">
        <v>4572</v>
      </c>
      <c r="BC805" t="s">
        <v>4536</v>
      </c>
    </row>
    <row r="806" spans="1:55" x14ac:dyDescent="0.25">
      <c r="A806">
        <v>638</v>
      </c>
      <c r="B806" t="s">
        <v>996</v>
      </c>
      <c r="C806" t="s">
        <v>2431</v>
      </c>
      <c r="D806" t="s">
        <v>3866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202</v>
      </c>
      <c r="K806">
        <v>135732802.207625</v>
      </c>
      <c r="L806">
        <v>1</v>
      </c>
      <c r="M806" t="s">
        <v>4536</v>
      </c>
      <c r="O806" t="s">
        <v>207</v>
      </c>
      <c r="Q806" t="s">
        <v>207</v>
      </c>
      <c r="R806" t="s">
        <v>207</v>
      </c>
      <c r="S806" t="s">
        <v>207</v>
      </c>
      <c r="T806" t="s">
        <v>207</v>
      </c>
      <c r="U806" t="s">
        <v>207</v>
      </c>
      <c r="V806" t="s">
        <v>207</v>
      </c>
      <c r="W806" t="s">
        <v>207</v>
      </c>
      <c r="X806" t="s">
        <v>207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208</v>
      </c>
      <c r="BA806">
        <v>19356088242.190399</v>
      </c>
      <c r="BB806" t="s">
        <v>4572</v>
      </c>
      <c r="BC806" t="s">
        <v>4536</v>
      </c>
    </row>
    <row r="807" spans="1:55" x14ac:dyDescent="0.25">
      <c r="A807">
        <v>43</v>
      </c>
      <c r="B807" t="s">
        <v>997</v>
      </c>
      <c r="C807" t="s">
        <v>2432</v>
      </c>
      <c r="D807" t="s">
        <v>3867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202</v>
      </c>
      <c r="K807">
        <v>871762895.23454702</v>
      </c>
      <c r="L807">
        <v>1</v>
      </c>
      <c r="M807" t="s">
        <v>4536</v>
      </c>
      <c r="O807" t="s">
        <v>206</v>
      </c>
      <c r="Q807" t="s">
        <v>207</v>
      </c>
      <c r="R807" t="s">
        <v>207</v>
      </c>
      <c r="S807" t="s">
        <v>207</v>
      </c>
      <c r="T807" t="s">
        <v>207</v>
      </c>
      <c r="U807" t="s">
        <v>207</v>
      </c>
      <c r="V807" t="s">
        <v>207</v>
      </c>
      <c r="W807" t="s">
        <v>207</v>
      </c>
      <c r="X807" t="s">
        <v>207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208</v>
      </c>
      <c r="BA807">
        <v>208926675450.59</v>
      </c>
      <c r="BB807" t="s">
        <v>4572</v>
      </c>
      <c r="BC807" t="s">
        <v>4536</v>
      </c>
    </row>
    <row r="808" spans="1:55" x14ac:dyDescent="0.25">
      <c r="A808">
        <v>1273</v>
      </c>
      <c r="B808" t="s">
        <v>998</v>
      </c>
      <c r="C808" t="s">
        <v>2433</v>
      </c>
      <c r="D808" t="s">
        <v>3868</v>
      </c>
      <c r="E808" t="s">
        <v>93</v>
      </c>
      <c r="F808">
        <v>132960000</v>
      </c>
      <c r="G808">
        <v>37.220610000000001</v>
      </c>
      <c r="H808" t="s">
        <v>101</v>
      </c>
      <c r="I808">
        <v>4948852305.6000004</v>
      </c>
      <c r="J808" t="s">
        <v>205</v>
      </c>
      <c r="K808">
        <v>26782485.753162</v>
      </c>
      <c r="L808">
        <v>0.65</v>
      </c>
      <c r="M808" t="s">
        <v>4536</v>
      </c>
      <c r="O808" t="s">
        <v>207</v>
      </c>
      <c r="Q808" t="s">
        <v>207</v>
      </c>
      <c r="R808" t="s">
        <v>207</v>
      </c>
      <c r="S808" t="s">
        <v>207</v>
      </c>
      <c r="T808" t="s">
        <v>207</v>
      </c>
      <c r="U808" t="s">
        <v>207</v>
      </c>
      <c r="V808" t="s">
        <v>207</v>
      </c>
      <c r="W808" t="s">
        <v>207</v>
      </c>
      <c r="X808" t="s">
        <v>207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210</v>
      </c>
      <c r="BA808">
        <v>3216753998.6399999</v>
      </c>
      <c r="BB808" t="s">
        <v>4572</v>
      </c>
      <c r="BC808" t="s">
        <v>4536</v>
      </c>
    </row>
    <row r="809" spans="1:55" x14ac:dyDescent="0.25">
      <c r="A809">
        <v>176</v>
      </c>
      <c r="B809" t="s">
        <v>999</v>
      </c>
      <c r="C809" t="s">
        <v>2434</v>
      </c>
      <c r="D809" t="s">
        <v>3869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202</v>
      </c>
      <c r="K809">
        <v>434092853.35145903</v>
      </c>
      <c r="L809">
        <v>1</v>
      </c>
      <c r="M809" t="s">
        <v>4536</v>
      </c>
      <c r="O809" t="s">
        <v>206</v>
      </c>
      <c r="Q809" t="s">
        <v>207</v>
      </c>
      <c r="R809" t="s">
        <v>207</v>
      </c>
      <c r="S809" t="s">
        <v>207</v>
      </c>
      <c r="T809" t="s">
        <v>207</v>
      </c>
      <c r="U809" t="s">
        <v>207</v>
      </c>
      <c r="V809" t="s">
        <v>207</v>
      </c>
      <c r="W809" t="s">
        <v>207</v>
      </c>
      <c r="X809" t="s">
        <v>207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208</v>
      </c>
      <c r="BA809">
        <v>71648815727.964005</v>
      </c>
      <c r="BB809" t="s">
        <v>4572</v>
      </c>
      <c r="BC809" t="s">
        <v>4536</v>
      </c>
    </row>
    <row r="810" spans="1:55" x14ac:dyDescent="0.25">
      <c r="A810">
        <v>1165</v>
      </c>
      <c r="B810" t="s">
        <v>1000</v>
      </c>
      <c r="C810" t="s">
        <v>2435</v>
      </c>
      <c r="D810" t="s">
        <v>3870</v>
      </c>
      <c r="E810" t="s">
        <v>93</v>
      </c>
      <c r="F810">
        <v>987055240</v>
      </c>
      <c r="G810">
        <v>4.0367100000000002</v>
      </c>
      <c r="H810" t="s">
        <v>101</v>
      </c>
      <c r="I810">
        <v>3984455757.8604002</v>
      </c>
      <c r="J810" t="s">
        <v>205</v>
      </c>
      <c r="K810">
        <v>12905586.0746198</v>
      </c>
      <c r="L810">
        <v>1</v>
      </c>
      <c r="M810" t="s">
        <v>4536</v>
      </c>
      <c r="O810" t="s">
        <v>207</v>
      </c>
      <c r="Q810" t="s">
        <v>207</v>
      </c>
      <c r="R810" t="s">
        <v>207</v>
      </c>
      <c r="S810" t="s">
        <v>207</v>
      </c>
      <c r="T810" t="s">
        <v>207</v>
      </c>
      <c r="U810" t="s">
        <v>207</v>
      </c>
      <c r="V810" t="s">
        <v>207</v>
      </c>
      <c r="W810" t="s">
        <v>207</v>
      </c>
      <c r="X810" t="s">
        <v>207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210</v>
      </c>
      <c r="BA810">
        <v>3984455757.8604002</v>
      </c>
      <c r="BB810" t="s">
        <v>4572</v>
      </c>
      <c r="BC810" t="s">
        <v>4536</v>
      </c>
    </row>
    <row r="811" spans="1:55" x14ac:dyDescent="0.25">
      <c r="A811">
        <v>966</v>
      </c>
      <c r="B811" t="s">
        <v>1001</v>
      </c>
      <c r="C811" t="s">
        <v>2436</v>
      </c>
      <c r="D811" t="s">
        <v>3871</v>
      </c>
      <c r="E811" t="s">
        <v>94</v>
      </c>
      <c r="F811">
        <v>2754003200</v>
      </c>
      <c r="G811">
        <v>2.4085359999999998</v>
      </c>
      <c r="H811" t="s">
        <v>102</v>
      </c>
      <c r="I811">
        <v>6633115851.3151999</v>
      </c>
      <c r="J811" t="s">
        <v>205</v>
      </c>
      <c r="K811">
        <v>14115574.728696899</v>
      </c>
      <c r="L811">
        <v>1</v>
      </c>
      <c r="M811" t="s">
        <v>4536</v>
      </c>
      <c r="O811" t="s">
        <v>206</v>
      </c>
      <c r="Q811" t="s">
        <v>207</v>
      </c>
      <c r="R811" t="s">
        <v>207</v>
      </c>
      <c r="S811" t="s">
        <v>207</v>
      </c>
      <c r="T811" t="s">
        <v>207</v>
      </c>
      <c r="U811" t="s">
        <v>207</v>
      </c>
      <c r="V811" t="s">
        <v>207</v>
      </c>
      <c r="W811" t="s">
        <v>207</v>
      </c>
      <c r="X811" t="s">
        <v>207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210</v>
      </c>
      <c r="BA811">
        <v>6633115851.3151999</v>
      </c>
      <c r="BB811" t="s">
        <v>4572</v>
      </c>
      <c r="BC811" t="s">
        <v>4536</v>
      </c>
    </row>
    <row r="812" spans="1:55" x14ac:dyDescent="0.25">
      <c r="A812">
        <v>886</v>
      </c>
      <c r="B812" t="s">
        <v>1002</v>
      </c>
      <c r="C812" t="s">
        <v>2437</v>
      </c>
      <c r="D812" t="s">
        <v>3872</v>
      </c>
      <c r="E812" t="s">
        <v>4517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203</v>
      </c>
      <c r="K812">
        <v>48748636.0441394</v>
      </c>
      <c r="L812">
        <v>0.60000000000000009</v>
      </c>
      <c r="M812" t="s">
        <v>4536</v>
      </c>
      <c r="O812" t="s">
        <v>207</v>
      </c>
      <c r="Q812" t="s">
        <v>207</v>
      </c>
      <c r="R812" t="s">
        <v>207</v>
      </c>
      <c r="S812" t="s">
        <v>207</v>
      </c>
      <c r="T812" t="s">
        <v>207</v>
      </c>
      <c r="U812" t="s">
        <v>207</v>
      </c>
      <c r="V812" t="s">
        <v>207</v>
      </c>
      <c r="W812" t="s">
        <v>207</v>
      </c>
      <c r="X812" t="s">
        <v>207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209</v>
      </c>
      <c r="BA812">
        <v>8246969082.0330009</v>
      </c>
      <c r="BB812" t="s">
        <v>4572</v>
      </c>
      <c r="BC812" t="s">
        <v>4536</v>
      </c>
    </row>
    <row r="813" spans="1:55" x14ac:dyDescent="0.25">
      <c r="A813">
        <v>1384</v>
      </c>
      <c r="B813" t="s">
        <v>1003</v>
      </c>
      <c r="C813" t="s">
        <v>2438</v>
      </c>
      <c r="D813" t="s">
        <v>3873</v>
      </c>
      <c r="E813" t="s">
        <v>93</v>
      </c>
      <c r="F813">
        <v>219226040</v>
      </c>
      <c r="G813">
        <v>14.223129999999999</v>
      </c>
      <c r="H813" t="s">
        <v>101</v>
      </c>
      <c r="I813">
        <v>3118080466.3052001</v>
      </c>
      <c r="J813" t="s">
        <v>205</v>
      </c>
      <c r="K813">
        <v>5336165.2054932397</v>
      </c>
      <c r="L813">
        <v>0.85</v>
      </c>
      <c r="M813" t="s">
        <v>4536</v>
      </c>
      <c r="N813" t="s">
        <v>4537</v>
      </c>
      <c r="O813" t="s">
        <v>207</v>
      </c>
      <c r="Q813" t="s">
        <v>207</v>
      </c>
      <c r="R813" t="s">
        <v>207</v>
      </c>
      <c r="S813" t="s">
        <v>207</v>
      </c>
      <c r="T813" t="s">
        <v>207</v>
      </c>
      <c r="U813" t="s">
        <v>207</v>
      </c>
      <c r="V813" t="s">
        <v>207</v>
      </c>
      <c r="W813" t="s">
        <v>207</v>
      </c>
      <c r="X813" t="s">
        <v>207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210</v>
      </c>
      <c r="AZ813" t="s">
        <v>4571</v>
      </c>
      <c r="BA813">
        <v>2650368396.3594198</v>
      </c>
      <c r="BB813" t="s">
        <v>4572</v>
      </c>
      <c r="BC813" t="s">
        <v>4584</v>
      </c>
    </row>
    <row r="814" spans="1:55" x14ac:dyDescent="0.25">
      <c r="A814">
        <v>108</v>
      </c>
      <c r="B814" t="s">
        <v>1004</v>
      </c>
      <c r="C814" t="s">
        <v>2439</v>
      </c>
      <c r="D814" t="s">
        <v>3874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202</v>
      </c>
      <c r="K814">
        <v>565596892.95518196</v>
      </c>
      <c r="L814">
        <v>1</v>
      </c>
      <c r="O814" t="s">
        <v>207</v>
      </c>
      <c r="Q814" t="s">
        <v>207</v>
      </c>
      <c r="R814" t="s">
        <v>207</v>
      </c>
      <c r="S814" t="s">
        <v>207</v>
      </c>
      <c r="T814" t="s">
        <v>207</v>
      </c>
      <c r="U814" t="s">
        <v>207</v>
      </c>
      <c r="V814" t="s">
        <v>207</v>
      </c>
      <c r="W814" t="s">
        <v>207</v>
      </c>
      <c r="X814" t="s">
        <v>207</v>
      </c>
      <c r="AG814" t="s">
        <v>4546</v>
      </c>
      <c r="AH814" t="s">
        <v>4562</v>
      </c>
      <c r="AI814" t="s">
        <v>4565</v>
      </c>
      <c r="AJ814" t="s">
        <v>4566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208</v>
      </c>
      <c r="BA814">
        <v>110309683037.048</v>
      </c>
      <c r="BB814" t="s">
        <v>4572</v>
      </c>
      <c r="BC814" t="s">
        <v>4581</v>
      </c>
    </row>
    <row r="815" spans="1:55" x14ac:dyDescent="0.25">
      <c r="A815">
        <v>1086</v>
      </c>
      <c r="B815" t="s">
        <v>1005</v>
      </c>
      <c r="C815" t="s">
        <v>2440</v>
      </c>
      <c r="D815" t="s">
        <v>3875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205</v>
      </c>
      <c r="K815">
        <v>32130765.125414401</v>
      </c>
      <c r="L815">
        <v>0.9</v>
      </c>
      <c r="M815" t="s">
        <v>4536</v>
      </c>
      <c r="O815" t="s">
        <v>207</v>
      </c>
      <c r="Q815" t="s">
        <v>207</v>
      </c>
      <c r="R815" t="s">
        <v>207</v>
      </c>
      <c r="S815" t="s">
        <v>207</v>
      </c>
      <c r="T815" t="s">
        <v>207</v>
      </c>
      <c r="U815" t="s">
        <v>207</v>
      </c>
      <c r="V815" t="s">
        <v>207</v>
      </c>
      <c r="W815" t="s">
        <v>207</v>
      </c>
      <c r="X815" t="s">
        <v>207</v>
      </c>
      <c r="AG815" t="s">
        <v>4546</v>
      </c>
      <c r="AH815" t="s">
        <v>4563</v>
      </c>
      <c r="AI815" t="s">
        <v>4565</v>
      </c>
      <c r="AJ815" t="s">
        <v>4566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210</v>
      </c>
      <c r="BA815">
        <v>4820040059.4000006</v>
      </c>
      <c r="BB815" t="s">
        <v>4572</v>
      </c>
      <c r="BC815" t="s">
        <v>4578</v>
      </c>
    </row>
    <row r="816" spans="1:55" x14ac:dyDescent="0.25">
      <c r="A816">
        <v>855</v>
      </c>
      <c r="B816" t="s">
        <v>1006</v>
      </c>
      <c r="C816" t="s">
        <v>2441</v>
      </c>
      <c r="D816" t="s">
        <v>3876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204</v>
      </c>
      <c r="K816">
        <v>16992402.665627699</v>
      </c>
      <c r="L816">
        <v>0.95</v>
      </c>
      <c r="M816" t="s">
        <v>4536</v>
      </c>
      <c r="O816" t="s">
        <v>207</v>
      </c>
      <c r="Q816" t="s">
        <v>207</v>
      </c>
      <c r="R816" t="s">
        <v>207</v>
      </c>
      <c r="S816" t="s">
        <v>207</v>
      </c>
      <c r="T816" t="s">
        <v>207</v>
      </c>
      <c r="U816" t="s">
        <v>207</v>
      </c>
      <c r="V816" t="s">
        <v>207</v>
      </c>
      <c r="W816" t="s">
        <v>207</v>
      </c>
      <c r="X816" t="s">
        <v>207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209</v>
      </c>
      <c r="BA816">
        <v>9036656667.8761158</v>
      </c>
      <c r="BB816" t="s">
        <v>4572</v>
      </c>
      <c r="BC816" t="s">
        <v>4536</v>
      </c>
    </row>
    <row r="817" spans="1:55" x14ac:dyDescent="0.25">
      <c r="A817">
        <v>116</v>
      </c>
      <c r="B817" t="s">
        <v>1007</v>
      </c>
      <c r="C817" t="s">
        <v>2442</v>
      </c>
      <c r="D817" t="s">
        <v>3877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202</v>
      </c>
      <c r="K817">
        <v>709171693.17804205</v>
      </c>
      <c r="L817">
        <v>0.95</v>
      </c>
      <c r="M817" t="s">
        <v>4536</v>
      </c>
      <c r="O817" t="s">
        <v>207</v>
      </c>
      <c r="Q817" t="s">
        <v>207</v>
      </c>
      <c r="R817" t="s">
        <v>207</v>
      </c>
      <c r="S817" t="s">
        <v>207</v>
      </c>
      <c r="T817" t="s">
        <v>207</v>
      </c>
      <c r="U817" t="s">
        <v>207</v>
      </c>
      <c r="V817" t="s">
        <v>207</v>
      </c>
      <c r="W817" t="s">
        <v>207</v>
      </c>
      <c r="X817" t="s">
        <v>207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208</v>
      </c>
      <c r="BA817">
        <v>104110242876.34399</v>
      </c>
      <c r="BB817" t="s">
        <v>4572</v>
      </c>
      <c r="BC817" t="s">
        <v>4536</v>
      </c>
    </row>
    <row r="818" spans="1:55" x14ac:dyDescent="0.25">
      <c r="A818">
        <v>353</v>
      </c>
      <c r="B818" t="s">
        <v>189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203</v>
      </c>
      <c r="K818">
        <v>145505164.78811499</v>
      </c>
      <c r="L818">
        <v>0.7</v>
      </c>
      <c r="O818" t="s">
        <v>206</v>
      </c>
      <c r="Q818" t="s">
        <v>207</v>
      </c>
      <c r="R818" t="s">
        <v>207</v>
      </c>
      <c r="S818" t="s">
        <v>207</v>
      </c>
      <c r="T818" t="s">
        <v>207</v>
      </c>
      <c r="U818" t="s">
        <v>207</v>
      </c>
      <c r="V818" t="s">
        <v>207</v>
      </c>
      <c r="W818" t="s">
        <v>207</v>
      </c>
      <c r="X818" t="s">
        <v>207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209</v>
      </c>
      <c r="BA818">
        <v>39633116292</v>
      </c>
      <c r="BB818" t="s">
        <v>211</v>
      </c>
    </row>
    <row r="819" spans="1:55" x14ac:dyDescent="0.25">
      <c r="A819">
        <v>42</v>
      </c>
      <c r="B819" t="s">
        <v>1008</v>
      </c>
      <c r="C819" t="s">
        <v>2443</v>
      </c>
      <c r="D819" t="s">
        <v>3878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202</v>
      </c>
      <c r="K819">
        <v>1280011752.4607</v>
      </c>
      <c r="L819">
        <v>1</v>
      </c>
      <c r="O819" t="s">
        <v>207</v>
      </c>
      <c r="Q819" t="s">
        <v>207</v>
      </c>
      <c r="R819" t="s">
        <v>207</v>
      </c>
      <c r="S819" t="s">
        <v>207</v>
      </c>
      <c r="T819" t="s">
        <v>207</v>
      </c>
      <c r="U819" t="s">
        <v>207</v>
      </c>
      <c r="V819" t="s">
        <v>207</v>
      </c>
      <c r="W819" t="s">
        <v>207</v>
      </c>
      <c r="X819" t="s">
        <v>207</v>
      </c>
      <c r="AG819" t="s">
        <v>4546</v>
      </c>
      <c r="AH819" t="s">
        <v>4562</v>
      </c>
      <c r="AI819" t="s">
        <v>4565</v>
      </c>
      <c r="AJ819" t="s">
        <v>4566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208</v>
      </c>
      <c r="BA819">
        <v>216549388209.42899</v>
      </c>
      <c r="BB819" t="s">
        <v>4572</v>
      </c>
      <c r="BC819" t="s">
        <v>4581</v>
      </c>
    </row>
    <row r="820" spans="1:55" x14ac:dyDescent="0.25">
      <c r="A820">
        <v>686</v>
      </c>
      <c r="B820" t="s">
        <v>1009</v>
      </c>
      <c r="C820" t="s">
        <v>2444</v>
      </c>
      <c r="D820" t="s">
        <v>3879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203</v>
      </c>
      <c r="K820">
        <v>40686209.574180298</v>
      </c>
      <c r="L820">
        <v>1</v>
      </c>
      <c r="O820" t="s">
        <v>207</v>
      </c>
      <c r="Q820" t="s">
        <v>207</v>
      </c>
      <c r="R820" t="s">
        <v>207</v>
      </c>
      <c r="S820" t="s">
        <v>207</v>
      </c>
      <c r="T820" t="s">
        <v>207</v>
      </c>
      <c r="U820" t="s">
        <v>207</v>
      </c>
      <c r="V820" t="s">
        <v>207</v>
      </c>
      <c r="W820" t="s">
        <v>207</v>
      </c>
      <c r="X820" t="s">
        <v>207</v>
      </c>
      <c r="AG820" t="s">
        <v>4546</v>
      </c>
      <c r="AH820" t="s">
        <v>4563</v>
      </c>
      <c r="AI820" t="s">
        <v>4565</v>
      </c>
      <c r="AJ820" t="s">
        <v>4566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209</v>
      </c>
      <c r="BA820">
        <v>17512324875</v>
      </c>
      <c r="BB820" t="s">
        <v>4572</v>
      </c>
      <c r="BC820" t="s">
        <v>4581</v>
      </c>
    </row>
    <row r="821" spans="1:55" x14ac:dyDescent="0.25">
      <c r="A821">
        <v>1409</v>
      </c>
      <c r="B821" t="s">
        <v>1010</v>
      </c>
      <c r="C821" t="s">
        <v>2445</v>
      </c>
      <c r="D821" t="s">
        <v>3880</v>
      </c>
      <c r="E821" t="s">
        <v>4525</v>
      </c>
      <c r="F821">
        <v>1399474400</v>
      </c>
      <c r="G821">
        <v>3.5174029999999998</v>
      </c>
      <c r="H821" t="s">
        <v>4533</v>
      </c>
      <c r="I821">
        <v>4922515452.9832001</v>
      </c>
      <c r="J821" t="s">
        <v>205</v>
      </c>
      <c r="K821">
        <v>4517177.7339772098</v>
      </c>
      <c r="L821">
        <v>0.5</v>
      </c>
      <c r="M821" t="s">
        <v>4536</v>
      </c>
      <c r="N821" t="s">
        <v>4537</v>
      </c>
      <c r="O821" t="s">
        <v>207</v>
      </c>
      <c r="Q821" t="s">
        <v>207</v>
      </c>
      <c r="R821" t="s">
        <v>207</v>
      </c>
      <c r="S821" t="s">
        <v>207</v>
      </c>
      <c r="T821" t="s">
        <v>207</v>
      </c>
      <c r="U821" t="s">
        <v>207</v>
      </c>
      <c r="V821" t="s">
        <v>207</v>
      </c>
      <c r="W821" t="s">
        <v>207</v>
      </c>
      <c r="X821" t="s">
        <v>207</v>
      </c>
      <c r="AK821">
        <v>0</v>
      </c>
      <c r="AL821">
        <v>3.1E-2</v>
      </c>
      <c r="AM821">
        <v>0</v>
      </c>
      <c r="AO821" t="s">
        <v>4568</v>
      </c>
      <c r="AQ821">
        <v>0</v>
      </c>
      <c r="AR821">
        <v>0</v>
      </c>
      <c r="AW821">
        <v>6510</v>
      </c>
      <c r="AX821">
        <v>2.2410000000000001</v>
      </c>
      <c r="AY821" t="s">
        <v>210</v>
      </c>
      <c r="BA821">
        <v>2461257726.4916</v>
      </c>
      <c r="BB821" t="s">
        <v>4572</v>
      </c>
      <c r="BC821" t="s">
        <v>4579</v>
      </c>
    </row>
    <row r="822" spans="1:55" x14ac:dyDescent="0.25">
      <c r="A822">
        <v>1141</v>
      </c>
      <c r="B822" t="s">
        <v>1011</v>
      </c>
      <c r="C822" t="s">
        <v>2446</v>
      </c>
      <c r="D822" t="s">
        <v>3881</v>
      </c>
      <c r="E822" t="s">
        <v>4525</v>
      </c>
      <c r="F822">
        <v>2606268800</v>
      </c>
      <c r="G822">
        <v>3.2341410000000002</v>
      </c>
      <c r="H822" t="s">
        <v>4533</v>
      </c>
      <c r="I822">
        <v>8429040783.1008015</v>
      </c>
      <c r="J822" t="s">
        <v>205</v>
      </c>
      <c r="K822">
        <v>4110391.5278054802</v>
      </c>
      <c r="L822">
        <v>0.5</v>
      </c>
      <c r="M822" t="s">
        <v>4536</v>
      </c>
      <c r="N822" t="s">
        <v>4537</v>
      </c>
      <c r="O822" t="s">
        <v>207</v>
      </c>
      <c r="Q822" t="s">
        <v>207</v>
      </c>
      <c r="R822" t="s">
        <v>207</v>
      </c>
      <c r="S822" t="s">
        <v>207</v>
      </c>
      <c r="T822" t="s">
        <v>207</v>
      </c>
      <c r="U822" t="s">
        <v>207</v>
      </c>
      <c r="V822" t="s">
        <v>207</v>
      </c>
      <c r="W822" t="s">
        <v>207</v>
      </c>
      <c r="X822" t="s">
        <v>207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210</v>
      </c>
      <c r="BA822">
        <v>4214520391.5503998</v>
      </c>
      <c r="BB822" t="s">
        <v>4572</v>
      </c>
      <c r="BC822" t="s">
        <v>4575</v>
      </c>
    </row>
    <row r="823" spans="1:55" x14ac:dyDescent="0.25">
      <c r="A823">
        <v>1166</v>
      </c>
      <c r="B823" t="s">
        <v>1012</v>
      </c>
      <c r="C823" t="s">
        <v>2447</v>
      </c>
      <c r="D823" t="s">
        <v>3882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203</v>
      </c>
      <c r="K823">
        <v>8755069.4216968194</v>
      </c>
      <c r="L823">
        <v>0.65</v>
      </c>
      <c r="M823" t="s">
        <v>4536</v>
      </c>
      <c r="N823" t="s">
        <v>4537</v>
      </c>
      <c r="O823" t="s">
        <v>207</v>
      </c>
      <c r="Q823" t="s">
        <v>207</v>
      </c>
      <c r="R823" t="s">
        <v>207</v>
      </c>
      <c r="S823" t="s">
        <v>207</v>
      </c>
      <c r="T823" t="s">
        <v>207</v>
      </c>
      <c r="U823" t="s">
        <v>207</v>
      </c>
      <c r="V823" t="s">
        <v>207</v>
      </c>
      <c r="W823" t="s">
        <v>207</v>
      </c>
      <c r="X823" t="s">
        <v>207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209</v>
      </c>
      <c r="BA823">
        <v>3982998280.9499998</v>
      </c>
      <c r="BB823" t="s">
        <v>4572</v>
      </c>
      <c r="BC823" t="s">
        <v>4575</v>
      </c>
    </row>
    <row r="824" spans="1:55" x14ac:dyDescent="0.25">
      <c r="A824">
        <v>5</v>
      </c>
      <c r="B824" t="s">
        <v>1013</v>
      </c>
      <c r="C824" t="s">
        <v>2448</v>
      </c>
      <c r="D824" t="s">
        <v>3883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202</v>
      </c>
      <c r="K824">
        <v>8711890706.9126301</v>
      </c>
      <c r="L824">
        <v>1</v>
      </c>
      <c r="M824" t="s">
        <v>4536</v>
      </c>
      <c r="O824" t="s">
        <v>206</v>
      </c>
      <c r="Q824" t="s">
        <v>207</v>
      </c>
      <c r="R824" t="s">
        <v>207</v>
      </c>
      <c r="S824" t="s">
        <v>207</v>
      </c>
      <c r="T824" t="s">
        <v>207</v>
      </c>
      <c r="U824" t="s">
        <v>207</v>
      </c>
      <c r="V824" t="s">
        <v>207</v>
      </c>
      <c r="W824" t="s">
        <v>207</v>
      </c>
      <c r="X824" t="s">
        <v>207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208</v>
      </c>
      <c r="BA824">
        <v>1431759822956.3999</v>
      </c>
      <c r="BB824" t="s">
        <v>4572</v>
      </c>
      <c r="BC824" t="s">
        <v>4536</v>
      </c>
    </row>
    <row r="825" spans="1:55" x14ac:dyDescent="0.25">
      <c r="A825">
        <v>306</v>
      </c>
      <c r="B825" t="s">
        <v>1014</v>
      </c>
      <c r="C825" t="s">
        <v>2449</v>
      </c>
      <c r="D825" t="s">
        <v>3884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202</v>
      </c>
      <c r="K825">
        <v>283103285.74836701</v>
      </c>
      <c r="L825">
        <v>0.85</v>
      </c>
      <c r="M825" t="s">
        <v>4536</v>
      </c>
      <c r="O825" t="s">
        <v>207</v>
      </c>
      <c r="Q825" t="s">
        <v>207</v>
      </c>
      <c r="R825" t="s">
        <v>207</v>
      </c>
      <c r="S825" t="s">
        <v>207</v>
      </c>
      <c r="T825" t="s">
        <v>207</v>
      </c>
      <c r="U825" t="s">
        <v>207</v>
      </c>
      <c r="V825" t="s">
        <v>207</v>
      </c>
      <c r="W825" t="s">
        <v>207</v>
      </c>
      <c r="X825" t="s">
        <v>207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208</v>
      </c>
      <c r="BA825">
        <v>44866896159.348</v>
      </c>
      <c r="BB825" t="s">
        <v>4572</v>
      </c>
      <c r="BC825" t="s">
        <v>4536</v>
      </c>
    </row>
    <row r="826" spans="1:55" x14ac:dyDescent="0.25">
      <c r="A826">
        <v>911</v>
      </c>
      <c r="B826" t="s">
        <v>1015</v>
      </c>
      <c r="C826" t="s">
        <v>2450</v>
      </c>
      <c r="D826" t="s">
        <v>3885</v>
      </c>
      <c r="E826" t="s">
        <v>4528</v>
      </c>
      <c r="F826">
        <v>828972400</v>
      </c>
      <c r="G826">
        <v>10.98</v>
      </c>
      <c r="H826" t="s">
        <v>99</v>
      </c>
      <c r="I826">
        <v>9102116952</v>
      </c>
      <c r="J826" t="s">
        <v>203</v>
      </c>
      <c r="K826">
        <v>13202645.764067801</v>
      </c>
      <c r="L826">
        <v>0.85</v>
      </c>
      <c r="M826" t="s">
        <v>4536</v>
      </c>
      <c r="O826" t="s">
        <v>207</v>
      </c>
      <c r="Q826" t="s">
        <v>207</v>
      </c>
      <c r="R826" t="s">
        <v>207</v>
      </c>
      <c r="S826" t="s">
        <v>207</v>
      </c>
      <c r="T826" t="s">
        <v>207</v>
      </c>
      <c r="U826" t="s">
        <v>207</v>
      </c>
      <c r="V826" t="s">
        <v>207</v>
      </c>
      <c r="W826" t="s">
        <v>207</v>
      </c>
      <c r="X826" t="s">
        <v>207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209</v>
      </c>
      <c r="BA826">
        <v>7736799409.1999998</v>
      </c>
      <c r="BB826" t="s">
        <v>4572</v>
      </c>
      <c r="BC826" t="s">
        <v>4536</v>
      </c>
    </row>
    <row r="827" spans="1:55" x14ac:dyDescent="0.25">
      <c r="A827">
        <v>509</v>
      </c>
      <c r="B827" t="s">
        <v>1016</v>
      </c>
      <c r="C827" t="s">
        <v>2451</v>
      </c>
      <c r="D827" t="s">
        <v>3886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202</v>
      </c>
      <c r="K827">
        <v>158860498.49763599</v>
      </c>
      <c r="L827">
        <v>1</v>
      </c>
      <c r="M827" t="s">
        <v>4536</v>
      </c>
      <c r="O827" t="s">
        <v>207</v>
      </c>
      <c r="Q827" t="s">
        <v>207</v>
      </c>
      <c r="R827" t="s">
        <v>207</v>
      </c>
      <c r="S827" t="s">
        <v>207</v>
      </c>
      <c r="T827" t="s">
        <v>207</v>
      </c>
      <c r="U827" t="s">
        <v>207</v>
      </c>
      <c r="V827" t="s">
        <v>207</v>
      </c>
      <c r="W827" t="s">
        <v>207</v>
      </c>
      <c r="X827" t="s">
        <v>207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208</v>
      </c>
      <c r="BA827">
        <v>25738747391.900002</v>
      </c>
      <c r="BB827" t="s">
        <v>4572</v>
      </c>
      <c r="BC827" t="s">
        <v>4536</v>
      </c>
    </row>
    <row r="828" spans="1:55" x14ac:dyDescent="0.25">
      <c r="A828">
        <v>428</v>
      </c>
      <c r="B828" t="s">
        <v>1017</v>
      </c>
      <c r="C828" t="s">
        <v>2452</v>
      </c>
      <c r="D828" t="s">
        <v>3887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202</v>
      </c>
      <c r="K828">
        <v>522700150.212834</v>
      </c>
      <c r="L828">
        <v>1</v>
      </c>
      <c r="M828" t="s">
        <v>4536</v>
      </c>
      <c r="O828" t="s">
        <v>207</v>
      </c>
      <c r="Q828" t="s">
        <v>207</v>
      </c>
      <c r="R828" t="s">
        <v>207</v>
      </c>
      <c r="S828" t="s">
        <v>207</v>
      </c>
      <c r="T828" t="s">
        <v>207</v>
      </c>
      <c r="U828" t="s">
        <v>207</v>
      </c>
      <c r="V828" t="s">
        <v>207</v>
      </c>
      <c r="W828" t="s">
        <v>207</v>
      </c>
      <c r="X828" t="s">
        <v>207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208</v>
      </c>
      <c r="BA828">
        <v>31415212504.560001</v>
      </c>
      <c r="BB828" t="s">
        <v>4572</v>
      </c>
      <c r="BC828" t="s">
        <v>4536</v>
      </c>
    </row>
    <row r="829" spans="1:55" x14ac:dyDescent="0.25">
      <c r="A829">
        <v>114</v>
      </c>
      <c r="B829" t="s">
        <v>1018</v>
      </c>
      <c r="C829" t="s">
        <v>2453</v>
      </c>
      <c r="D829" t="s">
        <v>3888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202</v>
      </c>
      <c r="K829">
        <v>2239950049.07549</v>
      </c>
      <c r="L829">
        <v>1</v>
      </c>
      <c r="M829" t="s">
        <v>4536</v>
      </c>
      <c r="O829" t="s">
        <v>207</v>
      </c>
      <c r="Q829" t="s">
        <v>207</v>
      </c>
      <c r="R829" t="s">
        <v>207</v>
      </c>
      <c r="S829" t="s">
        <v>207</v>
      </c>
      <c r="T829" t="s">
        <v>207</v>
      </c>
      <c r="U829" t="s">
        <v>207</v>
      </c>
      <c r="V829" t="s">
        <v>207</v>
      </c>
      <c r="W829" t="s">
        <v>207</v>
      </c>
      <c r="X829" t="s">
        <v>207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208</v>
      </c>
      <c r="BA829">
        <v>105332129026.431</v>
      </c>
      <c r="BB829" t="s">
        <v>4572</v>
      </c>
      <c r="BC829" t="s">
        <v>4536</v>
      </c>
    </row>
    <row r="830" spans="1:55" x14ac:dyDescent="0.25">
      <c r="A830">
        <v>3</v>
      </c>
      <c r="B830" t="s">
        <v>162</v>
      </c>
      <c r="C830" t="s">
        <v>29</v>
      </c>
      <c r="D830" t="s">
        <v>69</v>
      </c>
      <c r="E830" t="s">
        <v>90</v>
      </c>
      <c r="F830">
        <v>7433982400</v>
      </c>
      <c r="G830">
        <v>390.44479999999999</v>
      </c>
      <c r="H830" t="s">
        <v>98</v>
      </c>
      <c r="I830">
        <v>2902559771371.52</v>
      </c>
      <c r="J830" t="s">
        <v>202</v>
      </c>
      <c r="K830">
        <v>8995748487.0471096</v>
      </c>
      <c r="L830">
        <v>1</v>
      </c>
      <c r="O830" t="s">
        <v>206</v>
      </c>
      <c r="Q830" t="s">
        <v>207</v>
      </c>
      <c r="R830" t="s">
        <v>207</v>
      </c>
      <c r="S830" t="s">
        <v>207</v>
      </c>
      <c r="T830" t="s">
        <v>207</v>
      </c>
      <c r="U830" t="s">
        <v>207</v>
      </c>
      <c r="V830" t="s">
        <v>207</v>
      </c>
      <c r="W830" t="s">
        <v>207</v>
      </c>
      <c r="X830" t="s">
        <v>207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208</v>
      </c>
      <c r="BA830">
        <v>2902559771371.52</v>
      </c>
      <c r="BB830" t="s">
        <v>211</v>
      </c>
    </row>
    <row r="831" spans="1:55" x14ac:dyDescent="0.25">
      <c r="A831">
        <v>193</v>
      </c>
      <c r="B831" t="s">
        <v>1019</v>
      </c>
      <c r="C831" t="s">
        <v>2454</v>
      </c>
      <c r="D831" t="s">
        <v>3889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202</v>
      </c>
      <c r="K831">
        <v>7513455579.1966696</v>
      </c>
      <c r="L831">
        <v>1</v>
      </c>
      <c r="M831" t="s">
        <v>4536</v>
      </c>
      <c r="O831" t="s">
        <v>207</v>
      </c>
      <c r="Q831" t="s">
        <v>207</v>
      </c>
      <c r="R831" t="s">
        <v>207</v>
      </c>
      <c r="S831" t="s">
        <v>207</v>
      </c>
      <c r="T831" t="s">
        <v>207</v>
      </c>
      <c r="U831" t="s">
        <v>207</v>
      </c>
      <c r="V831" t="s">
        <v>207</v>
      </c>
      <c r="W831" t="s">
        <v>207</v>
      </c>
      <c r="X831" t="s">
        <v>207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208</v>
      </c>
      <c r="AZ831" t="s">
        <v>4571</v>
      </c>
      <c r="BA831">
        <v>68376894649.999992</v>
      </c>
      <c r="BB831" t="s">
        <v>4572</v>
      </c>
      <c r="BC831" t="s">
        <v>4577</v>
      </c>
    </row>
    <row r="832" spans="1:55" x14ac:dyDescent="0.25">
      <c r="A832">
        <v>675</v>
      </c>
      <c r="B832" t="s">
        <v>1020</v>
      </c>
      <c r="C832" t="s">
        <v>2455</v>
      </c>
      <c r="D832" t="s">
        <v>3890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202</v>
      </c>
      <c r="K832">
        <v>105213105.198808</v>
      </c>
      <c r="L832">
        <v>1</v>
      </c>
      <c r="M832" t="s">
        <v>4536</v>
      </c>
      <c r="O832" t="s">
        <v>207</v>
      </c>
      <c r="Q832" t="s">
        <v>207</v>
      </c>
      <c r="R832" t="s">
        <v>207</v>
      </c>
      <c r="S832" t="s">
        <v>207</v>
      </c>
      <c r="T832" t="s">
        <v>207</v>
      </c>
      <c r="U832" t="s">
        <v>207</v>
      </c>
      <c r="V832" t="s">
        <v>207</v>
      </c>
      <c r="W832" t="s">
        <v>207</v>
      </c>
      <c r="X832" t="s">
        <v>207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208</v>
      </c>
      <c r="AZ832" t="s">
        <v>4571</v>
      </c>
      <c r="BA832">
        <v>17965196676.306</v>
      </c>
      <c r="BB832" t="s">
        <v>4572</v>
      </c>
      <c r="BC832" t="s">
        <v>4577</v>
      </c>
    </row>
    <row r="833" spans="1:55" x14ac:dyDescent="0.25">
      <c r="A833">
        <v>1001</v>
      </c>
      <c r="B833" t="s">
        <v>1021</v>
      </c>
      <c r="C833" t="s">
        <v>2456</v>
      </c>
      <c r="D833" t="s">
        <v>3891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6363940833.0180006</v>
      </c>
      <c r="J833" t="s">
        <v>205</v>
      </c>
      <c r="K833">
        <v>19303846.6851402</v>
      </c>
      <c r="L833">
        <v>0.95</v>
      </c>
      <c r="M833" t="s">
        <v>4536</v>
      </c>
      <c r="O833" t="s">
        <v>207</v>
      </c>
      <c r="Q833" t="s">
        <v>207</v>
      </c>
      <c r="R833" t="s">
        <v>207</v>
      </c>
      <c r="S833" t="s">
        <v>207</v>
      </c>
      <c r="T833" t="s">
        <v>207</v>
      </c>
      <c r="U833" t="s">
        <v>207</v>
      </c>
      <c r="V833" t="s">
        <v>207</v>
      </c>
      <c r="W833" t="s">
        <v>207</v>
      </c>
      <c r="X833" t="s">
        <v>207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210</v>
      </c>
      <c r="BA833">
        <v>6045743791.3671007</v>
      </c>
      <c r="BB833" t="s">
        <v>4572</v>
      </c>
      <c r="BC833" t="s">
        <v>4536</v>
      </c>
    </row>
    <row r="834" spans="1:55" x14ac:dyDescent="0.25">
      <c r="A834">
        <v>1333</v>
      </c>
      <c r="B834" t="s">
        <v>1022</v>
      </c>
      <c r="C834" t="s">
        <v>2457</v>
      </c>
      <c r="D834" t="s">
        <v>3892</v>
      </c>
      <c r="E834" t="s">
        <v>94</v>
      </c>
      <c r="F834">
        <v>196518600</v>
      </c>
      <c r="G834">
        <v>16.542680000000001</v>
      </c>
      <c r="H834" t="s">
        <v>102</v>
      </c>
      <c r="I834">
        <v>3250944313.848</v>
      </c>
      <c r="J834" t="s">
        <v>205</v>
      </c>
      <c r="K834">
        <v>40437721.968288898</v>
      </c>
      <c r="L834">
        <v>0.9</v>
      </c>
      <c r="M834" t="s">
        <v>4536</v>
      </c>
      <c r="O834" t="s">
        <v>207</v>
      </c>
      <c r="Q834" t="s">
        <v>207</v>
      </c>
      <c r="R834" t="s">
        <v>207</v>
      </c>
      <c r="S834" t="s">
        <v>207</v>
      </c>
      <c r="T834" t="s">
        <v>207</v>
      </c>
      <c r="U834" t="s">
        <v>207</v>
      </c>
      <c r="V834" t="s">
        <v>207</v>
      </c>
      <c r="W834" t="s">
        <v>207</v>
      </c>
      <c r="X834" t="s">
        <v>207</v>
      </c>
      <c r="AK834">
        <v>0</v>
      </c>
      <c r="AL834">
        <v>0.05</v>
      </c>
      <c r="AM834">
        <v>9.2999999999999992E-3</v>
      </c>
      <c r="AO834" t="s">
        <v>4568</v>
      </c>
      <c r="AP834" t="s">
        <v>4569</v>
      </c>
      <c r="AQ834">
        <v>0</v>
      </c>
      <c r="AR834">
        <v>0</v>
      </c>
      <c r="AW834">
        <v>5510</v>
      </c>
      <c r="AX834">
        <v>2.4279999999999999</v>
      </c>
      <c r="AY834" t="s">
        <v>210</v>
      </c>
      <c r="BA834">
        <v>2925849882.4632001</v>
      </c>
      <c r="BB834" t="s">
        <v>4572</v>
      </c>
      <c r="BC834" t="s">
        <v>4595</v>
      </c>
    </row>
    <row r="835" spans="1:55" x14ac:dyDescent="0.25">
      <c r="A835">
        <v>1069</v>
      </c>
      <c r="B835" t="s">
        <v>1023</v>
      </c>
      <c r="C835" t="s">
        <v>2458</v>
      </c>
      <c r="D835" t="s">
        <v>3893</v>
      </c>
      <c r="E835" t="s">
        <v>94</v>
      </c>
      <c r="F835">
        <v>3945860000</v>
      </c>
      <c r="G835">
        <v>1.2865850000000001</v>
      </c>
      <c r="H835" t="s">
        <v>102</v>
      </c>
      <c r="I835">
        <v>5076684288.1000004</v>
      </c>
      <c r="J835" t="s">
        <v>205</v>
      </c>
      <c r="K835">
        <v>18087390.979111701</v>
      </c>
      <c r="L835">
        <v>1</v>
      </c>
      <c r="M835" t="s">
        <v>4536</v>
      </c>
      <c r="O835" t="s">
        <v>207</v>
      </c>
      <c r="Q835" t="s">
        <v>207</v>
      </c>
      <c r="R835" t="s">
        <v>207</v>
      </c>
      <c r="S835" t="s">
        <v>207</v>
      </c>
      <c r="T835" t="s">
        <v>207</v>
      </c>
      <c r="U835" t="s">
        <v>207</v>
      </c>
      <c r="V835" t="s">
        <v>207</v>
      </c>
      <c r="W835" t="s">
        <v>207</v>
      </c>
      <c r="X835" t="s">
        <v>207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210</v>
      </c>
      <c r="BA835">
        <v>5076684288.1000004</v>
      </c>
      <c r="BB835" t="s">
        <v>4572</v>
      </c>
      <c r="BC835" t="s">
        <v>4536</v>
      </c>
    </row>
    <row r="836" spans="1:55" x14ac:dyDescent="0.25">
      <c r="A836">
        <v>1061</v>
      </c>
      <c r="B836" t="s">
        <v>1024</v>
      </c>
      <c r="C836" t="s">
        <v>2459</v>
      </c>
      <c r="D836" t="s">
        <v>3894</v>
      </c>
      <c r="E836" t="s">
        <v>93</v>
      </c>
      <c r="F836">
        <v>285015300</v>
      </c>
      <c r="G836">
        <v>18.431239999999999</v>
      </c>
      <c r="H836" t="s">
        <v>101</v>
      </c>
      <c r="I836">
        <v>5253185397.9720001</v>
      </c>
      <c r="J836" t="s">
        <v>205</v>
      </c>
      <c r="K836">
        <v>20099012.7097256</v>
      </c>
      <c r="L836">
        <v>1</v>
      </c>
      <c r="M836" t="s">
        <v>4536</v>
      </c>
      <c r="O836" t="s">
        <v>207</v>
      </c>
      <c r="Q836" t="s">
        <v>207</v>
      </c>
      <c r="R836" t="s">
        <v>207</v>
      </c>
      <c r="S836" t="s">
        <v>207</v>
      </c>
      <c r="T836" t="s">
        <v>207</v>
      </c>
      <c r="U836" t="s">
        <v>207</v>
      </c>
      <c r="V836" t="s">
        <v>207</v>
      </c>
      <c r="W836" t="s">
        <v>207</v>
      </c>
      <c r="X836" t="s">
        <v>207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210</v>
      </c>
      <c r="BA836">
        <v>5253185397.9720001</v>
      </c>
      <c r="BB836" t="s">
        <v>4572</v>
      </c>
      <c r="BC836" t="s">
        <v>4536</v>
      </c>
    </row>
    <row r="837" spans="1:55" x14ac:dyDescent="0.25">
      <c r="A837">
        <v>419</v>
      </c>
      <c r="B837" t="s">
        <v>1025</v>
      </c>
      <c r="C837" t="s">
        <v>2460</v>
      </c>
      <c r="D837" t="s">
        <v>3895</v>
      </c>
      <c r="E837" t="s">
        <v>93</v>
      </c>
      <c r="F837">
        <v>2113201700</v>
      </c>
      <c r="G837">
        <v>15.11847</v>
      </c>
      <c r="H837" t="s">
        <v>101</v>
      </c>
      <c r="I837">
        <v>31948376505.398998</v>
      </c>
      <c r="J837" t="s">
        <v>205</v>
      </c>
      <c r="K837">
        <v>77872770.818218499</v>
      </c>
      <c r="L837">
        <v>1</v>
      </c>
      <c r="O837" t="s">
        <v>207</v>
      </c>
      <c r="Q837" t="s">
        <v>207</v>
      </c>
      <c r="R837" t="s">
        <v>207</v>
      </c>
      <c r="S837" t="s">
        <v>207</v>
      </c>
      <c r="T837" t="s">
        <v>207</v>
      </c>
      <c r="U837" t="s">
        <v>207</v>
      </c>
      <c r="V837" t="s">
        <v>207</v>
      </c>
      <c r="W837" t="s">
        <v>207</v>
      </c>
      <c r="X837" t="s">
        <v>207</v>
      </c>
      <c r="AK837">
        <v>0</v>
      </c>
      <c r="AL837">
        <v>0.01</v>
      </c>
      <c r="AM837">
        <v>0</v>
      </c>
      <c r="AO837" t="s">
        <v>4568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210</v>
      </c>
      <c r="BA837">
        <v>31948376505.398998</v>
      </c>
      <c r="BB837" t="s">
        <v>4572</v>
      </c>
      <c r="BC837" t="s">
        <v>4568</v>
      </c>
    </row>
    <row r="838" spans="1:55" x14ac:dyDescent="0.25">
      <c r="A838">
        <v>1331</v>
      </c>
      <c r="B838" t="s">
        <v>1026</v>
      </c>
      <c r="C838" t="s">
        <v>2461</v>
      </c>
      <c r="D838" t="s">
        <v>3896</v>
      </c>
      <c r="E838" t="s">
        <v>93</v>
      </c>
      <c r="F838">
        <v>217239200</v>
      </c>
      <c r="G838">
        <v>15.041729999999999</v>
      </c>
      <c r="H838" t="s">
        <v>101</v>
      </c>
      <c r="I838">
        <v>3267653391.816</v>
      </c>
      <c r="J838" t="s">
        <v>205</v>
      </c>
      <c r="K838">
        <v>13296274.711917</v>
      </c>
      <c r="L838">
        <v>0.9</v>
      </c>
      <c r="M838" t="s">
        <v>4536</v>
      </c>
      <c r="O838" t="s">
        <v>207</v>
      </c>
      <c r="Q838" t="s">
        <v>207</v>
      </c>
      <c r="R838" t="s">
        <v>207</v>
      </c>
      <c r="S838" t="s">
        <v>207</v>
      </c>
      <c r="T838" t="s">
        <v>207</v>
      </c>
      <c r="U838" t="s">
        <v>207</v>
      </c>
      <c r="V838" t="s">
        <v>207</v>
      </c>
      <c r="W838" t="s">
        <v>207</v>
      </c>
      <c r="X838" t="s">
        <v>207</v>
      </c>
      <c r="AG838" t="s">
        <v>4546</v>
      </c>
      <c r="AH838" t="s">
        <v>4564</v>
      </c>
      <c r="AI838" t="s">
        <v>4565</v>
      </c>
      <c r="AJ838" t="s">
        <v>4566</v>
      </c>
      <c r="AK838">
        <v>0</v>
      </c>
      <c r="AL838">
        <v>0.01</v>
      </c>
      <c r="AM838">
        <v>5.0000000000000001E-3</v>
      </c>
      <c r="AO838" t="s">
        <v>4568</v>
      </c>
      <c r="AP838" t="s">
        <v>4569</v>
      </c>
      <c r="AQ838">
        <v>0</v>
      </c>
      <c r="AR838">
        <v>0</v>
      </c>
      <c r="AW838">
        <v>5520</v>
      </c>
      <c r="AX838">
        <v>2.91</v>
      </c>
      <c r="AY838" t="s">
        <v>210</v>
      </c>
      <c r="BA838">
        <v>2940888052.6343999</v>
      </c>
      <c r="BB838" t="s">
        <v>4572</v>
      </c>
      <c r="BC838" t="s">
        <v>4642</v>
      </c>
    </row>
    <row r="839" spans="1:55" x14ac:dyDescent="0.25">
      <c r="A839">
        <v>948</v>
      </c>
      <c r="B839" t="s">
        <v>1027</v>
      </c>
      <c r="C839" t="s">
        <v>2462</v>
      </c>
      <c r="D839" t="s">
        <v>3897</v>
      </c>
      <c r="E839" t="s">
        <v>93</v>
      </c>
      <c r="F839">
        <v>1506288100</v>
      </c>
      <c r="G839">
        <v>4.8636210000000002</v>
      </c>
      <c r="H839" t="s">
        <v>101</v>
      </c>
      <c r="I839">
        <v>7326014435.2101002</v>
      </c>
      <c r="J839" t="s">
        <v>205</v>
      </c>
      <c r="K839">
        <v>26333427.582413699</v>
      </c>
      <c r="L839">
        <v>0.95</v>
      </c>
      <c r="M839" t="s">
        <v>4536</v>
      </c>
      <c r="O839" t="s">
        <v>207</v>
      </c>
      <c r="Q839" t="s">
        <v>207</v>
      </c>
      <c r="R839" t="s">
        <v>207</v>
      </c>
      <c r="S839" t="s">
        <v>207</v>
      </c>
      <c r="T839" t="s">
        <v>207</v>
      </c>
      <c r="U839" t="s">
        <v>207</v>
      </c>
      <c r="V839" t="s">
        <v>207</v>
      </c>
      <c r="W839" t="s">
        <v>207</v>
      </c>
      <c r="X839" t="s">
        <v>207</v>
      </c>
      <c r="AG839" t="s">
        <v>4546</v>
      </c>
      <c r="AH839" t="s">
        <v>4563</v>
      </c>
      <c r="AI839" t="s">
        <v>4565</v>
      </c>
      <c r="AJ839" t="s">
        <v>4566</v>
      </c>
      <c r="AK839">
        <v>0</v>
      </c>
      <c r="AL839">
        <v>0.05</v>
      </c>
      <c r="AM839">
        <v>0</v>
      </c>
      <c r="AO839" t="s">
        <v>4568</v>
      </c>
      <c r="AQ839">
        <v>0</v>
      </c>
      <c r="AR839">
        <v>0</v>
      </c>
      <c r="AW839">
        <v>5520</v>
      </c>
      <c r="AX839">
        <v>1.7090000000000001</v>
      </c>
      <c r="AY839" t="s">
        <v>210</v>
      </c>
      <c r="AZ839" t="s">
        <v>4571</v>
      </c>
      <c r="BA839">
        <v>6959713713.4495935</v>
      </c>
      <c r="BB839" t="s">
        <v>4572</v>
      </c>
      <c r="BC839" t="s">
        <v>4574</v>
      </c>
    </row>
    <row r="840" spans="1:55" x14ac:dyDescent="0.25">
      <c r="A840">
        <v>245</v>
      </c>
      <c r="B840" t="s">
        <v>1028</v>
      </c>
      <c r="C840" t="s">
        <v>2463</v>
      </c>
      <c r="D840" t="s">
        <v>3898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205</v>
      </c>
      <c r="K840">
        <v>178482756.20782</v>
      </c>
      <c r="L840">
        <v>0.9</v>
      </c>
      <c r="M840" t="s">
        <v>4536</v>
      </c>
      <c r="O840" t="s">
        <v>206</v>
      </c>
      <c r="Q840" t="s">
        <v>207</v>
      </c>
      <c r="R840" t="s">
        <v>207</v>
      </c>
      <c r="S840" t="s">
        <v>207</v>
      </c>
      <c r="T840" t="s">
        <v>207</v>
      </c>
      <c r="U840" t="s">
        <v>207</v>
      </c>
      <c r="V840" t="s">
        <v>207</v>
      </c>
      <c r="W840" t="s">
        <v>207</v>
      </c>
      <c r="X840" t="s">
        <v>207</v>
      </c>
      <c r="AG840" t="s">
        <v>4553</v>
      </c>
      <c r="AH840" t="s">
        <v>4562</v>
      </c>
      <c r="AI840" t="s">
        <v>4565</v>
      </c>
      <c r="AJ840" t="s">
        <v>4566</v>
      </c>
      <c r="AK840">
        <v>5.33E-2</v>
      </c>
      <c r="AL840">
        <v>0.25</v>
      </c>
      <c r="AM840">
        <v>3.09E-2</v>
      </c>
      <c r="AN840" t="s">
        <v>4567</v>
      </c>
      <c r="AO840" t="s">
        <v>4568</v>
      </c>
      <c r="AP840" t="s">
        <v>4569</v>
      </c>
      <c r="AQ840">
        <v>0</v>
      </c>
      <c r="AR840">
        <v>0.01</v>
      </c>
      <c r="AW840">
        <v>5020</v>
      </c>
      <c r="AX840">
        <v>2.2919999999999998</v>
      </c>
      <c r="AY840" t="s">
        <v>210</v>
      </c>
      <c r="BA840">
        <v>55113192525.599998</v>
      </c>
      <c r="BB840" t="s">
        <v>4572</v>
      </c>
      <c r="BC840" t="s">
        <v>4614</v>
      </c>
    </row>
    <row r="841" spans="1:55" x14ac:dyDescent="0.25">
      <c r="A841">
        <v>688</v>
      </c>
      <c r="B841" t="s">
        <v>1029</v>
      </c>
      <c r="C841" t="s">
        <v>2464</v>
      </c>
      <c r="D841" t="s">
        <v>3899</v>
      </c>
      <c r="E841" t="s">
        <v>93</v>
      </c>
      <c r="F841">
        <v>1250838700</v>
      </c>
      <c r="G841">
        <v>13.89697</v>
      </c>
      <c r="H841" t="s">
        <v>101</v>
      </c>
      <c r="I841">
        <v>17382867888.738998</v>
      </c>
      <c r="J841" t="s">
        <v>205</v>
      </c>
      <c r="K841">
        <v>49971311.958794303</v>
      </c>
      <c r="L841">
        <v>1</v>
      </c>
      <c r="M841" t="s">
        <v>4536</v>
      </c>
      <c r="O841" t="s">
        <v>207</v>
      </c>
      <c r="Q841" t="s">
        <v>207</v>
      </c>
      <c r="R841" t="s">
        <v>207</v>
      </c>
      <c r="S841" t="s">
        <v>207</v>
      </c>
      <c r="T841" t="s">
        <v>207</v>
      </c>
      <c r="U841" t="s">
        <v>207</v>
      </c>
      <c r="V841" t="s">
        <v>207</v>
      </c>
      <c r="W841" t="s">
        <v>207</v>
      </c>
      <c r="X841" t="s">
        <v>207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210</v>
      </c>
      <c r="AZ841" t="s">
        <v>4571</v>
      </c>
      <c r="BA841">
        <v>17382867888.738998</v>
      </c>
      <c r="BB841" t="s">
        <v>4572</v>
      </c>
      <c r="BC841" t="s">
        <v>4577</v>
      </c>
    </row>
    <row r="842" spans="1:55" x14ac:dyDescent="0.25">
      <c r="A842">
        <v>1032</v>
      </c>
      <c r="B842" t="s">
        <v>1030</v>
      </c>
      <c r="C842" t="s">
        <v>2465</v>
      </c>
      <c r="D842" t="s">
        <v>3900</v>
      </c>
      <c r="E842" t="s">
        <v>93</v>
      </c>
      <c r="F842">
        <v>1466912200</v>
      </c>
      <c r="G842">
        <v>6.4240729999999999</v>
      </c>
      <c r="H842" t="s">
        <v>101</v>
      </c>
      <c r="I842">
        <v>9423551057.3906002</v>
      </c>
      <c r="J842" t="s">
        <v>205</v>
      </c>
      <c r="K842">
        <v>20113407.237826001</v>
      </c>
      <c r="L842">
        <v>0.6</v>
      </c>
      <c r="M842" t="s">
        <v>4536</v>
      </c>
      <c r="O842" t="s">
        <v>207</v>
      </c>
      <c r="Q842" t="s">
        <v>207</v>
      </c>
      <c r="R842" t="s">
        <v>207</v>
      </c>
      <c r="S842" t="s">
        <v>207</v>
      </c>
      <c r="T842" t="s">
        <v>207</v>
      </c>
      <c r="U842" t="s">
        <v>207</v>
      </c>
      <c r="V842" t="s">
        <v>207</v>
      </c>
      <c r="W842" t="s">
        <v>207</v>
      </c>
      <c r="X842" t="s">
        <v>207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210</v>
      </c>
      <c r="BA842">
        <v>5654130634.4343596</v>
      </c>
      <c r="BB842" t="s">
        <v>4572</v>
      </c>
      <c r="BC842" t="s">
        <v>4536</v>
      </c>
    </row>
    <row r="843" spans="1:55" x14ac:dyDescent="0.25">
      <c r="A843">
        <v>305</v>
      </c>
      <c r="B843" t="s">
        <v>1031</v>
      </c>
      <c r="C843" t="s">
        <v>2466</v>
      </c>
      <c r="D843" t="s">
        <v>3901</v>
      </c>
      <c r="E843" t="s">
        <v>93</v>
      </c>
      <c r="F843">
        <v>3373647700</v>
      </c>
      <c r="G843">
        <v>13.4557</v>
      </c>
      <c r="H843" t="s">
        <v>101</v>
      </c>
      <c r="I843">
        <v>45394791356.889999</v>
      </c>
      <c r="J843" t="s">
        <v>205</v>
      </c>
      <c r="K843">
        <v>705517721.98477304</v>
      </c>
      <c r="L843">
        <v>1</v>
      </c>
      <c r="O843" t="s">
        <v>207</v>
      </c>
      <c r="Q843" t="s">
        <v>207</v>
      </c>
      <c r="R843" t="s">
        <v>207</v>
      </c>
      <c r="S843" t="s">
        <v>207</v>
      </c>
      <c r="T843" t="s">
        <v>207</v>
      </c>
      <c r="U843" t="s">
        <v>207</v>
      </c>
      <c r="V843" t="s">
        <v>207</v>
      </c>
      <c r="W843" t="s">
        <v>207</v>
      </c>
      <c r="X843" t="s">
        <v>207</v>
      </c>
      <c r="AK843">
        <v>0</v>
      </c>
      <c r="AL843">
        <v>0.25</v>
      </c>
      <c r="AM843">
        <v>0</v>
      </c>
      <c r="AO843" t="s">
        <v>4568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210</v>
      </c>
      <c r="BA843">
        <v>45394791356.889999</v>
      </c>
      <c r="BB843" t="s">
        <v>4572</v>
      </c>
      <c r="BC843" t="s">
        <v>4568</v>
      </c>
    </row>
    <row r="844" spans="1:55" x14ac:dyDescent="0.25">
      <c r="A844">
        <v>1447</v>
      </c>
      <c r="B844" t="s">
        <v>1032</v>
      </c>
      <c r="C844" t="s">
        <v>2467</v>
      </c>
      <c r="D844" t="s">
        <v>3902</v>
      </c>
      <c r="E844" t="s">
        <v>93</v>
      </c>
      <c r="F844">
        <v>388197700</v>
      </c>
      <c r="G844">
        <v>6.63192</v>
      </c>
      <c r="H844" t="s">
        <v>101</v>
      </c>
      <c r="I844">
        <v>2574496090.5840001</v>
      </c>
      <c r="J844" t="s">
        <v>205</v>
      </c>
      <c r="K844">
        <v>9420509.5619756896</v>
      </c>
      <c r="L844">
        <v>0.85</v>
      </c>
      <c r="M844" t="s">
        <v>4536</v>
      </c>
      <c r="N844" t="s">
        <v>4537</v>
      </c>
      <c r="O844" t="s">
        <v>207</v>
      </c>
      <c r="Q844" t="s">
        <v>207</v>
      </c>
      <c r="R844" t="s">
        <v>207</v>
      </c>
      <c r="S844" t="s">
        <v>207</v>
      </c>
      <c r="T844" t="s">
        <v>207</v>
      </c>
      <c r="U844" t="s">
        <v>207</v>
      </c>
      <c r="V844" t="s">
        <v>207</v>
      </c>
      <c r="W844" t="s">
        <v>207</v>
      </c>
      <c r="X844" t="s">
        <v>207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210</v>
      </c>
      <c r="BA844">
        <v>2188321676.9963999</v>
      </c>
      <c r="BB844" t="s">
        <v>4572</v>
      </c>
      <c r="BC844" t="s">
        <v>4575</v>
      </c>
    </row>
    <row r="845" spans="1:55" x14ac:dyDescent="0.25">
      <c r="A845">
        <v>73</v>
      </c>
      <c r="B845" t="s">
        <v>1033</v>
      </c>
      <c r="C845" t="s">
        <v>2468</v>
      </c>
      <c r="D845" t="s">
        <v>3903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150455755694.92999</v>
      </c>
      <c r="J845" t="s">
        <v>205</v>
      </c>
      <c r="K845">
        <v>577072908.61194205</v>
      </c>
      <c r="L845">
        <v>1</v>
      </c>
      <c r="M845" t="s">
        <v>4536</v>
      </c>
      <c r="O845" t="s">
        <v>207</v>
      </c>
      <c r="Q845" t="s">
        <v>207</v>
      </c>
      <c r="R845" t="s">
        <v>207</v>
      </c>
      <c r="S845" t="s">
        <v>207</v>
      </c>
      <c r="T845" t="s">
        <v>207</v>
      </c>
      <c r="U845" t="s">
        <v>207</v>
      </c>
      <c r="V845" t="s">
        <v>207</v>
      </c>
      <c r="W845" t="s">
        <v>207</v>
      </c>
      <c r="X845" t="s">
        <v>207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210</v>
      </c>
      <c r="BA845">
        <v>150455755694.92999</v>
      </c>
      <c r="BB845" t="s">
        <v>4572</v>
      </c>
      <c r="BC845" t="s">
        <v>4536</v>
      </c>
    </row>
    <row r="846" spans="1:55" x14ac:dyDescent="0.25">
      <c r="A846">
        <v>296</v>
      </c>
      <c r="B846" t="s">
        <v>1034</v>
      </c>
      <c r="C846" t="s">
        <v>2469</v>
      </c>
      <c r="D846" t="s">
        <v>3904</v>
      </c>
      <c r="E846" t="s">
        <v>93</v>
      </c>
      <c r="F846">
        <v>2969307000</v>
      </c>
      <c r="G846">
        <v>17.372820000000001</v>
      </c>
      <c r="H846" t="s">
        <v>101</v>
      </c>
      <c r="I846">
        <v>51585236035.740013</v>
      </c>
      <c r="J846" t="s">
        <v>205</v>
      </c>
      <c r="K846">
        <v>122505712.06031001</v>
      </c>
      <c r="L846">
        <v>0.9</v>
      </c>
      <c r="O846" t="s">
        <v>206</v>
      </c>
      <c r="Q846" t="s">
        <v>207</v>
      </c>
      <c r="R846" t="s">
        <v>207</v>
      </c>
      <c r="S846" t="s">
        <v>207</v>
      </c>
      <c r="T846" t="s">
        <v>207</v>
      </c>
      <c r="U846" t="s">
        <v>207</v>
      </c>
      <c r="V846" t="s">
        <v>207</v>
      </c>
      <c r="W846" t="s">
        <v>207</v>
      </c>
      <c r="X846" t="s">
        <v>207</v>
      </c>
      <c r="AG846" t="s">
        <v>4554</v>
      </c>
      <c r="AH846" t="s">
        <v>4564</v>
      </c>
      <c r="AI846" t="s">
        <v>4565</v>
      </c>
      <c r="AJ846" t="s">
        <v>4566</v>
      </c>
      <c r="AK846">
        <v>0.1081</v>
      </c>
      <c r="AL846">
        <v>0.5</v>
      </c>
      <c r="AM846">
        <v>3.5499999999999997E-2</v>
      </c>
      <c r="AN846" t="s">
        <v>4567</v>
      </c>
      <c r="AO846" t="s">
        <v>4568</v>
      </c>
      <c r="AP846" t="s">
        <v>4569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210</v>
      </c>
      <c r="BA846">
        <v>46426712432.166008</v>
      </c>
      <c r="BB846" t="s">
        <v>4572</v>
      </c>
      <c r="BC846" t="s">
        <v>4602</v>
      </c>
    </row>
    <row r="847" spans="1:55" x14ac:dyDescent="0.25">
      <c r="A847">
        <v>1149</v>
      </c>
      <c r="B847" t="s">
        <v>1035</v>
      </c>
      <c r="C847" t="s">
        <v>2470</v>
      </c>
      <c r="D847" t="s">
        <v>3905</v>
      </c>
      <c r="E847" t="s">
        <v>93</v>
      </c>
      <c r="F847">
        <v>200843810</v>
      </c>
      <c r="G847">
        <v>21.724810000000002</v>
      </c>
      <c r="H847" t="s">
        <v>101</v>
      </c>
      <c r="I847">
        <v>4363293611.9261007</v>
      </c>
      <c r="J847" t="s">
        <v>205</v>
      </c>
      <c r="K847">
        <v>28103156.087527499</v>
      </c>
      <c r="L847">
        <v>0.95</v>
      </c>
      <c r="M847" t="s">
        <v>4536</v>
      </c>
      <c r="O847" t="s">
        <v>207</v>
      </c>
      <c r="Q847" t="s">
        <v>207</v>
      </c>
      <c r="R847" t="s">
        <v>207</v>
      </c>
      <c r="S847" t="s">
        <v>207</v>
      </c>
      <c r="T847" t="s">
        <v>207</v>
      </c>
      <c r="U847" t="s">
        <v>207</v>
      </c>
      <c r="V847" t="s">
        <v>207</v>
      </c>
      <c r="W847" t="s">
        <v>207</v>
      </c>
      <c r="X847" t="s">
        <v>207</v>
      </c>
      <c r="AG847" t="s">
        <v>4546</v>
      </c>
      <c r="AH847" t="s">
        <v>4564</v>
      </c>
      <c r="AI847" t="s">
        <v>4565</v>
      </c>
      <c r="AJ847" t="s">
        <v>4566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210</v>
      </c>
      <c r="BA847">
        <v>4145128931.3297949</v>
      </c>
      <c r="BB847" t="s">
        <v>4572</v>
      </c>
      <c r="BC847" t="s">
        <v>4578</v>
      </c>
    </row>
    <row r="848" spans="1:55" x14ac:dyDescent="0.25">
      <c r="A848">
        <v>569</v>
      </c>
      <c r="B848" t="s">
        <v>1036</v>
      </c>
      <c r="C848" t="s">
        <v>2471</v>
      </c>
      <c r="D848" t="s">
        <v>3906</v>
      </c>
      <c r="E848" t="s">
        <v>93</v>
      </c>
      <c r="F848">
        <v>2782189700</v>
      </c>
      <c r="G848">
        <v>8.0484770000000001</v>
      </c>
      <c r="H848" t="s">
        <v>101</v>
      </c>
      <c r="I848">
        <v>22392389810.086899</v>
      </c>
      <c r="J848" t="s">
        <v>205</v>
      </c>
      <c r="K848">
        <v>67506416.721843794</v>
      </c>
      <c r="L848">
        <v>1</v>
      </c>
      <c r="M848" t="s">
        <v>4536</v>
      </c>
      <c r="O848" t="s">
        <v>207</v>
      </c>
      <c r="Q848" t="s">
        <v>207</v>
      </c>
      <c r="R848" t="s">
        <v>207</v>
      </c>
      <c r="S848" t="s">
        <v>207</v>
      </c>
      <c r="T848" t="s">
        <v>207</v>
      </c>
      <c r="U848" t="s">
        <v>207</v>
      </c>
      <c r="V848" t="s">
        <v>207</v>
      </c>
      <c r="W848" t="s">
        <v>207</v>
      </c>
      <c r="X848" t="s">
        <v>207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210</v>
      </c>
      <c r="BA848">
        <v>22392389810.086899</v>
      </c>
      <c r="BB848" t="s">
        <v>4572</v>
      </c>
      <c r="BC848" t="s">
        <v>4536</v>
      </c>
    </row>
    <row r="849" spans="1:55" x14ac:dyDescent="0.25">
      <c r="A849">
        <v>1466</v>
      </c>
      <c r="B849" t="s">
        <v>1037</v>
      </c>
      <c r="C849" t="s">
        <v>2472</v>
      </c>
      <c r="D849" t="s">
        <v>3907</v>
      </c>
      <c r="E849" t="s">
        <v>93</v>
      </c>
      <c r="F849">
        <v>3219699</v>
      </c>
      <c r="G849">
        <v>652.95950000000005</v>
      </c>
      <c r="H849" t="s">
        <v>101</v>
      </c>
      <c r="I849">
        <v>2102333049.1905</v>
      </c>
      <c r="J849" t="s">
        <v>205</v>
      </c>
      <c r="K849">
        <v>5523453.3485031798</v>
      </c>
      <c r="L849">
        <v>1</v>
      </c>
      <c r="M849" t="s">
        <v>4536</v>
      </c>
      <c r="N849" t="s">
        <v>4537</v>
      </c>
      <c r="O849" t="s">
        <v>207</v>
      </c>
      <c r="Q849" t="s">
        <v>207</v>
      </c>
      <c r="R849" t="s">
        <v>207</v>
      </c>
      <c r="S849" t="s">
        <v>207</v>
      </c>
      <c r="T849" t="s">
        <v>207</v>
      </c>
      <c r="U849" t="s">
        <v>207</v>
      </c>
      <c r="V849" t="s">
        <v>207</v>
      </c>
      <c r="W849" t="s">
        <v>207</v>
      </c>
      <c r="X849" t="s">
        <v>207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210</v>
      </c>
      <c r="BA849">
        <v>2102333049.1905</v>
      </c>
      <c r="BB849" t="s">
        <v>4572</v>
      </c>
      <c r="BC849" t="s">
        <v>4575</v>
      </c>
    </row>
    <row r="850" spans="1:55" x14ac:dyDescent="0.25">
      <c r="A850">
        <v>786</v>
      </c>
      <c r="B850" t="s">
        <v>1038</v>
      </c>
      <c r="C850" t="s">
        <v>2473</v>
      </c>
      <c r="D850" t="s">
        <v>3908</v>
      </c>
      <c r="E850" t="s">
        <v>93</v>
      </c>
      <c r="F850">
        <v>362648130</v>
      </c>
      <c r="G850">
        <v>34.700859999999999</v>
      </c>
      <c r="H850" t="s">
        <v>101</v>
      </c>
      <c r="I850">
        <v>12584201988.3918</v>
      </c>
      <c r="J850" t="s">
        <v>205</v>
      </c>
      <c r="K850">
        <v>153731617.957977</v>
      </c>
      <c r="L850">
        <v>1</v>
      </c>
      <c r="M850" t="s">
        <v>4536</v>
      </c>
      <c r="O850" t="s">
        <v>207</v>
      </c>
      <c r="Q850" t="s">
        <v>207</v>
      </c>
      <c r="R850" t="s">
        <v>207</v>
      </c>
      <c r="S850" t="s">
        <v>207</v>
      </c>
      <c r="T850" t="s">
        <v>207</v>
      </c>
      <c r="U850" t="s">
        <v>207</v>
      </c>
      <c r="V850" t="s">
        <v>207</v>
      </c>
      <c r="W850" t="s">
        <v>207</v>
      </c>
      <c r="X850" t="s">
        <v>207</v>
      </c>
      <c r="AK850">
        <v>0</v>
      </c>
      <c r="AL850">
        <v>0.19500000000000001</v>
      </c>
      <c r="AM850">
        <v>0</v>
      </c>
      <c r="AO850" t="s">
        <v>4568</v>
      </c>
      <c r="AQ850">
        <v>0</v>
      </c>
      <c r="AR850">
        <v>0</v>
      </c>
      <c r="AW850">
        <v>5020</v>
      </c>
      <c r="AX850">
        <v>1.571</v>
      </c>
      <c r="AY850" t="s">
        <v>210</v>
      </c>
      <c r="AZ850" t="s">
        <v>4571</v>
      </c>
      <c r="BA850">
        <v>12584201988.3918</v>
      </c>
      <c r="BB850" t="s">
        <v>4572</v>
      </c>
      <c r="BC850" t="s">
        <v>4594</v>
      </c>
    </row>
    <row r="851" spans="1:55" x14ac:dyDescent="0.25">
      <c r="A851">
        <v>1446</v>
      </c>
      <c r="B851" t="s">
        <v>1039</v>
      </c>
      <c r="C851" t="s">
        <v>2474</v>
      </c>
      <c r="D851" t="s">
        <v>3909</v>
      </c>
      <c r="E851" t="s">
        <v>93</v>
      </c>
      <c r="F851">
        <v>125291115</v>
      </c>
      <c r="G851">
        <v>20.771909999999998</v>
      </c>
      <c r="H851" t="s">
        <v>101</v>
      </c>
      <c r="I851">
        <v>2602535764.5796499</v>
      </c>
      <c r="J851" t="s">
        <v>205</v>
      </c>
      <c r="K851">
        <v>7596879.97208157</v>
      </c>
      <c r="L851">
        <v>0.85</v>
      </c>
      <c r="M851" t="s">
        <v>4536</v>
      </c>
      <c r="N851" t="s">
        <v>4537</v>
      </c>
      <c r="O851" t="s">
        <v>207</v>
      </c>
      <c r="Q851" t="s">
        <v>207</v>
      </c>
      <c r="R851" t="s">
        <v>207</v>
      </c>
      <c r="S851" t="s">
        <v>207</v>
      </c>
      <c r="T851" t="s">
        <v>207</v>
      </c>
      <c r="U851" t="s">
        <v>207</v>
      </c>
      <c r="V851" t="s">
        <v>207</v>
      </c>
      <c r="W851" t="s">
        <v>207</v>
      </c>
      <c r="X851" t="s">
        <v>207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210</v>
      </c>
      <c r="BA851">
        <v>2212155399.8927031</v>
      </c>
      <c r="BB851" t="s">
        <v>4572</v>
      </c>
      <c r="BC851" t="s">
        <v>4575</v>
      </c>
    </row>
    <row r="852" spans="1:55" x14ac:dyDescent="0.25">
      <c r="A852">
        <v>188</v>
      </c>
      <c r="B852" t="s">
        <v>1040</v>
      </c>
      <c r="C852" t="s">
        <v>2475</v>
      </c>
      <c r="D852" t="s">
        <v>3910</v>
      </c>
      <c r="E852" t="s">
        <v>93</v>
      </c>
      <c r="F852">
        <v>2539250000</v>
      </c>
      <c r="G852">
        <v>27.192789999999999</v>
      </c>
      <c r="H852" t="s">
        <v>101</v>
      </c>
      <c r="I852">
        <v>69049292007.5</v>
      </c>
      <c r="J852" t="s">
        <v>205</v>
      </c>
      <c r="K852">
        <v>256288211.57427701</v>
      </c>
      <c r="L852">
        <v>1</v>
      </c>
      <c r="M852" t="s">
        <v>4536</v>
      </c>
      <c r="O852" t="s">
        <v>207</v>
      </c>
      <c r="Q852" t="s">
        <v>207</v>
      </c>
      <c r="R852" t="s">
        <v>207</v>
      </c>
      <c r="S852" t="s">
        <v>207</v>
      </c>
      <c r="T852" t="s">
        <v>207</v>
      </c>
      <c r="U852" t="s">
        <v>207</v>
      </c>
      <c r="V852" t="s">
        <v>207</v>
      </c>
      <c r="W852" t="s">
        <v>207</v>
      </c>
      <c r="X852" t="s">
        <v>207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210</v>
      </c>
      <c r="BA852">
        <v>69049292007.5</v>
      </c>
      <c r="BB852" t="s">
        <v>4572</v>
      </c>
      <c r="BC852" t="s">
        <v>4536</v>
      </c>
    </row>
    <row r="853" spans="1:55" x14ac:dyDescent="0.25">
      <c r="A853">
        <v>739</v>
      </c>
      <c r="B853" t="s">
        <v>1041</v>
      </c>
      <c r="C853" t="s">
        <v>2476</v>
      </c>
      <c r="D853" t="s">
        <v>3911</v>
      </c>
      <c r="E853" t="s">
        <v>4517</v>
      </c>
      <c r="F853">
        <v>274805954</v>
      </c>
      <c r="G853">
        <v>67.86</v>
      </c>
      <c r="H853" t="s">
        <v>99</v>
      </c>
      <c r="I853">
        <v>18648332038.439999</v>
      </c>
      <c r="J853" t="s">
        <v>203</v>
      </c>
      <c r="K853">
        <v>66477931.922458999</v>
      </c>
      <c r="L853">
        <v>0.85000000000000009</v>
      </c>
      <c r="M853" t="s">
        <v>4536</v>
      </c>
      <c r="O853" t="s">
        <v>207</v>
      </c>
      <c r="Q853" t="s">
        <v>207</v>
      </c>
      <c r="R853" t="s">
        <v>207</v>
      </c>
      <c r="S853" t="s">
        <v>207</v>
      </c>
      <c r="T853" t="s">
        <v>207</v>
      </c>
      <c r="U853" t="s">
        <v>207</v>
      </c>
      <c r="V853" t="s">
        <v>207</v>
      </c>
      <c r="W853" t="s">
        <v>207</v>
      </c>
      <c r="X853" t="s">
        <v>207</v>
      </c>
      <c r="AG853" t="s">
        <v>4547</v>
      </c>
      <c r="AI853" t="s">
        <v>4565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209</v>
      </c>
      <c r="BA853">
        <v>15851082232.674</v>
      </c>
      <c r="BB853" t="s">
        <v>4572</v>
      </c>
      <c r="BC853" t="s">
        <v>4597</v>
      </c>
    </row>
    <row r="854" spans="1:55" x14ac:dyDescent="0.25">
      <c r="A854">
        <v>155</v>
      </c>
      <c r="B854" t="s">
        <v>1042</v>
      </c>
      <c r="C854" t="s">
        <v>2477</v>
      </c>
      <c r="D854" t="s">
        <v>3912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202</v>
      </c>
      <c r="K854">
        <v>612101315.20501494</v>
      </c>
      <c r="L854">
        <v>1</v>
      </c>
      <c r="O854" t="s">
        <v>207</v>
      </c>
      <c r="Q854" t="s">
        <v>207</v>
      </c>
      <c r="R854" t="s">
        <v>207</v>
      </c>
      <c r="S854" t="s">
        <v>207</v>
      </c>
      <c r="T854" t="s">
        <v>207</v>
      </c>
      <c r="U854" t="s">
        <v>207</v>
      </c>
      <c r="V854" t="s">
        <v>207</v>
      </c>
      <c r="W854" t="s">
        <v>207</v>
      </c>
      <c r="X854" t="s">
        <v>207</v>
      </c>
      <c r="AG854" t="s">
        <v>4546</v>
      </c>
      <c r="AH854" t="s">
        <v>4564</v>
      </c>
      <c r="AI854" t="s">
        <v>4565</v>
      </c>
      <c r="AJ854" t="s">
        <v>4566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208</v>
      </c>
      <c r="BA854">
        <v>80011732369.807007</v>
      </c>
      <c r="BB854" t="s">
        <v>4572</v>
      </c>
      <c r="BC854" t="s">
        <v>4581</v>
      </c>
    </row>
    <row r="855" spans="1:55" x14ac:dyDescent="0.25">
      <c r="A855">
        <v>968</v>
      </c>
      <c r="B855" t="s">
        <v>1043</v>
      </c>
      <c r="C855" t="s">
        <v>2478</v>
      </c>
      <c r="D855" t="s">
        <v>3913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204</v>
      </c>
      <c r="K855">
        <v>15552731.930010101</v>
      </c>
      <c r="L855">
        <v>1</v>
      </c>
      <c r="M855" t="s">
        <v>4536</v>
      </c>
      <c r="O855" t="s">
        <v>207</v>
      </c>
      <c r="Q855" t="s">
        <v>207</v>
      </c>
      <c r="R855" t="s">
        <v>207</v>
      </c>
      <c r="S855" t="s">
        <v>207</v>
      </c>
      <c r="T855" t="s">
        <v>207</v>
      </c>
      <c r="U855" t="s">
        <v>207</v>
      </c>
      <c r="V855" t="s">
        <v>207</v>
      </c>
      <c r="W855" t="s">
        <v>207</v>
      </c>
      <c r="X855" t="s">
        <v>207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209</v>
      </c>
      <c r="BA855">
        <v>6611834568.2774</v>
      </c>
      <c r="BB855" t="s">
        <v>4572</v>
      </c>
      <c r="BC855" t="s">
        <v>4536</v>
      </c>
    </row>
    <row r="856" spans="1:55" x14ac:dyDescent="0.25">
      <c r="A856">
        <v>633</v>
      </c>
      <c r="B856" t="s">
        <v>1044</v>
      </c>
      <c r="C856" t="s">
        <v>2479</v>
      </c>
      <c r="D856" t="s">
        <v>3914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202</v>
      </c>
      <c r="K856">
        <v>546797729.769238</v>
      </c>
      <c r="L856">
        <v>1</v>
      </c>
      <c r="M856" t="s">
        <v>4536</v>
      </c>
      <c r="O856" t="s">
        <v>207</v>
      </c>
      <c r="Q856" t="s">
        <v>207</v>
      </c>
      <c r="R856" t="s">
        <v>207</v>
      </c>
      <c r="S856" t="s">
        <v>207</v>
      </c>
      <c r="T856" t="s">
        <v>207</v>
      </c>
      <c r="U856" t="s">
        <v>207</v>
      </c>
      <c r="V856" t="s">
        <v>207</v>
      </c>
      <c r="W856" t="s">
        <v>207</v>
      </c>
      <c r="X856" t="s">
        <v>207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208</v>
      </c>
      <c r="BA856">
        <v>19464216886.68</v>
      </c>
      <c r="BB856" t="s">
        <v>4572</v>
      </c>
      <c r="BC856" t="s">
        <v>4536</v>
      </c>
    </row>
    <row r="857" spans="1:55" x14ac:dyDescent="0.25">
      <c r="A857">
        <v>438</v>
      </c>
      <c r="B857" t="s">
        <v>1045</v>
      </c>
      <c r="C857" t="s">
        <v>2480</v>
      </c>
      <c r="D857" t="s">
        <v>3915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202</v>
      </c>
      <c r="K857">
        <v>527341654.44552302</v>
      </c>
      <c r="L857">
        <v>1</v>
      </c>
      <c r="M857" t="s">
        <v>4536</v>
      </c>
      <c r="O857" t="s">
        <v>207</v>
      </c>
      <c r="Q857" t="s">
        <v>207</v>
      </c>
      <c r="R857" t="s">
        <v>207</v>
      </c>
      <c r="S857" t="s">
        <v>207</v>
      </c>
      <c r="T857" t="s">
        <v>207</v>
      </c>
      <c r="U857" t="s">
        <v>207</v>
      </c>
      <c r="V857" t="s">
        <v>207</v>
      </c>
      <c r="W857" t="s">
        <v>207</v>
      </c>
      <c r="X857" t="s">
        <v>207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208</v>
      </c>
      <c r="BA857">
        <v>30844076922</v>
      </c>
      <c r="BB857" t="s">
        <v>4572</v>
      </c>
      <c r="BC857" t="s">
        <v>4536</v>
      </c>
    </row>
    <row r="858" spans="1:55" x14ac:dyDescent="0.25">
      <c r="A858">
        <v>1153</v>
      </c>
      <c r="B858" t="s">
        <v>1046</v>
      </c>
      <c r="C858" t="s">
        <v>2481</v>
      </c>
      <c r="D858" t="s">
        <v>3916</v>
      </c>
      <c r="E858" t="s">
        <v>93</v>
      </c>
      <c r="F858">
        <v>501351000</v>
      </c>
      <c r="G858">
        <v>16.4391</v>
      </c>
      <c r="H858" t="s">
        <v>101</v>
      </c>
      <c r="I858">
        <v>8241759224.1000004</v>
      </c>
      <c r="J858" t="s">
        <v>205</v>
      </c>
      <c r="K858">
        <v>25716192.453742299</v>
      </c>
      <c r="L858">
        <v>0.5</v>
      </c>
      <c r="M858" t="s">
        <v>4536</v>
      </c>
      <c r="O858" t="s">
        <v>207</v>
      </c>
      <c r="Q858" t="s">
        <v>207</v>
      </c>
      <c r="R858" t="s">
        <v>207</v>
      </c>
      <c r="S858" t="s">
        <v>207</v>
      </c>
      <c r="T858" t="s">
        <v>207</v>
      </c>
      <c r="U858" t="s">
        <v>207</v>
      </c>
      <c r="V858" t="s">
        <v>207</v>
      </c>
      <c r="W858" t="s">
        <v>207</v>
      </c>
      <c r="X858" t="s">
        <v>207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210</v>
      </c>
      <c r="BA858">
        <v>4120879612.0500002</v>
      </c>
      <c r="BB858" t="s">
        <v>4572</v>
      </c>
      <c r="BC858" t="s">
        <v>4536</v>
      </c>
    </row>
    <row r="859" spans="1:55" x14ac:dyDescent="0.25">
      <c r="A859">
        <v>380</v>
      </c>
      <c r="B859" t="s">
        <v>1047</v>
      </c>
      <c r="C859" t="s">
        <v>2482</v>
      </c>
      <c r="D859" t="s">
        <v>3917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202</v>
      </c>
      <c r="K859">
        <v>271580929.40710598</v>
      </c>
      <c r="L859">
        <v>0.75</v>
      </c>
      <c r="M859" t="s">
        <v>4536</v>
      </c>
      <c r="O859" t="s">
        <v>207</v>
      </c>
      <c r="Q859" t="s">
        <v>207</v>
      </c>
      <c r="R859" t="s">
        <v>207</v>
      </c>
      <c r="S859" t="s">
        <v>207</v>
      </c>
      <c r="T859" t="s">
        <v>207</v>
      </c>
      <c r="U859" t="s">
        <v>207</v>
      </c>
      <c r="V859" t="s">
        <v>207</v>
      </c>
      <c r="W859" t="s">
        <v>207</v>
      </c>
      <c r="X859" t="s">
        <v>207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208</v>
      </c>
      <c r="AZ859" t="s">
        <v>4571</v>
      </c>
      <c r="BA859">
        <v>36975282188.469383</v>
      </c>
      <c r="BB859" t="s">
        <v>4572</v>
      </c>
      <c r="BC859" t="s">
        <v>4577</v>
      </c>
    </row>
    <row r="860" spans="1:55" x14ac:dyDescent="0.25">
      <c r="A860">
        <v>171</v>
      </c>
      <c r="B860" t="s">
        <v>1048</v>
      </c>
      <c r="C860" t="s">
        <v>2483</v>
      </c>
      <c r="D860" t="s">
        <v>3918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202</v>
      </c>
      <c r="K860">
        <v>316731714.153359</v>
      </c>
      <c r="L860">
        <v>0.85</v>
      </c>
      <c r="M860" t="s">
        <v>4536</v>
      </c>
      <c r="O860" t="s">
        <v>207</v>
      </c>
      <c r="Q860" t="s">
        <v>207</v>
      </c>
      <c r="R860" t="s">
        <v>207</v>
      </c>
      <c r="S860" t="s">
        <v>207</v>
      </c>
      <c r="T860" t="s">
        <v>207</v>
      </c>
      <c r="U860" t="s">
        <v>207</v>
      </c>
      <c r="V860" t="s">
        <v>207</v>
      </c>
      <c r="W860" t="s">
        <v>207</v>
      </c>
      <c r="X860" t="s">
        <v>207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208</v>
      </c>
      <c r="BA860">
        <v>73211708700</v>
      </c>
      <c r="BB860" t="s">
        <v>4572</v>
      </c>
      <c r="BC860" t="s">
        <v>4536</v>
      </c>
    </row>
    <row r="861" spans="1:55" x14ac:dyDescent="0.25">
      <c r="A861">
        <v>71</v>
      </c>
      <c r="B861" t="s">
        <v>172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202</v>
      </c>
      <c r="K861">
        <v>799107084.08394802</v>
      </c>
      <c r="L861">
        <v>0.75</v>
      </c>
      <c r="O861" t="s">
        <v>207</v>
      </c>
      <c r="Q861" t="s">
        <v>207</v>
      </c>
      <c r="R861" t="s">
        <v>207</v>
      </c>
      <c r="S861" t="s">
        <v>207</v>
      </c>
      <c r="T861" t="s">
        <v>207</v>
      </c>
      <c r="U861" t="s">
        <v>207</v>
      </c>
      <c r="V861" t="s">
        <v>207</v>
      </c>
      <c r="W861" t="s">
        <v>207</v>
      </c>
      <c r="X861" t="s">
        <v>207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208</v>
      </c>
      <c r="BA861">
        <v>152365137926.13</v>
      </c>
      <c r="BB861" t="s">
        <v>211</v>
      </c>
    </row>
    <row r="862" spans="1:55" x14ac:dyDescent="0.25">
      <c r="A862">
        <v>196</v>
      </c>
      <c r="B862" t="s">
        <v>1049</v>
      </c>
      <c r="C862" t="s">
        <v>2484</v>
      </c>
      <c r="D862" t="s">
        <v>3919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202</v>
      </c>
      <c r="K862">
        <v>400437665.17203301</v>
      </c>
      <c r="L862">
        <v>1</v>
      </c>
      <c r="M862" t="s">
        <v>4536</v>
      </c>
      <c r="O862" t="s">
        <v>207</v>
      </c>
      <c r="Q862" t="s">
        <v>207</v>
      </c>
      <c r="R862" t="s">
        <v>207</v>
      </c>
      <c r="S862" t="s">
        <v>207</v>
      </c>
      <c r="T862" t="s">
        <v>207</v>
      </c>
      <c r="U862" t="s">
        <v>207</v>
      </c>
      <c r="V862" t="s">
        <v>207</v>
      </c>
      <c r="W862" t="s">
        <v>207</v>
      </c>
      <c r="X862" t="s">
        <v>207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208</v>
      </c>
      <c r="BA862">
        <v>67365569866.050003</v>
      </c>
      <c r="BB862" t="s">
        <v>4572</v>
      </c>
      <c r="BC862" t="s">
        <v>4536</v>
      </c>
    </row>
    <row r="863" spans="1:55" x14ac:dyDescent="0.25">
      <c r="A863">
        <v>890</v>
      </c>
      <c r="B863" t="s">
        <v>1050</v>
      </c>
      <c r="C863" t="s">
        <v>2485</v>
      </c>
      <c r="D863" t="s">
        <v>3920</v>
      </c>
      <c r="E863" t="s">
        <v>4522</v>
      </c>
      <c r="F863">
        <v>517111091</v>
      </c>
      <c r="G863">
        <v>18.514900000000001</v>
      </c>
      <c r="H863" t="s">
        <v>4531</v>
      </c>
      <c r="I863">
        <v>9574260138.7559013</v>
      </c>
      <c r="J863" t="s">
        <v>204</v>
      </c>
      <c r="K863">
        <v>16584719.4508359</v>
      </c>
      <c r="L863">
        <v>0.85000000000000009</v>
      </c>
      <c r="O863" t="s">
        <v>207</v>
      </c>
      <c r="Q863" t="s">
        <v>207</v>
      </c>
      <c r="R863" t="s">
        <v>207</v>
      </c>
      <c r="S863" t="s">
        <v>207</v>
      </c>
      <c r="T863" t="s">
        <v>207</v>
      </c>
      <c r="U863" t="s">
        <v>207</v>
      </c>
      <c r="V863" t="s">
        <v>207</v>
      </c>
      <c r="W863" t="s">
        <v>207</v>
      </c>
      <c r="X863" t="s">
        <v>207</v>
      </c>
      <c r="AG863" t="s">
        <v>4555</v>
      </c>
      <c r="AI863" t="s">
        <v>4565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209</v>
      </c>
      <c r="BA863">
        <v>8138121117.9425173</v>
      </c>
      <c r="BB863" t="s">
        <v>4572</v>
      </c>
      <c r="BC863" t="s">
        <v>4565</v>
      </c>
    </row>
    <row r="864" spans="1:55" x14ac:dyDescent="0.25">
      <c r="A864">
        <v>662</v>
      </c>
      <c r="B864" t="s">
        <v>1051</v>
      </c>
      <c r="C864" t="s">
        <v>2486</v>
      </c>
      <c r="D864" t="s">
        <v>3921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202</v>
      </c>
      <c r="K864">
        <v>88586609.869846299</v>
      </c>
      <c r="L864">
        <v>0.35</v>
      </c>
      <c r="M864" t="s">
        <v>4536</v>
      </c>
      <c r="O864" t="s">
        <v>4538</v>
      </c>
      <c r="P864" t="s">
        <v>4540</v>
      </c>
      <c r="Q864" t="s">
        <v>207</v>
      </c>
      <c r="R864" t="s">
        <v>207</v>
      </c>
      <c r="S864" t="s">
        <v>207</v>
      </c>
      <c r="T864" t="s">
        <v>207</v>
      </c>
      <c r="U864" t="s">
        <v>207</v>
      </c>
      <c r="V864" t="s">
        <v>207</v>
      </c>
      <c r="W864" t="s">
        <v>207</v>
      </c>
      <c r="X864" t="s">
        <v>207</v>
      </c>
      <c r="AG864" t="s">
        <v>4539</v>
      </c>
      <c r="AH864" t="s">
        <v>4539</v>
      </c>
      <c r="AI864" t="s">
        <v>4565</v>
      </c>
      <c r="AJ864" t="s">
        <v>4566</v>
      </c>
      <c r="AK864">
        <v>0</v>
      </c>
      <c r="AL864">
        <v>1</v>
      </c>
      <c r="AM864">
        <v>0</v>
      </c>
      <c r="AO864" t="s">
        <v>4568</v>
      </c>
      <c r="AQ864">
        <v>0</v>
      </c>
      <c r="AR864">
        <v>0</v>
      </c>
      <c r="AW864">
        <v>6010</v>
      </c>
      <c r="AY864" t="s">
        <v>208</v>
      </c>
      <c r="BA864">
        <v>18206089193.81385</v>
      </c>
      <c r="BB864" t="s">
        <v>4572</v>
      </c>
      <c r="BC864" t="s">
        <v>4643</v>
      </c>
    </row>
    <row r="865" spans="1:55" x14ac:dyDescent="0.25">
      <c r="A865">
        <v>518</v>
      </c>
      <c r="B865" t="s">
        <v>1052</v>
      </c>
      <c r="C865" t="s">
        <v>2487</v>
      </c>
      <c r="D865" t="s">
        <v>3922</v>
      </c>
      <c r="E865" t="s">
        <v>93</v>
      </c>
      <c r="F865">
        <v>1608398700</v>
      </c>
      <c r="G865">
        <v>19.377739999999999</v>
      </c>
      <c r="H865" t="s">
        <v>101</v>
      </c>
      <c r="I865">
        <v>31167131824.938</v>
      </c>
      <c r="J865" t="s">
        <v>205</v>
      </c>
      <c r="K865">
        <v>93389085.010235593</v>
      </c>
      <c r="L865">
        <v>0.8</v>
      </c>
      <c r="M865" t="s">
        <v>4536</v>
      </c>
      <c r="O865" t="s">
        <v>207</v>
      </c>
      <c r="Q865" t="s">
        <v>207</v>
      </c>
      <c r="R865" t="s">
        <v>207</v>
      </c>
      <c r="S865" t="s">
        <v>207</v>
      </c>
      <c r="T865" t="s">
        <v>207</v>
      </c>
      <c r="U865" t="s">
        <v>207</v>
      </c>
      <c r="V865" t="s">
        <v>207</v>
      </c>
      <c r="W865" t="s">
        <v>207</v>
      </c>
      <c r="X865" t="s">
        <v>207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210</v>
      </c>
      <c r="BA865">
        <v>24933705459.950401</v>
      </c>
      <c r="BB865" t="s">
        <v>4572</v>
      </c>
      <c r="BC865" t="s">
        <v>4536</v>
      </c>
    </row>
    <row r="866" spans="1:55" x14ac:dyDescent="0.25">
      <c r="A866">
        <v>326</v>
      </c>
      <c r="B866" t="s">
        <v>1053</v>
      </c>
      <c r="C866" t="s">
        <v>2488</v>
      </c>
      <c r="D866" t="s">
        <v>3923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202</v>
      </c>
      <c r="K866">
        <v>280833250.12386698</v>
      </c>
      <c r="L866">
        <v>1</v>
      </c>
      <c r="M866" t="s">
        <v>4536</v>
      </c>
      <c r="O866" t="s">
        <v>207</v>
      </c>
      <c r="Q866" t="s">
        <v>207</v>
      </c>
      <c r="R866" t="s">
        <v>207</v>
      </c>
      <c r="S866" t="s">
        <v>207</v>
      </c>
      <c r="T866" t="s">
        <v>207</v>
      </c>
      <c r="U866" t="s">
        <v>207</v>
      </c>
      <c r="V866" t="s">
        <v>207</v>
      </c>
      <c r="W866" t="s">
        <v>207</v>
      </c>
      <c r="X866" t="s">
        <v>207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208</v>
      </c>
      <c r="BA866">
        <v>42954818961.599998</v>
      </c>
      <c r="BB866" t="s">
        <v>4572</v>
      </c>
      <c r="BC866" t="s">
        <v>4536</v>
      </c>
    </row>
    <row r="867" spans="1:55" x14ac:dyDescent="0.25">
      <c r="A867">
        <v>1087</v>
      </c>
      <c r="B867" t="s">
        <v>1054</v>
      </c>
      <c r="C867" t="s">
        <v>2489</v>
      </c>
      <c r="D867" t="s">
        <v>3924</v>
      </c>
      <c r="E867" t="s">
        <v>4518</v>
      </c>
      <c r="F867">
        <v>6224823000</v>
      </c>
      <c r="G867">
        <v>3.090185</v>
      </c>
      <c r="H867" t="s">
        <v>4529</v>
      </c>
      <c r="I867">
        <v>19235854662.255001</v>
      </c>
      <c r="J867" t="s">
        <v>205</v>
      </c>
      <c r="K867">
        <v>12970886.2004725</v>
      </c>
      <c r="L867">
        <v>0.25</v>
      </c>
      <c r="M867" t="s">
        <v>4536</v>
      </c>
      <c r="O867" t="s">
        <v>207</v>
      </c>
      <c r="Q867" t="s">
        <v>207</v>
      </c>
      <c r="R867" t="s">
        <v>207</v>
      </c>
      <c r="S867" t="s">
        <v>207</v>
      </c>
      <c r="T867" t="s">
        <v>207</v>
      </c>
      <c r="U867" t="s">
        <v>207</v>
      </c>
      <c r="V867" t="s">
        <v>207</v>
      </c>
      <c r="W867" t="s">
        <v>207</v>
      </c>
      <c r="X867" t="s">
        <v>207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210</v>
      </c>
      <c r="BA867">
        <v>4808963665.5637503</v>
      </c>
      <c r="BB867" t="s">
        <v>4572</v>
      </c>
      <c r="BC867" t="s">
        <v>4536</v>
      </c>
    </row>
    <row r="868" spans="1:55" x14ac:dyDescent="0.25">
      <c r="A868">
        <v>718</v>
      </c>
      <c r="B868" t="s">
        <v>1055</v>
      </c>
      <c r="C868" t="s">
        <v>2490</v>
      </c>
      <c r="D868" t="s">
        <v>3925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203</v>
      </c>
      <c r="K868">
        <v>39354939.461475402</v>
      </c>
      <c r="L868">
        <v>1</v>
      </c>
      <c r="O868" t="s">
        <v>207</v>
      </c>
      <c r="Q868" t="s">
        <v>207</v>
      </c>
      <c r="R868" t="s">
        <v>207</v>
      </c>
      <c r="S868" t="s">
        <v>207</v>
      </c>
      <c r="T868" t="s">
        <v>207</v>
      </c>
      <c r="U868" t="s">
        <v>207</v>
      </c>
      <c r="V868" t="s">
        <v>207</v>
      </c>
      <c r="W868" t="s">
        <v>207</v>
      </c>
      <c r="X868" t="s">
        <v>207</v>
      </c>
      <c r="AK868">
        <v>0</v>
      </c>
      <c r="AL868">
        <v>0.01</v>
      </c>
      <c r="AM868">
        <v>0</v>
      </c>
      <c r="AO868" t="s">
        <v>4568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209</v>
      </c>
      <c r="BA868">
        <v>16443381695</v>
      </c>
      <c r="BB868" t="s">
        <v>4572</v>
      </c>
      <c r="BC868" t="s">
        <v>4568</v>
      </c>
    </row>
    <row r="869" spans="1:55" x14ac:dyDescent="0.25">
      <c r="A869">
        <v>189</v>
      </c>
      <c r="B869" t="s">
        <v>1056</v>
      </c>
      <c r="C869" t="s">
        <v>2491</v>
      </c>
      <c r="D869" t="s">
        <v>3926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203</v>
      </c>
      <c r="K869">
        <v>128545422.752459</v>
      </c>
      <c r="L869">
        <v>1</v>
      </c>
      <c r="M869" t="s">
        <v>4536</v>
      </c>
      <c r="O869" t="s">
        <v>207</v>
      </c>
      <c r="Q869" t="s">
        <v>207</v>
      </c>
      <c r="R869" t="s">
        <v>207</v>
      </c>
      <c r="S869" t="s">
        <v>207</v>
      </c>
      <c r="T869" t="s">
        <v>207</v>
      </c>
      <c r="U869" t="s">
        <v>207</v>
      </c>
      <c r="V869" t="s">
        <v>207</v>
      </c>
      <c r="W869" t="s">
        <v>207</v>
      </c>
      <c r="X869" t="s">
        <v>207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209</v>
      </c>
      <c r="BA869">
        <v>68886544200</v>
      </c>
      <c r="BB869" t="s">
        <v>4572</v>
      </c>
      <c r="BC869" t="s">
        <v>4536</v>
      </c>
    </row>
    <row r="870" spans="1:55" x14ac:dyDescent="0.25">
      <c r="A870">
        <v>415</v>
      </c>
      <c r="B870" t="s">
        <v>196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205</v>
      </c>
      <c r="K870">
        <v>110732949.93030199</v>
      </c>
      <c r="L870">
        <v>0.95</v>
      </c>
      <c r="O870" t="s">
        <v>207</v>
      </c>
      <c r="Q870" t="s">
        <v>207</v>
      </c>
      <c r="R870" t="s">
        <v>207</v>
      </c>
      <c r="S870" t="s">
        <v>207</v>
      </c>
      <c r="T870" t="s">
        <v>207</v>
      </c>
      <c r="U870" t="s">
        <v>207</v>
      </c>
      <c r="V870" t="s">
        <v>207</v>
      </c>
      <c r="W870" t="s">
        <v>207</v>
      </c>
      <c r="X870" t="s">
        <v>207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210</v>
      </c>
      <c r="BA870">
        <v>32421584537.893101</v>
      </c>
      <c r="BB870" t="s">
        <v>211</v>
      </c>
    </row>
    <row r="871" spans="1:55" x14ac:dyDescent="0.25">
      <c r="A871">
        <v>1280</v>
      </c>
      <c r="B871" t="s">
        <v>1057</v>
      </c>
      <c r="C871" t="s">
        <v>2492</v>
      </c>
      <c r="D871" t="s">
        <v>3927</v>
      </c>
      <c r="E871" t="s">
        <v>4519</v>
      </c>
      <c r="F871">
        <v>97916510</v>
      </c>
      <c r="G871">
        <v>43.17944</v>
      </c>
      <c r="H871" t="s">
        <v>4530</v>
      </c>
      <c r="I871">
        <v>4227980068.5544</v>
      </c>
      <c r="J871" t="s">
        <v>204</v>
      </c>
      <c r="K871">
        <v>4714072.9623782104</v>
      </c>
      <c r="L871">
        <v>0.75</v>
      </c>
      <c r="M871" t="s">
        <v>4536</v>
      </c>
      <c r="N871" t="s">
        <v>4537</v>
      </c>
      <c r="O871" t="s">
        <v>207</v>
      </c>
      <c r="Q871" t="s">
        <v>207</v>
      </c>
      <c r="R871" t="s">
        <v>207</v>
      </c>
      <c r="S871" t="s">
        <v>207</v>
      </c>
      <c r="T871" t="s">
        <v>207</v>
      </c>
      <c r="U871" t="s">
        <v>207</v>
      </c>
      <c r="V871" t="s">
        <v>207</v>
      </c>
      <c r="W871" t="s">
        <v>207</v>
      </c>
      <c r="X871" t="s">
        <v>207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209</v>
      </c>
      <c r="BA871">
        <v>3170985051.4158001</v>
      </c>
      <c r="BB871" t="s">
        <v>4572</v>
      </c>
      <c r="BC871" t="s">
        <v>4575</v>
      </c>
    </row>
    <row r="872" spans="1:55" x14ac:dyDescent="0.25">
      <c r="A872">
        <v>1434</v>
      </c>
      <c r="B872" t="s">
        <v>1058</v>
      </c>
      <c r="C872" t="s">
        <v>2493</v>
      </c>
      <c r="D872" t="s">
        <v>3928</v>
      </c>
      <c r="E872" t="s">
        <v>93</v>
      </c>
      <c r="F872">
        <v>196700680</v>
      </c>
      <c r="G872">
        <v>11.51153</v>
      </c>
      <c r="H872" t="s">
        <v>101</v>
      </c>
      <c r="I872">
        <v>2264325778.8404002</v>
      </c>
      <c r="J872" t="s">
        <v>205</v>
      </c>
      <c r="K872">
        <v>5000847.6402596496</v>
      </c>
      <c r="L872">
        <v>1</v>
      </c>
      <c r="M872" t="s">
        <v>4536</v>
      </c>
      <c r="N872" t="s">
        <v>4537</v>
      </c>
      <c r="O872" t="s">
        <v>207</v>
      </c>
      <c r="Q872" t="s">
        <v>207</v>
      </c>
      <c r="R872" t="s">
        <v>207</v>
      </c>
      <c r="S872" t="s">
        <v>207</v>
      </c>
      <c r="T872" t="s">
        <v>207</v>
      </c>
      <c r="U872" t="s">
        <v>207</v>
      </c>
      <c r="V872" t="s">
        <v>207</v>
      </c>
      <c r="W872" t="s">
        <v>207</v>
      </c>
      <c r="X872" t="s">
        <v>207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210</v>
      </c>
      <c r="AZ872" t="s">
        <v>4571</v>
      </c>
      <c r="BA872">
        <v>2264325778.8404002</v>
      </c>
      <c r="BB872" t="s">
        <v>4572</v>
      </c>
      <c r="BC872" t="s">
        <v>4584</v>
      </c>
    </row>
    <row r="873" spans="1:55" x14ac:dyDescent="0.25">
      <c r="A873">
        <v>432</v>
      </c>
      <c r="B873" t="s">
        <v>1059</v>
      </c>
      <c r="C873" t="s">
        <v>2494</v>
      </c>
      <c r="D873" t="s">
        <v>3929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202</v>
      </c>
      <c r="K873">
        <v>202100162.42739999</v>
      </c>
      <c r="L873">
        <v>0.7</v>
      </c>
      <c r="M873" t="s">
        <v>4536</v>
      </c>
      <c r="O873" t="s">
        <v>207</v>
      </c>
      <c r="Q873" t="s">
        <v>207</v>
      </c>
      <c r="R873" t="s">
        <v>207</v>
      </c>
      <c r="S873" t="s">
        <v>207</v>
      </c>
      <c r="T873" t="s">
        <v>207</v>
      </c>
      <c r="U873" t="s">
        <v>207</v>
      </c>
      <c r="V873" t="s">
        <v>207</v>
      </c>
      <c r="W873" t="s">
        <v>207</v>
      </c>
      <c r="X873" t="s">
        <v>207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208</v>
      </c>
      <c r="BA873">
        <v>31218481406.563499</v>
      </c>
      <c r="BB873" t="s">
        <v>4572</v>
      </c>
      <c r="BC873" t="s">
        <v>4536</v>
      </c>
    </row>
    <row r="874" spans="1:55" x14ac:dyDescent="0.25">
      <c r="A874">
        <v>205</v>
      </c>
      <c r="B874" t="s">
        <v>1060</v>
      </c>
      <c r="C874" t="s">
        <v>2495</v>
      </c>
      <c r="D874" t="s">
        <v>3930</v>
      </c>
      <c r="E874" t="s">
        <v>94</v>
      </c>
      <c r="F874">
        <v>3070194000</v>
      </c>
      <c r="G874">
        <v>21.390239999999999</v>
      </c>
      <c r="H874" t="s">
        <v>102</v>
      </c>
      <c r="I874">
        <v>65672186506.559998</v>
      </c>
      <c r="J874" t="s">
        <v>205</v>
      </c>
      <c r="K874">
        <v>84911052.958103105</v>
      </c>
      <c r="L874">
        <v>1</v>
      </c>
      <c r="M874" t="s">
        <v>4536</v>
      </c>
      <c r="O874" t="s">
        <v>207</v>
      </c>
      <c r="Q874" t="s">
        <v>207</v>
      </c>
      <c r="R874" t="s">
        <v>207</v>
      </c>
      <c r="S874" t="s">
        <v>207</v>
      </c>
      <c r="T874" t="s">
        <v>207</v>
      </c>
      <c r="U874" t="s">
        <v>207</v>
      </c>
      <c r="V874" t="s">
        <v>207</v>
      </c>
      <c r="W874" t="s">
        <v>207</v>
      </c>
      <c r="X874" t="s">
        <v>207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210</v>
      </c>
      <c r="BA874">
        <v>65672186506.559998</v>
      </c>
      <c r="BB874" t="s">
        <v>4572</v>
      </c>
      <c r="BC874" t="s">
        <v>4536</v>
      </c>
    </row>
    <row r="875" spans="1:55" x14ac:dyDescent="0.25">
      <c r="A875">
        <v>411</v>
      </c>
      <c r="B875" t="s">
        <v>1061</v>
      </c>
      <c r="C875" t="s">
        <v>2496</v>
      </c>
      <c r="D875" t="s">
        <v>3931</v>
      </c>
      <c r="E875" t="s">
        <v>97</v>
      </c>
      <c r="F875">
        <v>391213070</v>
      </c>
      <c r="G875">
        <v>83.792609999999996</v>
      </c>
      <c r="H875" t="s">
        <v>104</v>
      </c>
      <c r="I875">
        <v>32780764201.412701</v>
      </c>
      <c r="J875" t="s">
        <v>202</v>
      </c>
      <c r="K875">
        <v>158567647.47459799</v>
      </c>
      <c r="L875">
        <v>1</v>
      </c>
      <c r="M875" t="s">
        <v>4536</v>
      </c>
      <c r="O875" t="s">
        <v>207</v>
      </c>
      <c r="Q875" t="s">
        <v>207</v>
      </c>
      <c r="R875" t="s">
        <v>207</v>
      </c>
      <c r="S875" t="s">
        <v>207</v>
      </c>
      <c r="T875" t="s">
        <v>207</v>
      </c>
      <c r="U875" t="s">
        <v>207</v>
      </c>
      <c r="V875" t="s">
        <v>207</v>
      </c>
      <c r="W875" t="s">
        <v>207</v>
      </c>
      <c r="X875" t="s">
        <v>207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208</v>
      </c>
      <c r="BA875">
        <v>32780764201.412701</v>
      </c>
      <c r="BB875" t="s">
        <v>4572</v>
      </c>
      <c r="BC875" t="s">
        <v>4536</v>
      </c>
    </row>
    <row r="876" spans="1:55" x14ac:dyDescent="0.25">
      <c r="A876">
        <v>607</v>
      </c>
      <c r="B876" t="s">
        <v>1062</v>
      </c>
      <c r="C876" t="s">
        <v>2497</v>
      </c>
      <c r="D876" t="s">
        <v>3932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202</v>
      </c>
      <c r="K876">
        <v>200187800.59552699</v>
      </c>
      <c r="L876">
        <v>1</v>
      </c>
      <c r="M876" t="s">
        <v>4536</v>
      </c>
      <c r="O876" t="s">
        <v>207</v>
      </c>
      <c r="Q876" t="s">
        <v>207</v>
      </c>
      <c r="R876" t="s">
        <v>207</v>
      </c>
      <c r="S876" t="s">
        <v>207</v>
      </c>
      <c r="T876" t="s">
        <v>207</v>
      </c>
      <c r="U876" t="s">
        <v>207</v>
      </c>
      <c r="V876" t="s">
        <v>207</v>
      </c>
      <c r="W876" t="s">
        <v>207</v>
      </c>
      <c r="X876" t="s">
        <v>207</v>
      </c>
      <c r="AG876" t="s">
        <v>4546</v>
      </c>
      <c r="AH876" t="s">
        <v>4562</v>
      </c>
      <c r="AI876" t="s">
        <v>4565</v>
      </c>
      <c r="AJ876" t="s">
        <v>4566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208</v>
      </c>
      <c r="BA876">
        <v>20495742275.502998</v>
      </c>
      <c r="BB876" t="s">
        <v>4572</v>
      </c>
      <c r="BC876" t="s">
        <v>4578</v>
      </c>
    </row>
    <row r="877" spans="1:55" x14ac:dyDescent="0.25">
      <c r="A877">
        <v>239</v>
      </c>
      <c r="B877" t="s">
        <v>1063</v>
      </c>
      <c r="C877" t="s">
        <v>2498</v>
      </c>
      <c r="D877" t="s">
        <v>3933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204</v>
      </c>
      <c r="K877">
        <v>79608563.527046993</v>
      </c>
      <c r="L877">
        <v>1</v>
      </c>
      <c r="M877" t="s">
        <v>4536</v>
      </c>
      <c r="O877" t="s">
        <v>207</v>
      </c>
      <c r="Q877" t="s">
        <v>207</v>
      </c>
      <c r="R877" t="s">
        <v>207</v>
      </c>
      <c r="S877" t="s">
        <v>207</v>
      </c>
      <c r="T877" t="s">
        <v>207</v>
      </c>
      <c r="U877" t="s">
        <v>207</v>
      </c>
      <c r="V877" t="s">
        <v>207</v>
      </c>
      <c r="W877" t="s">
        <v>207</v>
      </c>
      <c r="X877" t="s">
        <v>207</v>
      </c>
      <c r="AK877">
        <v>0</v>
      </c>
      <c r="AL877">
        <v>0.35399999999999998</v>
      </c>
      <c r="AM877">
        <v>3.2000000000000002E-3</v>
      </c>
      <c r="AO877" t="s">
        <v>4568</v>
      </c>
      <c r="AP877" t="s">
        <v>4569</v>
      </c>
      <c r="AQ877">
        <v>0</v>
      </c>
      <c r="AR877">
        <v>0</v>
      </c>
      <c r="AW877">
        <v>6510</v>
      </c>
      <c r="AX877">
        <v>1.9239999999999999</v>
      </c>
      <c r="AY877" t="s">
        <v>209</v>
      </c>
      <c r="AZ877" t="s">
        <v>4571</v>
      </c>
      <c r="BA877">
        <v>56671873918.667</v>
      </c>
      <c r="BB877" t="s">
        <v>4572</v>
      </c>
      <c r="BC877" t="s">
        <v>4611</v>
      </c>
    </row>
    <row r="878" spans="1:55" x14ac:dyDescent="0.25">
      <c r="A878">
        <v>1194</v>
      </c>
      <c r="B878" t="s">
        <v>1064</v>
      </c>
      <c r="C878" t="s">
        <v>2499</v>
      </c>
      <c r="D878" t="s">
        <v>3934</v>
      </c>
      <c r="E878" t="s">
        <v>92</v>
      </c>
      <c r="F878">
        <v>969613830</v>
      </c>
      <c r="G878">
        <v>25.42</v>
      </c>
      <c r="H878" t="s">
        <v>99</v>
      </c>
      <c r="I878">
        <v>24647583558.599998</v>
      </c>
      <c r="J878" t="s">
        <v>203</v>
      </c>
      <c r="K878">
        <v>6509316.3653968303</v>
      </c>
      <c r="L878">
        <v>0.15</v>
      </c>
      <c r="M878" t="s">
        <v>4536</v>
      </c>
      <c r="N878" t="s">
        <v>4537</v>
      </c>
      <c r="O878" t="s">
        <v>207</v>
      </c>
      <c r="Q878" t="s">
        <v>207</v>
      </c>
      <c r="R878" t="s">
        <v>207</v>
      </c>
      <c r="S878" t="s">
        <v>207</v>
      </c>
      <c r="T878" t="s">
        <v>207</v>
      </c>
      <c r="U878" t="s">
        <v>207</v>
      </c>
      <c r="V878" t="s">
        <v>207</v>
      </c>
      <c r="W878" t="s">
        <v>207</v>
      </c>
      <c r="X878" t="s">
        <v>207</v>
      </c>
      <c r="AK878">
        <v>0</v>
      </c>
      <c r="AL878">
        <v>0.84899999999999998</v>
      </c>
      <c r="AM878">
        <v>0.1855</v>
      </c>
      <c r="AO878" t="s">
        <v>4568</v>
      </c>
      <c r="AP878" t="s">
        <v>4569</v>
      </c>
      <c r="AQ878">
        <v>0</v>
      </c>
      <c r="AR878">
        <v>0</v>
      </c>
      <c r="AW878">
        <v>6510</v>
      </c>
      <c r="AX878">
        <v>2.85</v>
      </c>
      <c r="AY878" t="s">
        <v>209</v>
      </c>
      <c r="BA878">
        <v>3697137533.79</v>
      </c>
      <c r="BB878" t="s">
        <v>4572</v>
      </c>
      <c r="BC878" t="s">
        <v>4615</v>
      </c>
    </row>
    <row r="879" spans="1:55" x14ac:dyDescent="0.25">
      <c r="A879">
        <v>354</v>
      </c>
      <c r="B879" t="s">
        <v>1065</v>
      </c>
      <c r="C879" t="s">
        <v>2500</v>
      </c>
      <c r="D879" t="s">
        <v>3935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204</v>
      </c>
      <c r="K879">
        <v>81343299.2132736</v>
      </c>
      <c r="L879">
        <v>0.9</v>
      </c>
      <c r="M879" t="s">
        <v>4536</v>
      </c>
      <c r="O879" t="s">
        <v>207</v>
      </c>
      <c r="Q879" t="s">
        <v>207</v>
      </c>
      <c r="R879" t="s">
        <v>207</v>
      </c>
      <c r="S879" t="s">
        <v>207</v>
      </c>
      <c r="T879" t="s">
        <v>207</v>
      </c>
      <c r="U879" t="s">
        <v>207</v>
      </c>
      <c r="V879" t="s">
        <v>207</v>
      </c>
      <c r="W879" t="s">
        <v>207</v>
      </c>
      <c r="X879" t="s">
        <v>207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209</v>
      </c>
      <c r="BA879">
        <v>39614315343.129013</v>
      </c>
      <c r="BB879" t="s">
        <v>4572</v>
      </c>
      <c r="BC879" t="s">
        <v>4536</v>
      </c>
    </row>
    <row r="880" spans="1:55" x14ac:dyDescent="0.25">
      <c r="A880">
        <v>498</v>
      </c>
      <c r="B880" t="s">
        <v>1066</v>
      </c>
      <c r="C880" t="s">
        <v>2501</v>
      </c>
      <c r="D880" t="s">
        <v>3936</v>
      </c>
      <c r="E880" t="s">
        <v>93</v>
      </c>
      <c r="F880">
        <v>272849850</v>
      </c>
      <c r="G880">
        <v>96.664860000000004</v>
      </c>
      <c r="H880" t="s">
        <v>101</v>
      </c>
      <c r="I880">
        <v>26374992551.271</v>
      </c>
      <c r="J880" t="s">
        <v>205</v>
      </c>
      <c r="K880">
        <v>84508284.007761896</v>
      </c>
      <c r="L880">
        <v>1</v>
      </c>
      <c r="M880" t="s">
        <v>4536</v>
      </c>
      <c r="O880" t="s">
        <v>207</v>
      </c>
      <c r="Q880" t="s">
        <v>207</v>
      </c>
      <c r="R880" t="s">
        <v>207</v>
      </c>
      <c r="S880" t="s">
        <v>207</v>
      </c>
      <c r="T880" t="s">
        <v>207</v>
      </c>
      <c r="U880" t="s">
        <v>207</v>
      </c>
      <c r="V880" t="s">
        <v>207</v>
      </c>
      <c r="W880" t="s">
        <v>207</v>
      </c>
      <c r="X880" t="s">
        <v>207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210</v>
      </c>
      <c r="BA880">
        <v>26374992551.271</v>
      </c>
      <c r="BB880" t="s">
        <v>4572</v>
      </c>
      <c r="BC880" t="s">
        <v>4536</v>
      </c>
    </row>
    <row r="881" spans="1:55" x14ac:dyDescent="0.25">
      <c r="A881">
        <v>927</v>
      </c>
      <c r="B881" t="s">
        <v>1067</v>
      </c>
      <c r="C881" t="s">
        <v>2502</v>
      </c>
      <c r="D881" t="s">
        <v>3937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203</v>
      </c>
      <c r="K881">
        <v>11384093.309016399</v>
      </c>
      <c r="L881">
        <v>0.55000000000000004</v>
      </c>
      <c r="O881" t="s">
        <v>207</v>
      </c>
      <c r="Q881" t="s">
        <v>207</v>
      </c>
      <c r="R881" t="s">
        <v>207</v>
      </c>
      <c r="S881" t="s">
        <v>207</v>
      </c>
      <c r="T881" t="s">
        <v>207</v>
      </c>
      <c r="U881" t="s">
        <v>207</v>
      </c>
      <c r="V881" t="s">
        <v>207</v>
      </c>
      <c r="W881" t="s">
        <v>207</v>
      </c>
      <c r="X881" t="s">
        <v>207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209</v>
      </c>
      <c r="BA881">
        <v>7457835000.000001</v>
      </c>
      <c r="BB881" t="s">
        <v>211</v>
      </c>
    </row>
    <row r="882" spans="1:55" x14ac:dyDescent="0.25">
      <c r="A882">
        <v>1187</v>
      </c>
      <c r="B882" t="s">
        <v>1068</v>
      </c>
      <c r="C882" t="s">
        <v>2503</v>
      </c>
      <c r="D882" t="s">
        <v>3938</v>
      </c>
      <c r="E882" t="s">
        <v>4528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203</v>
      </c>
      <c r="K882">
        <v>27715593.922542401</v>
      </c>
      <c r="L882">
        <v>0.55000000000000004</v>
      </c>
      <c r="M882" t="s">
        <v>4536</v>
      </c>
      <c r="O882" t="s">
        <v>207</v>
      </c>
      <c r="Q882" t="s">
        <v>207</v>
      </c>
      <c r="R882" t="s">
        <v>207</v>
      </c>
      <c r="S882" t="s">
        <v>207</v>
      </c>
      <c r="T882" t="s">
        <v>207</v>
      </c>
      <c r="U882" t="s">
        <v>207</v>
      </c>
      <c r="V882" t="s">
        <v>207</v>
      </c>
      <c r="W882" t="s">
        <v>207</v>
      </c>
      <c r="X882" t="s">
        <v>207</v>
      </c>
      <c r="AG882" t="s">
        <v>4546</v>
      </c>
      <c r="AH882" t="s">
        <v>4564</v>
      </c>
      <c r="AI882" t="s">
        <v>4565</v>
      </c>
      <c r="AJ882" t="s">
        <v>4566</v>
      </c>
      <c r="AK882">
        <v>0</v>
      </c>
      <c r="AL882">
        <v>0.628</v>
      </c>
      <c r="AM882">
        <v>0.01</v>
      </c>
      <c r="AO882" t="s">
        <v>4568</v>
      </c>
      <c r="AP882" t="s">
        <v>4569</v>
      </c>
      <c r="AQ882">
        <v>0</v>
      </c>
      <c r="AR882">
        <v>0.01</v>
      </c>
      <c r="AW882">
        <v>6010</v>
      </c>
      <c r="AX882">
        <v>2.9350000000000001</v>
      </c>
      <c r="AY882" t="s">
        <v>209</v>
      </c>
      <c r="BA882">
        <v>3785595310.684</v>
      </c>
      <c r="BB882" t="s">
        <v>4572</v>
      </c>
      <c r="BC882" t="s">
        <v>4642</v>
      </c>
    </row>
    <row r="883" spans="1:55" x14ac:dyDescent="0.25">
      <c r="A883">
        <v>33</v>
      </c>
      <c r="B883" t="s">
        <v>1069</v>
      </c>
      <c r="C883" t="s">
        <v>2504</v>
      </c>
      <c r="D883" t="s">
        <v>3939</v>
      </c>
      <c r="E883" t="s">
        <v>95</v>
      </c>
      <c r="F883">
        <v>2620000000</v>
      </c>
      <c r="G883">
        <v>90.485759999999999</v>
      </c>
      <c r="H883" t="s">
        <v>103</v>
      </c>
      <c r="I883">
        <v>237072691200</v>
      </c>
      <c r="J883" t="s">
        <v>204</v>
      </c>
      <c r="K883">
        <v>395799404.31295902</v>
      </c>
      <c r="L883">
        <v>1</v>
      </c>
      <c r="O883" t="s">
        <v>207</v>
      </c>
      <c r="Q883" t="s">
        <v>207</v>
      </c>
      <c r="R883" t="s">
        <v>207</v>
      </c>
      <c r="S883" t="s">
        <v>207</v>
      </c>
      <c r="T883" t="s">
        <v>207</v>
      </c>
      <c r="U883" t="s">
        <v>207</v>
      </c>
      <c r="V883" t="s">
        <v>207</v>
      </c>
      <c r="W883" t="s">
        <v>207</v>
      </c>
      <c r="X883" t="s">
        <v>207</v>
      </c>
      <c r="AG883" t="s">
        <v>4546</v>
      </c>
      <c r="AH883" t="s">
        <v>4564</v>
      </c>
      <c r="AI883" t="s">
        <v>4565</v>
      </c>
      <c r="AJ883" t="s">
        <v>4566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209</v>
      </c>
      <c r="BA883">
        <v>237072691200</v>
      </c>
      <c r="BB883" t="s">
        <v>4572</v>
      </c>
      <c r="BC883" t="s">
        <v>4581</v>
      </c>
    </row>
    <row r="884" spans="1:55" x14ac:dyDescent="0.25">
      <c r="A884">
        <v>530</v>
      </c>
      <c r="B884" t="s">
        <v>1070</v>
      </c>
      <c r="C884" t="s">
        <v>2505</v>
      </c>
      <c r="D884" t="s">
        <v>3940</v>
      </c>
      <c r="E884" t="s">
        <v>90</v>
      </c>
      <c r="F884">
        <v>203306430</v>
      </c>
      <c r="G884">
        <v>119.0531</v>
      </c>
      <c r="H884" t="s">
        <v>98</v>
      </c>
      <c r="I884">
        <v>24204260741.432999</v>
      </c>
      <c r="J884" t="s">
        <v>202</v>
      </c>
      <c r="K884">
        <v>196766215.776548</v>
      </c>
      <c r="L884">
        <v>1</v>
      </c>
      <c r="O884" t="s">
        <v>207</v>
      </c>
      <c r="Q884" t="s">
        <v>207</v>
      </c>
      <c r="R884" t="s">
        <v>207</v>
      </c>
      <c r="S884" t="s">
        <v>207</v>
      </c>
      <c r="T884" t="s">
        <v>207</v>
      </c>
      <c r="U884" t="s">
        <v>207</v>
      </c>
      <c r="V884" t="s">
        <v>207</v>
      </c>
      <c r="W884" t="s">
        <v>207</v>
      </c>
      <c r="X884" t="s">
        <v>207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208</v>
      </c>
      <c r="BA884">
        <v>24204260741.432999</v>
      </c>
      <c r="BB884" t="s">
        <v>211</v>
      </c>
    </row>
    <row r="885" spans="1:55" x14ac:dyDescent="0.25">
      <c r="A885">
        <v>17</v>
      </c>
      <c r="B885" t="s">
        <v>1071</v>
      </c>
      <c r="C885" t="s">
        <v>2506</v>
      </c>
      <c r="D885" t="s">
        <v>3941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202</v>
      </c>
      <c r="K885">
        <v>3225957891.2462301</v>
      </c>
      <c r="L885">
        <v>1</v>
      </c>
      <c r="M885" t="s">
        <v>4536</v>
      </c>
      <c r="O885" t="s">
        <v>207</v>
      </c>
      <c r="Q885" t="s">
        <v>207</v>
      </c>
      <c r="R885" t="s">
        <v>207</v>
      </c>
      <c r="S885" t="s">
        <v>207</v>
      </c>
      <c r="T885" t="s">
        <v>207</v>
      </c>
      <c r="U885" t="s">
        <v>207</v>
      </c>
      <c r="V885" t="s">
        <v>207</v>
      </c>
      <c r="W885" t="s">
        <v>207</v>
      </c>
      <c r="X885" t="s">
        <v>207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208</v>
      </c>
      <c r="BA885">
        <v>410429985926.01001</v>
      </c>
      <c r="BB885" t="s">
        <v>4572</v>
      </c>
      <c r="BC885" t="s">
        <v>4536</v>
      </c>
    </row>
    <row r="886" spans="1:55" x14ac:dyDescent="0.25">
      <c r="A886">
        <v>1461</v>
      </c>
      <c r="B886" t="s">
        <v>1072</v>
      </c>
      <c r="C886" t="s">
        <v>2507</v>
      </c>
      <c r="D886" t="s">
        <v>3942</v>
      </c>
      <c r="E886" t="s">
        <v>94</v>
      </c>
      <c r="F886">
        <v>244779390</v>
      </c>
      <c r="G886">
        <v>19.317070000000001</v>
      </c>
      <c r="H886" t="s">
        <v>102</v>
      </c>
      <c r="I886">
        <v>4728420611.1873007</v>
      </c>
      <c r="J886" t="s">
        <v>205</v>
      </c>
      <c r="K886">
        <v>6597189.2501101596</v>
      </c>
      <c r="L886">
        <v>0.45</v>
      </c>
      <c r="M886" t="s">
        <v>4536</v>
      </c>
      <c r="N886" t="s">
        <v>4537</v>
      </c>
      <c r="O886" t="s">
        <v>207</v>
      </c>
      <c r="Q886" t="s">
        <v>207</v>
      </c>
      <c r="R886" t="s">
        <v>207</v>
      </c>
      <c r="S886" t="s">
        <v>207</v>
      </c>
      <c r="T886" t="s">
        <v>207</v>
      </c>
      <c r="U886" t="s">
        <v>207</v>
      </c>
      <c r="V886" t="s">
        <v>207</v>
      </c>
      <c r="W886" t="s">
        <v>207</v>
      </c>
      <c r="X886" t="s">
        <v>207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210</v>
      </c>
      <c r="BA886">
        <v>2127789275.0342851</v>
      </c>
      <c r="BB886" t="s">
        <v>4572</v>
      </c>
      <c r="BC886" t="s">
        <v>4575</v>
      </c>
    </row>
    <row r="887" spans="1:55" x14ac:dyDescent="0.25">
      <c r="A887">
        <v>279</v>
      </c>
      <c r="B887" t="s">
        <v>1073</v>
      </c>
      <c r="C887" t="s">
        <v>2508</v>
      </c>
      <c r="D887" t="s">
        <v>3943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202</v>
      </c>
      <c r="K887">
        <v>388364760.23390597</v>
      </c>
      <c r="L887">
        <v>1</v>
      </c>
      <c r="M887" t="s">
        <v>4536</v>
      </c>
      <c r="O887" t="s">
        <v>207</v>
      </c>
      <c r="Q887" t="s">
        <v>207</v>
      </c>
      <c r="R887" t="s">
        <v>207</v>
      </c>
      <c r="S887" t="s">
        <v>207</v>
      </c>
      <c r="T887" t="s">
        <v>207</v>
      </c>
      <c r="U887" t="s">
        <v>207</v>
      </c>
      <c r="V887" t="s">
        <v>207</v>
      </c>
      <c r="W887" t="s">
        <v>207</v>
      </c>
      <c r="X887" t="s">
        <v>207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208</v>
      </c>
      <c r="BA887">
        <v>48857598427.974998</v>
      </c>
      <c r="BB887" t="s">
        <v>4572</v>
      </c>
      <c r="BC887" t="s">
        <v>4536</v>
      </c>
    </row>
    <row r="888" spans="1:55" x14ac:dyDescent="0.25">
      <c r="A888">
        <v>1429</v>
      </c>
      <c r="B888" t="s">
        <v>1074</v>
      </c>
      <c r="C888" t="s">
        <v>2509</v>
      </c>
      <c r="D888" t="s">
        <v>3944</v>
      </c>
      <c r="E888" t="s">
        <v>4517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4535</v>
      </c>
      <c r="K888">
        <v>27943663.9022213</v>
      </c>
      <c r="L888">
        <v>0.4</v>
      </c>
      <c r="M888" t="s">
        <v>4536</v>
      </c>
      <c r="O888" t="s">
        <v>207</v>
      </c>
      <c r="Q888" t="s">
        <v>207</v>
      </c>
      <c r="R888" t="s">
        <v>207</v>
      </c>
      <c r="S888" t="s">
        <v>207</v>
      </c>
      <c r="T888" t="s">
        <v>207</v>
      </c>
      <c r="U888" t="s">
        <v>207</v>
      </c>
      <c r="V888" t="s">
        <v>207</v>
      </c>
      <c r="W888" t="s">
        <v>207</v>
      </c>
      <c r="X888" t="s">
        <v>207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209</v>
      </c>
      <c r="BA888">
        <v>2289633862.23</v>
      </c>
      <c r="BB888" t="s">
        <v>4572</v>
      </c>
      <c r="BC888" t="s">
        <v>4536</v>
      </c>
    </row>
    <row r="889" spans="1:55" x14ac:dyDescent="0.25">
      <c r="A889">
        <v>1105</v>
      </c>
      <c r="B889" t="s">
        <v>1075</v>
      </c>
      <c r="C889" t="s">
        <v>2510</v>
      </c>
      <c r="D889" t="s">
        <v>3945</v>
      </c>
      <c r="E889" t="s">
        <v>93</v>
      </c>
      <c r="F889">
        <v>842443400</v>
      </c>
      <c r="G889">
        <v>13.47808</v>
      </c>
      <c r="H889" t="s">
        <v>101</v>
      </c>
      <c r="I889">
        <v>11354519540.672001</v>
      </c>
      <c r="J889" t="s">
        <v>205</v>
      </c>
      <c r="K889">
        <v>32085546.537579902</v>
      </c>
      <c r="L889">
        <v>0.4</v>
      </c>
      <c r="M889" t="s">
        <v>4536</v>
      </c>
      <c r="O889" t="s">
        <v>207</v>
      </c>
      <c r="Q889" t="s">
        <v>207</v>
      </c>
      <c r="R889" t="s">
        <v>207</v>
      </c>
      <c r="S889" t="s">
        <v>207</v>
      </c>
      <c r="T889" t="s">
        <v>207</v>
      </c>
      <c r="U889" t="s">
        <v>207</v>
      </c>
      <c r="V889" t="s">
        <v>207</v>
      </c>
      <c r="W889" t="s">
        <v>207</v>
      </c>
      <c r="X889" t="s">
        <v>207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210</v>
      </c>
      <c r="BA889">
        <v>4541807816.2688007</v>
      </c>
      <c r="BB889" t="s">
        <v>4572</v>
      </c>
      <c r="BC889" t="s">
        <v>4536</v>
      </c>
    </row>
    <row r="890" spans="1:55" x14ac:dyDescent="0.25">
      <c r="A890">
        <v>773</v>
      </c>
      <c r="B890" t="s">
        <v>1076</v>
      </c>
      <c r="C890" t="s">
        <v>2511</v>
      </c>
      <c r="D890" t="s">
        <v>3946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204</v>
      </c>
      <c r="K890">
        <v>22701103.9734562</v>
      </c>
      <c r="L890">
        <v>0.9</v>
      </c>
      <c r="M890" t="s">
        <v>4536</v>
      </c>
      <c r="O890" t="s">
        <v>207</v>
      </c>
      <c r="Q890" t="s">
        <v>207</v>
      </c>
      <c r="R890" t="s">
        <v>207</v>
      </c>
      <c r="S890" t="s">
        <v>207</v>
      </c>
      <c r="T890" t="s">
        <v>207</v>
      </c>
      <c r="U890" t="s">
        <v>207</v>
      </c>
      <c r="V890" t="s">
        <v>207</v>
      </c>
      <c r="W890" t="s">
        <v>207</v>
      </c>
      <c r="X890" t="s">
        <v>207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209</v>
      </c>
      <c r="BA890">
        <v>13451411714.380199</v>
      </c>
      <c r="BB890" t="s">
        <v>4572</v>
      </c>
      <c r="BC890" t="s">
        <v>4536</v>
      </c>
    </row>
    <row r="891" spans="1:55" x14ac:dyDescent="0.25">
      <c r="A891">
        <v>1027</v>
      </c>
      <c r="B891" t="s">
        <v>1077</v>
      </c>
      <c r="C891" t="s">
        <v>2512</v>
      </c>
      <c r="D891" t="s">
        <v>3947</v>
      </c>
      <c r="E891" t="s">
        <v>94</v>
      </c>
      <c r="F891">
        <v>641277900</v>
      </c>
      <c r="G891">
        <v>8.8536579999999994</v>
      </c>
      <c r="H891" t="s">
        <v>102</v>
      </c>
      <c r="I891">
        <v>5677655209.5581999</v>
      </c>
      <c r="J891" t="s">
        <v>205</v>
      </c>
      <c r="K891">
        <v>16548719.0378846</v>
      </c>
      <c r="L891">
        <v>1</v>
      </c>
      <c r="M891" t="s">
        <v>4536</v>
      </c>
      <c r="O891" t="s">
        <v>207</v>
      </c>
      <c r="Q891" t="s">
        <v>207</v>
      </c>
      <c r="R891" t="s">
        <v>207</v>
      </c>
      <c r="S891" t="s">
        <v>207</v>
      </c>
      <c r="T891" t="s">
        <v>207</v>
      </c>
      <c r="U891" t="s">
        <v>207</v>
      </c>
      <c r="V891" t="s">
        <v>207</v>
      </c>
      <c r="W891" t="s">
        <v>207</v>
      </c>
      <c r="X891" t="s">
        <v>207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210</v>
      </c>
      <c r="BA891">
        <v>5677655209.5581999</v>
      </c>
      <c r="BB891" t="s">
        <v>4572</v>
      </c>
      <c r="BC891" t="s">
        <v>4536</v>
      </c>
    </row>
    <row r="892" spans="1:55" x14ac:dyDescent="0.25">
      <c r="A892">
        <v>81</v>
      </c>
      <c r="B892" t="s">
        <v>1078</v>
      </c>
      <c r="C892" t="s">
        <v>2513</v>
      </c>
      <c r="D892" t="s">
        <v>3948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202</v>
      </c>
      <c r="K892">
        <v>725523619.85869396</v>
      </c>
      <c r="L892">
        <v>1</v>
      </c>
      <c r="M892" t="s">
        <v>4536</v>
      </c>
      <c r="O892" t="s">
        <v>206</v>
      </c>
      <c r="Q892" t="s">
        <v>207</v>
      </c>
      <c r="R892" t="s">
        <v>207</v>
      </c>
      <c r="S892" t="s">
        <v>207</v>
      </c>
      <c r="T892" t="s">
        <v>207</v>
      </c>
      <c r="U892" t="s">
        <v>207</v>
      </c>
      <c r="V892" t="s">
        <v>207</v>
      </c>
      <c r="W892" t="s">
        <v>207</v>
      </c>
      <c r="X892" t="s">
        <v>207</v>
      </c>
      <c r="AK892">
        <v>1.9E-3</v>
      </c>
      <c r="AL892">
        <v>0.48599999999999999</v>
      </c>
      <c r="AM892">
        <v>0.43509999999999999</v>
      </c>
      <c r="AN892" t="s">
        <v>4567</v>
      </c>
      <c r="AO892" t="s">
        <v>4568</v>
      </c>
      <c r="AP892" t="s">
        <v>4569</v>
      </c>
      <c r="AQ892">
        <v>0</v>
      </c>
      <c r="AR892">
        <v>0</v>
      </c>
      <c r="AW892">
        <v>6510</v>
      </c>
      <c r="AX892">
        <v>2.1659999999999999</v>
      </c>
      <c r="AY892" t="s">
        <v>208</v>
      </c>
      <c r="BA892">
        <v>140834003922.04001</v>
      </c>
      <c r="BB892" t="s">
        <v>4572</v>
      </c>
      <c r="BC892" t="s">
        <v>4576</v>
      </c>
    </row>
    <row r="893" spans="1:55" x14ac:dyDescent="0.25">
      <c r="A893">
        <v>1308</v>
      </c>
      <c r="B893" t="s">
        <v>1079</v>
      </c>
      <c r="C893" t="s">
        <v>2514</v>
      </c>
      <c r="D893" t="s">
        <v>3949</v>
      </c>
      <c r="E893" t="s">
        <v>93</v>
      </c>
      <c r="F893">
        <v>297957000</v>
      </c>
      <c r="G893">
        <v>11.962400000000001</v>
      </c>
      <c r="H893" t="s">
        <v>101</v>
      </c>
      <c r="I893">
        <v>3564280816.8000002</v>
      </c>
      <c r="J893" t="s">
        <v>205</v>
      </c>
      <c r="K893">
        <v>9003335.3189058192</v>
      </c>
      <c r="L893">
        <v>0.85</v>
      </c>
      <c r="M893" t="s">
        <v>4536</v>
      </c>
      <c r="N893" t="s">
        <v>4537</v>
      </c>
      <c r="O893" t="s">
        <v>207</v>
      </c>
      <c r="Q893" t="s">
        <v>207</v>
      </c>
      <c r="R893" t="s">
        <v>207</v>
      </c>
      <c r="S893" t="s">
        <v>207</v>
      </c>
      <c r="T893" t="s">
        <v>207</v>
      </c>
      <c r="U893" t="s">
        <v>207</v>
      </c>
      <c r="V893" t="s">
        <v>207</v>
      </c>
      <c r="W893" t="s">
        <v>207</v>
      </c>
      <c r="X893" t="s">
        <v>207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210</v>
      </c>
      <c r="BA893">
        <v>3029638694.2800002</v>
      </c>
      <c r="BB893" t="s">
        <v>4572</v>
      </c>
      <c r="BC893" t="s">
        <v>4575</v>
      </c>
    </row>
    <row r="894" spans="1:55" x14ac:dyDescent="0.25">
      <c r="A894">
        <v>1328</v>
      </c>
      <c r="B894" t="s">
        <v>1080</v>
      </c>
      <c r="C894" t="s">
        <v>2515</v>
      </c>
      <c r="D894" t="s">
        <v>3950</v>
      </c>
      <c r="E894" t="s">
        <v>93</v>
      </c>
      <c r="F894">
        <v>102958900</v>
      </c>
      <c r="G894">
        <v>28.657309999999999</v>
      </c>
      <c r="H894" t="s">
        <v>101</v>
      </c>
      <c r="I894">
        <v>2950525114.559</v>
      </c>
      <c r="J894" t="s">
        <v>205</v>
      </c>
      <c r="K894">
        <v>12741393.808157001</v>
      </c>
      <c r="L894">
        <v>1</v>
      </c>
      <c r="M894" t="s">
        <v>4536</v>
      </c>
      <c r="O894" t="s">
        <v>207</v>
      </c>
      <c r="Q894" t="s">
        <v>207</v>
      </c>
      <c r="R894" t="s">
        <v>207</v>
      </c>
      <c r="S894" t="s">
        <v>207</v>
      </c>
      <c r="T894" t="s">
        <v>207</v>
      </c>
      <c r="U894" t="s">
        <v>207</v>
      </c>
      <c r="V894" t="s">
        <v>207</v>
      </c>
      <c r="W894" t="s">
        <v>207</v>
      </c>
      <c r="X894" t="s">
        <v>207</v>
      </c>
      <c r="AG894" t="s">
        <v>4549</v>
      </c>
      <c r="AH894" t="s">
        <v>4564</v>
      </c>
      <c r="AI894" t="s">
        <v>4565</v>
      </c>
      <c r="AJ894" t="s">
        <v>4566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210</v>
      </c>
      <c r="BA894">
        <v>2950525114.559</v>
      </c>
      <c r="BB894" t="s">
        <v>4572</v>
      </c>
      <c r="BC894" t="s">
        <v>4578</v>
      </c>
    </row>
    <row r="895" spans="1:55" x14ac:dyDescent="0.25">
      <c r="A895">
        <v>975</v>
      </c>
      <c r="B895" t="s">
        <v>1081</v>
      </c>
      <c r="C895" t="s">
        <v>2516</v>
      </c>
      <c r="D895" t="s">
        <v>3951</v>
      </c>
      <c r="E895" t="s">
        <v>4519</v>
      </c>
      <c r="F895">
        <v>1782936200</v>
      </c>
      <c r="G895">
        <v>3.637251</v>
      </c>
      <c r="H895" t="s">
        <v>4530</v>
      </c>
      <c r="I895">
        <v>6484986476.3862</v>
      </c>
      <c r="J895" t="s">
        <v>204</v>
      </c>
      <c r="K895">
        <v>32390200.2197248</v>
      </c>
      <c r="L895">
        <v>1</v>
      </c>
      <c r="M895" t="s">
        <v>4536</v>
      </c>
      <c r="O895" t="s">
        <v>207</v>
      </c>
      <c r="Q895" t="s">
        <v>207</v>
      </c>
      <c r="R895" t="s">
        <v>207</v>
      </c>
      <c r="S895" t="s">
        <v>207</v>
      </c>
      <c r="T895" t="s">
        <v>207</v>
      </c>
      <c r="U895" t="s">
        <v>207</v>
      </c>
      <c r="V895" t="s">
        <v>207</v>
      </c>
      <c r="W895" t="s">
        <v>207</v>
      </c>
      <c r="X895" t="s">
        <v>207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209</v>
      </c>
      <c r="BA895">
        <v>6484986476.3862</v>
      </c>
      <c r="BB895" t="s">
        <v>4572</v>
      </c>
      <c r="BC895" t="s">
        <v>4536</v>
      </c>
    </row>
    <row r="896" spans="1:55" x14ac:dyDescent="0.25">
      <c r="A896">
        <v>1349</v>
      </c>
      <c r="B896" t="s">
        <v>1082</v>
      </c>
      <c r="C896" t="s">
        <v>2517</v>
      </c>
      <c r="D896" t="s">
        <v>3952</v>
      </c>
      <c r="E896" t="s">
        <v>93</v>
      </c>
      <c r="F896">
        <v>128464870</v>
      </c>
      <c r="G896">
        <v>22.274809999999999</v>
      </c>
      <c r="H896" t="s">
        <v>101</v>
      </c>
      <c r="I896">
        <v>2861530570.9246998</v>
      </c>
      <c r="J896" t="s">
        <v>205</v>
      </c>
      <c r="K896">
        <v>13366477.126640201</v>
      </c>
      <c r="L896">
        <v>1</v>
      </c>
      <c r="M896" t="s">
        <v>4536</v>
      </c>
      <c r="O896" t="s">
        <v>207</v>
      </c>
      <c r="Q896" t="s">
        <v>207</v>
      </c>
      <c r="R896" t="s">
        <v>207</v>
      </c>
      <c r="S896" t="s">
        <v>207</v>
      </c>
      <c r="T896" t="s">
        <v>207</v>
      </c>
      <c r="U896" t="s">
        <v>207</v>
      </c>
      <c r="V896" t="s">
        <v>207</v>
      </c>
      <c r="W896" t="s">
        <v>207</v>
      </c>
      <c r="X896" t="s">
        <v>207</v>
      </c>
      <c r="AG896" t="s">
        <v>4554</v>
      </c>
      <c r="AH896" t="s">
        <v>4562</v>
      </c>
      <c r="AI896" t="s">
        <v>4565</v>
      </c>
      <c r="AJ896" t="s">
        <v>4566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210</v>
      </c>
      <c r="AZ896" t="s">
        <v>4571</v>
      </c>
      <c r="BA896">
        <v>2861530570.9246998</v>
      </c>
      <c r="BB896" t="s">
        <v>4572</v>
      </c>
      <c r="BC896" t="s">
        <v>4588</v>
      </c>
    </row>
    <row r="897" spans="1:55" x14ac:dyDescent="0.25">
      <c r="A897">
        <v>637</v>
      </c>
      <c r="B897" t="s">
        <v>1083</v>
      </c>
      <c r="C897" t="s">
        <v>2518</v>
      </c>
      <c r="D897" t="s">
        <v>3953</v>
      </c>
      <c r="E897" t="s">
        <v>93</v>
      </c>
      <c r="F897">
        <v>1192569000</v>
      </c>
      <c r="G897">
        <v>18.044319999999999</v>
      </c>
      <c r="H897" t="s">
        <v>101</v>
      </c>
      <c r="I897">
        <v>21519096658.080002</v>
      </c>
      <c r="J897" t="s">
        <v>205</v>
      </c>
      <c r="K897">
        <v>82145599.538291603</v>
      </c>
      <c r="L897">
        <v>0.9</v>
      </c>
      <c r="O897" t="s">
        <v>207</v>
      </c>
      <c r="Q897" t="s">
        <v>207</v>
      </c>
      <c r="R897" t="s">
        <v>207</v>
      </c>
      <c r="S897" t="s">
        <v>207</v>
      </c>
      <c r="T897" t="s">
        <v>207</v>
      </c>
      <c r="U897" t="s">
        <v>207</v>
      </c>
      <c r="V897" t="s">
        <v>207</v>
      </c>
      <c r="W897" t="s">
        <v>207</v>
      </c>
      <c r="X897" t="s">
        <v>207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210</v>
      </c>
      <c r="BA897">
        <v>19367186992.271999</v>
      </c>
      <c r="BB897" t="s">
        <v>211</v>
      </c>
    </row>
    <row r="898" spans="1:55" x14ac:dyDescent="0.25">
      <c r="A898">
        <v>1428</v>
      </c>
      <c r="B898" t="s">
        <v>1084</v>
      </c>
      <c r="C898" t="s">
        <v>2519</v>
      </c>
      <c r="D898" t="s">
        <v>3954</v>
      </c>
      <c r="E898" t="s">
        <v>93</v>
      </c>
      <c r="F898">
        <v>170961960</v>
      </c>
      <c r="G898">
        <v>14.120810000000001</v>
      </c>
      <c r="H898" t="s">
        <v>101</v>
      </c>
      <c r="I898">
        <v>2414121354.3875999</v>
      </c>
      <c r="J898" t="s">
        <v>205</v>
      </c>
      <c r="K898">
        <v>6388591.7457474004</v>
      </c>
      <c r="L898">
        <v>0.95</v>
      </c>
      <c r="M898" t="s">
        <v>4536</v>
      </c>
      <c r="N898" t="s">
        <v>4537</v>
      </c>
      <c r="O898" t="s">
        <v>207</v>
      </c>
      <c r="Q898" t="s">
        <v>207</v>
      </c>
      <c r="R898" t="s">
        <v>207</v>
      </c>
      <c r="S898" t="s">
        <v>207</v>
      </c>
      <c r="T898" t="s">
        <v>207</v>
      </c>
      <c r="U898" t="s">
        <v>207</v>
      </c>
      <c r="V898" t="s">
        <v>207</v>
      </c>
      <c r="W898" t="s">
        <v>207</v>
      </c>
      <c r="X898" t="s">
        <v>207</v>
      </c>
      <c r="AG898" t="s">
        <v>4546</v>
      </c>
      <c r="AH898" t="s">
        <v>4562</v>
      </c>
      <c r="AI898" t="s">
        <v>4565</v>
      </c>
      <c r="AJ898" t="s">
        <v>4566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210</v>
      </c>
      <c r="BA898">
        <v>2293415286.66822</v>
      </c>
      <c r="BB898" t="s">
        <v>4572</v>
      </c>
      <c r="BC898" t="s">
        <v>4592</v>
      </c>
    </row>
    <row r="899" spans="1:55" x14ac:dyDescent="0.25">
      <c r="A899">
        <v>141</v>
      </c>
      <c r="B899" t="s">
        <v>1085</v>
      </c>
      <c r="C899" t="s">
        <v>2520</v>
      </c>
      <c r="D899" t="s">
        <v>3955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202</v>
      </c>
      <c r="K899">
        <v>942412029.31449199</v>
      </c>
      <c r="L899">
        <v>1</v>
      </c>
      <c r="M899" t="s">
        <v>4536</v>
      </c>
      <c r="O899" t="s">
        <v>207</v>
      </c>
      <c r="Q899" t="s">
        <v>207</v>
      </c>
      <c r="R899" t="s">
        <v>207</v>
      </c>
      <c r="S899" t="s">
        <v>207</v>
      </c>
      <c r="T899" t="s">
        <v>207</v>
      </c>
      <c r="U899" t="s">
        <v>207</v>
      </c>
      <c r="V899" t="s">
        <v>207</v>
      </c>
      <c r="W899" t="s">
        <v>207</v>
      </c>
      <c r="X899" t="s">
        <v>207</v>
      </c>
      <c r="AG899" t="s">
        <v>4547</v>
      </c>
      <c r="AI899" t="s">
        <v>4565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208</v>
      </c>
      <c r="BA899">
        <v>86432127251.543015</v>
      </c>
      <c r="BB899" t="s">
        <v>4572</v>
      </c>
      <c r="BC899" t="s">
        <v>4597</v>
      </c>
    </row>
    <row r="900" spans="1:55" x14ac:dyDescent="0.25">
      <c r="A900">
        <v>1359</v>
      </c>
      <c r="B900" t="s">
        <v>1086</v>
      </c>
      <c r="C900" t="s">
        <v>2521</v>
      </c>
      <c r="D900" t="s">
        <v>3956</v>
      </c>
      <c r="E900" t="s">
        <v>93</v>
      </c>
      <c r="F900">
        <v>351476680</v>
      </c>
      <c r="G900">
        <v>9.8103809999999996</v>
      </c>
      <c r="H900" t="s">
        <v>101</v>
      </c>
      <c r="I900">
        <v>3448120143.4150801</v>
      </c>
      <c r="J900" t="s">
        <v>205</v>
      </c>
      <c r="K900">
        <v>18281159.142094899</v>
      </c>
      <c r="L900">
        <v>0.8</v>
      </c>
      <c r="M900" t="s">
        <v>4536</v>
      </c>
      <c r="O900" t="s">
        <v>207</v>
      </c>
      <c r="Q900" t="s">
        <v>207</v>
      </c>
      <c r="R900" t="s">
        <v>207</v>
      </c>
      <c r="S900" t="s">
        <v>207</v>
      </c>
      <c r="T900" t="s">
        <v>207</v>
      </c>
      <c r="U900" t="s">
        <v>207</v>
      </c>
      <c r="V900" t="s">
        <v>207</v>
      </c>
      <c r="W900" t="s">
        <v>207</v>
      </c>
      <c r="X900" t="s">
        <v>207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210</v>
      </c>
      <c r="BA900">
        <v>2758496114.7320638</v>
      </c>
      <c r="BB900" t="s">
        <v>4572</v>
      </c>
      <c r="BC900" t="s">
        <v>4536</v>
      </c>
    </row>
    <row r="901" spans="1:55" x14ac:dyDescent="0.25">
      <c r="A901">
        <v>145</v>
      </c>
      <c r="B901" t="s">
        <v>1087</v>
      </c>
      <c r="C901" t="s">
        <v>2522</v>
      </c>
      <c r="D901" t="s">
        <v>3957</v>
      </c>
      <c r="E901" t="s">
        <v>93</v>
      </c>
      <c r="F901">
        <v>1298690000</v>
      </c>
      <c r="G901">
        <v>73.258089999999996</v>
      </c>
      <c r="H901" t="s">
        <v>101</v>
      </c>
      <c r="I901">
        <v>95139548902.099991</v>
      </c>
      <c r="J901" t="s">
        <v>205</v>
      </c>
      <c r="K901">
        <v>332151967.043423</v>
      </c>
      <c r="L901">
        <v>0.9</v>
      </c>
      <c r="M901" t="s">
        <v>4536</v>
      </c>
      <c r="O901" t="s">
        <v>207</v>
      </c>
      <c r="Q901" t="s">
        <v>207</v>
      </c>
      <c r="R901" t="s">
        <v>207</v>
      </c>
      <c r="S901" t="s">
        <v>207</v>
      </c>
      <c r="T901" t="s">
        <v>207</v>
      </c>
      <c r="U901" t="s">
        <v>207</v>
      </c>
      <c r="V901" t="s">
        <v>207</v>
      </c>
      <c r="W901" t="s">
        <v>207</v>
      </c>
      <c r="X901" t="s">
        <v>207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210</v>
      </c>
      <c r="BA901">
        <v>85625594011.889999</v>
      </c>
      <c r="BB901" t="s">
        <v>4572</v>
      </c>
      <c r="BC901" t="s">
        <v>4536</v>
      </c>
    </row>
    <row r="902" spans="1:55" x14ac:dyDescent="0.25">
      <c r="A902">
        <v>1008</v>
      </c>
      <c r="B902" t="s">
        <v>1088</v>
      </c>
      <c r="C902" t="s">
        <v>2523</v>
      </c>
      <c r="D902" t="s">
        <v>3958</v>
      </c>
      <c r="E902" t="s">
        <v>93</v>
      </c>
      <c r="F902">
        <v>8504955</v>
      </c>
      <c r="G902">
        <v>778.30730000000005</v>
      </c>
      <c r="H902" t="s">
        <v>101</v>
      </c>
      <c r="I902">
        <v>6619468562.6715002</v>
      </c>
      <c r="J902" t="s">
        <v>205</v>
      </c>
      <c r="K902">
        <v>16010971.2212213</v>
      </c>
      <c r="L902">
        <v>0.9</v>
      </c>
      <c r="M902" t="s">
        <v>4536</v>
      </c>
      <c r="O902" t="s">
        <v>207</v>
      </c>
      <c r="Q902" t="s">
        <v>207</v>
      </c>
      <c r="R902" t="s">
        <v>207</v>
      </c>
      <c r="S902" t="s">
        <v>207</v>
      </c>
      <c r="T902" t="s">
        <v>207</v>
      </c>
      <c r="U902" t="s">
        <v>207</v>
      </c>
      <c r="V902" t="s">
        <v>207</v>
      </c>
      <c r="W902" t="s">
        <v>207</v>
      </c>
      <c r="X902" t="s">
        <v>207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210</v>
      </c>
      <c r="AZ902" t="s">
        <v>4571</v>
      </c>
      <c r="BA902">
        <v>5957521706.4043503</v>
      </c>
      <c r="BB902" t="s">
        <v>4572</v>
      </c>
      <c r="BC902" t="s">
        <v>4577</v>
      </c>
    </row>
    <row r="903" spans="1:55" x14ac:dyDescent="0.25">
      <c r="A903">
        <v>1142</v>
      </c>
      <c r="B903" t="s">
        <v>1089</v>
      </c>
      <c r="C903" t="s">
        <v>2524</v>
      </c>
      <c r="D903" t="s">
        <v>3959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205</v>
      </c>
      <c r="K903">
        <v>17851786.492446601</v>
      </c>
      <c r="L903">
        <v>0.95</v>
      </c>
      <c r="M903" t="s">
        <v>4536</v>
      </c>
      <c r="O903" t="s">
        <v>207</v>
      </c>
      <c r="Q903" t="s">
        <v>207</v>
      </c>
      <c r="R903" t="s">
        <v>207</v>
      </c>
      <c r="S903" t="s">
        <v>207</v>
      </c>
      <c r="T903" t="s">
        <v>207</v>
      </c>
      <c r="U903" t="s">
        <v>207</v>
      </c>
      <c r="V903" t="s">
        <v>207</v>
      </c>
      <c r="W903" t="s">
        <v>207</v>
      </c>
      <c r="X903" t="s">
        <v>207</v>
      </c>
      <c r="AK903">
        <v>0</v>
      </c>
      <c r="AL903">
        <v>0.1</v>
      </c>
      <c r="AM903">
        <v>0</v>
      </c>
      <c r="AO903" t="s">
        <v>4568</v>
      </c>
      <c r="AQ903">
        <v>0</v>
      </c>
      <c r="AR903">
        <v>0</v>
      </c>
      <c r="AW903">
        <v>5020</v>
      </c>
      <c r="AX903">
        <v>1.4790000000000001</v>
      </c>
      <c r="AY903" t="s">
        <v>210</v>
      </c>
      <c r="AZ903" t="s">
        <v>4571</v>
      </c>
      <c r="BA903">
        <v>4213240785</v>
      </c>
      <c r="BB903" t="s">
        <v>4572</v>
      </c>
      <c r="BC903" t="s">
        <v>4594</v>
      </c>
    </row>
    <row r="904" spans="1:55" x14ac:dyDescent="0.25">
      <c r="A904">
        <v>942</v>
      </c>
      <c r="B904" t="s">
        <v>1090</v>
      </c>
      <c r="C904" t="s">
        <v>2525</v>
      </c>
      <c r="D904" t="s">
        <v>3960</v>
      </c>
      <c r="E904" t="s">
        <v>93</v>
      </c>
      <c r="F904">
        <v>2370512200</v>
      </c>
      <c r="G904">
        <v>6.6670939999999996</v>
      </c>
      <c r="H904" t="s">
        <v>101</v>
      </c>
      <c r="I904">
        <v>15804427665.546801</v>
      </c>
      <c r="J904" t="s">
        <v>205</v>
      </c>
      <c r="K904">
        <v>16505257.620652201</v>
      </c>
      <c r="L904">
        <v>0.45</v>
      </c>
      <c r="M904" t="s">
        <v>4536</v>
      </c>
      <c r="O904" t="s">
        <v>207</v>
      </c>
      <c r="Q904" t="s">
        <v>207</v>
      </c>
      <c r="R904" t="s">
        <v>207</v>
      </c>
      <c r="S904" t="s">
        <v>207</v>
      </c>
      <c r="T904" t="s">
        <v>207</v>
      </c>
      <c r="U904" t="s">
        <v>207</v>
      </c>
      <c r="V904" t="s">
        <v>207</v>
      </c>
      <c r="W904" t="s">
        <v>207</v>
      </c>
      <c r="X904" t="s">
        <v>207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210</v>
      </c>
      <c r="BA904">
        <v>7111992449.4960594</v>
      </c>
      <c r="BB904" t="s">
        <v>4572</v>
      </c>
      <c r="BC904" t="s">
        <v>4536</v>
      </c>
    </row>
    <row r="905" spans="1:55" x14ac:dyDescent="0.25">
      <c r="A905">
        <v>1256</v>
      </c>
      <c r="B905" t="s">
        <v>1091</v>
      </c>
      <c r="C905" t="s">
        <v>2526</v>
      </c>
      <c r="D905" t="s">
        <v>3961</v>
      </c>
      <c r="E905" t="s">
        <v>93</v>
      </c>
      <c r="F905">
        <v>2838900</v>
      </c>
      <c r="G905">
        <v>1460.6849999999999</v>
      </c>
      <c r="H905" t="s">
        <v>101</v>
      </c>
      <c r="I905">
        <v>4146738646.5</v>
      </c>
      <c r="J905" t="s">
        <v>205</v>
      </c>
      <c r="K905">
        <v>15515289.3746907</v>
      </c>
      <c r="L905">
        <v>0.8</v>
      </c>
      <c r="M905" t="s">
        <v>4536</v>
      </c>
      <c r="O905" t="s">
        <v>207</v>
      </c>
      <c r="Q905" t="s">
        <v>207</v>
      </c>
      <c r="R905" t="s">
        <v>207</v>
      </c>
      <c r="S905" t="s">
        <v>207</v>
      </c>
      <c r="T905" t="s">
        <v>207</v>
      </c>
      <c r="U905" t="s">
        <v>207</v>
      </c>
      <c r="V905" t="s">
        <v>207</v>
      </c>
      <c r="W905" t="s">
        <v>207</v>
      </c>
      <c r="X905" t="s">
        <v>207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210</v>
      </c>
      <c r="AZ905" t="s">
        <v>4571</v>
      </c>
      <c r="BA905">
        <v>3317390917.1999998</v>
      </c>
      <c r="BB905" t="s">
        <v>4572</v>
      </c>
      <c r="BC905" t="s">
        <v>4577</v>
      </c>
    </row>
    <row r="906" spans="1:55" x14ac:dyDescent="0.25">
      <c r="A906">
        <v>546</v>
      </c>
      <c r="B906" t="s">
        <v>1092</v>
      </c>
      <c r="C906" t="s">
        <v>2527</v>
      </c>
      <c r="D906" t="s">
        <v>3962</v>
      </c>
      <c r="E906" t="s">
        <v>93</v>
      </c>
      <c r="F906">
        <v>1074726800</v>
      </c>
      <c r="G906">
        <v>21.513770000000001</v>
      </c>
      <c r="H906" t="s">
        <v>101</v>
      </c>
      <c r="I906">
        <v>23121425188.035999</v>
      </c>
      <c r="J906" t="s">
        <v>205</v>
      </c>
      <c r="K906">
        <v>77195435.447367802</v>
      </c>
      <c r="L906">
        <v>1</v>
      </c>
      <c r="M906" t="s">
        <v>4536</v>
      </c>
      <c r="O906" t="s">
        <v>206</v>
      </c>
      <c r="Q906" t="s">
        <v>207</v>
      </c>
      <c r="R906" t="s">
        <v>207</v>
      </c>
      <c r="S906" t="s">
        <v>207</v>
      </c>
      <c r="T906" t="s">
        <v>207</v>
      </c>
      <c r="U906" t="s">
        <v>207</v>
      </c>
      <c r="V906" t="s">
        <v>207</v>
      </c>
      <c r="W906" t="s">
        <v>207</v>
      </c>
      <c r="X906" t="s">
        <v>207</v>
      </c>
      <c r="AL906">
        <v>0.1</v>
      </c>
      <c r="AO906" t="s">
        <v>4568</v>
      </c>
      <c r="AQ906">
        <v>0</v>
      </c>
      <c r="AR906">
        <v>0</v>
      </c>
      <c r="AW906">
        <v>5510</v>
      </c>
      <c r="AX906">
        <v>2.35</v>
      </c>
      <c r="AY906" t="s">
        <v>210</v>
      </c>
      <c r="BA906">
        <v>23121425188.035999</v>
      </c>
      <c r="BB906" t="s">
        <v>4572</v>
      </c>
      <c r="BC906" t="s">
        <v>4582</v>
      </c>
    </row>
    <row r="907" spans="1:55" x14ac:dyDescent="0.25">
      <c r="A907">
        <v>268</v>
      </c>
      <c r="B907" t="s">
        <v>1093</v>
      </c>
      <c r="C907" t="s">
        <v>2528</v>
      </c>
      <c r="D907" t="s">
        <v>3963</v>
      </c>
      <c r="E907" t="s">
        <v>93</v>
      </c>
      <c r="F907">
        <v>90550310000</v>
      </c>
      <c r="G907">
        <v>0.94202680000000005</v>
      </c>
      <c r="H907" t="s">
        <v>101</v>
      </c>
      <c r="I907">
        <v>85300818768.307999</v>
      </c>
      <c r="J907" t="s">
        <v>205</v>
      </c>
      <c r="K907">
        <v>140348419.04063499</v>
      </c>
      <c r="L907">
        <v>0.6</v>
      </c>
      <c r="M907" t="s">
        <v>4536</v>
      </c>
      <c r="O907" t="s">
        <v>207</v>
      </c>
      <c r="Q907" t="s">
        <v>207</v>
      </c>
      <c r="R907" t="s">
        <v>207</v>
      </c>
      <c r="S907" t="s">
        <v>207</v>
      </c>
      <c r="T907" t="s">
        <v>207</v>
      </c>
      <c r="U907" t="s">
        <v>207</v>
      </c>
      <c r="V907" t="s">
        <v>207</v>
      </c>
      <c r="W907" t="s">
        <v>207</v>
      </c>
      <c r="X907" t="s">
        <v>207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210</v>
      </c>
      <c r="BA907">
        <v>51180491260.984787</v>
      </c>
      <c r="BB907" t="s">
        <v>4572</v>
      </c>
      <c r="BC907" t="s">
        <v>4536</v>
      </c>
    </row>
    <row r="908" spans="1:55" x14ac:dyDescent="0.25">
      <c r="A908">
        <v>1253</v>
      </c>
      <c r="B908" t="s">
        <v>1094</v>
      </c>
      <c r="C908" t="s">
        <v>2529</v>
      </c>
      <c r="D908" t="s">
        <v>3964</v>
      </c>
      <c r="E908" t="s">
        <v>93</v>
      </c>
      <c r="F908">
        <v>263822080</v>
      </c>
      <c r="G908">
        <v>18.057110000000002</v>
      </c>
      <c r="H908" t="s">
        <v>101</v>
      </c>
      <c r="I908">
        <v>4763864318.9888</v>
      </c>
      <c r="J908" t="s">
        <v>205</v>
      </c>
      <c r="K908">
        <v>9200636.4323477</v>
      </c>
      <c r="L908">
        <v>0.7</v>
      </c>
      <c r="M908" t="s">
        <v>4536</v>
      </c>
      <c r="N908" t="s">
        <v>4537</v>
      </c>
      <c r="O908" t="s">
        <v>207</v>
      </c>
      <c r="Q908" t="s">
        <v>207</v>
      </c>
      <c r="R908" t="s">
        <v>207</v>
      </c>
      <c r="S908" t="s">
        <v>207</v>
      </c>
      <c r="T908" t="s">
        <v>207</v>
      </c>
      <c r="U908" t="s">
        <v>207</v>
      </c>
      <c r="V908" t="s">
        <v>207</v>
      </c>
      <c r="W908" t="s">
        <v>207</v>
      </c>
      <c r="X908" t="s">
        <v>207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210</v>
      </c>
      <c r="BA908">
        <v>3334705023.29216</v>
      </c>
      <c r="BB908" t="s">
        <v>4572</v>
      </c>
      <c r="BC908" t="s">
        <v>4575</v>
      </c>
    </row>
    <row r="909" spans="1:55" x14ac:dyDescent="0.25">
      <c r="A909">
        <v>755</v>
      </c>
      <c r="B909" t="s">
        <v>1095</v>
      </c>
      <c r="C909" t="s">
        <v>2530</v>
      </c>
      <c r="D909" t="s">
        <v>3965</v>
      </c>
      <c r="E909" t="s">
        <v>93</v>
      </c>
      <c r="F909">
        <v>461000000</v>
      </c>
      <c r="G909">
        <v>33.159599999999998</v>
      </c>
      <c r="H909" t="s">
        <v>101</v>
      </c>
      <c r="I909">
        <v>15286575600</v>
      </c>
      <c r="J909" t="s">
        <v>205</v>
      </c>
      <c r="K909">
        <v>152526827.520933</v>
      </c>
      <c r="L909">
        <v>0.95</v>
      </c>
      <c r="M909" t="s">
        <v>4536</v>
      </c>
      <c r="O909" t="s">
        <v>207</v>
      </c>
      <c r="Q909" t="s">
        <v>207</v>
      </c>
      <c r="R909" t="s">
        <v>207</v>
      </c>
      <c r="S909" t="s">
        <v>207</v>
      </c>
      <c r="T909" t="s">
        <v>207</v>
      </c>
      <c r="U909" t="s">
        <v>207</v>
      </c>
      <c r="V909" t="s">
        <v>207</v>
      </c>
      <c r="W909" t="s">
        <v>207</v>
      </c>
      <c r="X909" t="s">
        <v>207</v>
      </c>
      <c r="AK909">
        <v>0</v>
      </c>
      <c r="AL909">
        <v>0.2</v>
      </c>
      <c r="AM909">
        <v>0</v>
      </c>
      <c r="AO909" t="s">
        <v>4568</v>
      </c>
      <c r="AQ909">
        <v>0</v>
      </c>
      <c r="AR909">
        <v>0.01</v>
      </c>
      <c r="AW909">
        <v>5020</v>
      </c>
      <c r="AX909">
        <v>1.6120000000000001</v>
      </c>
      <c r="AY909" t="s">
        <v>210</v>
      </c>
      <c r="AZ909" t="s">
        <v>4571</v>
      </c>
      <c r="BA909">
        <v>14522246820</v>
      </c>
      <c r="BB909" t="s">
        <v>4572</v>
      </c>
      <c r="BC909" t="s">
        <v>4594</v>
      </c>
    </row>
    <row r="910" spans="1:55" x14ac:dyDescent="0.25">
      <c r="A910">
        <v>671</v>
      </c>
      <c r="B910" t="s">
        <v>1096</v>
      </c>
      <c r="C910" t="s">
        <v>2531</v>
      </c>
      <c r="D910" t="s">
        <v>3966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202</v>
      </c>
      <c r="K910">
        <v>133645312.21757901</v>
      </c>
      <c r="L910">
        <v>1</v>
      </c>
      <c r="M910" t="s">
        <v>4536</v>
      </c>
      <c r="O910" t="s">
        <v>207</v>
      </c>
      <c r="Q910" t="s">
        <v>207</v>
      </c>
      <c r="R910" t="s">
        <v>207</v>
      </c>
      <c r="S910" t="s">
        <v>207</v>
      </c>
      <c r="T910" t="s">
        <v>207</v>
      </c>
      <c r="U910" t="s">
        <v>207</v>
      </c>
      <c r="V910" t="s">
        <v>207</v>
      </c>
      <c r="W910" t="s">
        <v>207</v>
      </c>
      <c r="X910" t="s">
        <v>207</v>
      </c>
      <c r="AK910">
        <v>9.7799999999999998E-2</v>
      </c>
      <c r="AL910">
        <v>0.83399999999999996</v>
      </c>
      <c r="AM910">
        <v>0.1573</v>
      </c>
      <c r="AN910" t="s">
        <v>4567</v>
      </c>
      <c r="AO910" t="s">
        <v>4568</v>
      </c>
      <c r="AP910" t="s">
        <v>4569</v>
      </c>
      <c r="AQ910">
        <v>0</v>
      </c>
      <c r="AR910">
        <v>0</v>
      </c>
      <c r="AW910">
        <v>6510</v>
      </c>
      <c r="AX910">
        <v>2.2850000000000001</v>
      </c>
      <c r="AY910" t="s">
        <v>208</v>
      </c>
      <c r="BA910">
        <v>18010981832.982399</v>
      </c>
      <c r="BB910" t="s">
        <v>4572</v>
      </c>
      <c r="BC910" t="s">
        <v>4576</v>
      </c>
    </row>
    <row r="911" spans="1:55" x14ac:dyDescent="0.25">
      <c r="A911">
        <v>1176</v>
      </c>
      <c r="B911" t="s">
        <v>1097</v>
      </c>
      <c r="C911" t="s">
        <v>2532</v>
      </c>
      <c r="D911" t="s">
        <v>3967</v>
      </c>
      <c r="E911" t="s">
        <v>93</v>
      </c>
      <c r="F911">
        <v>137800000</v>
      </c>
      <c r="G911">
        <v>28.139289999999999</v>
      </c>
      <c r="H911" t="s">
        <v>101</v>
      </c>
      <c r="I911">
        <v>3877594162</v>
      </c>
      <c r="J911" t="s">
        <v>205</v>
      </c>
      <c r="K911">
        <v>16713912.911870601</v>
      </c>
      <c r="L911">
        <v>1</v>
      </c>
      <c r="M911" t="s">
        <v>4536</v>
      </c>
      <c r="O911" t="s">
        <v>207</v>
      </c>
      <c r="Q911" t="s">
        <v>207</v>
      </c>
      <c r="R911" t="s">
        <v>207</v>
      </c>
      <c r="S911" t="s">
        <v>207</v>
      </c>
      <c r="T911" t="s">
        <v>207</v>
      </c>
      <c r="U911" t="s">
        <v>207</v>
      </c>
      <c r="V911" t="s">
        <v>207</v>
      </c>
      <c r="W911" t="s">
        <v>207</v>
      </c>
      <c r="X911" t="s">
        <v>207</v>
      </c>
      <c r="AG911" t="s">
        <v>4546</v>
      </c>
      <c r="AH911" t="s">
        <v>4563</v>
      </c>
      <c r="AI911" t="s">
        <v>4565</v>
      </c>
      <c r="AJ911" t="s">
        <v>4566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210</v>
      </c>
      <c r="BA911">
        <v>3877594162</v>
      </c>
      <c r="BB911" t="s">
        <v>4572</v>
      </c>
      <c r="BC911" t="s">
        <v>4578</v>
      </c>
    </row>
    <row r="912" spans="1:55" x14ac:dyDescent="0.25">
      <c r="A912">
        <v>944</v>
      </c>
      <c r="B912" t="s">
        <v>1098</v>
      </c>
      <c r="C912" t="s">
        <v>2533</v>
      </c>
      <c r="D912" t="s">
        <v>3968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10897469552.758499</v>
      </c>
      <c r="J912" t="s">
        <v>205</v>
      </c>
      <c r="K912">
        <v>222764830.056649</v>
      </c>
      <c r="L912">
        <v>0.65</v>
      </c>
      <c r="M912" t="s">
        <v>4536</v>
      </c>
      <c r="O912" t="s">
        <v>207</v>
      </c>
      <c r="Q912" t="s">
        <v>207</v>
      </c>
      <c r="R912" t="s">
        <v>207</v>
      </c>
      <c r="S912" t="s">
        <v>207</v>
      </c>
      <c r="T912" t="s">
        <v>207</v>
      </c>
      <c r="U912" t="s">
        <v>207</v>
      </c>
      <c r="V912" t="s">
        <v>207</v>
      </c>
      <c r="W912" t="s">
        <v>207</v>
      </c>
      <c r="X912" t="s">
        <v>207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210</v>
      </c>
      <c r="AZ912" t="s">
        <v>4571</v>
      </c>
      <c r="BA912">
        <v>7083355209.293025</v>
      </c>
      <c r="BB912" t="s">
        <v>4572</v>
      </c>
      <c r="BC912" t="s">
        <v>4577</v>
      </c>
    </row>
    <row r="913" spans="1:55" x14ac:dyDescent="0.25">
      <c r="A913">
        <v>1379</v>
      </c>
      <c r="B913" t="s">
        <v>1099</v>
      </c>
      <c r="C913" t="s">
        <v>2534</v>
      </c>
      <c r="D913" t="s">
        <v>3969</v>
      </c>
      <c r="E913" t="s">
        <v>93</v>
      </c>
      <c r="F913">
        <v>290657900</v>
      </c>
      <c r="G913">
        <v>10.80805</v>
      </c>
      <c r="H913" t="s">
        <v>101</v>
      </c>
      <c r="I913">
        <v>3141445116.0949998</v>
      </c>
      <c r="J913" t="s">
        <v>205</v>
      </c>
      <c r="K913">
        <v>7695621.9568242198</v>
      </c>
      <c r="L913">
        <v>0.85</v>
      </c>
      <c r="M913" t="s">
        <v>4536</v>
      </c>
      <c r="N913" t="s">
        <v>4537</v>
      </c>
      <c r="O913" t="s">
        <v>207</v>
      </c>
      <c r="Q913" t="s">
        <v>207</v>
      </c>
      <c r="R913" t="s">
        <v>207</v>
      </c>
      <c r="S913" t="s">
        <v>207</v>
      </c>
      <c r="T913" t="s">
        <v>207</v>
      </c>
      <c r="U913" t="s">
        <v>207</v>
      </c>
      <c r="V913" t="s">
        <v>207</v>
      </c>
      <c r="W913" t="s">
        <v>207</v>
      </c>
      <c r="X913" t="s">
        <v>207</v>
      </c>
      <c r="AG913" t="s">
        <v>4546</v>
      </c>
      <c r="AH913" t="s">
        <v>4562</v>
      </c>
      <c r="AI913" t="s">
        <v>4565</v>
      </c>
      <c r="AJ913" t="s">
        <v>4566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210</v>
      </c>
      <c r="BA913">
        <v>2670228348.6807499</v>
      </c>
      <c r="BB913" t="s">
        <v>4572</v>
      </c>
      <c r="BC913" t="s">
        <v>4592</v>
      </c>
    </row>
    <row r="914" spans="1:55" x14ac:dyDescent="0.25">
      <c r="A914">
        <v>1108</v>
      </c>
      <c r="B914" t="s">
        <v>1100</v>
      </c>
      <c r="C914" t="s">
        <v>2535</v>
      </c>
      <c r="D914" t="s">
        <v>3970</v>
      </c>
      <c r="E914" t="s">
        <v>93</v>
      </c>
      <c r="F914">
        <v>302584500</v>
      </c>
      <c r="G914">
        <v>18.72542</v>
      </c>
      <c r="H914" t="s">
        <v>101</v>
      </c>
      <c r="I914">
        <v>5666021847.9899998</v>
      </c>
      <c r="J914" t="s">
        <v>205</v>
      </c>
      <c r="K914">
        <v>28223195.661216799</v>
      </c>
      <c r="L914">
        <v>0.8</v>
      </c>
      <c r="M914" t="s">
        <v>4536</v>
      </c>
      <c r="O914" t="s">
        <v>207</v>
      </c>
      <c r="Q914" t="s">
        <v>207</v>
      </c>
      <c r="R914" t="s">
        <v>207</v>
      </c>
      <c r="S914" t="s">
        <v>207</v>
      </c>
      <c r="T914" t="s">
        <v>207</v>
      </c>
      <c r="U914" t="s">
        <v>207</v>
      </c>
      <c r="V914" t="s">
        <v>207</v>
      </c>
      <c r="W914" t="s">
        <v>207</v>
      </c>
      <c r="X914" t="s">
        <v>207</v>
      </c>
      <c r="AG914" t="s">
        <v>4546</v>
      </c>
      <c r="AH914" t="s">
        <v>4564</v>
      </c>
      <c r="AI914" t="s">
        <v>4565</v>
      </c>
      <c r="AJ914" t="s">
        <v>4566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210</v>
      </c>
      <c r="BA914">
        <v>4532817478.3920002</v>
      </c>
      <c r="BB914" t="s">
        <v>4572</v>
      </c>
      <c r="BC914" t="s">
        <v>4578</v>
      </c>
    </row>
    <row r="915" spans="1:55" x14ac:dyDescent="0.25">
      <c r="A915">
        <v>1083</v>
      </c>
      <c r="B915" t="s">
        <v>1101</v>
      </c>
      <c r="C915" t="s">
        <v>2536</v>
      </c>
      <c r="D915" t="s">
        <v>3971</v>
      </c>
      <c r="E915" t="s">
        <v>93</v>
      </c>
      <c r="F915">
        <v>199247730</v>
      </c>
      <c r="G915">
        <v>28.746849999999998</v>
      </c>
      <c r="H915" t="s">
        <v>101</v>
      </c>
      <c r="I915">
        <v>5727744607.1504993</v>
      </c>
      <c r="J915" t="s">
        <v>205</v>
      </c>
      <c r="K915">
        <v>18214728.523010399</v>
      </c>
      <c r="L915">
        <v>0.85</v>
      </c>
      <c r="M915" t="s">
        <v>4536</v>
      </c>
      <c r="O915" t="s">
        <v>207</v>
      </c>
      <c r="Q915" t="s">
        <v>207</v>
      </c>
      <c r="R915" t="s">
        <v>207</v>
      </c>
      <c r="S915" t="s">
        <v>207</v>
      </c>
      <c r="T915" t="s">
        <v>207</v>
      </c>
      <c r="U915" t="s">
        <v>207</v>
      </c>
      <c r="V915" t="s">
        <v>207</v>
      </c>
      <c r="W915" t="s">
        <v>207</v>
      </c>
      <c r="X915" t="s">
        <v>207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210</v>
      </c>
      <c r="BA915">
        <v>4868582916.0779247</v>
      </c>
      <c r="BB915" t="s">
        <v>4572</v>
      </c>
      <c r="BC915" t="s">
        <v>4536</v>
      </c>
    </row>
    <row r="916" spans="1:55" x14ac:dyDescent="0.25">
      <c r="A916">
        <v>845</v>
      </c>
      <c r="B916" t="s">
        <v>1102</v>
      </c>
      <c r="C916" t="s">
        <v>2537</v>
      </c>
      <c r="D916" t="s">
        <v>3972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205</v>
      </c>
      <c r="K916">
        <v>78836653.148165807</v>
      </c>
      <c r="L916">
        <v>0.8</v>
      </c>
      <c r="M916" t="s">
        <v>4536</v>
      </c>
      <c r="O916" t="s">
        <v>207</v>
      </c>
      <c r="Q916" t="s">
        <v>207</v>
      </c>
      <c r="R916" t="s">
        <v>207</v>
      </c>
      <c r="S916" t="s">
        <v>207</v>
      </c>
      <c r="T916" t="s">
        <v>207</v>
      </c>
      <c r="U916" t="s">
        <v>207</v>
      </c>
      <c r="V916" t="s">
        <v>207</v>
      </c>
      <c r="W916" t="s">
        <v>207</v>
      </c>
      <c r="X916" t="s">
        <v>207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210</v>
      </c>
      <c r="AZ916" t="s">
        <v>4571</v>
      </c>
      <c r="BA916">
        <v>9327328359.6000004</v>
      </c>
      <c r="BB916" t="s">
        <v>4572</v>
      </c>
      <c r="BC916" t="s">
        <v>4577</v>
      </c>
    </row>
    <row r="917" spans="1:55" x14ac:dyDescent="0.25">
      <c r="A917">
        <v>771</v>
      </c>
      <c r="B917" t="s">
        <v>1103</v>
      </c>
      <c r="C917" t="s">
        <v>2538</v>
      </c>
      <c r="D917" t="s">
        <v>3973</v>
      </c>
      <c r="E917" t="s">
        <v>93</v>
      </c>
      <c r="F917">
        <v>706760740</v>
      </c>
      <c r="G917">
        <v>19.038789999999999</v>
      </c>
      <c r="H917" t="s">
        <v>101</v>
      </c>
      <c r="I917">
        <v>13455869309.104601</v>
      </c>
      <c r="J917" t="s">
        <v>205</v>
      </c>
      <c r="K917">
        <v>47928733.328884698</v>
      </c>
      <c r="L917">
        <v>1</v>
      </c>
      <c r="M917" t="s">
        <v>4536</v>
      </c>
      <c r="O917" t="s">
        <v>207</v>
      </c>
      <c r="Q917" t="s">
        <v>207</v>
      </c>
      <c r="R917" t="s">
        <v>207</v>
      </c>
      <c r="S917" t="s">
        <v>207</v>
      </c>
      <c r="T917" t="s">
        <v>207</v>
      </c>
      <c r="U917" t="s">
        <v>207</v>
      </c>
      <c r="V917" t="s">
        <v>207</v>
      </c>
      <c r="W917" t="s">
        <v>207</v>
      </c>
      <c r="X917" t="s">
        <v>207</v>
      </c>
      <c r="AG917" t="s">
        <v>4546</v>
      </c>
      <c r="AH917" t="s">
        <v>4562</v>
      </c>
      <c r="AI917" t="s">
        <v>4565</v>
      </c>
      <c r="AJ917" t="s">
        <v>4566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210</v>
      </c>
      <c r="BA917">
        <v>13455869309.104601</v>
      </c>
      <c r="BB917" t="s">
        <v>4572</v>
      </c>
      <c r="BC917" t="s">
        <v>4578</v>
      </c>
    </row>
    <row r="918" spans="1:55" x14ac:dyDescent="0.25">
      <c r="A918">
        <v>1205</v>
      </c>
      <c r="B918" t="s">
        <v>1104</v>
      </c>
      <c r="C918" t="s">
        <v>2539</v>
      </c>
      <c r="D918" t="s">
        <v>3974</v>
      </c>
      <c r="E918" t="s">
        <v>4523</v>
      </c>
      <c r="F918">
        <v>53720043</v>
      </c>
      <c r="G918">
        <v>67.960489999999993</v>
      </c>
      <c r="H918" t="s">
        <v>4532</v>
      </c>
      <c r="I918">
        <v>3650840445.101069</v>
      </c>
      <c r="J918" t="s">
        <v>204</v>
      </c>
      <c r="K918">
        <v>12032241.420621499</v>
      </c>
      <c r="L918">
        <v>1</v>
      </c>
      <c r="M918" t="s">
        <v>4536</v>
      </c>
      <c r="O918" t="s">
        <v>207</v>
      </c>
      <c r="Q918" t="s">
        <v>207</v>
      </c>
      <c r="R918" t="s">
        <v>207</v>
      </c>
      <c r="S918" t="s">
        <v>207</v>
      </c>
      <c r="T918" t="s">
        <v>207</v>
      </c>
      <c r="U918" t="s">
        <v>207</v>
      </c>
      <c r="V918" t="s">
        <v>207</v>
      </c>
      <c r="W918" t="s">
        <v>207</v>
      </c>
      <c r="X918" t="s">
        <v>207</v>
      </c>
      <c r="AK918">
        <v>0</v>
      </c>
      <c r="AL918">
        <v>0.01</v>
      </c>
      <c r="AM918">
        <v>0</v>
      </c>
      <c r="AO918" t="s">
        <v>4568</v>
      </c>
      <c r="AQ918">
        <v>0</v>
      </c>
      <c r="AR918">
        <v>0</v>
      </c>
      <c r="AW918">
        <v>5020</v>
      </c>
      <c r="AX918">
        <v>2.0990000000000002</v>
      </c>
      <c r="AY918" t="s">
        <v>209</v>
      </c>
      <c r="BA918">
        <v>3650840445.101069</v>
      </c>
      <c r="BB918" t="s">
        <v>4572</v>
      </c>
      <c r="BC918" t="s">
        <v>4582</v>
      </c>
    </row>
    <row r="919" spans="1:55" x14ac:dyDescent="0.25">
      <c r="A919">
        <v>798</v>
      </c>
      <c r="B919" t="s">
        <v>1105</v>
      </c>
      <c r="C919" t="s">
        <v>2540</v>
      </c>
      <c r="D919" t="s">
        <v>3975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203</v>
      </c>
      <c r="K919">
        <v>38384229.348571397</v>
      </c>
      <c r="L919">
        <v>0.95000000000000007</v>
      </c>
      <c r="M919" t="s">
        <v>4536</v>
      </c>
      <c r="O919" t="s">
        <v>207</v>
      </c>
      <c r="Q919" t="s">
        <v>207</v>
      </c>
      <c r="R919" t="s">
        <v>207</v>
      </c>
      <c r="S919" t="s">
        <v>207</v>
      </c>
      <c r="T919" t="s">
        <v>207</v>
      </c>
      <c r="U919" t="s">
        <v>207</v>
      </c>
      <c r="V919" t="s">
        <v>207</v>
      </c>
      <c r="W919" t="s">
        <v>207</v>
      </c>
      <c r="X919" t="s">
        <v>207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209</v>
      </c>
      <c r="BA919">
        <v>11860075500</v>
      </c>
      <c r="BB919" t="s">
        <v>4572</v>
      </c>
      <c r="BC919" t="s">
        <v>4536</v>
      </c>
    </row>
    <row r="920" spans="1:55" x14ac:dyDescent="0.25">
      <c r="A920">
        <v>1262</v>
      </c>
      <c r="B920" t="s">
        <v>1106</v>
      </c>
      <c r="C920" t="s">
        <v>2541</v>
      </c>
      <c r="D920" t="s">
        <v>3976</v>
      </c>
      <c r="E920" t="s">
        <v>93</v>
      </c>
      <c r="F920">
        <v>242524120</v>
      </c>
      <c r="G920">
        <v>13.618779999999999</v>
      </c>
      <c r="H920" t="s">
        <v>101</v>
      </c>
      <c r="I920">
        <v>3302882634.9735999</v>
      </c>
      <c r="J920" t="s">
        <v>205</v>
      </c>
      <c r="K920">
        <v>8526263.91616931</v>
      </c>
      <c r="L920">
        <v>1</v>
      </c>
      <c r="M920" t="s">
        <v>4536</v>
      </c>
      <c r="N920" t="s">
        <v>4537</v>
      </c>
      <c r="O920" t="s">
        <v>207</v>
      </c>
      <c r="Q920" t="s">
        <v>207</v>
      </c>
      <c r="R920" t="s">
        <v>207</v>
      </c>
      <c r="S920" t="s">
        <v>207</v>
      </c>
      <c r="T920" t="s">
        <v>207</v>
      </c>
      <c r="U920" t="s">
        <v>207</v>
      </c>
      <c r="V920" t="s">
        <v>207</v>
      </c>
      <c r="W920" t="s">
        <v>207</v>
      </c>
      <c r="X920" t="s">
        <v>207</v>
      </c>
      <c r="AG920" t="s">
        <v>4546</v>
      </c>
      <c r="AH920" t="s">
        <v>4563</v>
      </c>
      <c r="AI920" t="s">
        <v>4565</v>
      </c>
      <c r="AJ920" t="s">
        <v>4566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210</v>
      </c>
      <c r="BA920">
        <v>3302882634.9735999</v>
      </c>
      <c r="BB920" t="s">
        <v>4572</v>
      </c>
      <c r="BC920" t="s">
        <v>4592</v>
      </c>
    </row>
    <row r="921" spans="1:55" x14ac:dyDescent="0.25">
      <c r="A921">
        <v>512</v>
      </c>
      <c r="B921" t="s">
        <v>1107</v>
      </c>
      <c r="C921" t="s">
        <v>2542</v>
      </c>
      <c r="D921" t="s">
        <v>3977</v>
      </c>
      <c r="E921" t="s">
        <v>4528</v>
      </c>
      <c r="F921">
        <v>5605850600</v>
      </c>
      <c r="G921">
        <v>4.8034999999999997</v>
      </c>
      <c r="H921" t="s">
        <v>99</v>
      </c>
      <c r="I921">
        <v>26927703357.099998</v>
      </c>
      <c r="J921" t="s">
        <v>203</v>
      </c>
      <c r="K921">
        <v>50511232.338305101</v>
      </c>
      <c r="L921">
        <v>0.95</v>
      </c>
      <c r="O921" t="s">
        <v>207</v>
      </c>
      <c r="Q921" t="s">
        <v>207</v>
      </c>
      <c r="R921" t="s">
        <v>207</v>
      </c>
      <c r="S921" t="s">
        <v>207</v>
      </c>
      <c r="T921" t="s">
        <v>207</v>
      </c>
      <c r="U921" t="s">
        <v>207</v>
      </c>
      <c r="V921" t="s">
        <v>207</v>
      </c>
      <c r="W921" t="s">
        <v>207</v>
      </c>
      <c r="X921" t="s">
        <v>207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209</v>
      </c>
      <c r="BA921">
        <v>25581318189.244999</v>
      </c>
      <c r="BB921" t="s">
        <v>211</v>
      </c>
    </row>
    <row r="922" spans="1:55" x14ac:dyDescent="0.25">
      <c r="A922">
        <v>642</v>
      </c>
      <c r="B922" t="s">
        <v>1108</v>
      </c>
      <c r="C922" t="s">
        <v>2543</v>
      </c>
      <c r="D922" t="s">
        <v>3978</v>
      </c>
      <c r="E922" t="s">
        <v>93</v>
      </c>
      <c r="F922">
        <v>3163562500</v>
      </c>
      <c r="G922">
        <v>6.3799450000000002</v>
      </c>
      <c r="H922" t="s">
        <v>101</v>
      </c>
      <c r="I922">
        <v>20183354754.0625</v>
      </c>
      <c r="J922" t="s">
        <v>205</v>
      </c>
      <c r="K922">
        <v>62288039.858225197</v>
      </c>
      <c r="L922">
        <v>0.95</v>
      </c>
      <c r="M922" t="s">
        <v>4536</v>
      </c>
      <c r="O922" t="s">
        <v>207</v>
      </c>
      <c r="Q922" t="s">
        <v>207</v>
      </c>
      <c r="R922" t="s">
        <v>207</v>
      </c>
      <c r="S922" t="s">
        <v>207</v>
      </c>
      <c r="T922" t="s">
        <v>207</v>
      </c>
      <c r="U922" t="s">
        <v>207</v>
      </c>
      <c r="V922" t="s">
        <v>207</v>
      </c>
      <c r="W922" t="s">
        <v>207</v>
      </c>
      <c r="X922" t="s">
        <v>207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210</v>
      </c>
      <c r="BA922">
        <v>19174187016.359379</v>
      </c>
      <c r="BB922" t="s">
        <v>4572</v>
      </c>
      <c r="BC922" t="s">
        <v>4536</v>
      </c>
    </row>
    <row r="923" spans="1:55" x14ac:dyDescent="0.25">
      <c r="A923">
        <v>1209</v>
      </c>
      <c r="B923" t="s">
        <v>1109</v>
      </c>
      <c r="C923" t="s">
        <v>2544</v>
      </c>
      <c r="D923" t="s">
        <v>3979</v>
      </c>
      <c r="E923" t="s">
        <v>93</v>
      </c>
      <c r="F923">
        <v>4646364</v>
      </c>
      <c r="G923">
        <v>915.16660000000002</v>
      </c>
      <c r="H923" t="s">
        <v>101</v>
      </c>
      <c r="I923">
        <v>4252197144.2424002</v>
      </c>
      <c r="J923" t="s">
        <v>205</v>
      </c>
      <c r="K923">
        <v>8039249.5667399997</v>
      </c>
      <c r="L923">
        <v>0.85</v>
      </c>
      <c r="M923" t="s">
        <v>4536</v>
      </c>
      <c r="N923" t="s">
        <v>4537</v>
      </c>
      <c r="O923" t="s">
        <v>207</v>
      </c>
      <c r="Q923" t="s">
        <v>207</v>
      </c>
      <c r="R923" t="s">
        <v>207</v>
      </c>
      <c r="S923" t="s">
        <v>207</v>
      </c>
      <c r="T923" t="s">
        <v>207</v>
      </c>
      <c r="U923" t="s">
        <v>207</v>
      </c>
      <c r="V923" t="s">
        <v>207</v>
      </c>
      <c r="W923" t="s">
        <v>207</v>
      </c>
      <c r="X923" t="s">
        <v>207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210</v>
      </c>
      <c r="BA923">
        <v>3614367572.60604</v>
      </c>
      <c r="BB923" t="s">
        <v>4572</v>
      </c>
      <c r="BC923" t="s">
        <v>4575</v>
      </c>
    </row>
    <row r="924" spans="1:55" x14ac:dyDescent="0.25">
      <c r="A924">
        <v>1293</v>
      </c>
      <c r="B924" t="s">
        <v>1110</v>
      </c>
      <c r="C924" t="s">
        <v>2545</v>
      </c>
      <c r="D924" t="s">
        <v>3980</v>
      </c>
      <c r="E924" t="s">
        <v>93</v>
      </c>
      <c r="F924">
        <v>183434040</v>
      </c>
      <c r="G924">
        <v>26.175940000000001</v>
      </c>
      <c r="H924" t="s">
        <v>101</v>
      </c>
      <c r="I924">
        <v>4801558424.9976006</v>
      </c>
      <c r="J924" t="s">
        <v>205</v>
      </c>
      <c r="K924">
        <v>22474005.269698899</v>
      </c>
      <c r="L924">
        <v>0.65</v>
      </c>
      <c r="M924" t="s">
        <v>4536</v>
      </c>
      <c r="O924" t="s">
        <v>207</v>
      </c>
      <c r="Q924" t="s">
        <v>207</v>
      </c>
      <c r="R924" t="s">
        <v>207</v>
      </c>
      <c r="S924" t="s">
        <v>207</v>
      </c>
      <c r="T924" t="s">
        <v>207</v>
      </c>
      <c r="U924" t="s">
        <v>207</v>
      </c>
      <c r="V924" t="s">
        <v>207</v>
      </c>
      <c r="W924" t="s">
        <v>207</v>
      </c>
      <c r="X924" t="s">
        <v>207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210</v>
      </c>
      <c r="BA924">
        <v>3121012976.2484398</v>
      </c>
      <c r="BB924" t="s">
        <v>4572</v>
      </c>
      <c r="BC924" t="s">
        <v>4536</v>
      </c>
    </row>
    <row r="925" spans="1:55" x14ac:dyDescent="0.25">
      <c r="A925">
        <v>754</v>
      </c>
      <c r="B925" t="s">
        <v>1111</v>
      </c>
      <c r="C925" t="s">
        <v>2546</v>
      </c>
      <c r="D925" t="s">
        <v>3981</v>
      </c>
      <c r="E925" t="s">
        <v>93</v>
      </c>
      <c r="F925">
        <v>581241500</v>
      </c>
      <c r="G925">
        <v>33.460180000000001</v>
      </c>
      <c r="H925" t="s">
        <v>101</v>
      </c>
      <c r="I925">
        <v>19448445213.470001</v>
      </c>
      <c r="J925" t="s">
        <v>205</v>
      </c>
      <c r="K925">
        <v>40113346.621399902</v>
      </c>
      <c r="L925">
        <v>0.75</v>
      </c>
      <c r="M925" t="s">
        <v>4536</v>
      </c>
      <c r="O925" t="s">
        <v>207</v>
      </c>
      <c r="Q925" t="s">
        <v>207</v>
      </c>
      <c r="R925" t="s">
        <v>207</v>
      </c>
      <c r="S925" t="s">
        <v>207</v>
      </c>
      <c r="T925" t="s">
        <v>207</v>
      </c>
      <c r="U925" t="s">
        <v>207</v>
      </c>
      <c r="V925" t="s">
        <v>207</v>
      </c>
      <c r="W925" t="s">
        <v>207</v>
      </c>
      <c r="X925" t="s">
        <v>207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210</v>
      </c>
      <c r="BA925">
        <v>14586333910.102501</v>
      </c>
      <c r="BB925" t="s">
        <v>4572</v>
      </c>
      <c r="BC925" t="s">
        <v>4536</v>
      </c>
    </row>
    <row r="926" spans="1:55" x14ac:dyDescent="0.25">
      <c r="A926">
        <v>322</v>
      </c>
      <c r="B926" t="s">
        <v>1112</v>
      </c>
      <c r="C926" t="s">
        <v>2547</v>
      </c>
      <c r="D926" t="s">
        <v>3982</v>
      </c>
      <c r="E926" t="s">
        <v>4528</v>
      </c>
      <c r="F926">
        <v>3497790300</v>
      </c>
      <c r="G926">
        <v>12.395</v>
      </c>
      <c r="H926" t="s">
        <v>99</v>
      </c>
      <c r="I926">
        <v>43355110768.5</v>
      </c>
      <c r="J926" t="s">
        <v>203</v>
      </c>
      <c r="K926">
        <v>68723588.773898304</v>
      </c>
      <c r="L926">
        <v>1</v>
      </c>
      <c r="M926" t="s">
        <v>4536</v>
      </c>
      <c r="O926" t="s">
        <v>207</v>
      </c>
      <c r="Q926" t="s">
        <v>207</v>
      </c>
      <c r="R926" t="s">
        <v>207</v>
      </c>
      <c r="S926" t="s">
        <v>207</v>
      </c>
      <c r="T926" t="s">
        <v>207</v>
      </c>
      <c r="U926" t="s">
        <v>207</v>
      </c>
      <c r="V926" t="s">
        <v>207</v>
      </c>
      <c r="W926" t="s">
        <v>207</v>
      </c>
      <c r="X926" t="s">
        <v>207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209</v>
      </c>
      <c r="BA926">
        <v>43355110768.5</v>
      </c>
      <c r="BB926" t="s">
        <v>4572</v>
      </c>
      <c r="BC926" t="s">
        <v>4536</v>
      </c>
    </row>
    <row r="927" spans="1:55" x14ac:dyDescent="0.25">
      <c r="A927">
        <v>1169</v>
      </c>
      <c r="B927" t="s">
        <v>1113</v>
      </c>
      <c r="C927" t="s">
        <v>2548</v>
      </c>
      <c r="D927" t="s">
        <v>3983</v>
      </c>
      <c r="E927" t="s">
        <v>4519</v>
      </c>
      <c r="F927">
        <v>251876570</v>
      </c>
      <c r="G927">
        <v>22.264109999999999</v>
      </c>
      <c r="H927" t="s">
        <v>4530</v>
      </c>
      <c r="I927">
        <v>5607807660.9026995</v>
      </c>
      <c r="J927" t="s">
        <v>204</v>
      </c>
      <c r="K927">
        <v>7228970.6876485599</v>
      </c>
      <c r="L927">
        <v>0.7</v>
      </c>
      <c r="M927" t="s">
        <v>4536</v>
      </c>
      <c r="N927" t="s">
        <v>4537</v>
      </c>
      <c r="O927" t="s">
        <v>207</v>
      </c>
      <c r="Q927" t="s">
        <v>207</v>
      </c>
      <c r="R927" t="s">
        <v>207</v>
      </c>
      <c r="S927" t="s">
        <v>207</v>
      </c>
      <c r="T927" t="s">
        <v>207</v>
      </c>
      <c r="U927" t="s">
        <v>207</v>
      </c>
      <c r="V927" t="s">
        <v>207</v>
      </c>
      <c r="W927" t="s">
        <v>207</v>
      </c>
      <c r="X927" t="s">
        <v>207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209</v>
      </c>
      <c r="BA927">
        <v>3925465362.6318889</v>
      </c>
      <c r="BB927" t="s">
        <v>4572</v>
      </c>
      <c r="BC927" t="s">
        <v>4575</v>
      </c>
    </row>
    <row r="928" spans="1:55" x14ac:dyDescent="0.25">
      <c r="A928">
        <v>251</v>
      </c>
      <c r="B928" t="s">
        <v>1114</v>
      </c>
      <c r="C928" t="s">
        <v>2549</v>
      </c>
      <c r="D928" t="s">
        <v>3984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202</v>
      </c>
      <c r="K928">
        <v>289903692.63691998</v>
      </c>
      <c r="L928">
        <v>1</v>
      </c>
      <c r="M928" t="s">
        <v>4536</v>
      </c>
      <c r="O928" t="s">
        <v>206</v>
      </c>
      <c r="Q928" t="s">
        <v>207</v>
      </c>
      <c r="R928" t="s">
        <v>207</v>
      </c>
      <c r="S928" t="s">
        <v>207</v>
      </c>
      <c r="T928" t="s">
        <v>207</v>
      </c>
      <c r="U928" t="s">
        <v>207</v>
      </c>
      <c r="V928" t="s">
        <v>207</v>
      </c>
      <c r="W928" t="s">
        <v>207</v>
      </c>
      <c r="X928" t="s">
        <v>207</v>
      </c>
      <c r="AK928">
        <v>0</v>
      </c>
      <c r="AL928">
        <v>0.25</v>
      </c>
      <c r="AM928">
        <v>0</v>
      </c>
      <c r="AO928" t="s">
        <v>4568</v>
      </c>
      <c r="AQ928">
        <v>0</v>
      </c>
      <c r="AR928">
        <v>0</v>
      </c>
      <c r="AW928">
        <v>5020</v>
      </c>
      <c r="AX928">
        <v>1.9630000000000001</v>
      </c>
      <c r="AY928" t="s">
        <v>208</v>
      </c>
      <c r="BA928">
        <v>53659794042.074997</v>
      </c>
      <c r="BB928" t="s">
        <v>4572</v>
      </c>
      <c r="BC928" t="s">
        <v>4582</v>
      </c>
    </row>
    <row r="929" spans="1:55" x14ac:dyDescent="0.25">
      <c r="A929">
        <v>926</v>
      </c>
      <c r="B929" t="s">
        <v>1115</v>
      </c>
      <c r="C929" t="s">
        <v>2550</v>
      </c>
      <c r="D929" t="s">
        <v>3985</v>
      </c>
      <c r="E929" t="s">
        <v>4522</v>
      </c>
      <c r="F929">
        <v>2009015998</v>
      </c>
      <c r="G929">
        <v>5.7135639999999999</v>
      </c>
      <c r="H929" t="s">
        <v>4531</v>
      </c>
      <c r="I929">
        <v>11478641481.59687</v>
      </c>
      <c r="J929" t="s">
        <v>204</v>
      </c>
      <c r="K929">
        <v>22699023.726144701</v>
      </c>
      <c r="L929">
        <v>0.65</v>
      </c>
      <c r="O929" t="s">
        <v>207</v>
      </c>
      <c r="Q929" t="s">
        <v>207</v>
      </c>
      <c r="R929" t="s">
        <v>207</v>
      </c>
      <c r="S929" t="s">
        <v>207</v>
      </c>
      <c r="T929" t="s">
        <v>207</v>
      </c>
      <c r="U929" t="s">
        <v>207</v>
      </c>
      <c r="V929" t="s">
        <v>207</v>
      </c>
      <c r="W929" t="s">
        <v>207</v>
      </c>
      <c r="X929" t="s">
        <v>207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209</v>
      </c>
      <c r="BA929">
        <v>7461116963.0379677</v>
      </c>
      <c r="BB929" t="s">
        <v>211</v>
      </c>
    </row>
    <row r="930" spans="1:55" x14ac:dyDescent="0.25">
      <c r="A930">
        <v>785</v>
      </c>
      <c r="B930" t="s">
        <v>1116</v>
      </c>
      <c r="C930" t="s">
        <v>2551</v>
      </c>
      <c r="D930" t="s">
        <v>3986</v>
      </c>
      <c r="E930" t="s">
        <v>94</v>
      </c>
      <c r="F930">
        <v>1144397500</v>
      </c>
      <c r="G930">
        <v>11.067069999999999</v>
      </c>
      <c r="H930" t="s">
        <v>102</v>
      </c>
      <c r="I930">
        <v>12665127240.325001</v>
      </c>
      <c r="J930" t="s">
        <v>205</v>
      </c>
      <c r="K930">
        <v>41677260.1968913</v>
      </c>
      <c r="L930">
        <v>1</v>
      </c>
      <c r="M930" t="s">
        <v>4536</v>
      </c>
      <c r="O930" t="s">
        <v>207</v>
      </c>
      <c r="Q930" t="s">
        <v>207</v>
      </c>
      <c r="R930" t="s">
        <v>207</v>
      </c>
      <c r="S930" t="s">
        <v>207</v>
      </c>
      <c r="T930" t="s">
        <v>207</v>
      </c>
      <c r="U930" t="s">
        <v>207</v>
      </c>
      <c r="V930" t="s">
        <v>207</v>
      </c>
      <c r="W930" t="s">
        <v>207</v>
      </c>
      <c r="X930" t="s">
        <v>207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210</v>
      </c>
      <c r="BA930">
        <v>12665127240.325001</v>
      </c>
      <c r="BB930" t="s">
        <v>4572</v>
      </c>
      <c r="BC930" t="s">
        <v>4536</v>
      </c>
    </row>
    <row r="931" spans="1:55" x14ac:dyDescent="0.25">
      <c r="A931">
        <v>588</v>
      </c>
      <c r="B931" t="s">
        <v>1117</v>
      </c>
      <c r="C931" t="s">
        <v>2552</v>
      </c>
      <c r="D931" t="s">
        <v>3987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202</v>
      </c>
      <c r="K931">
        <v>128820618.41281199</v>
      </c>
      <c r="L931">
        <v>1</v>
      </c>
      <c r="M931" t="s">
        <v>4536</v>
      </c>
      <c r="O931" t="s">
        <v>207</v>
      </c>
      <c r="Q931" t="s">
        <v>207</v>
      </c>
      <c r="R931" t="s">
        <v>207</v>
      </c>
      <c r="S931" t="s">
        <v>207</v>
      </c>
      <c r="T931" t="s">
        <v>207</v>
      </c>
      <c r="U931" t="s">
        <v>207</v>
      </c>
      <c r="V931" t="s">
        <v>207</v>
      </c>
      <c r="W931" t="s">
        <v>207</v>
      </c>
      <c r="X931" t="s">
        <v>207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208</v>
      </c>
      <c r="BA931">
        <v>21418221431.063999</v>
      </c>
      <c r="BB931" t="s">
        <v>4572</v>
      </c>
      <c r="BC931" t="s">
        <v>4536</v>
      </c>
    </row>
    <row r="932" spans="1:55" x14ac:dyDescent="0.25">
      <c r="A932">
        <v>217</v>
      </c>
      <c r="B932" t="s">
        <v>1118</v>
      </c>
      <c r="C932" t="s">
        <v>2553</v>
      </c>
      <c r="D932" t="s">
        <v>3988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202</v>
      </c>
      <c r="K932">
        <v>393876591.528198</v>
      </c>
      <c r="L932">
        <v>1</v>
      </c>
      <c r="M932" t="s">
        <v>4536</v>
      </c>
      <c r="O932" t="s">
        <v>207</v>
      </c>
      <c r="Q932" t="s">
        <v>207</v>
      </c>
      <c r="R932" t="s">
        <v>207</v>
      </c>
      <c r="S932" t="s">
        <v>4538</v>
      </c>
      <c r="T932" t="s">
        <v>207</v>
      </c>
      <c r="U932" t="s">
        <v>206</v>
      </c>
      <c r="V932" t="s">
        <v>4538</v>
      </c>
      <c r="W932" t="s">
        <v>206</v>
      </c>
      <c r="X932" t="s">
        <v>4539</v>
      </c>
      <c r="AA932" t="s">
        <v>4541</v>
      </c>
      <c r="AC932" t="s">
        <v>4542</v>
      </c>
      <c r="AD932" t="s">
        <v>4543</v>
      </c>
      <c r="AE932" t="s">
        <v>4544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208</v>
      </c>
      <c r="AZ932" t="s">
        <v>4571</v>
      </c>
      <c r="BA932">
        <v>62022704910.768013</v>
      </c>
      <c r="BB932" t="s">
        <v>4572</v>
      </c>
      <c r="BC932" t="s">
        <v>4644</v>
      </c>
    </row>
    <row r="933" spans="1:55" x14ac:dyDescent="0.25">
      <c r="A933">
        <v>41</v>
      </c>
      <c r="B933" t="s">
        <v>1119</v>
      </c>
      <c r="C933" t="s">
        <v>2554</v>
      </c>
      <c r="D933" t="s">
        <v>3989</v>
      </c>
      <c r="E933" t="s">
        <v>95</v>
      </c>
      <c r="F933">
        <v>2189930400</v>
      </c>
      <c r="G933">
        <v>104.3617</v>
      </c>
      <c r="H933" t="s">
        <v>103</v>
      </c>
      <c r="I933">
        <v>228544859425.67999</v>
      </c>
      <c r="J933" t="s">
        <v>204</v>
      </c>
      <c r="K933">
        <v>348052438.84857303</v>
      </c>
      <c r="L933">
        <v>0.95</v>
      </c>
      <c r="O933" t="s">
        <v>207</v>
      </c>
      <c r="Q933" t="s">
        <v>207</v>
      </c>
      <c r="R933" t="s">
        <v>207</v>
      </c>
      <c r="S933" t="s">
        <v>207</v>
      </c>
      <c r="T933" t="s">
        <v>207</v>
      </c>
      <c r="U933" t="s">
        <v>207</v>
      </c>
      <c r="V933" t="s">
        <v>207</v>
      </c>
      <c r="W933" t="s">
        <v>207</v>
      </c>
      <c r="X933" t="s">
        <v>207</v>
      </c>
      <c r="AG933" t="s">
        <v>4546</v>
      </c>
      <c r="AH933" t="s">
        <v>4562</v>
      </c>
      <c r="AI933" t="s">
        <v>4565</v>
      </c>
      <c r="AJ933" t="s">
        <v>4566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209</v>
      </c>
      <c r="BA933">
        <v>217117616454.396</v>
      </c>
      <c r="BB933" t="s">
        <v>4572</v>
      </c>
      <c r="BC933" t="s">
        <v>4581</v>
      </c>
    </row>
    <row r="934" spans="1:55" x14ac:dyDescent="0.25">
      <c r="A934">
        <v>27</v>
      </c>
      <c r="B934" t="s">
        <v>1120</v>
      </c>
      <c r="C934" t="s">
        <v>2555</v>
      </c>
      <c r="D934" t="s">
        <v>3990</v>
      </c>
      <c r="E934" t="s">
        <v>4523</v>
      </c>
      <c r="F934">
        <v>3390128000</v>
      </c>
      <c r="G934">
        <v>84.447940000000003</v>
      </c>
      <c r="H934" t="s">
        <v>4532</v>
      </c>
      <c r="I934">
        <v>286289325936.32001</v>
      </c>
      <c r="J934" t="s">
        <v>204</v>
      </c>
      <c r="K934">
        <v>373752660.226686</v>
      </c>
      <c r="L934">
        <v>0.95</v>
      </c>
      <c r="O934" t="s">
        <v>207</v>
      </c>
      <c r="Q934" t="s">
        <v>207</v>
      </c>
      <c r="R934" t="s">
        <v>207</v>
      </c>
      <c r="S934" t="s">
        <v>207</v>
      </c>
      <c r="T934" t="s">
        <v>207</v>
      </c>
      <c r="U934" t="s">
        <v>207</v>
      </c>
      <c r="V934" t="s">
        <v>207</v>
      </c>
      <c r="W934" t="s">
        <v>207</v>
      </c>
      <c r="X934" t="s">
        <v>207</v>
      </c>
      <c r="AG934" t="s">
        <v>4546</v>
      </c>
      <c r="AH934" t="s">
        <v>4562</v>
      </c>
      <c r="AI934" t="s">
        <v>4565</v>
      </c>
      <c r="AJ934" t="s">
        <v>4566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209</v>
      </c>
      <c r="BA934">
        <v>271974859639.504</v>
      </c>
      <c r="BB934" t="s">
        <v>4572</v>
      </c>
      <c r="BC934" t="s">
        <v>4581</v>
      </c>
    </row>
    <row r="935" spans="1:55" x14ac:dyDescent="0.25">
      <c r="A935">
        <v>648</v>
      </c>
      <c r="B935" t="s">
        <v>1121</v>
      </c>
      <c r="C935" t="s">
        <v>2556</v>
      </c>
      <c r="D935" t="s">
        <v>3991</v>
      </c>
      <c r="E935" t="s">
        <v>4523</v>
      </c>
      <c r="F935">
        <v>414555050</v>
      </c>
      <c r="G935">
        <v>53.644550000000002</v>
      </c>
      <c r="H935" t="s">
        <v>4532</v>
      </c>
      <c r="I935">
        <v>22238619107.477501</v>
      </c>
      <c r="J935" t="s">
        <v>204</v>
      </c>
      <c r="K935">
        <v>28551144.8592216</v>
      </c>
      <c r="L935">
        <v>0.85</v>
      </c>
      <c r="M935" t="s">
        <v>4536</v>
      </c>
      <c r="O935" t="s">
        <v>207</v>
      </c>
      <c r="Q935" t="s">
        <v>207</v>
      </c>
      <c r="R935" t="s">
        <v>207</v>
      </c>
      <c r="S935" t="s">
        <v>207</v>
      </c>
      <c r="T935" t="s">
        <v>207</v>
      </c>
      <c r="U935" t="s">
        <v>207</v>
      </c>
      <c r="V935" t="s">
        <v>207</v>
      </c>
      <c r="W935" t="s">
        <v>207</v>
      </c>
      <c r="X935" t="s">
        <v>207</v>
      </c>
      <c r="AG935" t="s">
        <v>4546</v>
      </c>
      <c r="AH935" t="s">
        <v>4563</v>
      </c>
      <c r="AI935" t="s">
        <v>4565</v>
      </c>
      <c r="AJ935" t="s">
        <v>4566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209</v>
      </c>
      <c r="BA935">
        <v>18902826241.355881</v>
      </c>
      <c r="BB935" t="s">
        <v>4572</v>
      </c>
      <c r="BC935" t="s">
        <v>4578</v>
      </c>
    </row>
    <row r="936" spans="1:55" x14ac:dyDescent="0.25">
      <c r="A936">
        <v>606</v>
      </c>
      <c r="B936" t="s">
        <v>1122</v>
      </c>
      <c r="C936" t="s">
        <v>2557</v>
      </c>
      <c r="D936" t="s">
        <v>3992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202</v>
      </c>
      <c r="K936">
        <v>267104380.97648701</v>
      </c>
      <c r="L936">
        <v>1</v>
      </c>
      <c r="M936" t="s">
        <v>4536</v>
      </c>
      <c r="O936" t="s">
        <v>206</v>
      </c>
      <c r="Q936" t="s">
        <v>207</v>
      </c>
      <c r="R936" t="s">
        <v>207</v>
      </c>
      <c r="S936" t="s">
        <v>207</v>
      </c>
      <c r="T936" t="s">
        <v>207</v>
      </c>
      <c r="U936" t="s">
        <v>207</v>
      </c>
      <c r="V936" t="s">
        <v>207</v>
      </c>
      <c r="W936" t="s">
        <v>207</v>
      </c>
      <c r="X936" t="s">
        <v>207</v>
      </c>
      <c r="AK936">
        <v>0.111</v>
      </c>
      <c r="AL936">
        <v>0.253</v>
      </c>
      <c r="AM936">
        <v>0.20300000000000001</v>
      </c>
      <c r="AN936" t="s">
        <v>4567</v>
      </c>
      <c r="AO936" t="s">
        <v>4568</v>
      </c>
      <c r="AP936" t="s">
        <v>4569</v>
      </c>
      <c r="AQ936">
        <v>0</v>
      </c>
      <c r="AR936">
        <v>0</v>
      </c>
      <c r="AW936">
        <v>6510</v>
      </c>
      <c r="AX936">
        <v>2.0110000000000001</v>
      </c>
      <c r="AY936" t="s">
        <v>208</v>
      </c>
      <c r="BA936">
        <v>20529819020.068001</v>
      </c>
      <c r="BB936" t="s">
        <v>4572</v>
      </c>
      <c r="BC936" t="s">
        <v>4576</v>
      </c>
    </row>
    <row r="937" spans="1:55" x14ac:dyDescent="0.25">
      <c r="A937">
        <v>816</v>
      </c>
      <c r="B937" t="s">
        <v>1123</v>
      </c>
      <c r="C937" t="s">
        <v>2558</v>
      </c>
      <c r="D937" t="s">
        <v>3993</v>
      </c>
      <c r="E937" t="s">
        <v>93</v>
      </c>
      <c r="F937">
        <v>1402500000</v>
      </c>
      <c r="G937">
        <v>19.045190000000002</v>
      </c>
      <c r="H937" t="s">
        <v>101</v>
      </c>
      <c r="I937">
        <v>26710878975</v>
      </c>
      <c r="J937" t="s">
        <v>205</v>
      </c>
      <c r="K937">
        <v>56462595.671724297</v>
      </c>
      <c r="L937">
        <v>0.4</v>
      </c>
      <c r="M937" t="s">
        <v>4536</v>
      </c>
      <c r="O937" t="s">
        <v>207</v>
      </c>
      <c r="Q937" t="s">
        <v>207</v>
      </c>
      <c r="R937" t="s">
        <v>207</v>
      </c>
      <c r="S937" t="s">
        <v>207</v>
      </c>
      <c r="T937" t="s">
        <v>207</v>
      </c>
      <c r="U937" t="s">
        <v>207</v>
      </c>
      <c r="V937" t="s">
        <v>207</v>
      </c>
      <c r="W937" t="s">
        <v>207</v>
      </c>
      <c r="X937" t="s">
        <v>207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210</v>
      </c>
      <c r="BA937">
        <v>10684351590</v>
      </c>
      <c r="BB937" t="s">
        <v>4572</v>
      </c>
      <c r="BC937" t="s">
        <v>4536</v>
      </c>
    </row>
    <row r="938" spans="1:55" x14ac:dyDescent="0.25">
      <c r="A938">
        <v>383</v>
      </c>
      <c r="B938" t="s">
        <v>1124</v>
      </c>
      <c r="C938" t="s">
        <v>2559</v>
      </c>
      <c r="D938" t="s">
        <v>3994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202</v>
      </c>
      <c r="K938">
        <v>488053495.84726799</v>
      </c>
      <c r="L938">
        <v>0.95</v>
      </c>
      <c r="M938" t="s">
        <v>4536</v>
      </c>
      <c r="O938" t="s">
        <v>207</v>
      </c>
      <c r="Q938" t="s">
        <v>207</v>
      </c>
      <c r="R938" t="s">
        <v>207</v>
      </c>
      <c r="S938" t="s">
        <v>207</v>
      </c>
      <c r="T938" t="s">
        <v>207</v>
      </c>
      <c r="U938" t="s">
        <v>207</v>
      </c>
      <c r="V938" t="s">
        <v>207</v>
      </c>
      <c r="W938" t="s">
        <v>207</v>
      </c>
      <c r="X938" t="s">
        <v>207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208</v>
      </c>
      <c r="BA938">
        <v>36355257033.557442</v>
      </c>
      <c r="BB938" t="s">
        <v>4572</v>
      </c>
      <c r="BC938" t="s">
        <v>4536</v>
      </c>
    </row>
    <row r="939" spans="1:55" x14ac:dyDescent="0.25">
      <c r="A939">
        <v>445</v>
      </c>
      <c r="B939" t="s">
        <v>1125</v>
      </c>
      <c r="C939" t="s">
        <v>2560</v>
      </c>
      <c r="D939" t="s">
        <v>3995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202</v>
      </c>
      <c r="K939">
        <v>324770547.863693</v>
      </c>
      <c r="L939">
        <v>1</v>
      </c>
      <c r="M939" t="s">
        <v>4536</v>
      </c>
      <c r="O939" t="s">
        <v>207</v>
      </c>
      <c r="Q939" t="s">
        <v>207</v>
      </c>
      <c r="R939" t="s">
        <v>207</v>
      </c>
      <c r="S939" t="s">
        <v>207</v>
      </c>
      <c r="T939" t="s">
        <v>207</v>
      </c>
      <c r="U939" t="s">
        <v>207</v>
      </c>
      <c r="V939" t="s">
        <v>207</v>
      </c>
      <c r="W939" t="s">
        <v>207</v>
      </c>
      <c r="X939" t="s">
        <v>207</v>
      </c>
      <c r="AK939">
        <v>0</v>
      </c>
      <c r="AL939">
        <v>0.05</v>
      </c>
      <c r="AM939">
        <v>0</v>
      </c>
      <c r="AO939" t="s">
        <v>4568</v>
      </c>
      <c r="AQ939">
        <v>0</v>
      </c>
      <c r="AR939">
        <v>0</v>
      </c>
      <c r="AW939">
        <v>5510</v>
      </c>
      <c r="AX939">
        <v>1.794</v>
      </c>
      <c r="AY939" t="s">
        <v>208</v>
      </c>
      <c r="BA939">
        <v>30371828881.368</v>
      </c>
      <c r="BB939" t="s">
        <v>4572</v>
      </c>
      <c r="BC939" t="s">
        <v>4582</v>
      </c>
    </row>
    <row r="940" spans="1:55" x14ac:dyDescent="0.25">
      <c r="A940">
        <v>697</v>
      </c>
      <c r="B940" t="s">
        <v>1126</v>
      </c>
      <c r="C940" t="s">
        <v>2561</v>
      </c>
      <c r="D940" t="s">
        <v>3996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202</v>
      </c>
      <c r="K940">
        <v>168796709.238408</v>
      </c>
      <c r="L940">
        <v>0.95</v>
      </c>
      <c r="M940" t="s">
        <v>4536</v>
      </c>
      <c r="O940" t="s">
        <v>207</v>
      </c>
      <c r="Q940" t="s">
        <v>207</v>
      </c>
      <c r="R940" t="s">
        <v>207</v>
      </c>
      <c r="S940" t="s">
        <v>207</v>
      </c>
      <c r="T940" t="s">
        <v>207</v>
      </c>
      <c r="U940" t="s">
        <v>207</v>
      </c>
      <c r="V940" t="s">
        <v>207</v>
      </c>
      <c r="W940" t="s">
        <v>207</v>
      </c>
      <c r="X940" t="s">
        <v>207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208</v>
      </c>
      <c r="AZ940" t="s">
        <v>4571</v>
      </c>
      <c r="BA940">
        <v>16978528403.208879</v>
      </c>
      <c r="BB940" t="s">
        <v>4572</v>
      </c>
      <c r="BC940" t="s">
        <v>4577</v>
      </c>
    </row>
    <row r="941" spans="1:55" x14ac:dyDescent="0.25">
      <c r="A941">
        <v>521</v>
      </c>
      <c r="B941" t="s">
        <v>1127</v>
      </c>
      <c r="C941" t="s">
        <v>2562</v>
      </c>
      <c r="D941" t="s">
        <v>3997</v>
      </c>
      <c r="E941" t="s">
        <v>97</v>
      </c>
      <c r="F941">
        <v>493432200</v>
      </c>
      <c r="G941">
        <v>50.384650000000001</v>
      </c>
      <c r="H941" t="s">
        <v>104</v>
      </c>
      <c r="I941">
        <v>24861408695.73</v>
      </c>
      <c r="J941" t="s">
        <v>202</v>
      </c>
      <c r="K941">
        <v>74908375.500428796</v>
      </c>
      <c r="L941">
        <v>1</v>
      </c>
      <c r="M941" t="s">
        <v>4536</v>
      </c>
      <c r="O941" t="s">
        <v>207</v>
      </c>
      <c r="Q941" t="s">
        <v>207</v>
      </c>
      <c r="R941" t="s">
        <v>207</v>
      </c>
      <c r="S941" t="s">
        <v>207</v>
      </c>
      <c r="T941" t="s">
        <v>207</v>
      </c>
      <c r="U941" t="s">
        <v>207</v>
      </c>
      <c r="V941" t="s">
        <v>207</v>
      </c>
      <c r="W941" t="s">
        <v>207</v>
      </c>
      <c r="X941" t="s">
        <v>207</v>
      </c>
      <c r="AG941" t="s">
        <v>4556</v>
      </c>
      <c r="AH941" t="s">
        <v>4564</v>
      </c>
      <c r="AI941" t="s">
        <v>4565</v>
      </c>
      <c r="AJ941" t="s">
        <v>4566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208</v>
      </c>
      <c r="BA941">
        <v>24861408695.73</v>
      </c>
      <c r="BB941" t="s">
        <v>4572</v>
      </c>
      <c r="BC941" t="s">
        <v>4578</v>
      </c>
    </row>
    <row r="942" spans="1:55" x14ac:dyDescent="0.25">
      <c r="A942">
        <v>2</v>
      </c>
      <c r="B942" t="s">
        <v>1128</v>
      </c>
      <c r="C942" t="s">
        <v>2563</v>
      </c>
      <c r="D942" t="s">
        <v>3998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202</v>
      </c>
      <c r="K942">
        <v>30465492374.756001</v>
      </c>
      <c r="L942">
        <v>1</v>
      </c>
      <c r="M942" t="s">
        <v>4536</v>
      </c>
      <c r="O942" t="s">
        <v>207</v>
      </c>
      <c r="Q942" t="s">
        <v>207</v>
      </c>
      <c r="R942" t="s">
        <v>207</v>
      </c>
      <c r="S942" t="s">
        <v>207</v>
      </c>
      <c r="T942" t="s">
        <v>207</v>
      </c>
      <c r="U942" t="s">
        <v>207</v>
      </c>
      <c r="V942" t="s">
        <v>207</v>
      </c>
      <c r="W942" t="s">
        <v>207</v>
      </c>
      <c r="X942" t="s">
        <v>207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208</v>
      </c>
      <c r="BA942">
        <v>3148914404000</v>
      </c>
      <c r="BB942" t="s">
        <v>4572</v>
      </c>
      <c r="BC942" t="s">
        <v>4536</v>
      </c>
    </row>
    <row r="943" spans="1:55" x14ac:dyDescent="0.25">
      <c r="A943">
        <v>613</v>
      </c>
      <c r="B943" t="s">
        <v>1129</v>
      </c>
      <c r="C943" t="s">
        <v>2564</v>
      </c>
      <c r="D943" t="s">
        <v>3999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202</v>
      </c>
      <c r="K943">
        <v>203836070.36653301</v>
      </c>
      <c r="L943">
        <v>1</v>
      </c>
      <c r="M943" t="s">
        <v>4536</v>
      </c>
      <c r="O943" t="s">
        <v>207</v>
      </c>
      <c r="Q943" t="s">
        <v>207</v>
      </c>
      <c r="R943" t="s">
        <v>207</v>
      </c>
      <c r="S943" t="s">
        <v>207</v>
      </c>
      <c r="T943" t="s">
        <v>207</v>
      </c>
      <c r="U943" t="s">
        <v>207</v>
      </c>
      <c r="V943" t="s">
        <v>207</v>
      </c>
      <c r="W943" t="s">
        <v>207</v>
      </c>
      <c r="X943" t="s">
        <v>207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208</v>
      </c>
      <c r="BA943">
        <v>20293305151.785</v>
      </c>
      <c r="BB943" t="s">
        <v>4572</v>
      </c>
      <c r="BC943" t="s">
        <v>4536</v>
      </c>
    </row>
    <row r="944" spans="1:55" x14ac:dyDescent="0.25">
      <c r="A944">
        <v>232</v>
      </c>
      <c r="B944" t="s">
        <v>1130</v>
      </c>
      <c r="C944" t="s">
        <v>2565</v>
      </c>
      <c r="D944" t="s">
        <v>4000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202</v>
      </c>
      <c r="K944">
        <v>552398384.79835296</v>
      </c>
      <c r="L944">
        <v>1</v>
      </c>
      <c r="M944" t="s">
        <v>4536</v>
      </c>
      <c r="O944" t="s">
        <v>207</v>
      </c>
      <c r="Q944" t="s">
        <v>207</v>
      </c>
      <c r="R944" t="s">
        <v>207</v>
      </c>
      <c r="S944" t="s">
        <v>207</v>
      </c>
      <c r="T944" t="s">
        <v>207</v>
      </c>
      <c r="U944" t="s">
        <v>207</v>
      </c>
      <c r="V944" t="s">
        <v>207</v>
      </c>
      <c r="W944" t="s">
        <v>207</v>
      </c>
      <c r="X944" t="s">
        <v>207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208</v>
      </c>
      <c r="BA944">
        <v>57375642801.203987</v>
      </c>
      <c r="BB944" t="s">
        <v>4572</v>
      </c>
      <c r="BC944" t="s">
        <v>4536</v>
      </c>
    </row>
    <row r="945" spans="1:55" x14ac:dyDescent="0.25">
      <c r="A945">
        <v>847</v>
      </c>
      <c r="B945" t="s">
        <v>1131</v>
      </c>
      <c r="C945" t="s">
        <v>2566</v>
      </c>
      <c r="D945" t="s">
        <v>4001</v>
      </c>
      <c r="E945" t="s">
        <v>93</v>
      </c>
      <c r="F945">
        <v>721509640</v>
      </c>
      <c r="G945">
        <v>12.800179999999999</v>
      </c>
      <c r="H945" t="s">
        <v>101</v>
      </c>
      <c r="I945">
        <v>9235453263.735199</v>
      </c>
      <c r="J945" t="s">
        <v>205</v>
      </c>
      <c r="K945">
        <v>34305524.477332599</v>
      </c>
      <c r="L945">
        <v>1</v>
      </c>
      <c r="M945" t="s">
        <v>4536</v>
      </c>
      <c r="O945" t="s">
        <v>207</v>
      </c>
      <c r="Q945" t="s">
        <v>207</v>
      </c>
      <c r="R945" t="s">
        <v>207</v>
      </c>
      <c r="S945" t="s">
        <v>207</v>
      </c>
      <c r="T945" t="s">
        <v>207</v>
      </c>
      <c r="U945" t="s">
        <v>207</v>
      </c>
      <c r="V945" t="s">
        <v>207</v>
      </c>
      <c r="W945" t="s">
        <v>207</v>
      </c>
      <c r="X945" t="s">
        <v>207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210</v>
      </c>
      <c r="BA945">
        <v>9235453263.735199</v>
      </c>
      <c r="BB945" t="s">
        <v>4572</v>
      </c>
      <c r="BC945" t="s">
        <v>4536</v>
      </c>
    </row>
    <row r="946" spans="1:55" x14ac:dyDescent="0.25">
      <c r="A946">
        <v>849</v>
      </c>
      <c r="B946" t="s">
        <v>1132</v>
      </c>
      <c r="C946" t="s">
        <v>2567</v>
      </c>
      <c r="D946" t="s">
        <v>4002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205</v>
      </c>
      <c r="K946">
        <v>22955459.765792701</v>
      </c>
      <c r="L946">
        <v>0.65</v>
      </c>
      <c r="M946" t="s">
        <v>4536</v>
      </c>
      <c r="O946" t="s">
        <v>207</v>
      </c>
      <c r="Q946" t="s">
        <v>207</v>
      </c>
      <c r="R946" t="s">
        <v>207</v>
      </c>
      <c r="S946" t="s">
        <v>207</v>
      </c>
      <c r="T946" t="s">
        <v>207</v>
      </c>
      <c r="U946" t="s">
        <v>207</v>
      </c>
      <c r="V946" t="s">
        <v>207</v>
      </c>
      <c r="W946" t="s">
        <v>207</v>
      </c>
      <c r="X946" t="s">
        <v>207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210</v>
      </c>
      <c r="BA946">
        <v>9172864935</v>
      </c>
      <c r="BB946" t="s">
        <v>4572</v>
      </c>
      <c r="BC946" t="s">
        <v>4536</v>
      </c>
    </row>
    <row r="947" spans="1:55" x14ac:dyDescent="0.25">
      <c r="A947">
        <v>303</v>
      </c>
      <c r="B947" t="s">
        <v>1133</v>
      </c>
      <c r="C947" t="s">
        <v>2568</v>
      </c>
      <c r="D947" t="s">
        <v>4003</v>
      </c>
      <c r="E947" t="s">
        <v>4527</v>
      </c>
      <c r="F947">
        <v>4514942000</v>
      </c>
      <c r="G947">
        <v>12.68961</v>
      </c>
      <c r="H947" t="s">
        <v>4534</v>
      </c>
      <c r="I947">
        <v>57292853152.620003</v>
      </c>
      <c r="J947" t="s">
        <v>205</v>
      </c>
      <c r="K947">
        <v>58166197.724900402</v>
      </c>
      <c r="L947">
        <v>0.8</v>
      </c>
      <c r="M947" t="s">
        <v>4536</v>
      </c>
      <c r="O947" t="s">
        <v>207</v>
      </c>
      <c r="Q947" t="s">
        <v>207</v>
      </c>
      <c r="R947" t="s">
        <v>207</v>
      </c>
      <c r="S947" t="s">
        <v>207</v>
      </c>
      <c r="T947" t="s">
        <v>207</v>
      </c>
      <c r="U947" t="s">
        <v>207</v>
      </c>
      <c r="V947" t="s">
        <v>207</v>
      </c>
      <c r="W947" t="s">
        <v>207</v>
      </c>
      <c r="X947" t="s">
        <v>207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210</v>
      </c>
      <c r="BA947">
        <v>45834282522.096008</v>
      </c>
      <c r="BB947" t="s">
        <v>4572</v>
      </c>
      <c r="BC947" t="s">
        <v>4536</v>
      </c>
    </row>
    <row r="948" spans="1:55" x14ac:dyDescent="0.25">
      <c r="A948">
        <v>423</v>
      </c>
      <c r="B948" t="s">
        <v>1134</v>
      </c>
      <c r="C948" t="s">
        <v>2569</v>
      </c>
      <c r="D948" t="s">
        <v>4004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202</v>
      </c>
      <c r="K948">
        <v>531222761.88761199</v>
      </c>
      <c r="L948">
        <v>0.7</v>
      </c>
      <c r="M948" t="s">
        <v>4536</v>
      </c>
      <c r="O948" t="s">
        <v>207</v>
      </c>
      <c r="Q948" t="s">
        <v>207</v>
      </c>
      <c r="R948" t="s">
        <v>207</v>
      </c>
      <c r="S948" t="s">
        <v>207</v>
      </c>
      <c r="T948" t="s">
        <v>207</v>
      </c>
      <c r="U948" t="s">
        <v>207</v>
      </c>
      <c r="V948" t="s">
        <v>207</v>
      </c>
      <c r="W948" t="s">
        <v>207</v>
      </c>
      <c r="X948" t="s">
        <v>207</v>
      </c>
      <c r="AG948" t="s">
        <v>4546</v>
      </c>
      <c r="AH948" t="s">
        <v>4564</v>
      </c>
      <c r="AI948" t="s">
        <v>4565</v>
      </c>
      <c r="AJ948" t="s">
        <v>4566</v>
      </c>
      <c r="AK948">
        <v>0</v>
      </c>
      <c r="AL948">
        <v>0.83599999999999997</v>
      </c>
      <c r="AM948">
        <v>9.9000000000000008E-3</v>
      </c>
      <c r="AO948" t="s">
        <v>4568</v>
      </c>
      <c r="AP948" t="s">
        <v>4569</v>
      </c>
      <c r="AQ948">
        <v>0</v>
      </c>
      <c r="AR948">
        <v>0</v>
      </c>
      <c r="AW948">
        <v>6010</v>
      </c>
      <c r="AX948">
        <v>2.2000000000000002</v>
      </c>
      <c r="AY948" t="s">
        <v>208</v>
      </c>
      <c r="BA948">
        <v>31681927081.51099</v>
      </c>
      <c r="BB948" t="s">
        <v>4572</v>
      </c>
      <c r="BC948" t="s">
        <v>4642</v>
      </c>
    </row>
    <row r="949" spans="1:55" x14ac:dyDescent="0.25">
      <c r="A949">
        <v>1268</v>
      </c>
      <c r="B949" t="s">
        <v>1135</v>
      </c>
      <c r="C949" t="s">
        <v>2570</v>
      </c>
      <c r="D949" t="s">
        <v>4005</v>
      </c>
      <c r="E949" t="s">
        <v>93</v>
      </c>
      <c r="F949">
        <v>368497740</v>
      </c>
      <c r="G949">
        <v>9.2731759999999994</v>
      </c>
      <c r="H949" t="s">
        <v>101</v>
      </c>
      <c r="I949">
        <v>3417144398.6222401</v>
      </c>
      <c r="J949" t="s">
        <v>205</v>
      </c>
      <c r="K949">
        <v>11062896.039744999</v>
      </c>
      <c r="L949">
        <v>0.95</v>
      </c>
      <c r="M949" t="s">
        <v>4536</v>
      </c>
      <c r="O949" t="s">
        <v>207</v>
      </c>
      <c r="Q949" t="s">
        <v>207</v>
      </c>
      <c r="R949" t="s">
        <v>207</v>
      </c>
      <c r="S949" t="s">
        <v>207</v>
      </c>
      <c r="T949" t="s">
        <v>207</v>
      </c>
      <c r="U949" t="s">
        <v>207</v>
      </c>
      <c r="V949" t="s">
        <v>207</v>
      </c>
      <c r="W949" t="s">
        <v>207</v>
      </c>
      <c r="X949" t="s">
        <v>207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210</v>
      </c>
      <c r="BA949">
        <v>3246287178.6911268</v>
      </c>
      <c r="BB949" t="s">
        <v>4572</v>
      </c>
      <c r="BC949" t="s">
        <v>4536</v>
      </c>
    </row>
    <row r="950" spans="1:55" x14ac:dyDescent="0.25">
      <c r="A950">
        <v>1201</v>
      </c>
      <c r="B950" t="s">
        <v>1136</v>
      </c>
      <c r="C950" t="s">
        <v>2571</v>
      </c>
      <c r="D950" t="s">
        <v>4006</v>
      </c>
      <c r="E950" t="s">
        <v>93</v>
      </c>
      <c r="F950">
        <v>1014381840</v>
      </c>
      <c r="G950">
        <v>4.0143259999999996</v>
      </c>
      <c r="H950" t="s">
        <v>101</v>
      </c>
      <c r="I950">
        <v>4072059394.23984</v>
      </c>
      <c r="J950" t="s">
        <v>205</v>
      </c>
      <c r="K950">
        <v>17185697.885695498</v>
      </c>
      <c r="L950">
        <v>0.9</v>
      </c>
      <c r="M950" t="s">
        <v>4536</v>
      </c>
      <c r="O950" t="s">
        <v>207</v>
      </c>
      <c r="Q950" t="s">
        <v>207</v>
      </c>
      <c r="R950" t="s">
        <v>207</v>
      </c>
      <c r="S950" t="s">
        <v>207</v>
      </c>
      <c r="T950" t="s">
        <v>207</v>
      </c>
      <c r="U950" t="s">
        <v>207</v>
      </c>
      <c r="V950" t="s">
        <v>207</v>
      </c>
      <c r="W950" t="s">
        <v>207</v>
      </c>
      <c r="X950" t="s">
        <v>207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210</v>
      </c>
      <c r="BA950">
        <v>3664853454.815856</v>
      </c>
      <c r="BB950" t="s">
        <v>4572</v>
      </c>
      <c r="BC950" t="s">
        <v>4536</v>
      </c>
    </row>
    <row r="951" spans="1:55" x14ac:dyDescent="0.25">
      <c r="A951">
        <v>430</v>
      </c>
      <c r="B951" t="s">
        <v>1137</v>
      </c>
      <c r="C951" t="s">
        <v>2572</v>
      </c>
      <c r="D951" t="s">
        <v>4007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202</v>
      </c>
      <c r="K951">
        <v>288985833.11427802</v>
      </c>
      <c r="L951">
        <v>0.85</v>
      </c>
      <c r="M951" t="s">
        <v>4536</v>
      </c>
      <c r="O951" t="s">
        <v>207</v>
      </c>
      <c r="Q951" t="s">
        <v>207</v>
      </c>
      <c r="R951" t="s">
        <v>207</v>
      </c>
      <c r="S951" t="s">
        <v>207</v>
      </c>
      <c r="T951" t="s">
        <v>207</v>
      </c>
      <c r="U951" t="s">
        <v>207</v>
      </c>
      <c r="V951" t="s">
        <v>207</v>
      </c>
      <c r="W951" t="s">
        <v>207</v>
      </c>
      <c r="X951" t="s">
        <v>207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208</v>
      </c>
      <c r="AZ951" t="s">
        <v>4571</v>
      </c>
      <c r="BA951">
        <v>31312968975.041</v>
      </c>
      <c r="BB951" t="s">
        <v>4572</v>
      </c>
      <c r="BC951" t="s">
        <v>4577</v>
      </c>
    </row>
    <row r="952" spans="1:55" x14ac:dyDescent="0.25">
      <c r="A952">
        <v>751</v>
      </c>
      <c r="B952" t="s">
        <v>1138</v>
      </c>
      <c r="C952" t="s">
        <v>2573</v>
      </c>
      <c r="D952" t="s">
        <v>4008</v>
      </c>
      <c r="E952" t="s">
        <v>93</v>
      </c>
      <c r="F952">
        <v>1139116300</v>
      </c>
      <c r="G952">
        <v>13.103960000000001</v>
      </c>
      <c r="H952" t="s">
        <v>101</v>
      </c>
      <c r="I952">
        <v>14926934430.548</v>
      </c>
      <c r="J952" t="s">
        <v>205</v>
      </c>
      <c r="K952">
        <v>50059870.970525898</v>
      </c>
      <c r="L952">
        <v>1</v>
      </c>
      <c r="M952" t="s">
        <v>4536</v>
      </c>
      <c r="O952" t="s">
        <v>207</v>
      </c>
      <c r="Q952" t="s">
        <v>207</v>
      </c>
      <c r="R952" t="s">
        <v>207</v>
      </c>
      <c r="S952" t="s">
        <v>207</v>
      </c>
      <c r="T952" t="s">
        <v>207</v>
      </c>
      <c r="U952" t="s">
        <v>207</v>
      </c>
      <c r="V952" t="s">
        <v>207</v>
      </c>
      <c r="W952" t="s">
        <v>207</v>
      </c>
      <c r="X952" t="s">
        <v>207</v>
      </c>
      <c r="AG952" t="s">
        <v>4546</v>
      </c>
      <c r="AH952" t="s">
        <v>4562</v>
      </c>
      <c r="AI952" t="s">
        <v>4565</v>
      </c>
      <c r="AJ952" t="s">
        <v>4566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210</v>
      </c>
      <c r="BA952">
        <v>14926934430.548</v>
      </c>
      <c r="BB952" t="s">
        <v>4572</v>
      </c>
      <c r="BC952" t="s">
        <v>4578</v>
      </c>
    </row>
    <row r="953" spans="1:55" x14ac:dyDescent="0.25">
      <c r="A953">
        <v>996</v>
      </c>
      <c r="B953" t="s">
        <v>1139</v>
      </c>
      <c r="C953" t="s">
        <v>2574</v>
      </c>
      <c r="D953" t="s">
        <v>4009</v>
      </c>
      <c r="E953" t="s">
        <v>93</v>
      </c>
      <c r="F953">
        <v>206244870</v>
      </c>
      <c r="G953">
        <v>29.699750000000002</v>
      </c>
      <c r="H953" t="s">
        <v>101</v>
      </c>
      <c r="I953">
        <v>6125421077.7825003</v>
      </c>
      <c r="J953" t="s">
        <v>205</v>
      </c>
      <c r="K953">
        <v>37196932.043381803</v>
      </c>
      <c r="L953">
        <v>1</v>
      </c>
      <c r="M953" t="s">
        <v>4536</v>
      </c>
      <c r="O953" t="s">
        <v>207</v>
      </c>
      <c r="Q953" t="s">
        <v>207</v>
      </c>
      <c r="R953" t="s">
        <v>207</v>
      </c>
      <c r="S953" t="s">
        <v>207</v>
      </c>
      <c r="T953" t="s">
        <v>207</v>
      </c>
      <c r="U953" t="s">
        <v>207</v>
      </c>
      <c r="V953" t="s">
        <v>207</v>
      </c>
      <c r="W953" t="s">
        <v>207</v>
      </c>
      <c r="X953" t="s">
        <v>207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210</v>
      </c>
      <c r="BA953">
        <v>6125421077.7825003</v>
      </c>
      <c r="BB953" t="s">
        <v>4572</v>
      </c>
      <c r="BC953" t="s">
        <v>4536</v>
      </c>
    </row>
    <row r="954" spans="1:55" x14ac:dyDescent="0.25">
      <c r="A954">
        <v>1012</v>
      </c>
      <c r="B954" t="s">
        <v>1140</v>
      </c>
      <c r="C954" t="s">
        <v>2575</v>
      </c>
      <c r="D954" t="s">
        <v>4010</v>
      </c>
      <c r="E954" t="s">
        <v>4524</v>
      </c>
      <c r="F954">
        <v>327272740</v>
      </c>
      <c r="G954">
        <v>40.1</v>
      </c>
      <c r="H954" t="s">
        <v>99</v>
      </c>
      <c r="I954">
        <v>13123636874</v>
      </c>
      <c r="J954" t="s">
        <v>203</v>
      </c>
      <c r="K954">
        <v>15094965.2940984</v>
      </c>
      <c r="L954">
        <v>0.45</v>
      </c>
      <c r="O954" t="s">
        <v>207</v>
      </c>
      <c r="Q954" t="s">
        <v>207</v>
      </c>
      <c r="R954" t="s">
        <v>207</v>
      </c>
      <c r="S954" t="s">
        <v>207</v>
      </c>
      <c r="T954" t="s">
        <v>207</v>
      </c>
      <c r="U954" t="s">
        <v>207</v>
      </c>
      <c r="V954" t="s">
        <v>207</v>
      </c>
      <c r="W954" t="s">
        <v>207</v>
      </c>
      <c r="X954" t="s">
        <v>207</v>
      </c>
      <c r="AK954">
        <v>0</v>
      </c>
      <c r="AL954">
        <v>0.71499999999999997</v>
      </c>
      <c r="AM954">
        <v>1.89E-2</v>
      </c>
      <c r="AO954" t="s">
        <v>4568</v>
      </c>
      <c r="AP954" t="s">
        <v>4569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209</v>
      </c>
      <c r="BA954">
        <v>5905636593.3000002</v>
      </c>
      <c r="BB954" t="s">
        <v>4572</v>
      </c>
      <c r="BC954" t="s">
        <v>4586</v>
      </c>
    </row>
    <row r="955" spans="1:55" x14ac:dyDescent="0.25">
      <c r="A955">
        <v>579</v>
      </c>
      <c r="B955" t="s">
        <v>1141</v>
      </c>
      <c r="C955" t="s">
        <v>2576</v>
      </c>
      <c r="D955" t="s">
        <v>4011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202</v>
      </c>
      <c r="K955">
        <v>458445360.50275701</v>
      </c>
      <c r="L955">
        <v>1</v>
      </c>
      <c r="M955" t="s">
        <v>4536</v>
      </c>
      <c r="O955" t="s">
        <v>207</v>
      </c>
      <c r="Q955" t="s">
        <v>207</v>
      </c>
      <c r="R955" t="s">
        <v>207</v>
      </c>
      <c r="S955" t="s">
        <v>207</v>
      </c>
      <c r="T955" t="s">
        <v>207</v>
      </c>
      <c r="U955" t="s">
        <v>207</v>
      </c>
      <c r="V955" t="s">
        <v>207</v>
      </c>
      <c r="W955" t="s">
        <v>207</v>
      </c>
      <c r="X955" t="s">
        <v>207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208</v>
      </c>
      <c r="BA955">
        <v>21786522672.525002</v>
      </c>
      <c r="BB955" t="s">
        <v>4572</v>
      </c>
      <c r="BC955" t="s">
        <v>4536</v>
      </c>
    </row>
    <row r="956" spans="1:55" x14ac:dyDescent="0.25">
      <c r="A956">
        <v>228</v>
      </c>
      <c r="B956" t="s">
        <v>1142</v>
      </c>
      <c r="C956" t="s">
        <v>2577</v>
      </c>
      <c r="D956" t="s">
        <v>4012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202</v>
      </c>
      <c r="K956">
        <v>356182050.97681898</v>
      </c>
      <c r="L956">
        <v>1</v>
      </c>
      <c r="M956" t="s">
        <v>4536</v>
      </c>
      <c r="O956" t="s">
        <v>207</v>
      </c>
      <c r="Q956" t="s">
        <v>207</v>
      </c>
      <c r="R956" t="s">
        <v>207</v>
      </c>
      <c r="S956" t="s">
        <v>207</v>
      </c>
      <c r="T956" t="s">
        <v>207</v>
      </c>
      <c r="U956" t="s">
        <v>207</v>
      </c>
      <c r="V956" t="s">
        <v>207</v>
      </c>
      <c r="W956" t="s">
        <v>207</v>
      </c>
      <c r="X956" t="s">
        <v>207</v>
      </c>
      <c r="AK956">
        <v>0</v>
      </c>
      <c r="AL956">
        <v>0.996</v>
      </c>
      <c r="AM956">
        <v>0</v>
      </c>
      <c r="AO956" t="s">
        <v>4568</v>
      </c>
      <c r="AQ956">
        <v>0</v>
      </c>
      <c r="AR956">
        <v>0</v>
      </c>
      <c r="AW956">
        <v>6010</v>
      </c>
      <c r="AX956">
        <v>2.4260000000000002</v>
      </c>
      <c r="AY956" t="s">
        <v>208</v>
      </c>
      <c r="BA956">
        <v>58545974906.309998</v>
      </c>
      <c r="BB956" t="s">
        <v>4572</v>
      </c>
      <c r="BC956" t="s">
        <v>4582</v>
      </c>
    </row>
    <row r="957" spans="1:55" x14ac:dyDescent="0.25">
      <c r="A957">
        <v>1094</v>
      </c>
      <c r="B957" t="s">
        <v>1143</v>
      </c>
      <c r="C957" t="s">
        <v>2578</v>
      </c>
      <c r="D957" t="s">
        <v>4013</v>
      </c>
      <c r="E957" t="s">
        <v>93</v>
      </c>
      <c r="F957">
        <v>498692800</v>
      </c>
      <c r="G957">
        <v>9.9638679999999997</v>
      </c>
      <c r="H957" t="s">
        <v>101</v>
      </c>
      <c r="I957">
        <v>4968909231.7503996</v>
      </c>
      <c r="J957" t="s">
        <v>205</v>
      </c>
      <c r="K957">
        <v>23621770.6409535</v>
      </c>
      <c r="L957">
        <v>0.95</v>
      </c>
      <c r="M957" t="s">
        <v>4536</v>
      </c>
      <c r="O957" t="s">
        <v>207</v>
      </c>
      <c r="Q957" t="s">
        <v>207</v>
      </c>
      <c r="R957" t="s">
        <v>207</v>
      </c>
      <c r="S957" t="s">
        <v>207</v>
      </c>
      <c r="T957" t="s">
        <v>207</v>
      </c>
      <c r="U957" t="s">
        <v>207</v>
      </c>
      <c r="V957" t="s">
        <v>207</v>
      </c>
      <c r="W957" t="s">
        <v>207</v>
      </c>
      <c r="X957" t="s">
        <v>207</v>
      </c>
      <c r="AG957" t="s">
        <v>4546</v>
      </c>
      <c r="AH957" t="s">
        <v>4562</v>
      </c>
      <c r="AI957" t="s">
        <v>4565</v>
      </c>
      <c r="AJ957" t="s">
        <v>4566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210</v>
      </c>
      <c r="BA957">
        <v>4720463770.162879</v>
      </c>
      <c r="BB957" t="s">
        <v>4572</v>
      </c>
      <c r="BC957" t="s">
        <v>4578</v>
      </c>
    </row>
    <row r="958" spans="1:55" x14ac:dyDescent="0.25">
      <c r="A958">
        <v>1381</v>
      </c>
      <c r="B958" t="s">
        <v>1144</v>
      </c>
      <c r="C958" t="s">
        <v>2579</v>
      </c>
      <c r="D958" t="s">
        <v>4014</v>
      </c>
      <c r="E958" t="s">
        <v>93</v>
      </c>
      <c r="F958">
        <v>120685800</v>
      </c>
      <c r="G958">
        <v>33.863079999999997</v>
      </c>
      <c r="H958" t="s">
        <v>101</v>
      </c>
      <c r="I958">
        <v>4086792900.263999</v>
      </c>
      <c r="J958" t="s">
        <v>205</v>
      </c>
      <c r="K958">
        <v>10908446.789839201</v>
      </c>
      <c r="L958">
        <v>0.65</v>
      </c>
      <c r="M958" t="s">
        <v>4536</v>
      </c>
      <c r="O958" t="s">
        <v>207</v>
      </c>
      <c r="Q958" t="s">
        <v>207</v>
      </c>
      <c r="R958" t="s">
        <v>207</v>
      </c>
      <c r="S958" t="s">
        <v>207</v>
      </c>
      <c r="T958" t="s">
        <v>207</v>
      </c>
      <c r="U958" t="s">
        <v>207</v>
      </c>
      <c r="V958" t="s">
        <v>207</v>
      </c>
      <c r="W958" t="s">
        <v>207</v>
      </c>
      <c r="X958" t="s">
        <v>207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210</v>
      </c>
      <c r="BA958">
        <v>2656415385.1715999</v>
      </c>
      <c r="BB958" t="s">
        <v>4572</v>
      </c>
      <c r="BC958" t="s">
        <v>4536</v>
      </c>
    </row>
    <row r="959" spans="1:55" x14ac:dyDescent="0.25">
      <c r="A959">
        <v>28</v>
      </c>
      <c r="B959" t="s">
        <v>165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448930736996.40002</v>
      </c>
      <c r="J959" t="s">
        <v>202</v>
      </c>
      <c r="K959">
        <v>1801458517.4442799</v>
      </c>
      <c r="L959">
        <v>0.6</v>
      </c>
      <c r="O959" t="s">
        <v>207</v>
      </c>
      <c r="Q959" t="s">
        <v>207</v>
      </c>
      <c r="R959" t="s">
        <v>207</v>
      </c>
      <c r="S959" t="s">
        <v>207</v>
      </c>
      <c r="T959" t="s">
        <v>207</v>
      </c>
      <c r="U959" t="s">
        <v>207</v>
      </c>
      <c r="V959" t="s">
        <v>207</v>
      </c>
      <c r="W959" t="s">
        <v>207</v>
      </c>
      <c r="X959" t="s">
        <v>207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208</v>
      </c>
      <c r="BA959">
        <v>269358442197.84</v>
      </c>
      <c r="BB959" t="s">
        <v>211</v>
      </c>
    </row>
    <row r="960" spans="1:55" x14ac:dyDescent="0.25">
      <c r="A960">
        <v>1315</v>
      </c>
      <c r="B960" t="s">
        <v>1145</v>
      </c>
      <c r="C960" t="s">
        <v>2580</v>
      </c>
      <c r="D960" t="s">
        <v>4015</v>
      </c>
      <c r="E960" t="s">
        <v>93</v>
      </c>
      <c r="F960">
        <v>128301570</v>
      </c>
      <c r="G960">
        <v>93.659080000000003</v>
      </c>
      <c r="H960" t="s">
        <v>101</v>
      </c>
      <c r="I960">
        <v>12016607008.7556</v>
      </c>
      <c r="J960" t="s">
        <v>205</v>
      </c>
      <c r="K960">
        <v>13223103.997981399</v>
      </c>
      <c r="L960">
        <v>0.25</v>
      </c>
      <c r="M960" t="s">
        <v>4536</v>
      </c>
      <c r="O960" t="s">
        <v>207</v>
      </c>
      <c r="Q960" t="s">
        <v>207</v>
      </c>
      <c r="R960" t="s">
        <v>207</v>
      </c>
      <c r="S960" t="s">
        <v>207</v>
      </c>
      <c r="T960" t="s">
        <v>207</v>
      </c>
      <c r="U960" t="s">
        <v>207</v>
      </c>
      <c r="V960" t="s">
        <v>207</v>
      </c>
      <c r="W960" t="s">
        <v>207</v>
      </c>
      <c r="X960" t="s">
        <v>207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210</v>
      </c>
      <c r="BA960">
        <v>3004151752.1889</v>
      </c>
      <c r="BB960" t="s">
        <v>4572</v>
      </c>
      <c r="BC960" t="s">
        <v>4536</v>
      </c>
    </row>
    <row r="961" spans="1:55" x14ac:dyDescent="0.25">
      <c r="A961">
        <v>175</v>
      </c>
      <c r="B961" t="s">
        <v>1146</v>
      </c>
      <c r="C961" t="s">
        <v>2581</v>
      </c>
      <c r="D961" t="s">
        <v>4016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202</v>
      </c>
      <c r="K961">
        <v>397443725.63527203</v>
      </c>
      <c r="L961">
        <v>1</v>
      </c>
      <c r="M961" t="s">
        <v>4536</v>
      </c>
      <c r="O961" t="s">
        <v>207</v>
      </c>
      <c r="Q961" t="s">
        <v>207</v>
      </c>
      <c r="R961" t="s">
        <v>207</v>
      </c>
      <c r="S961" t="s">
        <v>207</v>
      </c>
      <c r="T961" t="s">
        <v>207</v>
      </c>
      <c r="U961" t="s">
        <v>207</v>
      </c>
      <c r="V961" t="s">
        <v>207</v>
      </c>
      <c r="W961" t="s">
        <v>207</v>
      </c>
      <c r="X961" t="s">
        <v>207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208</v>
      </c>
      <c r="BA961">
        <v>71972047980.084</v>
      </c>
      <c r="BB961" t="s">
        <v>4572</v>
      </c>
      <c r="BC961" t="s">
        <v>4536</v>
      </c>
    </row>
    <row r="962" spans="1:55" x14ac:dyDescent="0.25">
      <c r="A962">
        <v>1092</v>
      </c>
      <c r="B962" t="s">
        <v>1147</v>
      </c>
      <c r="C962" t="s">
        <v>2582</v>
      </c>
      <c r="D962" t="s">
        <v>4017</v>
      </c>
      <c r="E962" t="s">
        <v>94</v>
      </c>
      <c r="F962">
        <v>487360500</v>
      </c>
      <c r="G962">
        <v>10.26219</v>
      </c>
      <c r="H962" t="s">
        <v>102</v>
      </c>
      <c r="I962">
        <v>5001386049.4949999</v>
      </c>
      <c r="J962" t="s">
        <v>205</v>
      </c>
      <c r="K962">
        <v>16959579.873899601</v>
      </c>
      <c r="L962">
        <v>0.95</v>
      </c>
      <c r="M962" t="s">
        <v>4536</v>
      </c>
      <c r="O962" t="s">
        <v>207</v>
      </c>
      <c r="Q962" t="s">
        <v>207</v>
      </c>
      <c r="R962" t="s">
        <v>207</v>
      </c>
      <c r="S962" t="s">
        <v>207</v>
      </c>
      <c r="T962" t="s">
        <v>207</v>
      </c>
      <c r="U962" t="s">
        <v>207</v>
      </c>
      <c r="V962" t="s">
        <v>207</v>
      </c>
      <c r="W962" t="s">
        <v>207</v>
      </c>
      <c r="X962" t="s">
        <v>207</v>
      </c>
      <c r="AK962">
        <v>0.214</v>
      </c>
      <c r="AL962">
        <v>0.25</v>
      </c>
      <c r="AM962">
        <v>0</v>
      </c>
      <c r="AN962" t="s">
        <v>4567</v>
      </c>
      <c r="AO962" t="s">
        <v>4568</v>
      </c>
      <c r="AQ962">
        <v>0</v>
      </c>
      <c r="AR962">
        <v>0</v>
      </c>
      <c r="AW962">
        <v>5510</v>
      </c>
      <c r="AX962">
        <v>1.619</v>
      </c>
      <c r="AY962" t="s">
        <v>210</v>
      </c>
      <c r="BA962">
        <v>4751316747.0202494</v>
      </c>
      <c r="BB962" t="s">
        <v>4572</v>
      </c>
      <c r="BC962" t="s">
        <v>4599</v>
      </c>
    </row>
    <row r="963" spans="1:55" x14ac:dyDescent="0.25">
      <c r="A963">
        <v>559</v>
      </c>
      <c r="B963" t="s">
        <v>1148</v>
      </c>
      <c r="C963" t="s">
        <v>2583</v>
      </c>
      <c r="D963" t="s">
        <v>4018</v>
      </c>
      <c r="E963" t="s">
        <v>93</v>
      </c>
      <c r="F963">
        <v>1800450800</v>
      </c>
      <c r="G963">
        <v>19.390529999999998</v>
      </c>
      <c r="H963" t="s">
        <v>101</v>
      </c>
      <c r="I963">
        <v>34911695250.924004</v>
      </c>
      <c r="J963" t="s">
        <v>205</v>
      </c>
      <c r="K963">
        <v>93970696.454601303</v>
      </c>
      <c r="L963">
        <v>0.65</v>
      </c>
      <c r="M963" t="s">
        <v>4536</v>
      </c>
      <c r="O963" t="s">
        <v>207</v>
      </c>
      <c r="Q963" t="s">
        <v>207</v>
      </c>
      <c r="R963" t="s">
        <v>207</v>
      </c>
      <c r="S963" t="s">
        <v>207</v>
      </c>
      <c r="T963" t="s">
        <v>207</v>
      </c>
      <c r="U963" t="s">
        <v>207</v>
      </c>
      <c r="V963" t="s">
        <v>207</v>
      </c>
      <c r="W963" t="s">
        <v>207</v>
      </c>
      <c r="X963" t="s">
        <v>207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210</v>
      </c>
      <c r="BA963">
        <v>22692601913.100601</v>
      </c>
      <c r="BB963" t="s">
        <v>4572</v>
      </c>
      <c r="BC963" t="s">
        <v>4536</v>
      </c>
    </row>
    <row r="964" spans="1:55" x14ac:dyDescent="0.25">
      <c r="A964">
        <v>807</v>
      </c>
      <c r="B964" t="s">
        <v>1149</v>
      </c>
      <c r="C964" t="s">
        <v>2584</v>
      </c>
      <c r="D964" t="s">
        <v>4019</v>
      </c>
      <c r="E964" t="s">
        <v>94</v>
      </c>
      <c r="F964">
        <v>1722747700</v>
      </c>
      <c r="G964">
        <v>6.4939020000000003</v>
      </c>
      <c r="H964" t="s">
        <v>102</v>
      </c>
      <c r="I964">
        <v>11187354734.5254</v>
      </c>
      <c r="J964" t="s">
        <v>205</v>
      </c>
      <c r="K964">
        <v>22831114.292309601</v>
      </c>
      <c r="L964">
        <v>1</v>
      </c>
      <c r="M964" t="s">
        <v>4536</v>
      </c>
      <c r="O964" t="s">
        <v>207</v>
      </c>
      <c r="Q964" t="s">
        <v>207</v>
      </c>
      <c r="R964" t="s">
        <v>207</v>
      </c>
      <c r="S964" t="s">
        <v>207</v>
      </c>
      <c r="T964" t="s">
        <v>207</v>
      </c>
      <c r="U964" t="s">
        <v>207</v>
      </c>
      <c r="V964" t="s">
        <v>207</v>
      </c>
      <c r="W964" t="s">
        <v>207</v>
      </c>
      <c r="X964" t="s">
        <v>207</v>
      </c>
      <c r="AK964">
        <v>0.27750000000000002</v>
      </c>
      <c r="AL964">
        <v>0.628</v>
      </c>
      <c r="AM964">
        <v>0.33040000000000003</v>
      </c>
      <c r="AN964" t="s">
        <v>4567</v>
      </c>
      <c r="AO964" t="s">
        <v>4568</v>
      </c>
      <c r="AP964" t="s">
        <v>4569</v>
      </c>
      <c r="AQ964">
        <v>0</v>
      </c>
      <c r="AR964">
        <v>0</v>
      </c>
      <c r="AW964">
        <v>6510</v>
      </c>
      <c r="AX964">
        <v>2.754</v>
      </c>
      <c r="AY964" t="s">
        <v>210</v>
      </c>
      <c r="BA964">
        <v>11187354734.5254</v>
      </c>
      <c r="BB964" t="s">
        <v>4572</v>
      </c>
      <c r="BC964" t="s">
        <v>4576</v>
      </c>
    </row>
    <row r="965" spans="1:55" x14ac:dyDescent="0.25">
      <c r="A965">
        <v>1026</v>
      </c>
      <c r="B965" t="s">
        <v>1150</v>
      </c>
      <c r="C965" t="s">
        <v>2585</v>
      </c>
      <c r="D965" t="s">
        <v>4020</v>
      </c>
      <c r="E965" t="s">
        <v>4528</v>
      </c>
      <c r="F965">
        <v>108382010</v>
      </c>
      <c r="G965">
        <v>52.44</v>
      </c>
      <c r="H965" t="s">
        <v>99</v>
      </c>
      <c r="I965">
        <v>5683552604.3999996</v>
      </c>
      <c r="J965" t="s">
        <v>203</v>
      </c>
      <c r="K965">
        <v>9590018.5647457596</v>
      </c>
      <c r="L965">
        <v>1</v>
      </c>
      <c r="N965" t="s">
        <v>4537</v>
      </c>
      <c r="O965" t="s">
        <v>207</v>
      </c>
      <c r="Q965" t="s">
        <v>207</v>
      </c>
      <c r="R965" t="s">
        <v>207</v>
      </c>
      <c r="S965" t="s">
        <v>207</v>
      </c>
      <c r="T965" t="s">
        <v>207</v>
      </c>
      <c r="U965" t="s">
        <v>207</v>
      </c>
      <c r="V965" t="s">
        <v>207</v>
      </c>
      <c r="W965" t="s">
        <v>207</v>
      </c>
      <c r="X965" t="s">
        <v>207</v>
      </c>
      <c r="AG965" t="s">
        <v>4546</v>
      </c>
      <c r="AH965" t="s">
        <v>4562</v>
      </c>
      <c r="AI965" t="s">
        <v>4565</v>
      </c>
      <c r="AJ965" t="s">
        <v>4566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209</v>
      </c>
      <c r="BA965">
        <v>5683552604.3999996</v>
      </c>
      <c r="BB965" t="s">
        <v>4572</v>
      </c>
      <c r="BC965" t="s">
        <v>4645</v>
      </c>
    </row>
    <row r="966" spans="1:55" x14ac:dyDescent="0.25">
      <c r="A966">
        <v>560</v>
      </c>
      <c r="B966" t="s">
        <v>1151</v>
      </c>
      <c r="C966" t="s">
        <v>2586</v>
      </c>
      <c r="D966" t="s">
        <v>4021</v>
      </c>
      <c r="E966" t="s">
        <v>93</v>
      </c>
      <c r="F966">
        <v>1162962300</v>
      </c>
      <c r="G966">
        <v>19.486460000000001</v>
      </c>
      <c r="H966" t="s">
        <v>101</v>
      </c>
      <c r="I966">
        <v>22662018340.458</v>
      </c>
      <c r="J966" t="s">
        <v>205</v>
      </c>
      <c r="K966">
        <v>57054057.9013808</v>
      </c>
      <c r="L966">
        <v>1</v>
      </c>
      <c r="M966" t="s">
        <v>4536</v>
      </c>
      <c r="O966" t="s">
        <v>207</v>
      </c>
      <c r="Q966" t="s">
        <v>207</v>
      </c>
      <c r="R966" t="s">
        <v>207</v>
      </c>
      <c r="S966" t="s">
        <v>207</v>
      </c>
      <c r="T966" t="s">
        <v>207</v>
      </c>
      <c r="U966" t="s">
        <v>207</v>
      </c>
      <c r="V966" t="s">
        <v>207</v>
      </c>
      <c r="W966" t="s">
        <v>207</v>
      </c>
      <c r="X966" t="s">
        <v>207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210</v>
      </c>
      <c r="BA966">
        <v>22662018340.458</v>
      </c>
      <c r="BB966" t="s">
        <v>4572</v>
      </c>
      <c r="BC966" t="s">
        <v>4536</v>
      </c>
    </row>
    <row r="967" spans="1:55" x14ac:dyDescent="0.25">
      <c r="A967">
        <v>1334</v>
      </c>
      <c r="B967" t="s">
        <v>1152</v>
      </c>
      <c r="C967" t="s">
        <v>2587</v>
      </c>
      <c r="D967" t="s">
        <v>4022</v>
      </c>
      <c r="E967" t="s">
        <v>93</v>
      </c>
      <c r="F967">
        <v>2760000</v>
      </c>
      <c r="G967">
        <v>1115.3389999999999</v>
      </c>
      <c r="H967" t="s">
        <v>101</v>
      </c>
      <c r="I967">
        <v>3078335640</v>
      </c>
      <c r="J967" t="s">
        <v>205</v>
      </c>
      <c r="K967">
        <v>7361133.5306750098</v>
      </c>
      <c r="L967">
        <v>0.95</v>
      </c>
      <c r="M967" t="s">
        <v>4536</v>
      </c>
      <c r="N967" t="s">
        <v>4537</v>
      </c>
      <c r="O967" t="s">
        <v>207</v>
      </c>
      <c r="Q967" t="s">
        <v>207</v>
      </c>
      <c r="R967" t="s">
        <v>207</v>
      </c>
      <c r="S967" t="s">
        <v>207</v>
      </c>
      <c r="T967" t="s">
        <v>207</v>
      </c>
      <c r="U967" t="s">
        <v>207</v>
      </c>
      <c r="V967" t="s">
        <v>207</v>
      </c>
      <c r="W967" t="s">
        <v>207</v>
      </c>
      <c r="X967" t="s">
        <v>207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210</v>
      </c>
      <c r="BA967">
        <v>2924418858</v>
      </c>
      <c r="BB967" t="s">
        <v>4572</v>
      </c>
      <c r="BC967" t="s">
        <v>4575</v>
      </c>
    </row>
    <row r="968" spans="1:55" x14ac:dyDescent="0.25">
      <c r="A968">
        <v>951</v>
      </c>
      <c r="B968" t="s">
        <v>1153</v>
      </c>
      <c r="C968" t="s">
        <v>2588</v>
      </c>
      <c r="D968" t="s">
        <v>4023</v>
      </c>
      <c r="E968" t="s">
        <v>4522</v>
      </c>
      <c r="F968">
        <v>1001430970</v>
      </c>
      <c r="G968">
        <v>9.1671560000000003</v>
      </c>
      <c r="H968" t="s">
        <v>4531</v>
      </c>
      <c r="I968">
        <v>9180273925.2213211</v>
      </c>
      <c r="J968" t="s">
        <v>204</v>
      </c>
      <c r="K968">
        <v>9237785.1270873696</v>
      </c>
      <c r="L968">
        <v>0.75</v>
      </c>
      <c r="M968" t="s">
        <v>4536</v>
      </c>
      <c r="N968" t="s">
        <v>4537</v>
      </c>
      <c r="O968" t="s">
        <v>207</v>
      </c>
      <c r="Q968" t="s">
        <v>207</v>
      </c>
      <c r="R968" t="s">
        <v>207</v>
      </c>
      <c r="S968" t="s">
        <v>207</v>
      </c>
      <c r="T968" t="s">
        <v>207</v>
      </c>
      <c r="U968" t="s">
        <v>207</v>
      </c>
      <c r="V968" t="s">
        <v>207</v>
      </c>
      <c r="W968" t="s">
        <v>207</v>
      </c>
      <c r="X968" t="s">
        <v>207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209</v>
      </c>
      <c r="BA968">
        <v>6885205443.9159908</v>
      </c>
      <c r="BB968" t="s">
        <v>4572</v>
      </c>
      <c r="BC968" t="s">
        <v>4575</v>
      </c>
    </row>
    <row r="969" spans="1:55" x14ac:dyDescent="0.25">
      <c r="A969">
        <v>958</v>
      </c>
      <c r="B969" t="s">
        <v>1154</v>
      </c>
      <c r="C969" t="s">
        <v>2589</v>
      </c>
      <c r="D969" t="s">
        <v>4024</v>
      </c>
      <c r="E969" t="s">
        <v>4523</v>
      </c>
      <c r="F969">
        <v>420381070</v>
      </c>
      <c r="G969">
        <v>40.374160000000003</v>
      </c>
      <c r="H969" t="s">
        <v>4532</v>
      </c>
      <c r="I969">
        <v>16972532581.151199</v>
      </c>
      <c r="J969" t="s">
        <v>204</v>
      </c>
      <c r="K969">
        <v>29202771.5000282</v>
      </c>
      <c r="L969">
        <v>0.4</v>
      </c>
      <c r="M969" t="s">
        <v>4536</v>
      </c>
      <c r="O969" t="s">
        <v>207</v>
      </c>
      <c r="Q969" t="s">
        <v>207</v>
      </c>
      <c r="R969" t="s">
        <v>207</v>
      </c>
      <c r="S969" t="s">
        <v>207</v>
      </c>
      <c r="T969" t="s">
        <v>207</v>
      </c>
      <c r="U969" t="s">
        <v>207</v>
      </c>
      <c r="V969" t="s">
        <v>207</v>
      </c>
      <c r="W969" t="s">
        <v>207</v>
      </c>
      <c r="X969" t="s">
        <v>207</v>
      </c>
      <c r="AK969">
        <v>1.6299999999999999E-2</v>
      </c>
      <c r="AL969">
        <v>0.113</v>
      </c>
      <c r="AM969">
        <v>1.9199999999999998E-2</v>
      </c>
      <c r="AN969" t="s">
        <v>4567</v>
      </c>
      <c r="AO969" t="s">
        <v>4568</v>
      </c>
      <c r="AP969" t="s">
        <v>4569</v>
      </c>
      <c r="AQ969">
        <v>0</v>
      </c>
      <c r="AR969">
        <v>0</v>
      </c>
      <c r="AW969">
        <v>6510</v>
      </c>
      <c r="AX969">
        <v>2.802</v>
      </c>
      <c r="AY969" t="s">
        <v>209</v>
      </c>
      <c r="BA969">
        <v>6789013032.4604807</v>
      </c>
      <c r="BB969" t="s">
        <v>4572</v>
      </c>
      <c r="BC969" t="s">
        <v>4576</v>
      </c>
    </row>
    <row r="970" spans="1:55" x14ac:dyDescent="0.25">
      <c r="A970">
        <v>865</v>
      </c>
      <c r="B970" t="s">
        <v>1155</v>
      </c>
      <c r="C970" t="s">
        <v>2590</v>
      </c>
      <c r="D970" t="s">
        <v>4025</v>
      </c>
      <c r="E970" t="s">
        <v>93</v>
      </c>
      <c r="F970">
        <v>404105300</v>
      </c>
      <c r="G970">
        <v>21.846319999999999</v>
      </c>
      <c r="H970" t="s">
        <v>101</v>
      </c>
      <c r="I970">
        <v>8828213697.4960003</v>
      </c>
      <c r="J970" t="s">
        <v>205</v>
      </c>
      <c r="K970">
        <v>22396135.0237641</v>
      </c>
      <c r="L970">
        <v>1</v>
      </c>
      <c r="O970" t="s">
        <v>206</v>
      </c>
      <c r="Q970" t="s">
        <v>207</v>
      </c>
      <c r="R970" t="s">
        <v>207</v>
      </c>
      <c r="S970" t="s">
        <v>207</v>
      </c>
      <c r="T970" t="s">
        <v>207</v>
      </c>
      <c r="U970" t="s">
        <v>207</v>
      </c>
      <c r="V970" t="s">
        <v>207</v>
      </c>
      <c r="W970" t="s">
        <v>207</v>
      </c>
      <c r="X970" t="s">
        <v>207</v>
      </c>
      <c r="AK970">
        <v>1.18E-2</v>
      </c>
      <c r="AL970">
        <v>0.84</v>
      </c>
      <c r="AM970">
        <v>0.21929999999999999</v>
      </c>
      <c r="AN970" t="s">
        <v>4567</v>
      </c>
      <c r="AO970" t="s">
        <v>4568</v>
      </c>
      <c r="AP970" t="s">
        <v>4569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210</v>
      </c>
      <c r="BA970">
        <v>8828213697.4960003</v>
      </c>
      <c r="BB970" t="s">
        <v>4572</v>
      </c>
      <c r="BC970" t="s">
        <v>4618</v>
      </c>
    </row>
    <row r="971" spans="1:55" x14ac:dyDescent="0.25">
      <c r="A971">
        <v>376</v>
      </c>
      <c r="B971" t="s">
        <v>1156</v>
      </c>
      <c r="C971" t="s">
        <v>2591</v>
      </c>
      <c r="D971" t="s">
        <v>4026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202</v>
      </c>
      <c r="K971">
        <v>173362912.15617001</v>
      </c>
      <c r="L971">
        <v>1</v>
      </c>
      <c r="M971" t="s">
        <v>4536</v>
      </c>
      <c r="O971" t="s">
        <v>207</v>
      </c>
      <c r="Q971" t="s">
        <v>207</v>
      </c>
      <c r="R971" t="s">
        <v>207</v>
      </c>
      <c r="S971" t="s">
        <v>207</v>
      </c>
      <c r="T971" t="s">
        <v>207</v>
      </c>
      <c r="U971" t="s">
        <v>207</v>
      </c>
      <c r="V971" t="s">
        <v>207</v>
      </c>
      <c r="W971" t="s">
        <v>207</v>
      </c>
      <c r="X971" t="s">
        <v>207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208</v>
      </c>
      <c r="BA971">
        <v>37308014025.022499</v>
      </c>
      <c r="BB971" t="s">
        <v>4572</v>
      </c>
      <c r="BC971" t="s">
        <v>4536</v>
      </c>
    </row>
    <row r="972" spans="1:55" x14ac:dyDescent="0.25">
      <c r="A972">
        <v>1045</v>
      </c>
      <c r="B972" t="s">
        <v>1157</v>
      </c>
      <c r="C972" t="s">
        <v>2592</v>
      </c>
      <c r="D972" t="s">
        <v>4027</v>
      </c>
      <c r="E972" t="s">
        <v>93</v>
      </c>
      <c r="F972">
        <v>380004240</v>
      </c>
      <c r="G972">
        <v>22.38992</v>
      </c>
      <c r="H972" t="s">
        <v>101</v>
      </c>
      <c r="I972">
        <v>8508264533.2608004</v>
      </c>
      <c r="J972" t="s">
        <v>205</v>
      </c>
      <c r="K972">
        <v>18123921.340759099</v>
      </c>
      <c r="L972">
        <v>0.65</v>
      </c>
      <c r="M972" t="s">
        <v>4536</v>
      </c>
      <c r="O972" t="s">
        <v>207</v>
      </c>
      <c r="Q972" t="s">
        <v>207</v>
      </c>
      <c r="R972" t="s">
        <v>207</v>
      </c>
      <c r="S972" t="s">
        <v>207</v>
      </c>
      <c r="T972" t="s">
        <v>207</v>
      </c>
      <c r="U972" t="s">
        <v>207</v>
      </c>
      <c r="V972" t="s">
        <v>207</v>
      </c>
      <c r="W972" t="s">
        <v>207</v>
      </c>
      <c r="X972" t="s">
        <v>207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210</v>
      </c>
      <c r="BA972">
        <v>5530371946.6195202</v>
      </c>
      <c r="BB972" t="s">
        <v>4572</v>
      </c>
      <c r="BC972" t="s">
        <v>4536</v>
      </c>
    </row>
    <row r="973" spans="1:55" x14ac:dyDescent="0.25">
      <c r="A973">
        <v>553</v>
      </c>
      <c r="B973" t="s">
        <v>1158</v>
      </c>
      <c r="C973" t="s">
        <v>2593</v>
      </c>
      <c r="D973" t="s">
        <v>4028</v>
      </c>
      <c r="E973" t="s">
        <v>93</v>
      </c>
      <c r="F973">
        <v>552024700</v>
      </c>
      <c r="G973">
        <v>46.007739999999998</v>
      </c>
      <c r="H973" t="s">
        <v>101</v>
      </c>
      <c r="I973">
        <v>25397408871.178001</v>
      </c>
      <c r="J973" t="s">
        <v>205</v>
      </c>
      <c r="K973">
        <v>57150307.660118803</v>
      </c>
      <c r="L973">
        <v>0.9</v>
      </c>
      <c r="M973" t="s">
        <v>4536</v>
      </c>
      <c r="O973" t="s">
        <v>207</v>
      </c>
      <c r="Q973" t="s">
        <v>207</v>
      </c>
      <c r="R973" t="s">
        <v>207</v>
      </c>
      <c r="S973" t="s">
        <v>207</v>
      </c>
      <c r="T973" t="s">
        <v>207</v>
      </c>
      <c r="U973" t="s">
        <v>207</v>
      </c>
      <c r="V973" t="s">
        <v>207</v>
      </c>
      <c r="W973" t="s">
        <v>207</v>
      </c>
      <c r="X973" t="s">
        <v>207</v>
      </c>
      <c r="AG973" t="s">
        <v>4546</v>
      </c>
      <c r="AH973" t="s">
        <v>4563</v>
      </c>
      <c r="AI973" t="s">
        <v>4565</v>
      </c>
      <c r="AJ973" t="s">
        <v>4566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210</v>
      </c>
      <c r="BA973">
        <v>22857667984.0602</v>
      </c>
      <c r="BB973" t="s">
        <v>4572</v>
      </c>
      <c r="BC973" t="s">
        <v>4578</v>
      </c>
    </row>
    <row r="974" spans="1:55" x14ac:dyDescent="0.25">
      <c r="A974">
        <v>260</v>
      </c>
      <c r="B974" t="s">
        <v>1159</v>
      </c>
      <c r="C974" t="s">
        <v>2594</v>
      </c>
      <c r="D974" t="s">
        <v>4029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202</v>
      </c>
      <c r="K974">
        <v>232920296.79346499</v>
      </c>
      <c r="L974">
        <v>1</v>
      </c>
      <c r="M974" t="s">
        <v>4536</v>
      </c>
      <c r="O974" t="s">
        <v>207</v>
      </c>
      <c r="Q974" t="s">
        <v>207</v>
      </c>
      <c r="R974" t="s">
        <v>207</v>
      </c>
      <c r="S974" t="s">
        <v>207</v>
      </c>
      <c r="T974" t="s">
        <v>207</v>
      </c>
      <c r="U974" t="s">
        <v>207</v>
      </c>
      <c r="V974" t="s">
        <v>207</v>
      </c>
      <c r="W974" t="s">
        <v>207</v>
      </c>
      <c r="X974" t="s">
        <v>207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208</v>
      </c>
      <c r="AZ974" t="s">
        <v>4571</v>
      </c>
      <c r="BA974">
        <v>52435084992.192001</v>
      </c>
      <c r="BB974" t="s">
        <v>4572</v>
      </c>
      <c r="BC974" t="s">
        <v>4577</v>
      </c>
    </row>
    <row r="975" spans="1:55" x14ac:dyDescent="0.25">
      <c r="A975">
        <v>678</v>
      </c>
      <c r="B975" t="s">
        <v>1160</v>
      </c>
      <c r="C975" t="s">
        <v>2595</v>
      </c>
      <c r="D975" t="s">
        <v>4030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202</v>
      </c>
      <c r="K975">
        <v>184596652.098793</v>
      </c>
      <c r="L975">
        <v>1</v>
      </c>
      <c r="M975" t="s">
        <v>4536</v>
      </c>
      <c r="O975" t="s">
        <v>207</v>
      </c>
      <c r="Q975" t="s">
        <v>207</v>
      </c>
      <c r="R975" t="s">
        <v>207</v>
      </c>
      <c r="S975" t="s">
        <v>207</v>
      </c>
      <c r="T975" t="s">
        <v>207</v>
      </c>
      <c r="U975" t="s">
        <v>207</v>
      </c>
      <c r="V975" t="s">
        <v>207</v>
      </c>
      <c r="W975" t="s">
        <v>207</v>
      </c>
      <c r="X975" t="s">
        <v>207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208</v>
      </c>
      <c r="BA975">
        <v>17859634144.716</v>
      </c>
      <c r="BB975" t="s">
        <v>4572</v>
      </c>
      <c r="BC975" t="s">
        <v>4536</v>
      </c>
    </row>
    <row r="976" spans="1:55" x14ac:dyDescent="0.25">
      <c r="A976">
        <v>39</v>
      </c>
      <c r="B976" t="s">
        <v>167</v>
      </c>
      <c r="C976" t="s">
        <v>33</v>
      </c>
      <c r="D976" t="s">
        <v>73</v>
      </c>
      <c r="E976" t="s">
        <v>90</v>
      </c>
      <c r="F976">
        <v>2248951000</v>
      </c>
      <c r="G976">
        <v>96.939260000000004</v>
      </c>
      <c r="H976" t="s">
        <v>98</v>
      </c>
      <c r="I976">
        <v>218011645716.26001</v>
      </c>
      <c r="J976" t="s">
        <v>202</v>
      </c>
      <c r="K976">
        <v>7279255776.0225096</v>
      </c>
      <c r="L976">
        <v>1</v>
      </c>
      <c r="O976" t="s">
        <v>207</v>
      </c>
      <c r="Q976" t="s">
        <v>207</v>
      </c>
      <c r="R976" t="s">
        <v>207</v>
      </c>
      <c r="S976" t="s">
        <v>207</v>
      </c>
      <c r="T976" t="s">
        <v>207</v>
      </c>
      <c r="U976" t="s">
        <v>207</v>
      </c>
      <c r="V976" t="s">
        <v>207</v>
      </c>
      <c r="W976" t="s">
        <v>207</v>
      </c>
      <c r="X976" t="s">
        <v>207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208</v>
      </c>
      <c r="BA976">
        <v>218011645716.26001</v>
      </c>
      <c r="BB976" t="s">
        <v>211</v>
      </c>
    </row>
    <row r="977" spans="1:55" x14ac:dyDescent="0.25">
      <c r="A977">
        <v>100</v>
      </c>
      <c r="B977" t="s">
        <v>1161</v>
      </c>
      <c r="C977" t="s">
        <v>2596</v>
      </c>
      <c r="D977" t="s">
        <v>4031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202</v>
      </c>
      <c r="K977">
        <v>1060203572.1414599</v>
      </c>
      <c r="L977">
        <v>1</v>
      </c>
      <c r="M977" t="s">
        <v>4536</v>
      </c>
      <c r="O977" t="s">
        <v>207</v>
      </c>
      <c r="Q977" t="s">
        <v>207</v>
      </c>
      <c r="R977" t="s">
        <v>207</v>
      </c>
      <c r="S977" t="s">
        <v>207</v>
      </c>
      <c r="T977" t="s">
        <v>207</v>
      </c>
      <c r="U977" t="s">
        <v>207</v>
      </c>
      <c r="V977" t="s">
        <v>207</v>
      </c>
      <c r="W977" t="s">
        <v>207</v>
      </c>
      <c r="X977" t="s">
        <v>207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208</v>
      </c>
      <c r="BA977">
        <v>120976528440</v>
      </c>
      <c r="BB977" t="s">
        <v>4572</v>
      </c>
      <c r="BC977" t="s">
        <v>4536</v>
      </c>
    </row>
    <row r="978" spans="1:55" x14ac:dyDescent="0.25">
      <c r="A978">
        <v>833</v>
      </c>
      <c r="B978" t="s">
        <v>1162</v>
      </c>
      <c r="C978" t="s">
        <v>2597</v>
      </c>
      <c r="D978" t="s">
        <v>4032</v>
      </c>
      <c r="E978" t="s">
        <v>93</v>
      </c>
      <c r="F978">
        <v>635148130</v>
      </c>
      <c r="G978">
        <v>25.932919999999999</v>
      </c>
      <c r="H978" t="s">
        <v>101</v>
      </c>
      <c r="I978">
        <v>16471245643.4396</v>
      </c>
      <c r="J978" t="s">
        <v>205</v>
      </c>
      <c r="K978">
        <v>41273411.716268703</v>
      </c>
      <c r="L978">
        <v>0.6</v>
      </c>
      <c r="M978" t="s">
        <v>4536</v>
      </c>
      <c r="O978" t="s">
        <v>207</v>
      </c>
      <c r="Q978" t="s">
        <v>207</v>
      </c>
      <c r="R978" t="s">
        <v>207</v>
      </c>
      <c r="S978" t="s">
        <v>207</v>
      </c>
      <c r="T978" t="s">
        <v>207</v>
      </c>
      <c r="U978" t="s">
        <v>207</v>
      </c>
      <c r="V978" t="s">
        <v>207</v>
      </c>
      <c r="W978" t="s">
        <v>207</v>
      </c>
      <c r="X978" t="s">
        <v>207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210</v>
      </c>
      <c r="BA978">
        <v>9882747386.0637589</v>
      </c>
      <c r="BB978" t="s">
        <v>4572</v>
      </c>
      <c r="BC978" t="s">
        <v>4536</v>
      </c>
    </row>
    <row r="979" spans="1:55" x14ac:dyDescent="0.25">
      <c r="A979">
        <v>465</v>
      </c>
      <c r="B979" t="s">
        <v>1163</v>
      </c>
      <c r="C979" t="s">
        <v>2598</v>
      </c>
      <c r="D979" t="s">
        <v>4033</v>
      </c>
      <c r="E979" t="s">
        <v>93</v>
      </c>
      <c r="F979">
        <v>2454446500</v>
      </c>
      <c r="G979">
        <v>11.722569999999999</v>
      </c>
      <c r="H979" t="s">
        <v>101</v>
      </c>
      <c r="I979">
        <v>28772420907.505001</v>
      </c>
      <c r="J979" t="s">
        <v>205</v>
      </c>
      <c r="K979">
        <v>90087579.646860093</v>
      </c>
      <c r="L979">
        <v>1</v>
      </c>
      <c r="O979" t="s">
        <v>207</v>
      </c>
      <c r="Q979" t="s">
        <v>207</v>
      </c>
      <c r="R979" t="s">
        <v>207</v>
      </c>
      <c r="S979" t="s">
        <v>207</v>
      </c>
      <c r="T979" t="s">
        <v>207</v>
      </c>
      <c r="U979" t="s">
        <v>207</v>
      </c>
      <c r="V979" t="s">
        <v>207</v>
      </c>
      <c r="W979" t="s">
        <v>207</v>
      </c>
      <c r="X979" t="s">
        <v>207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210</v>
      </c>
      <c r="BA979">
        <v>28772420907.505001</v>
      </c>
      <c r="BB979" t="s">
        <v>211</v>
      </c>
    </row>
    <row r="980" spans="1:55" x14ac:dyDescent="0.25">
      <c r="A980">
        <v>776</v>
      </c>
      <c r="B980" t="s">
        <v>1164</v>
      </c>
      <c r="C980" t="s">
        <v>2599</v>
      </c>
      <c r="D980" t="s">
        <v>4034</v>
      </c>
      <c r="E980" t="s">
        <v>4523</v>
      </c>
      <c r="F980">
        <v>82000000</v>
      </c>
      <c r="G980">
        <v>171.24170000000001</v>
      </c>
      <c r="H980" t="s">
        <v>4532</v>
      </c>
      <c r="I980">
        <v>14041819400</v>
      </c>
      <c r="J980" t="s">
        <v>204</v>
      </c>
      <c r="K980">
        <v>33854319.101091303</v>
      </c>
      <c r="L980">
        <v>0.95</v>
      </c>
      <c r="M980" t="s">
        <v>4536</v>
      </c>
      <c r="O980" t="s">
        <v>207</v>
      </c>
      <c r="Q980" t="s">
        <v>207</v>
      </c>
      <c r="R980" t="s">
        <v>207</v>
      </c>
      <c r="S980" t="s">
        <v>207</v>
      </c>
      <c r="T980" t="s">
        <v>207</v>
      </c>
      <c r="U980" t="s">
        <v>207</v>
      </c>
      <c r="V980" t="s">
        <v>207</v>
      </c>
      <c r="W980" t="s">
        <v>207</v>
      </c>
      <c r="X980" t="s">
        <v>207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209</v>
      </c>
      <c r="AZ980" t="s">
        <v>4571</v>
      </c>
      <c r="BA980">
        <v>13339728430</v>
      </c>
      <c r="BB980" t="s">
        <v>4572</v>
      </c>
      <c r="BC980" t="s">
        <v>4577</v>
      </c>
    </row>
    <row r="981" spans="1:55" x14ac:dyDescent="0.25">
      <c r="A981">
        <v>153</v>
      </c>
      <c r="B981" t="s">
        <v>1165</v>
      </c>
      <c r="C981" t="s">
        <v>2600</v>
      </c>
      <c r="D981" t="s">
        <v>4035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202</v>
      </c>
      <c r="K981">
        <v>400040804.43898201</v>
      </c>
      <c r="L981">
        <v>1</v>
      </c>
      <c r="O981" t="s">
        <v>207</v>
      </c>
      <c r="Q981" t="s">
        <v>207</v>
      </c>
      <c r="R981" t="s">
        <v>207</v>
      </c>
      <c r="S981" t="s">
        <v>207</v>
      </c>
      <c r="T981" t="s">
        <v>207</v>
      </c>
      <c r="U981" t="s">
        <v>207</v>
      </c>
      <c r="V981" t="s">
        <v>207</v>
      </c>
      <c r="W981" t="s">
        <v>207</v>
      </c>
      <c r="X981" t="s">
        <v>207</v>
      </c>
      <c r="AK981">
        <v>0</v>
      </c>
      <c r="AL981">
        <v>0.05</v>
      </c>
      <c r="AM981">
        <v>0</v>
      </c>
      <c r="AO981" t="s">
        <v>4568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208</v>
      </c>
      <c r="BA981">
        <v>82144699085.974991</v>
      </c>
      <c r="BB981" t="s">
        <v>4572</v>
      </c>
      <c r="BC981" t="s">
        <v>4568</v>
      </c>
    </row>
    <row r="982" spans="1:55" x14ac:dyDescent="0.25">
      <c r="A982">
        <v>403</v>
      </c>
      <c r="B982" t="s">
        <v>194</v>
      </c>
      <c r="C982" t="s">
        <v>34</v>
      </c>
      <c r="D982" t="s">
        <v>74</v>
      </c>
      <c r="E982" t="s">
        <v>95</v>
      </c>
      <c r="F982">
        <v>26700000</v>
      </c>
      <c r="G982">
        <v>1486.4760000000001</v>
      </c>
      <c r="H982" t="s">
        <v>103</v>
      </c>
      <c r="I982">
        <v>39688909200</v>
      </c>
      <c r="J982" t="s">
        <v>204</v>
      </c>
      <c r="K982">
        <v>72362865.0623236</v>
      </c>
      <c r="L982">
        <v>0.85</v>
      </c>
      <c r="O982" t="s">
        <v>207</v>
      </c>
      <c r="Q982" t="s">
        <v>207</v>
      </c>
      <c r="R982" t="s">
        <v>207</v>
      </c>
      <c r="S982" t="s">
        <v>207</v>
      </c>
      <c r="T982" t="s">
        <v>207</v>
      </c>
      <c r="U982" t="s">
        <v>207</v>
      </c>
      <c r="V982" t="s">
        <v>207</v>
      </c>
      <c r="W982" t="s">
        <v>207</v>
      </c>
      <c r="X982" t="s">
        <v>207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209</v>
      </c>
      <c r="BA982">
        <v>33735572820</v>
      </c>
      <c r="BB982" t="s">
        <v>211</v>
      </c>
    </row>
    <row r="983" spans="1:55" x14ac:dyDescent="0.25">
      <c r="A983">
        <v>301</v>
      </c>
      <c r="B983" t="s">
        <v>1166</v>
      </c>
      <c r="C983" t="s">
        <v>2601</v>
      </c>
      <c r="D983" t="s">
        <v>4036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202</v>
      </c>
      <c r="K983">
        <v>257013245.78992701</v>
      </c>
      <c r="L983">
        <v>0.9</v>
      </c>
      <c r="M983" t="s">
        <v>4536</v>
      </c>
      <c r="O983" t="s">
        <v>207</v>
      </c>
      <c r="Q983" t="s">
        <v>207</v>
      </c>
      <c r="R983" t="s">
        <v>207</v>
      </c>
      <c r="S983" t="s">
        <v>207</v>
      </c>
      <c r="T983" t="s">
        <v>207</v>
      </c>
      <c r="U983" t="s">
        <v>207</v>
      </c>
      <c r="V983" t="s">
        <v>207</v>
      </c>
      <c r="W983" t="s">
        <v>207</v>
      </c>
      <c r="X983" t="s">
        <v>207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208</v>
      </c>
      <c r="BA983">
        <v>46031259886.606796</v>
      </c>
      <c r="BB983" t="s">
        <v>4572</v>
      </c>
      <c r="BC983" t="s">
        <v>4536</v>
      </c>
    </row>
    <row r="984" spans="1:55" x14ac:dyDescent="0.25">
      <c r="A984">
        <v>180</v>
      </c>
      <c r="B984" t="s">
        <v>1167</v>
      </c>
      <c r="C984" t="s">
        <v>2602</v>
      </c>
      <c r="D984" t="s">
        <v>4037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202</v>
      </c>
      <c r="K984">
        <v>812106768.74906504</v>
      </c>
      <c r="L984">
        <v>1</v>
      </c>
      <c r="M984" t="s">
        <v>4536</v>
      </c>
      <c r="O984" t="s">
        <v>207</v>
      </c>
      <c r="Q984" t="s">
        <v>207</v>
      </c>
      <c r="R984" t="s">
        <v>207</v>
      </c>
      <c r="S984" t="s">
        <v>207</v>
      </c>
      <c r="T984" t="s">
        <v>207</v>
      </c>
      <c r="U984" t="s">
        <v>207</v>
      </c>
      <c r="V984" t="s">
        <v>207</v>
      </c>
      <c r="W984" t="s">
        <v>207</v>
      </c>
      <c r="X984" t="s">
        <v>207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208</v>
      </c>
      <c r="BA984">
        <v>70916999277.901703</v>
      </c>
      <c r="BB984" t="s">
        <v>4572</v>
      </c>
      <c r="BC984" t="s">
        <v>4536</v>
      </c>
    </row>
    <row r="985" spans="1:55" x14ac:dyDescent="0.25">
      <c r="A985">
        <v>1423</v>
      </c>
      <c r="B985" t="s">
        <v>1168</v>
      </c>
      <c r="C985" t="s">
        <v>2603</v>
      </c>
      <c r="D985" t="s">
        <v>4038</v>
      </c>
      <c r="E985" t="s">
        <v>4518</v>
      </c>
      <c r="F985">
        <v>7741063500</v>
      </c>
      <c r="G985">
        <v>0.60080100000000003</v>
      </c>
      <c r="H985" t="s">
        <v>4529</v>
      </c>
      <c r="I985">
        <v>4650838691.8635006</v>
      </c>
      <c r="J985" t="s">
        <v>205</v>
      </c>
      <c r="K985">
        <v>4524938.0423589796</v>
      </c>
      <c r="L985">
        <v>0.5</v>
      </c>
      <c r="M985" t="s">
        <v>4536</v>
      </c>
      <c r="N985" t="s">
        <v>4537</v>
      </c>
      <c r="O985" t="s">
        <v>207</v>
      </c>
      <c r="Q985" t="s">
        <v>207</v>
      </c>
      <c r="R985" t="s">
        <v>207</v>
      </c>
      <c r="S985" t="s">
        <v>207</v>
      </c>
      <c r="T985" t="s">
        <v>207</v>
      </c>
      <c r="U985" t="s">
        <v>207</v>
      </c>
      <c r="V985" t="s">
        <v>207</v>
      </c>
      <c r="W985" t="s">
        <v>207</v>
      </c>
      <c r="X985" t="s">
        <v>207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210</v>
      </c>
      <c r="AZ985" t="s">
        <v>4571</v>
      </c>
      <c r="BA985">
        <v>2325419345.9317498</v>
      </c>
      <c r="BB985" t="s">
        <v>4572</v>
      </c>
      <c r="BC985" t="s">
        <v>4584</v>
      </c>
    </row>
    <row r="986" spans="1:55" x14ac:dyDescent="0.25">
      <c r="A986">
        <v>868</v>
      </c>
      <c r="B986" t="s">
        <v>1169</v>
      </c>
      <c r="C986" t="s">
        <v>2604</v>
      </c>
      <c r="D986" t="s">
        <v>4039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204</v>
      </c>
      <c r="K986">
        <v>16007521.430969199</v>
      </c>
      <c r="L986">
        <v>0.8</v>
      </c>
      <c r="M986" t="s">
        <v>4536</v>
      </c>
      <c r="O986" t="s">
        <v>207</v>
      </c>
      <c r="Q986" t="s">
        <v>207</v>
      </c>
      <c r="R986" t="s">
        <v>207</v>
      </c>
      <c r="S986" t="s">
        <v>207</v>
      </c>
      <c r="T986" t="s">
        <v>207</v>
      </c>
      <c r="U986" t="s">
        <v>207</v>
      </c>
      <c r="V986" t="s">
        <v>207</v>
      </c>
      <c r="W986" t="s">
        <v>207</v>
      </c>
      <c r="X986" t="s">
        <v>207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209</v>
      </c>
      <c r="BA986">
        <v>8754499352.7824001</v>
      </c>
      <c r="BB986" t="s">
        <v>4572</v>
      </c>
      <c r="BC986" t="s">
        <v>4536</v>
      </c>
    </row>
    <row r="987" spans="1:55" x14ac:dyDescent="0.25">
      <c r="A987">
        <v>617</v>
      </c>
      <c r="B987" t="s">
        <v>1170</v>
      </c>
      <c r="C987" t="s">
        <v>2605</v>
      </c>
      <c r="D987" t="s">
        <v>4040</v>
      </c>
      <c r="E987" t="s">
        <v>97</v>
      </c>
      <c r="F987">
        <v>580531000</v>
      </c>
      <c r="G987">
        <v>34.660499999999999</v>
      </c>
      <c r="H987" t="s">
        <v>104</v>
      </c>
      <c r="I987">
        <v>20121494725.5</v>
      </c>
      <c r="J987" t="s">
        <v>202</v>
      </c>
      <c r="K987">
        <v>104097384.20516901</v>
      </c>
      <c r="L987">
        <v>1</v>
      </c>
      <c r="M987" t="s">
        <v>4536</v>
      </c>
      <c r="O987" t="s">
        <v>207</v>
      </c>
      <c r="Q987" t="s">
        <v>207</v>
      </c>
      <c r="R987" t="s">
        <v>207</v>
      </c>
      <c r="S987" t="s">
        <v>207</v>
      </c>
      <c r="T987" t="s">
        <v>207</v>
      </c>
      <c r="U987" t="s">
        <v>207</v>
      </c>
      <c r="V987" t="s">
        <v>207</v>
      </c>
      <c r="W987" t="s">
        <v>207</v>
      </c>
      <c r="X987" t="s">
        <v>207</v>
      </c>
      <c r="AK987">
        <v>0</v>
      </c>
      <c r="AL987">
        <v>1</v>
      </c>
      <c r="AM987">
        <v>0.01</v>
      </c>
      <c r="AO987" t="s">
        <v>4568</v>
      </c>
      <c r="AP987" t="s">
        <v>4569</v>
      </c>
      <c r="AQ987">
        <v>0</v>
      </c>
      <c r="AR987">
        <v>0</v>
      </c>
      <c r="AW987">
        <v>6010</v>
      </c>
      <c r="AX987">
        <v>2.4969999999999999</v>
      </c>
      <c r="AY987" t="s">
        <v>208</v>
      </c>
      <c r="BA987">
        <v>20121494725.5</v>
      </c>
      <c r="BB987" t="s">
        <v>4572</v>
      </c>
      <c r="BC987" t="s">
        <v>4595</v>
      </c>
    </row>
    <row r="988" spans="1:55" x14ac:dyDescent="0.25">
      <c r="A988">
        <v>48</v>
      </c>
      <c r="B988" t="s">
        <v>1171</v>
      </c>
      <c r="C988" t="s">
        <v>2606</v>
      </c>
      <c r="D988" t="s">
        <v>4041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202</v>
      </c>
      <c r="K988">
        <v>981187594.70724201</v>
      </c>
      <c r="L988">
        <v>1</v>
      </c>
      <c r="O988" t="s">
        <v>207</v>
      </c>
      <c r="Q988" t="s">
        <v>207</v>
      </c>
      <c r="R988" t="s">
        <v>207</v>
      </c>
      <c r="S988" t="s">
        <v>207</v>
      </c>
      <c r="T988" t="s">
        <v>207</v>
      </c>
      <c r="U988" t="s">
        <v>207</v>
      </c>
      <c r="V988" t="s">
        <v>207</v>
      </c>
      <c r="W988" t="s">
        <v>207</v>
      </c>
      <c r="X988" t="s">
        <v>207</v>
      </c>
      <c r="AG988" t="s">
        <v>4546</v>
      </c>
      <c r="AH988" t="s">
        <v>4564</v>
      </c>
      <c r="AI988" t="s">
        <v>4565</v>
      </c>
      <c r="AJ988" t="s">
        <v>4566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208</v>
      </c>
      <c r="BA988">
        <v>201363203868.03</v>
      </c>
      <c r="BB988" t="s">
        <v>4572</v>
      </c>
      <c r="BC988" t="s">
        <v>4581</v>
      </c>
    </row>
    <row r="989" spans="1:55" x14ac:dyDescent="0.25">
      <c r="A989">
        <v>1412</v>
      </c>
      <c r="B989" t="s">
        <v>1172</v>
      </c>
      <c r="C989" t="s">
        <v>2607</v>
      </c>
      <c r="D989" t="s">
        <v>4042</v>
      </c>
      <c r="E989" t="s">
        <v>94</v>
      </c>
      <c r="F989">
        <v>1372184600</v>
      </c>
      <c r="G989">
        <v>1.7682929999999999</v>
      </c>
      <c r="H989" t="s">
        <v>102</v>
      </c>
      <c r="I989">
        <v>2426424422.8878002</v>
      </c>
      <c r="J989" t="s">
        <v>205</v>
      </c>
      <c r="K989">
        <v>5875743.3436442204</v>
      </c>
      <c r="L989">
        <v>1</v>
      </c>
      <c r="M989" t="s">
        <v>4536</v>
      </c>
      <c r="N989" t="s">
        <v>4537</v>
      </c>
      <c r="O989" t="s">
        <v>207</v>
      </c>
      <c r="Q989" t="s">
        <v>207</v>
      </c>
      <c r="R989" t="s">
        <v>207</v>
      </c>
      <c r="S989" t="s">
        <v>207</v>
      </c>
      <c r="T989" t="s">
        <v>207</v>
      </c>
      <c r="U989" t="s">
        <v>207</v>
      </c>
      <c r="V989" t="s">
        <v>207</v>
      </c>
      <c r="W989" t="s">
        <v>207</v>
      </c>
      <c r="X989" t="s">
        <v>207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210</v>
      </c>
      <c r="BA989">
        <v>2426424422.8878002</v>
      </c>
      <c r="BB989" t="s">
        <v>4572</v>
      </c>
      <c r="BC989" t="s">
        <v>4575</v>
      </c>
    </row>
    <row r="990" spans="1:55" x14ac:dyDescent="0.25">
      <c r="A990">
        <v>1097</v>
      </c>
      <c r="B990" t="s">
        <v>1173</v>
      </c>
      <c r="C990" t="s">
        <v>2608</v>
      </c>
      <c r="D990" t="s">
        <v>4043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204</v>
      </c>
      <c r="K990">
        <v>15670413.556200899</v>
      </c>
      <c r="L990">
        <v>1</v>
      </c>
      <c r="M990" t="s">
        <v>4536</v>
      </c>
      <c r="O990" t="s">
        <v>207</v>
      </c>
      <c r="Q990" t="s">
        <v>207</v>
      </c>
      <c r="R990" t="s">
        <v>207</v>
      </c>
      <c r="S990" t="s">
        <v>207</v>
      </c>
      <c r="T990" t="s">
        <v>207</v>
      </c>
      <c r="U990" t="s">
        <v>207</v>
      </c>
      <c r="V990" t="s">
        <v>207</v>
      </c>
      <c r="W990" t="s">
        <v>207</v>
      </c>
      <c r="X990" t="s">
        <v>207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209</v>
      </c>
      <c r="BA990">
        <v>4673996892.2720003</v>
      </c>
      <c r="BB990" t="s">
        <v>4572</v>
      </c>
      <c r="BC990" t="s">
        <v>4536</v>
      </c>
    </row>
    <row r="991" spans="1:55" x14ac:dyDescent="0.25">
      <c r="A991">
        <v>1364</v>
      </c>
      <c r="B991" t="s">
        <v>1174</v>
      </c>
      <c r="C991" t="s">
        <v>2609</v>
      </c>
      <c r="D991" t="s">
        <v>4044</v>
      </c>
      <c r="E991" t="s">
        <v>93</v>
      </c>
      <c r="F991">
        <v>2278437700</v>
      </c>
      <c r="G991">
        <v>1.49522</v>
      </c>
      <c r="H991" t="s">
        <v>101</v>
      </c>
      <c r="I991">
        <v>3406765617.7940001</v>
      </c>
      <c r="J991" t="s">
        <v>205</v>
      </c>
      <c r="K991">
        <v>9717617.3448128309</v>
      </c>
      <c r="L991">
        <v>0.8</v>
      </c>
      <c r="M991" t="s">
        <v>4536</v>
      </c>
      <c r="N991" t="s">
        <v>4537</v>
      </c>
      <c r="O991" t="s">
        <v>207</v>
      </c>
      <c r="Q991" t="s">
        <v>207</v>
      </c>
      <c r="R991" t="s">
        <v>207</v>
      </c>
      <c r="S991" t="s">
        <v>207</v>
      </c>
      <c r="T991" t="s">
        <v>207</v>
      </c>
      <c r="U991" t="s">
        <v>207</v>
      </c>
      <c r="V991" t="s">
        <v>207</v>
      </c>
      <c r="W991" t="s">
        <v>207</v>
      </c>
      <c r="X991" t="s">
        <v>207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210</v>
      </c>
      <c r="BA991">
        <v>2725412494.2351999</v>
      </c>
      <c r="BB991" t="s">
        <v>4572</v>
      </c>
      <c r="BC991" t="s">
        <v>4575</v>
      </c>
    </row>
    <row r="992" spans="1:55" x14ac:dyDescent="0.25">
      <c r="A992">
        <v>80</v>
      </c>
      <c r="B992" t="s">
        <v>1175</v>
      </c>
      <c r="C992" t="s">
        <v>2610</v>
      </c>
      <c r="D992" t="s">
        <v>4045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202</v>
      </c>
      <c r="K992">
        <v>1002945231.75082</v>
      </c>
      <c r="L992">
        <v>1</v>
      </c>
      <c r="O992" t="s">
        <v>207</v>
      </c>
      <c r="Q992" t="s">
        <v>207</v>
      </c>
      <c r="R992" t="s">
        <v>207</v>
      </c>
      <c r="S992" t="s">
        <v>207</v>
      </c>
      <c r="T992" t="s">
        <v>207</v>
      </c>
      <c r="U992" t="s">
        <v>207</v>
      </c>
      <c r="V992" t="s">
        <v>207</v>
      </c>
      <c r="W992" t="s">
        <v>207</v>
      </c>
      <c r="X992" t="s">
        <v>207</v>
      </c>
      <c r="AG992" t="s">
        <v>4546</v>
      </c>
      <c r="AH992" t="s">
        <v>4563</v>
      </c>
      <c r="AI992" t="s">
        <v>4565</v>
      </c>
      <c r="AJ992" t="s">
        <v>4566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208</v>
      </c>
      <c r="BA992">
        <v>142555570255.70001</v>
      </c>
      <c r="BB992" t="s">
        <v>4572</v>
      </c>
      <c r="BC992" t="s">
        <v>4581</v>
      </c>
    </row>
    <row r="993" spans="1:55" x14ac:dyDescent="0.25">
      <c r="A993">
        <v>405</v>
      </c>
      <c r="B993" t="s">
        <v>1176</v>
      </c>
      <c r="C993" t="s">
        <v>2611</v>
      </c>
      <c r="D993" t="s">
        <v>4046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202</v>
      </c>
      <c r="K993">
        <v>408677708.61248201</v>
      </c>
      <c r="L993">
        <v>1</v>
      </c>
      <c r="M993" t="s">
        <v>4536</v>
      </c>
      <c r="O993" t="s">
        <v>206</v>
      </c>
      <c r="Q993" t="s">
        <v>207</v>
      </c>
      <c r="R993" t="s">
        <v>207</v>
      </c>
      <c r="S993" t="s">
        <v>207</v>
      </c>
      <c r="T993" t="s">
        <v>207</v>
      </c>
      <c r="U993" t="s">
        <v>207</v>
      </c>
      <c r="V993" t="s">
        <v>207</v>
      </c>
      <c r="W993" t="s">
        <v>207</v>
      </c>
      <c r="X993" t="s">
        <v>207</v>
      </c>
      <c r="AK993">
        <v>0</v>
      </c>
      <c r="AL993">
        <v>0.42499999999999999</v>
      </c>
      <c r="AM993">
        <v>0.13789999999999999</v>
      </c>
      <c r="AO993" t="s">
        <v>4568</v>
      </c>
      <c r="AP993" t="s">
        <v>4569</v>
      </c>
      <c r="AQ993">
        <v>0</v>
      </c>
      <c r="AR993">
        <v>0</v>
      </c>
      <c r="AW993">
        <v>6510</v>
      </c>
      <c r="AX993">
        <v>2.5049999999999999</v>
      </c>
      <c r="AY993" t="s">
        <v>208</v>
      </c>
      <c r="BA993">
        <v>33548829867.240002</v>
      </c>
      <c r="BB993" t="s">
        <v>4572</v>
      </c>
      <c r="BC993" t="s">
        <v>4595</v>
      </c>
    </row>
    <row r="994" spans="1:55" x14ac:dyDescent="0.25">
      <c r="A994">
        <v>35</v>
      </c>
      <c r="B994" t="s">
        <v>1177</v>
      </c>
      <c r="C994" t="s">
        <v>2612</v>
      </c>
      <c r="D994" t="s">
        <v>4047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202</v>
      </c>
      <c r="K994">
        <v>664037265.66273904</v>
      </c>
      <c r="L994">
        <v>1</v>
      </c>
      <c r="M994" t="s">
        <v>4536</v>
      </c>
      <c r="O994" t="s">
        <v>206</v>
      </c>
      <c r="Q994" t="s">
        <v>207</v>
      </c>
      <c r="R994" t="s">
        <v>207</v>
      </c>
      <c r="S994" t="s">
        <v>207</v>
      </c>
      <c r="T994" t="s">
        <v>207</v>
      </c>
      <c r="U994" t="s">
        <v>207</v>
      </c>
      <c r="V994" t="s">
        <v>207</v>
      </c>
      <c r="W994" t="s">
        <v>207</v>
      </c>
      <c r="X994" t="s">
        <v>207</v>
      </c>
      <c r="AG994" t="s">
        <v>4546</v>
      </c>
      <c r="AH994" t="s">
        <v>4564</v>
      </c>
      <c r="AI994" t="s">
        <v>4565</v>
      </c>
      <c r="AJ994" t="s">
        <v>4566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208</v>
      </c>
      <c r="BA994">
        <v>229622088724.60001</v>
      </c>
      <c r="BB994" t="s">
        <v>4572</v>
      </c>
      <c r="BC994" t="s">
        <v>4578</v>
      </c>
    </row>
    <row r="995" spans="1:55" x14ac:dyDescent="0.25">
      <c r="A995">
        <v>634</v>
      </c>
      <c r="B995" t="s">
        <v>1178</v>
      </c>
      <c r="C995" t="s">
        <v>2613</v>
      </c>
      <c r="D995" t="s">
        <v>4048</v>
      </c>
      <c r="E995" t="s">
        <v>96</v>
      </c>
      <c r="F995">
        <v>939939384</v>
      </c>
      <c r="G995">
        <v>24.31</v>
      </c>
      <c r="H995" t="s">
        <v>99</v>
      </c>
      <c r="I995">
        <v>22849926425.040001</v>
      </c>
      <c r="J995" t="s">
        <v>203</v>
      </c>
      <c r="K995">
        <v>40946012.608492099</v>
      </c>
      <c r="L995">
        <v>0.85000000000000009</v>
      </c>
      <c r="O995" t="s">
        <v>206</v>
      </c>
      <c r="Q995" t="s">
        <v>207</v>
      </c>
      <c r="R995" t="s">
        <v>207</v>
      </c>
      <c r="S995" t="s">
        <v>207</v>
      </c>
      <c r="T995" t="s">
        <v>207</v>
      </c>
      <c r="U995" t="s">
        <v>207</v>
      </c>
      <c r="V995" t="s">
        <v>207</v>
      </c>
      <c r="W995" t="s">
        <v>207</v>
      </c>
      <c r="X995" t="s">
        <v>207</v>
      </c>
      <c r="AG995" t="s">
        <v>4546</v>
      </c>
      <c r="AH995" t="s">
        <v>4563</v>
      </c>
      <c r="AI995" t="s">
        <v>4565</v>
      </c>
      <c r="AJ995" t="s">
        <v>4566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209</v>
      </c>
      <c r="BA995">
        <v>19422437461.284</v>
      </c>
      <c r="BB995" t="s">
        <v>4572</v>
      </c>
      <c r="BC995" t="s">
        <v>4581</v>
      </c>
    </row>
    <row r="996" spans="1:55" x14ac:dyDescent="0.25">
      <c r="A996">
        <v>274</v>
      </c>
      <c r="B996" t="s">
        <v>1179</v>
      </c>
      <c r="C996" t="s">
        <v>2614</v>
      </c>
      <c r="D996" t="s">
        <v>4049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202</v>
      </c>
      <c r="K996">
        <v>391643894.45977998</v>
      </c>
      <c r="L996">
        <v>1</v>
      </c>
      <c r="M996" t="s">
        <v>4536</v>
      </c>
      <c r="O996" t="s">
        <v>4538</v>
      </c>
      <c r="P996" t="s">
        <v>4540</v>
      </c>
      <c r="Q996" t="s">
        <v>207</v>
      </c>
      <c r="R996" t="s">
        <v>207</v>
      </c>
      <c r="S996" t="s">
        <v>207</v>
      </c>
      <c r="T996" t="s">
        <v>207</v>
      </c>
      <c r="U996" t="s">
        <v>207</v>
      </c>
      <c r="V996" t="s">
        <v>207</v>
      </c>
      <c r="W996" t="s">
        <v>207</v>
      </c>
      <c r="X996" t="s">
        <v>207</v>
      </c>
      <c r="AK996">
        <v>0</v>
      </c>
      <c r="AL996">
        <v>0.98199999999999998</v>
      </c>
      <c r="AM996">
        <v>0.01</v>
      </c>
      <c r="AO996" t="s">
        <v>4568</v>
      </c>
      <c r="AP996" t="s">
        <v>4569</v>
      </c>
      <c r="AQ996">
        <v>0</v>
      </c>
      <c r="AR996">
        <v>0</v>
      </c>
      <c r="AW996">
        <v>6010</v>
      </c>
      <c r="AX996">
        <v>2.4750000000000001</v>
      </c>
      <c r="AY996" t="s">
        <v>208</v>
      </c>
      <c r="BA996">
        <v>50218445646.915001</v>
      </c>
      <c r="BB996" t="s">
        <v>4572</v>
      </c>
      <c r="BC996" t="s">
        <v>4621</v>
      </c>
    </row>
    <row r="997" spans="1:55" x14ac:dyDescent="0.25">
      <c r="A997">
        <v>1064</v>
      </c>
      <c r="B997" t="s">
        <v>1180</v>
      </c>
      <c r="C997" t="s">
        <v>2615</v>
      </c>
      <c r="D997" t="s">
        <v>4050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204</v>
      </c>
      <c r="K997">
        <v>10155347.8790746</v>
      </c>
      <c r="L997">
        <v>0.85</v>
      </c>
      <c r="M997" t="s">
        <v>4536</v>
      </c>
      <c r="O997" t="s">
        <v>207</v>
      </c>
      <c r="Q997" t="s">
        <v>207</v>
      </c>
      <c r="R997" t="s">
        <v>207</v>
      </c>
      <c r="S997" t="s">
        <v>207</v>
      </c>
      <c r="T997" t="s">
        <v>207</v>
      </c>
      <c r="U997" t="s">
        <v>207</v>
      </c>
      <c r="V997" t="s">
        <v>207</v>
      </c>
      <c r="W997" t="s">
        <v>207</v>
      </c>
      <c r="X997" t="s">
        <v>207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209</v>
      </c>
      <c r="BA997">
        <v>5215903635.2395134</v>
      </c>
      <c r="BB997" t="s">
        <v>4572</v>
      </c>
      <c r="BC997" t="s">
        <v>4536</v>
      </c>
    </row>
    <row r="998" spans="1:55" x14ac:dyDescent="0.25">
      <c r="A998">
        <v>1208</v>
      </c>
      <c r="B998" t="s">
        <v>1181</v>
      </c>
      <c r="C998" t="s">
        <v>2616</v>
      </c>
      <c r="D998" t="s">
        <v>4051</v>
      </c>
      <c r="E998" t="s">
        <v>94</v>
      </c>
      <c r="F998">
        <v>3012409000</v>
      </c>
      <c r="G998">
        <v>1.2682929999999999</v>
      </c>
      <c r="H998" t="s">
        <v>102</v>
      </c>
      <c r="I998">
        <v>3820617247.8369999</v>
      </c>
      <c r="J998" t="s">
        <v>205</v>
      </c>
      <c r="K998">
        <v>43638185.2085291</v>
      </c>
      <c r="L998">
        <v>0.95</v>
      </c>
      <c r="M998" t="s">
        <v>4536</v>
      </c>
      <c r="O998" t="s">
        <v>207</v>
      </c>
      <c r="Q998" t="s">
        <v>207</v>
      </c>
      <c r="R998" t="s">
        <v>207</v>
      </c>
      <c r="S998" t="s">
        <v>207</v>
      </c>
      <c r="T998" t="s">
        <v>207</v>
      </c>
      <c r="U998" t="s">
        <v>207</v>
      </c>
      <c r="V998" t="s">
        <v>207</v>
      </c>
      <c r="W998" t="s">
        <v>207</v>
      </c>
      <c r="X998" t="s">
        <v>207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210</v>
      </c>
      <c r="BA998">
        <v>3629586385.4451499</v>
      </c>
      <c r="BB998" t="s">
        <v>4572</v>
      </c>
      <c r="BC998" t="s">
        <v>4536</v>
      </c>
    </row>
    <row r="999" spans="1:55" x14ac:dyDescent="0.25">
      <c r="A999">
        <v>1402</v>
      </c>
      <c r="B999" t="s">
        <v>1182</v>
      </c>
      <c r="C999" t="s">
        <v>2617</v>
      </c>
      <c r="D999" t="s">
        <v>4052</v>
      </c>
      <c r="E999" t="s">
        <v>94</v>
      </c>
      <c r="F999">
        <v>226632170</v>
      </c>
      <c r="G999">
        <v>14.77439</v>
      </c>
      <c r="H999" t="s">
        <v>102</v>
      </c>
      <c r="I999">
        <v>3348352066.1262999</v>
      </c>
      <c r="J999" t="s">
        <v>205</v>
      </c>
      <c r="K999">
        <v>9104911.7135368902</v>
      </c>
      <c r="L999">
        <v>0.75</v>
      </c>
      <c r="M999" t="s">
        <v>4536</v>
      </c>
      <c r="N999" t="s">
        <v>4537</v>
      </c>
      <c r="O999" t="s">
        <v>207</v>
      </c>
      <c r="Q999" t="s">
        <v>207</v>
      </c>
      <c r="R999" t="s">
        <v>207</v>
      </c>
      <c r="S999" t="s">
        <v>207</v>
      </c>
      <c r="T999" t="s">
        <v>207</v>
      </c>
      <c r="U999" t="s">
        <v>207</v>
      </c>
      <c r="V999" t="s">
        <v>207</v>
      </c>
      <c r="W999" t="s">
        <v>207</v>
      </c>
      <c r="X999" t="s">
        <v>207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210</v>
      </c>
      <c r="BA999">
        <v>2511264049.5947251</v>
      </c>
      <c r="BB999" t="s">
        <v>4572</v>
      </c>
      <c r="BC999" t="s">
        <v>4575</v>
      </c>
    </row>
    <row r="1000" spans="1:55" x14ac:dyDescent="0.25">
      <c r="A1000">
        <v>586</v>
      </c>
      <c r="B1000" t="s">
        <v>1183</v>
      </c>
      <c r="C1000" t="s">
        <v>2618</v>
      </c>
      <c r="D1000" t="s">
        <v>4053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202</v>
      </c>
      <c r="K1000">
        <v>356365142.08847398</v>
      </c>
      <c r="L1000">
        <v>1</v>
      </c>
      <c r="M1000" t="s">
        <v>4536</v>
      </c>
      <c r="O1000" t="s">
        <v>207</v>
      </c>
      <c r="Q1000" t="s">
        <v>207</v>
      </c>
      <c r="R1000" t="s">
        <v>207</v>
      </c>
      <c r="S1000" t="s">
        <v>207</v>
      </c>
      <c r="T1000" t="s">
        <v>207</v>
      </c>
      <c r="U1000" t="s">
        <v>207</v>
      </c>
      <c r="V1000" t="s">
        <v>207</v>
      </c>
      <c r="W1000" t="s">
        <v>207</v>
      </c>
      <c r="X1000" t="s">
        <v>207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208</v>
      </c>
      <c r="BA1000">
        <v>21475640222.3694</v>
      </c>
      <c r="BB1000" t="s">
        <v>4572</v>
      </c>
      <c r="BC1000" t="s">
        <v>4536</v>
      </c>
    </row>
    <row r="1001" spans="1:55" x14ac:dyDescent="0.25">
      <c r="A1001">
        <v>179</v>
      </c>
      <c r="B1001" t="s">
        <v>1184</v>
      </c>
      <c r="C1001" t="s">
        <v>2619</v>
      </c>
      <c r="D1001" t="s">
        <v>4054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202</v>
      </c>
      <c r="K1001">
        <v>381506668.01738799</v>
      </c>
      <c r="L1001">
        <v>1</v>
      </c>
      <c r="M1001" t="s">
        <v>4536</v>
      </c>
      <c r="O1001" t="s">
        <v>207</v>
      </c>
      <c r="Q1001" t="s">
        <v>207</v>
      </c>
      <c r="R1001" t="s">
        <v>207</v>
      </c>
      <c r="S1001" t="s">
        <v>207</v>
      </c>
      <c r="T1001" t="s">
        <v>207</v>
      </c>
      <c r="U1001" t="s">
        <v>207</v>
      </c>
      <c r="V1001" t="s">
        <v>207</v>
      </c>
      <c r="W1001" t="s">
        <v>207</v>
      </c>
      <c r="X1001" t="s">
        <v>207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208</v>
      </c>
      <c r="BA1001">
        <v>71215644035.699997</v>
      </c>
      <c r="BB1001" t="s">
        <v>4572</v>
      </c>
      <c r="BC1001" t="s">
        <v>4536</v>
      </c>
    </row>
    <row r="1002" spans="1:55" x14ac:dyDescent="0.25">
      <c r="A1002">
        <v>970</v>
      </c>
      <c r="B1002" t="s">
        <v>1185</v>
      </c>
      <c r="C1002" t="s">
        <v>2620</v>
      </c>
      <c r="D1002" t="s">
        <v>4055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203</v>
      </c>
      <c r="K1002">
        <v>40298300.537049197</v>
      </c>
      <c r="L1002">
        <v>0.25</v>
      </c>
      <c r="M1002" t="s">
        <v>4536</v>
      </c>
      <c r="O1002" t="s">
        <v>206</v>
      </c>
      <c r="Q1002" t="s">
        <v>207</v>
      </c>
      <c r="R1002" t="s">
        <v>207</v>
      </c>
      <c r="S1002" t="s">
        <v>207</v>
      </c>
      <c r="T1002" t="s">
        <v>207</v>
      </c>
      <c r="U1002" t="s">
        <v>207</v>
      </c>
      <c r="V1002" t="s">
        <v>207</v>
      </c>
      <c r="W1002" t="s">
        <v>207</v>
      </c>
      <c r="X1002" t="s">
        <v>207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209</v>
      </c>
      <c r="BA1002">
        <v>6572865000</v>
      </c>
      <c r="BB1002" t="s">
        <v>4572</v>
      </c>
      <c r="BC1002" t="s">
        <v>4536</v>
      </c>
    </row>
    <row r="1003" spans="1:55" x14ac:dyDescent="0.25">
      <c r="A1003">
        <v>1029</v>
      </c>
      <c r="B1003" t="s">
        <v>1186</v>
      </c>
      <c r="C1003" t="s">
        <v>2621</v>
      </c>
      <c r="D1003" t="s">
        <v>4056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203</v>
      </c>
      <c r="K1003">
        <v>25619368.098032799</v>
      </c>
      <c r="L1003">
        <v>1</v>
      </c>
      <c r="M1003" t="s">
        <v>4536</v>
      </c>
      <c r="O1003" t="s">
        <v>207</v>
      </c>
      <c r="Q1003" t="s">
        <v>207</v>
      </c>
      <c r="R1003" t="s">
        <v>207</v>
      </c>
      <c r="S1003" t="s">
        <v>206</v>
      </c>
      <c r="T1003" t="s">
        <v>207</v>
      </c>
      <c r="U1003" t="s">
        <v>207</v>
      </c>
      <c r="V1003" t="s">
        <v>207</v>
      </c>
      <c r="W1003" t="s">
        <v>207</v>
      </c>
      <c r="X1003" t="s">
        <v>207</v>
      </c>
      <c r="AA1003" t="s">
        <v>4541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209</v>
      </c>
      <c r="BA1003">
        <v>5664093010.2000008</v>
      </c>
      <c r="BB1003" t="s">
        <v>4572</v>
      </c>
      <c r="BC1003" t="s">
        <v>4610</v>
      </c>
    </row>
    <row r="1004" spans="1:55" x14ac:dyDescent="0.25">
      <c r="A1004">
        <v>952</v>
      </c>
      <c r="B1004" t="s">
        <v>1187</v>
      </c>
      <c r="C1004" t="s">
        <v>2622</v>
      </c>
      <c r="D1004" t="s">
        <v>4057</v>
      </c>
      <c r="E1004" t="s">
        <v>4517</v>
      </c>
      <c r="F1004">
        <v>1306110000</v>
      </c>
      <c r="G1004">
        <v>14.945</v>
      </c>
      <c r="H1004" t="s">
        <v>99</v>
      </c>
      <c r="I1004">
        <v>19519813950</v>
      </c>
      <c r="J1004" t="s">
        <v>203</v>
      </c>
      <c r="K1004">
        <v>24805157.2843033</v>
      </c>
      <c r="L1004">
        <v>0.35</v>
      </c>
      <c r="M1004" t="s">
        <v>4536</v>
      </c>
      <c r="O1004" t="s">
        <v>207</v>
      </c>
      <c r="Q1004" t="s">
        <v>207</v>
      </c>
      <c r="R1004" t="s">
        <v>207</v>
      </c>
      <c r="S1004" t="s">
        <v>207</v>
      </c>
      <c r="T1004" t="s">
        <v>207</v>
      </c>
      <c r="U1004" t="s">
        <v>207</v>
      </c>
      <c r="V1004" t="s">
        <v>207</v>
      </c>
      <c r="W1004" t="s">
        <v>207</v>
      </c>
      <c r="X1004" t="s">
        <v>207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209</v>
      </c>
      <c r="BA1004">
        <v>6831934882.500001</v>
      </c>
      <c r="BB1004" t="s">
        <v>4572</v>
      </c>
      <c r="BC1004" t="s">
        <v>4536</v>
      </c>
    </row>
    <row r="1005" spans="1:55" x14ac:dyDescent="0.25">
      <c r="A1005">
        <v>873</v>
      </c>
      <c r="B1005" t="s">
        <v>1188</v>
      </c>
      <c r="C1005" t="s">
        <v>2623</v>
      </c>
      <c r="D1005" t="s">
        <v>4058</v>
      </c>
      <c r="E1005" t="s">
        <v>4518</v>
      </c>
      <c r="F1005">
        <v>2131105200</v>
      </c>
      <c r="G1005">
        <v>6.1988380000000003</v>
      </c>
      <c r="H1005" t="s">
        <v>4529</v>
      </c>
      <c r="I1005">
        <v>13210375895.757601</v>
      </c>
      <c r="J1005" t="s">
        <v>205</v>
      </c>
      <c r="K1005">
        <v>17702579.7888643</v>
      </c>
      <c r="L1005">
        <v>0.65</v>
      </c>
      <c r="M1005" t="s">
        <v>4536</v>
      </c>
      <c r="O1005" t="s">
        <v>207</v>
      </c>
      <c r="Q1005" t="s">
        <v>207</v>
      </c>
      <c r="R1005" t="s">
        <v>207</v>
      </c>
      <c r="S1005" t="s">
        <v>207</v>
      </c>
      <c r="T1005" t="s">
        <v>207</v>
      </c>
      <c r="U1005" t="s">
        <v>207</v>
      </c>
      <c r="V1005" t="s">
        <v>207</v>
      </c>
      <c r="W1005" t="s">
        <v>207</v>
      </c>
      <c r="X1005" t="s">
        <v>207</v>
      </c>
      <c r="AK1005">
        <v>0.23050000000000001</v>
      </c>
      <c r="AL1005">
        <v>0.753</v>
      </c>
      <c r="AM1005">
        <v>0.44650000000000001</v>
      </c>
      <c r="AN1005" t="s">
        <v>4567</v>
      </c>
      <c r="AO1005" t="s">
        <v>4568</v>
      </c>
      <c r="AP1005" t="s">
        <v>4569</v>
      </c>
      <c r="AQ1005">
        <v>0</v>
      </c>
      <c r="AR1005">
        <v>0</v>
      </c>
      <c r="AW1005">
        <v>6510</v>
      </c>
      <c r="AX1005">
        <v>2.3029999999999999</v>
      </c>
      <c r="AY1005" t="s">
        <v>210</v>
      </c>
      <c r="BA1005">
        <v>8586744332.2424412</v>
      </c>
      <c r="BB1005" t="s">
        <v>4572</v>
      </c>
      <c r="BC1005" t="s">
        <v>4576</v>
      </c>
    </row>
    <row r="1006" spans="1:55" x14ac:dyDescent="0.25">
      <c r="A1006">
        <v>696</v>
      </c>
      <c r="B1006" t="s">
        <v>1189</v>
      </c>
      <c r="C1006" t="s">
        <v>2624</v>
      </c>
      <c r="D1006" t="s">
        <v>4059</v>
      </c>
      <c r="E1006" t="s">
        <v>97</v>
      </c>
      <c r="F1006">
        <v>588279600</v>
      </c>
      <c r="G1006">
        <v>32.202539999999999</v>
      </c>
      <c r="H1006" t="s">
        <v>104</v>
      </c>
      <c r="I1006">
        <v>18944097350.183998</v>
      </c>
      <c r="J1006" t="s">
        <v>202</v>
      </c>
      <c r="K1006">
        <v>74354935.597794995</v>
      </c>
      <c r="L1006">
        <v>0.9</v>
      </c>
      <c r="M1006" t="s">
        <v>4536</v>
      </c>
      <c r="O1006" t="s">
        <v>207</v>
      </c>
      <c r="Q1006" t="s">
        <v>207</v>
      </c>
      <c r="R1006" t="s">
        <v>207</v>
      </c>
      <c r="S1006" t="s">
        <v>207</v>
      </c>
      <c r="T1006" t="s">
        <v>207</v>
      </c>
      <c r="U1006" t="s">
        <v>207</v>
      </c>
      <c r="V1006" t="s">
        <v>207</v>
      </c>
      <c r="W1006" t="s">
        <v>207</v>
      </c>
      <c r="X1006" t="s">
        <v>207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208</v>
      </c>
      <c r="BA1006">
        <v>17049687615.1656</v>
      </c>
      <c r="BB1006" t="s">
        <v>4572</v>
      </c>
      <c r="BC1006" t="s">
        <v>4536</v>
      </c>
    </row>
    <row r="1007" spans="1:55" x14ac:dyDescent="0.25">
      <c r="A1007">
        <v>519</v>
      </c>
      <c r="B1007" t="s">
        <v>1190</v>
      </c>
      <c r="C1007" t="s">
        <v>2625</v>
      </c>
      <c r="D1007" t="s">
        <v>4060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202</v>
      </c>
      <c r="K1007">
        <v>238081963.62769899</v>
      </c>
      <c r="L1007">
        <v>1</v>
      </c>
      <c r="O1007" t="s">
        <v>207</v>
      </c>
      <c r="Q1007" t="s">
        <v>207</v>
      </c>
      <c r="R1007" t="s">
        <v>207</v>
      </c>
      <c r="S1007" t="s">
        <v>207</v>
      </c>
      <c r="T1007" t="s">
        <v>207</v>
      </c>
      <c r="U1007" t="s">
        <v>207</v>
      </c>
      <c r="V1007" t="s">
        <v>207</v>
      </c>
      <c r="W1007" t="s">
        <v>207</v>
      </c>
      <c r="X1007" t="s">
        <v>207</v>
      </c>
      <c r="AG1007" t="s">
        <v>4546</v>
      </c>
      <c r="AH1007" t="s">
        <v>4564</v>
      </c>
      <c r="AI1007" t="s">
        <v>4565</v>
      </c>
      <c r="AJ1007" t="s">
        <v>4566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208</v>
      </c>
      <c r="BA1007">
        <v>24920384908.845001</v>
      </c>
      <c r="BB1007" t="s">
        <v>4572</v>
      </c>
      <c r="BC1007" t="s">
        <v>4581</v>
      </c>
    </row>
    <row r="1008" spans="1:55" x14ac:dyDescent="0.25">
      <c r="A1008">
        <v>526</v>
      </c>
      <c r="B1008" t="s">
        <v>1191</v>
      </c>
      <c r="C1008" t="s">
        <v>2626</v>
      </c>
      <c r="D1008" t="s">
        <v>4061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202</v>
      </c>
      <c r="K1008">
        <v>140450520.10482299</v>
      </c>
      <c r="L1008">
        <v>1</v>
      </c>
      <c r="M1008" t="s">
        <v>4536</v>
      </c>
      <c r="O1008" t="s">
        <v>207</v>
      </c>
      <c r="Q1008" t="s">
        <v>207</v>
      </c>
      <c r="R1008" t="s">
        <v>207</v>
      </c>
      <c r="S1008" t="s">
        <v>207</v>
      </c>
      <c r="T1008" t="s">
        <v>207</v>
      </c>
      <c r="U1008" t="s">
        <v>207</v>
      </c>
      <c r="V1008" t="s">
        <v>207</v>
      </c>
      <c r="W1008" t="s">
        <v>207</v>
      </c>
      <c r="X1008" t="s">
        <v>207</v>
      </c>
      <c r="AK1008">
        <v>0.32729999999999998</v>
      </c>
      <c r="AL1008">
        <v>0.5</v>
      </c>
      <c r="AM1008">
        <v>0.40160000000000001</v>
      </c>
      <c r="AN1008" t="s">
        <v>4567</v>
      </c>
      <c r="AO1008" t="s">
        <v>4568</v>
      </c>
      <c r="AP1008" t="s">
        <v>4569</v>
      </c>
      <c r="AQ1008">
        <v>0</v>
      </c>
      <c r="AR1008">
        <v>0</v>
      </c>
      <c r="AW1008">
        <v>6510</v>
      </c>
      <c r="AX1008">
        <v>2.2330000000000001</v>
      </c>
      <c r="AY1008" t="s">
        <v>208</v>
      </c>
      <c r="BA1008">
        <v>24518000387.689301</v>
      </c>
      <c r="BB1008" t="s">
        <v>4572</v>
      </c>
      <c r="BC1008" t="s">
        <v>4576</v>
      </c>
    </row>
    <row r="1009" spans="1:55" x14ac:dyDescent="0.25">
      <c r="A1009">
        <v>1135</v>
      </c>
      <c r="B1009" t="s">
        <v>1192</v>
      </c>
      <c r="C1009" t="s">
        <v>2627</v>
      </c>
      <c r="D1009" t="s">
        <v>4062</v>
      </c>
      <c r="E1009" t="s">
        <v>4518</v>
      </c>
      <c r="F1009">
        <v>2558824000</v>
      </c>
      <c r="G1009">
        <v>8.3656609999999993</v>
      </c>
      <c r="H1009" t="s">
        <v>4529</v>
      </c>
      <c r="I1009">
        <v>21406254142.664001</v>
      </c>
      <c r="J1009" t="s">
        <v>205</v>
      </c>
      <c r="K1009">
        <v>10597387.1407078</v>
      </c>
      <c r="L1009">
        <v>0.2</v>
      </c>
      <c r="M1009" t="s">
        <v>4536</v>
      </c>
      <c r="O1009" t="s">
        <v>207</v>
      </c>
      <c r="Q1009" t="s">
        <v>207</v>
      </c>
      <c r="R1009" t="s">
        <v>207</v>
      </c>
      <c r="S1009" t="s">
        <v>207</v>
      </c>
      <c r="T1009" t="s">
        <v>207</v>
      </c>
      <c r="U1009" t="s">
        <v>207</v>
      </c>
      <c r="V1009" t="s">
        <v>207</v>
      </c>
      <c r="W1009" t="s">
        <v>207</v>
      </c>
      <c r="X1009" t="s">
        <v>207</v>
      </c>
      <c r="AG1009" t="s">
        <v>4557</v>
      </c>
      <c r="AH1009" t="s">
        <v>4564</v>
      </c>
      <c r="AI1009" t="s">
        <v>4565</v>
      </c>
      <c r="AJ1009" t="s">
        <v>4566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210</v>
      </c>
      <c r="BA1009">
        <v>4281250828.5328002</v>
      </c>
      <c r="BB1009" t="s">
        <v>4572</v>
      </c>
      <c r="BC1009" t="s">
        <v>4578</v>
      </c>
    </row>
    <row r="1010" spans="1:55" x14ac:dyDescent="0.25">
      <c r="A1010">
        <v>663</v>
      </c>
      <c r="B1010" t="s">
        <v>1193</v>
      </c>
      <c r="C1010" t="s">
        <v>2628</v>
      </c>
      <c r="D1010" t="s">
        <v>4063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202</v>
      </c>
      <c r="K1010">
        <v>107919416.280347</v>
      </c>
      <c r="L1010">
        <v>1</v>
      </c>
      <c r="M1010" t="s">
        <v>4536</v>
      </c>
      <c r="O1010" t="s">
        <v>207</v>
      </c>
      <c r="Q1010" t="s">
        <v>207</v>
      </c>
      <c r="R1010" t="s">
        <v>207</v>
      </c>
      <c r="S1010" t="s">
        <v>207</v>
      </c>
      <c r="T1010" t="s">
        <v>207</v>
      </c>
      <c r="U1010" t="s">
        <v>207</v>
      </c>
      <c r="V1010" t="s">
        <v>207</v>
      </c>
      <c r="W1010" t="s">
        <v>207</v>
      </c>
      <c r="X1010" t="s">
        <v>207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208</v>
      </c>
      <c r="BA1010">
        <v>18205363531.660702</v>
      </c>
      <c r="BB1010" t="s">
        <v>4572</v>
      </c>
      <c r="BC1010" t="s">
        <v>4536</v>
      </c>
    </row>
    <row r="1011" spans="1:55" x14ac:dyDescent="0.25">
      <c r="A1011">
        <v>850</v>
      </c>
      <c r="B1011" t="s">
        <v>1194</v>
      </c>
      <c r="C1011" t="s">
        <v>2629</v>
      </c>
      <c r="D1011" t="s">
        <v>4064</v>
      </c>
      <c r="E1011" t="s">
        <v>94</v>
      </c>
      <c r="F1011">
        <v>104498886</v>
      </c>
      <c r="G1011">
        <v>174.27440000000001</v>
      </c>
      <c r="H1011" t="s">
        <v>102</v>
      </c>
      <c r="I1011">
        <v>18211480658.318401</v>
      </c>
      <c r="J1011" t="s">
        <v>205</v>
      </c>
      <c r="K1011">
        <v>41873267.499149203</v>
      </c>
      <c r="L1011">
        <v>0.5</v>
      </c>
      <c r="M1011" t="s">
        <v>4536</v>
      </c>
      <c r="O1011" t="s">
        <v>207</v>
      </c>
      <c r="Q1011" t="s">
        <v>207</v>
      </c>
      <c r="R1011" t="s">
        <v>207</v>
      </c>
      <c r="S1011" t="s">
        <v>207</v>
      </c>
      <c r="T1011" t="s">
        <v>207</v>
      </c>
      <c r="U1011" t="s">
        <v>207</v>
      </c>
      <c r="V1011" t="s">
        <v>207</v>
      </c>
      <c r="W1011" t="s">
        <v>207</v>
      </c>
      <c r="X1011" t="s">
        <v>207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210</v>
      </c>
      <c r="BA1011">
        <v>9105740329.1592007</v>
      </c>
      <c r="BB1011" t="s">
        <v>4572</v>
      </c>
      <c r="BC1011" t="s">
        <v>4536</v>
      </c>
    </row>
    <row r="1012" spans="1:55" x14ac:dyDescent="0.25">
      <c r="A1012">
        <v>19</v>
      </c>
      <c r="B1012" t="s">
        <v>1195</v>
      </c>
      <c r="C1012" t="s">
        <v>2630</v>
      </c>
      <c r="D1012" t="s">
        <v>4065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202</v>
      </c>
      <c r="K1012">
        <v>1152447696.8264</v>
      </c>
      <c r="L1012">
        <v>1</v>
      </c>
      <c r="O1012" t="s">
        <v>207</v>
      </c>
      <c r="Q1012" t="s">
        <v>207</v>
      </c>
      <c r="R1012" t="s">
        <v>207</v>
      </c>
      <c r="S1012" t="s">
        <v>207</v>
      </c>
      <c r="T1012" t="s">
        <v>207</v>
      </c>
      <c r="U1012" t="s">
        <v>207</v>
      </c>
      <c r="V1012" t="s">
        <v>207</v>
      </c>
      <c r="W1012" t="s">
        <v>207</v>
      </c>
      <c r="X1012" t="s">
        <v>207</v>
      </c>
      <c r="AG1012" t="s">
        <v>4546</v>
      </c>
      <c r="AH1012" t="s">
        <v>4564</v>
      </c>
      <c r="AI1012" t="s">
        <v>4565</v>
      </c>
      <c r="AJ1012" t="s">
        <v>4566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208</v>
      </c>
      <c r="BA1012">
        <v>381792521838.88</v>
      </c>
      <c r="BB1012" t="s">
        <v>4572</v>
      </c>
      <c r="BC1012" t="s">
        <v>4581</v>
      </c>
    </row>
    <row r="1013" spans="1:55" x14ac:dyDescent="0.25">
      <c r="A1013">
        <v>75</v>
      </c>
      <c r="B1013" t="s">
        <v>1196</v>
      </c>
      <c r="C1013" t="s">
        <v>2631</v>
      </c>
      <c r="D1013" t="s">
        <v>4066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202</v>
      </c>
      <c r="K1013">
        <v>617621606.54872704</v>
      </c>
      <c r="L1013">
        <v>1</v>
      </c>
      <c r="M1013" t="s">
        <v>4536</v>
      </c>
      <c r="O1013" t="s">
        <v>207</v>
      </c>
      <c r="Q1013" t="s">
        <v>207</v>
      </c>
      <c r="R1013" t="s">
        <v>207</v>
      </c>
      <c r="S1013" t="s">
        <v>207</v>
      </c>
      <c r="T1013" t="s">
        <v>207</v>
      </c>
      <c r="U1013" t="s">
        <v>207</v>
      </c>
      <c r="V1013" t="s">
        <v>207</v>
      </c>
      <c r="W1013" t="s">
        <v>207</v>
      </c>
      <c r="X1013" t="s">
        <v>207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208</v>
      </c>
      <c r="BA1013">
        <v>149150829863.25</v>
      </c>
      <c r="BB1013" t="s">
        <v>4572</v>
      </c>
      <c r="BC1013" t="s">
        <v>4536</v>
      </c>
    </row>
    <row r="1014" spans="1:55" x14ac:dyDescent="0.25">
      <c r="A1014">
        <v>112</v>
      </c>
      <c r="B1014" t="s">
        <v>176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202</v>
      </c>
      <c r="K1014">
        <v>448451019.868397</v>
      </c>
      <c r="L1014">
        <v>1</v>
      </c>
      <c r="O1014" t="s">
        <v>207</v>
      </c>
      <c r="Q1014" t="s">
        <v>207</v>
      </c>
      <c r="R1014" t="s">
        <v>207</v>
      </c>
      <c r="S1014" t="s">
        <v>207</v>
      </c>
      <c r="T1014" t="s">
        <v>207</v>
      </c>
      <c r="U1014" t="s">
        <v>207</v>
      </c>
      <c r="V1014" t="s">
        <v>207</v>
      </c>
      <c r="W1014" t="s">
        <v>207</v>
      </c>
      <c r="X1014" t="s">
        <v>207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208</v>
      </c>
      <c r="BA1014">
        <v>107242707044</v>
      </c>
      <c r="BB1014" t="s">
        <v>211</v>
      </c>
    </row>
    <row r="1015" spans="1:55" x14ac:dyDescent="0.25">
      <c r="A1015">
        <v>214</v>
      </c>
      <c r="B1015" t="s">
        <v>1197</v>
      </c>
      <c r="C1015" t="s">
        <v>2632</v>
      </c>
      <c r="D1015" t="s">
        <v>4067</v>
      </c>
      <c r="E1015" t="s">
        <v>96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203</v>
      </c>
      <c r="K1015">
        <v>136864149.44412699</v>
      </c>
      <c r="L1015">
        <v>0.55000000000000004</v>
      </c>
      <c r="M1015" t="s">
        <v>4536</v>
      </c>
      <c r="O1015" t="s">
        <v>207</v>
      </c>
      <c r="Q1015" t="s">
        <v>207</v>
      </c>
      <c r="R1015" t="s">
        <v>207</v>
      </c>
      <c r="S1015" t="s">
        <v>207</v>
      </c>
      <c r="T1015" t="s">
        <v>207</v>
      </c>
      <c r="U1015" t="s">
        <v>207</v>
      </c>
      <c r="V1015" t="s">
        <v>207</v>
      </c>
      <c r="W1015" t="s">
        <v>207</v>
      </c>
      <c r="X1015" t="s">
        <v>207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209</v>
      </c>
      <c r="AZ1015" t="s">
        <v>4571</v>
      </c>
      <c r="BA1015">
        <v>62893986175.762497</v>
      </c>
      <c r="BB1015" t="s">
        <v>4572</v>
      </c>
      <c r="BC1015" t="s">
        <v>4577</v>
      </c>
    </row>
    <row r="1016" spans="1:55" x14ac:dyDescent="0.25">
      <c r="A1016">
        <v>377</v>
      </c>
      <c r="B1016" t="s">
        <v>1198</v>
      </c>
      <c r="C1016" t="s">
        <v>2633</v>
      </c>
      <c r="D1016" t="s">
        <v>4068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202</v>
      </c>
      <c r="K1016">
        <v>177417173.88069499</v>
      </c>
      <c r="L1016">
        <v>1</v>
      </c>
      <c r="M1016" t="s">
        <v>4536</v>
      </c>
      <c r="O1016" t="s">
        <v>207</v>
      </c>
      <c r="Q1016" t="s">
        <v>207</v>
      </c>
      <c r="R1016" t="s">
        <v>207</v>
      </c>
      <c r="S1016" t="s">
        <v>207</v>
      </c>
      <c r="T1016" t="s">
        <v>207</v>
      </c>
      <c r="U1016" t="s">
        <v>207</v>
      </c>
      <c r="V1016" t="s">
        <v>207</v>
      </c>
      <c r="W1016" t="s">
        <v>207</v>
      </c>
      <c r="X1016" t="s">
        <v>207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208</v>
      </c>
      <c r="BA1016">
        <v>37076048400</v>
      </c>
      <c r="BB1016" t="s">
        <v>4572</v>
      </c>
      <c r="BC1016" t="s">
        <v>4536</v>
      </c>
    </row>
    <row r="1017" spans="1:55" x14ac:dyDescent="0.25">
      <c r="A1017">
        <v>584</v>
      </c>
      <c r="B1017" t="s">
        <v>1199</v>
      </c>
      <c r="C1017" t="s">
        <v>2634</v>
      </c>
      <c r="D1017" t="s">
        <v>4069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204</v>
      </c>
      <c r="K1017">
        <v>39917806.110014297</v>
      </c>
      <c r="L1017">
        <v>0.95</v>
      </c>
      <c r="M1017" t="s">
        <v>4536</v>
      </c>
      <c r="O1017" t="s">
        <v>207</v>
      </c>
      <c r="Q1017" t="s">
        <v>207</v>
      </c>
      <c r="R1017" t="s">
        <v>207</v>
      </c>
      <c r="S1017" t="s">
        <v>207</v>
      </c>
      <c r="T1017" t="s">
        <v>207</v>
      </c>
      <c r="U1017" t="s">
        <v>207</v>
      </c>
      <c r="V1017" t="s">
        <v>207</v>
      </c>
      <c r="W1017" t="s">
        <v>207</v>
      </c>
      <c r="X1017" t="s">
        <v>207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209</v>
      </c>
      <c r="BA1017">
        <v>21652990908.415859</v>
      </c>
      <c r="BB1017" t="s">
        <v>4572</v>
      </c>
      <c r="BC1017" t="s">
        <v>4536</v>
      </c>
    </row>
    <row r="1018" spans="1:55" x14ac:dyDescent="0.25">
      <c r="A1018">
        <v>612</v>
      </c>
      <c r="B1018" t="s">
        <v>1200</v>
      </c>
      <c r="C1018" t="s">
        <v>2635</v>
      </c>
      <c r="D1018" t="s">
        <v>4070</v>
      </c>
      <c r="E1018" t="s">
        <v>4517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203</v>
      </c>
      <c r="K1018">
        <v>62309329.926557302</v>
      </c>
      <c r="L1018">
        <v>1</v>
      </c>
      <c r="O1018" t="s">
        <v>207</v>
      </c>
      <c r="Q1018" t="s">
        <v>207</v>
      </c>
      <c r="R1018" t="s">
        <v>207</v>
      </c>
      <c r="S1018" t="s">
        <v>207</v>
      </c>
      <c r="T1018" t="s">
        <v>207</v>
      </c>
      <c r="U1018" t="s">
        <v>207</v>
      </c>
      <c r="V1018" t="s">
        <v>207</v>
      </c>
      <c r="W1018" t="s">
        <v>207</v>
      </c>
      <c r="X1018" t="s">
        <v>207</v>
      </c>
      <c r="AK1018">
        <v>0.01</v>
      </c>
      <c r="AL1018">
        <v>0.05</v>
      </c>
      <c r="AM1018">
        <v>0</v>
      </c>
      <c r="AN1018" t="s">
        <v>4567</v>
      </c>
      <c r="AO1018" t="s">
        <v>4568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209</v>
      </c>
      <c r="BA1018">
        <v>20320462682.099998</v>
      </c>
      <c r="BB1018" t="s">
        <v>4572</v>
      </c>
      <c r="BC1018" t="s">
        <v>4580</v>
      </c>
    </row>
    <row r="1019" spans="1:55" x14ac:dyDescent="0.25">
      <c r="A1019">
        <v>967</v>
      </c>
      <c r="B1019" t="s">
        <v>1201</v>
      </c>
      <c r="C1019" t="s">
        <v>2636</v>
      </c>
      <c r="D1019" t="s">
        <v>4071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6632822989.8403006</v>
      </c>
      <c r="J1019" t="s">
        <v>204</v>
      </c>
      <c r="K1019">
        <v>10742643.329066999</v>
      </c>
      <c r="L1019">
        <v>1</v>
      </c>
      <c r="M1019" t="s">
        <v>4536</v>
      </c>
      <c r="O1019" t="s">
        <v>207</v>
      </c>
      <c r="Q1019" t="s">
        <v>207</v>
      </c>
      <c r="R1019" t="s">
        <v>207</v>
      </c>
      <c r="S1019" t="s">
        <v>207</v>
      </c>
      <c r="T1019" t="s">
        <v>207</v>
      </c>
      <c r="U1019" t="s">
        <v>207</v>
      </c>
      <c r="V1019" t="s">
        <v>207</v>
      </c>
      <c r="W1019" t="s">
        <v>207</v>
      </c>
      <c r="X1019" t="s">
        <v>207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209</v>
      </c>
      <c r="BA1019">
        <v>6632822989.8403006</v>
      </c>
      <c r="BB1019" t="s">
        <v>4572</v>
      </c>
      <c r="BC1019" t="s">
        <v>4536</v>
      </c>
    </row>
    <row r="1020" spans="1:55" x14ac:dyDescent="0.25">
      <c r="A1020">
        <v>655</v>
      </c>
      <c r="B1020" t="s">
        <v>1202</v>
      </c>
      <c r="C1020" t="s">
        <v>2637</v>
      </c>
      <c r="D1020" t="s">
        <v>4072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202</v>
      </c>
      <c r="K1020">
        <v>167666659.93052301</v>
      </c>
      <c r="L1020">
        <v>1</v>
      </c>
      <c r="M1020" t="s">
        <v>4536</v>
      </c>
      <c r="O1020" t="s">
        <v>207</v>
      </c>
      <c r="Q1020" t="s">
        <v>207</v>
      </c>
      <c r="R1020" t="s">
        <v>207</v>
      </c>
      <c r="S1020" t="s">
        <v>207</v>
      </c>
      <c r="T1020" t="s">
        <v>207</v>
      </c>
      <c r="U1020" t="s">
        <v>207</v>
      </c>
      <c r="V1020" t="s">
        <v>207</v>
      </c>
      <c r="W1020" t="s">
        <v>207</v>
      </c>
      <c r="X1020" t="s">
        <v>207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208</v>
      </c>
      <c r="BA1020">
        <v>18603824137.099998</v>
      </c>
      <c r="BB1020" t="s">
        <v>4572</v>
      </c>
      <c r="BC1020" t="s">
        <v>4536</v>
      </c>
    </row>
    <row r="1021" spans="1:55" x14ac:dyDescent="0.25">
      <c r="A1021">
        <v>348</v>
      </c>
      <c r="B1021" t="s">
        <v>1203</v>
      </c>
      <c r="C1021" t="s">
        <v>2638</v>
      </c>
      <c r="D1021" t="s">
        <v>4073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202</v>
      </c>
      <c r="K1021">
        <v>189718928.77169001</v>
      </c>
      <c r="L1021">
        <v>1</v>
      </c>
      <c r="M1021" t="s">
        <v>4536</v>
      </c>
      <c r="O1021" t="s">
        <v>207</v>
      </c>
      <c r="Q1021" t="s">
        <v>207</v>
      </c>
      <c r="R1021" t="s">
        <v>207</v>
      </c>
      <c r="S1021" t="s">
        <v>207</v>
      </c>
      <c r="T1021" t="s">
        <v>207</v>
      </c>
      <c r="U1021" t="s">
        <v>207</v>
      </c>
      <c r="V1021" t="s">
        <v>207</v>
      </c>
      <c r="W1021" t="s">
        <v>207</v>
      </c>
      <c r="X1021" t="s">
        <v>207</v>
      </c>
      <c r="AK1021">
        <v>0</v>
      </c>
      <c r="AL1021">
        <v>0.25800000000000001</v>
      </c>
      <c r="AM1021">
        <v>0</v>
      </c>
      <c r="AO1021" t="s">
        <v>4568</v>
      </c>
      <c r="AQ1021">
        <v>0</v>
      </c>
      <c r="AR1021">
        <v>0</v>
      </c>
      <c r="AW1021">
        <v>6510</v>
      </c>
      <c r="AX1021">
        <v>2.351</v>
      </c>
      <c r="AY1021" t="s">
        <v>208</v>
      </c>
      <c r="BA1021">
        <v>40010526257.3601</v>
      </c>
      <c r="BB1021" t="s">
        <v>4572</v>
      </c>
      <c r="BC1021" t="s">
        <v>4582</v>
      </c>
    </row>
    <row r="1022" spans="1:55" x14ac:dyDescent="0.25">
      <c r="A1022">
        <v>302</v>
      </c>
      <c r="B1022" t="s">
        <v>1204</v>
      </c>
      <c r="C1022" t="s">
        <v>2639</v>
      </c>
      <c r="D1022" t="s">
        <v>4074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202</v>
      </c>
      <c r="K1022">
        <v>202840419.663441</v>
      </c>
      <c r="L1022">
        <v>0.9</v>
      </c>
      <c r="M1022" t="s">
        <v>4536</v>
      </c>
      <c r="O1022" t="s">
        <v>207</v>
      </c>
      <c r="Q1022" t="s">
        <v>207</v>
      </c>
      <c r="R1022" t="s">
        <v>207</v>
      </c>
      <c r="S1022" t="s">
        <v>207</v>
      </c>
      <c r="T1022" t="s">
        <v>207</v>
      </c>
      <c r="U1022" t="s">
        <v>207</v>
      </c>
      <c r="V1022" t="s">
        <v>207</v>
      </c>
      <c r="W1022" t="s">
        <v>207</v>
      </c>
      <c r="X1022" t="s">
        <v>207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208</v>
      </c>
      <c r="BA1022">
        <v>45872757505.118713</v>
      </c>
      <c r="BB1022" t="s">
        <v>4572</v>
      </c>
      <c r="BC1022" t="s">
        <v>4536</v>
      </c>
    </row>
    <row r="1023" spans="1:55" x14ac:dyDescent="0.25">
      <c r="A1023">
        <v>1470</v>
      </c>
      <c r="B1023" t="s">
        <v>1205</v>
      </c>
      <c r="C1023" t="s">
        <v>2640</v>
      </c>
      <c r="D1023" t="s">
        <v>4075</v>
      </c>
      <c r="E1023" t="s">
        <v>92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4535</v>
      </c>
      <c r="K1023">
        <v>7858477.5046603195</v>
      </c>
      <c r="L1023">
        <v>0.65</v>
      </c>
      <c r="M1023" t="s">
        <v>4536</v>
      </c>
      <c r="N1023" t="s">
        <v>4537</v>
      </c>
      <c r="O1023" t="s">
        <v>207</v>
      </c>
      <c r="Q1023" t="s">
        <v>207</v>
      </c>
      <c r="R1023" t="s">
        <v>207</v>
      </c>
      <c r="S1023" t="s">
        <v>207</v>
      </c>
      <c r="T1023" t="s">
        <v>207</v>
      </c>
      <c r="U1023" t="s">
        <v>207</v>
      </c>
      <c r="V1023" t="s">
        <v>207</v>
      </c>
      <c r="W1023" t="s">
        <v>207</v>
      </c>
      <c r="X1023" t="s">
        <v>207</v>
      </c>
      <c r="AG1023" t="s">
        <v>4539</v>
      </c>
      <c r="AH1023" t="s">
        <v>4539</v>
      </c>
      <c r="AI1023" t="s">
        <v>4565</v>
      </c>
      <c r="AJ1023" t="s">
        <v>4566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209</v>
      </c>
      <c r="BA1023">
        <v>2071525679.665</v>
      </c>
      <c r="BB1023" t="s">
        <v>4572</v>
      </c>
      <c r="BC1023" t="s">
        <v>4592</v>
      </c>
    </row>
    <row r="1024" spans="1:55" x14ac:dyDescent="0.25">
      <c r="A1024">
        <v>620</v>
      </c>
      <c r="B1024" t="s">
        <v>1206</v>
      </c>
      <c r="C1024" t="s">
        <v>2641</v>
      </c>
      <c r="D1024" t="s">
        <v>4076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202</v>
      </c>
      <c r="K1024">
        <v>230551941.534266</v>
      </c>
      <c r="L1024">
        <v>1</v>
      </c>
      <c r="M1024" t="s">
        <v>4536</v>
      </c>
      <c r="O1024" t="s">
        <v>207</v>
      </c>
      <c r="Q1024" t="s">
        <v>207</v>
      </c>
      <c r="R1024" t="s">
        <v>207</v>
      </c>
      <c r="S1024" t="s">
        <v>207</v>
      </c>
      <c r="T1024" t="s">
        <v>207</v>
      </c>
      <c r="U1024" t="s">
        <v>207</v>
      </c>
      <c r="V1024" t="s">
        <v>207</v>
      </c>
      <c r="W1024" t="s">
        <v>207</v>
      </c>
      <c r="X1024" t="s">
        <v>207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208</v>
      </c>
      <c r="BA1024">
        <v>19966943591.726501</v>
      </c>
      <c r="BB1024" t="s">
        <v>4572</v>
      </c>
      <c r="BC1024" t="s">
        <v>4536</v>
      </c>
    </row>
    <row r="1025" spans="1:55" x14ac:dyDescent="0.25">
      <c r="A1025">
        <v>1322</v>
      </c>
      <c r="B1025" t="s">
        <v>1207</v>
      </c>
      <c r="C1025" t="s">
        <v>2642</v>
      </c>
      <c r="D1025" t="s">
        <v>4077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203</v>
      </c>
      <c r="K1025">
        <v>28451691.4966393</v>
      </c>
      <c r="L1025">
        <v>0.7</v>
      </c>
      <c r="M1025" t="s">
        <v>4536</v>
      </c>
      <c r="O1025" t="s">
        <v>207</v>
      </c>
      <c r="Q1025" t="s">
        <v>207</v>
      </c>
      <c r="R1025" t="s">
        <v>207</v>
      </c>
      <c r="S1025" t="s">
        <v>207</v>
      </c>
      <c r="T1025" t="s">
        <v>207</v>
      </c>
      <c r="U1025" t="s">
        <v>207</v>
      </c>
      <c r="V1025" t="s">
        <v>207</v>
      </c>
      <c r="W1025" t="s">
        <v>207</v>
      </c>
      <c r="X1025" t="s">
        <v>207</v>
      </c>
      <c r="AG1025" t="s">
        <v>4547</v>
      </c>
      <c r="AI1025" t="s">
        <v>4565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209</v>
      </c>
      <c r="BA1025">
        <v>2987526977.4000001</v>
      </c>
      <c r="BB1025" t="s">
        <v>4572</v>
      </c>
      <c r="BC1025" t="s">
        <v>4597</v>
      </c>
    </row>
    <row r="1026" spans="1:55" x14ac:dyDescent="0.25">
      <c r="A1026">
        <v>640</v>
      </c>
      <c r="B1026" t="s">
        <v>1208</v>
      </c>
      <c r="C1026" t="s">
        <v>2643</v>
      </c>
      <c r="D1026" t="s">
        <v>4078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202</v>
      </c>
      <c r="K1026">
        <v>173937506.511805</v>
      </c>
      <c r="L1026">
        <v>0.95</v>
      </c>
      <c r="M1026" t="s">
        <v>4536</v>
      </c>
      <c r="O1026" t="s">
        <v>207</v>
      </c>
      <c r="Q1026" t="s">
        <v>207</v>
      </c>
      <c r="R1026" t="s">
        <v>207</v>
      </c>
      <c r="S1026" t="s">
        <v>207</v>
      </c>
      <c r="T1026" t="s">
        <v>207</v>
      </c>
      <c r="U1026" t="s">
        <v>207</v>
      </c>
      <c r="V1026" t="s">
        <v>207</v>
      </c>
      <c r="W1026" t="s">
        <v>207</v>
      </c>
      <c r="X1026" t="s">
        <v>207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208</v>
      </c>
      <c r="BA1026">
        <v>19289169299.93644</v>
      </c>
      <c r="BB1026" t="s">
        <v>4572</v>
      </c>
      <c r="BC1026" t="s">
        <v>4536</v>
      </c>
    </row>
    <row r="1027" spans="1:55" x14ac:dyDescent="0.25">
      <c r="A1027">
        <v>883</v>
      </c>
      <c r="B1027" t="s">
        <v>1209</v>
      </c>
      <c r="C1027" t="s">
        <v>2644</v>
      </c>
      <c r="D1027" t="s">
        <v>4079</v>
      </c>
      <c r="E1027" t="s">
        <v>94</v>
      </c>
      <c r="F1027">
        <v>1513199200</v>
      </c>
      <c r="G1027">
        <v>5.5243900000000004</v>
      </c>
      <c r="H1027" t="s">
        <v>102</v>
      </c>
      <c r="I1027">
        <v>8359502528.4880009</v>
      </c>
      <c r="J1027" t="s">
        <v>205</v>
      </c>
      <c r="K1027">
        <v>25390238.877152301</v>
      </c>
      <c r="L1027">
        <v>1</v>
      </c>
      <c r="M1027" t="s">
        <v>4536</v>
      </c>
      <c r="O1027" t="s">
        <v>207</v>
      </c>
      <c r="Q1027" t="s">
        <v>207</v>
      </c>
      <c r="R1027" t="s">
        <v>207</v>
      </c>
      <c r="S1027" t="s">
        <v>207</v>
      </c>
      <c r="T1027" t="s">
        <v>207</v>
      </c>
      <c r="U1027" t="s">
        <v>207</v>
      </c>
      <c r="V1027" t="s">
        <v>207</v>
      </c>
      <c r="W1027" t="s">
        <v>207</v>
      </c>
      <c r="X1027" t="s">
        <v>207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210</v>
      </c>
      <c r="BA1027">
        <v>8359502528.4880009</v>
      </c>
      <c r="BB1027" t="s">
        <v>4572</v>
      </c>
      <c r="BC1027" t="s">
        <v>4536</v>
      </c>
    </row>
    <row r="1028" spans="1:55" x14ac:dyDescent="0.25">
      <c r="A1028">
        <v>646</v>
      </c>
      <c r="B1028" t="s">
        <v>1210</v>
      </c>
      <c r="C1028" t="s">
        <v>2645</v>
      </c>
      <c r="D1028" t="s">
        <v>4080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18982814667.439999</v>
      </c>
      <c r="J1028" t="s">
        <v>205</v>
      </c>
      <c r="K1028">
        <v>34771016.990019001</v>
      </c>
      <c r="L1028">
        <v>1</v>
      </c>
      <c r="M1028" t="s">
        <v>4536</v>
      </c>
      <c r="O1028" t="s">
        <v>207</v>
      </c>
      <c r="Q1028" t="s">
        <v>207</v>
      </c>
      <c r="R1028" t="s">
        <v>207</v>
      </c>
      <c r="S1028" t="s">
        <v>207</v>
      </c>
      <c r="T1028" t="s">
        <v>207</v>
      </c>
      <c r="U1028" t="s">
        <v>207</v>
      </c>
      <c r="V1028" t="s">
        <v>207</v>
      </c>
      <c r="W1028" t="s">
        <v>207</v>
      </c>
      <c r="X1028" t="s">
        <v>207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210</v>
      </c>
      <c r="BA1028">
        <v>18982814667.439999</v>
      </c>
      <c r="BB1028" t="s">
        <v>4572</v>
      </c>
      <c r="BC1028" t="s">
        <v>4536</v>
      </c>
    </row>
    <row r="1029" spans="1:55" x14ac:dyDescent="0.25">
      <c r="A1029">
        <v>891</v>
      </c>
      <c r="B1029" t="s">
        <v>1211</v>
      </c>
      <c r="C1029" t="s">
        <v>2646</v>
      </c>
      <c r="D1029" t="s">
        <v>4081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203</v>
      </c>
      <c r="K1029">
        <v>23363361.809672099</v>
      </c>
      <c r="L1029">
        <v>1</v>
      </c>
      <c r="M1029" t="s">
        <v>4536</v>
      </c>
      <c r="O1029" t="s">
        <v>207</v>
      </c>
      <c r="Q1029" t="s">
        <v>207</v>
      </c>
      <c r="R1029" t="s">
        <v>207</v>
      </c>
      <c r="S1029" t="s">
        <v>207</v>
      </c>
      <c r="T1029" t="s">
        <v>207</v>
      </c>
      <c r="U1029" t="s">
        <v>207</v>
      </c>
      <c r="V1029" t="s">
        <v>207</v>
      </c>
      <c r="W1029" t="s">
        <v>207</v>
      </c>
      <c r="X1029" t="s">
        <v>207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209</v>
      </c>
      <c r="BA1029">
        <v>8135810930</v>
      </c>
      <c r="BB1029" t="s">
        <v>4572</v>
      </c>
      <c r="BC1029" t="s">
        <v>4536</v>
      </c>
    </row>
    <row r="1030" spans="1:55" x14ac:dyDescent="0.25">
      <c r="A1030">
        <v>57</v>
      </c>
      <c r="B1030" t="s">
        <v>171</v>
      </c>
      <c r="C1030" t="s">
        <v>36</v>
      </c>
      <c r="D1030" t="s">
        <v>76</v>
      </c>
      <c r="E1030" t="s">
        <v>90</v>
      </c>
      <c r="F1030">
        <v>1106000000</v>
      </c>
      <c r="G1030">
        <v>158.23050000000001</v>
      </c>
      <c r="H1030" t="s">
        <v>98</v>
      </c>
      <c r="I1030">
        <v>175002933000</v>
      </c>
      <c r="J1030" t="s">
        <v>202</v>
      </c>
      <c r="K1030">
        <v>1222853562.9035599</v>
      </c>
      <c r="L1030">
        <v>1</v>
      </c>
      <c r="O1030" t="s">
        <v>207</v>
      </c>
      <c r="Q1030" t="s">
        <v>207</v>
      </c>
      <c r="R1030" t="s">
        <v>207</v>
      </c>
      <c r="S1030" t="s">
        <v>207</v>
      </c>
      <c r="T1030" t="s">
        <v>207</v>
      </c>
      <c r="U1030" t="s">
        <v>207</v>
      </c>
      <c r="V1030" t="s">
        <v>207</v>
      </c>
      <c r="W1030" t="s">
        <v>207</v>
      </c>
      <c r="X1030" t="s">
        <v>207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208</v>
      </c>
      <c r="BA1030">
        <v>175002933000</v>
      </c>
      <c r="BB1030" t="s">
        <v>211</v>
      </c>
    </row>
    <row r="1031" spans="1:55" x14ac:dyDescent="0.25">
      <c r="A1031">
        <v>368</v>
      </c>
      <c r="B1031" t="s">
        <v>1212</v>
      </c>
      <c r="C1031" t="s">
        <v>2647</v>
      </c>
      <c r="D1031" t="s">
        <v>4082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202</v>
      </c>
      <c r="K1031">
        <v>399930310.30659699</v>
      </c>
      <c r="L1031">
        <v>1</v>
      </c>
      <c r="M1031" t="s">
        <v>4536</v>
      </c>
      <c r="O1031" t="s">
        <v>207</v>
      </c>
      <c r="Q1031" t="s">
        <v>207</v>
      </c>
      <c r="R1031" t="s">
        <v>207</v>
      </c>
      <c r="S1031" t="s">
        <v>207</v>
      </c>
      <c r="T1031" t="s">
        <v>207</v>
      </c>
      <c r="U1031" t="s">
        <v>207</v>
      </c>
      <c r="V1031" t="s">
        <v>207</v>
      </c>
      <c r="W1031" t="s">
        <v>207</v>
      </c>
      <c r="X1031" t="s">
        <v>207</v>
      </c>
      <c r="AK1031">
        <v>0</v>
      </c>
      <c r="AL1031">
        <v>0.5</v>
      </c>
      <c r="AM1031">
        <v>0</v>
      </c>
      <c r="AO1031" t="s">
        <v>4568</v>
      </c>
      <c r="AQ1031">
        <v>0</v>
      </c>
      <c r="AR1031">
        <v>0</v>
      </c>
      <c r="AW1031">
        <v>5010</v>
      </c>
      <c r="AX1031">
        <v>2.0129999999999999</v>
      </c>
      <c r="AY1031" t="s">
        <v>208</v>
      </c>
      <c r="BA1031">
        <v>38181444669</v>
      </c>
      <c r="BB1031" t="s">
        <v>4572</v>
      </c>
      <c r="BC1031" t="s">
        <v>4582</v>
      </c>
    </row>
    <row r="1032" spans="1:55" x14ac:dyDescent="0.25">
      <c r="A1032">
        <v>1156</v>
      </c>
      <c r="B1032" t="s">
        <v>1213</v>
      </c>
      <c r="C1032" t="s">
        <v>2648</v>
      </c>
      <c r="D1032" t="s">
        <v>4083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4529883311.6999998</v>
      </c>
      <c r="J1032" t="s">
        <v>205</v>
      </c>
      <c r="K1032">
        <v>5715326.0717316596</v>
      </c>
      <c r="L1032">
        <v>0.9</v>
      </c>
      <c r="M1032" t="s">
        <v>4536</v>
      </c>
      <c r="N1032" t="s">
        <v>4537</v>
      </c>
      <c r="O1032" t="s">
        <v>207</v>
      </c>
      <c r="Q1032" t="s">
        <v>207</v>
      </c>
      <c r="R1032" t="s">
        <v>207</v>
      </c>
      <c r="S1032" t="s">
        <v>207</v>
      </c>
      <c r="T1032" t="s">
        <v>207</v>
      </c>
      <c r="U1032" t="s">
        <v>207</v>
      </c>
      <c r="V1032" t="s">
        <v>207</v>
      </c>
      <c r="W1032" t="s">
        <v>207</v>
      </c>
      <c r="X1032" t="s">
        <v>207</v>
      </c>
      <c r="AG1032" t="s">
        <v>4558</v>
      </c>
      <c r="AI1032" t="s">
        <v>4565</v>
      </c>
      <c r="AK1032">
        <v>0</v>
      </c>
      <c r="AL1032">
        <v>0.106</v>
      </c>
      <c r="AM1032">
        <v>0</v>
      </c>
      <c r="AO1032" t="s">
        <v>4568</v>
      </c>
      <c r="AQ1032">
        <v>0</v>
      </c>
      <c r="AR1032">
        <v>0</v>
      </c>
      <c r="AW1032">
        <v>5020</v>
      </c>
      <c r="AX1032">
        <v>2.024</v>
      </c>
      <c r="AY1032" t="s">
        <v>210</v>
      </c>
      <c r="BA1032">
        <v>4076894980.5300002</v>
      </c>
      <c r="BB1032" t="s">
        <v>4572</v>
      </c>
      <c r="BC1032" t="s">
        <v>4646</v>
      </c>
    </row>
    <row r="1033" spans="1:55" x14ac:dyDescent="0.25">
      <c r="A1033">
        <v>661</v>
      </c>
      <c r="B1033" t="s">
        <v>1214</v>
      </c>
      <c r="C1033" t="s">
        <v>2649</v>
      </c>
      <c r="D1033" t="s">
        <v>4084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202</v>
      </c>
      <c r="K1033">
        <v>140861463.60772499</v>
      </c>
      <c r="L1033">
        <v>1</v>
      </c>
      <c r="M1033" t="s">
        <v>4536</v>
      </c>
      <c r="O1033" t="s">
        <v>207</v>
      </c>
      <c r="Q1033" t="s">
        <v>207</v>
      </c>
      <c r="R1033" t="s">
        <v>207</v>
      </c>
      <c r="S1033" t="s">
        <v>207</v>
      </c>
      <c r="T1033" t="s">
        <v>207</v>
      </c>
      <c r="U1033" t="s">
        <v>207</v>
      </c>
      <c r="V1033" t="s">
        <v>207</v>
      </c>
      <c r="W1033" t="s">
        <v>207</v>
      </c>
      <c r="X1033" t="s">
        <v>207</v>
      </c>
      <c r="AG1033" t="s">
        <v>4546</v>
      </c>
      <c r="AH1033" t="s">
        <v>4562</v>
      </c>
      <c r="AI1033" t="s">
        <v>4565</v>
      </c>
      <c r="AJ1033" t="s">
        <v>4566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208</v>
      </c>
      <c r="AZ1033" t="s">
        <v>4571</v>
      </c>
      <c r="BA1033">
        <v>18282981438.1665</v>
      </c>
      <c r="BB1033" t="s">
        <v>4572</v>
      </c>
      <c r="BC1033" t="s">
        <v>4588</v>
      </c>
    </row>
    <row r="1034" spans="1:55" x14ac:dyDescent="0.25">
      <c r="A1034">
        <v>1274</v>
      </c>
      <c r="B1034" t="s">
        <v>1215</v>
      </c>
      <c r="C1034" t="s">
        <v>2650</v>
      </c>
      <c r="D1034" t="s">
        <v>4085</v>
      </c>
      <c r="E1034" t="s">
        <v>4524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203</v>
      </c>
      <c r="K1034">
        <v>8444128.4898360595</v>
      </c>
      <c r="L1034">
        <v>0.4</v>
      </c>
      <c r="M1034" t="s">
        <v>4536</v>
      </c>
      <c r="N1034" t="s">
        <v>4537</v>
      </c>
      <c r="O1034" t="s">
        <v>207</v>
      </c>
      <c r="Q1034" t="s">
        <v>207</v>
      </c>
      <c r="R1034" t="s">
        <v>207</v>
      </c>
      <c r="S1034" t="s">
        <v>207</v>
      </c>
      <c r="T1034" t="s">
        <v>207</v>
      </c>
      <c r="U1034" t="s">
        <v>207</v>
      </c>
      <c r="V1034" t="s">
        <v>207</v>
      </c>
      <c r="W1034" t="s">
        <v>207</v>
      </c>
      <c r="X1034" t="s">
        <v>207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209</v>
      </c>
      <c r="BA1034">
        <v>3207819369.2800002</v>
      </c>
      <c r="BB1034" t="s">
        <v>4572</v>
      </c>
      <c r="BC1034" t="s">
        <v>4575</v>
      </c>
    </row>
    <row r="1035" spans="1:55" x14ac:dyDescent="0.25">
      <c r="A1035">
        <v>1267</v>
      </c>
      <c r="B1035" t="s">
        <v>1216</v>
      </c>
      <c r="C1035" t="s">
        <v>2651</v>
      </c>
      <c r="D1035" t="s">
        <v>4086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6502152194.0044003</v>
      </c>
      <c r="J1035" t="s">
        <v>205</v>
      </c>
      <c r="K1035">
        <v>42208408.703964099</v>
      </c>
      <c r="L1035">
        <v>0.5</v>
      </c>
      <c r="M1035" t="s">
        <v>4536</v>
      </c>
      <c r="O1035" t="s">
        <v>207</v>
      </c>
      <c r="Q1035" t="s">
        <v>207</v>
      </c>
      <c r="R1035" t="s">
        <v>207</v>
      </c>
      <c r="S1035" t="s">
        <v>207</v>
      </c>
      <c r="T1035" t="s">
        <v>207</v>
      </c>
      <c r="U1035" t="s">
        <v>207</v>
      </c>
      <c r="V1035" t="s">
        <v>207</v>
      </c>
      <c r="W1035" t="s">
        <v>207</v>
      </c>
      <c r="X1035" t="s">
        <v>207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210</v>
      </c>
      <c r="BA1035">
        <v>3251076097.0022001</v>
      </c>
      <c r="BB1035" t="s">
        <v>4572</v>
      </c>
      <c r="BC1035" t="s">
        <v>4536</v>
      </c>
    </row>
    <row r="1036" spans="1:55" x14ac:dyDescent="0.25">
      <c r="A1036">
        <v>839</v>
      </c>
      <c r="B1036" t="s">
        <v>1217</v>
      </c>
      <c r="C1036" t="s">
        <v>2652</v>
      </c>
      <c r="D1036" t="s">
        <v>4087</v>
      </c>
      <c r="E1036" t="s">
        <v>93</v>
      </c>
      <c r="F1036">
        <v>2155002000</v>
      </c>
      <c r="G1036">
        <v>6.2833759999999996</v>
      </c>
      <c r="H1036" t="s">
        <v>101</v>
      </c>
      <c r="I1036">
        <v>13540687846.752001</v>
      </c>
      <c r="J1036" t="s">
        <v>205</v>
      </c>
      <c r="K1036">
        <v>146993659.41577399</v>
      </c>
      <c r="L1036">
        <v>0.7</v>
      </c>
      <c r="M1036" t="s">
        <v>4536</v>
      </c>
      <c r="O1036" t="s">
        <v>207</v>
      </c>
      <c r="Q1036" t="s">
        <v>207</v>
      </c>
      <c r="R1036" t="s">
        <v>207</v>
      </c>
      <c r="S1036" t="s">
        <v>207</v>
      </c>
      <c r="T1036" t="s">
        <v>207</v>
      </c>
      <c r="U1036" t="s">
        <v>207</v>
      </c>
      <c r="V1036" t="s">
        <v>207</v>
      </c>
      <c r="W1036" t="s">
        <v>207</v>
      </c>
      <c r="X1036" t="s">
        <v>207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210</v>
      </c>
      <c r="AZ1036" t="s">
        <v>4571</v>
      </c>
      <c r="BA1036">
        <v>9478481492.7263985</v>
      </c>
      <c r="BB1036" t="s">
        <v>4572</v>
      </c>
      <c r="BC1036" t="s">
        <v>4577</v>
      </c>
    </row>
    <row r="1037" spans="1:55" x14ac:dyDescent="0.25">
      <c r="A1037">
        <v>1179</v>
      </c>
      <c r="B1037" t="s">
        <v>1218</v>
      </c>
      <c r="C1037" t="s">
        <v>2653</v>
      </c>
      <c r="D1037" t="s">
        <v>4088</v>
      </c>
      <c r="E1037" t="s">
        <v>94</v>
      </c>
      <c r="F1037">
        <v>230250500</v>
      </c>
      <c r="G1037">
        <v>20.926829999999999</v>
      </c>
      <c r="H1037" t="s">
        <v>102</v>
      </c>
      <c r="I1037">
        <v>4818413070.915</v>
      </c>
      <c r="J1037" t="s">
        <v>205</v>
      </c>
      <c r="K1037">
        <v>16095443.6796329</v>
      </c>
      <c r="L1037">
        <v>0.8</v>
      </c>
      <c r="O1037" t="s">
        <v>207</v>
      </c>
      <c r="Q1037" t="s">
        <v>207</v>
      </c>
      <c r="R1037" t="s">
        <v>207</v>
      </c>
      <c r="S1037" t="s">
        <v>207</v>
      </c>
      <c r="T1037" t="s">
        <v>207</v>
      </c>
      <c r="U1037" t="s">
        <v>207</v>
      </c>
      <c r="V1037" t="s">
        <v>207</v>
      </c>
      <c r="W1037" t="s">
        <v>207</v>
      </c>
      <c r="X1037" t="s">
        <v>207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210</v>
      </c>
      <c r="BA1037">
        <v>3854730456.7319999</v>
      </c>
      <c r="BB1037" t="s">
        <v>211</v>
      </c>
    </row>
    <row r="1038" spans="1:55" x14ac:dyDescent="0.25">
      <c r="A1038">
        <v>1184</v>
      </c>
      <c r="B1038" t="s">
        <v>1219</v>
      </c>
      <c r="C1038" t="s">
        <v>2654</v>
      </c>
      <c r="D1038" t="s">
        <v>4089</v>
      </c>
      <c r="E1038" t="s">
        <v>96</v>
      </c>
      <c r="F1038">
        <v>180869312</v>
      </c>
      <c r="G1038">
        <v>38.119999999999997</v>
      </c>
      <c r="H1038" t="s">
        <v>99</v>
      </c>
      <c r="I1038">
        <v>6894738173.4399996</v>
      </c>
      <c r="J1038" t="s">
        <v>203</v>
      </c>
      <c r="K1038">
        <v>14977885.9915873</v>
      </c>
      <c r="L1038">
        <v>0.55000000000000004</v>
      </c>
      <c r="O1038" t="s">
        <v>207</v>
      </c>
      <c r="Q1038" t="s">
        <v>207</v>
      </c>
      <c r="R1038" t="s">
        <v>207</v>
      </c>
      <c r="S1038" t="s">
        <v>207</v>
      </c>
      <c r="T1038" t="s">
        <v>207</v>
      </c>
      <c r="U1038" t="s">
        <v>207</v>
      </c>
      <c r="V1038" t="s">
        <v>207</v>
      </c>
      <c r="W1038" t="s">
        <v>207</v>
      </c>
      <c r="X1038" t="s">
        <v>207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209</v>
      </c>
      <c r="BA1038">
        <v>3792105995.3920002</v>
      </c>
      <c r="BB1038" t="s">
        <v>211</v>
      </c>
    </row>
    <row r="1039" spans="1:55" x14ac:dyDescent="0.25">
      <c r="A1039">
        <v>1119</v>
      </c>
      <c r="B1039" t="s">
        <v>1220</v>
      </c>
      <c r="C1039" t="s">
        <v>2655</v>
      </c>
      <c r="D1039" t="s">
        <v>4090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203</v>
      </c>
      <c r="K1039">
        <v>7026851.7049180297</v>
      </c>
      <c r="L1039">
        <v>0.45</v>
      </c>
      <c r="N1039" t="s">
        <v>4537</v>
      </c>
      <c r="O1039" t="s">
        <v>207</v>
      </c>
      <c r="Q1039" t="s">
        <v>207</v>
      </c>
      <c r="R1039" t="s">
        <v>207</v>
      </c>
      <c r="S1039" t="s">
        <v>207</v>
      </c>
      <c r="T1039" t="s">
        <v>207</v>
      </c>
      <c r="U1039" t="s">
        <v>207</v>
      </c>
      <c r="V1039" t="s">
        <v>207</v>
      </c>
      <c r="W1039" t="s">
        <v>207</v>
      </c>
      <c r="X1039" t="s">
        <v>207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209</v>
      </c>
      <c r="AZ1039" t="s">
        <v>4571</v>
      </c>
      <c r="BA1039">
        <v>4453913250</v>
      </c>
      <c r="BB1039" t="s">
        <v>4572</v>
      </c>
      <c r="BC1039" t="s">
        <v>4647</v>
      </c>
    </row>
    <row r="1040" spans="1:55" x14ac:dyDescent="0.25">
      <c r="A1040">
        <v>488</v>
      </c>
      <c r="B1040" t="s">
        <v>1221</v>
      </c>
      <c r="C1040" t="s">
        <v>2656</v>
      </c>
      <c r="D1040" t="s">
        <v>4091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202</v>
      </c>
      <c r="K1040">
        <v>197925294.207398</v>
      </c>
      <c r="L1040">
        <v>0.9</v>
      </c>
      <c r="M1040" t="s">
        <v>4536</v>
      </c>
      <c r="O1040" t="s">
        <v>207</v>
      </c>
      <c r="Q1040" t="s">
        <v>207</v>
      </c>
      <c r="R1040" t="s">
        <v>207</v>
      </c>
      <c r="S1040" t="s">
        <v>207</v>
      </c>
      <c r="T1040" t="s">
        <v>207</v>
      </c>
      <c r="U1040" t="s">
        <v>207</v>
      </c>
      <c r="V1040" t="s">
        <v>207</v>
      </c>
      <c r="W1040" t="s">
        <v>207</v>
      </c>
      <c r="X1040" t="s">
        <v>207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208</v>
      </c>
      <c r="BA1040">
        <v>26730615868.514999</v>
      </c>
      <c r="BB1040" t="s">
        <v>4572</v>
      </c>
      <c r="BC1040" t="s">
        <v>4536</v>
      </c>
    </row>
    <row r="1041" spans="1:55" x14ac:dyDescent="0.25">
      <c r="A1041">
        <v>668</v>
      </c>
      <c r="B1041" t="s">
        <v>1222</v>
      </c>
      <c r="C1041" t="s">
        <v>2657</v>
      </c>
      <c r="D1041" t="s">
        <v>4092</v>
      </c>
      <c r="E1041" t="s">
        <v>97</v>
      </c>
      <c r="F1041">
        <v>184414890</v>
      </c>
      <c r="G1041">
        <v>98.318089999999998</v>
      </c>
      <c r="H1041" t="s">
        <v>104</v>
      </c>
      <c r="I1041">
        <v>18131319752.3601</v>
      </c>
      <c r="J1041" t="s">
        <v>202</v>
      </c>
      <c r="K1041">
        <v>18160847.0399822</v>
      </c>
      <c r="L1041">
        <v>1</v>
      </c>
      <c r="M1041" t="s">
        <v>4536</v>
      </c>
      <c r="O1041" t="s">
        <v>207</v>
      </c>
      <c r="Q1041" t="s">
        <v>207</v>
      </c>
      <c r="R1041" t="s">
        <v>207</v>
      </c>
      <c r="S1041" t="s">
        <v>207</v>
      </c>
      <c r="T1041" t="s">
        <v>207</v>
      </c>
      <c r="U1041" t="s">
        <v>207</v>
      </c>
      <c r="V1041" t="s">
        <v>207</v>
      </c>
      <c r="W1041" t="s">
        <v>207</v>
      </c>
      <c r="X1041" t="s">
        <v>207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208</v>
      </c>
      <c r="BA1041">
        <v>18131319752.3601</v>
      </c>
      <c r="BB1041" t="s">
        <v>4572</v>
      </c>
      <c r="BC1041" t="s">
        <v>4536</v>
      </c>
    </row>
    <row r="1042" spans="1:55" x14ac:dyDescent="0.25">
      <c r="A1042">
        <v>917</v>
      </c>
      <c r="B1042" t="s">
        <v>1223</v>
      </c>
      <c r="C1042" t="s">
        <v>2658</v>
      </c>
      <c r="D1042" t="s">
        <v>4093</v>
      </c>
      <c r="E1042" t="s">
        <v>94</v>
      </c>
      <c r="F1042">
        <v>132117220</v>
      </c>
      <c r="G1042">
        <v>144.01220000000001</v>
      </c>
      <c r="H1042" t="s">
        <v>102</v>
      </c>
      <c r="I1042">
        <v>19026491510.084</v>
      </c>
      <c r="J1042" t="s">
        <v>205</v>
      </c>
      <c r="K1042">
        <v>19952376.267727401</v>
      </c>
      <c r="L1042">
        <v>0.4</v>
      </c>
      <c r="M1042" t="s">
        <v>4536</v>
      </c>
      <c r="O1042" t="s">
        <v>207</v>
      </c>
      <c r="Q1042" t="s">
        <v>207</v>
      </c>
      <c r="R1042" t="s">
        <v>207</v>
      </c>
      <c r="S1042" t="s">
        <v>207</v>
      </c>
      <c r="T1042" t="s">
        <v>207</v>
      </c>
      <c r="U1042" t="s">
        <v>207</v>
      </c>
      <c r="V1042" t="s">
        <v>207</v>
      </c>
      <c r="W1042" t="s">
        <v>207</v>
      </c>
      <c r="X1042" t="s">
        <v>207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210</v>
      </c>
      <c r="AZ1042" t="s">
        <v>4571</v>
      </c>
      <c r="BA1042">
        <v>7610596604.0335999</v>
      </c>
      <c r="BB1042" t="s">
        <v>4572</v>
      </c>
      <c r="BC1042" t="s">
        <v>4577</v>
      </c>
    </row>
    <row r="1043" spans="1:55" x14ac:dyDescent="0.25">
      <c r="A1043">
        <v>285</v>
      </c>
      <c r="B1043" t="s">
        <v>1224</v>
      </c>
      <c r="C1043" t="s">
        <v>2659</v>
      </c>
      <c r="D1043" t="s">
        <v>4094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202</v>
      </c>
      <c r="K1043">
        <v>258527411.56554499</v>
      </c>
      <c r="L1043">
        <v>1</v>
      </c>
      <c r="M1043" t="s">
        <v>4536</v>
      </c>
      <c r="O1043" t="s">
        <v>207</v>
      </c>
      <c r="Q1043" t="s">
        <v>207</v>
      </c>
      <c r="R1043" t="s">
        <v>207</v>
      </c>
      <c r="S1043" t="s">
        <v>207</v>
      </c>
      <c r="T1043" t="s">
        <v>207</v>
      </c>
      <c r="U1043" t="s">
        <v>207</v>
      </c>
      <c r="V1043" t="s">
        <v>207</v>
      </c>
      <c r="W1043" t="s">
        <v>207</v>
      </c>
      <c r="X1043" t="s">
        <v>207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208</v>
      </c>
      <c r="BA1043">
        <v>47791293776.277</v>
      </c>
      <c r="BB1043" t="s">
        <v>4572</v>
      </c>
      <c r="BC1043" t="s">
        <v>4536</v>
      </c>
    </row>
    <row r="1044" spans="1:55" x14ac:dyDescent="0.25">
      <c r="A1044">
        <v>320</v>
      </c>
      <c r="B1044" t="s">
        <v>1225</v>
      </c>
      <c r="C1044" t="s">
        <v>2660</v>
      </c>
      <c r="D1044" t="s">
        <v>4095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204</v>
      </c>
      <c r="K1044">
        <v>52981753.512116902</v>
      </c>
      <c r="L1044">
        <v>1</v>
      </c>
      <c r="M1044" t="s">
        <v>4536</v>
      </c>
      <c r="O1044" t="s">
        <v>207</v>
      </c>
      <c r="Q1044" t="s">
        <v>207</v>
      </c>
      <c r="R1044" t="s">
        <v>207</v>
      </c>
      <c r="S1044" t="s">
        <v>207</v>
      </c>
      <c r="T1044" t="s">
        <v>207</v>
      </c>
      <c r="U1044" t="s">
        <v>207</v>
      </c>
      <c r="V1044" t="s">
        <v>207</v>
      </c>
      <c r="W1044" t="s">
        <v>207</v>
      </c>
      <c r="X1044" t="s">
        <v>207</v>
      </c>
      <c r="AG1044" t="s">
        <v>4546</v>
      </c>
      <c r="AH1044" t="s">
        <v>4563</v>
      </c>
      <c r="AI1044" t="s">
        <v>4565</v>
      </c>
      <c r="AJ1044" t="s">
        <v>4566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209</v>
      </c>
      <c r="BA1044">
        <v>43540923426.532997</v>
      </c>
      <c r="BB1044" t="s">
        <v>4572</v>
      </c>
      <c r="BC1044" t="s">
        <v>4578</v>
      </c>
    </row>
    <row r="1045" spans="1:55" x14ac:dyDescent="0.25">
      <c r="A1045">
        <v>1031</v>
      </c>
      <c r="B1045" t="s">
        <v>1226</v>
      </c>
      <c r="C1045" t="s">
        <v>2661</v>
      </c>
      <c r="D1045" t="s">
        <v>4096</v>
      </c>
      <c r="E1045" t="s">
        <v>4517</v>
      </c>
      <c r="F1045">
        <v>209125156</v>
      </c>
      <c r="G1045">
        <v>54.1</v>
      </c>
      <c r="H1045" t="s">
        <v>99</v>
      </c>
      <c r="I1045">
        <v>11313670939.6</v>
      </c>
      <c r="J1045" t="s">
        <v>203</v>
      </c>
      <c r="K1045">
        <v>17990236.415327899</v>
      </c>
      <c r="L1045">
        <v>0.5</v>
      </c>
      <c r="M1045" t="s">
        <v>4536</v>
      </c>
      <c r="O1045" t="s">
        <v>207</v>
      </c>
      <c r="Q1045" t="s">
        <v>207</v>
      </c>
      <c r="R1045" t="s">
        <v>207</v>
      </c>
      <c r="S1045" t="s">
        <v>207</v>
      </c>
      <c r="T1045" t="s">
        <v>207</v>
      </c>
      <c r="U1045" t="s">
        <v>207</v>
      </c>
      <c r="V1045" t="s">
        <v>207</v>
      </c>
      <c r="W1045" t="s">
        <v>207</v>
      </c>
      <c r="X1045" t="s">
        <v>207</v>
      </c>
      <c r="AG1045" t="s">
        <v>4546</v>
      </c>
      <c r="AH1045" t="s">
        <v>4562</v>
      </c>
      <c r="AI1045" t="s">
        <v>4565</v>
      </c>
      <c r="AJ1045" t="s">
        <v>4566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209</v>
      </c>
      <c r="BA1045">
        <v>5656835469.8000002</v>
      </c>
      <c r="BB1045" t="s">
        <v>4572</v>
      </c>
      <c r="BC1045" t="s">
        <v>4578</v>
      </c>
    </row>
    <row r="1046" spans="1:55" x14ac:dyDescent="0.25">
      <c r="A1046">
        <v>122</v>
      </c>
      <c r="B1046" t="s">
        <v>1227</v>
      </c>
      <c r="C1046" t="s">
        <v>2662</v>
      </c>
      <c r="D1046" t="s">
        <v>4097</v>
      </c>
      <c r="E1046" t="s">
        <v>93</v>
      </c>
      <c r="F1046">
        <v>1649841900</v>
      </c>
      <c r="G1046">
        <v>61.836100000000002</v>
      </c>
      <c r="H1046" t="s">
        <v>101</v>
      </c>
      <c r="I1046">
        <v>102019788712.59</v>
      </c>
      <c r="J1046" t="s">
        <v>205</v>
      </c>
      <c r="K1046">
        <v>223736973.65735501</v>
      </c>
      <c r="L1046">
        <v>0.95</v>
      </c>
      <c r="M1046" t="s">
        <v>4536</v>
      </c>
      <c r="O1046" t="s">
        <v>207</v>
      </c>
      <c r="Q1046" t="s">
        <v>207</v>
      </c>
      <c r="R1046" t="s">
        <v>207</v>
      </c>
      <c r="S1046" t="s">
        <v>207</v>
      </c>
      <c r="T1046" t="s">
        <v>207</v>
      </c>
      <c r="U1046" t="s">
        <v>207</v>
      </c>
      <c r="V1046" t="s">
        <v>207</v>
      </c>
      <c r="W1046" t="s">
        <v>207</v>
      </c>
      <c r="X1046" t="s">
        <v>207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210</v>
      </c>
      <c r="BA1046">
        <v>96918799276.960495</v>
      </c>
      <c r="BB1046" t="s">
        <v>4572</v>
      </c>
      <c r="BC1046" t="s">
        <v>4536</v>
      </c>
    </row>
    <row r="1047" spans="1:55" x14ac:dyDescent="0.25">
      <c r="A1047">
        <v>674</v>
      </c>
      <c r="B1047" t="s">
        <v>1228</v>
      </c>
      <c r="C1047" t="s">
        <v>2663</v>
      </c>
      <c r="D1047" t="s">
        <v>4098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202</v>
      </c>
      <c r="K1047">
        <v>1059115012.87798</v>
      </c>
      <c r="L1047">
        <v>0.9</v>
      </c>
      <c r="M1047" t="s">
        <v>4536</v>
      </c>
      <c r="O1047" t="s">
        <v>207</v>
      </c>
      <c r="Q1047" t="s">
        <v>207</v>
      </c>
      <c r="R1047" t="s">
        <v>207</v>
      </c>
      <c r="S1047" t="s">
        <v>207</v>
      </c>
      <c r="T1047" t="s">
        <v>207</v>
      </c>
      <c r="U1047" t="s">
        <v>207</v>
      </c>
      <c r="V1047" t="s">
        <v>207</v>
      </c>
      <c r="W1047" t="s">
        <v>207</v>
      </c>
      <c r="X1047" t="s">
        <v>207</v>
      </c>
      <c r="AG1047" t="s">
        <v>4539</v>
      </c>
      <c r="AH1047" t="s">
        <v>4539</v>
      </c>
      <c r="AI1047" t="s">
        <v>4565</v>
      </c>
      <c r="AJ1047" t="s">
        <v>4566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208</v>
      </c>
      <c r="BA1047">
        <v>17981442122.805</v>
      </c>
      <c r="BB1047" t="s">
        <v>4572</v>
      </c>
      <c r="BC1047" t="s">
        <v>4578</v>
      </c>
    </row>
    <row r="1048" spans="1:55" x14ac:dyDescent="0.25">
      <c r="A1048">
        <v>953</v>
      </c>
      <c r="B1048" t="s">
        <v>1229</v>
      </c>
      <c r="C1048" t="s">
        <v>2664</v>
      </c>
      <c r="D1048" t="s">
        <v>4099</v>
      </c>
      <c r="E1048" t="s">
        <v>92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203</v>
      </c>
      <c r="K1048">
        <v>15311684.9957524</v>
      </c>
      <c r="L1048">
        <v>0.75</v>
      </c>
      <c r="M1048" t="s">
        <v>4536</v>
      </c>
      <c r="O1048" t="s">
        <v>207</v>
      </c>
      <c r="Q1048" t="s">
        <v>207</v>
      </c>
      <c r="R1048" t="s">
        <v>207</v>
      </c>
      <c r="S1048" t="s">
        <v>207</v>
      </c>
      <c r="T1048" t="s">
        <v>207</v>
      </c>
      <c r="U1048" t="s">
        <v>207</v>
      </c>
      <c r="V1048" t="s">
        <v>207</v>
      </c>
      <c r="W1048" t="s">
        <v>207</v>
      </c>
      <c r="X1048" t="s">
        <v>207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209</v>
      </c>
      <c r="BA1048">
        <v>6829782300</v>
      </c>
      <c r="BB1048" t="s">
        <v>4572</v>
      </c>
      <c r="BC1048" t="s">
        <v>4536</v>
      </c>
    </row>
    <row r="1049" spans="1:55" x14ac:dyDescent="0.25">
      <c r="A1049">
        <v>1090</v>
      </c>
      <c r="B1049" t="s">
        <v>1230</v>
      </c>
      <c r="C1049" t="s">
        <v>2665</v>
      </c>
      <c r="D1049" t="s">
        <v>4100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8645949430.4300003</v>
      </c>
      <c r="J1049" t="s">
        <v>205</v>
      </c>
      <c r="K1049">
        <v>5771139.5756104998</v>
      </c>
      <c r="L1049">
        <v>0.55000000000000004</v>
      </c>
      <c r="M1049" t="s">
        <v>4536</v>
      </c>
      <c r="N1049" t="s">
        <v>4537</v>
      </c>
      <c r="O1049" t="s">
        <v>207</v>
      </c>
      <c r="Q1049" t="s">
        <v>207</v>
      </c>
      <c r="R1049" t="s">
        <v>207</v>
      </c>
      <c r="S1049" t="s">
        <v>207</v>
      </c>
      <c r="T1049" t="s">
        <v>207</v>
      </c>
      <c r="U1049" t="s">
        <v>207</v>
      </c>
      <c r="V1049" t="s">
        <v>207</v>
      </c>
      <c r="W1049" t="s">
        <v>207</v>
      </c>
      <c r="X1049" t="s">
        <v>207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210</v>
      </c>
      <c r="AZ1049" t="s">
        <v>4571</v>
      </c>
      <c r="BA1049">
        <v>4755272186.7365007</v>
      </c>
      <c r="BB1049" t="s">
        <v>4572</v>
      </c>
      <c r="BC1049" t="s">
        <v>4584</v>
      </c>
    </row>
    <row r="1050" spans="1:55" x14ac:dyDescent="0.25">
      <c r="A1050">
        <v>174</v>
      </c>
      <c r="B1050" t="s">
        <v>1231</v>
      </c>
      <c r="C1050" t="s">
        <v>2666</v>
      </c>
      <c r="D1050" t="s">
        <v>4101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202</v>
      </c>
      <c r="K1050">
        <v>610411444.51049602</v>
      </c>
      <c r="L1050">
        <v>1</v>
      </c>
      <c r="M1050" t="s">
        <v>4536</v>
      </c>
      <c r="O1050" t="s">
        <v>207</v>
      </c>
      <c r="Q1050" t="s">
        <v>207</v>
      </c>
      <c r="R1050" t="s">
        <v>207</v>
      </c>
      <c r="S1050" t="s">
        <v>207</v>
      </c>
      <c r="T1050" t="s">
        <v>207</v>
      </c>
      <c r="U1050" t="s">
        <v>207</v>
      </c>
      <c r="V1050" t="s">
        <v>207</v>
      </c>
      <c r="W1050" t="s">
        <v>207</v>
      </c>
      <c r="X1050" t="s">
        <v>207</v>
      </c>
      <c r="AG1050" t="s">
        <v>4546</v>
      </c>
      <c r="AH1050" t="s">
        <v>4562</v>
      </c>
      <c r="AI1050" t="s">
        <v>4565</v>
      </c>
      <c r="AJ1050" t="s">
        <v>4566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208</v>
      </c>
      <c r="BA1050">
        <v>72014108431.818008</v>
      </c>
      <c r="BB1050" t="s">
        <v>4572</v>
      </c>
      <c r="BC1050" t="s">
        <v>4578</v>
      </c>
    </row>
    <row r="1051" spans="1:55" x14ac:dyDescent="0.25">
      <c r="A1051">
        <v>615</v>
      </c>
      <c r="B1051" t="s">
        <v>1232</v>
      </c>
      <c r="C1051" t="s">
        <v>2667</v>
      </c>
      <c r="D1051" t="s">
        <v>4102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202</v>
      </c>
      <c r="K1051">
        <v>186198476.913403</v>
      </c>
      <c r="L1051">
        <v>1</v>
      </c>
      <c r="M1051" t="s">
        <v>4536</v>
      </c>
      <c r="O1051" t="s">
        <v>207</v>
      </c>
      <c r="Q1051" t="s">
        <v>207</v>
      </c>
      <c r="R1051" t="s">
        <v>207</v>
      </c>
      <c r="S1051" t="s">
        <v>207</v>
      </c>
      <c r="T1051" t="s">
        <v>207</v>
      </c>
      <c r="U1051" t="s">
        <v>207</v>
      </c>
      <c r="V1051" t="s">
        <v>207</v>
      </c>
      <c r="W1051" t="s">
        <v>207</v>
      </c>
      <c r="X1051" t="s">
        <v>207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208</v>
      </c>
      <c r="BA1051">
        <v>20257128599.757</v>
      </c>
      <c r="BB1051" t="s">
        <v>4572</v>
      </c>
      <c r="BC1051" t="s">
        <v>4536</v>
      </c>
    </row>
    <row r="1052" spans="1:55" x14ac:dyDescent="0.25">
      <c r="A1052">
        <v>744</v>
      </c>
      <c r="B1052" t="s">
        <v>1233</v>
      </c>
      <c r="C1052" t="s">
        <v>2668</v>
      </c>
      <c r="D1052" t="s">
        <v>4103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202</v>
      </c>
      <c r="K1052">
        <v>122881610.579638</v>
      </c>
      <c r="L1052">
        <v>1</v>
      </c>
      <c r="M1052" t="s">
        <v>4536</v>
      </c>
      <c r="O1052" t="s">
        <v>207</v>
      </c>
      <c r="Q1052" t="s">
        <v>207</v>
      </c>
      <c r="R1052" t="s">
        <v>207</v>
      </c>
      <c r="S1052" t="s">
        <v>207</v>
      </c>
      <c r="T1052" t="s">
        <v>207</v>
      </c>
      <c r="U1052" t="s">
        <v>207</v>
      </c>
      <c r="V1052" t="s">
        <v>207</v>
      </c>
      <c r="W1052" t="s">
        <v>207</v>
      </c>
      <c r="X1052" t="s">
        <v>207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208</v>
      </c>
      <c r="AZ1052" t="s">
        <v>4571</v>
      </c>
      <c r="BA1052">
        <v>15584356992.969801</v>
      </c>
      <c r="BB1052" t="s">
        <v>4572</v>
      </c>
      <c r="BC1052" t="s">
        <v>4577</v>
      </c>
    </row>
    <row r="1053" spans="1:55" x14ac:dyDescent="0.25">
      <c r="A1053">
        <v>1456</v>
      </c>
      <c r="B1053" t="s">
        <v>1234</v>
      </c>
      <c r="C1053" t="s">
        <v>2669</v>
      </c>
      <c r="D1053" t="s">
        <v>4104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2383330279.0159998</v>
      </c>
      <c r="J1053" t="s">
        <v>205</v>
      </c>
      <c r="K1053">
        <v>4710773.3116896404</v>
      </c>
      <c r="L1053">
        <v>0.9</v>
      </c>
      <c r="M1053" t="s">
        <v>4536</v>
      </c>
      <c r="N1053" t="s">
        <v>4537</v>
      </c>
      <c r="O1053" t="s">
        <v>207</v>
      </c>
      <c r="Q1053" t="s">
        <v>207</v>
      </c>
      <c r="R1053" t="s">
        <v>207</v>
      </c>
      <c r="S1053" t="s">
        <v>207</v>
      </c>
      <c r="T1053" t="s">
        <v>207</v>
      </c>
      <c r="U1053" t="s">
        <v>207</v>
      </c>
      <c r="V1053" t="s">
        <v>207</v>
      </c>
      <c r="W1053" t="s">
        <v>207</v>
      </c>
      <c r="X1053" t="s">
        <v>207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210</v>
      </c>
      <c r="BA1053">
        <v>2144997251.1143999</v>
      </c>
      <c r="BB1053" t="s">
        <v>4572</v>
      </c>
      <c r="BC1053" t="s">
        <v>4575</v>
      </c>
    </row>
    <row r="1054" spans="1:55" x14ac:dyDescent="0.25">
      <c r="A1054">
        <v>132</v>
      </c>
      <c r="B1054" t="s">
        <v>178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90128173427.819992</v>
      </c>
      <c r="J1054" t="s">
        <v>203</v>
      </c>
      <c r="K1054">
        <v>34161920.378412701</v>
      </c>
      <c r="L1054">
        <v>1</v>
      </c>
      <c r="O1054" t="s">
        <v>207</v>
      </c>
      <c r="Q1054" t="s">
        <v>207</v>
      </c>
      <c r="R1054" t="s">
        <v>207</v>
      </c>
      <c r="S1054" t="s">
        <v>207</v>
      </c>
      <c r="T1054" t="s">
        <v>207</v>
      </c>
      <c r="U1054" t="s">
        <v>207</v>
      </c>
      <c r="V1054" t="s">
        <v>207</v>
      </c>
      <c r="W1054" t="s">
        <v>207</v>
      </c>
      <c r="X1054" t="s">
        <v>207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209</v>
      </c>
      <c r="BA1054">
        <v>90128173427.819992</v>
      </c>
      <c r="BB1054" t="s">
        <v>211</v>
      </c>
    </row>
    <row r="1055" spans="1:55" x14ac:dyDescent="0.25">
      <c r="A1055">
        <v>410</v>
      </c>
      <c r="B1055" t="s">
        <v>195</v>
      </c>
      <c r="C1055" t="s">
        <v>38</v>
      </c>
      <c r="D1055" t="s">
        <v>78</v>
      </c>
      <c r="E1055" t="s">
        <v>93</v>
      </c>
      <c r="F1055">
        <v>1870614900</v>
      </c>
      <c r="G1055">
        <v>17.545490000000001</v>
      </c>
      <c r="H1055" t="s">
        <v>101</v>
      </c>
      <c r="I1055">
        <v>32820855021.800999</v>
      </c>
      <c r="J1055" t="s">
        <v>205</v>
      </c>
      <c r="K1055">
        <v>138253267.89183801</v>
      </c>
      <c r="L1055">
        <v>1</v>
      </c>
      <c r="O1055" t="s">
        <v>207</v>
      </c>
      <c r="Q1055" t="s">
        <v>207</v>
      </c>
      <c r="R1055" t="s">
        <v>207</v>
      </c>
      <c r="S1055" t="s">
        <v>207</v>
      </c>
      <c r="T1055" t="s">
        <v>207</v>
      </c>
      <c r="U1055" t="s">
        <v>207</v>
      </c>
      <c r="V1055" t="s">
        <v>207</v>
      </c>
      <c r="W1055" t="s">
        <v>207</v>
      </c>
      <c r="X1055" t="s">
        <v>207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210</v>
      </c>
      <c r="BA1055">
        <v>32820855021.800999</v>
      </c>
      <c r="BB1055" t="s">
        <v>211</v>
      </c>
    </row>
    <row r="1056" spans="1:55" x14ac:dyDescent="0.25">
      <c r="A1056">
        <v>801</v>
      </c>
      <c r="B1056" t="s">
        <v>1235</v>
      </c>
      <c r="C1056" t="s">
        <v>2670</v>
      </c>
      <c r="D1056" t="s">
        <v>4105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204</v>
      </c>
      <c r="K1056">
        <v>18277486.079740301</v>
      </c>
      <c r="L1056">
        <v>0.95</v>
      </c>
      <c r="O1056" t="s">
        <v>207</v>
      </c>
      <c r="Q1056" t="s">
        <v>207</v>
      </c>
      <c r="R1056" t="s">
        <v>207</v>
      </c>
      <c r="S1056" t="s">
        <v>207</v>
      </c>
      <c r="T1056" t="s">
        <v>207</v>
      </c>
      <c r="U1056" t="s">
        <v>207</v>
      </c>
      <c r="V1056" t="s">
        <v>207</v>
      </c>
      <c r="W1056" t="s">
        <v>207</v>
      </c>
      <c r="X1056" t="s">
        <v>207</v>
      </c>
      <c r="AG1056" t="s">
        <v>4546</v>
      </c>
      <c r="AH1056" t="s">
        <v>4564</v>
      </c>
      <c r="AI1056" t="s">
        <v>4565</v>
      </c>
      <c r="AJ1056" t="s">
        <v>4566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209</v>
      </c>
      <c r="BA1056">
        <v>11644084498.523149</v>
      </c>
      <c r="BB1056" t="s">
        <v>4572</v>
      </c>
      <c r="BC1056" t="s">
        <v>4581</v>
      </c>
    </row>
    <row r="1057" spans="1:55" x14ac:dyDescent="0.25">
      <c r="A1057">
        <v>1175</v>
      </c>
      <c r="B1057" t="s">
        <v>1236</v>
      </c>
      <c r="C1057" t="s">
        <v>2671</v>
      </c>
      <c r="D1057" t="s">
        <v>4106</v>
      </c>
      <c r="E1057" t="s">
        <v>4517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203</v>
      </c>
      <c r="K1057">
        <v>5330725.79344262</v>
      </c>
      <c r="L1057">
        <v>0.65</v>
      </c>
      <c r="M1057" t="s">
        <v>4536</v>
      </c>
      <c r="N1057" t="s">
        <v>4537</v>
      </c>
      <c r="O1057" t="s">
        <v>207</v>
      </c>
      <c r="Q1057" t="s">
        <v>207</v>
      </c>
      <c r="R1057" t="s">
        <v>207</v>
      </c>
      <c r="S1057" t="s">
        <v>207</v>
      </c>
      <c r="T1057" t="s">
        <v>207</v>
      </c>
      <c r="U1057" t="s">
        <v>207</v>
      </c>
      <c r="V1057" t="s">
        <v>207</v>
      </c>
      <c r="W1057" t="s">
        <v>207</v>
      </c>
      <c r="X1057" t="s">
        <v>207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209</v>
      </c>
      <c r="AZ1057" t="s">
        <v>4571</v>
      </c>
      <c r="BA1057">
        <v>3883493283.54</v>
      </c>
      <c r="BB1057" t="s">
        <v>4572</v>
      </c>
      <c r="BC1057" t="s">
        <v>4584</v>
      </c>
    </row>
    <row r="1058" spans="1:55" x14ac:dyDescent="0.25">
      <c r="A1058">
        <v>763</v>
      </c>
      <c r="B1058" t="s">
        <v>1237</v>
      </c>
      <c r="C1058" t="s">
        <v>2672</v>
      </c>
      <c r="D1058" t="s">
        <v>4107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203</v>
      </c>
      <c r="K1058">
        <v>57499807.820992097</v>
      </c>
      <c r="L1058">
        <v>0.95</v>
      </c>
      <c r="M1058" t="s">
        <v>4536</v>
      </c>
      <c r="O1058" t="s">
        <v>206</v>
      </c>
      <c r="Q1058" t="s">
        <v>207</v>
      </c>
      <c r="R1058" t="s">
        <v>207</v>
      </c>
      <c r="S1058" t="s">
        <v>207</v>
      </c>
      <c r="T1058" t="s">
        <v>207</v>
      </c>
      <c r="U1058" t="s">
        <v>207</v>
      </c>
      <c r="V1058" t="s">
        <v>207</v>
      </c>
      <c r="W1058" t="s">
        <v>207</v>
      </c>
      <c r="X1058" t="s">
        <v>207</v>
      </c>
      <c r="AK1058">
        <v>0</v>
      </c>
      <c r="AL1058">
        <v>0.93600000000000005</v>
      </c>
      <c r="AM1058">
        <v>1.18E-2</v>
      </c>
      <c r="AO1058" t="s">
        <v>4568</v>
      </c>
      <c r="AP1058" t="s">
        <v>4569</v>
      </c>
      <c r="AQ1058">
        <v>0</v>
      </c>
      <c r="AR1058">
        <v>0</v>
      </c>
      <c r="AW1058">
        <v>6010</v>
      </c>
      <c r="AX1058">
        <v>2.5470000000000002</v>
      </c>
      <c r="AY1058" t="s">
        <v>209</v>
      </c>
      <c r="BA1058">
        <v>13974978002</v>
      </c>
      <c r="BB1058" t="s">
        <v>4572</v>
      </c>
      <c r="BC1058" t="s">
        <v>4595</v>
      </c>
    </row>
    <row r="1059" spans="1:55" x14ac:dyDescent="0.25">
      <c r="A1059">
        <v>308</v>
      </c>
      <c r="B1059" t="s">
        <v>1238</v>
      </c>
      <c r="C1059" t="s">
        <v>2673</v>
      </c>
      <c r="D1059" t="s">
        <v>4108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202</v>
      </c>
      <c r="K1059">
        <v>207797356.85351801</v>
      </c>
      <c r="L1059">
        <v>0.65</v>
      </c>
      <c r="M1059" t="s">
        <v>4536</v>
      </c>
      <c r="O1059" t="s">
        <v>207</v>
      </c>
      <c r="Q1059" t="s">
        <v>207</v>
      </c>
      <c r="R1059" t="s">
        <v>207</v>
      </c>
      <c r="S1059" t="s">
        <v>207</v>
      </c>
      <c r="T1059" t="s">
        <v>207</v>
      </c>
      <c r="U1059" t="s">
        <v>207</v>
      </c>
      <c r="V1059" t="s">
        <v>207</v>
      </c>
      <c r="W1059" t="s">
        <v>207</v>
      </c>
      <c r="X1059" t="s">
        <v>207</v>
      </c>
      <c r="AK1059">
        <v>0</v>
      </c>
      <c r="AL1059">
        <v>2.5000000000000001E-2</v>
      </c>
      <c r="AM1059">
        <v>0</v>
      </c>
      <c r="AO1059" t="s">
        <v>4568</v>
      </c>
      <c r="AQ1059">
        <v>0</v>
      </c>
      <c r="AR1059">
        <v>0</v>
      </c>
      <c r="AW1059">
        <v>6510</v>
      </c>
      <c r="AX1059">
        <v>2.3199999999999998</v>
      </c>
      <c r="AY1059" t="s">
        <v>208</v>
      </c>
      <c r="BA1059">
        <v>44823722054.568604</v>
      </c>
      <c r="BB1059" t="s">
        <v>4572</v>
      </c>
      <c r="BC1059" t="s">
        <v>4582</v>
      </c>
    </row>
    <row r="1060" spans="1:55" x14ac:dyDescent="0.25">
      <c r="A1060">
        <v>414</v>
      </c>
      <c r="B1060" t="s">
        <v>1239</v>
      </c>
      <c r="C1060" t="s">
        <v>2674</v>
      </c>
      <c r="D1060" t="s">
        <v>4109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202</v>
      </c>
      <c r="K1060">
        <v>200227375.00651801</v>
      </c>
      <c r="L1060">
        <v>1</v>
      </c>
      <c r="O1060" t="s">
        <v>207</v>
      </c>
      <c r="Q1060" t="s">
        <v>207</v>
      </c>
      <c r="R1060" t="s">
        <v>207</v>
      </c>
      <c r="S1060" t="s">
        <v>207</v>
      </c>
      <c r="T1060" t="s">
        <v>207</v>
      </c>
      <c r="U1060" t="s">
        <v>207</v>
      </c>
      <c r="V1060" t="s">
        <v>207</v>
      </c>
      <c r="W1060" t="s">
        <v>207</v>
      </c>
      <c r="X1060" t="s">
        <v>207</v>
      </c>
      <c r="AG1060" t="s">
        <v>4546</v>
      </c>
      <c r="AH1060" t="s">
        <v>4562</v>
      </c>
      <c r="AI1060" t="s">
        <v>4565</v>
      </c>
      <c r="AJ1060" t="s">
        <v>4566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208</v>
      </c>
      <c r="BA1060">
        <v>32546720637.679001</v>
      </c>
      <c r="BB1060" t="s">
        <v>4572</v>
      </c>
      <c r="BC1060" t="s">
        <v>4581</v>
      </c>
    </row>
    <row r="1061" spans="1:55" x14ac:dyDescent="0.25">
      <c r="A1061">
        <v>664</v>
      </c>
      <c r="B1061" t="s">
        <v>1240</v>
      </c>
      <c r="C1061" t="s">
        <v>2675</v>
      </c>
      <c r="D1061" t="s">
        <v>4110</v>
      </c>
      <c r="E1061" t="s">
        <v>93</v>
      </c>
      <c r="F1061">
        <v>2307136700</v>
      </c>
      <c r="G1061">
        <v>7.8822000000000001</v>
      </c>
      <c r="H1061" t="s">
        <v>101</v>
      </c>
      <c r="I1061">
        <v>18185312896.740002</v>
      </c>
      <c r="J1061" t="s">
        <v>205</v>
      </c>
      <c r="K1061">
        <v>72685091.241238907</v>
      </c>
      <c r="L1061">
        <v>1</v>
      </c>
      <c r="M1061" t="s">
        <v>4536</v>
      </c>
      <c r="O1061" t="s">
        <v>207</v>
      </c>
      <c r="Q1061" t="s">
        <v>207</v>
      </c>
      <c r="R1061" t="s">
        <v>207</v>
      </c>
      <c r="S1061" t="s">
        <v>207</v>
      </c>
      <c r="T1061" t="s">
        <v>207</v>
      </c>
      <c r="U1061" t="s">
        <v>207</v>
      </c>
      <c r="V1061" t="s">
        <v>207</v>
      </c>
      <c r="W1061" t="s">
        <v>207</v>
      </c>
      <c r="X1061" t="s">
        <v>207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210</v>
      </c>
      <c r="BA1061">
        <v>18185312896.740002</v>
      </c>
      <c r="BB1061" t="s">
        <v>4572</v>
      </c>
      <c r="BC1061" t="s">
        <v>4536</v>
      </c>
    </row>
    <row r="1062" spans="1:55" x14ac:dyDescent="0.25">
      <c r="A1062">
        <v>660</v>
      </c>
      <c r="B1062" t="s">
        <v>1241</v>
      </c>
      <c r="C1062" t="s">
        <v>2676</v>
      </c>
      <c r="D1062" t="s">
        <v>4111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19318132021.049999</v>
      </c>
      <c r="J1062" t="s">
        <v>202</v>
      </c>
      <c r="K1062">
        <v>56784191.754173197</v>
      </c>
      <c r="L1062">
        <v>0.95</v>
      </c>
      <c r="M1062" t="s">
        <v>4536</v>
      </c>
      <c r="O1062" t="s">
        <v>207</v>
      </c>
      <c r="Q1062" t="s">
        <v>207</v>
      </c>
      <c r="R1062" t="s">
        <v>207</v>
      </c>
      <c r="S1062" t="s">
        <v>207</v>
      </c>
      <c r="T1062" t="s">
        <v>207</v>
      </c>
      <c r="U1062" t="s">
        <v>207</v>
      </c>
      <c r="V1062" t="s">
        <v>207</v>
      </c>
      <c r="W1062" t="s">
        <v>207</v>
      </c>
      <c r="X1062" t="s">
        <v>207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208</v>
      </c>
      <c r="AZ1062" t="s">
        <v>4571</v>
      </c>
      <c r="BA1062">
        <v>18352225419.997501</v>
      </c>
      <c r="BB1062" t="s">
        <v>4572</v>
      </c>
      <c r="BC1062" t="s">
        <v>4577</v>
      </c>
    </row>
    <row r="1063" spans="1:55" x14ac:dyDescent="0.25">
      <c r="A1063">
        <v>363</v>
      </c>
      <c r="B1063" t="s">
        <v>1242</v>
      </c>
      <c r="C1063" t="s">
        <v>2677</v>
      </c>
      <c r="D1063" t="s">
        <v>4112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203</v>
      </c>
      <c r="K1063">
        <v>224805034.040984</v>
      </c>
      <c r="L1063">
        <v>1</v>
      </c>
      <c r="M1063" t="s">
        <v>4536</v>
      </c>
      <c r="O1063" t="s">
        <v>206</v>
      </c>
      <c r="Q1063" t="s">
        <v>207</v>
      </c>
      <c r="R1063" t="s">
        <v>207</v>
      </c>
      <c r="S1063" t="s">
        <v>207</v>
      </c>
      <c r="T1063" t="s">
        <v>207</v>
      </c>
      <c r="U1063" t="s">
        <v>207</v>
      </c>
      <c r="V1063" t="s">
        <v>4538</v>
      </c>
      <c r="W1063" t="s">
        <v>207</v>
      </c>
      <c r="X1063" t="s">
        <v>207</v>
      </c>
      <c r="AD1063" t="s">
        <v>4543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209</v>
      </c>
      <c r="BA1063">
        <v>38950903111.599998</v>
      </c>
      <c r="BB1063" t="s">
        <v>4572</v>
      </c>
      <c r="BC1063" t="s">
        <v>4648</v>
      </c>
    </row>
    <row r="1064" spans="1:55" x14ac:dyDescent="0.25">
      <c r="A1064">
        <v>1114</v>
      </c>
      <c r="B1064" t="s">
        <v>1243</v>
      </c>
      <c r="C1064" t="s">
        <v>2678</v>
      </c>
      <c r="D1064" t="s">
        <v>4113</v>
      </c>
      <c r="E1064" t="s">
        <v>93</v>
      </c>
      <c r="F1064">
        <v>569733150</v>
      </c>
      <c r="G1064">
        <v>9.8583449999999999</v>
      </c>
      <c r="H1064" t="s">
        <v>101</v>
      </c>
      <c r="I1064">
        <v>5616625950.6367502</v>
      </c>
      <c r="J1064" t="s">
        <v>205</v>
      </c>
      <c r="K1064">
        <v>19260711.2367329</v>
      </c>
      <c r="L1064">
        <v>0.8</v>
      </c>
      <c r="M1064" t="s">
        <v>4536</v>
      </c>
      <c r="O1064" t="s">
        <v>207</v>
      </c>
      <c r="Q1064" t="s">
        <v>207</v>
      </c>
      <c r="R1064" t="s">
        <v>207</v>
      </c>
      <c r="S1064" t="s">
        <v>207</v>
      </c>
      <c r="T1064" t="s">
        <v>207</v>
      </c>
      <c r="U1064" t="s">
        <v>207</v>
      </c>
      <c r="V1064" t="s">
        <v>207</v>
      </c>
      <c r="W1064" t="s">
        <v>207</v>
      </c>
      <c r="X1064" t="s">
        <v>207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210</v>
      </c>
      <c r="BA1064">
        <v>4493300760.5094004</v>
      </c>
      <c r="BB1064" t="s">
        <v>4572</v>
      </c>
      <c r="BC1064" t="s">
        <v>4536</v>
      </c>
    </row>
    <row r="1065" spans="1:55" x14ac:dyDescent="0.25">
      <c r="A1065">
        <v>992</v>
      </c>
      <c r="B1065" t="s">
        <v>1244</v>
      </c>
      <c r="C1065" t="s">
        <v>2679</v>
      </c>
      <c r="D1065" t="s">
        <v>4114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204</v>
      </c>
      <c r="K1065">
        <v>9850003.0018964</v>
      </c>
      <c r="L1065">
        <v>1</v>
      </c>
      <c r="M1065" t="s">
        <v>4536</v>
      </c>
      <c r="N1065" t="s">
        <v>4537</v>
      </c>
      <c r="O1065" t="s">
        <v>207</v>
      </c>
      <c r="Q1065" t="s">
        <v>207</v>
      </c>
      <c r="R1065" t="s">
        <v>207</v>
      </c>
      <c r="S1065" t="s">
        <v>207</v>
      </c>
      <c r="T1065" t="s">
        <v>207</v>
      </c>
      <c r="U1065" t="s">
        <v>207</v>
      </c>
      <c r="V1065" t="s">
        <v>207</v>
      </c>
      <c r="W1065" t="s">
        <v>207</v>
      </c>
      <c r="X1065" t="s">
        <v>207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209</v>
      </c>
      <c r="BA1065">
        <v>6185326830.1672802</v>
      </c>
      <c r="BB1065" t="s">
        <v>4572</v>
      </c>
      <c r="BC1065" t="s">
        <v>4575</v>
      </c>
    </row>
    <row r="1066" spans="1:55" x14ac:dyDescent="0.25">
      <c r="A1066">
        <v>1188</v>
      </c>
      <c r="B1066" t="s">
        <v>1245</v>
      </c>
      <c r="C1066" t="s">
        <v>2680</v>
      </c>
      <c r="D1066" t="s">
        <v>4115</v>
      </c>
      <c r="E1066" t="s">
        <v>4523</v>
      </c>
      <c r="F1066">
        <v>26706740</v>
      </c>
      <c r="G1066">
        <v>157.3681</v>
      </c>
      <c r="H1066" t="s">
        <v>4532</v>
      </c>
      <c r="I1066">
        <v>4202788930.994</v>
      </c>
      <c r="J1066" t="s">
        <v>204</v>
      </c>
      <c r="K1066">
        <v>4716246.3048326103</v>
      </c>
      <c r="L1066">
        <v>0.9</v>
      </c>
      <c r="M1066" t="s">
        <v>4536</v>
      </c>
      <c r="N1066" t="s">
        <v>4537</v>
      </c>
      <c r="O1066" t="s">
        <v>207</v>
      </c>
      <c r="Q1066" t="s">
        <v>207</v>
      </c>
      <c r="R1066" t="s">
        <v>207</v>
      </c>
      <c r="S1066" t="s">
        <v>207</v>
      </c>
      <c r="T1066" t="s">
        <v>207</v>
      </c>
      <c r="U1066" t="s">
        <v>207</v>
      </c>
      <c r="V1066" t="s">
        <v>207</v>
      </c>
      <c r="W1066" t="s">
        <v>207</v>
      </c>
      <c r="X1066" t="s">
        <v>207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209</v>
      </c>
      <c r="BA1066">
        <v>3782510037.8945999</v>
      </c>
      <c r="BB1066" t="s">
        <v>4572</v>
      </c>
      <c r="BC1066" t="s">
        <v>4575</v>
      </c>
    </row>
    <row r="1067" spans="1:55" x14ac:dyDescent="0.25">
      <c r="A1067">
        <v>1400</v>
      </c>
      <c r="B1067" t="s">
        <v>1246</v>
      </c>
      <c r="C1067" t="s">
        <v>2681</v>
      </c>
      <c r="D1067" t="s">
        <v>4116</v>
      </c>
      <c r="E1067" t="s">
        <v>93</v>
      </c>
      <c r="F1067">
        <v>143888570</v>
      </c>
      <c r="G1067">
        <v>21.839929999999999</v>
      </c>
      <c r="H1067" t="s">
        <v>101</v>
      </c>
      <c r="I1067">
        <v>3142516296.6001</v>
      </c>
      <c r="J1067" t="s">
        <v>205</v>
      </c>
      <c r="K1067">
        <v>7581378.4185207998</v>
      </c>
      <c r="L1067">
        <v>0.8</v>
      </c>
      <c r="M1067" t="s">
        <v>4536</v>
      </c>
      <c r="N1067" t="s">
        <v>4537</v>
      </c>
      <c r="O1067" t="s">
        <v>207</v>
      </c>
      <c r="Q1067" t="s">
        <v>207</v>
      </c>
      <c r="R1067" t="s">
        <v>207</v>
      </c>
      <c r="S1067" t="s">
        <v>207</v>
      </c>
      <c r="T1067" t="s">
        <v>207</v>
      </c>
      <c r="U1067" t="s">
        <v>207</v>
      </c>
      <c r="V1067" t="s">
        <v>207</v>
      </c>
      <c r="W1067" t="s">
        <v>207</v>
      </c>
      <c r="X1067" t="s">
        <v>207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210</v>
      </c>
      <c r="BA1067">
        <v>2514013037.2800798</v>
      </c>
      <c r="BB1067" t="s">
        <v>4572</v>
      </c>
      <c r="BC1067" t="s">
        <v>4575</v>
      </c>
    </row>
    <row r="1068" spans="1:55" x14ac:dyDescent="0.25">
      <c r="A1068">
        <v>207</v>
      </c>
      <c r="B1068" t="s">
        <v>1247</v>
      </c>
      <c r="C1068" t="s">
        <v>2682</v>
      </c>
      <c r="D1068" t="s">
        <v>4117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204</v>
      </c>
      <c r="K1068">
        <v>100758236.53435899</v>
      </c>
      <c r="L1068">
        <v>0.85</v>
      </c>
      <c r="M1068" t="s">
        <v>4536</v>
      </c>
      <c r="O1068" t="s">
        <v>206</v>
      </c>
      <c r="Q1068" t="s">
        <v>207</v>
      </c>
      <c r="R1068" t="s">
        <v>207</v>
      </c>
      <c r="S1068" t="s">
        <v>207</v>
      </c>
      <c r="T1068" t="s">
        <v>207</v>
      </c>
      <c r="U1068" t="s">
        <v>207</v>
      </c>
      <c r="V1068" t="s">
        <v>207</v>
      </c>
      <c r="W1068" t="s">
        <v>207</v>
      </c>
      <c r="X1068" t="s">
        <v>207</v>
      </c>
      <c r="AK1068">
        <v>6.7999999999999996E-3</v>
      </c>
      <c r="AL1068">
        <v>0.01</v>
      </c>
      <c r="AM1068">
        <v>1.32E-2</v>
      </c>
      <c r="AN1068" t="s">
        <v>4567</v>
      </c>
      <c r="AO1068" t="s">
        <v>4568</v>
      </c>
      <c r="AP1068" t="s">
        <v>4569</v>
      </c>
      <c r="AQ1068">
        <v>0</v>
      </c>
      <c r="AR1068">
        <v>0</v>
      </c>
      <c r="AW1068">
        <v>5510</v>
      </c>
      <c r="AX1068">
        <v>2.2090000000000001</v>
      </c>
      <c r="AY1068" t="s">
        <v>209</v>
      </c>
      <c r="BA1068">
        <v>65437758466.671387</v>
      </c>
      <c r="BB1068" t="s">
        <v>4572</v>
      </c>
      <c r="BC1068" t="s">
        <v>4576</v>
      </c>
    </row>
    <row r="1069" spans="1:55" x14ac:dyDescent="0.25">
      <c r="A1069">
        <v>371</v>
      </c>
      <c r="B1069" t="s">
        <v>1248</v>
      </c>
      <c r="C1069" t="s">
        <v>2683</v>
      </c>
      <c r="D1069" t="s">
        <v>4118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202</v>
      </c>
      <c r="K1069">
        <v>1106481819.5584099</v>
      </c>
      <c r="L1069">
        <v>1</v>
      </c>
      <c r="M1069" t="s">
        <v>4536</v>
      </c>
      <c r="O1069" t="s">
        <v>206</v>
      </c>
      <c r="Q1069" t="s">
        <v>207</v>
      </c>
      <c r="R1069" t="s">
        <v>207</v>
      </c>
      <c r="S1069" t="s">
        <v>207</v>
      </c>
      <c r="T1069" t="s">
        <v>207</v>
      </c>
      <c r="U1069" t="s">
        <v>207</v>
      </c>
      <c r="V1069" t="s">
        <v>207</v>
      </c>
      <c r="W1069" t="s">
        <v>207</v>
      </c>
      <c r="X1069" t="s">
        <v>207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208</v>
      </c>
      <c r="BA1069">
        <v>37901584797.323013</v>
      </c>
      <c r="BB1069" t="s">
        <v>4572</v>
      </c>
      <c r="BC1069" t="s">
        <v>4536</v>
      </c>
    </row>
    <row r="1070" spans="1:55" x14ac:dyDescent="0.25">
      <c r="A1070">
        <v>379</v>
      </c>
      <c r="B1070" t="s">
        <v>1249</v>
      </c>
      <c r="C1070" t="s">
        <v>2684</v>
      </c>
      <c r="D1070" t="s">
        <v>4119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202</v>
      </c>
      <c r="K1070">
        <v>489574740.53756702</v>
      </c>
      <c r="L1070">
        <v>1</v>
      </c>
      <c r="M1070" t="s">
        <v>4536</v>
      </c>
      <c r="O1070" t="s">
        <v>207</v>
      </c>
      <c r="Q1070" t="s">
        <v>207</v>
      </c>
      <c r="R1070" t="s">
        <v>207</v>
      </c>
      <c r="S1070" t="s">
        <v>207</v>
      </c>
      <c r="T1070" t="s">
        <v>207</v>
      </c>
      <c r="U1070" t="s">
        <v>207</v>
      </c>
      <c r="V1070" t="s">
        <v>207</v>
      </c>
      <c r="W1070" t="s">
        <v>207</v>
      </c>
      <c r="X1070" t="s">
        <v>207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208</v>
      </c>
      <c r="AZ1070" t="s">
        <v>4571</v>
      </c>
      <c r="BA1070">
        <v>37009582398.161003</v>
      </c>
      <c r="BB1070" t="s">
        <v>4572</v>
      </c>
      <c r="BC1070" t="s">
        <v>4577</v>
      </c>
    </row>
    <row r="1071" spans="1:55" x14ac:dyDescent="0.25">
      <c r="A1071">
        <v>37</v>
      </c>
      <c r="B1071" t="s">
        <v>1250</v>
      </c>
      <c r="C1071" t="s">
        <v>2685</v>
      </c>
      <c r="D1071" t="s">
        <v>4120</v>
      </c>
      <c r="E1071" t="s">
        <v>95</v>
      </c>
      <c r="F1071">
        <v>702562700</v>
      </c>
      <c r="G1071">
        <v>317.28489999999999</v>
      </c>
      <c r="H1071" t="s">
        <v>103</v>
      </c>
      <c r="I1071">
        <v>222912536013.23001</v>
      </c>
      <c r="J1071" t="s">
        <v>204</v>
      </c>
      <c r="K1071">
        <v>309147577.91078299</v>
      </c>
      <c r="L1071">
        <v>1</v>
      </c>
      <c r="O1071" t="s">
        <v>207</v>
      </c>
      <c r="Q1071" t="s">
        <v>207</v>
      </c>
      <c r="R1071" t="s">
        <v>207</v>
      </c>
      <c r="S1071" t="s">
        <v>207</v>
      </c>
      <c r="T1071" t="s">
        <v>207</v>
      </c>
      <c r="U1071" t="s">
        <v>207</v>
      </c>
      <c r="V1071" t="s">
        <v>207</v>
      </c>
      <c r="W1071" t="s">
        <v>207</v>
      </c>
      <c r="X1071" t="s">
        <v>207</v>
      </c>
      <c r="AG1071" t="s">
        <v>4546</v>
      </c>
      <c r="AH1071" t="s">
        <v>4562</v>
      </c>
      <c r="AI1071" t="s">
        <v>4565</v>
      </c>
      <c r="AJ1071" t="s">
        <v>4566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209</v>
      </c>
      <c r="BA1071">
        <v>222912536013.23001</v>
      </c>
      <c r="BB1071" t="s">
        <v>4572</v>
      </c>
      <c r="BC1071" t="s">
        <v>4581</v>
      </c>
    </row>
    <row r="1072" spans="1:55" x14ac:dyDescent="0.25">
      <c r="A1072">
        <v>420</v>
      </c>
      <c r="B1072" t="s">
        <v>1251</v>
      </c>
      <c r="C1072" t="s">
        <v>2686</v>
      </c>
      <c r="D1072" t="s">
        <v>4121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202</v>
      </c>
      <c r="K1072">
        <v>253579152.409513</v>
      </c>
      <c r="L1072">
        <v>1</v>
      </c>
      <c r="M1072" t="s">
        <v>4536</v>
      </c>
      <c r="O1072" t="s">
        <v>207</v>
      </c>
      <c r="Q1072" t="s">
        <v>207</v>
      </c>
      <c r="R1072" t="s">
        <v>207</v>
      </c>
      <c r="S1072" t="s">
        <v>207</v>
      </c>
      <c r="T1072" t="s">
        <v>207</v>
      </c>
      <c r="U1072" t="s">
        <v>207</v>
      </c>
      <c r="V1072" t="s">
        <v>207</v>
      </c>
      <c r="W1072" t="s">
        <v>207</v>
      </c>
      <c r="X1072" t="s">
        <v>207</v>
      </c>
      <c r="AK1072">
        <v>0</v>
      </c>
      <c r="AL1072">
        <v>0.1</v>
      </c>
      <c r="AM1072">
        <v>0</v>
      </c>
      <c r="AO1072" t="s">
        <v>4568</v>
      </c>
      <c r="AQ1072">
        <v>0</v>
      </c>
      <c r="AR1072">
        <v>0</v>
      </c>
      <c r="AW1072">
        <v>5020</v>
      </c>
      <c r="AX1072">
        <v>2.2069999999999999</v>
      </c>
      <c r="AY1072" t="s">
        <v>208</v>
      </c>
      <c r="BA1072">
        <v>31928644932.834499</v>
      </c>
      <c r="BB1072" t="s">
        <v>4572</v>
      </c>
      <c r="BC1072" t="s">
        <v>4582</v>
      </c>
    </row>
    <row r="1073" spans="1:55" x14ac:dyDescent="0.25">
      <c r="A1073">
        <v>1190</v>
      </c>
      <c r="B1073" t="s">
        <v>1252</v>
      </c>
      <c r="C1073" t="s">
        <v>2687</v>
      </c>
      <c r="D1073" t="s">
        <v>4122</v>
      </c>
      <c r="E1073" t="s">
        <v>4523</v>
      </c>
      <c r="F1073">
        <v>11754106</v>
      </c>
      <c r="G1073">
        <v>375.32420000000002</v>
      </c>
      <c r="H1073" t="s">
        <v>4532</v>
      </c>
      <c r="I1073">
        <v>4411600431.1652002</v>
      </c>
      <c r="J1073" t="s">
        <v>204</v>
      </c>
      <c r="K1073">
        <v>13834313.1880618</v>
      </c>
      <c r="L1073">
        <v>0.85</v>
      </c>
      <c r="O1073" t="s">
        <v>207</v>
      </c>
      <c r="Q1073" t="s">
        <v>207</v>
      </c>
      <c r="R1073" t="s">
        <v>207</v>
      </c>
      <c r="S1073" t="s">
        <v>207</v>
      </c>
      <c r="T1073" t="s">
        <v>207</v>
      </c>
      <c r="U1073" t="s">
        <v>207</v>
      </c>
      <c r="V1073" t="s">
        <v>207</v>
      </c>
      <c r="W1073" t="s">
        <v>207</v>
      </c>
      <c r="X1073" t="s">
        <v>207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209</v>
      </c>
      <c r="BA1073">
        <v>3749860366.4904199</v>
      </c>
      <c r="BB1073" t="s">
        <v>211</v>
      </c>
    </row>
    <row r="1074" spans="1:55" x14ac:dyDescent="0.25">
      <c r="A1074">
        <v>1182</v>
      </c>
      <c r="B1074" t="s">
        <v>1253</v>
      </c>
      <c r="C1074" t="s">
        <v>2688</v>
      </c>
      <c r="D1074" t="s">
        <v>4123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205</v>
      </c>
      <c r="K1074">
        <v>35664534.607294999</v>
      </c>
      <c r="L1074">
        <v>0.9</v>
      </c>
      <c r="M1074" t="s">
        <v>4536</v>
      </c>
      <c r="O1074" t="s">
        <v>207</v>
      </c>
      <c r="Q1074" t="s">
        <v>207</v>
      </c>
      <c r="R1074" t="s">
        <v>207</v>
      </c>
      <c r="S1074" t="s">
        <v>207</v>
      </c>
      <c r="T1074" t="s">
        <v>207</v>
      </c>
      <c r="U1074" t="s">
        <v>207</v>
      </c>
      <c r="V1074" t="s">
        <v>207</v>
      </c>
      <c r="W1074" t="s">
        <v>207</v>
      </c>
      <c r="X1074" t="s">
        <v>207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210</v>
      </c>
      <c r="BA1074">
        <v>3803140605.5999999</v>
      </c>
      <c r="BB1074" t="s">
        <v>4572</v>
      </c>
      <c r="BC1074" t="s">
        <v>4536</v>
      </c>
    </row>
    <row r="1075" spans="1:55" x14ac:dyDescent="0.25">
      <c r="A1075">
        <v>1237</v>
      </c>
      <c r="B1075" t="s">
        <v>1254</v>
      </c>
      <c r="C1075" t="s">
        <v>2689</v>
      </c>
      <c r="D1075" t="s">
        <v>4124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205</v>
      </c>
      <c r="K1075">
        <v>16007401.642389501</v>
      </c>
      <c r="L1075">
        <v>1</v>
      </c>
      <c r="M1075" t="s">
        <v>4536</v>
      </c>
      <c r="O1075" t="s">
        <v>207</v>
      </c>
      <c r="Q1075" t="s">
        <v>207</v>
      </c>
      <c r="R1075" t="s">
        <v>207</v>
      </c>
      <c r="S1075" t="s">
        <v>207</v>
      </c>
      <c r="T1075" t="s">
        <v>207</v>
      </c>
      <c r="U1075" t="s">
        <v>207</v>
      </c>
      <c r="V1075" t="s">
        <v>207</v>
      </c>
      <c r="W1075" t="s">
        <v>207</v>
      </c>
      <c r="X1075" t="s">
        <v>207</v>
      </c>
      <c r="AG1075" t="s">
        <v>4546</v>
      </c>
      <c r="AH1075" t="s">
        <v>4563</v>
      </c>
      <c r="AI1075" t="s">
        <v>4565</v>
      </c>
      <c r="AJ1075" t="s">
        <v>4566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210</v>
      </c>
      <c r="BA1075">
        <v>3452841868.0084</v>
      </c>
      <c r="BB1075" t="s">
        <v>4572</v>
      </c>
      <c r="BC1075" t="s">
        <v>4578</v>
      </c>
    </row>
    <row r="1076" spans="1:55" x14ac:dyDescent="0.25">
      <c r="A1076">
        <v>215</v>
      </c>
      <c r="B1076" t="s">
        <v>1255</v>
      </c>
      <c r="C1076" t="s">
        <v>2690</v>
      </c>
      <c r="D1076" t="s">
        <v>4125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204</v>
      </c>
      <c r="K1076">
        <v>76682435.714459807</v>
      </c>
      <c r="L1076">
        <v>1</v>
      </c>
      <c r="M1076" t="s">
        <v>4536</v>
      </c>
      <c r="O1076" t="s">
        <v>207</v>
      </c>
      <c r="Q1076" t="s">
        <v>207</v>
      </c>
      <c r="R1076" t="s">
        <v>207</v>
      </c>
      <c r="S1076" t="s">
        <v>4538</v>
      </c>
      <c r="T1076" t="s">
        <v>207</v>
      </c>
      <c r="U1076" t="s">
        <v>207</v>
      </c>
      <c r="V1076" t="s">
        <v>207</v>
      </c>
      <c r="W1076" t="s">
        <v>207</v>
      </c>
      <c r="X1076" t="s">
        <v>207</v>
      </c>
      <c r="AA1076" t="s">
        <v>4541</v>
      </c>
      <c r="AK1076">
        <v>0</v>
      </c>
      <c r="AL1076">
        <v>0.05</v>
      </c>
      <c r="AM1076">
        <v>0</v>
      </c>
      <c r="AO1076" t="s">
        <v>4568</v>
      </c>
      <c r="AQ1076">
        <v>0</v>
      </c>
      <c r="AR1076">
        <v>0</v>
      </c>
      <c r="AW1076">
        <v>5020</v>
      </c>
      <c r="AX1076">
        <v>2.3279999999999998</v>
      </c>
      <c r="AY1076" t="s">
        <v>209</v>
      </c>
      <c r="BA1076">
        <v>62863759067.765999</v>
      </c>
      <c r="BB1076" t="s">
        <v>4572</v>
      </c>
      <c r="BC1076" t="s">
        <v>4625</v>
      </c>
    </row>
    <row r="1077" spans="1:55" x14ac:dyDescent="0.25">
      <c r="A1077">
        <v>226</v>
      </c>
      <c r="B1077" t="s">
        <v>1256</v>
      </c>
      <c r="C1077" t="s">
        <v>2691</v>
      </c>
      <c r="D1077" t="s">
        <v>4126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202</v>
      </c>
      <c r="K1077">
        <v>322246007.445647</v>
      </c>
      <c r="L1077">
        <v>1</v>
      </c>
      <c r="M1077" t="s">
        <v>4536</v>
      </c>
      <c r="O1077" t="s">
        <v>207</v>
      </c>
      <c r="Q1077" t="s">
        <v>207</v>
      </c>
      <c r="R1077" t="s">
        <v>207</v>
      </c>
      <c r="S1077" t="s">
        <v>207</v>
      </c>
      <c r="T1077" t="s">
        <v>207</v>
      </c>
      <c r="U1077" t="s">
        <v>207</v>
      </c>
      <c r="V1077" t="s">
        <v>207</v>
      </c>
      <c r="W1077" t="s">
        <v>207</v>
      </c>
      <c r="X1077" t="s">
        <v>207</v>
      </c>
      <c r="AK1077">
        <v>0</v>
      </c>
      <c r="AL1077">
        <v>0.05</v>
      </c>
      <c r="AM1077">
        <v>0</v>
      </c>
      <c r="AO1077" t="s">
        <v>4568</v>
      </c>
      <c r="AQ1077">
        <v>0</v>
      </c>
      <c r="AR1077">
        <v>0</v>
      </c>
      <c r="AW1077">
        <v>1010</v>
      </c>
      <c r="AX1077">
        <v>2.0510000000000002</v>
      </c>
      <c r="AY1077" t="s">
        <v>208</v>
      </c>
      <c r="BA1077">
        <v>58876030594.709999</v>
      </c>
      <c r="BB1077" t="s">
        <v>4572</v>
      </c>
      <c r="BC1077" t="s">
        <v>4582</v>
      </c>
    </row>
    <row r="1078" spans="1:55" x14ac:dyDescent="0.25">
      <c r="A1078">
        <v>325</v>
      </c>
      <c r="B1078" t="s">
        <v>1257</v>
      </c>
      <c r="C1078" t="s">
        <v>2692</v>
      </c>
      <c r="D1078" t="s">
        <v>4127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202</v>
      </c>
      <c r="K1078">
        <v>356517750.36263901</v>
      </c>
      <c r="L1078">
        <v>1</v>
      </c>
      <c r="M1078" t="s">
        <v>4536</v>
      </c>
      <c r="O1078" t="s">
        <v>207</v>
      </c>
      <c r="Q1078" t="s">
        <v>207</v>
      </c>
      <c r="R1078" t="s">
        <v>207</v>
      </c>
      <c r="S1078" t="s">
        <v>207</v>
      </c>
      <c r="T1078" t="s">
        <v>207</v>
      </c>
      <c r="U1078" t="s">
        <v>207</v>
      </c>
      <c r="V1078" t="s">
        <v>207</v>
      </c>
      <c r="W1078" t="s">
        <v>207</v>
      </c>
      <c r="X1078" t="s">
        <v>207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208</v>
      </c>
      <c r="BA1078">
        <v>43110099939.240013</v>
      </c>
      <c r="BB1078" t="s">
        <v>4572</v>
      </c>
      <c r="BC1078" t="s">
        <v>4536</v>
      </c>
    </row>
    <row r="1079" spans="1:55" x14ac:dyDescent="0.25">
      <c r="A1079">
        <v>1245</v>
      </c>
      <c r="B1079" t="s">
        <v>1258</v>
      </c>
      <c r="C1079" t="s">
        <v>2693</v>
      </c>
      <c r="D1079" t="s">
        <v>4128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204</v>
      </c>
      <c r="K1079">
        <v>4567425.9986857204</v>
      </c>
      <c r="L1079">
        <v>1</v>
      </c>
      <c r="M1079" t="s">
        <v>4536</v>
      </c>
      <c r="N1079" t="s">
        <v>4537</v>
      </c>
      <c r="O1079" t="s">
        <v>207</v>
      </c>
      <c r="Q1079" t="s">
        <v>207</v>
      </c>
      <c r="R1079" t="s">
        <v>207</v>
      </c>
      <c r="S1079" t="s">
        <v>207</v>
      </c>
      <c r="T1079" t="s">
        <v>207</v>
      </c>
      <c r="U1079" t="s">
        <v>207</v>
      </c>
      <c r="V1079" t="s">
        <v>207</v>
      </c>
      <c r="W1079" t="s">
        <v>207</v>
      </c>
      <c r="X1079" t="s">
        <v>207</v>
      </c>
      <c r="AK1079">
        <v>0</v>
      </c>
      <c r="AL1079">
        <v>0.70299999999999996</v>
      </c>
      <c r="AM1079">
        <v>0</v>
      </c>
      <c r="AO1079" t="s">
        <v>4568</v>
      </c>
      <c r="AQ1079">
        <v>0</v>
      </c>
      <c r="AR1079">
        <v>0</v>
      </c>
      <c r="AW1079">
        <v>5020</v>
      </c>
      <c r="AX1079">
        <v>2.5419999999999998</v>
      </c>
      <c r="AY1079" t="s">
        <v>209</v>
      </c>
      <c r="BA1079">
        <v>3391020837.7477198</v>
      </c>
      <c r="BB1079" t="s">
        <v>4572</v>
      </c>
      <c r="BC1079" t="s">
        <v>4579</v>
      </c>
    </row>
    <row r="1080" spans="1:55" x14ac:dyDescent="0.25">
      <c r="A1080">
        <v>62</v>
      </c>
      <c r="B1080" t="s">
        <v>1259</v>
      </c>
      <c r="C1080" t="s">
        <v>2694</v>
      </c>
      <c r="D1080" t="s">
        <v>4129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202</v>
      </c>
      <c r="K1080">
        <v>464958175.21284503</v>
      </c>
      <c r="L1080">
        <v>1</v>
      </c>
      <c r="M1080" t="s">
        <v>4536</v>
      </c>
      <c r="O1080" t="s">
        <v>207</v>
      </c>
      <c r="Q1080" t="s">
        <v>207</v>
      </c>
      <c r="R1080" t="s">
        <v>207</v>
      </c>
      <c r="S1080" t="s">
        <v>207</v>
      </c>
      <c r="T1080" t="s">
        <v>207</v>
      </c>
      <c r="U1080" t="s">
        <v>207</v>
      </c>
      <c r="V1080" t="s">
        <v>207</v>
      </c>
      <c r="W1080" t="s">
        <v>207</v>
      </c>
      <c r="X1080" t="s">
        <v>207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208</v>
      </c>
      <c r="BA1080">
        <v>161245900500</v>
      </c>
      <c r="BB1080" t="s">
        <v>4572</v>
      </c>
      <c r="BC1080" t="s">
        <v>4536</v>
      </c>
    </row>
    <row r="1081" spans="1:55" x14ac:dyDescent="0.25">
      <c r="A1081">
        <v>236</v>
      </c>
      <c r="B1081" t="s">
        <v>1260</v>
      </c>
      <c r="C1081" t="s">
        <v>2695</v>
      </c>
      <c r="D1081" t="s">
        <v>4130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202</v>
      </c>
      <c r="K1081">
        <v>522519549.40344602</v>
      </c>
      <c r="L1081">
        <v>0.95</v>
      </c>
      <c r="M1081" t="s">
        <v>4536</v>
      </c>
      <c r="O1081" t="s">
        <v>207</v>
      </c>
      <c r="Q1081" t="s">
        <v>207</v>
      </c>
      <c r="R1081" t="s">
        <v>207</v>
      </c>
      <c r="S1081" t="s">
        <v>207</v>
      </c>
      <c r="T1081" t="s">
        <v>207</v>
      </c>
      <c r="U1081" t="s">
        <v>207</v>
      </c>
      <c r="V1081" t="s">
        <v>207</v>
      </c>
      <c r="W1081" t="s">
        <v>207</v>
      </c>
      <c r="X1081" t="s">
        <v>207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208</v>
      </c>
      <c r="BA1081">
        <v>57287216700.3125</v>
      </c>
      <c r="BB1081" t="s">
        <v>4572</v>
      </c>
      <c r="BC1081" t="s">
        <v>4536</v>
      </c>
    </row>
    <row r="1082" spans="1:55" x14ac:dyDescent="0.25">
      <c r="A1082">
        <v>1289</v>
      </c>
      <c r="B1082" t="s">
        <v>1261</v>
      </c>
      <c r="C1082" t="s">
        <v>2696</v>
      </c>
      <c r="D1082" t="s">
        <v>4131</v>
      </c>
      <c r="E1082" t="s">
        <v>4523</v>
      </c>
      <c r="F1082">
        <v>50200000</v>
      </c>
      <c r="G1082">
        <v>73.523319999999998</v>
      </c>
      <c r="H1082" t="s">
        <v>4532</v>
      </c>
      <c r="I1082">
        <v>3690870664</v>
      </c>
      <c r="J1082" t="s">
        <v>204</v>
      </c>
      <c r="K1082">
        <v>6001786.9137484599</v>
      </c>
      <c r="L1082">
        <v>0.85</v>
      </c>
      <c r="M1082" t="s">
        <v>4536</v>
      </c>
      <c r="N1082" t="s">
        <v>4537</v>
      </c>
      <c r="O1082" t="s">
        <v>207</v>
      </c>
      <c r="Q1082" t="s">
        <v>207</v>
      </c>
      <c r="R1082" t="s">
        <v>207</v>
      </c>
      <c r="S1082" t="s">
        <v>207</v>
      </c>
      <c r="T1082" t="s">
        <v>207</v>
      </c>
      <c r="U1082" t="s">
        <v>207</v>
      </c>
      <c r="V1082" t="s">
        <v>207</v>
      </c>
      <c r="W1082" t="s">
        <v>207</v>
      </c>
      <c r="X1082" t="s">
        <v>207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209</v>
      </c>
      <c r="BA1082">
        <v>3137240064.4000001</v>
      </c>
      <c r="BB1082" t="s">
        <v>4572</v>
      </c>
      <c r="BC1082" t="s">
        <v>4575</v>
      </c>
    </row>
    <row r="1083" spans="1:55" x14ac:dyDescent="0.25">
      <c r="A1083">
        <v>1199</v>
      </c>
      <c r="B1083" t="s">
        <v>1262</v>
      </c>
      <c r="C1083" t="s">
        <v>2697</v>
      </c>
      <c r="D1083" t="s">
        <v>4132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204</v>
      </c>
      <c r="K1083">
        <v>4519321.1892360998</v>
      </c>
      <c r="L1083">
        <v>1</v>
      </c>
      <c r="M1083" t="s">
        <v>4536</v>
      </c>
      <c r="N1083" t="s">
        <v>4537</v>
      </c>
      <c r="O1083" t="s">
        <v>207</v>
      </c>
      <c r="Q1083" t="s">
        <v>207</v>
      </c>
      <c r="R1083" t="s">
        <v>207</v>
      </c>
      <c r="S1083" t="s">
        <v>207</v>
      </c>
      <c r="T1083" t="s">
        <v>207</v>
      </c>
      <c r="U1083" t="s">
        <v>207</v>
      </c>
      <c r="V1083" t="s">
        <v>207</v>
      </c>
      <c r="W1083" t="s">
        <v>207</v>
      </c>
      <c r="X1083" t="s">
        <v>207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209</v>
      </c>
      <c r="BA1083">
        <v>3673563409.1077499</v>
      </c>
      <c r="BB1083" t="s">
        <v>4572</v>
      </c>
      <c r="BC1083" t="s">
        <v>4575</v>
      </c>
    </row>
    <row r="1084" spans="1:55" x14ac:dyDescent="0.25">
      <c r="A1084">
        <v>65</v>
      </c>
      <c r="B1084" t="s">
        <v>1263</v>
      </c>
      <c r="C1084" t="s">
        <v>2698</v>
      </c>
      <c r="D1084" t="s">
        <v>4133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202</v>
      </c>
      <c r="K1084">
        <v>533372391.73674297</v>
      </c>
      <c r="L1084">
        <v>1</v>
      </c>
      <c r="O1084" t="s">
        <v>206</v>
      </c>
      <c r="Q1084" t="s">
        <v>207</v>
      </c>
      <c r="R1084" t="s">
        <v>207</v>
      </c>
      <c r="S1084" t="s">
        <v>4538</v>
      </c>
      <c r="T1084" t="s">
        <v>207</v>
      </c>
      <c r="U1084" t="s">
        <v>207</v>
      </c>
      <c r="V1084" t="s">
        <v>207</v>
      </c>
      <c r="W1084" t="s">
        <v>207</v>
      </c>
      <c r="X1084" t="s">
        <v>4539</v>
      </c>
      <c r="AA1084" t="s">
        <v>4541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208</v>
      </c>
      <c r="BA1084">
        <v>157089781916.32001</v>
      </c>
      <c r="BB1084" t="s">
        <v>4572</v>
      </c>
      <c r="BC1084" t="s">
        <v>4541</v>
      </c>
    </row>
    <row r="1085" spans="1:55" x14ac:dyDescent="0.25">
      <c r="A1085">
        <v>632</v>
      </c>
      <c r="B1085" t="s">
        <v>1264</v>
      </c>
      <c r="C1085" t="s">
        <v>2699</v>
      </c>
      <c r="D1085" t="s">
        <v>4134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203</v>
      </c>
      <c r="K1085">
        <v>76215607.565245897</v>
      </c>
      <c r="L1085">
        <v>0.9</v>
      </c>
      <c r="M1085" t="s">
        <v>4536</v>
      </c>
      <c r="O1085" t="s">
        <v>207</v>
      </c>
      <c r="Q1085" t="s">
        <v>207</v>
      </c>
      <c r="R1085" t="s">
        <v>207</v>
      </c>
      <c r="S1085" t="s">
        <v>207</v>
      </c>
      <c r="T1085" t="s">
        <v>207</v>
      </c>
      <c r="U1085" t="s">
        <v>207</v>
      </c>
      <c r="V1085" t="s">
        <v>207</v>
      </c>
      <c r="W1085" t="s">
        <v>207</v>
      </c>
      <c r="X1085" t="s">
        <v>207</v>
      </c>
      <c r="AK1085">
        <v>0.22189999999999999</v>
      </c>
      <c r="AL1085">
        <v>0.55200000000000005</v>
      </c>
      <c r="AM1085">
        <v>0.44390000000000002</v>
      </c>
      <c r="AN1085" t="s">
        <v>4567</v>
      </c>
      <c r="AO1085" t="s">
        <v>4568</v>
      </c>
      <c r="AP1085" t="s">
        <v>4569</v>
      </c>
      <c r="AQ1085">
        <v>0</v>
      </c>
      <c r="AR1085">
        <v>0</v>
      </c>
      <c r="AW1085">
        <v>6510</v>
      </c>
      <c r="AX1085">
        <v>2.742</v>
      </c>
      <c r="AY1085" t="s">
        <v>209</v>
      </c>
      <c r="BA1085">
        <v>19501284740.400002</v>
      </c>
      <c r="BB1085" t="s">
        <v>4572</v>
      </c>
      <c r="BC1085" t="s">
        <v>4576</v>
      </c>
    </row>
    <row r="1086" spans="1:55" x14ac:dyDescent="0.25">
      <c r="A1086">
        <v>581</v>
      </c>
      <c r="B1086" t="s">
        <v>1265</v>
      </c>
      <c r="C1086" t="s">
        <v>2700</v>
      </c>
      <c r="D1086" t="s">
        <v>4135</v>
      </c>
      <c r="E1086" t="s">
        <v>4521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203</v>
      </c>
      <c r="K1086">
        <v>37482966.910301603</v>
      </c>
      <c r="L1086">
        <v>1</v>
      </c>
      <c r="M1086" t="s">
        <v>4536</v>
      </c>
      <c r="O1086" t="s">
        <v>206</v>
      </c>
      <c r="Q1086" t="s">
        <v>207</v>
      </c>
      <c r="R1086" t="s">
        <v>207</v>
      </c>
      <c r="S1086" t="s">
        <v>207</v>
      </c>
      <c r="T1086" t="s">
        <v>207</v>
      </c>
      <c r="U1086" t="s">
        <v>207</v>
      </c>
      <c r="V1086" t="s">
        <v>207</v>
      </c>
      <c r="W1086" t="s">
        <v>207</v>
      </c>
      <c r="X1086" t="s">
        <v>207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209</v>
      </c>
      <c r="BA1086">
        <v>21771676074.240002</v>
      </c>
      <c r="BB1086" t="s">
        <v>4572</v>
      </c>
      <c r="BC1086" t="s">
        <v>4536</v>
      </c>
    </row>
    <row r="1087" spans="1:55" x14ac:dyDescent="0.25">
      <c r="A1087">
        <v>929</v>
      </c>
      <c r="B1087" t="s">
        <v>1266</v>
      </c>
      <c r="C1087" t="s">
        <v>2701</v>
      </c>
      <c r="D1087" t="s">
        <v>4136</v>
      </c>
      <c r="E1087" t="s">
        <v>93</v>
      </c>
      <c r="F1087">
        <v>280780000</v>
      </c>
      <c r="G1087">
        <v>26.463730000000002</v>
      </c>
      <c r="H1087" t="s">
        <v>101</v>
      </c>
      <c r="I1087">
        <v>7430486109.4000006</v>
      </c>
      <c r="J1087" t="s">
        <v>205</v>
      </c>
      <c r="K1087">
        <v>50507203.796766102</v>
      </c>
      <c r="L1087">
        <v>1</v>
      </c>
      <c r="M1087" t="s">
        <v>4536</v>
      </c>
      <c r="O1087" t="s">
        <v>207</v>
      </c>
      <c r="Q1087" t="s">
        <v>207</v>
      </c>
      <c r="R1087" t="s">
        <v>207</v>
      </c>
      <c r="S1087" t="s">
        <v>207</v>
      </c>
      <c r="T1087" t="s">
        <v>207</v>
      </c>
      <c r="U1087" t="s">
        <v>207</v>
      </c>
      <c r="V1087" t="s">
        <v>207</v>
      </c>
      <c r="W1087" t="s">
        <v>207</v>
      </c>
      <c r="X1087" t="s">
        <v>207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210</v>
      </c>
      <c r="BA1087">
        <v>7430486109.4000006</v>
      </c>
      <c r="BB1087" t="s">
        <v>4572</v>
      </c>
      <c r="BC1087" t="s">
        <v>4536</v>
      </c>
    </row>
    <row r="1088" spans="1:55" x14ac:dyDescent="0.25">
      <c r="A1088">
        <v>66</v>
      </c>
      <c r="B1088" t="s">
        <v>1267</v>
      </c>
      <c r="C1088" t="s">
        <v>2702</v>
      </c>
      <c r="D1088" t="s">
        <v>4137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202</v>
      </c>
      <c r="K1088">
        <v>633048650.90264904</v>
      </c>
      <c r="L1088">
        <v>1</v>
      </c>
      <c r="M1088" t="s">
        <v>4536</v>
      </c>
      <c r="O1088" t="s">
        <v>207</v>
      </c>
      <c r="Q1088" t="s">
        <v>207</v>
      </c>
      <c r="R1088" t="s">
        <v>207</v>
      </c>
      <c r="S1088" t="s">
        <v>207</v>
      </c>
      <c r="T1088" t="s">
        <v>207</v>
      </c>
      <c r="U1088" t="s">
        <v>207</v>
      </c>
      <c r="V1088" t="s">
        <v>207</v>
      </c>
      <c r="W1088" t="s">
        <v>207</v>
      </c>
      <c r="X1088" t="s">
        <v>207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208</v>
      </c>
      <c r="BA1088">
        <v>157035404700</v>
      </c>
      <c r="BB1088" t="s">
        <v>4572</v>
      </c>
      <c r="BC1088" t="s">
        <v>4536</v>
      </c>
    </row>
    <row r="1089" spans="1:55" x14ac:dyDescent="0.25">
      <c r="A1089">
        <v>877</v>
      </c>
      <c r="B1089" t="s">
        <v>1268</v>
      </c>
      <c r="C1089" t="s">
        <v>2703</v>
      </c>
      <c r="D1089" t="s">
        <v>4138</v>
      </c>
      <c r="E1089" t="s">
        <v>4519</v>
      </c>
      <c r="F1089">
        <v>533847800</v>
      </c>
      <c r="G1089">
        <v>26.69266</v>
      </c>
      <c r="H1089" t="s">
        <v>4530</v>
      </c>
      <c r="I1089">
        <v>14249817817.148001</v>
      </c>
      <c r="J1089" t="s">
        <v>204</v>
      </c>
      <c r="K1089">
        <v>44380038.428900503</v>
      </c>
      <c r="L1089">
        <v>0.6</v>
      </c>
      <c r="M1089" t="s">
        <v>4536</v>
      </c>
      <c r="O1089" t="s">
        <v>207</v>
      </c>
      <c r="Q1089" t="s">
        <v>207</v>
      </c>
      <c r="R1089" t="s">
        <v>207</v>
      </c>
      <c r="S1089" t="s">
        <v>207</v>
      </c>
      <c r="T1089" t="s">
        <v>207</v>
      </c>
      <c r="U1089" t="s">
        <v>207</v>
      </c>
      <c r="V1089" t="s">
        <v>207</v>
      </c>
      <c r="W1089" t="s">
        <v>207</v>
      </c>
      <c r="X1089" t="s">
        <v>207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209</v>
      </c>
      <c r="BA1089">
        <v>8549890690.2888002</v>
      </c>
      <c r="BB1089" t="s">
        <v>4572</v>
      </c>
      <c r="BC1089" t="s">
        <v>4536</v>
      </c>
    </row>
    <row r="1090" spans="1:55" x14ac:dyDescent="0.25">
      <c r="A1090">
        <v>742</v>
      </c>
      <c r="B1090" t="s">
        <v>1269</v>
      </c>
      <c r="C1090" t="s">
        <v>2704</v>
      </c>
      <c r="D1090" t="s">
        <v>4139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204</v>
      </c>
      <c r="K1090">
        <v>29289351.006745402</v>
      </c>
      <c r="L1090">
        <v>1</v>
      </c>
      <c r="M1090" t="s">
        <v>4536</v>
      </c>
      <c r="O1090" t="s">
        <v>207</v>
      </c>
      <c r="Q1090" t="s">
        <v>207</v>
      </c>
      <c r="R1090" t="s">
        <v>207</v>
      </c>
      <c r="S1090" t="s">
        <v>207</v>
      </c>
      <c r="T1090" t="s">
        <v>207</v>
      </c>
      <c r="U1090" t="s">
        <v>207</v>
      </c>
      <c r="V1090" t="s">
        <v>207</v>
      </c>
      <c r="W1090" t="s">
        <v>207</v>
      </c>
      <c r="X1090" t="s">
        <v>207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209</v>
      </c>
      <c r="BA1090">
        <v>15625495993.8272</v>
      </c>
      <c r="BB1090" t="s">
        <v>4572</v>
      </c>
      <c r="BC1090" t="s">
        <v>4536</v>
      </c>
    </row>
    <row r="1091" spans="1:55" x14ac:dyDescent="0.25">
      <c r="A1091">
        <v>1313</v>
      </c>
      <c r="B1091" t="s">
        <v>1270</v>
      </c>
      <c r="C1091" t="s">
        <v>2705</v>
      </c>
      <c r="D1091" t="s">
        <v>4140</v>
      </c>
      <c r="E1091" t="s">
        <v>4517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203</v>
      </c>
      <c r="K1091">
        <v>75781913.571483597</v>
      </c>
      <c r="L1091">
        <v>0.65</v>
      </c>
      <c r="M1091" t="s">
        <v>4536</v>
      </c>
      <c r="O1091" t="s">
        <v>206</v>
      </c>
      <c r="Q1091" t="s">
        <v>207</v>
      </c>
      <c r="R1091" t="s">
        <v>207</v>
      </c>
      <c r="S1091" t="s">
        <v>207</v>
      </c>
      <c r="T1091" t="s">
        <v>207</v>
      </c>
      <c r="U1091" t="s">
        <v>207</v>
      </c>
      <c r="V1091" t="s">
        <v>207</v>
      </c>
      <c r="W1091" t="s">
        <v>207</v>
      </c>
      <c r="X1091" t="s">
        <v>207</v>
      </c>
      <c r="AK1091">
        <v>0</v>
      </c>
      <c r="AL1091">
        <v>1</v>
      </c>
      <c r="AM1091">
        <v>0</v>
      </c>
      <c r="AO1091" t="s">
        <v>4568</v>
      </c>
      <c r="AQ1091">
        <v>0</v>
      </c>
      <c r="AR1091">
        <v>0</v>
      </c>
      <c r="AW1091">
        <v>6010</v>
      </c>
      <c r="AX1091">
        <v>3.2519999999999998</v>
      </c>
      <c r="AY1091" t="s">
        <v>209</v>
      </c>
      <c r="BA1091">
        <v>3011895284.9075999</v>
      </c>
      <c r="BB1091" t="s">
        <v>4572</v>
      </c>
      <c r="BC1091" t="s">
        <v>4582</v>
      </c>
    </row>
    <row r="1092" spans="1:55" x14ac:dyDescent="0.25">
      <c r="A1092">
        <v>25</v>
      </c>
      <c r="B1092" t="s">
        <v>164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202</v>
      </c>
      <c r="K1092">
        <v>2144386612.6823399</v>
      </c>
      <c r="L1092">
        <v>1</v>
      </c>
      <c r="O1092" t="s">
        <v>207</v>
      </c>
      <c r="Q1092" t="s">
        <v>207</v>
      </c>
      <c r="R1092" t="s">
        <v>207</v>
      </c>
      <c r="S1092" t="s">
        <v>207</v>
      </c>
      <c r="T1092" t="s">
        <v>207</v>
      </c>
      <c r="U1092" t="s">
        <v>207</v>
      </c>
      <c r="V1092" t="s">
        <v>207</v>
      </c>
      <c r="W1092" t="s">
        <v>207</v>
      </c>
      <c r="X1092" t="s">
        <v>207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208</v>
      </c>
      <c r="BA1092">
        <v>283575847500</v>
      </c>
      <c r="BB1092" t="s">
        <v>211</v>
      </c>
    </row>
    <row r="1093" spans="1:55" x14ac:dyDescent="0.25">
      <c r="A1093">
        <v>1214</v>
      </c>
      <c r="B1093" t="s">
        <v>1271</v>
      </c>
      <c r="C1093" t="s">
        <v>2706</v>
      </c>
      <c r="D1093" t="s">
        <v>4141</v>
      </c>
      <c r="E1093" t="s">
        <v>4522</v>
      </c>
      <c r="F1093">
        <v>132038920</v>
      </c>
      <c r="G1093">
        <v>49.447609999999997</v>
      </c>
      <c r="H1093" t="s">
        <v>4531</v>
      </c>
      <c r="I1093">
        <v>6529009020.9811993</v>
      </c>
      <c r="J1093" t="s">
        <v>204</v>
      </c>
      <c r="K1093">
        <v>8761269.7928578407</v>
      </c>
      <c r="L1093">
        <v>0.55000000000000004</v>
      </c>
      <c r="M1093" t="s">
        <v>4536</v>
      </c>
      <c r="N1093" t="s">
        <v>4537</v>
      </c>
      <c r="O1093" t="s">
        <v>207</v>
      </c>
      <c r="Q1093" t="s">
        <v>207</v>
      </c>
      <c r="R1093" t="s">
        <v>207</v>
      </c>
      <c r="S1093" t="s">
        <v>207</v>
      </c>
      <c r="T1093" t="s">
        <v>207</v>
      </c>
      <c r="U1093" t="s">
        <v>207</v>
      </c>
      <c r="V1093" t="s">
        <v>207</v>
      </c>
      <c r="W1093" t="s">
        <v>207</v>
      </c>
      <c r="X1093" t="s">
        <v>207</v>
      </c>
      <c r="AG1093" t="s">
        <v>4555</v>
      </c>
      <c r="AI1093" t="s">
        <v>4565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209</v>
      </c>
      <c r="BA1093">
        <v>3590954961.53966</v>
      </c>
      <c r="BB1093" t="s">
        <v>4572</v>
      </c>
      <c r="BC1093" t="s">
        <v>4649</v>
      </c>
    </row>
    <row r="1094" spans="1:55" x14ac:dyDescent="0.25">
      <c r="A1094">
        <v>603</v>
      </c>
      <c r="B1094" t="s">
        <v>1272</v>
      </c>
      <c r="C1094" t="s">
        <v>2707</v>
      </c>
      <c r="D1094" t="s">
        <v>4142</v>
      </c>
      <c r="E1094" t="s">
        <v>4528</v>
      </c>
      <c r="F1094">
        <v>2690238800</v>
      </c>
      <c r="G1094">
        <v>8.06</v>
      </c>
      <c r="H1094" t="s">
        <v>99</v>
      </c>
      <c r="I1094">
        <v>21683324728</v>
      </c>
      <c r="J1094" t="s">
        <v>203</v>
      </c>
      <c r="K1094">
        <v>27363741.577966101</v>
      </c>
      <c r="L1094">
        <v>0.95</v>
      </c>
      <c r="M1094" t="s">
        <v>4536</v>
      </c>
      <c r="O1094" t="s">
        <v>207</v>
      </c>
      <c r="Q1094" t="s">
        <v>207</v>
      </c>
      <c r="R1094" t="s">
        <v>207</v>
      </c>
      <c r="S1094" t="s">
        <v>207</v>
      </c>
      <c r="T1094" t="s">
        <v>207</v>
      </c>
      <c r="U1094" t="s">
        <v>207</v>
      </c>
      <c r="V1094" t="s">
        <v>207</v>
      </c>
      <c r="W1094" t="s">
        <v>207</v>
      </c>
      <c r="X1094" t="s">
        <v>207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209</v>
      </c>
      <c r="BA1094">
        <v>20599158491.599998</v>
      </c>
      <c r="BB1094" t="s">
        <v>4572</v>
      </c>
      <c r="BC1094" t="s">
        <v>4536</v>
      </c>
    </row>
    <row r="1095" spans="1:55" x14ac:dyDescent="0.25">
      <c r="A1095">
        <v>1173</v>
      </c>
      <c r="B1095" t="s">
        <v>1273</v>
      </c>
      <c r="C1095" t="s">
        <v>2708</v>
      </c>
      <c r="D1095" t="s">
        <v>4143</v>
      </c>
      <c r="E1095" t="s">
        <v>4518</v>
      </c>
      <c r="F1095">
        <v>1462263500</v>
      </c>
      <c r="G1095">
        <v>2.8008649999999999</v>
      </c>
      <c r="H1095" t="s">
        <v>4529</v>
      </c>
      <c r="I1095">
        <v>4095602657.9274998</v>
      </c>
      <c r="J1095" t="s">
        <v>205</v>
      </c>
      <c r="K1095">
        <v>14843514.174334601</v>
      </c>
      <c r="L1095">
        <v>0.95</v>
      </c>
      <c r="M1095" t="s">
        <v>4536</v>
      </c>
      <c r="O1095" t="s">
        <v>207</v>
      </c>
      <c r="Q1095" t="s">
        <v>207</v>
      </c>
      <c r="R1095" t="s">
        <v>207</v>
      </c>
      <c r="S1095" t="s">
        <v>207</v>
      </c>
      <c r="T1095" t="s">
        <v>207</v>
      </c>
      <c r="U1095" t="s">
        <v>207</v>
      </c>
      <c r="V1095" t="s">
        <v>207</v>
      </c>
      <c r="W1095" t="s">
        <v>207</v>
      </c>
      <c r="X1095" t="s">
        <v>207</v>
      </c>
      <c r="AG1095" t="s">
        <v>4539</v>
      </c>
      <c r="AH1095" t="s">
        <v>4539</v>
      </c>
      <c r="AI1095" t="s">
        <v>4565</v>
      </c>
      <c r="AJ1095" t="s">
        <v>4566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210</v>
      </c>
      <c r="BA1095">
        <v>3890822525.0311251</v>
      </c>
      <c r="BB1095" t="s">
        <v>4572</v>
      </c>
      <c r="BC1095" t="s">
        <v>4578</v>
      </c>
    </row>
    <row r="1096" spans="1:55" x14ac:dyDescent="0.25">
      <c r="A1096">
        <v>1305</v>
      </c>
      <c r="B1096" t="s">
        <v>1274</v>
      </c>
      <c r="C1096" t="s">
        <v>2709</v>
      </c>
      <c r="D1096" t="s">
        <v>4144</v>
      </c>
      <c r="E1096" t="s">
        <v>94</v>
      </c>
      <c r="F1096">
        <v>458705200</v>
      </c>
      <c r="G1096">
        <v>6.6341460000000003</v>
      </c>
      <c r="H1096" t="s">
        <v>102</v>
      </c>
      <c r="I1096">
        <v>3043117267.7592001</v>
      </c>
      <c r="J1096" t="s">
        <v>205</v>
      </c>
      <c r="K1096">
        <v>8018237.77625011</v>
      </c>
      <c r="L1096">
        <v>1</v>
      </c>
      <c r="M1096" t="s">
        <v>4536</v>
      </c>
      <c r="N1096" t="s">
        <v>4537</v>
      </c>
      <c r="O1096" t="s">
        <v>207</v>
      </c>
      <c r="Q1096" t="s">
        <v>207</v>
      </c>
      <c r="R1096" t="s">
        <v>207</v>
      </c>
      <c r="S1096" t="s">
        <v>207</v>
      </c>
      <c r="T1096" t="s">
        <v>207</v>
      </c>
      <c r="U1096" t="s">
        <v>207</v>
      </c>
      <c r="V1096" t="s">
        <v>207</v>
      </c>
      <c r="W1096" t="s">
        <v>207</v>
      </c>
      <c r="X1096" t="s">
        <v>207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210</v>
      </c>
      <c r="BA1096">
        <v>3043117267.7592001</v>
      </c>
      <c r="BB1096" t="s">
        <v>4572</v>
      </c>
      <c r="BC1096" t="s">
        <v>4575</v>
      </c>
    </row>
    <row r="1097" spans="1:55" x14ac:dyDescent="0.25">
      <c r="A1097">
        <v>631</v>
      </c>
      <c r="B1097" t="s">
        <v>1275</v>
      </c>
      <c r="C1097" t="s">
        <v>2710</v>
      </c>
      <c r="D1097" t="s">
        <v>4145</v>
      </c>
      <c r="E1097" t="s">
        <v>95</v>
      </c>
      <c r="F1097">
        <v>440000000</v>
      </c>
      <c r="G1097">
        <v>44.402880000000003</v>
      </c>
      <c r="H1097" t="s">
        <v>103</v>
      </c>
      <c r="I1097">
        <v>19537267200</v>
      </c>
      <c r="J1097" t="s">
        <v>204</v>
      </c>
      <c r="K1097">
        <v>39588862.186575599</v>
      </c>
      <c r="L1097">
        <v>1</v>
      </c>
      <c r="M1097" t="s">
        <v>4536</v>
      </c>
      <c r="O1097" t="s">
        <v>207</v>
      </c>
      <c r="Q1097" t="s">
        <v>207</v>
      </c>
      <c r="R1097" t="s">
        <v>207</v>
      </c>
      <c r="S1097" t="s">
        <v>207</v>
      </c>
      <c r="T1097" t="s">
        <v>207</v>
      </c>
      <c r="U1097" t="s">
        <v>207</v>
      </c>
      <c r="V1097" t="s">
        <v>207</v>
      </c>
      <c r="W1097" t="s">
        <v>207</v>
      </c>
      <c r="X1097" t="s">
        <v>207</v>
      </c>
      <c r="AG1097" t="s">
        <v>4546</v>
      </c>
      <c r="AH1097" t="s">
        <v>4562</v>
      </c>
      <c r="AI1097" t="s">
        <v>4565</v>
      </c>
      <c r="AJ1097" t="s">
        <v>4566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209</v>
      </c>
      <c r="BA1097">
        <v>19537267200</v>
      </c>
      <c r="BB1097" t="s">
        <v>4572</v>
      </c>
      <c r="BC1097" t="s">
        <v>4578</v>
      </c>
    </row>
    <row r="1098" spans="1:55" x14ac:dyDescent="0.25">
      <c r="A1098">
        <v>1068</v>
      </c>
      <c r="B1098" t="s">
        <v>1276</v>
      </c>
      <c r="C1098" t="s">
        <v>2711</v>
      </c>
      <c r="D1098" t="s">
        <v>4146</v>
      </c>
      <c r="E1098" t="s">
        <v>4518</v>
      </c>
      <c r="F1098">
        <v>8093379400</v>
      </c>
      <c r="G1098">
        <v>2.1151149999999999</v>
      </c>
      <c r="H1098" t="s">
        <v>4529</v>
      </c>
      <c r="I1098">
        <v>17118428169.631001</v>
      </c>
      <c r="J1098" t="s">
        <v>205</v>
      </c>
      <c r="K1098">
        <v>43353152.229100801</v>
      </c>
      <c r="L1098">
        <v>0.3</v>
      </c>
      <c r="M1098" t="s">
        <v>4536</v>
      </c>
      <c r="O1098" t="s">
        <v>207</v>
      </c>
      <c r="Q1098" t="s">
        <v>207</v>
      </c>
      <c r="R1098" t="s">
        <v>207</v>
      </c>
      <c r="S1098" t="s">
        <v>207</v>
      </c>
      <c r="T1098" t="s">
        <v>207</v>
      </c>
      <c r="U1098" t="s">
        <v>207</v>
      </c>
      <c r="V1098" t="s">
        <v>207</v>
      </c>
      <c r="W1098" t="s">
        <v>207</v>
      </c>
      <c r="X1098" t="s">
        <v>207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210</v>
      </c>
      <c r="BA1098">
        <v>5135528450.8892994</v>
      </c>
      <c r="BB1098" t="s">
        <v>4572</v>
      </c>
      <c r="BC1098" t="s">
        <v>4536</v>
      </c>
    </row>
    <row r="1099" spans="1:55" x14ac:dyDescent="0.25">
      <c r="A1099">
        <v>561</v>
      </c>
      <c r="B1099" t="s">
        <v>1277</v>
      </c>
      <c r="C1099" t="s">
        <v>2712</v>
      </c>
      <c r="D1099" t="s">
        <v>4147</v>
      </c>
      <c r="E1099" t="s">
        <v>4519</v>
      </c>
      <c r="F1099">
        <v>1254385900</v>
      </c>
      <c r="G1099">
        <v>21.24802</v>
      </c>
      <c r="H1099" t="s">
        <v>4530</v>
      </c>
      <c r="I1099">
        <v>26653216690.917999</v>
      </c>
      <c r="J1099" t="s">
        <v>204</v>
      </c>
      <c r="K1099">
        <v>33655276.394902699</v>
      </c>
      <c r="L1099">
        <v>0.85</v>
      </c>
      <c r="M1099" t="s">
        <v>4536</v>
      </c>
      <c r="O1099" t="s">
        <v>207</v>
      </c>
      <c r="Q1099" t="s">
        <v>207</v>
      </c>
      <c r="R1099" t="s">
        <v>207</v>
      </c>
      <c r="S1099" t="s">
        <v>207</v>
      </c>
      <c r="T1099" t="s">
        <v>207</v>
      </c>
      <c r="U1099" t="s">
        <v>207</v>
      </c>
      <c r="V1099" t="s">
        <v>207</v>
      </c>
      <c r="W1099" t="s">
        <v>207</v>
      </c>
      <c r="X1099" t="s">
        <v>207</v>
      </c>
      <c r="AK1099">
        <v>6.3E-2</v>
      </c>
      <c r="AL1099">
        <v>0.1</v>
      </c>
      <c r="AM1099">
        <v>0</v>
      </c>
      <c r="AN1099" t="s">
        <v>4567</v>
      </c>
      <c r="AO1099" t="s">
        <v>4568</v>
      </c>
      <c r="AQ1099">
        <v>0</v>
      </c>
      <c r="AR1099">
        <v>0</v>
      </c>
      <c r="AW1099">
        <v>5020</v>
      </c>
      <c r="AX1099">
        <v>2.6760000000000002</v>
      </c>
      <c r="AY1099" t="s">
        <v>209</v>
      </c>
      <c r="BA1099">
        <v>22655234187.2803</v>
      </c>
      <c r="BB1099" t="s">
        <v>4572</v>
      </c>
      <c r="BC1099" t="s">
        <v>4599</v>
      </c>
    </row>
    <row r="1100" spans="1:55" x14ac:dyDescent="0.25">
      <c r="A1100">
        <v>1374</v>
      </c>
      <c r="B1100" t="s">
        <v>1278</v>
      </c>
      <c r="C1100" t="s">
        <v>2713</v>
      </c>
      <c r="D1100" t="s">
        <v>4148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205</v>
      </c>
      <c r="K1100">
        <v>11438041.887530901</v>
      </c>
      <c r="L1100">
        <v>0.75</v>
      </c>
      <c r="M1100" t="s">
        <v>4536</v>
      </c>
      <c r="O1100" t="s">
        <v>207</v>
      </c>
      <c r="Q1100" t="s">
        <v>207</v>
      </c>
      <c r="R1100" t="s">
        <v>207</v>
      </c>
      <c r="S1100" t="s">
        <v>207</v>
      </c>
      <c r="T1100" t="s">
        <v>207</v>
      </c>
      <c r="U1100" t="s">
        <v>207</v>
      </c>
      <c r="V1100" t="s">
        <v>207</v>
      </c>
      <c r="W1100" t="s">
        <v>207</v>
      </c>
      <c r="X1100" t="s">
        <v>207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210</v>
      </c>
      <c r="AZ1100" t="s">
        <v>4571</v>
      </c>
      <c r="BA1100">
        <v>2696814900</v>
      </c>
      <c r="BB1100" t="s">
        <v>4572</v>
      </c>
      <c r="BC1100" t="s">
        <v>4577</v>
      </c>
    </row>
    <row r="1101" spans="1:55" x14ac:dyDescent="0.25">
      <c r="A1101">
        <v>848</v>
      </c>
      <c r="B1101" t="s">
        <v>1279</v>
      </c>
      <c r="C1101" t="s">
        <v>2714</v>
      </c>
      <c r="D1101" t="s">
        <v>4149</v>
      </c>
      <c r="E1101" t="s">
        <v>93</v>
      </c>
      <c r="F1101">
        <v>255408310</v>
      </c>
      <c r="G1101">
        <v>45.067630000000001</v>
      </c>
      <c r="H1101" t="s">
        <v>101</v>
      </c>
      <c r="I1101">
        <v>11510647214.005301</v>
      </c>
      <c r="J1101" t="s">
        <v>205</v>
      </c>
      <c r="K1101">
        <v>238246331.86243501</v>
      </c>
      <c r="L1101">
        <v>0.8</v>
      </c>
      <c r="M1101" t="s">
        <v>4536</v>
      </c>
      <c r="O1101" t="s">
        <v>207</v>
      </c>
      <c r="Q1101" t="s">
        <v>207</v>
      </c>
      <c r="R1101" t="s">
        <v>207</v>
      </c>
      <c r="S1101" t="s">
        <v>207</v>
      </c>
      <c r="T1101" t="s">
        <v>207</v>
      </c>
      <c r="U1101" t="s">
        <v>207</v>
      </c>
      <c r="V1101" t="s">
        <v>207</v>
      </c>
      <c r="W1101" t="s">
        <v>207</v>
      </c>
      <c r="X1101" t="s">
        <v>207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210</v>
      </c>
      <c r="BA1101">
        <v>9208517771.2042408</v>
      </c>
      <c r="BB1101" t="s">
        <v>4572</v>
      </c>
      <c r="BC1101" t="s">
        <v>4536</v>
      </c>
    </row>
    <row r="1102" spans="1:55" x14ac:dyDescent="0.25">
      <c r="A1102">
        <v>1310</v>
      </c>
      <c r="B1102" t="s">
        <v>1280</v>
      </c>
      <c r="C1102" t="s">
        <v>2715</v>
      </c>
      <c r="D1102" t="s">
        <v>4150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3182683383.8512402</v>
      </c>
      <c r="J1102" t="s">
        <v>205</v>
      </c>
      <c r="K1102">
        <v>14129021.2027469</v>
      </c>
      <c r="L1102">
        <v>0.95</v>
      </c>
      <c r="M1102" t="s">
        <v>4536</v>
      </c>
      <c r="O1102" t="s">
        <v>207</v>
      </c>
      <c r="Q1102" t="s">
        <v>207</v>
      </c>
      <c r="R1102" t="s">
        <v>207</v>
      </c>
      <c r="S1102" t="s">
        <v>207</v>
      </c>
      <c r="T1102" t="s">
        <v>207</v>
      </c>
      <c r="U1102" t="s">
        <v>207</v>
      </c>
      <c r="V1102" t="s">
        <v>207</v>
      </c>
      <c r="W1102" t="s">
        <v>207</v>
      </c>
      <c r="X1102" t="s">
        <v>207</v>
      </c>
      <c r="AG1102" t="s">
        <v>4546</v>
      </c>
      <c r="AH1102" t="s">
        <v>4562</v>
      </c>
      <c r="AI1102" t="s">
        <v>4565</v>
      </c>
      <c r="AJ1102" t="s">
        <v>4566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210</v>
      </c>
      <c r="BA1102">
        <v>3023549214.6586781</v>
      </c>
      <c r="BB1102" t="s">
        <v>4572</v>
      </c>
      <c r="BC1102" t="s">
        <v>4578</v>
      </c>
    </row>
    <row r="1103" spans="1:55" x14ac:dyDescent="0.25">
      <c r="A1103">
        <v>779</v>
      </c>
      <c r="B1103" t="s">
        <v>1281</v>
      </c>
      <c r="C1103" t="s">
        <v>2716</v>
      </c>
      <c r="D1103" t="s">
        <v>4151</v>
      </c>
      <c r="E1103" t="s">
        <v>94</v>
      </c>
      <c r="F1103">
        <v>3247773000</v>
      </c>
      <c r="G1103">
        <v>4.0731700000000002</v>
      </c>
      <c r="H1103" t="s">
        <v>102</v>
      </c>
      <c r="I1103">
        <v>13228731550.41</v>
      </c>
      <c r="J1103" t="s">
        <v>205</v>
      </c>
      <c r="K1103">
        <v>31092312.287764501</v>
      </c>
      <c r="L1103">
        <v>1</v>
      </c>
      <c r="M1103" t="s">
        <v>4536</v>
      </c>
      <c r="O1103" t="s">
        <v>207</v>
      </c>
      <c r="Q1103" t="s">
        <v>207</v>
      </c>
      <c r="R1103" t="s">
        <v>207</v>
      </c>
      <c r="S1103" t="s">
        <v>207</v>
      </c>
      <c r="T1103" t="s">
        <v>207</v>
      </c>
      <c r="U1103" t="s">
        <v>207</v>
      </c>
      <c r="V1103" t="s">
        <v>207</v>
      </c>
      <c r="W1103" t="s">
        <v>207</v>
      </c>
      <c r="X1103" t="s">
        <v>207</v>
      </c>
      <c r="AK1103">
        <v>0</v>
      </c>
      <c r="AL1103">
        <v>0.999</v>
      </c>
      <c r="AM1103">
        <v>0.01</v>
      </c>
      <c r="AO1103" t="s">
        <v>4568</v>
      </c>
      <c r="AP1103" t="s">
        <v>4569</v>
      </c>
      <c r="AQ1103">
        <v>0</v>
      </c>
      <c r="AR1103">
        <v>0</v>
      </c>
      <c r="AW1103">
        <v>6010</v>
      </c>
      <c r="AX1103">
        <v>2.7639999999999998</v>
      </c>
      <c r="AY1103" t="s">
        <v>210</v>
      </c>
      <c r="BA1103">
        <v>13228731550.41</v>
      </c>
      <c r="BB1103" t="s">
        <v>4572</v>
      </c>
      <c r="BC1103" t="s">
        <v>4595</v>
      </c>
    </row>
    <row r="1104" spans="1:55" x14ac:dyDescent="0.25">
      <c r="A1104">
        <v>950</v>
      </c>
      <c r="B1104" t="s">
        <v>1282</v>
      </c>
      <c r="C1104" t="s">
        <v>2717</v>
      </c>
      <c r="D1104" t="s">
        <v>4152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205</v>
      </c>
      <c r="K1104">
        <v>15549850.586458899</v>
      </c>
      <c r="L1104">
        <v>0.95</v>
      </c>
      <c r="O1104" t="s">
        <v>207</v>
      </c>
      <c r="Q1104" t="s">
        <v>207</v>
      </c>
      <c r="R1104" t="s">
        <v>207</v>
      </c>
      <c r="S1104" t="s">
        <v>207</v>
      </c>
      <c r="T1104" t="s">
        <v>207</v>
      </c>
      <c r="U1104" t="s">
        <v>207</v>
      </c>
      <c r="V1104" t="s">
        <v>207</v>
      </c>
      <c r="W1104" t="s">
        <v>207</v>
      </c>
      <c r="X1104" t="s">
        <v>207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210</v>
      </c>
      <c r="BA1104">
        <v>6894345595.5</v>
      </c>
      <c r="BB1104" t="s">
        <v>211</v>
      </c>
    </row>
    <row r="1105" spans="1:55" x14ac:dyDescent="0.25">
      <c r="A1105">
        <v>23</v>
      </c>
      <c r="B1105" t="s">
        <v>1283</v>
      </c>
      <c r="C1105" t="s">
        <v>2718</v>
      </c>
      <c r="D1105" t="s">
        <v>4153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203</v>
      </c>
      <c r="K1105">
        <v>368554481.884426</v>
      </c>
      <c r="L1105">
        <v>0.95</v>
      </c>
      <c r="M1105" t="s">
        <v>4536</v>
      </c>
      <c r="O1105" t="s">
        <v>207</v>
      </c>
      <c r="Q1105" t="s">
        <v>207</v>
      </c>
      <c r="R1105" t="s">
        <v>207</v>
      </c>
      <c r="S1105" t="s">
        <v>207</v>
      </c>
      <c r="T1105" t="s">
        <v>207</v>
      </c>
      <c r="U1105" t="s">
        <v>207</v>
      </c>
      <c r="V1105" t="s">
        <v>207</v>
      </c>
      <c r="W1105" t="s">
        <v>207</v>
      </c>
      <c r="X1105" t="s">
        <v>207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209</v>
      </c>
      <c r="BA1105">
        <v>319312837656</v>
      </c>
      <c r="BB1105" t="s">
        <v>4572</v>
      </c>
      <c r="BC1105" t="s">
        <v>4536</v>
      </c>
    </row>
    <row r="1106" spans="1:55" x14ac:dyDescent="0.25">
      <c r="A1106">
        <v>1306</v>
      </c>
      <c r="B1106" t="s">
        <v>1284</v>
      </c>
      <c r="C1106" t="s">
        <v>2719</v>
      </c>
      <c r="D1106" t="s">
        <v>4154</v>
      </c>
      <c r="E1106" t="s">
        <v>93</v>
      </c>
      <c r="F1106">
        <v>78794300</v>
      </c>
      <c r="G1106">
        <v>48.271680000000003</v>
      </c>
      <c r="H1106" t="s">
        <v>101</v>
      </c>
      <c r="I1106">
        <v>3803533235.4239998</v>
      </c>
      <c r="J1106" t="s">
        <v>205</v>
      </c>
      <c r="K1106">
        <v>18984850.0972373</v>
      </c>
      <c r="L1106">
        <v>0.8</v>
      </c>
      <c r="M1106" t="s">
        <v>4536</v>
      </c>
      <c r="O1106" t="s">
        <v>207</v>
      </c>
      <c r="Q1106" t="s">
        <v>207</v>
      </c>
      <c r="R1106" t="s">
        <v>207</v>
      </c>
      <c r="S1106" t="s">
        <v>207</v>
      </c>
      <c r="T1106" t="s">
        <v>207</v>
      </c>
      <c r="U1106" t="s">
        <v>207</v>
      </c>
      <c r="V1106" t="s">
        <v>207</v>
      </c>
      <c r="W1106" t="s">
        <v>207</v>
      </c>
      <c r="X1106" t="s">
        <v>207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210</v>
      </c>
      <c r="BA1106">
        <v>3042826588.3392</v>
      </c>
      <c r="BB1106" t="s">
        <v>4572</v>
      </c>
      <c r="BC1106" t="s">
        <v>4536</v>
      </c>
    </row>
    <row r="1107" spans="1:55" x14ac:dyDescent="0.25">
      <c r="A1107">
        <v>1015</v>
      </c>
      <c r="B1107" t="s">
        <v>1285</v>
      </c>
      <c r="C1107" t="s">
        <v>2720</v>
      </c>
      <c r="D1107" t="s">
        <v>4155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203</v>
      </c>
      <c r="K1107">
        <v>21304033.759016398</v>
      </c>
      <c r="L1107">
        <v>0.65</v>
      </c>
      <c r="O1107" t="s">
        <v>207</v>
      </c>
      <c r="Q1107" t="s">
        <v>207</v>
      </c>
      <c r="R1107" t="s">
        <v>207</v>
      </c>
      <c r="S1107" t="s">
        <v>207</v>
      </c>
      <c r="T1107" t="s">
        <v>207</v>
      </c>
      <c r="U1107" t="s">
        <v>207</v>
      </c>
      <c r="V1107" t="s">
        <v>207</v>
      </c>
      <c r="W1107" t="s">
        <v>207</v>
      </c>
      <c r="X1107" t="s">
        <v>207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209</v>
      </c>
      <c r="BA1107">
        <v>5889312000</v>
      </c>
      <c r="BB1107" t="s">
        <v>211</v>
      </c>
    </row>
    <row r="1108" spans="1:55" x14ac:dyDescent="0.25">
      <c r="A1108">
        <v>1463</v>
      </c>
      <c r="B1108" t="s">
        <v>1286</v>
      </c>
      <c r="C1108" t="s">
        <v>2721</v>
      </c>
      <c r="D1108" t="s">
        <v>4156</v>
      </c>
      <c r="E1108" t="s">
        <v>4527</v>
      </c>
      <c r="F1108">
        <v>1495069000</v>
      </c>
      <c r="G1108">
        <v>2.361856</v>
      </c>
      <c r="H1108" t="s">
        <v>4534</v>
      </c>
      <c r="I1108">
        <v>3531137688.0640001</v>
      </c>
      <c r="J1108" t="s">
        <v>205</v>
      </c>
      <c r="K1108">
        <v>9636018.8696010299</v>
      </c>
      <c r="L1108">
        <v>0.6</v>
      </c>
      <c r="M1108" t="s">
        <v>4536</v>
      </c>
      <c r="N1108" t="s">
        <v>4537</v>
      </c>
      <c r="O1108" t="s">
        <v>207</v>
      </c>
      <c r="Q1108" t="s">
        <v>207</v>
      </c>
      <c r="R1108" t="s">
        <v>207</v>
      </c>
      <c r="S1108" t="s">
        <v>207</v>
      </c>
      <c r="T1108" t="s">
        <v>207</v>
      </c>
      <c r="U1108" t="s">
        <v>207</v>
      </c>
      <c r="V1108" t="s">
        <v>207</v>
      </c>
      <c r="W1108" t="s">
        <v>207</v>
      </c>
      <c r="X1108" t="s">
        <v>207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210</v>
      </c>
      <c r="BA1108">
        <v>2118682612.8383999</v>
      </c>
      <c r="BB1108" t="s">
        <v>4572</v>
      </c>
      <c r="BC1108" t="s">
        <v>4575</v>
      </c>
    </row>
    <row r="1109" spans="1:55" x14ac:dyDescent="0.25">
      <c r="A1109">
        <v>574</v>
      </c>
      <c r="B1109" t="s">
        <v>1287</v>
      </c>
      <c r="C1109" t="s">
        <v>2722</v>
      </c>
      <c r="D1109" t="s">
        <v>4157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202</v>
      </c>
      <c r="K1109">
        <v>158135344.866844</v>
      </c>
      <c r="L1109">
        <v>1</v>
      </c>
      <c r="M1109" t="s">
        <v>4536</v>
      </c>
      <c r="O1109" t="s">
        <v>207</v>
      </c>
      <c r="Q1109" t="s">
        <v>207</v>
      </c>
      <c r="R1109" t="s">
        <v>207</v>
      </c>
      <c r="S1109" t="s">
        <v>207</v>
      </c>
      <c r="T1109" t="s">
        <v>207</v>
      </c>
      <c r="U1109" t="s">
        <v>207</v>
      </c>
      <c r="V1109" t="s">
        <v>207</v>
      </c>
      <c r="W1109" t="s">
        <v>207</v>
      </c>
      <c r="X1109" t="s">
        <v>207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208</v>
      </c>
      <c r="BA1109">
        <v>21905613592.083</v>
      </c>
      <c r="BB1109" t="s">
        <v>4572</v>
      </c>
      <c r="BC1109" t="s">
        <v>4536</v>
      </c>
    </row>
    <row r="1110" spans="1:55" x14ac:dyDescent="0.25">
      <c r="A1110">
        <v>904</v>
      </c>
      <c r="B1110" t="s">
        <v>1288</v>
      </c>
      <c r="C1110" t="s">
        <v>2723</v>
      </c>
      <c r="D1110" t="s">
        <v>4158</v>
      </c>
      <c r="E1110" t="s">
        <v>93</v>
      </c>
      <c r="F1110">
        <v>302838200</v>
      </c>
      <c r="G1110">
        <v>28.983470000000001</v>
      </c>
      <c r="H1110" t="s">
        <v>101</v>
      </c>
      <c r="I1110">
        <v>8777301884.5540009</v>
      </c>
      <c r="J1110" t="s">
        <v>205</v>
      </c>
      <c r="K1110">
        <v>45917897.385295503</v>
      </c>
      <c r="L1110">
        <v>0.9</v>
      </c>
      <c r="M1110" t="s">
        <v>4536</v>
      </c>
      <c r="O1110" t="s">
        <v>207</v>
      </c>
      <c r="Q1110" t="s">
        <v>207</v>
      </c>
      <c r="R1110" t="s">
        <v>207</v>
      </c>
      <c r="S1110" t="s">
        <v>207</v>
      </c>
      <c r="T1110" t="s">
        <v>207</v>
      </c>
      <c r="U1110" t="s">
        <v>207</v>
      </c>
      <c r="V1110" t="s">
        <v>207</v>
      </c>
      <c r="W1110" t="s">
        <v>207</v>
      </c>
      <c r="X1110" t="s">
        <v>207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210</v>
      </c>
      <c r="AZ1110" t="s">
        <v>4571</v>
      </c>
      <c r="BA1110">
        <v>7899571696.0986013</v>
      </c>
      <c r="BB1110" t="s">
        <v>4572</v>
      </c>
      <c r="BC1110" t="s">
        <v>4577</v>
      </c>
    </row>
    <row r="1111" spans="1:55" x14ac:dyDescent="0.25">
      <c r="A1111">
        <v>1392</v>
      </c>
      <c r="B1111" t="s">
        <v>1289</v>
      </c>
      <c r="C1111" t="s">
        <v>2724</v>
      </c>
      <c r="D1111" t="s">
        <v>4159</v>
      </c>
      <c r="E1111" t="s">
        <v>96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4535</v>
      </c>
      <c r="K1111">
        <v>5984212.50849206</v>
      </c>
      <c r="L1111">
        <v>0.70000000000000007</v>
      </c>
      <c r="M1111" t="s">
        <v>4536</v>
      </c>
      <c r="N1111" t="s">
        <v>4537</v>
      </c>
      <c r="O1111" t="s">
        <v>207</v>
      </c>
      <c r="Q1111" t="s">
        <v>207</v>
      </c>
      <c r="R1111" t="s">
        <v>207</v>
      </c>
      <c r="S1111" t="s">
        <v>207</v>
      </c>
      <c r="T1111" t="s">
        <v>207</v>
      </c>
      <c r="U1111" t="s">
        <v>207</v>
      </c>
      <c r="V1111" t="s">
        <v>207</v>
      </c>
      <c r="W1111" t="s">
        <v>207</v>
      </c>
      <c r="X1111" t="s">
        <v>207</v>
      </c>
      <c r="AK1111">
        <v>0</v>
      </c>
      <c r="AL1111">
        <v>1</v>
      </c>
      <c r="AM1111">
        <v>0</v>
      </c>
      <c r="AO1111" t="s">
        <v>4568</v>
      </c>
      <c r="AQ1111">
        <v>0</v>
      </c>
      <c r="AR1111">
        <v>0</v>
      </c>
      <c r="AW1111">
        <v>6010</v>
      </c>
      <c r="AX1111">
        <v>2.7789999999999999</v>
      </c>
      <c r="AY1111" t="s">
        <v>209</v>
      </c>
      <c r="BA1111">
        <v>2585104888.170001</v>
      </c>
      <c r="BB1111" t="s">
        <v>4572</v>
      </c>
      <c r="BC1111" t="s">
        <v>4579</v>
      </c>
    </row>
    <row r="1112" spans="1:55" x14ac:dyDescent="0.25">
      <c r="A1112">
        <v>802</v>
      </c>
      <c r="B1112" t="s">
        <v>1290</v>
      </c>
      <c r="C1112" t="s">
        <v>2725</v>
      </c>
      <c r="D1112" t="s">
        <v>4160</v>
      </c>
      <c r="E1112" t="s">
        <v>94</v>
      </c>
      <c r="F1112">
        <v>5201748000</v>
      </c>
      <c r="G1112">
        <v>2.2256100000000001</v>
      </c>
      <c r="H1112" t="s">
        <v>102</v>
      </c>
      <c r="I1112">
        <v>11577062366.280001</v>
      </c>
      <c r="J1112" t="s">
        <v>205</v>
      </c>
      <c r="K1112">
        <v>22794020.9444055</v>
      </c>
      <c r="L1112">
        <v>1</v>
      </c>
      <c r="M1112" t="s">
        <v>4536</v>
      </c>
      <c r="O1112" t="s">
        <v>207</v>
      </c>
      <c r="Q1112" t="s">
        <v>207</v>
      </c>
      <c r="R1112" t="s">
        <v>207</v>
      </c>
      <c r="S1112" t="s">
        <v>207</v>
      </c>
      <c r="T1112" t="s">
        <v>207</v>
      </c>
      <c r="U1112" t="s">
        <v>207</v>
      </c>
      <c r="V1112" t="s">
        <v>207</v>
      </c>
      <c r="W1112" t="s">
        <v>207</v>
      </c>
      <c r="X1112" t="s">
        <v>207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210</v>
      </c>
      <c r="BA1112">
        <v>11577062366.280001</v>
      </c>
      <c r="BB1112" t="s">
        <v>4572</v>
      </c>
      <c r="BC1112" t="s">
        <v>4536</v>
      </c>
    </row>
    <row r="1113" spans="1:55" x14ac:dyDescent="0.25">
      <c r="A1113">
        <v>1117</v>
      </c>
      <c r="B1113" t="s">
        <v>1291</v>
      </c>
      <c r="C1113" t="s">
        <v>2726</v>
      </c>
      <c r="D1113" t="s">
        <v>4161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203</v>
      </c>
      <c r="K1113">
        <v>3455304.7308934401</v>
      </c>
      <c r="L1113">
        <v>1</v>
      </c>
      <c r="M1113" t="s">
        <v>4536</v>
      </c>
      <c r="N1113" t="s">
        <v>4537</v>
      </c>
      <c r="O1113" t="s">
        <v>207</v>
      </c>
      <c r="Q1113" t="s">
        <v>207</v>
      </c>
      <c r="R1113" t="s">
        <v>207</v>
      </c>
      <c r="S1113" t="s">
        <v>4538</v>
      </c>
      <c r="T1113" t="s">
        <v>207</v>
      </c>
      <c r="U1113" t="s">
        <v>207</v>
      </c>
      <c r="V1113" t="s">
        <v>207</v>
      </c>
      <c r="W1113" t="s">
        <v>207</v>
      </c>
      <c r="X1113" t="s">
        <v>207</v>
      </c>
      <c r="AA1113" t="s">
        <v>4541</v>
      </c>
      <c r="AK1113">
        <v>0</v>
      </c>
      <c r="AL1113">
        <v>0.01</v>
      </c>
      <c r="AM1113">
        <v>0</v>
      </c>
      <c r="AO1113" t="s">
        <v>4568</v>
      </c>
      <c r="AQ1113">
        <v>0</v>
      </c>
      <c r="AR1113">
        <v>0</v>
      </c>
      <c r="AW1113">
        <v>4010</v>
      </c>
      <c r="AX1113">
        <v>2.742</v>
      </c>
      <c r="AY1113" t="s">
        <v>209</v>
      </c>
      <c r="BA1113">
        <v>4486784713.04</v>
      </c>
      <c r="BB1113" t="s">
        <v>4572</v>
      </c>
      <c r="BC1113" t="s">
        <v>4650</v>
      </c>
    </row>
    <row r="1114" spans="1:55" x14ac:dyDescent="0.25">
      <c r="A1114">
        <v>795</v>
      </c>
      <c r="B1114" t="s">
        <v>1292</v>
      </c>
      <c r="C1114" t="s">
        <v>2727</v>
      </c>
      <c r="D1114" t="s">
        <v>4162</v>
      </c>
      <c r="E1114" t="s">
        <v>95</v>
      </c>
      <c r="F1114">
        <v>40716830</v>
      </c>
      <c r="G1114">
        <v>293.25459999999998</v>
      </c>
      <c r="H1114" t="s">
        <v>103</v>
      </c>
      <c r="I1114">
        <v>11940397694.917999</v>
      </c>
      <c r="J1114" t="s">
        <v>204</v>
      </c>
      <c r="K1114">
        <v>29126770.267743301</v>
      </c>
      <c r="L1114">
        <v>1</v>
      </c>
      <c r="M1114" t="s">
        <v>4536</v>
      </c>
      <c r="O1114" t="s">
        <v>207</v>
      </c>
      <c r="Q1114" t="s">
        <v>207</v>
      </c>
      <c r="R1114" t="s">
        <v>207</v>
      </c>
      <c r="S1114" t="s">
        <v>207</v>
      </c>
      <c r="T1114" t="s">
        <v>207</v>
      </c>
      <c r="U1114" t="s">
        <v>207</v>
      </c>
      <c r="V1114" t="s">
        <v>207</v>
      </c>
      <c r="W1114" t="s">
        <v>207</v>
      </c>
      <c r="X1114" t="s">
        <v>207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209</v>
      </c>
      <c r="BA1114">
        <v>11940397694.917999</v>
      </c>
      <c r="BB1114" t="s">
        <v>4572</v>
      </c>
      <c r="BC1114" t="s">
        <v>4536</v>
      </c>
    </row>
    <row r="1115" spans="1:55" x14ac:dyDescent="0.25">
      <c r="A1115">
        <v>247</v>
      </c>
      <c r="B1115" t="s">
        <v>1293</v>
      </c>
      <c r="C1115" t="s">
        <v>2728</v>
      </c>
      <c r="D1115" t="s">
        <v>4163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202</v>
      </c>
      <c r="K1115">
        <v>510307592.521384</v>
      </c>
      <c r="L1115">
        <v>1</v>
      </c>
      <c r="M1115" t="s">
        <v>4536</v>
      </c>
      <c r="O1115" t="s">
        <v>206</v>
      </c>
      <c r="Q1115" t="s">
        <v>207</v>
      </c>
      <c r="R1115" t="s">
        <v>207</v>
      </c>
      <c r="S1115" t="s">
        <v>207</v>
      </c>
      <c r="T1115" t="s">
        <v>207</v>
      </c>
      <c r="U1115" t="s">
        <v>207</v>
      </c>
      <c r="V1115" t="s">
        <v>207</v>
      </c>
      <c r="W1115" t="s">
        <v>207</v>
      </c>
      <c r="X1115" t="s">
        <v>207</v>
      </c>
      <c r="AK1115">
        <v>0</v>
      </c>
      <c r="AL1115">
        <v>1</v>
      </c>
      <c r="AM1115">
        <v>0</v>
      </c>
      <c r="AO1115" t="s">
        <v>4568</v>
      </c>
      <c r="AQ1115">
        <v>0</v>
      </c>
      <c r="AR1115">
        <v>0</v>
      </c>
      <c r="AW1115">
        <v>6010</v>
      </c>
      <c r="AX1115">
        <v>2.2970000000000002</v>
      </c>
      <c r="AY1115" t="s">
        <v>208</v>
      </c>
      <c r="BA1115">
        <v>54290151880.096001</v>
      </c>
      <c r="BB1115" t="s">
        <v>4572</v>
      </c>
      <c r="BC1115" t="s">
        <v>4582</v>
      </c>
    </row>
    <row r="1116" spans="1:55" x14ac:dyDescent="0.25">
      <c r="A1116">
        <v>1155</v>
      </c>
      <c r="B1116" t="s">
        <v>1294</v>
      </c>
      <c r="C1116" t="s">
        <v>2729</v>
      </c>
      <c r="D1116" t="s">
        <v>4164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204</v>
      </c>
      <c r="K1116">
        <v>9324383.4876067191</v>
      </c>
      <c r="L1116">
        <v>0.55000000000000004</v>
      </c>
      <c r="M1116" t="s">
        <v>4536</v>
      </c>
      <c r="N1116" t="s">
        <v>4537</v>
      </c>
      <c r="O1116" t="s">
        <v>207</v>
      </c>
      <c r="Q1116" t="s">
        <v>207</v>
      </c>
      <c r="R1116" t="s">
        <v>207</v>
      </c>
      <c r="S1116" t="s">
        <v>207</v>
      </c>
      <c r="T1116" t="s">
        <v>207</v>
      </c>
      <c r="U1116" t="s">
        <v>207</v>
      </c>
      <c r="V1116" t="s">
        <v>207</v>
      </c>
      <c r="W1116" t="s">
        <v>207</v>
      </c>
      <c r="X1116" t="s">
        <v>207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209</v>
      </c>
      <c r="BA1116">
        <v>4099783807.3839898</v>
      </c>
      <c r="BB1116" t="s">
        <v>4572</v>
      </c>
      <c r="BC1116" t="s">
        <v>4575</v>
      </c>
    </row>
    <row r="1117" spans="1:55" x14ac:dyDescent="0.25">
      <c r="A1117">
        <v>945</v>
      </c>
      <c r="B1117" t="s">
        <v>1295</v>
      </c>
      <c r="C1117" t="s">
        <v>2730</v>
      </c>
      <c r="D1117" t="s">
        <v>4165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203</v>
      </c>
      <c r="K1117">
        <v>12789693.474590201</v>
      </c>
      <c r="L1117">
        <v>1</v>
      </c>
      <c r="M1117" t="s">
        <v>4536</v>
      </c>
      <c r="O1117" t="s">
        <v>207</v>
      </c>
      <c r="Q1117" t="s">
        <v>207</v>
      </c>
      <c r="R1117" t="s">
        <v>207</v>
      </c>
      <c r="S1117" t="s">
        <v>207</v>
      </c>
      <c r="T1117" t="s">
        <v>207</v>
      </c>
      <c r="U1117" t="s">
        <v>207</v>
      </c>
      <c r="V1117" t="s">
        <v>207</v>
      </c>
      <c r="W1117" t="s">
        <v>207</v>
      </c>
      <c r="X1117" t="s">
        <v>207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209</v>
      </c>
      <c r="BA1117">
        <v>7050000000</v>
      </c>
      <c r="BB1117" t="s">
        <v>4572</v>
      </c>
      <c r="BC1117" t="s">
        <v>4536</v>
      </c>
    </row>
    <row r="1118" spans="1:55" x14ac:dyDescent="0.25">
      <c r="A1118">
        <v>916</v>
      </c>
      <c r="B1118" t="s">
        <v>1296</v>
      </c>
      <c r="C1118" t="s">
        <v>2731</v>
      </c>
      <c r="D1118" t="s">
        <v>4166</v>
      </c>
      <c r="E1118" t="s">
        <v>93</v>
      </c>
      <c r="F1118">
        <v>101589730</v>
      </c>
      <c r="G1118">
        <v>75.080749999999995</v>
      </c>
      <c r="H1118" t="s">
        <v>101</v>
      </c>
      <c r="I1118">
        <v>7627433120.6974993</v>
      </c>
      <c r="J1118" t="s">
        <v>205</v>
      </c>
      <c r="K1118">
        <v>117978900.352743</v>
      </c>
      <c r="L1118">
        <v>1</v>
      </c>
      <c r="M1118" t="s">
        <v>4536</v>
      </c>
      <c r="O1118" t="s">
        <v>207</v>
      </c>
      <c r="Q1118" t="s">
        <v>207</v>
      </c>
      <c r="R1118" t="s">
        <v>207</v>
      </c>
      <c r="S1118" t="s">
        <v>207</v>
      </c>
      <c r="T1118" t="s">
        <v>207</v>
      </c>
      <c r="U1118" t="s">
        <v>207</v>
      </c>
      <c r="V1118" t="s">
        <v>207</v>
      </c>
      <c r="W1118" t="s">
        <v>207</v>
      </c>
      <c r="X1118" t="s">
        <v>207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210</v>
      </c>
      <c r="BA1118">
        <v>7627433120.6974993</v>
      </c>
      <c r="BB1118" t="s">
        <v>4572</v>
      </c>
      <c r="BC1118" t="s">
        <v>4536</v>
      </c>
    </row>
    <row r="1119" spans="1:55" x14ac:dyDescent="0.25">
      <c r="A1119">
        <v>1189</v>
      </c>
      <c r="B1119" t="s">
        <v>1297</v>
      </c>
      <c r="C1119" t="s">
        <v>2732</v>
      </c>
      <c r="D1119" t="s">
        <v>4167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7529494515.5382004</v>
      </c>
      <c r="J1119" t="s">
        <v>205</v>
      </c>
      <c r="K1119">
        <v>18693970.391037598</v>
      </c>
      <c r="L1119">
        <v>0.5</v>
      </c>
      <c r="M1119" t="s">
        <v>4536</v>
      </c>
      <c r="O1119" t="s">
        <v>207</v>
      </c>
      <c r="Q1119" t="s">
        <v>207</v>
      </c>
      <c r="R1119" t="s">
        <v>207</v>
      </c>
      <c r="S1119" t="s">
        <v>207</v>
      </c>
      <c r="T1119" t="s">
        <v>207</v>
      </c>
      <c r="U1119" t="s">
        <v>207</v>
      </c>
      <c r="V1119" t="s">
        <v>207</v>
      </c>
      <c r="W1119" t="s">
        <v>207</v>
      </c>
      <c r="X1119" t="s">
        <v>207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210</v>
      </c>
      <c r="BA1119">
        <v>3764747257.7691002</v>
      </c>
      <c r="BB1119" t="s">
        <v>4572</v>
      </c>
      <c r="BC1119" t="s">
        <v>4536</v>
      </c>
    </row>
    <row r="1120" spans="1:55" x14ac:dyDescent="0.25">
      <c r="A1120">
        <v>609</v>
      </c>
      <c r="B1120" t="s">
        <v>1298</v>
      </c>
      <c r="C1120" t="s">
        <v>2733</v>
      </c>
      <c r="D1120" t="s">
        <v>4168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202</v>
      </c>
      <c r="K1120">
        <v>280584370.909567</v>
      </c>
      <c r="L1120">
        <v>1</v>
      </c>
      <c r="M1120" t="s">
        <v>4536</v>
      </c>
      <c r="O1120" t="s">
        <v>207</v>
      </c>
      <c r="Q1120" t="s">
        <v>207</v>
      </c>
      <c r="R1120" t="s">
        <v>207</v>
      </c>
      <c r="S1120" t="s">
        <v>207</v>
      </c>
      <c r="T1120" t="s">
        <v>207</v>
      </c>
      <c r="U1120" t="s">
        <v>207</v>
      </c>
      <c r="V1120" t="s">
        <v>207</v>
      </c>
      <c r="W1120" t="s">
        <v>207</v>
      </c>
      <c r="X1120" t="s">
        <v>207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208</v>
      </c>
      <c r="BA1120">
        <v>20421511745.548</v>
      </c>
      <c r="BB1120" t="s">
        <v>4572</v>
      </c>
      <c r="BC1120" t="s">
        <v>4536</v>
      </c>
    </row>
    <row r="1121" spans="1:55" x14ac:dyDescent="0.25">
      <c r="A1121">
        <v>1232</v>
      </c>
      <c r="B1121" t="s">
        <v>1299</v>
      </c>
      <c r="C1121" t="s">
        <v>2734</v>
      </c>
      <c r="D1121" t="s">
        <v>4169</v>
      </c>
      <c r="E1121" t="s">
        <v>4527</v>
      </c>
      <c r="F1121">
        <v>3411858600</v>
      </c>
      <c r="G1121">
        <v>1.7033990000000001</v>
      </c>
      <c r="H1121" t="s">
        <v>4534</v>
      </c>
      <c r="I1121">
        <v>5811756527.3814001</v>
      </c>
      <c r="J1121" t="s">
        <v>205</v>
      </c>
      <c r="K1121">
        <v>33835163.594374701</v>
      </c>
      <c r="L1121">
        <v>0.6</v>
      </c>
      <c r="M1121" t="s">
        <v>4536</v>
      </c>
      <c r="O1121" t="s">
        <v>206</v>
      </c>
      <c r="Q1121" t="s">
        <v>207</v>
      </c>
      <c r="R1121" t="s">
        <v>207</v>
      </c>
      <c r="S1121" t="s">
        <v>207</v>
      </c>
      <c r="T1121" t="s">
        <v>207</v>
      </c>
      <c r="U1121" t="s">
        <v>207</v>
      </c>
      <c r="V1121" t="s">
        <v>207</v>
      </c>
      <c r="W1121" t="s">
        <v>207</v>
      </c>
      <c r="X1121" t="s">
        <v>207</v>
      </c>
      <c r="AK1121">
        <v>0</v>
      </c>
      <c r="AL1121">
        <v>0.995</v>
      </c>
      <c r="AM1121">
        <v>0</v>
      </c>
      <c r="AO1121" t="s">
        <v>4568</v>
      </c>
      <c r="AQ1121">
        <v>0</v>
      </c>
      <c r="AR1121">
        <v>0</v>
      </c>
      <c r="AW1121">
        <v>5020</v>
      </c>
      <c r="AX1121">
        <v>2.0670000000000002</v>
      </c>
      <c r="AY1121" t="s">
        <v>210</v>
      </c>
      <c r="BA1121">
        <v>3487053916.4288402</v>
      </c>
      <c r="BB1121" t="s">
        <v>4572</v>
      </c>
      <c r="BC1121" t="s">
        <v>4582</v>
      </c>
    </row>
    <row r="1122" spans="1:55" x14ac:dyDescent="0.25">
      <c r="A1122">
        <v>767</v>
      </c>
      <c r="B1122" t="s">
        <v>1300</v>
      </c>
      <c r="C1122" t="s">
        <v>2735</v>
      </c>
      <c r="D1122" t="s">
        <v>4170</v>
      </c>
      <c r="E1122" t="s">
        <v>93</v>
      </c>
      <c r="F1122">
        <v>466599800</v>
      </c>
      <c r="G1122">
        <v>32.507280000000002</v>
      </c>
      <c r="H1122" t="s">
        <v>101</v>
      </c>
      <c r="I1122">
        <v>15167890346.544001</v>
      </c>
      <c r="J1122" t="s">
        <v>205</v>
      </c>
      <c r="K1122">
        <v>24132161.4411771</v>
      </c>
      <c r="L1122">
        <v>0.9</v>
      </c>
      <c r="M1122" t="s">
        <v>4536</v>
      </c>
      <c r="O1122" t="s">
        <v>207</v>
      </c>
      <c r="Q1122" t="s">
        <v>207</v>
      </c>
      <c r="R1122" t="s">
        <v>207</v>
      </c>
      <c r="S1122" t="s">
        <v>207</v>
      </c>
      <c r="T1122" t="s">
        <v>207</v>
      </c>
      <c r="U1122" t="s">
        <v>207</v>
      </c>
      <c r="V1122" t="s">
        <v>207</v>
      </c>
      <c r="W1122" t="s">
        <v>207</v>
      </c>
      <c r="X1122" t="s">
        <v>207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210</v>
      </c>
      <c r="BA1122">
        <v>13651101311.889601</v>
      </c>
      <c r="BB1122" t="s">
        <v>4572</v>
      </c>
      <c r="BC1122" t="s">
        <v>4536</v>
      </c>
    </row>
    <row r="1123" spans="1:55" x14ac:dyDescent="0.25">
      <c r="A1123">
        <v>1323</v>
      </c>
      <c r="B1123" t="s">
        <v>1301</v>
      </c>
      <c r="C1123" t="s">
        <v>2736</v>
      </c>
      <c r="D1123" t="s">
        <v>4171</v>
      </c>
      <c r="E1123" t="s">
        <v>4519</v>
      </c>
      <c r="F1123">
        <v>182017440</v>
      </c>
      <c r="G1123">
        <v>21.872959999999999</v>
      </c>
      <c r="H1123" t="s">
        <v>4530</v>
      </c>
      <c r="I1123">
        <v>3981260184.4224</v>
      </c>
      <c r="J1123" t="s">
        <v>204</v>
      </c>
      <c r="K1123">
        <v>3194424.91529821</v>
      </c>
      <c r="L1123">
        <v>0.75</v>
      </c>
      <c r="M1123" t="s">
        <v>4536</v>
      </c>
      <c r="N1123" t="s">
        <v>4537</v>
      </c>
      <c r="O1123" t="s">
        <v>207</v>
      </c>
      <c r="Q1123" t="s">
        <v>207</v>
      </c>
      <c r="R1123" t="s">
        <v>207</v>
      </c>
      <c r="S1123" t="s">
        <v>207</v>
      </c>
      <c r="T1123" t="s">
        <v>207</v>
      </c>
      <c r="U1123" t="s">
        <v>207</v>
      </c>
      <c r="V1123" t="s">
        <v>207</v>
      </c>
      <c r="W1123" t="s">
        <v>207</v>
      </c>
      <c r="X1123" t="s">
        <v>207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209</v>
      </c>
      <c r="BA1123">
        <v>2985945138.3168001</v>
      </c>
      <c r="BB1123" t="s">
        <v>4572</v>
      </c>
      <c r="BC1123" t="s">
        <v>4575</v>
      </c>
    </row>
    <row r="1124" spans="1:55" x14ac:dyDescent="0.25">
      <c r="A1124">
        <v>955</v>
      </c>
      <c r="B1124" t="s">
        <v>1302</v>
      </c>
      <c r="C1124" t="s">
        <v>2737</v>
      </c>
      <c r="D1124" t="s">
        <v>4172</v>
      </c>
      <c r="E1124" t="s">
        <v>4519</v>
      </c>
      <c r="F1124">
        <v>546454160</v>
      </c>
      <c r="G1124">
        <v>13.86561</v>
      </c>
      <c r="H1124" t="s">
        <v>4530</v>
      </c>
      <c r="I1124">
        <v>7576920265.4376001</v>
      </c>
      <c r="J1124" t="s">
        <v>204</v>
      </c>
      <c r="K1124">
        <v>13962066.985252701</v>
      </c>
      <c r="L1124">
        <v>0.9</v>
      </c>
      <c r="O1124" t="s">
        <v>206</v>
      </c>
      <c r="Q1124" t="s">
        <v>207</v>
      </c>
      <c r="R1124" t="s">
        <v>207</v>
      </c>
      <c r="S1124" t="s">
        <v>207</v>
      </c>
      <c r="T1124" t="s">
        <v>207</v>
      </c>
      <c r="U1124" t="s">
        <v>207</v>
      </c>
      <c r="V1124" t="s">
        <v>207</v>
      </c>
      <c r="W1124" t="s">
        <v>207</v>
      </c>
      <c r="X1124" t="s">
        <v>207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209</v>
      </c>
      <c r="BA1124">
        <v>6819228238.8938398</v>
      </c>
      <c r="BB1124" t="s">
        <v>211</v>
      </c>
    </row>
    <row r="1125" spans="1:55" x14ac:dyDescent="0.25">
      <c r="A1125">
        <v>1044</v>
      </c>
      <c r="B1125" t="s">
        <v>1303</v>
      </c>
      <c r="C1125" t="s">
        <v>2738</v>
      </c>
      <c r="D1125" t="s">
        <v>4173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5535062738.2379999</v>
      </c>
      <c r="J1125" t="s">
        <v>205</v>
      </c>
      <c r="K1125">
        <v>17261358.8948434</v>
      </c>
      <c r="L1125">
        <v>1</v>
      </c>
      <c r="M1125" t="s">
        <v>4536</v>
      </c>
      <c r="O1125" t="s">
        <v>207</v>
      </c>
      <c r="Q1125" t="s">
        <v>207</v>
      </c>
      <c r="R1125" t="s">
        <v>207</v>
      </c>
      <c r="S1125" t="s">
        <v>207</v>
      </c>
      <c r="T1125" t="s">
        <v>207</v>
      </c>
      <c r="U1125" t="s">
        <v>207</v>
      </c>
      <c r="V1125" t="s">
        <v>207</v>
      </c>
      <c r="W1125" t="s">
        <v>207</v>
      </c>
      <c r="X1125" t="s">
        <v>207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210</v>
      </c>
      <c r="BA1125">
        <v>5535062738.2379999</v>
      </c>
      <c r="BB1125" t="s">
        <v>4572</v>
      </c>
      <c r="BC1125" t="s">
        <v>4536</v>
      </c>
    </row>
    <row r="1126" spans="1:55" x14ac:dyDescent="0.25">
      <c r="A1126">
        <v>1344</v>
      </c>
      <c r="B1126" t="s">
        <v>1304</v>
      </c>
      <c r="C1126" t="s">
        <v>2739</v>
      </c>
      <c r="D1126" t="s">
        <v>4174</v>
      </c>
      <c r="E1126" t="s">
        <v>93</v>
      </c>
      <c r="F1126">
        <v>241229480</v>
      </c>
      <c r="G1126">
        <v>18.453620000000001</v>
      </c>
      <c r="H1126" t="s">
        <v>101</v>
      </c>
      <c r="I1126">
        <v>4451557156.7175999</v>
      </c>
      <c r="J1126" t="s">
        <v>205</v>
      </c>
      <c r="K1126">
        <v>19779858.835843101</v>
      </c>
      <c r="L1126">
        <v>0.65</v>
      </c>
      <c r="M1126" t="s">
        <v>4536</v>
      </c>
      <c r="O1126" t="s">
        <v>207</v>
      </c>
      <c r="Q1126" t="s">
        <v>207</v>
      </c>
      <c r="R1126" t="s">
        <v>207</v>
      </c>
      <c r="S1126" t="s">
        <v>207</v>
      </c>
      <c r="T1126" t="s">
        <v>207</v>
      </c>
      <c r="U1126" t="s">
        <v>207</v>
      </c>
      <c r="V1126" t="s">
        <v>207</v>
      </c>
      <c r="W1126" t="s">
        <v>207</v>
      </c>
      <c r="X1126" t="s">
        <v>207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210</v>
      </c>
      <c r="AZ1126" t="s">
        <v>4571</v>
      </c>
      <c r="BA1126">
        <v>2893512151.8664398</v>
      </c>
      <c r="BB1126" t="s">
        <v>4572</v>
      </c>
      <c r="BC1126" t="s">
        <v>4577</v>
      </c>
    </row>
    <row r="1127" spans="1:55" x14ac:dyDescent="0.25">
      <c r="A1127">
        <v>820</v>
      </c>
      <c r="B1127" t="s">
        <v>1305</v>
      </c>
      <c r="C1127" t="s">
        <v>2740</v>
      </c>
      <c r="D1127" t="s">
        <v>4175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204</v>
      </c>
      <c r="K1127">
        <v>20340262.9003166</v>
      </c>
      <c r="L1127">
        <v>0.9</v>
      </c>
      <c r="M1127" t="s">
        <v>4536</v>
      </c>
      <c r="O1127" t="s">
        <v>207</v>
      </c>
      <c r="Q1127" t="s">
        <v>207</v>
      </c>
      <c r="R1127" t="s">
        <v>207</v>
      </c>
      <c r="S1127" t="s">
        <v>207</v>
      </c>
      <c r="T1127" t="s">
        <v>207</v>
      </c>
      <c r="U1127" t="s">
        <v>207</v>
      </c>
      <c r="V1127" t="s">
        <v>207</v>
      </c>
      <c r="W1127" t="s">
        <v>207</v>
      </c>
      <c r="X1127" t="s">
        <v>207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209</v>
      </c>
      <c r="AZ1127" t="s">
        <v>4571</v>
      </c>
      <c r="BA1127">
        <v>10456949070.315001</v>
      </c>
      <c r="BB1127" t="s">
        <v>4572</v>
      </c>
      <c r="BC1127" t="s">
        <v>4577</v>
      </c>
    </row>
    <row r="1128" spans="1:55" x14ac:dyDescent="0.25">
      <c r="A1128">
        <v>1070</v>
      </c>
      <c r="B1128" t="s">
        <v>1306</v>
      </c>
      <c r="C1128" t="s">
        <v>2741</v>
      </c>
      <c r="D1128" t="s">
        <v>4176</v>
      </c>
      <c r="E1128" t="s">
        <v>93</v>
      </c>
      <c r="F1128">
        <v>323462920</v>
      </c>
      <c r="G1128">
        <v>19.563199999999998</v>
      </c>
      <c r="H1128" t="s">
        <v>101</v>
      </c>
      <c r="I1128">
        <v>6327969796.5439997</v>
      </c>
      <c r="J1128" t="s">
        <v>205</v>
      </c>
      <c r="K1128">
        <v>22391753.480789401</v>
      </c>
      <c r="L1128">
        <v>0.8</v>
      </c>
      <c r="M1128" t="s">
        <v>4536</v>
      </c>
      <c r="O1128" t="s">
        <v>207</v>
      </c>
      <c r="Q1128" t="s">
        <v>207</v>
      </c>
      <c r="R1128" t="s">
        <v>207</v>
      </c>
      <c r="S1128" t="s">
        <v>207</v>
      </c>
      <c r="T1128" t="s">
        <v>207</v>
      </c>
      <c r="U1128" t="s">
        <v>207</v>
      </c>
      <c r="V1128" t="s">
        <v>207</v>
      </c>
      <c r="W1128" t="s">
        <v>207</v>
      </c>
      <c r="X1128" t="s">
        <v>207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210</v>
      </c>
      <c r="BA1128">
        <v>5062375837.2351999</v>
      </c>
      <c r="BB1128" t="s">
        <v>4572</v>
      </c>
      <c r="BC1128" t="s">
        <v>4536</v>
      </c>
    </row>
    <row r="1129" spans="1:55" x14ac:dyDescent="0.25">
      <c r="A1129">
        <v>1066</v>
      </c>
      <c r="B1129" t="s">
        <v>1307</v>
      </c>
      <c r="C1129" t="s">
        <v>2742</v>
      </c>
      <c r="D1129" t="s">
        <v>4177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6045043039.0375996</v>
      </c>
      <c r="J1129" t="s">
        <v>205</v>
      </c>
      <c r="K1129">
        <v>19629946.136412699</v>
      </c>
      <c r="L1129">
        <v>0.85</v>
      </c>
      <c r="O1129" t="s">
        <v>207</v>
      </c>
      <c r="Q1129" t="s">
        <v>207</v>
      </c>
      <c r="R1129" t="s">
        <v>207</v>
      </c>
      <c r="S1129" t="s">
        <v>207</v>
      </c>
      <c r="T1129" t="s">
        <v>207</v>
      </c>
      <c r="U1129" t="s">
        <v>207</v>
      </c>
      <c r="V1129" t="s">
        <v>207</v>
      </c>
      <c r="W1129" t="s">
        <v>207</v>
      </c>
      <c r="X1129" t="s">
        <v>207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210</v>
      </c>
      <c r="BA1129">
        <v>5138286583.1819592</v>
      </c>
      <c r="BB1129" t="s">
        <v>211</v>
      </c>
    </row>
    <row r="1130" spans="1:55" x14ac:dyDescent="0.25">
      <c r="A1130">
        <v>1459</v>
      </c>
      <c r="B1130" t="s">
        <v>1308</v>
      </c>
      <c r="C1130" t="s">
        <v>2743</v>
      </c>
      <c r="D1130" t="s">
        <v>4178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2663994362.0408001</v>
      </c>
      <c r="J1130" t="s">
        <v>205</v>
      </c>
      <c r="K1130">
        <v>5851147.2412969004</v>
      </c>
      <c r="L1130">
        <v>0.8</v>
      </c>
      <c r="M1130" t="s">
        <v>4536</v>
      </c>
      <c r="N1130" t="s">
        <v>4537</v>
      </c>
      <c r="O1130" t="s">
        <v>207</v>
      </c>
      <c r="Q1130" t="s">
        <v>207</v>
      </c>
      <c r="R1130" t="s">
        <v>207</v>
      </c>
      <c r="S1130" t="s">
        <v>207</v>
      </c>
      <c r="T1130" t="s">
        <v>207</v>
      </c>
      <c r="U1130" t="s">
        <v>207</v>
      </c>
      <c r="V1130" t="s">
        <v>207</v>
      </c>
      <c r="W1130" t="s">
        <v>207</v>
      </c>
      <c r="X1130" t="s">
        <v>207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210</v>
      </c>
      <c r="AZ1130" t="s">
        <v>4571</v>
      </c>
      <c r="BA1130">
        <v>2131195489.6326399</v>
      </c>
      <c r="BB1130" t="s">
        <v>4572</v>
      </c>
      <c r="BC1130" t="s">
        <v>4584</v>
      </c>
    </row>
    <row r="1131" spans="1:55" x14ac:dyDescent="0.25">
      <c r="A1131">
        <v>960</v>
      </c>
      <c r="B1131" t="s">
        <v>1309</v>
      </c>
      <c r="C1131" t="s">
        <v>2744</v>
      </c>
      <c r="D1131" t="s">
        <v>4179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7135315635.9870005</v>
      </c>
      <c r="J1131" t="s">
        <v>205</v>
      </c>
      <c r="K1131">
        <v>35517461.652208999</v>
      </c>
      <c r="L1131">
        <v>0.95</v>
      </c>
      <c r="M1131" t="s">
        <v>4536</v>
      </c>
      <c r="O1131" t="s">
        <v>207</v>
      </c>
      <c r="Q1131" t="s">
        <v>207</v>
      </c>
      <c r="R1131" t="s">
        <v>207</v>
      </c>
      <c r="S1131" t="s">
        <v>207</v>
      </c>
      <c r="T1131" t="s">
        <v>207</v>
      </c>
      <c r="U1131" t="s">
        <v>207</v>
      </c>
      <c r="V1131" t="s">
        <v>207</v>
      </c>
      <c r="W1131" t="s">
        <v>207</v>
      </c>
      <c r="X1131" t="s">
        <v>207</v>
      </c>
      <c r="AG1131" t="s">
        <v>4546</v>
      </c>
      <c r="AH1131" t="s">
        <v>4562</v>
      </c>
      <c r="AI1131" t="s">
        <v>4565</v>
      </c>
      <c r="AJ1131" t="s">
        <v>4566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210</v>
      </c>
      <c r="BA1131">
        <v>6778549854.1876488</v>
      </c>
      <c r="BB1131" t="s">
        <v>4572</v>
      </c>
      <c r="BC1131" t="s">
        <v>4578</v>
      </c>
    </row>
    <row r="1132" spans="1:55" x14ac:dyDescent="0.25">
      <c r="A1132">
        <v>759</v>
      </c>
      <c r="B1132" t="s">
        <v>1310</v>
      </c>
      <c r="C1132" t="s">
        <v>2745</v>
      </c>
      <c r="D1132" t="s">
        <v>4180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14212684435.207001</v>
      </c>
      <c r="J1132" t="s">
        <v>205</v>
      </c>
      <c r="K1132">
        <v>51570421.634121902</v>
      </c>
      <c r="L1132">
        <v>1</v>
      </c>
      <c r="M1132" t="s">
        <v>4536</v>
      </c>
      <c r="O1132" t="s">
        <v>207</v>
      </c>
      <c r="Q1132" t="s">
        <v>207</v>
      </c>
      <c r="R1132" t="s">
        <v>207</v>
      </c>
      <c r="S1132" t="s">
        <v>207</v>
      </c>
      <c r="T1132" t="s">
        <v>207</v>
      </c>
      <c r="U1132" t="s">
        <v>207</v>
      </c>
      <c r="V1132" t="s">
        <v>207</v>
      </c>
      <c r="W1132" t="s">
        <v>207</v>
      </c>
      <c r="X1132" t="s">
        <v>207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210</v>
      </c>
      <c r="BA1132">
        <v>14212684435.207001</v>
      </c>
      <c r="BB1132" t="s">
        <v>4572</v>
      </c>
      <c r="BC1132" t="s">
        <v>4536</v>
      </c>
    </row>
    <row r="1133" spans="1:55" x14ac:dyDescent="0.25">
      <c r="A1133">
        <v>1449</v>
      </c>
      <c r="B1133" t="s">
        <v>1311</v>
      </c>
      <c r="C1133" t="s">
        <v>2746</v>
      </c>
      <c r="D1133" t="s">
        <v>4181</v>
      </c>
      <c r="E1133" t="s">
        <v>93</v>
      </c>
      <c r="F1133">
        <v>4381482</v>
      </c>
      <c r="G1133">
        <v>496.27480000000003</v>
      </c>
      <c r="H1133" t="s">
        <v>101</v>
      </c>
      <c r="I1133">
        <v>2174419103.2536001</v>
      </c>
      <c r="J1133" t="s">
        <v>205</v>
      </c>
      <c r="K1133">
        <v>4431360.6537280101</v>
      </c>
      <c r="L1133">
        <v>1</v>
      </c>
      <c r="M1133" t="s">
        <v>4536</v>
      </c>
      <c r="N1133" t="s">
        <v>4537</v>
      </c>
      <c r="O1133" t="s">
        <v>207</v>
      </c>
      <c r="Q1133" t="s">
        <v>207</v>
      </c>
      <c r="R1133" t="s">
        <v>207</v>
      </c>
      <c r="S1133" t="s">
        <v>207</v>
      </c>
      <c r="T1133" t="s">
        <v>207</v>
      </c>
      <c r="U1133" t="s">
        <v>207</v>
      </c>
      <c r="V1133" t="s">
        <v>207</v>
      </c>
      <c r="W1133" t="s">
        <v>207</v>
      </c>
      <c r="X1133" t="s">
        <v>207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210</v>
      </c>
      <c r="BA1133">
        <v>2174419103.2536001</v>
      </c>
      <c r="BB1133" t="s">
        <v>4572</v>
      </c>
      <c r="BC1133" t="s">
        <v>4575</v>
      </c>
    </row>
    <row r="1134" spans="1:55" x14ac:dyDescent="0.25">
      <c r="A1134">
        <v>1202</v>
      </c>
      <c r="B1134" t="s">
        <v>1312</v>
      </c>
      <c r="C1134" t="s">
        <v>2747</v>
      </c>
      <c r="D1134" t="s">
        <v>4182</v>
      </c>
      <c r="E1134" t="s">
        <v>4527</v>
      </c>
      <c r="F1134">
        <v>1780465300</v>
      </c>
      <c r="G1134">
        <v>4.1153550000000001</v>
      </c>
      <c r="H1134" t="s">
        <v>4534</v>
      </c>
      <c r="I1134">
        <v>7327246774.6815004</v>
      </c>
      <c r="J1134" t="s">
        <v>205</v>
      </c>
      <c r="K1134">
        <v>10561138.9496428</v>
      </c>
      <c r="L1134">
        <v>0.5</v>
      </c>
      <c r="M1134" t="s">
        <v>4536</v>
      </c>
      <c r="O1134" t="s">
        <v>207</v>
      </c>
      <c r="Q1134" t="s">
        <v>207</v>
      </c>
      <c r="R1134" t="s">
        <v>207</v>
      </c>
      <c r="S1134" t="s">
        <v>207</v>
      </c>
      <c r="T1134" t="s">
        <v>207</v>
      </c>
      <c r="U1134" t="s">
        <v>207</v>
      </c>
      <c r="V1134" t="s">
        <v>207</v>
      </c>
      <c r="W1134" t="s">
        <v>207</v>
      </c>
      <c r="X1134" t="s">
        <v>207</v>
      </c>
      <c r="AK1134">
        <v>5.04E-2</v>
      </c>
      <c r="AL1134">
        <v>0.77500000000000002</v>
      </c>
      <c r="AM1134">
        <v>0.32219999999999999</v>
      </c>
      <c r="AN1134" t="s">
        <v>4567</v>
      </c>
      <c r="AO1134" t="s">
        <v>4568</v>
      </c>
      <c r="AP1134" t="s">
        <v>4569</v>
      </c>
      <c r="AQ1134">
        <v>0</v>
      </c>
      <c r="AR1134">
        <v>0</v>
      </c>
      <c r="AW1134">
        <v>6510</v>
      </c>
      <c r="AX1134">
        <v>2.3079999999999998</v>
      </c>
      <c r="AY1134" t="s">
        <v>210</v>
      </c>
      <c r="BA1134">
        <v>3663623387.3407502</v>
      </c>
      <c r="BB1134" t="s">
        <v>4572</v>
      </c>
      <c r="BC1134" t="s">
        <v>4576</v>
      </c>
    </row>
    <row r="1135" spans="1:55" x14ac:dyDescent="0.25">
      <c r="A1135">
        <v>256</v>
      </c>
      <c r="B1135" t="s">
        <v>1313</v>
      </c>
      <c r="C1135" t="s">
        <v>2748</v>
      </c>
      <c r="D1135" t="s">
        <v>4183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202</v>
      </c>
      <c r="K1135">
        <v>320508274.45639402</v>
      </c>
      <c r="L1135">
        <v>1</v>
      </c>
      <c r="M1135" t="s">
        <v>4536</v>
      </c>
      <c r="O1135" t="s">
        <v>207</v>
      </c>
      <c r="Q1135" t="s">
        <v>207</v>
      </c>
      <c r="R1135" t="s">
        <v>207</v>
      </c>
      <c r="S1135" t="s">
        <v>207</v>
      </c>
      <c r="T1135" t="s">
        <v>207</v>
      </c>
      <c r="U1135" t="s">
        <v>207</v>
      </c>
      <c r="V1135" t="s">
        <v>207</v>
      </c>
      <c r="W1135" t="s">
        <v>207</v>
      </c>
      <c r="X1135" t="s">
        <v>207</v>
      </c>
      <c r="AK1135">
        <v>0</v>
      </c>
      <c r="AL1135">
        <v>0.68200000000000005</v>
      </c>
      <c r="AM1135">
        <v>0.1137</v>
      </c>
      <c r="AO1135" t="s">
        <v>4568</v>
      </c>
      <c r="AP1135" t="s">
        <v>4569</v>
      </c>
      <c r="AQ1135">
        <v>0</v>
      </c>
      <c r="AR1135">
        <v>0</v>
      </c>
      <c r="AW1135">
        <v>6510</v>
      </c>
      <c r="AX1135">
        <v>2.161</v>
      </c>
      <c r="AY1135" t="s">
        <v>208</v>
      </c>
      <c r="BA1135">
        <v>52768128311.405998</v>
      </c>
      <c r="BB1135" t="s">
        <v>4572</v>
      </c>
      <c r="BC1135" t="s">
        <v>4595</v>
      </c>
    </row>
    <row r="1136" spans="1:55" x14ac:dyDescent="0.25">
      <c r="A1136">
        <v>54</v>
      </c>
      <c r="B1136" t="s">
        <v>170</v>
      </c>
      <c r="C1136" t="s">
        <v>40</v>
      </c>
      <c r="D1136" t="s">
        <v>80</v>
      </c>
      <c r="E1136" t="s">
        <v>88</v>
      </c>
      <c r="F1136">
        <v>206000000</v>
      </c>
      <c r="G1136">
        <v>897.57050000000004</v>
      </c>
      <c r="H1136" t="s">
        <v>98</v>
      </c>
      <c r="I1136">
        <v>184899523000</v>
      </c>
      <c r="J1136" t="s">
        <v>202</v>
      </c>
      <c r="K1136">
        <v>1462927965.61075</v>
      </c>
      <c r="L1136">
        <v>1</v>
      </c>
      <c r="O1136" t="s">
        <v>207</v>
      </c>
      <c r="Q1136" t="s">
        <v>207</v>
      </c>
      <c r="R1136" t="s">
        <v>207</v>
      </c>
      <c r="S1136" t="s">
        <v>207</v>
      </c>
      <c r="T1136" t="s">
        <v>207</v>
      </c>
      <c r="U1136" t="s">
        <v>207</v>
      </c>
      <c r="V1136" t="s">
        <v>207</v>
      </c>
      <c r="W1136" t="s">
        <v>207</v>
      </c>
      <c r="X1136" t="s">
        <v>207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208</v>
      </c>
      <c r="BA1136">
        <v>184899523000</v>
      </c>
      <c r="BB1136" t="s">
        <v>211</v>
      </c>
    </row>
    <row r="1137" spans="1:55" x14ac:dyDescent="0.25">
      <c r="A1137">
        <v>391</v>
      </c>
      <c r="B1137" t="s">
        <v>1314</v>
      </c>
      <c r="C1137" t="s">
        <v>2749</v>
      </c>
      <c r="D1137" t="s">
        <v>4184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205</v>
      </c>
      <c r="K1137">
        <v>115989573.07508799</v>
      </c>
      <c r="L1137">
        <v>0.9</v>
      </c>
      <c r="M1137" t="s">
        <v>4536</v>
      </c>
      <c r="O1137" t="s">
        <v>207</v>
      </c>
      <c r="Q1137" t="s">
        <v>207</v>
      </c>
      <c r="R1137" t="s">
        <v>207</v>
      </c>
      <c r="S1137" t="s">
        <v>207</v>
      </c>
      <c r="T1137" t="s">
        <v>207</v>
      </c>
      <c r="U1137" t="s">
        <v>207</v>
      </c>
      <c r="V1137" t="s">
        <v>207</v>
      </c>
      <c r="W1137" t="s">
        <v>207</v>
      </c>
      <c r="X1137" t="s">
        <v>207</v>
      </c>
      <c r="AK1137">
        <v>0</v>
      </c>
      <c r="AL1137">
        <v>0.5</v>
      </c>
      <c r="AM1137">
        <v>0</v>
      </c>
      <c r="AO1137" t="s">
        <v>4568</v>
      </c>
      <c r="AQ1137">
        <v>0</v>
      </c>
      <c r="AR1137">
        <v>0.1</v>
      </c>
      <c r="AW1137">
        <v>4520</v>
      </c>
      <c r="AX1137">
        <v>2.7269999999999999</v>
      </c>
      <c r="AY1137" t="s">
        <v>210</v>
      </c>
      <c r="BA1137">
        <v>35686584489.599998</v>
      </c>
      <c r="BB1137" t="s">
        <v>4572</v>
      </c>
      <c r="BC1137" t="s">
        <v>4582</v>
      </c>
    </row>
    <row r="1138" spans="1:55" x14ac:dyDescent="0.25">
      <c r="A1138">
        <v>899</v>
      </c>
      <c r="B1138" t="s">
        <v>1315</v>
      </c>
      <c r="C1138" t="s">
        <v>2750</v>
      </c>
      <c r="D1138" t="s">
        <v>4185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204</v>
      </c>
      <c r="K1138">
        <v>14800849.030249599</v>
      </c>
      <c r="L1138">
        <v>0.9</v>
      </c>
      <c r="M1138" t="s">
        <v>4536</v>
      </c>
      <c r="O1138" t="s">
        <v>207</v>
      </c>
      <c r="Q1138" t="s">
        <v>207</v>
      </c>
      <c r="R1138" t="s">
        <v>207</v>
      </c>
      <c r="S1138" t="s">
        <v>207</v>
      </c>
      <c r="T1138" t="s">
        <v>207</v>
      </c>
      <c r="U1138" t="s">
        <v>207</v>
      </c>
      <c r="V1138" t="s">
        <v>207</v>
      </c>
      <c r="W1138" t="s">
        <v>207</v>
      </c>
      <c r="X1138" t="s">
        <v>207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209</v>
      </c>
      <c r="BA1138">
        <v>7950471218.7192001</v>
      </c>
      <c r="BB1138" t="s">
        <v>4572</v>
      </c>
      <c r="BC1138" t="s">
        <v>4536</v>
      </c>
    </row>
    <row r="1139" spans="1:55" x14ac:dyDescent="0.25">
      <c r="A1139">
        <v>1206</v>
      </c>
      <c r="B1139" t="s">
        <v>1316</v>
      </c>
      <c r="C1139" t="s">
        <v>2751</v>
      </c>
      <c r="D1139" t="s">
        <v>4186</v>
      </c>
      <c r="E1139" t="s">
        <v>95</v>
      </c>
      <c r="F1139">
        <v>38900000</v>
      </c>
      <c r="G1139">
        <v>124.82989999999999</v>
      </c>
      <c r="H1139" t="s">
        <v>103</v>
      </c>
      <c r="I1139">
        <v>4855883110</v>
      </c>
      <c r="J1139" t="s">
        <v>204</v>
      </c>
      <c r="K1139">
        <v>3499241.6717073601</v>
      </c>
      <c r="L1139">
        <v>0.75</v>
      </c>
      <c r="M1139" t="s">
        <v>4536</v>
      </c>
      <c r="N1139" t="s">
        <v>4537</v>
      </c>
      <c r="O1139" t="s">
        <v>207</v>
      </c>
      <c r="Q1139" t="s">
        <v>207</v>
      </c>
      <c r="R1139" t="s">
        <v>207</v>
      </c>
      <c r="S1139" t="s">
        <v>207</v>
      </c>
      <c r="T1139" t="s">
        <v>207</v>
      </c>
      <c r="U1139" t="s">
        <v>207</v>
      </c>
      <c r="V1139" t="s">
        <v>207</v>
      </c>
      <c r="W1139" t="s">
        <v>207</v>
      </c>
      <c r="X1139" t="s">
        <v>207</v>
      </c>
      <c r="AG1139" t="s">
        <v>4546</v>
      </c>
      <c r="AH1139" t="s">
        <v>4562</v>
      </c>
      <c r="AI1139" t="s">
        <v>4565</v>
      </c>
      <c r="AJ1139" t="s">
        <v>4566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209</v>
      </c>
      <c r="BA1139">
        <v>3641912332.5</v>
      </c>
      <c r="BB1139" t="s">
        <v>4572</v>
      </c>
      <c r="BC1139" t="s">
        <v>4592</v>
      </c>
    </row>
    <row r="1140" spans="1:55" x14ac:dyDescent="0.25">
      <c r="A1140">
        <v>1113</v>
      </c>
      <c r="B1140" t="s">
        <v>1317</v>
      </c>
      <c r="C1140" t="s">
        <v>2752</v>
      </c>
      <c r="D1140" t="s">
        <v>4187</v>
      </c>
      <c r="E1140" t="s">
        <v>93</v>
      </c>
      <c r="F1140">
        <v>640394400</v>
      </c>
      <c r="G1140">
        <v>9.3755009999999999</v>
      </c>
      <c r="H1140" t="s">
        <v>101</v>
      </c>
      <c r="I1140">
        <v>6004018337.5943995</v>
      </c>
      <c r="J1140" t="s">
        <v>205</v>
      </c>
      <c r="K1140">
        <v>11597547.753016699</v>
      </c>
      <c r="L1140">
        <v>0.75</v>
      </c>
      <c r="M1140" t="s">
        <v>4536</v>
      </c>
      <c r="O1140" t="s">
        <v>207</v>
      </c>
      <c r="Q1140" t="s">
        <v>207</v>
      </c>
      <c r="R1140" t="s">
        <v>207</v>
      </c>
      <c r="S1140" t="s">
        <v>207</v>
      </c>
      <c r="T1140" t="s">
        <v>207</v>
      </c>
      <c r="U1140" t="s">
        <v>207</v>
      </c>
      <c r="V1140" t="s">
        <v>207</v>
      </c>
      <c r="W1140" t="s">
        <v>207</v>
      </c>
      <c r="X1140" t="s">
        <v>207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210</v>
      </c>
      <c r="BA1140">
        <v>4503013753.1957998</v>
      </c>
      <c r="BB1140" t="s">
        <v>4572</v>
      </c>
      <c r="BC1140" t="s">
        <v>4536</v>
      </c>
    </row>
    <row r="1141" spans="1:55" x14ac:dyDescent="0.25">
      <c r="A1141">
        <v>969</v>
      </c>
      <c r="B1141" t="s">
        <v>1318</v>
      </c>
      <c r="C1141" t="s">
        <v>2753</v>
      </c>
      <c r="D1141" t="s">
        <v>4188</v>
      </c>
      <c r="E1141" t="s">
        <v>94</v>
      </c>
      <c r="F1141">
        <v>406998170</v>
      </c>
      <c r="G1141">
        <v>32.353659999999998</v>
      </c>
      <c r="H1141" t="s">
        <v>102</v>
      </c>
      <c r="I1141">
        <v>13167880412.8022</v>
      </c>
      <c r="J1141" t="s">
        <v>205</v>
      </c>
      <c r="K1141">
        <v>10438975.0685005</v>
      </c>
      <c r="L1141">
        <v>0.5</v>
      </c>
      <c r="M1141" t="s">
        <v>4536</v>
      </c>
      <c r="O1141" t="s">
        <v>207</v>
      </c>
      <c r="Q1141" t="s">
        <v>207</v>
      </c>
      <c r="R1141" t="s">
        <v>207</v>
      </c>
      <c r="S1141" t="s">
        <v>207</v>
      </c>
      <c r="T1141" t="s">
        <v>207</v>
      </c>
      <c r="U1141" t="s">
        <v>207</v>
      </c>
      <c r="V1141" t="s">
        <v>207</v>
      </c>
      <c r="W1141" t="s">
        <v>207</v>
      </c>
      <c r="X1141" t="s">
        <v>207</v>
      </c>
      <c r="AK1141">
        <v>6.0000000000000001E-3</v>
      </c>
      <c r="AL1141">
        <v>0.1</v>
      </c>
      <c r="AM1141">
        <v>0</v>
      </c>
      <c r="AN1141" t="s">
        <v>4567</v>
      </c>
      <c r="AO1141" t="s">
        <v>4568</v>
      </c>
      <c r="AQ1141">
        <v>0</v>
      </c>
      <c r="AR1141">
        <v>0</v>
      </c>
      <c r="AW1141">
        <v>5020</v>
      </c>
      <c r="AX1141">
        <v>2.08</v>
      </c>
      <c r="AY1141" t="s">
        <v>210</v>
      </c>
      <c r="BA1141">
        <v>6583940206.4010992</v>
      </c>
      <c r="BB1141" t="s">
        <v>4572</v>
      </c>
      <c r="BC1141" t="s">
        <v>4599</v>
      </c>
    </row>
    <row r="1142" spans="1:55" x14ac:dyDescent="0.25">
      <c r="A1142">
        <v>745</v>
      </c>
      <c r="B1142" t="s">
        <v>1319</v>
      </c>
      <c r="C1142" t="s">
        <v>2754</v>
      </c>
      <c r="D1142" t="s">
        <v>4189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19375894493.438999</v>
      </c>
      <c r="J1142" t="s">
        <v>204</v>
      </c>
      <c r="K1142">
        <v>41476567.172172703</v>
      </c>
      <c r="L1142">
        <v>0.8</v>
      </c>
      <c r="O1142" t="s">
        <v>207</v>
      </c>
      <c r="Q1142" t="s">
        <v>207</v>
      </c>
      <c r="R1142" t="s">
        <v>207</v>
      </c>
      <c r="S1142" t="s">
        <v>207</v>
      </c>
      <c r="T1142" t="s">
        <v>207</v>
      </c>
      <c r="U1142" t="s">
        <v>207</v>
      </c>
      <c r="V1142" t="s">
        <v>207</v>
      </c>
      <c r="W1142" t="s">
        <v>207</v>
      </c>
      <c r="X1142" t="s">
        <v>207</v>
      </c>
      <c r="AG1142" t="s">
        <v>4546</v>
      </c>
      <c r="AH1142" t="s">
        <v>4563</v>
      </c>
      <c r="AI1142" t="s">
        <v>4565</v>
      </c>
      <c r="AJ1142" t="s">
        <v>4566</v>
      </c>
      <c r="AK1142">
        <v>0.05</v>
      </c>
      <c r="AL1142">
        <v>0.2</v>
      </c>
      <c r="AM1142">
        <v>0</v>
      </c>
      <c r="AN1142" t="s">
        <v>4567</v>
      </c>
      <c r="AO1142" t="s">
        <v>4568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209</v>
      </c>
      <c r="BA1142">
        <v>15500715594.7512</v>
      </c>
      <c r="BB1142" t="s">
        <v>4572</v>
      </c>
      <c r="BC1142" t="s">
        <v>4651</v>
      </c>
    </row>
    <row r="1143" spans="1:55" x14ac:dyDescent="0.25">
      <c r="A1143">
        <v>49</v>
      </c>
      <c r="B1143" t="s">
        <v>1320</v>
      </c>
      <c r="C1143" t="s">
        <v>2755</v>
      </c>
      <c r="D1143" t="s">
        <v>4190</v>
      </c>
      <c r="E1143" t="s">
        <v>96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203</v>
      </c>
      <c r="K1143">
        <v>190001348.08571401</v>
      </c>
      <c r="L1143">
        <v>1</v>
      </c>
      <c r="O1143" t="s">
        <v>4538</v>
      </c>
      <c r="P1143" t="s">
        <v>4540</v>
      </c>
      <c r="Q1143" t="s">
        <v>207</v>
      </c>
      <c r="R1143" t="s">
        <v>207</v>
      </c>
      <c r="S1143" t="s">
        <v>207</v>
      </c>
      <c r="T1143" t="s">
        <v>207</v>
      </c>
      <c r="U1143" t="s">
        <v>207</v>
      </c>
      <c r="V1143" t="s">
        <v>207</v>
      </c>
      <c r="W1143" t="s">
        <v>207</v>
      </c>
      <c r="X1143" t="s">
        <v>207</v>
      </c>
      <c r="AG1143" t="s">
        <v>4546</v>
      </c>
      <c r="AH1143" t="s">
        <v>4564</v>
      </c>
      <c r="AI1143" t="s">
        <v>4565</v>
      </c>
      <c r="AJ1143" t="s">
        <v>4566</v>
      </c>
      <c r="AK1143">
        <v>0</v>
      </c>
      <c r="AL1143">
        <v>1</v>
      </c>
      <c r="AM1143">
        <v>0</v>
      </c>
      <c r="AO1143" t="s">
        <v>4568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209</v>
      </c>
      <c r="AZ1143" t="s">
        <v>4571</v>
      </c>
      <c r="BA1143">
        <v>196628826885.48999</v>
      </c>
      <c r="BB1143" t="s">
        <v>4572</v>
      </c>
      <c r="BC1143" t="s">
        <v>4652</v>
      </c>
    </row>
    <row r="1144" spans="1:55" x14ac:dyDescent="0.25">
      <c r="A1144">
        <v>1003</v>
      </c>
      <c r="B1144" t="s">
        <v>1321</v>
      </c>
      <c r="C1144" t="s">
        <v>2756</v>
      </c>
      <c r="D1144" t="s">
        <v>4191</v>
      </c>
      <c r="E1144" t="s">
        <v>4518</v>
      </c>
      <c r="F1144">
        <v>1503222400</v>
      </c>
      <c r="G1144">
        <v>7.2637830000000001</v>
      </c>
      <c r="H1144" t="s">
        <v>4529</v>
      </c>
      <c r="I1144">
        <v>10919081314.339199</v>
      </c>
      <c r="J1144" t="s">
        <v>205</v>
      </c>
      <c r="K1144">
        <v>33349818.3342904</v>
      </c>
      <c r="L1144">
        <v>0.55000000000000004</v>
      </c>
      <c r="M1144" t="s">
        <v>4536</v>
      </c>
      <c r="O1144" t="s">
        <v>207</v>
      </c>
      <c r="Q1144" t="s">
        <v>207</v>
      </c>
      <c r="R1144" t="s">
        <v>207</v>
      </c>
      <c r="S1144" t="s">
        <v>207</v>
      </c>
      <c r="T1144" t="s">
        <v>207</v>
      </c>
      <c r="U1144" t="s">
        <v>207</v>
      </c>
      <c r="V1144" t="s">
        <v>207</v>
      </c>
      <c r="W1144" t="s">
        <v>207</v>
      </c>
      <c r="X1144" t="s">
        <v>207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210</v>
      </c>
      <c r="BA1144">
        <v>6005494722.8865614</v>
      </c>
      <c r="BB1144" t="s">
        <v>4572</v>
      </c>
      <c r="BC1144" t="s">
        <v>4536</v>
      </c>
    </row>
    <row r="1145" spans="1:55" x14ac:dyDescent="0.25">
      <c r="A1145">
        <v>168</v>
      </c>
      <c r="B1145" t="s">
        <v>1322</v>
      </c>
      <c r="C1145" t="s">
        <v>2757</v>
      </c>
      <c r="D1145" t="s">
        <v>4192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202</v>
      </c>
      <c r="K1145">
        <v>561905641.13179505</v>
      </c>
      <c r="L1145">
        <v>0.9</v>
      </c>
      <c r="M1145" t="s">
        <v>4536</v>
      </c>
      <c r="O1145" t="s">
        <v>207</v>
      </c>
      <c r="Q1145" t="s">
        <v>207</v>
      </c>
      <c r="R1145" t="s">
        <v>207</v>
      </c>
      <c r="S1145" t="s">
        <v>207</v>
      </c>
      <c r="T1145" t="s">
        <v>207</v>
      </c>
      <c r="U1145" t="s">
        <v>207</v>
      </c>
      <c r="V1145" t="s">
        <v>207</v>
      </c>
      <c r="W1145" t="s">
        <v>207</v>
      </c>
      <c r="X1145" t="s">
        <v>207</v>
      </c>
      <c r="AG1145" t="s">
        <v>4546</v>
      </c>
      <c r="AH1145" t="s">
        <v>4564</v>
      </c>
      <c r="AI1145" t="s">
        <v>4565</v>
      </c>
      <c r="AJ1145" t="s">
        <v>4566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208</v>
      </c>
      <c r="BA1145">
        <v>74558867059.814407</v>
      </c>
      <c r="BB1145" t="s">
        <v>4572</v>
      </c>
      <c r="BC1145" t="s">
        <v>4578</v>
      </c>
    </row>
    <row r="1146" spans="1:55" x14ac:dyDescent="0.25">
      <c r="A1146">
        <v>941</v>
      </c>
      <c r="B1146" t="s">
        <v>1323</v>
      </c>
      <c r="C1146" t="s">
        <v>2758</v>
      </c>
      <c r="D1146" t="s">
        <v>4193</v>
      </c>
      <c r="E1146" t="s">
        <v>93</v>
      </c>
      <c r="F1146">
        <v>296070250</v>
      </c>
      <c r="G1146">
        <v>25.306180000000001</v>
      </c>
      <c r="H1146" t="s">
        <v>101</v>
      </c>
      <c r="I1146">
        <v>7492407039.1450005</v>
      </c>
      <c r="J1146" t="s">
        <v>205</v>
      </c>
      <c r="K1146">
        <v>16287991.6252019</v>
      </c>
      <c r="L1146">
        <v>0.95</v>
      </c>
      <c r="M1146" t="s">
        <v>4536</v>
      </c>
      <c r="O1146" t="s">
        <v>207</v>
      </c>
      <c r="Q1146" t="s">
        <v>207</v>
      </c>
      <c r="R1146" t="s">
        <v>207</v>
      </c>
      <c r="S1146" t="s">
        <v>207</v>
      </c>
      <c r="T1146" t="s">
        <v>207</v>
      </c>
      <c r="U1146" t="s">
        <v>207</v>
      </c>
      <c r="V1146" t="s">
        <v>207</v>
      </c>
      <c r="W1146" t="s">
        <v>207</v>
      </c>
      <c r="X1146" t="s">
        <v>207</v>
      </c>
      <c r="AG1146" t="s">
        <v>4546</v>
      </c>
      <c r="AH1146" t="s">
        <v>4562</v>
      </c>
      <c r="AI1146" t="s">
        <v>4565</v>
      </c>
      <c r="AJ1146" t="s">
        <v>4566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210</v>
      </c>
      <c r="BA1146">
        <v>7117786687.1877499</v>
      </c>
      <c r="BB1146" t="s">
        <v>4572</v>
      </c>
      <c r="BC1146" t="s">
        <v>4578</v>
      </c>
    </row>
    <row r="1147" spans="1:55" x14ac:dyDescent="0.25">
      <c r="A1147">
        <v>1332</v>
      </c>
      <c r="B1147" t="s">
        <v>1324</v>
      </c>
      <c r="C1147" t="s">
        <v>2759</v>
      </c>
      <c r="D1147" t="s">
        <v>4194</v>
      </c>
      <c r="E1147" t="s">
        <v>93</v>
      </c>
      <c r="F1147">
        <v>73826600</v>
      </c>
      <c r="G1147">
        <v>56.892530000000001</v>
      </c>
      <c r="H1147" t="s">
        <v>101</v>
      </c>
      <c r="I1147">
        <v>4200182055.2979999</v>
      </c>
      <c r="J1147" t="s">
        <v>205</v>
      </c>
      <c r="K1147">
        <v>15498445.454228001</v>
      </c>
      <c r="L1147">
        <v>0.7</v>
      </c>
      <c r="M1147" t="s">
        <v>4536</v>
      </c>
      <c r="O1147" t="s">
        <v>207</v>
      </c>
      <c r="Q1147" t="s">
        <v>207</v>
      </c>
      <c r="R1147" t="s">
        <v>207</v>
      </c>
      <c r="S1147" t="s">
        <v>207</v>
      </c>
      <c r="T1147" t="s">
        <v>207</v>
      </c>
      <c r="U1147" t="s">
        <v>207</v>
      </c>
      <c r="V1147" t="s">
        <v>207</v>
      </c>
      <c r="W1147" t="s">
        <v>207</v>
      </c>
      <c r="X1147" t="s">
        <v>207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210</v>
      </c>
      <c r="BA1147">
        <v>2940127438.7086</v>
      </c>
      <c r="BB1147" t="s">
        <v>4572</v>
      </c>
      <c r="BC1147" t="s">
        <v>4536</v>
      </c>
    </row>
    <row r="1148" spans="1:55" x14ac:dyDescent="0.25">
      <c r="A1148">
        <v>823</v>
      </c>
      <c r="B1148" t="s">
        <v>1325</v>
      </c>
      <c r="C1148" t="s">
        <v>2760</v>
      </c>
      <c r="D1148" t="s">
        <v>4195</v>
      </c>
      <c r="E1148" t="s">
        <v>93</v>
      </c>
      <c r="F1148">
        <v>89120000</v>
      </c>
      <c r="G1148">
        <v>129.05699999999999</v>
      </c>
      <c r="H1148" t="s">
        <v>101</v>
      </c>
      <c r="I1148">
        <v>11501559840</v>
      </c>
      <c r="J1148" t="s">
        <v>205</v>
      </c>
      <c r="K1148">
        <v>34694746.163458101</v>
      </c>
      <c r="L1148">
        <v>0.9</v>
      </c>
      <c r="M1148" t="s">
        <v>4536</v>
      </c>
      <c r="O1148" t="s">
        <v>207</v>
      </c>
      <c r="Q1148" t="s">
        <v>207</v>
      </c>
      <c r="R1148" t="s">
        <v>207</v>
      </c>
      <c r="S1148" t="s">
        <v>207</v>
      </c>
      <c r="T1148" t="s">
        <v>207</v>
      </c>
      <c r="U1148" t="s">
        <v>207</v>
      </c>
      <c r="V1148" t="s">
        <v>207</v>
      </c>
      <c r="W1148" t="s">
        <v>207</v>
      </c>
      <c r="X1148" t="s">
        <v>207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210</v>
      </c>
      <c r="AZ1148" t="s">
        <v>4571</v>
      </c>
      <c r="BA1148">
        <v>10351403856</v>
      </c>
      <c r="BB1148" t="s">
        <v>4572</v>
      </c>
      <c r="BC1148" t="s">
        <v>4577</v>
      </c>
    </row>
    <row r="1149" spans="1:55" x14ac:dyDescent="0.25">
      <c r="A1149">
        <v>1050</v>
      </c>
      <c r="B1149" t="s">
        <v>1326</v>
      </c>
      <c r="C1149" t="s">
        <v>2761</v>
      </c>
      <c r="D1149" t="s">
        <v>4196</v>
      </c>
      <c r="E1149" t="s">
        <v>93</v>
      </c>
      <c r="F1149">
        <v>716689400</v>
      </c>
      <c r="G1149">
        <v>8.9789919999999999</v>
      </c>
      <c r="H1149" t="s">
        <v>101</v>
      </c>
      <c r="I1149">
        <v>6435148389.0847998</v>
      </c>
      <c r="J1149" t="s">
        <v>205</v>
      </c>
      <c r="K1149">
        <v>24096497.849842701</v>
      </c>
      <c r="L1149">
        <v>0.85</v>
      </c>
      <c r="M1149" t="s">
        <v>4536</v>
      </c>
      <c r="O1149" t="s">
        <v>207</v>
      </c>
      <c r="Q1149" t="s">
        <v>207</v>
      </c>
      <c r="R1149" t="s">
        <v>207</v>
      </c>
      <c r="S1149" t="s">
        <v>207</v>
      </c>
      <c r="T1149" t="s">
        <v>207</v>
      </c>
      <c r="U1149" t="s">
        <v>207</v>
      </c>
      <c r="V1149" t="s">
        <v>207</v>
      </c>
      <c r="W1149" t="s">
        <v>207</v>
      </c>
      <c r="X1149" t="s">
        <v>207</v>
      </c>
      <c r="AL1149">
        <v>0.05</v>
      </c>
      <c r="AO1149" t="s">
        <v>4568</v>
      </c>
      <c r="AQ1149">
        <v>0</v>
      </c>
      <c r="AR1149">
        <v>0</v>
      </c>
      <c r="AW1149">
        <v>5010</v>
      </c>
      <c r="AX1149">
        <v>1.839</v>
      </c>
      <c r="AY1149" t="s">
        <v>210</v>
      </c>
      <c r="BA1149">
        <v>5469876130.7220793</v>
      </c>
      <c r="BB1149" t="s">
        <v>4572</v>
      </c>
      <c r="BC1149" t="s">
        <v>4582</v>
      </c>
    </row>
    <row r="1150" spans="1:55" x14ac:dyDescent="0.25">
      <c r="A1150">
        <v>224</v>
      </c>
      <c r="B1150" t="s">
        <v>1327</v>
      </c>
      <c r="C1150" t="s">
        <v>2762</v>
      </c>
      <c r="D1150" t="s">
        <v>4197</v>
      </c>
      <c r="E1150" t="s">
        <v>93</v>
      </c>
      <c r="F1150">
        <v>1984995800</v>
      </c>
      <c r="G1150">
        <v>29.968350000000001</v>
      </c>
      <c r="H1150" t="s">
        <v>101</v>
      </c>
      <c r="I1150">
        <v>59487048882.93</v>
      </c>
      <c r="J1150" t="s">
        <v>205</v>
      </c>
      <c r="K1150">
        <v>177024619.19328001</v>
      </c>
      <c r="L1150">
        <v>1</v>
      </c>
      <c r="M1150" t="s">
        <v>4536</v>
      </c>
      <c r="O1150" t="s">
        <v>207</v>
      </c>
      <c r="Q1150" t="s">
        <v>207</v>
      </c>
      <c r="R1150" t="s">
        <v>207</v>
      </c>
      <c r="S1150" t="s">
        <v>207</v>
      </c>
      <c r="T1150" t="s">
        <v>207</v>
      </c>
      <c r="U1150" t="s">
        <v>207</v>
      </c>
      <c r="V1150" t="s">
        <v>207</v>
      </c>
      <c r="W1150" t="s">
        <v>207</v>
      </c>
      <c r="X1150" t="s">
        <v>207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210</v>
      </c>
      <c r="BA1150">
        <v>59487048882.93</v>
      </c>
      <c r="BB1150" t="s">
        <v>4572</v>
      </c>
      <c r="BC1150" t="s">
        <v>4536</v>
      </c>
    </row>
    <row r="1151" spans="1:55" x14ac:dyDescent="0.25">
      <c r="A1151">
        <v>1394</v>
      </c>
      <c r="B1151" t="s">
        <v>1328</v>
      </c>
      <c r="C1151" t="s">
        <v>2763</v>
      </c>
      <c r="D1151" t="s">
        <v>4198</v>
      </c>
      <c r="E1151" t="s">
        <v>93</v>
      </c>
      <c r="F1151">
        <v>135171940</v>
      </c>
      <c r="G1151">
        <v>37.751420000000003</v>
      </c>
      <c r="H1151" t="s">
        <v>101</v>
      </c>
      <c r="I1151">
        <v>5102932679.1548004</v>
      </c>
      <c r="J1151" t="s">
        <v>205</v>
      </c>
      <c r="K1151">
        <v>47614202.763952598</v>
      </c>
      <c r="L1151">
        <v>0.5</v>
      </c>
      <c r="M1151" t="s">
        <v>4536</v>
      </c>
      <c r="O1151" t="s">
        <v>207</v>
      </c>
      <c r="Q1151" t="s">
        <v>207</v>
      </c>
      <c r="R1151" t="s">
        <v>207</v>
      </c>
      <c r="S1151" t="s">
        <v>207</v>
      </c>
      <c r="T1151" t="s">
        <v>207</v>
      </c>
      <c r="U1151" t="s">
        <v>207</v>
      </c>
      <c r="V1151" t="s">
        <v>207</v>
      </c>
      <c r="W1151" t="s">
        <v>207</v>
      </c>
      <c r="X1151" t="s">
        <v>207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210</v>
      </c>
      <c r="BA1151">
        <v>2551466339.5774002</v>
      </c>
      <c r="BB1151" t="s">
        <v>4572</v>
      </c>
      <c r="BC1151" t="s">
        <v>4536</v>
      </c>
    </row>
    <row r="1152" spans="1:55" x14ac:dyDescent="0.25">
      <c r="A1152">
        <v>792</v>
      </c>
      <c r="B1152" t="s">
        <v>1329</v>
      </c>
      <c r="C1152" t="s">
        <v>2764</v>
      </c>
      <c r="D1152" t="s">
        <v>4199</v>
      </c>
      <c r="E1152" t="s">
        <v>93</v>
      </c>
      <c r="F1152">
        <v>889632200</v>
      </c>
      <c r="G1152">
        <v>14.437379999999999</v>
      </c>
      <c r="H1152" t="s">
        <v>101</v>
      </c>
      <c r="I1152">
        <v>12843958131.636</v>
      </c>
      <c r="J1152" t="s">
        <v>205</v>
      </c>
      <c r="K1152">
        <v>28161820.8730754</v>
      </c>
      <c r="L1152">
        <v>0.95</v>
      </c>
      <c r="M1152" t="s">
        <v>4536</v>
      </c>
      <c r="O1152" t="s">
        <v>207</v>
      </c>
      <c r="Q1152" t="s">
        <v>207</v>
      </c>
      <c r="R1152" t="s">
        <v>207</v>
      </c>
      <c r="S1152" t="s">
        <v>207</v>
      </c>
      <c r="T1152" t="s">
        <v>207</v>
      </c>
      <c r="U1152" t="s">
        <v>207</v>
      </c>
      <c r="V1152" t="s">
        <v>207</v>
      </c>
      <c r="W1152" t="s">
        <v>207</v>
      </c>
      <c r="X1152" t="s">
        <v>207</v>
      </c>
      <c r="AG1152" t="s">
        <v>4546</v>
      </c>
      <c r="AH1152" t="s">
        <v>4562</v>
      </c>
      <c r="AI1152" t="s">
        <v>4565</v>
      </c>
      <c r="AJ1152" t="s">
        <v>4566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210</v>
      </c>
      <c r="BA1152">
        <v>12201760225.054199</v>
      </c>
      <c r="BB1152" t="s">
        <v>4572</v>
      </c>
      <c r="BC1152" t="s">
        <v>4578</v>
      </c>
    </row>
    <row r="1153" spans="1:55" x14ac:dyDescent="0.25">
      <c r="A1153">
        <v>972</v>
      </c>
      <c r="B1153" t="s">
        <v>1330</v>
      </c>
      <c r="C1153" t="s">
        <v>2765</v>
      </c>
      <c r="D1153" t="s">
        <v>4200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205</v>
      </c>
      <c r="K1153">
        <v>71656608.966314107</v>
      </c>
      <c r="L1153">
        <v>0.95</v>
      </c>
      <c r="M1153" t="s">
        <v>4536</v>
      </c>
      <c r="O1153" t="s">
        <v>207</v>
      </c>
      <c r="Q1153" t="s">
        <v>207</v>
      </c>
      <c r="R1153" t="s">
        <v>207</v>
      </c>
      <c r="S1153" t="s">
        <v>207</v>
      </c>
      <c r="T1153" t="s">
        <v>207</v>
      </c>
      <c r="U1153" t="s">
        <v>207</v>
      </c>
      <c r="V1153" t="s">
        <v>207</v>
      </c>
      <c r="W1153" t="s">
        <v>207</v>
      </c>
      <c r="X1153" t="s">
        <v>207</v>
      </c>
      <c r="AG1153" t="s">
        <v>4546</v>
      </c>
      <c r="AH1153" t="s">
        <v>4564</v>
      </c>
      <c r="AI1153" t="s">
        <v>4565</v>
      </c>
      <c r="AJ1153" t="s">
        <v>4566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210</v>
      </c>
      <c r="BA1153">
        <v>6538485200</v>
      </c>
      <c r="BB1153" t="s">
        <v>4572</v>
      </c>
      <c r="BC1153" t="s">
        <v>4578</v>
      </c>
    </row>
    <row r="1154" spans="1:55" x14ac:dyDescent="0.25">
      <c r="A1154">
        <v>1072</v>
      </c>
      <c r="B1154" t="s">
        <v>1331</v>
      </c>
      <c r="C1154" t="s">
        <v>2766</v>
      </c>
      <c r="D1154" t="s">
        <v>4201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205</v>
      </c>
      <c r="K1154">
        <v>26329798.517912298</v>
      </c>
      <c r="L1154">
        <v>0.85</v>
      </c>
      <c r="M1154" t="s">
        <v>4536</v>
      </c>
      <c r="O1154" t="s">
        <v>207</v>
      </c>
      <c r="Q1154" t="s">
        <v>207</v>
      </c>
      <c r="R1154" t="s">
        <v>207</v>
      </c>
      <c r="S1154" t="s">
        <v>207</v>
      </c>
      <c r="T1154" t="s">
        <v>207</v>
      </c>
      <c r="U1154" t="s">
        <v>207</v>
      </c>
      <c r="V1154" t="s">
        <v>207</v>
      </c>
      <c r="W1154" t="s">
        <v>207</v>
      </c>
      <c r="X1154" t="s">
        <v>207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210</v>
      </c>
      <c r="BA1154">
        <v>5052037443.6061001</v>
      </c>
      <c r="BB1154" t="s">
        <v>4572</v>
      </c>
      <c r="BC1154" t="s">
        <v>4536</v>
      </c>
    </row>
    <row r="1155" spans="1:55" x14ac:dyDescent="0.25">
      <c r="A1155">
        <v>84</v>
      </c>
      <c r="B1155" t="s">
        <v>1332</v>
      </c>
      <c r="C1155" t="s">
        <v>2767</v>
      </c>
      <c r="D1155" t="s">
        <v>4202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202</v>
      </c>
      <c r="K1155">
        <v>807314078.26674104</v>
      </c>
      <c r="L1155">
        <v>1</v>
      </c>
      <c r="M1155" t="s">
        <v>4536</v>
      </c>
      <c r="O1155" t="s">
        <v>207</v>
      </c>
      <c r="Q1155" t="s">
        <v>207</v>
      </c>
      <c r="R1155" t="s">
        <v>207</v>
      </c>
      <c r="S1155" t="s">
        <v>207</v>
      </c>
      <c r="T1155" t="s">
        <v>207</v>
      </c>
      <c r="U1155" t="s">
        <v>207</v>
      </c>
      <c r="V1155" t="s">
        <v>207</v>
      </c>
      <c r="W1155" t="s">
        <v>207</v>
      </c>
      <c r="X1155" t="s">
        <v>207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208</v>
      </c>
      <c r="AZ1155" t="s">
        <v>4571</v>
      </c>
      <c r="BA1155">
        <v>134353293315.48</v>
      </c>
      <c r="BB1155" t="s">
        <v>4572</v>
      </c>
      <c r="BC1155" t="s">
        <v>4577</v>
      </c>
    </row>
    <row r="1156" spans="1:55" x14ac:dyDescent="0.25">
      <c r="A1156">
        <v>1147</v>
      </c>
      <c r="B1156" t="s">
        <v>1333</v>
      </c>
      <c r="C1156" t="s">
        <v>2768</v>
      </c>
      <c r="D1156" t="s">
        <v>4203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4170670477.4980001</v>
      </c>
      <c r="J1156" t="s">
        <v>205</v>
      </c>
      <c r="K1156">
        <v>29684673.8215876</v>
      </c>
      <c r="L1156">
        <v>1</v>
      </c>
      <c r="M1156" t="s">
        <v>4536</v>
      </c>
      <c r="O1156" t="s">
        <v>207</v>
      </c>
      <c r="Q1156" t="s">
        <v>207</v>
      </c>
      <c r="R1156" t="s">
        <v>207</v>
      </c>
      <c r="S1156" t="s">
        <v>207</v>
      </c>
      <c r="T1156" t="s">
        <v>207</v>
      </c>
      <c r="U1156" t="s">
        <v>207</v>
      </c>
      <c r="V1156" t="s">
        <v>207</v>
      </c>
      <c r="W1156" t="s">
        <v>207</v>
      </c>
      <c r="X1156" t="s">
        <v>207</v>
      </c>
      <c r="AG1156" t="s">
        <v>4546</v>
      </c>
      <c r="AH1156" t="s">
        <v>4564</v>
      </c>
      <c r="AI1156" t="s">
        <v>4565</v>
      </c>
      <c r="AJ1156" t="s">
        <v>4566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210</v>
      </c>
      <c r="BA1156">
        <v>4170670477.4980001</v>
      </c>
      <c r="BB1156" t="s">
        <v>4572</v>
      </c>
      <c r="BC1156" t="s">
        <v>4578</v>
      </c>
    </row>
    <row r="1157" spans="1:55" x14ac:dyDescent="0.25">
      <c r="A1157">
        <v>1106</v>
      </c>
      <c r="B1157" t="s">
        <v>1334</v>
      </c>
      <c r="C1157" t="s">
        <v>2769</v>
      </c>
      <c r="D1157" t="s">
        <v>4204</v>
      </c>
      <c r="E1157" t="s">
        <v>95</v>
      </c>
      <c r="F1157">
        <v>4513000</v>
      </c>
      <c r="G1157">
        <v>1059.0340000000001</v>
      </c>
      <c r="H1157" t="s">
        <v>103</v>
      </c>
      <c r="I1157">
        <v>4779420442</v>
      </c>
      <c r="J1157" t="s">
        <v>204</v>
      </c>
      <c r="K1157">
        <v>8836214.8853714094</v>
      </c>
      <c r="L1157">
        <v>0.95</v>
      </c>
      <c r="M1157" t="s">
        <v>4536</v>
      </c>
      <c r="N1157" t="s">
        <v>4537</v>
      </c>
      <c r="O1157" t="s">
        <v>207</v>
      </c>
      <c r="Q1157" t="s">
        <v>207</v>
      </c>
      <c r="R1157" t="s">
        <v>207</v>
      </c>
      <c r="S1157" t="s">
        <v>207</v>
      </c>
      <c r="T1157" t="s">
        <v>207</v>
      </c>
      <c r="U1157" t="s">
        <v>207</v>
      </c>
      <c r="V1157" t="s">
        <v>207</v>
      </c>
      <c r="W1157" t="s">
        <v>207</v>
      </c>
      <c r="X1157" t="s">
        <v>207</v>
      </c>
      <c r="AG1157" t="s">
        <v>4546</v>
      </c>
      <c r="AH1157" t="s">
        <v>4562</v>
      </c>
      <c r="AI1157" t="s">
        <v>4565</v>
      </c>
      <c r="AJ1157" t="s">
        <v>4566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209</v>
      </c>
      <c r="BA1157">
        <v>4540449419.8999996</v>
      </c>
      <c r="BB1157" t="s">
        <v>4572</v>
      </c>
      <c r="BC1157" t="s">
        <v>4592</v>
      </c>
    </row>
    <row r="1158" spans="1:55" x14ac:dyDescent="0.25">
      <c r="A1158">
        <v>61</v>
      </c>
      <c r="B1158" t="s">
        <v>1335</v>
      </c>
      <c r="C1158" t="s">
        <v>2770</v>
      </c>
      <c r="D1158" t="s">
        <v>4205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203</v>
      </c>
      <c r="K1158">
        <v>252550062.46221301</v>
      </c>
      <c r="L1158">
        <v>0.95</v>
      </c>
      <c r="O1158" t="s">
        <v>207</v>
      </c>
      <c r="Q1158" t="s">
        <v>207</v>
      </c>
      <c r="R1158" t="s">
        <v>207</v>
      </c>
      <c r="S1158" t="s">
        <v>207</v>
      </c>
      <c r="T1158" t="s">
        <v>207</v>
      </c>
      <c r="U1158" t="s">
        <v>207</v>
      </c>
      <c r="V1158" t="s">
        <v>207</v>
      </c>
      <c r="W1158" t="s">
        <v>207</v>
      </c>
      <c r="X1158" t="s">
        <v>207</v>
      </c>
      <c r="AG1158" t="s">
        <v>4546</v>
      </c>
      <c r="AH1158" t="s">
        <v>4562</v>
      </c>
      <c r="AI1158" t="s">
        <v>4565</v>
      </c>
      <c r="AJ1158" t="s">
        <v>4566</v>
      </c>
      <c r="AK1158">
        <v>0</v>
      </c>
      <c r="AL1158">
        <v>0.05</v>
      </c>
      <c r="AM1158">
        <v>0</v>
      </c>
      <c r="AO1158" t="s">
        <v>4568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209</v>
      </c>
      <c r="BA1158">
        <v>168302000000</v>
      </c>
      <c r="BB1158" t="s">
        <v>4572</v>
      </c>
      <c r="BC1158" t="s">
        <v>4573</v>
      </c>
    </row>
    <row r="1159" spans="1:55" x14ac:dyDescent="0.25">
      <c r="A1159">
        <v>358</v>
      </c>
      <c r="B1159" t="s">
        <v>1336</v>
      </c>
      <c r="C1159" t="s">
        <v>2771</v>
      </c>
      <c r="D1159" t="s">
        <v>4206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203</v>
      </c>
      <c r="K1159">
        <v>189374217.87696701</v>
      </c>
      <c r="L1159">
        <v>0.85</v>
      </c>
      <c r="M1159" t="s">
        <v>4536</v>
      </c>
      <c r="O1159" t="s">
        <v>207</v>
      </c>
      <c r="Q1159" t="s">
        <v>207</v>
      </c>
      <c r="R1159" t="s">
        <v>207</v>
      </c>
      <c r="S1159" t="s">
        <v>207</v>
      </c>
      <c r="T1159" t="s">
        <v>207</v>
      </c>
      <c r="U1159" t="s">
        <v>207</v>
      </c>
      <c r="V1159" t="s">
        <v>207</v>
      </c>
      <c r="W1159" t="s">
        <v>207</v>
      </c>
      <c r="X1159" t="s">
        <v>207</v>
      </c>
      <c r="AK1159">
        <v>0</v>
      </c>
      <c r="AL1159">
        <v>0.39</v>
      </c>
      <c r="AM1159">
        <v>0</v>
      </c>
      <c r="AO1159" t="s">
        <v>4568</v>
      </c>
      <c r="AQ1159">
        <v>0</v>
      </c>
      <c r="AR1159">
        <v>0</v>
      </c>
      <c r="AW1159">
        <v>6010</v>
      </c>
      <c r="AX1159">
        <v>2.7650000000000001</v>
      </c>
      <c r="AY1159" t="s">
        <v>209</v>
      </c>
      <c r="BA1159">
        <v>39378791680.199997</v>
      </c>
      <c r="BB1159" t="s">
        <v>4572</v>
      </c>
      <c r="BC1159" t="s">
        <v>4582</v>
      </c>
    </row>
    <row r="1160" spans="1:55" x14ac:dyDescent="0.25">
      <c r="A1160">
        <v>741</v>
      </c>
      <c r="B1160" t="s">
        <v>1337</v>
      </c>
      <c r="C1160" t="s">
        <v>2772</v>
      </c>
      <c r="D1160" t="s">
        <v>4207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203</v>
      </c>
      <c r="K1160">
        <v>37144508.143114701</v>
      </c>
      <c r="L1160">
        <v>0.25</v>
      </c>
      <c r="M1160" t="s">
        <v>4536</v>
      </c>
      <c r="O1160" t="s">
        <v>207</v>
      </c>
      <c r="Q1160" t="s">
        <v>207</v>
      </c>
      <c r="R1160" t="s">
        <v>207</v>
      </c>
      <c r="S1160" t="s">
        <v>207</v>
      </c>
      <c r="T1160" t="s">
        <v>207</v>
      </c>
      <c r="U1160" t="s">
        <v>207</v>
      </c>
      <c r="V1160" t="s">
        <v>207</v>
      </c>
      <c r="W1160" t="s">
        <v>207</v>
      </c>
      <c r="X1160" t="s">
        <v>207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209</v>
      </c>
      <c r="BA1160">
        <v>15718680000</v>
      </c>
      <c r="BB1160" t="s">
        <v>4572</v>
      </c>
      <c r="BC1160" t="s">
        <v>4536</v>
      </c>
    </row>
    <row r="1161" spans="1:55" x14ac:dyDescent="0.25">
      <c r="A1161">
        <v>963</v>
      </c>
      <c r="B1161" t="s">
        <v>1338</v>
      </c>
      <c r="C1161" t="s">
        <v>2773</v>
      </c>
      <c r="D1161" t="s">
        <v>4208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8373154100.6364002</v>
      </c>
      <c r="J1161" t="s">
        <v>204</v>
      </c>
      <c r="K1161">
        <v>13951048.151531501</v>
      </c>
      <c r="L1161">
        <v>0.8</v>
      </c>
      <c r="M1161" t="s">
        <v>4536</v>
      </c>
      <c r="O1161" t="s">
        <v>207</v>
      </c>
      <c r="Q1161" t="s">
        <v>207</v>
      </c>
      <c r="R1161" t="s">
        <v>207</v>
      </c>
      <c r="S1161" t="s">
        <v>207</v>
      </c>
      <c r="T1161" t="s">
        <v>207</v>
      </c>
      <c r="U1161" t="s">
        <v>207</v>
      </c>
      <c r="V1161" t="s">
        <v>207</v>
      </c>
      <c r="W1161" t="s">
        <v>207</v>
      </c>
      <c r="X1161" t="s">
        <v>207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209</v>
      </c>
      <c r="BA1161">
        <v>6698523280.5091209</v>
      </c>
      <c r="BB1161" t="s">
        <v>4572</v>
      </c>
      <c r="BC1161" t="s">
        <v>4536</v>
      </c>
    </row>
    <row r="1162" spans="1:55" x14ac:dyDescent="0.25">
      <c r="A1162">
        <v>595</v>
      </c>
      <c r="B1162" t="s">
        <v>1339</v>
      </c>
      <c r="C1162" t="s">
        <v>2774</v>
      </c>
      <c r="D1162" t="s">
        <v>4209</v>
      </c>
      <c r="E1162" t="s">
        <v>94</v>
      </c>
      <c r="F1162">
        <v>11543685000</v>
      </c>
      <c r="G1162">
        <v>1.8231710000000001</v>
      </c>
      <c r="H1162" t="s">
        <v>102</v>
      </c>
      <c r="I1162">
        <v>21046111725.134998</v>
      </c>
      <c r="J1162" t="s">
        <v>205</v>
      </c>
      <c r="K1162">
        <v>28889728.512750998</v>
      </c>
      <c r="L1162">
        <v>1</v>
      </c>
      <c r="M1162" t="s">
        <v>4536</v>
      </c>
      <c r="O1162" t="s">
        <v>207</v>
      </c>
      <c r="Q1162" t="s">
        <v>207</v>
      </c>
      <c r="R1162" t="s">
        <v>207</v>
      </c>
      <c r="S1162" t="s">
        <v>207</v>
      </c>
      <c r="T1162" t="s">
        <v>207</v>
      </c>
      <c r="U1162" t="s">
        <v>207</v>
      </c>
      <c r="V1162" t="s">
        <v>207</v>
      </c>
      <c r="W1162" t="s">
        <v>207</v>
      </c>
      <c r="X1162" t="s">
        <v>207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210</v>
      </c>
      <c r="BA1162">
        <v>21046111725.134998</v>
      </c>
      <c r="BB1162" t="s">
        <v>4572</v>
      </c>
      <c r="BC1162" t="s">
        <v>4536</v>
      </c>
    </row>
    <row r="1163" spans="1:55" x14ac:dyDescent="0.25">
      <c r="A1163">
        <v>1406</v>
      </c>
      <c r="B1163" t="s">
        <v>1340</v>
      </c>
      <c r="C1163" t="s">
        <v>2775</v>
      </c>
      <c r="D1163" t="s">
        <v>4210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4535</v>
      </c>
      <c r="K1163">
        <v>8777313.3414285704</v>
      </c>
      <c r="L1163">
        <v>0.9</v>
      </c>
      <c r="N1163" t="s">
        <v>4537</v>
      </c>
      <c r="O1163" t="s">
        <v>207</v>
      </c>
      <c r="Q1163" t="s">
        <v>207</v>
      </c>
      <c r="R1163" t="s">
        <v>207</v>
      </c>
      <c r="S1163" t="s">
        <v>207</v>
      </c>
      <c r="T1163" t="s">
        <v>207</v>
      </c>
      <c r="U1163" t="s">
        <v>207</v>
      </c>
      <c r="V1163" t="s">
        <v>207</v>
      </c>
      <c r="W1163" t="s">
        <v>207</v>
      </c>
      <c r="X1163" t="s">
        <v>207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209</v>
      </c>
      <c r="BA1163">
        <v>2474220220.164</v>
      </c>
      <c r="BB1163" t="s">
        <v>4572</v>
      </c>
      <c r="BC1163" t="s">
        <v>4537</v>
      </c>
    </row>
    <row r="1164" spans="1:55" x14ac:dyDescent="0.25">
      <c r="A1164">
        <v>344</v>
      </c>
      <c r="B1164" t="s">
        <v>1341</v>
      </c>
      <c r="C1164" t="s">
        <v>2776</v>
      </c>
      <c r="D1164" t="s">
        <v>4211</v>
      </c>
      <c r="E1164" t="s">
        <v>95</v>
      </c>
      <c r="F1164">
        <v>160479300</v>
      </c>
      <c r="G1164">
        <v>252.84970000000001</v>
      </c>
      <c r="H1164" t="s">
        <v>103</v>
      </c>
      <c r="I1164">
        <v>40577142861.209999</v>
      </c>
      <c r="J1164" t="s">
        <v>204</v>
      </c>
      <c r="K1164">
        <v>92114432.940758303</v>
      </c>
      <c r="L1164">
        <v>1</v>
      </c>
      <c r="M1164" t="s">
        <v>4536</v>
      </c>
      <c r="O1164" t="s">
        <v>207</v>
      </c>
      <c r="Q1164" t="s">
        <v>207</v>
      </c>
      <c r="R1164" t="s">
        <v>207</v>
      </c>
      <c r="S1164" t="s">
        <v>207</v>
      </c>
      <c r="T1164" t="s">
        <v>207</v>
      </c>
      <c r="U1164" t="s">
        <v>207</v>
      </c>
      <c r="V1164" t="s">
        <v>207</v>
      </c>
      <c r="W1164" t="s">
        <v>207</v>
      </c>
      <c r="X1164" t="s">
        <v>207</v>
      </c>
      <c r="AG1164" t="s">
        <v>4546</v>
      </c>
      <c r="AH1164" t="s">
        <v>4564</v>
      </c>
      <c r="AI1164" t="s">
        <v>4565</v>
      </c>
      <c r="AJ1164" t="s">
        <v>4566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209</v>
      </c>
      <c r="BA1164">
        <v>40577142861.209999</v>
      </c>
      <c r="BB1164" t="s">
        <v>4572</v>
      </c>
      <c r="BC1164" t="s">
        <v>4578</v>
      </c>
    </row>
    <row r="1165" spans="1:55" x14ac:dyDescent="0.25">
      <c r="A1165">
        <v>234</v>
      </c>
      <c r="B1165" t="s">
        <v>1342</v>
      </c>
      <c r="C1165" t="s">
        <v>2777</v>
      </c>
      <c r="D1165" t="s">
        <v>4212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202</v>
      </c>
      <c r="K1165">
        <v>246019786.55371201</v>
      </c>
      <c r="L1165">
        <v>1</v>
      </c>
      <c r="M1165" t="s">
        <v>4536</v>
      </c>
      <c r="O1165" t="s">
        <v>207</v>
      </c>
      <c r="Q1165" t="s">
        <v>207</v>
      </c>
      <c r="R1165" t="s">
        <v>207</v>
      </c>
      <c r="S1165" t="s">
        <v>207</v>
      </c>
      <c r="T1165" t="s">
        <v>207</v>
      </c>
      <c r="U1165" t="s">
        <v>207</v>
      </c>
      <c r="V1165" t="s">
        <v>207</v>
      </c>
      <c r="W1165" t="s">
        <v>207</v>
      </c>
      <c r="X1165" t="s">
        <v>207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208</v>
      </c>
      <c r="AZ1165" t="s">
        <v>4571</v>
      </c>
      <c r="BA1165">
        <v>57358649509.153999</v>
      </c>
      <c r="BB1165" t="s">
        <v>4572</v>
      </c>
      <c r="BC1165" t="s">
        <v>4577</v>
      </c>
    </row>
    <row r="1166" spans="1:55" x14ac:dyDescent="0.25">
      <c r="A1166">
        <v>1025</v>
      </c>
      <c r="B1166" t="s">
        <v>1343</v>
      </c>
      <c r="C1166" t="s">
        <v>2778</v>
      </c>
      <c r="D1166" t="s">
        <v>4213</v>
      </c>
      <c r="E1166" t="s">
        <v>4527</v>
      </c>
      <c r="F1166">
        <v>3122495000</v>
      </c>
      <c r="G1166">
        <v>3.6429840000000002</v>
      </c>
      <c r="H1166" t="s">
        <v>4534</v>
      </c>
      <c r="I1166">
        <v>11375199325.08</v>
      </c>
      <c r="J1166" t="s">
        <v>205</v>
      </c>
      <c r="K1166">
        <v>13032082.4796497</v>
      </c>
      <c r="L1166">
        <v>0.5</v>
      </c>
      <c r="M1166" t="s">
        <v>4536</v>
      </c>
      <c r="O1166" t="s">
        <v>207</v>
      </c>
      <c r="Q1166" t="s">
        <v>207</v>
      </c>
      <c r="R1166" t="s">
        <v>207</v>
      </c>
      <c r="S1166" t="s">
        <v>207</v>
      </c>
      <c r="T1166" t="s">
        <v>207</v>
      </c>
      <c r="U1166" t="s">
        <v>207</v>
      </c>
      <c r="V1166" t="s">
        <v>207</v>
      </c>
      <c r="W1166" t="s">
        <v>207</v>
      </c>
      <c r="X1166" t="s">
        <v>207</v>
      </c>
      <c r="AK1166">
        <v>0</v>
      </c>
      <c r="AL1166">
        <v>0.1</v>
      </c>
      <c r="AM1166">
        <v>0</v>
      </c>
      <c r="AO1166" t="s">
        <v>4568</v>
      </c>
      <c r="AQ1166">
        <v>0</v>
      </c>
      <c r="AR1166">
        <v>0</v>
      </c>
      <c r="AW1166">
        <v>5020</v>
      </c>
      <c r="AX1166">
        <v>2.5009999999999999</v>
      </c>
      <c r="AY1166" t="s">
        <v>210</v>
      </c>
      <c r="BA1166">
        <v>5687599662.54</v>
      </c>
      <c r="BB1166" t="s">
        <v>4572</v>
      </c>
      <c r="BC1166" t="s">
        <v>4582</v>
      </c>
    </row>
    <row r="1167" spans="1:55" x14ac:dyDescent="0.25">
      <c r="A1167">
        <v>987</v>
      </c>
      <c r="B1167" t="s">
        <v>1344</v>
      </c>
      <c r="C1167" t="s">
        <v>2779</v>
      </c>
      <c r="D1167" t="s">
        <v>4214</v>
      </c>
      <c r="E1167" t="s">
        <v>4527</v>
      </c>
      <c r="F1167">
        <v>2977670400</v>
      </c>
      <c r="G1167">
        <v>4.687926</v>
      </c>
      <c r="H1167" t="s">
        <v>4534</v>
      </c>
      <c r="I1167">
        <v>13959098487.590401</v>
      </c>
      <c r="J1167" t="s">
        <v>205</v>
      </c>
      <c r="K1167">
        <v>15808906.7529197</v>
      </c>
      <c r="L1167">
        <v>0.45</v>
      </c>
      <c r="M1167" t="s">
        <v>4536</v>
      </c>
      <c r="O1167" t="s">
        <v>207</v>
      </c>
      <c r="Q1167" t="s">
        <v>207</v>
      </c>
      <c r="R1167" t="s">
        <v>207</v>
      </c>
      <c r="S1167" t="s">
        <v>207</v>
      </c>
      <c r="T1167" t="s">
        <v>207</v>
      </c>
      <c r="U1167" t="s">
        <v>207</v>
      </c>
      <c r="V1167" t="s">
        <v>207</v>
      </c>
      <c r="W1167" t="s">
        <v>207</v>
      </c>
      <c r="X1167" t="s">
        <v>207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210</v>
      </c>
      <c r="BA1167">
        <v>6281594319.4156809</v>
      </c>
      <c r="BB1167" t="s">
        <v>4572</v>
      </c>
      <c r="BC1167" t="s">
        <v>4536</v>
      </c>
    </row>
    <row r="1168" spans="1:55" x14ac:dyDescent="0.25">
      <c r="A1168">
        <v>932</v>
      </c>
      <c r="B1168" t="s">
        <v>1345</v>
      </c>
      <c r="C1168" t="s">
        <v>2780</v>
      </c>
      <c r="D1168" t="s">
        <v>4215</v>
      </c>
      <c r="E1168" t="s">
        <v>4527</v>
      </c>
      <c r="F1168">
        <v>1071642500</v>
      </c>
      <c r="G1168">
        <v>9.1611390000000004</v>
      </c>
      <c r="H1168" t="s">
        <v>4534</v>
      </c>
      <c r="I1168">
        <v>9817465900.8075008</v>
      </c>
      <c r="J1168" t="s">
        <v>205</v>
      </c>
      <c r="K1168">
        <v>23605204.260929201</v>
      </c>
      <c r="L1168">
        <v>0.75</v>
      </c>
      <c r="M1168" t="s">
        <v>4536</v>
      </c>
      <c r="O1168" t="s">
        <v>207</v>
      </c>
      <c r="Q1168" t="s">
        <v>207</v>
      </c>
      <c r="R1168" t="s">
        <v>207</v>
      </c>
      <c r="S1168" t="s">
        <v>207</v>
      </c>
      <c r="T1168" t="s">
        <v>207</v>
      </c>
      <c r="U1168" t="s">
        <v>207</v>
      </c>
      <c r="V1168" t="s">
        <v>207</v>
      </c>
      <c r="W1168" t="s">
        <v>207</v>
      </c>
      <c r="X1168" t="s">
        <v>207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210</v>
      </c>
      <c r="BA1168">
        <v>7363099425.6056252</v>
      </c>
      <c r="BB1168" t="s">
        <v>4572</v>
      </c>
      <c r="BC1168" t="s">
        <v>4536</v>
      </c>
    </row>
    <row r="1169" spans="1:55" x14ac:dyDescent="0.25">
      <c r="A1169">
        <v>635</v>
      </c>
      <c r="B1169" t="s">
        <v>1346</v>
      </c>
      <c r="C1169" t="s">
        <v>2781</v>
      </c>
      <c r="D1169" t="s">
        <v>4216</v>
      </c>
      <c r="E1169" t="s">
        <v>4527</v>
      </c>
      <c r="F1169">
        <v>16514635000</v>
      </c>
      <c r="G1169">
        <v>2.3475419999999998</v>
      </c>
      <c r="H1169" t="s">
        <v>4534</v>
      </c>
      <c r="I1169">
        <v>38768799277.169998</v>
      </c>
      <c r="J1169" t="s">
        <v>205</v>
      </c>
      <c r="K1169">
        <v>46392176.376960002</v>
      </c>
      <c r="L1169">
        <v>0.5</v>
      </c>
      <c r="M1169" t="s">
        <v>4536</v>
      </c>
      <c r="O1169" t="s">
        <v>206</v>
      </c>
      <c r="Q1169" t="s">
        <v>207</v>
      </c>
      <c r="R1169" t="s">
        <v>207</v>
      </c>
      <c r="S1169" t="s">
        <v>207</v>
      </c>
      <c r="T1169" t="s">
        <v>207</v>
      </c>
      <c r="U1169" t="s">
        <v>207</v>
      </c>
      <c r="V1169" t="s">
        <v>207</v>
      </c>
      <c r="W1169" t="s">
        <v>207</v>
      </c>
      <c r="X1169" t="s">
        <v>207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210</v>
      </c>
      <c r="BA1169">
        <v>19384399638.584999</v>
      </c>
      <c r="BB1169" t="s">
        <v>4572</v>
      </c>
      <c r="BC1169" t="s">
        <v>4536</v>
      </c>
    </row>
    <row r="1170" spans="1:55" x14ac:dyDescent="0.25">
      <c r="A1170">
        <v>1240</v>
      </c>
      <c r="B1170" t="s">
        <v>1347</v>
      </c>
      <c r="C1170" t="s">
        <v>2782</v>
      </c>
      <c r="D1170" t="s">
        <v>4217</v>
      </c>
      <c r="E1170" t="s">
        <v>4518</v>
      </c>
      <c r="F1170">
        <v>9014739000</v>
      </c>
      <c r="G1170">
        <v>0.95660319999999999</v>
      </c>
      <c r="H1170" t="s">
        <v>4529</v>
      </c>
      <c r="I1170">
        <v>8623528174.5648003</v>
      </c>
      <c r="J1170" t="s">
        <v>205</v>
      </c>
      <c r="K1170">
        <v>6200804.1861137897</v>
      </c>
      <c r="L1170">
        <v>0.4</v>
      </c>
      <c r="M1170" t="s">
        <v>4536</v>
      </c>
      <c r="N1170" t="s">
        <v>4537</v>
      </c>
      <c r="O1170" t="s">
        <v>207</v>
      </c>
      <c r="Q1170" t="s">
        <v>207</v>
      </c>
      <c r="R1170" t="s">
        <v>207</v>
      </c>
      <c r="S1170" t="s">
        <v>207</v>
      </c>
      <c r="T1170" t="s">
        <v>207</v>
      </c>
      <c r="U1170" t="s">
        <v>207</v>
      </c>
      <c r="V1170" t="s">
        <v>207</v>
      </c>
      <c r="W1170" t="s">
        <v>207</v>
      </c>
      <c r="X1170" t="s">
        <v>207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210</v>
      </c>
      <c r="BA1170">
        <v>3449411269.8259201</v>
      </c>
      <c r="BB1170" t="s">
        <v>4572</v>
      </c>
      <c r="BC1170" t="s">
        <v>4575</v>
      </c>
    </row>
    <row r="1171" spans="1:55" x14ac:dyDescent="0.25">
      <c r="A1171">
        <v>1393</v>
      </c>
      <c r="B1171" t="s">
        <v>1348</v>
      </c>
      <c r="C1171" t="s">
        <v>2783</v>
      </c>
      <c r="D1171" t="s">
        <v>4218</v>
      </c>
      <c r="E1171" t="s">
        <v>4518</v>
      </c>
      <c r="F1171">
        <v>2687150000</v>
      </c>
      <c r="G1171">
        <v>2.1298889999999999</v>
      </c>
      <c r="H1171" t="s">
        <v>4529</v>
      </c>
      <c r="I1171">
        <v>5723331226.3499994</v>
      </c>
      <c r="J1171" t="s">
        <v>205</v>
      </c>
      <c r="K1171">
        <v>11862264.6249735</v>
      </c>
      <c r="L1171">
        <v>0.45</v>
      </c>
      <c r="M1171" t="s">
        <v>4536</v>
      </c>
      <c r="O1171" t="s">
        <v>207</v>
      </c>
      <c r="Q1171" t="s">
        <v>207</v>
      </c>
      <c r="R1171" t="s">
        <v>207</v>
      </c>
      <c r="S1171" t="s">
        <v>207</v>
      </c>
      <c r="T1171" t="s">
        <v>207</v>
      </c>
      <c r="U1171" t="s">
        <v>207</v>
      </c>
      <c r="V1171" t="s">
        <v>207</v>
      </c>
      <c r="W1171" t="s">
        <v>207</v>
      </c>
      <c r="X1171" t="s">
        <v>207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210</v>
      </c>
      <c r="AZ1171" t="s">
        <v>4571</v>
      </c>
      <c r="BA1171">
        <v>2575499051.8575001</v>
      </c>
      <c r="BB1171" t="s">
        <v>4572</v>
      </c>
      <c r="BC1171" t="s">
        <v>4577</v>
      </c>
    </row>
    <row r="1172" spans="1:55" x14ac:dyDescent="0.25">
      <c r="A1172">
        <v>508</v>
      </c>
      <c r="B1172" t="s">
        <v>1349</v>
      </c>
      <c r="C1172" t="s">
        <v>2784</v>
      </c>
      <c r="D1172" t="s">
        <v>4219</v>
      </c>
      <c r="E1172" t="s">
        <v>4519</v>
      </c>
      <c r="F1172">
        <v>2115831000</v>
      </c>
      <c r="G1172">
        <v>15.232390000000001</v>
      </c>
      <c r="H1172" t="s">
        <v>4530</v>
      </c>
      <c r="I1172">
        <v>32229162966.09</v>
      </c>
      <c r="J1172" t="s">
        <v>204</v>
      </c>
      <c r="K1172">
        <v>45246872.796090297</v>
      </c>
      <c r="L1172">
        <v>0.8</v>
      </c>
      <c r="M1172" t="s">
        <v>4536</v>
      </c>
      <c r="O1172" t="s">
        <v>207</v>
      </c>
      <c r="Q1172" t="s">
        <v>207</v>
      </c>
      <c r="R1172" t="s">
        <v>207</v>
      </c>
      <c r="S1172" t="s">
        <v>207</v>
      </c>
      <c r="T1172" t="s">
        <v>207</v>
      </c>
      <c r="U1172" t="s">
        <v>207</v>
      </c>
      <c r="V1172" t="s">
        <v>207</v>
      </c>
      <c r="W1172" t="s">
        <v>207</v>
      </c>
      <c r="X1172" t="s">
        <v>207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209</v>
      </c>
      <c r="AZ1172" t="s">
        <v>4571</v>
      </c>
      <c r="BA1172">
        <v>25783330372.872002</v>
      </c>
      <c r="BB1172" t="s">
        <v>4572</v>
      </c>
      <c r="BC1172" t="s">
        <v>4577</v>
      </c>
    </row>
    <row r="1173" spans="1:55" x14ac:dyDescent="0.25">
      <c r="A1173">
        <v>876</v>
      </c>
      <c r="B1173" t="s">
        <v>1350</v>
      </c>
      <c r="C1173" t="s">
        <v>2785</v>
      </c>
      <c r="D1173" t="s">
        <v>4220</v>
      </c>
      <c r="E1173" t="s">
        <v>4519</v>
      </c>
      <c r="F1173">
        <v>400350770</v>
      </c>
      <c r="G1173">
        <v>22.488910000000001</v>
      </c>
      <c r="H1173" t="s">
        <v>4530</v>
      </c>
      <c r="I1173">
        <v>9003452434.960701</v>
      </c>
      <c r="J1173" t="s">
        <v>204</v>
      </c>
      <c r="K1173">
        <v>13958398.191737499</v>
      </c>
      <c r="L1173">
        <v>0.95</v>
      </c>
      <c r="M1173" t="s">
        <v>4536</v>
      </c>
      <c r="O1173" t="s">
        <v>207</v>
      </c>
      <c r="Q1173" t="s">
        <v>207</v>
      </c>
      <c r="R1173" t="s">
        <v>207</v>
      </c>
      <c r="S1173" t="s">
        <v>207</v>
      </c>
      <c r="T1173" t="s">
        <v>207</v>
      </c>
      <c r="U1173" t="s">
        <v>207</v>
      </c>
      <c r="V1173" t="s">
        <v>207</v>
      </c>
      <c r="W1173" t="s">
        <v>207</v>
      </c>
      <c r="X1173" t="s">
        <v>207</v>
      </c>
      <c r="AK1173">
        <v>0</v>
      </c>
      <c r="AL1173">
        <v>0.05</v>
      </c>
      <c r="AM1173">
        <v>0</v>
      </c>
      <c r="AO1173" t="s">
        <v>4568</v>
      </c>
      <c r="AQ1173">
        <v>0</v>
      </c>
      <c r="AR1173">
        <v>0</v>
      </c>
      <c r="AW1173">
        <v>5010</v>
      </c>
      <c r="AX1173">
        <v>1.9790000000000001</v>
      </c>
      <c r="AY1173" t="s">
        <v>209</v>
      </c>
      <c r="AZ1173" t="s">
        <v>4571</v>
      </c>
      <c r="BA1173">
        <v>8553279813.2126656</v>
      </c>
      <c r="BB1173" t="s">
        <v>4572</v>
      </c>
      <c r="BC1173" t="s">
        <v>4594</v>
      </c>
    </row>
    <row r="1174" spans="1:55" x14ac:dyDescent="0.25">
      <c r="A1174">
        <v>860</v>
      </c>
      <c r="B1174" t="s">
        <v>1351</v>
      </c>
      <c r="C1174" t="s">
        <v>2786</v>
      </c>
      <c r="D1174" t="s">
        <v>4221</v>
      </c>
      <c r="E1174" t="s">
        <v>4519</v>
      </c>
      <c r="F1174">
        <v>426392060</v>
      </c>
      <c r="G1174">
        <v>20.89734</v>
      </c>
      <c r="H1174" t="s">
        <v>4530</v>
      </c>
      <c r="I1174">
        <v>8910459851.1203995</v>
      </c>
      <c r="J1174" t="s">
        <v>204</v>
      </c>
      <c r="K1174">
        <v>24706467.5839823</v>
      </c>
      <c r="L1174">
        <v>1</v>
      </c>
      <c r="O1174" t="s">
        <v>207</v>
      </c>
      <c r="Q1174" t="s">
        <v>207</v>
      </c>
      <c r="R1174" t="s">
        <v>207</v>
      </c>
      <c r="S1174" t="s">
        <v>207</v>
      </c>
      <c r="T1174" t="s">
        <v>207</v>
      </c>
      <c r="U1174" t="s">
        <v>207</v>
      </c>
      <c r="V1174" t="s">
        <v>207</v>
      </c>
      <c r="W1174" t="s">
        <v>207</v>
      </c>
      <c r="X1174" t="s">
        <v>207</v>
      </c>
      <c r="AK1174">
        <v>0</v>
      </c>
      <c r="AL1174">
        <v>0.02</v>
      </c>
      <c r="AM1174">
        <v>0</v>
      </c>
      <c r="AO1174" t="s">
        <v>4568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209</v>
      </c>
      <c r="BA1174">
        <v>8910459851.1203995</v>
      </c>
      <c r="BB1174" t="s">
        <v>4572</v>
      </c>
      <c r="BC1174" t="s">
        <v>4568</v>
      </c>
    </row>
    <row r="1175" spans="1:55" x14ac:dyDescent="0.25">
      <c r="A1175">
        <v>1211</v>
      </c>
      <c r="B1175" t="s">
        <v>1352</v>
      </c>
      <c r="C1175" t="s">
        <v>2787</v>
      </c>
      <c r="D1175" t="s">
        <v>4222</v>
      </c>
      <c r="E1175" t="s">
        <v>93</v>
      </c>
      <c r="F1175">
        <v>227502200</v>
      </c>
      <c r="G1175">
        <v>15.863530000000001</v>
      </c>
      <c r="H1175" t="s">
        <v>101</v>
      </c>
      <c r="I1175">
        <v>3608987974.7659998</v>
      </c>
      <c r="J1175" t="s">
        <v>205</v>
      </c>
      <c r="K1175">
        <v>25190293.634736601</v>
      </c>
      <c r="L1175">
        <v>1</v>
      </c>
      <c r="M1175" t="s">
        <v>4536</v>
      </c>
      <c r="O1175" t="s">
        <v>207</v>
      </c>
      <c r="Q1175" t="s">
        <v>207</v>
      </c>
      <c r="R1175" t="s">
        <v>207</v>
      </c>
      <c r="S1175" t="s">
        <v>207</v>
      </c>
      <c r="T1175" t="s">
        <v>207</v>
      </c>
      <c r="U1175" t="s">
        <v>207</v>
      </c>
      <c r="V1175" t="s">
        <v>207</v>
      </c>
      <c r="W1175" t="s">
        <v>207</v>
      </c>
      <c r="X1175" t="s">
        <v>207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210</v>
      </c>
      <c r="BA1175">
        <v>3608987974.7659998</v>
      </c>
      <c r="BB1175" t="s">
        <v>4572</v>
      </c>
      <c r="BC1175" t="s">
        <v>4536</v>
      </c>
    </row>
    <row r="1176" spans="1:55" x14ac:dyDescent="0.25">
      <c r="A1176">
        <v>605</v>
      </c>
      <c r="B1176" t="s">
        <v>1353</v>
      </c>
      <c r="C1176" t="s">
        <v>2788</v>
      </c>
      <c r="D1176" t="s">
        <v>4223</v>
      </c>
      <c r="E1176" t="s">
        <v>93</v>
      </c>
      <c r="F1176">
        <v>67369360</v>
      </c>
      <c r="G1176">
        <v>359.22370000000001</v>
      </c>
      <c r="H1176" t="s">
        <v>101</v>
      </c>
      <c r="I1176">
        <v>24200670765.832001</v>
      </c>
      <c r="J1176" t="s">
        <v>205</v>
      </c>
      <c r="K1176">
        <v>105331674.05293</v>
      </c>
      <c r="L1176">
        <v>0.85</v>
      </c>
      <c r="M1176" t="s">
        <v>4536</v>
      </c>
      <c r="O1176" t="s">
        <v>207</v>
      </c>
      <c r="Q1176" t="s">
        <v>207</v>
      </c>
      <c r="R1176" t="s">
        <v>207</v>
      </c>
      <c r="S1176" t="s">
        <v>207</v>
      </c>
      <c r="T1176" t="s">
        <v>207</v>
      </c>
      <c r="U1176" t="s">
        <v>207</v>
      </c>
      <c r="V1176" t="s">
        <v>207</v>
      </c>
      <c r="W1176" t="s">
        <v>207</v>
      </c>
      <c r="X1176" t="s">
        <v>207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210</v>
      </c>
      <c r="BA1176">
        <v>20570570150.957199</v>
      </c>
      <c r="BB1176" t="s">
        <v>4572</v>
      </c>
      <c r="BC1176" t="s">
        <v>4536</v>
      </c>
    </row>
    <row r="1177" spans="1:55" x14ac:dyDescent="0.25">
      <c r="A1177">
        <v>123</v>
      </c>
      <c r="B1177" t="s">
        <v>1354</v>
      </c>
      <c r="C1177" t="s">
        <v>2789</v>
      </c>
      <c r="D1177" t="s">
        <v>4224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96511847732.832001</v>
      </c>
      <c r="J1177" t="s">
        <v>205</v>
      </c>
      <c r="K1177">
        <v>332930040.84933698</v>
      </c>
      <c r="L1177">
        <v>1</v>
      </c>
      <c r="M1177" t="s">
        <v>4536</v>
      </c>
      <c r="O1177" t="s">
        <v>207</v>
      </c>
      <c r="Q1177" t="s">
        <v>207</v>
      </c>
      <c r="R1177" t="s">
        <v>207</v>
      </c>
      <c r="S1177" t="s">
        <v>207</v>
      </c>
      <c r="T1177" t="s">
        <v>207</v>
      </c>
      <c r="U1177" t="s">
        <v>207</v>
      </c>
      <c r="V1177" t="s">
        <v>207</v>
      </c>
      <c r="W1177" t="s">
        <v>207</v>
      </c>
      <c r="X1177" t="s">
        <v>207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210</v>
      </c>
      <c r="BA1177">
        <v>96511847732.832001</v>
      </c>
      <c r="BB1177" t="s">
        <v>4572</v>
      </c>
      <c r="BC1177" t="s">
        <v>4536</v>
      </c>
    </row>
    <row r="1178" spans="1:55" x14ac:dyDescent="0.25">
      <c r="A1178">
        <v>822</v>
      </c>
      <c r="B1178" t="s">
        <v>1355</v>
      </c>
      <c r="C1178" t="s">
        <v>2790</v>
      </c>
      <c r="D1178" t="s">
        <v>4225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204</v>
      </c>
      <c r="K1178">
        <v>18147097.5031357</v>
      </c>
      <c r="L1178">
        <v>0.95</v>
      </c>
      <c r="M1178" t="s">
        <v>4536</v>
      </c>
      <c r="O1178" t="s">
        <v>207</v>
      </c>
      <c r="Q1178" t="s">
        <v>207</v>
      </c>
      <c r="R1178" t="s">
        <v>207</v>
      </c>
      <c r="S1178" t="s">
        <v>207</v>
      </c>
      <c r="T1178" t="s">
        <v>207</v>
      </c>
      <c r="U1178" t="s">
        <v>207</v>
      </c>
      <c r="V1178" t="s">
        <v>207</v>
      </c>
      <c r="W1178" t="s">
        <v>207</v>
      </c>
      <c r="X1178" t="s">
        <v>207</v>
      </c>
      <c r="AG1178" t="s">
        <v>4546</v>
      </c>
      <c r="AH1178" t="s">
        <v>4562</v>
      </c>
      <c r="AI1178" t="s">
        <v>4565</v>
      </c>
      <c r="AJ1178" t="s">
        <v>4566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209</v>
      </c>
      <c r="BA1178">
        <v>10378826345.74851</v>
      </c>
      <c r="BB1178" t="s">
        <v>4572</v>
      </c>
      <c r="BC1178" t="s">
        <v>4578</v>
      </c>
    </row>
    <row r="1179" spans="1:55" x14ac:dyDescent="0.25">
      <c r="A1179">
        <v>879</v>
      </c>
      <c r="B1179" t="s">
        <v>1356</v>
      </c>
      <c r="C1179" t="s">
        <v>2791</v>
      </c>
      <c r="D1179" t="s">
        <v>4226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204</v>
      </c>
      <c r="K1179">
        <v>16516811.2699329</v>
      </c>
      <c r="L1179">
        <v>1</v>
      </c>
      <c r="M1179" t="s">
        <v>4536</v>
      </c>
      <c r="O1179" t="s">
        <v>207</v>
      </c>
      <c r="Q1179" t="s">
        <v>207</v>
      </c>
      <c r="R1179" t="s">
        <v>207</v>
      </c>
      <c r="S1179" t="s">
        <v>207</v>
      </c>
      <c r="T1179" t="s">
        <v>207</v>
      </c>
      <c r="U1179" t="s">
        <v>207</v>
      </c>
      <c r="V1179" t="s">
        <v>207</v>
      </c>
      <c r="W1179" t="s">
        <v>207</v>
      </c>
      <c r="X1179" t="s">
        <v>207</v>
      </c>
      <c r="AK1179">
        <v>0</v>
      </c>
      <c r="AL1179">
        <v>0.217</v>
      </c>
      <c r="AM1179">
        <v>0</v>
      </c>
      <c r="AO1179" t="s">
        <v>4568</v>
      </c>
      <c r="AQ1179">
        <v>0</v>
      </c>
      <c r="AR1179">
        <v>0</v>
      </c>
      <c r="AW1179">
        <v>5020</v>
      </c>
      <c r="AX1179">
        <v>2.1789999999999998</v>
      </c>
      <c r="AY1179" t="s">
        <v>209</v>
      </c>
      <c r="BA1179">
        <v>8469949251.4181995</v>
      </c>
      <c r="BB1179" t="s">
        <v>4572</v>
      </c>
      <c r="BC1179" t="s">
        <v>4582</v>
      </c>
    </row>
    <row r="1180" spans="1:55" x14ac:dyDescent="0.25">
      <c r="A1180">
        <v>1363</v>
      </c>
      <c r="B1180" t="s">
        <v>1357</v>
      </c>
      <c r="C1180" t="s">
        <v>2792</v>
      </c>
      <c r="D1180" t="s">
        <v>4227</v>
      </c>
      <c r="E1180" t="s">
        <v>4518</v>
      </c>
      <c r="F1180">
        <v>6181495600</v>
      </c>
      <c r="G1180">
        <v>1.4699930000000001</v>
      </c>
      <c r="H1180" t="s">
        <v>4529</v>
      </c>
      <c r="I1180">
        <v>9086755261.5307999</v>
      </c>
      <c r="J1180" t="s">
        <v>205</v>
      </c>
      <c r="K1180">
        <v>36776393.6110176</v>
      </c>
      <c r="L1180">
        <v>0.3</v>
      </c>
      <c r="M1180" t="s">
        <v>4536</v>
      </c>
      <c r="O1180" t="s">
        <v>207</v>
      </c>
      <c r="Q1180" t="s">
        <v>207</v>
      </c>
      <c r="R1180" t="s">
        <v>207</v>
      </c>
      <c r="S1180" t="s">
        <v>207</v>
      </c>
      <c r="T1180" t="s">
        <v>207</v>
      </c>
      <c r="U1180" t="s">
        <v>207</v>
      </c>
      <c r="V1180" t="s">
        <v>207</v>
      </c>
      <c r="W1180" t="s">
        <v>207</v>
      </c>
      <c r="X1180" t="s">
        <v>207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210</v>
      </c>
      <c r="AZ1180" t="s">
        <v>4571</v>
      </c>
      <c r="BA1180">
        <v>2726026578.45924</v>
      </c>
      <c r="BB1180" t="s">
        <v>4572</v>
      </c>
      <c r="BC1180" t="s">
        <v>4577</v>
      </c>
    </row>
    <row r="1181" spans="1:55" x14ac:dyDescent="0.25">
      <c r="A1181">
        <v>497</v>
      </c>
      <c r="B1181" t="s">
        <v>1358</v>
      </c>
      <c r="C1181" t="s">
        <v>2793</v>
      </c>
      <c r="D1181" t="s">
        <v>4228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202</v>
      </c>
      <c r="K1181">
        <v>171758852.147091</v>
      </c>
      <c r="L1181">
        <v>1</v>
      </c>
      <c r="M1181" t="s">
        <v>4536</v>
      </c>
      <c r="O1181" t="s">
        <v>207</v>
      </c>
      <c r="Q1181" t="s">
        <v>207</v>
      </c>
      <c r="R1181" t="s">
        <v>207</v>
      </c>
      <c r="S1181" t="s">
        <v>207</v>
      </c>
      <c r="T1181" t="s">
        <v>207</v>
      </c>
      <c r="U1181" t="s">
        <v>207</v>
      </c>
      <c r="V1181" t="s">
        <v>207</v>
      </c>
      <c r="W1181" t="s">
        <v>207</v>
      </c>
      <c r="X1181" t="s">
        <v>207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208</v>
      </c>
      <c r="BA1181">
        <v>26462765895.507</v>
      </c>
      <c r="BB1181" t="s">
        <v>4572</v>
      </c>
      <c r="BC1181" t="s">
        <v>4536</v>
      </c>
    </row>
    <row r="1182" spans="1:55" x14ac:dyDescent="0.25">
      <c r="A1182">
        <v>856</v>
      </c>
      <c r="B1182" t="s">
        <v>1359</v>
      </c>
      <c r="C1182" t="s">
        <v>2794</v>
      </c>
      <c r="D1182" t="s">
        <v>4229</v>
      </c>
      <c r="E1182" t="s">
        <v>4517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203</v>
      </c>
      <c r="K1182">
        <v>34454059.824770503</v>
      </c>
      <c r="L1182">
        <v>0.60000000000000009</v>
      </c>
      <c r="M1182" t="s">
        <v>4536</v>
      </c>
      <c r="O1182" t="s">
        <v>207</v>
      </c>
      <c r="Q1182" t="s">
        <v>207</v>
      </c>
      <c r="R1182" t="s">
        <v>207</v>
      </c>
      <c r="S1182" t="s">
        <v>207</v>
      </c>
      <c r="T1182" t="s">
        <v>207</v>
      </c>
      <c r="U1182" t="s">
        <v>207</v>
      </c>
      <c r="V1182" t="s">
        <v>207</v>
      </c>
      <c r="W1182" t="s">
        <v>207</v>
      </c>
      <c r="X1182" t="s">
        <v>207</v>
      </c>
      <c r="AK1182">
        <v>0</v>
      </c>
      <c r="AL1182">
        <v>0.73299999999999998</v>
      </c>
      <c r="AM1182">
        <v>0</v>
      </c>
      <c r="AO1182" t="s">
        <v>4568</v>
      </c>
      <c r="AQ1182">
        <v>0</v>
      </c>
      <c r="AR1182">
        <v>0</v>
      </c>
      <c r="AW1182">
        <v>6010</v>
      </c>
      <c r="AX1182">
        <v>3.0259999999999998</v>
      </c>
      <c r="AY1182" t="s">
        <v>209</v>
      </c>
      <c r="BA1182">
        <v>9021886702.4796028</v>
      </c>
      <c r="BB1182" t="s">
        <v>4572</v>
      </c>
      <c r="BC1182" t="s">
        <v>4582</v>
      </c>
    </row>
    <row r="1183" spans="1:55" x14ac:dyDescent="0.25">
      <c r="A1183">
        <v>703</v>
      </c>
      <c r="B1183" t="s">
        <v>1360</v>
      </c>
      <c r="C1183" t="s">
        <v>2795</v>
      </c>
      <c r="D1183" t="s">
        <v>4230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202</v>
      </c>
      <c r="K1183">
        <v>130991287.628571</v>
      </c>
      <c r="L1183">
        <v>1</v>
      </c>
      <c r="M1183" t="s">
        <v>4536</v>
      </c>
      <c r="O1183" t="s">
        <v>207</v>
      </c>
      <c r="Q1183" t="s">
        <v>207</v>
      </c>
      <c r="R1183" t="s">
        <v>207</v>
      </c>
      <c r="S1183" t="s">
        <v>207</v>
      </c>
      <c r="T1183" t="s">
        <v>207</v>
      </c>
      <c r="U1183" t="s">
        <v>207</v>
      </c>
      <c r="V1183" t="s">
        <v>207</v>
      </c>
      <c r="W1183" t="s">
        <v>207</v>
      </c>
      <c r="X1183" t="s">
        <v>207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208</v>
      </c>
      <c r="BA1183">
        <v>16831981337.924999</v>
      </c>
      <c r="BB1183" t="s">
        <v>4572</v>
      </c>
      <c r="BC1183" t="s">
        <v>4536</v>
      </c>
    </row>
    <row r="1184" spans="1:55" x14ac:dyDescent="0.25">
      <c r="A1184">
        <v>242</v>
      </c>
      <c r="B1184" t="s">
        <v>1361</v>
      </c>
      <c r="C1184" t="s">
        <v>2796</v>
      </c>
      <c r="D1184" t="s">
        <v>4231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202</v>
      </c>
      <c r="K1184">
        <v>967105411.03055203</v>
      </c>
      <c r="L1184">
        <v>1</v>
      </c>
      <c r="M1184" t="s">
        <v>4536</v>
      </c>
      <c r="O1184" t="s">
        <v>206</v>
      </c>
      <c r="Q1184" t="s">
        <v>207</v>
      </c>
      <c r="R1184" t="s">
        <v>207</v>
      </c>
      <c r="S1184" t="s">
        <v>207</v>
      </c>
      <c r="T1184" t="s">
        <v>207</v>
      </c>
      <c r="U1184" t="s">
        <v>207</v>
      </c>
      <c r="V1184" t="s">
        <v>207</v>
      </c>
      <c r="W1184" t="s">
        <v>207</v>
      </c>
      <c r="X1184" t="s">
        <v>207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208</v>
      </c>
      <c r="AZ1184" t="s">
        <v>4571</v>
      </c>
      <c r="BA1184">
        <v>56165953830</v>
      </c>
      <c r="BB1184" t="s">
        <v>4572</v>
      </c>
      <c r="BC1184" t="s">
        <v>4577</v>
      </c>
    </row>
    <row r="1185" spans="1:55" x14ac:dyDescent="0.25">
      <c r="A1185">
        <v>1418</v>
      </c>
      <c r="B1185" t="s">
        <v>1362</v>
      </c>
      <c r="C1185" t="s">
        <v>2797</v>
      </c>
      <c r="D1185" t="s">
        <v>4232</v>
      </c>
      <c r="E1185" t="s">
        <v>93</v>
      </c>
      <c r="F1185">
        <v>179508880</v>
      </c>
      <c r="G1185">
        <v>13.231859999999999</v>
      </c>
      <c r="H1185" t="s">
        <v>101</v>
      </c>
      <c r="I1185">
        <v>2375236368.9168</v>
      </c>
      <c r="J1185" t="s">
        <v>205</v>
      </c>
      <c r="K1185">
        <v>102648929.485413</v>
      </c>
      <c r="L1185">
        <v>1</v>
      </c>
      <c r="M1185" t="s">
        <v>4536</v>
      </c>
      <c r="O1185" t="s">
        <v>207</v>
      </c>
      <c r="Q1185" t="s">
        <v>207</v>
      </c>
      <c r="R1185" t="s">
        <v>207</v>
      </c>
      <c r="S1185" t="s">
        <v>207</v>
      </c>
      <c r="T1185" t="s">
        <v>207</v>
      </c>
      <c r="U1185" t="s">
        <v>207</v>
      </c>
      <c r="V1185" t="s">
        <v>207</v>
      </c>
      <c r="W1185" t="s">
        <v>207</v>
      </c>
      <c r="X1185" t="s">
        <v>207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210</v>
      </c>
      <c r="AZ1185" t="s">
        <v>4571</v>
      </c>
      <c r="BA1185">
        <v>2375236368.9168</v>
      </c>
      <c r="BB1185" t="s">
        <v>4572</v>
      </c>
      <c r="BC1185" t="s">
        <v>4577</v>
      </c>
    </row>
    <row r="1186" spans="1:55" x14ac:dyDescent="0.25">
      <c r="A1186">
        <v>1266</v>
      </c>
      <c r="B1186" t="s">
        <v>1363</v>
      </c>
      <c r="C1186" t="s">
        <v>2798</v>
      </c>
      <c r="D1186" t="s">
        <v>4233</v>
      </c>
      <c r="E1186" t="s">
        <v>4520</v>
      </c>
      <c r="F1186">
        <v>34250000</v>
      </c>
      <c r="G1186">
        <v>237.4</v>
      </c>
      <c r="H1186" t="s">
        <v>99</v>
      </c>
      <c r="I1186">
        <v>8130950000</v>
      </c>
      <c r="J1186" t="s">
        <v>203</v>
      </c>
      <c r="K1186">
        <v>4215309.9031745996</v>
      </c>
      <c r="L1186">
        <v>0.4</v>
      </c>
      <c r="M1186" t="s">
        <v>4536</v>
      </c>
      <c r="N1186" t="s">
        <v>4537</v>
      </c>
      <c r="O1186" t="s">
        <v>207</v>
      </c>
      <c r="Q1186" t="s">
        <v>207</v>
      </c>
      <c r="R1186" t="s">
        <v>207</v>
      </c>
      <c r="S1186" t="s">
        <v>207</v>
      </c>
      <c r="T1186" t="s">
        <v>207</v>
      </c>
      <c r="U1186" t="s">
        <v>207</v>
      </c>
      <c r="V1186" t="s">
        <v>207</v>
      </c>
      <c r="W1186" t="s">
        <v>207</v>
      </c>
      <c r="X1186" t="s">
        <v>207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209</v>
      </c>
      <c r="AZ1186" t="s">
        <v>4571</v>
      </c>
      <c r="BA1186">
        <v>3252380000</v>
      </c>
      <c r="BB1186" t="s">
        <v>4572</v>
      </c>
      <c r="BC1186" t="s">
        <v>4584</v>
      </c>
    </row>
    <row r="1187" spans="1:55" x14ac:dyDescent="0.25">
      <c r="A1187">
        <v>364</v>
      </c>
      <c r="B1187" t="s">
        <v>1364</v>
      </c>
      <c r="C1187" t="s">
        <v>2799</v>
      </c>
      <c r="D1187" t="s">
        <v>4234</v>
      </c>
      <c r="E1187" t="s">
        <v>93</v>
      </c>
      <c r="F1187">
        <v>47712406000</v>
      </c>
      <c r="G1187">
        <v>1.3430120000000001</v>
      </c>
      <c r="H1187" t="s">
        <v>101</v>
      </c>
      <c r="I1187">
        <v>64078333806.872002</v>
      </c>
      <c r="J1187" t="s">
        <v>205</v>
      </c>
      <c r="K1187">
        <v>70835574.188860893</v>
      </c>
      <c r="L1187">
        <v>0.6</v>
      </c>
      <c r="M1187" t="s">
        <v>4536</v>
      </c>
      <c r="O1187" t="s">
        <v>207</v>
      </c>
      <c r="Q1187" t="s">
        <v>207</v>
      </c>
      <c r="R1187" t="s">
        <v>207</v>
      </c>
      <c r="S1187" t="s">
        <v>207</v>
      </c>
      <c r="T1187" t="s">
        <v>207</v>
      </c>
      <c r="U1187" t="s">
        <v>207</v>
      </c>
      <c r="V1187" t="s">
        <v>207</v>
      </c>
      <c r="W1187" t="s">
        <v>207</v>
      </c>
      <c r="X1187" t="s">
        <v>207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210</v>
      </c>
      <c r="BA1187">
        <v>38447000284.123199</v>
      </c>
      <c r="BB1187" t="s">
        <v>4572</v>
      </c>
      <c r="BC1187" t="s">
        <v>4536</v>
      </c>
    </row>
    <row r="1188" spans="1:55" x14ac:dyDescent="0.25">
      <c r="A1188">
        <v>231</v>
      </c>
      <c r="B1188" t="s">
        <v>1365</v>
      </c>
      <c r="C1188" t="s">
        <v>2800</v>
      </c>
      <c r="D1188" t="s">
        <v>4235</v>
      </c>
      <c r="E1188" t="s">
        <v>93</v>
      </c>
      <c r="F1188">
        <v>1469995200</v>
      </c>
      <c r="G1188">
        <v>60.051810000000003</v>
      </c>
      <c r="H1188" t="s">
        <v>101</v>
      </c>
      <c r="I1188">
        <v>88275872451.312012</v>
      </c>
      <c r="J1188" t="s">
        <v>205</v>
      </c>
      <c r="K1188">
        <v>517038005.99760002</v>
      </c>
      <c r="L1188">
        <v>0.65</v>
      </c>
      <c r="M1188" t="s">
        <v>4536</v>
      </c>
      <c r="O1188" t="s">
        <v>207</v>
      </c>
      <c r="Q1188" t="s">
        <v>207</v>
      </c>
      <c r="R1188" t="s">
        <v>207</v>
      </c>
      <c r="S1188" t="s">
        <v>207</v>
      </c>
      <c r="T1188" t="s">
        <v>207</v>
      </c>
      <c r="U1188" t="s">
        <v>207</v>
      </c>
      <c r="V1188" t="s">
        <v>207</v>
      </c>
      <c r="W1188" t="s">
        <v>207</v>
      </c>
      <c r="X1188" t="s">
        <v>207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210</v>
      </c>
      <c r="AZ1188" t="s">
        <v>4571</v>
      </c>
      <c r="BA1188">
        <v>57379317093.352814</v>
      </c>
      <c r="BB1188" t="s">
        <v>4572</v>
      </c>
      <c r="BC1188" t="s">
        <v>4577</v>
      </c>
    </row>
    <row r="1189" spans="1:55" x14ac:dyDescent="0.25">
      <c r="A1189">
        <v>1353</v>
      </c>
      <c r="B1189" t="s">
        <v>1366</v>
      </c>
      <c r="C1189" t="s">
        <v>2801</v>
      </c>
      <c r="D1189" t="s">
        <v>4236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205</v>
      </c>
      <c r="K1189">
        <v>5951515.3927799203</v>
      </c>
      <c r="L1189">
        <v>0.8</v>
      </c>
      <c r="M1189" t="s">
        <v>4536</v>
      </c>
      <c r="N1189" t="s">
        <v>4537</v>
      </c>
      <c r="O1189" t="s">
        <v>207</v>
      </c>
      <c r="Q1189" t="s">
        <v>207</v>
      </c>
      <c r="R1189" t="s">
        <v>207</v>
      </c>
      <c r="S1189" t="s">
        <v>207</v>
      </c>
      <c r="T1189" t="s">
        <v>207</v>
      </c>
      <c r="U1189" t="s">
        <v>207</v>
      </c>
      <c r="V1189" t="s">
        <v>207</v>
      </c>
      <c r="W1189" t="s">
        <v>207</v>
      </c>
      <c r="X1189" t="s">
        <v>207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210</v>
      </c>
      <c r="BA1189">
        <v>2802161538.1356802</v>
      </c>
      <c r="BB1189" t="s">
        <v>4572</v>
      </c>
      <c r="BC1189" t="s">
        <v>4575</v>
      </c>
    </row>
    <row r="1190" spans="1:55" x14ac:dyDescent="0.25">
      <c r="A1190">
        <v>1121</v>
      </c>
      <c r="B1190" t="s">
        <v>1367</v>
      </c>
      <c r="C1190" t="s">
        <v>2802</v>
      </c>
      <c r="D1190" t="s">
        <v>4237</v>
      </c>
      <c r="E1190" t="s">
        <v>93</v>
      </c>
      <c r="F1190">
        <v>225000000</v>
      </c>
      <c r="G1190">
        <v>20.720749999999999</v>
      </c>
      <c r="H1190" t="s">
        <v>101</v>
      </c>
      <c r="I1190">
        <v>4662168750</v>
      </c>
      <c r="J1190" t="s">
        <v>205</v>
      </c>
      <c r="K1190">
        <v>23935679.142743502</v>
      </c>
      <c r="L1190">
        <v>0.95</v>
      </c>
      <c r="M1190" t="s">
        <v>4536</v>
      </c>
      <c r="O1190" t="s">
        <v>206</v>
      </c>
      <c r="Q1190" t="s">
        <v>207</v>
      </c>
      <c r="R1190" t="s">
        <v>207</v>
      </c>
      <c r="S1190" t="s">
        <v>207</v>
      </c>
      <c r="T1190" t="s">
        <v>207</v>
      </c>
      <c r="U1190" t="s">
        <v>207</v>
      </c>
      <c r="V1190" t="s">
        <v>207</v>
      </c>
      <c r="W1190" t="s">
        <v>207</v>
      </c>
      <c r="X1190" t="s">
        <v>207</v>
      </c>
      <c r="AG1190" t="s">
        <v>4559</v>
      </c>
      <c r="AI1190" t="s">
        <v>4565</v>
      </c>
      <c r="AK1190">
        <v>0.05</v>
      </c>
      <c r="AL1190">
        <v>0.1</v>
      </c>
      <c r="AM1190">
        <v>7.4000000000000003E-3</v>
      </c>
      <c r="AN1190" t="s">
        <v>4567</v>
      </c>
      <c r="AO1190" t="s">
        <v>4568</v>
      </c>
      <c r="AP1190" t="s">
        <v>4569</v>
      </c>
      <c r="AQ1190">
        <v>0</v>
      </c>
      <c r="AR1190">
        <v>0.01</v>
      </c>
      <c r="AW1190">
        <v>5020</v>
      </c>
      <c r="AX1190">
        <v>1.6910000000000001</v>
      </c>
      <c r="AY1190" t="s">
        <v>210</v>
      </c>
      <c r="BA1190">
        <v>4429060312.5</v>
      </c>
      <c r="BB1190" t="s">
        <v>4572</v>
      </c>
      <c r="BC1190" t="s">
        <v>4641</v>
      </c>
    </row>
    <row r="1191" spans="1:55" x14ac:dyDescent="0.25">
      <c r="A1191">
        <v>1451</v>
      </c>
      <c r="B1191" t="s">
        <v>1368</v>
      </c>
      <c r="C1191" t="s">
        <v>2803</v>
      </c>
      <c r="D1191" t="s">
        <v>4238</v>
      </c>
      <c r="E1191" t="s">
        <v>4520</v>
      </c>
      <c r="F1191">
        <v>105876416</v>
      </c>
      <c r="G1191">
        <v>31.44</v>
      </c>
      <c r="H1191" t="s">
        <v>99</v>
      </c>
      <c r="I1191">
        <v>3328754519.04</v>
      </c>
      <c r="J1191" t="s">
        <v>4535</v>
      </c>
      <c r="K1191">
        <v>4955408.4751587296</v>
      </c>
      <c r="L1191">
        <v>0.65</v>
      </c>
      <c r="M1191" t="s">
        <v>4536</v>
      </c>
      <c r="N1191" t="s">
        <v>4537</v>
      </c>
      <c r="O1191" t="s">
        <v>207</v>
      </c>
      <c r="Q1191" t="s">
        <v>207</v>
      </c>
      <c r="R1191" t="s">
        <v>207</v>
      </c>
      <c r="S1191" t="s">
        <v>207</v>
      </c>
      <c r="T1191" t="s">
        <v>207</v>
      </c>
      <c r="U1191" t="s">
        <v>207</v>
      </c>
      <c r="V1191" t="s">
        <v>207</v>
      </c>
      <c r="W1191" t="s">
        <v>207</v>
      </c>
      <c r="X1191" t="s">
        <v>207</v>
      </c>
      <c r="AG1191" t="s">
        <v>4546</v>
      </c>
      <c r="AH1191" t="s">
        <v>4564</v>
      </c>
      <c r="AI1191" t="s">
        <v>4565</v>
      </c>
      <c r="AJ1191" t="s">
        <v>4566</v>
      </c>
      <c r="AK1191">
        <v>1.1999999999999999E-3</v>
      </c>
      <c r="AL1191">
        <v>4.2000000000000003E-2</v>
      </c>
      <c r="AM1191">
        <v>9.5999999999999992E-3</v>
      </c>
      <c r="AN1191" t="s">
        <v>4567</v>
      </c>
      <c r="AO1191" t="s">
        <v>4568</v>
      </c>
      <c r="AP1191" t="s">
        <v>4569</v>
      </c>
      <c r="AQ1191">
        <v>0</v>
      </c>
      <c r="AR1191">
        <v>0</v>
      </c>
      <c r="AW1191">
        <v>5520</v>
      </c>
      <c r="AX1191">
        <v>3.028</v>
      </c>
      <c r="AY1191" t="s">
        <v>209</v>
      </c>
      <c r="BA1191">
        <v>2163690437.3759999</v>
      </c>
      <c r="BB1191" t="s">
        <v>4572</v>
      </c>
      <c r="BC1191" t="s">
        <v>4653</v>
      </c>
    </row>
    <row r="1192" spans="1:55" x14ac:dyDescent="0.25">
      <c r="A1192">
        <v>476</v>
      </c>
      <c r="B1192" t="s">
        <v>1369</v>
      </c>
      <c r="C1192" t="s">
        <v>2804</v>
      </c>
      <c r="D1192" t="s">
        <v>4239</v>
      </c>
      <c r="E1192" t="s">
        <v>93</v>
      </c>
      <c r="F1192">
        <v>990482060</v>
      </c>
      <c r="G1192">
        <v>28.145689999999998</v>
      </c>
      <c r="H1192" t="s">
        <v>101</v>
      </c>
      <c r="I1192">
        <v>27877801011.3214</v>
      </c>
      <c r="J1192" t="s">
        <v>205</v>
      </c>
      <c r="K1192">
        <v>79124445.863059402</v>
      </c>
      <c r="L1192">
        <v>1</v>
      </c>
      <c r="M1192" t="s">
        <v>4536</v>
      </c>
      <c r="O1192" t="s">
        <v>207</v>
      </c>
      <c r="Q1192" t="s">
        <v>207</v>
      </c>
      <c r="R1192" t="s">
        <v>207</v>
      </c>
      <c r="S1192" t="s">
        <v>207</v>
      </c>
      <c r="T1192" t="s">
        <v>207</v>
      </c>
      <c r="U1192" t="s">
        <v>207</v>
      </c>
      <c r="V1192" t="s">
        <v>207</v>
      </c>
      <c r="W1192" t="s">
        <v>207</v>
      </c>
      <c r="X1192" t="s">
        <v>207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210</v>
      </c>
      <c r="BA1192">
        <v>27877801011.3214</v>
      </c>
      <c r="BB1192" t="s">
        <v>4572</v>
      </c>
      <c r="BC1192" t="s">
        <v>4536</v>
      </c>
    </row>
    <row r="1193" spans="1:55" x14ac:dyDescent="0.25">
      <c r="A1193">
        <v>896</v>
      </c>
      <c r="B1193" t="s">
        <v>1370</v>
      </c>
      <c r="C1193" t="s">
        <v>2805</v>
      </c>
      <c r="D1193" t="s">
        <v>4240</v>
      </c>
      <c r="E1193" t="s">
        <v>94</v>
      </c>
      <c r="F1193">
        <v>480403960</v>
      </c>
      <c r="G1193">
        <v>16.695119999999999</v>
      </c>
      <c r="H1193" t="s">
        <v>102</v>
      </c>
      <c r="I1193">
        <v>8020401760.6752005</v>
      </c>
      <c r="J1193" t="s">
        <v>205</v>
      </c>
      <c r="K1193">
        <v>15277346.660656299</v>
      </c>
      <c r="L1193">
        <v>1</v>
      </c>
      <c r="M1193" t="s">
        <v>4536</v>
      </c>
      <c r="O1193" t="s">
        <v>207</v>
      </c>
      <c r="Q1193" t="s">
        <v>207</v>
      </c>
      <c r="R1193" t="s">
        <v>207</v>
      </c>
      <c r="S1193" t="s">
        <v>207</v>
      </c>
      <c r="T1193" t="s">
        <v>207</v>
      </c>
      <c r="U1193" t="s">
        <v>207</v>
      </c>
      <c r="V1193" t="s">
        <v>207</v>
      </c>
      <c r="W1193" t="s">
        <v>207</v>
      </c>
      <c r="X1193" t="s">
        <v>207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210</v>
      </c>
      <c r="BA1193">
        <v>8020401760.6752005</v>
      </c>
      <c r="BB1193" t="s">
        <v>4572</v>
      </c>
      <c r="BC1193" t="s">
        <v>4536</v>
      </c>
    </row>
    <row r="1194" spans="1:55" x14ac:dyDescent="0.25">
      <c r="A1194">
        <v>740</v>
      </c>
      <c r="B1194" t="s">
        <v>1371</v>
      </c>
      <c r="C1194" t="s">
        <v>2806</v>
      </c>
      <c r="D1194" t="s">
        <v>4241</v>
      </c>
      <c r="E1194" t="s">
        <v>95</v>
      </c>
      <c r="F1194">
        <v>59626810</v>
      </c>
      <c r="G1194">
        <v>310.37360000000001</v>
      </c>
      <c r="H1194" t="s">
        <v>103</v>
      </c>
      <c r="I1194">
        <v>18506587676.216</v>
      </c>
      <c r="J1194" t="s">
        <v>204</v>
      </c>
      <c r="K1194">
        <v>37253581.499226198</v>
      </c>
      <c r="L1194">
        <v>0.85</v>
      </c>
      <c r="M1194" t="s">
        <v>4536</v>
      </c>
      <c r="O1194" t="s">
        <v>207</v>
      </c>
      <c r="Q1194" t="s">
        <v>207</v>
      </c>
      <c r="R1194" t="s">
        <v>207</v>
      </c>
      <c r="S1194" t="s">
        <v>207</v>
      </c>
      <c r="T1194" t="s">
        <v>207</v>
      </c>
      <c r="U1194" t="s">
        <v>207</v>
      </c>
      <c r="V1194" t="s">
        <v>207</v>
      </c>
      <c r="W1194" t="s">
        <v>207</v>
      </c>
      <c r="X1194" t="s">
        <v>207</v>
      </c>
      <c r="AG1194" t="s">
        <v>4546</v>
      </c>
      <c r="AH1194" t="s">
        <v>4562</v>
      </c>
      <c r="AI1194" t="s">
        <v>4565</v>
      </c>
      <c r="AJ1194" t="s">
        <v>4566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209</v>
      </c>
      <c r="BA1194">
        <v>15730599524.7836</v>
      </c>
      <c r="BB1194" t="s">
        <v>4572</v>
      </c>
      <c r="BC1194" t="s">
        <v>4578</v>
      </c>
    </row>
    <row r="1195" spans="1:55" x14ac:dyDescent="0.25">
      <c r="A1195">
        <v>74</v>
      </c>
      <c r="B1195" t="s">
        <v>1372</v>
      </c>
      <c r="C1195" t="s">
        <v>2807</v>
      </c>
      <c r="D1195" t="s">
        <v>4242</v>
      </c>
      <c r="E1195" t="s">
        <v>93</v>
      </c>
      <c r="F1195">
        <v>6149810500</v>
      </c>
      <c r="G1195">
        <v>24.385259999999999</v>
      </c>
      <c r="H1195" t="s">
        <v>101</v>
      </c>
      <c r="I1195">
        <v>149964727993.23001</v>
      </c>
      <c r="J1195" t="s">
        <v>205</v>
      </c>
      <c r="K1195">
        <v>292121249.73151302</v>
      </c>
      <c r="L1195">
        <v>1</v>
      </c>
      <c r="M1195" t="s">
        <v>4536</v>
      </c>
      <c r="O1195" t="s">
        <v>206</v>
      </c>
      <c r="Q1195" t="s">
        <v>207</v>
      </c>
      <c r="R1195" t="s">
        <v>207</v>
      </c>
      <c r="S1195" t="s">
        <v>207</v>
      </c>
      <c r="T1195" t="s">
        <v>207</v>
      </c>
      <c r="U1195" t="s">
        <v>207</v>
      </c>
      <c r="V1195" t="s">
        <v>207</v>
      </c>
      <c r="W1195" t="s">
        <v>207</v>
      </c>
      <c r="X1195" t="s">
        <v>207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210</v>
      </c>
      <c r="BA1195">
        <v>149964727993.23001</v>
      </c>
      <c r="BB1195" t="s">
        <v>4572</v>
      </c>
      <c r="BC1195" t="s">
        <v>4536</v>
      </c>
    </row>
    <row r="1196" spans="1:55" x14ac:dyDescent="0.25">
      <c r="A1196">
        <v>824</v>
      </c>
      <c r="B1196" t="s">
        <v>1373</v>
      </c>
      <c r="C1196" t="s">
        <v>2808</v>
      </c>
      <c r="D1196" t="s">
        <v>4243</v>
      </c>
      <c r="E1196" t="s">
        <v>94</v>
      </c>
      <c r="F1196">
        <v>4517416000</v>
      </c>
      <c r="G1196">
        <v>2.2804880000000001</v>
      </c>
      <c r="H1196" t="s">
        <v>102</v>
      </c>
      <c r="I1196">
        <v>10301912979.007999</v>
      </c>
      <c r="J1196" t="s">
        <v>205</v>
      </c>
      <c r="K1196">
        <v>28108975.283234499</v>
      </c>
      <c r="L1196">
        <v>1</v>
      </c>
      <c r="M1196" t="s">
        <v>4536</v>
      </c>
      <c r="O1196" t="s">
        <v>207</v>
      </c>
      <c r="Q1196" t="s">
        <v>207</v>
      </c>
      <c r="R1196" t="s">
        <v>207</v>
      </c>
      <c r="S1196" t="s">
        <v>207</v>
      </c>
      <c r="T1196" t="s">
        <v>207</v>
      </c>
      <c r="U1196" t="s">
        <v>207</v>
      </c>
      <c r="V1196" t="s">
        <v>207</v>
      </c>
      <c r="W1196" t="s">
        <v>207</v>
      </c>
      <c r="X1196" t="s">
        <v>207</v>
      </c>
      <c r="AK1196">
        <v>0.13500000000000001</v>
      </c>
      <c r="AL1196">
        <v>0.17399999999999999</v>
      </c>
      <c r="AM1196">
        <v>0.01</v>
      </c>
      <c r="AN1196" t="s">
        <v>4567</v>
      </c>
      <c r="AO1196" t="s">
        <v>4568</v>
      </c>
      <c r="AP1196" t="s">
        <v>4569</v>
      </c>
      <c r="AQ1196">
        <v>0</v>
      </c>
      <c r="AR1196">
        <v>0</v>
      </c>
      <c r="AW1196">
        <v>5510</v>
      </c>
      <c r="AX1196">
        <v>1.591</v>
      </c>
      <c r="AY1196" t="s">
        <v>210</v>
      </c>
      <c r="AZ1196" t="s">
        <v>4571</v>
      </c>
      <c r="BA1196">
        <v>10301912979.007999</v>
      </c>
      <c r="BB1196" t="s">
        <v>4572</v>
      </c>
      <c r="BC1196" t="s">
        <v>4612</v>
      </c>
    </row>
    <row r="1197" spans="1:55" x14ac:dyDescent="0.25">
      <c r="A1197">
        <v>127</v>
      </c>
      <c r="B1197" t="s">
        <v>1374</v>
      </c>
      <c r="C1197" t="s">
        <v>2809</v>
      </c>
      <c r="D1197" t="s">
        <v>4244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202</v>
      </c>
      <c r="K1197">
        <v>368959573.83331501</v>
      </c>
      <c r="L1197">
        <v>1</v>
      </c>
      <c r="M1197" t="s">
        <v>4536</v>
      </c>
      <c r="O1197" t="s">
        <v>207</v>
      </c>
      <c r="Q1197" t="s">
        <v>207</v>
      </c>
      <c r="R1197" t="s">
        <v>207</v>
      </c>
      <c r="S1197" t="s">
        <v>207</v>
      </c>
      <c r="T1197" t="s">
        <v>207</v>
      </c>
      <c r="U1197" t="s">
        <v>207</v>
      </c>
      <c r="V1197" t="s">
        <v>207</v>
      </c>
      <c r="W1197" t="s">
        <v>207</v>
      </c>
      <c r="X1197" t="s">
        <v>207</v>
      </c>
      <c r="AK1197">
        <v>0.1197</v>
      </c>
      <c r="AL1197">
        <v>0.67700000000000005</v>
      </c>
      <c r="AM1197">
        <v>0.49370000000000003</v>
      </c>
      <c r="AN1197" t="s">
        <v>4567</v>
      </c>
      <c r="AO1197" t="s">
        <v>4568</v>
      </c>
      <c r="AP1197" t="s">
        <v>4569</v>
      </c>
      <c r="AQ1197">
        <v>0</v>
      </c>
      <c r="AR1197">
        <v>0</v>
      </c>
      <c r="AW1197">
        <v>6510</v>
      </c>
      <c r="AX1197">
        <v>2.2080000000000002</v>
      </c>
      <c r="AY1197" t="s">
        <v>208</v>
      </c>
      <c r="BA1197">
        <v>92737751896.270004</v>
      </c>
      <c r="BB1197" t="s">
        <v>4572</v>
      </c>
      <c r="BC1197" t="s">
        <v>4576</v>
      </c>
    </row>
    <row r="1198" spans="1:55" x14ac:dyDescent="0.25">
      <c r="A1198">
        <v>1257</v>
      </c>
      <c r="B1198" t="s">
        <v>1375</v>
      </c>
      <c r="C1198" t="s">
        <v>2810</v>
      </c>
      <c r="D1198" t="s">
        <v>4245</v>
      </c>
      <c r="E1198" t="s">
        <v>4522</v>
      </c>
      <c r="F1198">
        <v>375456307</v>
      </c>
      <c r="G1198">
        <v>13.587339999999999</v>
      </c>
      <c r="H1198" t="s">
        <v>4531</v>
      </c>
      <c r="I1198">
        <v>5101452498.3533802</v>
      </c>
      <c r="J1198" t="s">
        <v>204</v>
      </c>
      <c r="K1198">
        <v>3367248.5429913201</v>
      </c>
      <c r="L1198">
        <v>0.65</v>
      </c>
      <c r="M1198" t="s">
        <v>4536</v>
      </c>
      <c r="N1198" t="s">
        <v>4537</v>
      </c>
      <c r="O1198" t="s">
        <v>207</v>
      </c>
      <c r="Q1198" t="s">
        <v>207</v>
      </c>
      <c r="R1198" t="s">
        <v>207</v>
      </c>
      <c r="S1198" t="s">
        <v>207</v>
      </c>
      <c r="T1198" t="s">
        <v>207</v>
      </c>
      <c r="U1198" t="s">
        <v>207</v>
      </c>
      <c r="V1198" t="s">
        <v>207</v>
      </c>
      <c r="W1198" t="s">
        <v>207</v>
      </c>
      <c r="X1198" t="s">
        <v>207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209</v>
      </c>
      <c r="BA1198">
        <v>3315944123.929697</v>
      </c>
      <c r="BB1198" t="s">
        <v>4572</v>
      </c>
      <c r="BC1198" t="s">
        <v>4575</v>
      </c>
    </row>
    <row r="1199" spans="1:55" x14ac:dyDescent="0.25">
      <c r="A1199">
        <v>1415</v>
      </c>
      <c r="B1199" t="s">
        <v>1376</v>
      </c>
      <c r="C1199" t="s">
        <v>2811</v>
      </c>
      <c r="D1199" t="s">
        <v>4246</v>
      </c>
      <c r="E1199" t="s">
        <v>4525</v>
      </c>
      <c r="F1199">
        <v>1844093100</v>
      </c>
      <c r="G1199">
        <v>1.3090569999999999</v>
      </c>
      <c r="H1199" t="s">
        <v>4533</v>
      </c>
      <c r="I1199">
        <v>2414022981.2066998</v>
      </c>
      <c r="J1199" t="s">
        <v>205</v>
      </c>
      <c r="K1199">
        <v>10623006.351663699</v>
      </c>
      <c r="L1199">
        <v>1</v>
      </c>
      <c r="M1199" t="s">
        <v>4536</v>
      </c>
      <c r="O1199" t="s">
        <v>207</v>
      </c>
      <c r="Q1199" t="s">
        <v>207</v>
      </c>
      <c r="R1199" t="s">
        <v>207</v>
      </c>
      <c r="S1199" t="s">
        <v>207</v>
      </c>
      <c r="T1199" t="s">
        <v>207</v>
      </c>
      <c r="U1199" t="s">
        <v>207</v>
      </c>
      <c r="V1199" t="s">
        <v>207</v>
      </c>
      <c r="W1199" t="s">
        <v>207</v>
      </c>
      <c r="X1199" t="s">
        <v>207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210</v>
      </c>
      <c r="BA1199">
        <v>2414022981.2066998</v>
      </c>
      <c r="BB1199" t="s">
        <v>4572</v>
      </c>
      <c r="BC1199" t="s">
        <v>4536</v>
      </c>
    </row>
    <row r="1200" spans="1:55" x14ac:dyDescent="0.25">
      <c r="A1200">
        <v>1230</v>
      </c>
      <c r="B1200" t="s">
        <v>1377</v>
      </c>
      <c r="C1200" t="s">
        <v>2812</v>
      </c>
      <c r="D1200" t="s">
        <v>4247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204</v>
      </c>
      <c r="K1200">
        <v>4976802.5069741402</v>
      </c>
      <c r="L1200">
        <v>1</v>
      </c>
      <c r="M1200" t="s">
        <v>4536</v>
      </c>
      <c r="N1200" t="s">
        <v>4537</v>
      </c>
      <c r="O1200" t="s">
        <v>207</v>
      </c>
      <c r="Q1200" t="s">
        <v>207</v>
      </c>
      <c r="R1200" t="s">
        <v>207</v>
      </c>
      <c r="S1200" t="s">
        <v>207</v>
      </c>
      <c r="T1200" t="s">
        <v>207</v>
      </c>
      <c r="U1200" t="s">
        <v>207</v>
      </c>
      <c r="V1200" t="s">
        <v>207</v>
      </c>
      <c r="W1200" t="s">
        <v>207</v>
      </c>
      <c r="X1200" t="s">
        <v>207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209</v>
      </c>
      <c r="AZ1200" t="s">
        <v>4571</v>
      </c>
      <c r="BA1200">
        <v>3501051964.573</v>
      </c>
      <c r="BB1200" t="s">
        <v>4572</v>
      </c>
      <c r="BC1200" t="s">
        <v>4584</v>
      </c>
    </row>
    <row r="1201" spans="1:55" x14ac:dyDescent="0.25">
      <c r="A1201">
        <v>959</v>
      </c>
      <c r="B1201" t="s">
        <v>1378</v>
      </c>
      <c r="C1201" t="s">
        <v>2813</v>
      </c>
      <c r="D1201" t="s">
        <v>4248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204</v>
      </c>
      <c r="K1201">
        <v>13559793.420091899</v>
      </c>
      <c r="L1201">
        <v>1</v>
      </c>
      <c r="O1201" t="s">
        <v>207</v>
      </c>
      <c r="Q1201" t="s">
        <v>207</v>
      </c>
      <c r="R1201" t="s">
        <v>207</v>
      </c>
      <c r="S1201" t="s">
        <v>207</v>
      </c>
      <c r="T1201" t="s">
        <v>207</v>
      </c>
      <c r="U1201" t="s">
        <v>207</v>
      </c>
      <c r="V1201" t="s">
        <v>207</v>
      </c>
      <c r="W1201" t="s">
        <v>207</v>
      </c>
      <c r="X1201" t="s">
        <v>207</v>
      </c>
      <c r="AK1201">
        <v>0</v>
      </c>
      <c r="AL1201">
        <v>0.06</v>
      </c>
      <c r="AM1201">
        <v>0</v>
      </c>
      <c r="AO1201" t="s">
        <v>4568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209</v>
      </c>
      <c r="BA1201">
        <v>6787438652.3484993</v>
      </c>
      <c r="BB1201" t="s">
        <v>4572</v>
      </c>
      <c r="BC1201" t="s">
        <v>4568</v>
      </c>
    </row>
    <row r="1202" spans="1:55" x14ac:dyDescent="0.25">
      <c r="A1202">
        <v>136</v>
      </c>
      <c r="B1202" t="s">
        <v>179</v>
      </c>
      <c r="C1202" t="s">
        <v>41</v>
      </c>
      <c r="D1202" t="s">
        <v>81</v>
      </c>
      <c r="E1202" t="s">
        <v>88</v>
      </c>
      <c r="F1202">
        <v>203844400</v>
      </c>
      <c r="G1202">
        <v>580.94690000000003</v>
      </c>
      <c r="H1202" t="s">
        <v>98</v>
      </c>
      <c r="I1202">
        <v>118422772262.36</v>
      </c>
      <c r="J1202" t="s">
        <v>202</v>
      </c>
      <c r="K1202">
        <v>1189509816.97106</v>
      </c>
      <c r="L1202">
        <v>0.75</v>
      </c>
      <c r="O1202" t="s">
        <v>207</v>
      </c>
      <c r="Q1202" t="s">
        <v>207</v>
      </c>
      <c r="R1202" t="s">
        <v>207</v>
      </c>
      <c r="S1202" t="s">
        <v>207</v>
      </c>
      <c r="T1202" t="s">
        <v>207</v>
      </c>
      <c r="U1202" t="s">
        <v>207</v>
      </c>
      <c r="V1202" t="s">
        <v>207</v>
      </c>
      <c r="W1202" t="s">
        <v>207</v>
      </c>
      <c r="X1202" t="s">
        <v>207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208</v>
      </c>
      <c r="BA1202">
        <v>88817079196.770004</v>
      </c>
      <c r="BB1202" t="s">
        <v>211</v>
      </c>
    </row>
    <row r="1203" spans="1:55" x14ac:dyDescent="0.25">
      <c r="A1203">
        <v>1170</v>
      </c>
      <c r="B1203" t="s">
        <v>1379</v>
      </c>
      <c r="C1203" t="s">
        <v>2814</v>
      </c>
      <c r="D1203" t="s">
        <v>4249</v>
      </c>
      <c r="E1203" t="s">
        <v>93</v>
      </c>
      <c r="F1203">
        <v>122531600</v>
      </c>
      <c r="G1203">
        <v>45.406590000000001</v>
      </c>
      <c r="H1203" t="s">
        <v>101</v>
      </c>
      <c r="I1203">
        <v>5563742123.2440004</v>
      </c>
      <c r="J1203" t="s">
        <v>205</v>
      </c>
      <c r="K1203">
        <v>23580881.951979399</v>
      </c>
      <c r="L1203">
        <v>0.7</v>
      </c>
      <c r="M1203" t="s">
        <v>4536</v>
      </c>
      <c r="O1203" t="s">
        <v>207</v>
      </c>
      <c r="Q1203" t="s">
        <v>207</v>
      </c>
      <c r="R1203" t="s">
        <v>207</v>
      </c>
      <c r="S1203" t="s">
        <v>207</v>
      </c>
      <c r="T1203" t="s">
        <v>207</v>
      </c>
      <c r="U1203" t="s">
        <v>207</v>
      </c>
      <c r="V1203" t="s">
        <v>207</v>
      </c>
      <c r="W1203" t="s">
        <v>207</v>
      </c>
      <c r="X1203" t="s">
        <v>207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210</v>
      </c>
      <c r="AZ1203" t="s">
        <v>4571</v>
      </c>
      <c r="BA1203">
        <v>3894619486.2708001</v>
      </c>
      <c r="BB1203" t="s">
        <v>4572</v>
      </c>
      <c r="BC1203" t="s">
        <v>4577</v>
      </c>
    </row>
    <row r="1204" spans="1:55" x14ac:dyDescent="0.25">
      <c r="A1204">
        <v>679</v>
      </c>
      <c r="B1204" t="s">
        <v>1380</v>
      </c>
      <c r="C1204" t="s">
        <v>2815</v>
      </c>
      <c r="D1204" t="s">
        <v>4250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202</v>
      </c>
      <c r="K1204">
        <v>100752966.107485</v>
      </c>
      <c r="L1204">
        <v>0.85</v>
      </c>
      <c r="M1204" t="s">
        <v>4536</v>
      </c>
      <c r="O1204" t="s">
        <v>207</v>
      </c>
      <c r="Q1204" t="s">
        <v>207</v>
      </c>
      <c r="R1204" t="s">
        <v>207</v>
      </c>
      <c r="S1204" t="s">
        <v>207</v>
      </c>
      <c r="T1204" t="s">
        <v>207</v>
      </c>
      <c r="U1204" t="s">
        <v>207</v>
      </c>
      <c r="V1204" t="s">
        <v>207</v>
      </c>
      <c r="W1204" t="s">
        <v>207</v>
      </c>
      <c r="X1204" t="s">
        <v>207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208</v>
      </c>
      <c r="AZ1204" t="s">
        <v>4571</v>
      </c>
      <c r="BA1204">
        <v>17841383832.74247</v>
      </c>
      <c r="BB1204" t="s">
        <v>4572</v>
      </c>
      <c r="BC1204" t="s">
        <v>4577</v>
      </c>
    </row>
    <row r="1205" spans="1:55" x14ac:dyDescent="0.25">
      <c r="A1205">
        <v>1242</v>
      </c>
      <c r="B1205" t="s">
        <v>1381</v>
      </c>
      <c r="C1205" t="s">
        <v>2816</v>
      </c>
      <c r="D1205" t="s">
        <v>4251</v>
      </c>
      <c r="E1205" t="s">
        <v>4519</v>
      </c>
      <c r="F1205">
        <v>700651370</v>
      </c>
      <c r="G1205">
        <v>5.7548599999999999</v>
      </c>
      <c r="H1205" t="s">
        <v>4530</v>
      </c>
      <c r="I1205">
        <v>4032150543.1581998</v>
      </c>
      <c r="J1205" t="s">
        <v>204</v>
      </c>
      <c r="K1205">
        <v>18671401.603981301</v>
      </c>
      <c r="L1205">
        <v>0.85</v>
      </c>
      <c r="M1205" t="s">
        <v>4536</v>
      </c>
      <c r="O1205" t="s">
        <v>207</v>
      </c>
      <c r="Q1205" t="s">
        <v>207</v>
      </c>
      <c r="R1205" t="s">
        <v>207</v>
      </c>
      <c r="S1205" t="s">
        <v>207</v>
      </c>
      <c r="T1205" t="s">
        <v>207</v>
      </c>
      <c r="U1205" t="s">
        <v>207</v>
      </c>
      <c r="V1205" t="s">
        <v>207</v>
      </c>
      <c r="W1205" t="s">
        <v>207</v>
      </c>
      <c r="X1205" t="s">
        <v>207</v>
      </c>
      <c r="AK1205">
        <v>0</v>
      </c>
      <c r="AL1205">
        <v>0.1</v>
      </c>
      <c r="AM1205">
        <v>0</v>
      </c>
      <c r="AO1205" t="s">
        <v>4568</v>
      </c>
      <c r="AQ1205">
        <v>0</v>
      </c>
      <c r="AR1205">
        <v>0</v>
      </c>
      <c r="AW1205">
        <v>5510</v>
      </c>
      <c r="AX1205">
        <v>2.7789999999999999</v>
      </c>
      <c r="AY1205" t="s">
        <v>209</v>
      </c>
      <c r="BA1205">
        <v>3427327961.6844702</v>
      </c>
      <c r="BB1205" t="s">
        <v>4572</v>
      </c>
      <c r="BC1205" t="s">
        <v>4582</v>
      </c>
    </row>
    <row r="1206" spans="1:55" x14ac:dyDescent="0.25">
      <c r="A1206">
        <v>622</v>
      </c>
      <c r="B1206" t="s">
        <v>1382</v>
      </c>
      <c r="C1206" t="s">
        <v>2817</v>
      </c>
      <c r="D1206" t="s">
        <v>4252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204</v>
      </c>
      <c r="K1206">
        <v>39063766.521369897</v>
      </c>
      <c r="L1206">
        <v>1</v>
      </c>
      <c r="M1206" t="s">
        <v>4536</v>
      </c>
      <c r="O1206" t="s">
        <v>207</v>
      </c>
      <c r="Q1206" t="s">
        <v>207</v>
      </c>
      <c r="R1206" t="s">
        <v>207</v>
      </c>
      <c r="S1206" t="s">
        <v>207</v>
      </c>
      <c r="T1206" t="s">
        <v>207</v>
      </c>
      <c r="U1206" t="s">
        <v>207</v>
      </c>
      <c r="V1206" t="s">
        <v>207</v>
      </c>
      <c r="W1206" t="s">
        <v>207</v>
      </c>
      <c r="X1206" t="s">
        <v>207</v>
      </c>
      <c r="AK1206">
        <v>0</v>
      </c>
      <c r="AL1206">
        <v>0.28699999999999998</v>
      </c>
      <c r="AM1206">
        <v>0.12959999999999999</v>
      </c>
      <c r="AO1206" t="s">
        <v>4568</v>
      </c>
      <c r="AP1206" t="s">
        <v>4569</v>
      </c>
      <c r="AQ1206">
        <v>0</v>
      </c>
      <c r="AR1206">
        <v>0</v>
      </c>
      <c r="AW1206">
        <v>6510</v>
      </c>
      <c r="AX1206">
        <v>2.62</v>
      </c>
      <c r="AY1206" t="s">
        <v>209</v>
      </c>
      <c r="BA1206">
        <v>19938763130.493999</v>
      </c>
      <c r="BB1206" t="s">
        <v>4572</v>
      </c>
      <c r="BC1206" t="s">
        <v>4595</v>
      </c>
    </row>
    <row r="1207" spans="1:55" x14ac:dyDescent="0.25">
      <c r="A1207">
        <v>935</v>
      </c>
      <c r="B1207" t="s">
        <v>1383</v>
      </c>
      <c r="C1207" t="s">
        <v>2818</v>
      </c>
      <c r="D1207" t="s">
        <v>4253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204</v>
      </c>
      <c r="K1207">
        <v>15801062.6867617</v>
      </c>
      <c r="L1207">
        <v>1</v>
      </c>
      <c r="M1207" t="s">
        <v>4536</v>
      </c>
      <c r="O1207" t="s">
        <v>207</v>
      </c>
      <c r="Q1207" t="s">
        <v>207</v>
      </c>
      <c r="R1207" t="s">
        <v>207</v>
      </c>
      <c r="S1207" t="s">
        <v>207</v>
      </c>
      <c r="T1207" t="s">
        <v>207</v>
      </c>
      <c r="U1207" t="s">
        <v>207</v>
      </c>
      <c r="V1207" t="s">
        <v>207</v>
      </c>
      <c r="W1207" t="s">
        <v>207</v>
      </c>
      <c r="X1207" t="s">
        <v>207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209</v>
      </c>
      <c r="BA1207">
        <v>7300280143.2689991</v>
      </c>
      <c r="BB1207" t="s">
        <v>4572</v>
      </c>
      <c r="BC1207" t="s">
        <v>4536</v>
      </c>
    </row>
    <row r="1208" spans="1:55" x14ac:dyDescent="0.25">
      <c r="A1208">
        <v>478</v>
      </c>
      <c r="B1208" t="s">
        <v>1384</v>
      </c>
      <c r="C1208" t="s">
        <v>2819</v>
      </c>
      <c r="D1208" t="s">
        <v>4254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204</v>
      </c>
      <c r="K1208">
        <v>49461386.726039</v>
      </c>
      <c r="L1208">
        <v>0.8</v>
      </c>
      <c r="M1208" t="s">
        <v>4536</v>
      </c>
      <c r="O1208" t="s">
        <v>207</v>
      </c>
      <c r="Q1208" t="s">
        <v>207</v>
      </c>
      <c r="R1208" t="s">
        <v>207</v>
      </c>
      <c r="S1208" t="s">
        <v>207</v>
      </c>
      <c r="T1208" t="s">
        <v>207</v>
      </c>
      <c r="U1208" t="s">
        <v>207</v>
      </c>
      <c r="V1208" t="s">
        <v>207</v>
      </c>
      <c r="W1208" t="s">
        <v>207</v>
      </c>
      <c r="X1208" t="s">
        <v>207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209</v>
      </c>
      <c r="BA1208">
        <v>27622239087.599998</v>
      </c>
      <c r="BB1208" t="s">
        <v>4572</v>
      </c>
      <c r="BC1208" t="s">
        <v>4536</v>
      </c>
    </row>
    <row r="1209" spans="1:55" x14ac:dyDescent="0.25">
      <c r="A1209">
        <v>1455</v>
      </c>
      <c r="B1209" t="s">
        <v>1385</v>
      </c>
      <c r="C1209" t="s">
        <v>2820</v>
      </c>
      <c r="D1209" t="s">
        <v>4255</v>
      </c>
      <c r="E1209" t="s">
        <v>93</v>
      </c>
      <c r="F1209">
        <v>167500000</v>
      </c>
      <c r="G1209">
        <v>16.033000000000001</v>
      </c>
      <c r="H1209" t="s">
        <v>101</v>
      </c>
      <c r="I1209">
        <v>2685527500</v>
      </c>
      <c r="J1209" t="s">
        <v>205</v>
      </c>
      <c r="K1209">
        <v>9920033.7958813906</v>
      </c>
      <c r="L1209">
        <v>0.8</v>
      </c>
      <c r="M1209" t="s">
        <v>4536</v>
      </c>
      <c r="N1209" t="s">
        <v>4537</v>
      </c>
      <c r="O1209" t="s">
        <v>207</v>
      </c>
      <c r="Q1209" t="s">
        <v>207</v>
      </c>
      <c r="R1209" t="s">
        <v>207</v>
      </c>
      <c r="S1209" t="s">
        <v>207</v>
      </c>
      <c r="T1209" t="s">
        <v>207</v>
      </c>
      <c r="U1209" t="s">
        <v>207</v>
      </c>
      <c r="V1209" t="s">
        <v>207</v>
      </c>
      <c r="W1209" t="s">
        <v>207</v>
      </c>
      <c r="X1209" t="s">
        <v>207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210</v>
      </c>
      <c r="AZ1209" t="s">
        <v>4571</v>
      </c>
      <c r="BA1209">
        <v>2148422000</v>
      </c>
      <c r="BB1209" t="s">
        <v>4572</v>
      </c>
      <c r="BC1209" t="s">
        <v>4584</v>
      </c>
    </row>
    <row r="1210" spans="1:55" x14ac:dyDescent="0.25">
      <c r="A1210">
        <v>98</v>
      </c>
      <c r="B1210" t="s">
        <v>1386</v>
      </c>
      <c r="C1210" t="s">
        <v>2821</v>
      </c>
      <c r="D1210" t="s">
        <v>4256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202</v>
      </c>
      <c r="K1210">
        <v>885452747.304847</v>
      </c>
      <c r="L1210">
        <v>1</v>
      </c>
      <c r="M1210" t="s">
        <v>4536</v>
      </c>
      <c r="O1210" t="s">
        <v>4538</v>
      </c>
      <c r="P1210" t="s">
        <v>4540</v>
      </c>
      <c r="Q1210" t="s">
        <v>207</v>
      </c>
      <c r="R1210" t="s">
        <v>207</v>
      </c>
      <c r="S1210" t="s">
        <v>207</v>
      </c>
      <c r="T1210" t="s">
        <v>207</v>
      </c>
      <c r="U1210" t="s">
        <v>207</v>
      </c>
      <c r="V1210" t="s">
        <v>207</v>
      </c>
      <c r="W1210" t="s">
        <v>207</v>
      </c>
      <c r="X1210" t="s">
        <v>207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208</v>
      </c>
      <c r="AZ1210" t="s">
        <v>4571</v>
      </c>
      <c r="BA1210">
        <v>121412602530</v>
      </c>
      <c r="BB1210" t="s">
        <v>4572</v>
      </c>
      <c r="BC1210" t="s">
        <v>4654</v>
      </c>
    </row>
    <row r="1211" spans="1:55" x14ac:dyDescent="0.25">
      <c r="A1211">
        <v>482</v>
      </c>
      <c r="B1211" t="s">
        <v>1387</v>
      </c>
      <c r="C1211" t="s">
        <v>2822</v>
      </c>
      <c r="D1211" t="s">
        <v>4257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202</v>
      </c>
      <c r="K1211">
        <v>197740250.34619799</v>
      </c>
      <c r="L1211">
        <v>1</v>
      </c>
      <c r="M1211" t="s">
        <v>4536</v>
      </c>
      <c r="O1211" t="s">
        <v>207</v>
      </c>
      <c r="Q1211" t="s">
        <v>207</v>
      </c>
      <c r="R1211" t="s">
        <v>207</v>
      </c>
      <c r="S1211" t="s">
        <v>207</v>
      </c>
      <c r="T1211" t="s">
        <v>207</v>
      </c>
      <c r="U1211" t="s">
        <v>207</v>
      </c>
      <c r="V1211" t="s">
        <v>207</v>
      </c>
      <c r="W1211" t="s">
        <v>207</v>
      </c>
      <c r="X1211" t="s">
        <v>207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208</v>
      </c>
      <c r="BA1211">
        <v>27232807113.168999</v>
      </c>
      <c r="BB1211" t="s">
        <v>4572</v>
      </c>
      <c r="BC1211" t="s">
        <v>4536</v>
      </c>
    </row>
    <row r="1212" spans="1:55" x14ac:dyDescent="0.25">
      <c r="A1212">
        <v>1235</v>
      </c>
      <c r="B1212" t="s">
        <v>1388</v>
      </c>
      <c r="C1212" t="s">
        <v>2823</v>
      </c>
      <c r="D1212" t="s">
        <v>4258</v>
      </c>
      <c r="E1212" t="s">
        <v>94</v>
      </c>
      <c r="F1212">
        <v>1106290600</v>
      </c>
      <c r="G1212">
        <v>3.4878049999999998</v>
      </c>
      <c r="H1212" t="s">
        <v>102</v>
      </c>
      <c r="I1212">
        <v>3858525886.1329999</v>
      </c>
      <c r="J1212" t="s">
        <v>205</v>
      </c>
      <c r="K1212">
        <v>8315862.7741148695</v>
      </c>
      <c r="L1212">
        <v>0.9</v>
      </c>
      <c r="M1212" t="s">
        <v>4536</v>
      </c>
      <c r="N1212" t="s">
        <v>4537</v>
      </c>
      <c r="O1212" t="s">
        <v>207</v>
      </c>
      <c r="Q1212" t="s">
        <v>207</v>
      </c>
      <c r="R1212" t="s">
        <v>207</v>
      </c>
      <c r="S1212" t="s">
        <v>207</v>
      </c>
      <c r="T1212" t="s">
        <v>207</v>
      </c>
      <c r="U1212" t="s">
        <v>207</v>
      </c>
      <c r="V1212" t="s">
        <v>207</v>
      </c>
      <c r="W1212" t="s">
        <v>207</v>
      </c>
      <c r="X1212" t="s">
        <v>207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210</v>
      </c>
      <c r="AZ1212" t="s">
        <v>4571</v>
      </c>
      <c r="BA1212">
        <v>3472673297.5197001</v>
      </c>
      <c r="BB1212" t="s">
        <v>4572</v>
      </c>
      <c r="BC1212" t="s">
        <v>4584</v>
      </c>
    </row>
    <row r="1213" spans="1:55" x14ac:dyDescent="0.25">
      <c r="A1213">
        <v>669</v>
      </c>
      <c r="B1213" t="s">
        <v>1389</v>
      </c>
      <c r="C1213" t="s">
        <v>2824</v>
      </c>
      <c r="D1213" t="s">
        <v>4259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202</v>
      </c>
      <c r="K1213">
        <v>201457799.40846199</v>
      </c>
      <c r="L1213">
        <v>0.95</v>
      </c>
      <c r="M1213" t="s">
        <v>4536</v>
      </c>
      <c r="O1213" t="s">
        <v>207</v>
      </c>
      <c r="Q1213" t="s">
        <v>207</v>
      </c>
      <c r="R1213" t="s">
        <v>207</v>
      </c>
      <c r="S1213" t="s">
        <v>207</v>
      </c>
      <c r="T1213" t="s">
        <v>207</v>
      </c>
      <c r="U1213" t="s">
        <v>207</v>
      </c>
      <c r="V1213" t="s">
        <v>207</v>
      </c>
      <c r="W1213" t="s">
        <v>207</v>
      </c>
      <c r="X1213" t="s">
        <v>207</v>
      </c>
      <c r="AK1213">
        <v>0</v>
      </c>
      <c r="AL1213">
        <v>0.06</v>
      </c>
      <c r="AM1213">
        <v>0</v>
      </c>
      <c r="AO1213" t="s">
        <v>4568</v>
      </c>
      <c r="AQ1213">
        <v>0</v>
      </c>
      <c r="AR1213">
        <v>0</v>
      </c>
      <c r="AW1213">
        <v>5510</v>
      </c>
      <c r="AX1213">
        <v>1.6919999999999999</v>
      </c>
      <c r="AY1213" t="s">
        <v>208</v>
      </c>
      <c r="AZ1213" t="s">
        <v>4571</v>
      </c>
      <c r="BA1213">
        <v>18082203354.125</v>
      </c>
      <c r="BB1213" t="s">
        <v>4572</v>
      </c>
      <c r="BC1213" t="s">
        <v>4594</v>
      </c>
    </row>
    <row r="1214" spans="1:55" x14ac:dyDescent="0.25">
      <c r="A1214">
        <v>480</v>
      </c>
      <c r="B1214" t="s">
        <v>1390</v>
      </c>
      <c r="C1214" t="s">
        <v>2825</v>
      </c>
      <c r="D1214" t="s">
        <v>4260</v>
      </c>
      <c r="E1214" t="s">
        <v>4517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203</v>
      </c>
      <c r="K1214">
        <v>198824448.27852499</v>
      </c>
      <c r="L1214">
        <v>0.70000000000000007</v>
      </c>
      <c r="M1214" t="s">
        <v>4536</v>
      </c>
      <c r="O1214" t="s">
        <v>206</v>
      </c>
      <c r="Q1214" t="s">
        <v>207</v>
      </c>
      <c r="R1214" t="s">
        <v>207</v>
      </c>
      <c r="S1214" t="s">
        <v>207</v>
      </c>
      <c r="T1214" t="s">
        <v>207</v>
      </c>
      <c r="U1214" t="s">
        <v>207</v>
      </c>
      <c r="V1214" t="s">
        <v>207</v>
      </c>
      <c r="W1214" t="s">
        <v>207</v>
      </c>
      <c r="X1214" t="s">
        <v>207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209</v>
      </c>
      <c r="BA1214">
        <v>27343568190.187199</v>
      </c>
      <c r="BB1214" t="s">
        <v>4572</v>
      </c>
      <c r="BC1214" t="s">
        <v>4536</v>
      </c>
    </row>
    <row r="1215" spans="1:55" x14ac:dyDescent="0.25">
      <c r="A1215">
        <v>600</v>
      </c>
      <c r="B1215" t="s">
        <v>1391</v>
      </c>
      <c r="C1215" t="s">
        <v>2826</v>
      </c>
      <c r="D1215" t="s">
        <v>4261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202</v>
      </c>
      <c r="K1215">
        <v>103871590.018408</v>
      </c>
      <c r="L1215">
        <v>1</v>
      </c>
      <c r="O1215" t="s">
        <v>207</v>
      </c>
      <c r="Q1215" t="s">
        <v>207</v>
      </c>
      <c r="R1215" t="s">
        <v>207</v>
      </c>
      <c r="S1215" t="s">
        <v>207</v>
      </c>
      <c r="T1215" t="s">
        <v>207</v>
      </c>
      <c r="U1215" t="s">
        <v>207</v>
      </c>
      <c r="V1215" t="s">
        <v>207</v>
      </c>
      <c r="W1215" t="s">
        <v>207</v>
      </c>
      <c r="X1215" t="s">
        <v>207</v>
      </c>
      <c r="AG1215" t="s">
        <v>4546</v>
      </c>
      <c r="AH1215" t="s">
        <v>4562</v>
      </c>
      <c r="AI1215" t="s">
        <v>4565</v>
      </c>
      <c r="AJ1215" t="s">
        <v>4566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208</v>
      </c>
      <c r="AZ1215" t="s">
        <v>4571</v>
      </c>
      <c r="BA1215">
        <v>20727113540.581799</v>
      </c>
      <c r="BB1215" t="s">
        <v>4572</v>
      </c>
      <c r="BC1215" t="s">
        <v>4598</v>
      </c>
    </row>
    <row r="1216" spans="1:55" x14ac:dyDescent="0.25">
      <c r="A1216">
        <v>925</v>
      </c>
      <c r="B1216" t="s">
        <v>1392</v>
      </c>
      <c r="C1216" t="s">
        <v>2827</v>
      </c>
      <c r="D1216" t="s">
        <v>4262</v>
      </c>
      <c r="E1216" t="s">
        <v>94</v>
      </c>
      <c r="F1216">
        <v>2387171600</v>
      </c>
      <c r="G1216">
        <v>3.1280489999999999</v>
      </c>
      <c r="H1216" t="s">
        <v>102</v>
      </c>
      <c r="I1216">
        <v>7467189736.2083998</v>
      </c>
      <c r="J1216" t="s">
        <v>205</v>
      </c>
      <c r="K1216">
        <v>17293390.303247198</v>
      </c>
      <c r="L1216">
        <v>1</v>
      </c>
      <c r="M1216" t="s">
        <v>4536</v>
      </c>
      <c r="O1216" t="s">
        <v>207</v>
      </c>
      <c r="Q1216" t="s">
        <v>207</v>
      </c>
      <c r="R1216" t="s">
        <v>207</v>
      </c>
      <c r="S1216" t="s">
        <v>207</v>
      </c>
      <c r="T1216" t="s">
        <v>207</v>
      </c>
      <c r="U1216" t="s">
        <v>207</v>
      </c>
      <c r="V1216" t="s">
        <v>207</v>
      </c>
      <c r="W1216" t="s">
        <v>207</v>
      </c>
      <c r="X1216" t="s">
        <v>207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210</v>
      </c>
      <c r="BA1216">
        <v>7467189736.2083998</v>
      </c>
      <c r="BB1216" t="s">
        <v>4572</v>
      </c>
      <c r="BC1216" t="s">
        <v>4536</v>
      </c>
    </row>
    <row r="1217" spans="1:55" x14ac:dyDescent="0.25">
      <c r="A1217">
        <v>971</v>
      </c>
      <c r="B1217" t="s">
        <v>1393</v>
      </c>
      <c r="C1217" t="s">
        <v>2828</v>
      </c>
      <c r="D1217" t="s">
        <v>4263</v>
      </c>
      <c r="E1217" t="s">
        <v>4528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203</v>
      </c>
      <c r="K1217">
        <v>19128821.576101702</v>
      </c>
      <c r="L1217">
        <v>1</v>
      </c>
      <c r="M1217" t="s">
        <v>4536</v>
      </c>
      <c r="O1217" t="s">
        <v>206</v>
      </c>
      <c r="Q1217" t="s">
        <v>207</v>
      </c>
      <c r="R1217" t="s">
        <v>207</v>
      </c>
      <c r="S1217" t="s">
        <v>207</v>
      </c>
      <c r="T1217" t="s">
        <v>207</v>
      </c>
      <c r="U1217" t="s">
        <v>207</v>
      </c>
      <c r="V1217" t="s">
        <v>207</v>
      </c>
      <c r="W1217" t="s">
        <v>207</v>
      </c>
      <c r="X1217" t="s">
        <v>207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209</v>
      </c>
      <c r="BA1217">
        <v>6565943286.000001</v>
      </c>
      <c r="BB1217" t="s">
        <v>4572</v>
      </c>
      <c r="BC1217" t="s">
        <v>4536</v>
      </c>
    </row>
    <row r="1218" spans="1:55" x14ac:dyDescent="0.25">
      <c r="A1218">
        <v>1091</v>
      </c>
      <c r="B1218" t="s">
        <v>1394</v>
      </c>
      <c r="C1218" t="s">
        <v>2829</v>
      </c>
      <c r="D1218" t="s">
        <v>4264</v>
      </c>
      <c r="E1218" t="s">
        <v>4522</v>
      </c>
      <c r="F1218">
        <v>447972681</v>
      </c>
      <c r="G1218">
        <v>10.611890000000001</v>
      </c>
      <c r="H1218" t="s">
        <v>4531</v>
      </c>
      <c r="I1218">
        <v>4753836813.7770901</v>
      </c>
      <c r="J1218" t="s">
        <v>204</v>
      </c>
      <c r="K1218">
        <v>7342922.1966118803</v>
      </c>
      <c r="L1218">
        <v>1</v>
      </c>
      <c r="M1218" t="s">
        <v>4536</v>
      </c>
      <c r="N1218" t="s">
        <v>4537</v>
      </c>
      <c r="O1218" t="s">
        <v>207</v>
      </c>
      <c r="Q1218" t="s">
        <v>207</v>
      </c>
      <c r="R1218" t="s">
        <v>207</v>
      </c>
      <c r="S1218" t="s">
        <v>207</v>
      </c>
      <c r="T1218" t="s">
        <v>207</v>
      </c>
      <c r="U1218" t="s">
        <v>207</v>
      </c>
      <c r="V1218" t="s">
        <v>207</v>
      </c>
      <c r="W1218" t="s">
        <v>207</v>
      </c>
      <c r="X1218" t="s">
        <v>207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209</v>
      </c>
      <c r="BA1218">
        <v>4753836813.7770901</v>
      </c>
      <c r="BB1218" t="s">
        <v>4572</v>
      </c>
      <c r="BC1218" t="s">
        <v>4575</v>
      </c>
    </row>
    <row r="1219" spans="1:55" x14ac:dyDescent="0.25">
      <c r="A1219">
        <v>1219</v>
      </c>
      <c r="B1219" t="s">
        <v>1395</v>
      </c>
      <c r="C1219" t="s">
        <v>2830</v>
      </c>
      <c r="D1219" t="s">
        <v>4265</v>
      </c>
      <c r="E1219" t="s">
        <v>4524</v>
      </c>
      <c r="F1219">
        <v>118221980</v>
      </c>
      <c r="G1219">
        <v>54.7</v>
      </c>
      <c r="H1219" t="s">
        <v>99</v>
      </c>
      <c r="I1219">
        <v>6466742306</v>
      </c>
      <c r="J1219" t="s">
        <v>203</v>
      </c>
      <c r="K1219">
        <v>793660.63360655704</v>
      </c>
      <c r="L1219">
        <v>0.55000000000000004</v>
      </c>
      <c r="M1219" t="s">
        <v>4536</v>
      </c>
      <c r="N1219" t="s">
        <v>4537</v>
      </c>
      <c r="O1219" t="s">
        <v>206</v>
      </c>
      <c r="Q1219" t="s">
        <v>207</v>
      </c>
      <c r="R1219" t="s">
        <v>207</v>
      </c>
      <c r="S1219" t="s">
        <v>207</v>
      </c>
      <c r="T1219" t="s">
        <v>207</v>
      </c>
      <c r="U1219" t="s">
        <v>207</v>
      </c>
      <c r="V1219" t="s">
        <v>207</v>
      </c>
      <c r="W1219" t="s">
        <v>207</v>
      </c>
      <c r="X1219" t="s">
        <v>207</v>
      </c>
      <c r="AK1219">
        <v>0</v>
      </c>
      <c r="AL1219">
        <v>0.05</v>
      </c>
      <c r="AM1219">
        <v>0</v>
      </c>
      <c r="AO1219" t="s">
        <v>4568</v>
      </c>
      <c r="AQ1219">
        <v>0</v>
      </c>
      <c r="AR1219">
        <v>0</v>
      </c>
      <c r="AW1219">
        <v>5010</v>
      </c>
      <c r="AX1219">
        <v>2.11</v>
      </c>
      <c r="AY1219" t="s">
        <v>209</v>
      </c>
      <c r="BA1219">
        <v>3556708268.3000002</v>
      </c>
      <c r="BB1219" t="s">
        <v>4572</v>
      </c>
      <c r="BC1219" t="s">
        <v>4579</v>
      </c>
    </row>
    <row r="1220" spans="1:55" x14ac:dyDescent="0.25">
      <c r="A1220">
        <v>713</v>
      </c>
      <c r="B1220" t="s">
        <v>1396</v>
      </c>
      <c r="C1220" t="s">
        <v>2831</v>
      </c>
      <c r="D1220" t="s">
        <v>4266</v>
      </c>
      <c r="E1220" t="s">
        <v>95</v>
      </c>
      <c r="F1220">
        <v>159455250</v>
      </c>
      <c r="G1220">
        <v>138.75899999999999</v>
      </c>
      <c r="H1220" t="s">
        <v>103</v>
      </c>
      <c r="I1220">
        <v>22125851034.75</v>
      </c>
      <c r="J1220" t="s">
        <v>204</v>
      </c>
      <c r="K1220">
        <v>38963232.823840298</v>
      </c>
      <c r="L1220">
        <v>0.75</v>
      </c>
      <c r="O1220" t="s">
        <v>207</v>
      </c>
      <c r="Q1220" t="s">
        <v>207</v>
      </c>
      <c r="R1220" t="s">
        <v>207</v>
      </c>
      <c r="S1220" t="s">
        <v>207</v>
      </c>
      <c r="T1220" t="s">
        <v>207</v>
      </c>
      <c r="U1220" t="s">
        <v>207</v>
      </c>
      <c r="V1220" t="s">
        <v>207</v>
      </c>
      <c r="W1220" t="s">
        <v>207</v>
      </c>
      <c r="X1220" t="s">
        <v>207</v>
      </c>
      <c r="AG1220" t="s">
        <v>4546</v>
      </c>
      <c r="AH1220" t="s">
        <v>4562</v>
      </c>
      <c r="AI1220" t="s">
        <v>4565</v>
      </c>
      <c r="AJ1220" t="s">
        <v>4566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209</v>
      </c>
      <c r="AZ1220" t="s">
        <v>4571</v>
      </c>
      <c r="BA1220">
        <v>16594388276.0625</v>
      </c>
      <c r="BB1220" t="s">
        <v>4572</v>
      </c>
      <c r="BC1220" t="s">
        <v>4598</v>
      </c>
    </row>
    <row r="1221" spans="1:55" x14ac:dyDescent="0.25">
      <c r="A1221">
        <v>94</v>
      </c>
      <c r="B1221" t="s">
        <v>1397</v>
      </c>
      <c r="C1221" t="s">
        <v>2832</v>
      </c>
      <c r="D1221" t="s">
        <v>4267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202</v>
      </c>
      <c r="K1221">
        <v>472327047.113419</v>
      </c>
      <c r="L1221">
        <v>0.9</v>
      </c>
      <c r="O1221" t="s">
        <v>207</v>
      </c>
      <c r="Q1221" t="s">
        <v>207</v>
      </c>
      <c r="R1221" t="s">
        <v>207</v>
      </c>
      <c r="S1221" t="s">
        <v>207</v>
      </c>
      <c r="T1221" t="s">
        <v>207</v>
      </c>
      <c r="U1221" t="s">
        <v>207</v>
      </c>
      <c r="V1221" t="s">
        <v>207</v>
      </c>
      <c r="W1221" t="s">
        <v>207</v>
      </c>
      <c r="X1221" t="s">
        <v>207</v>
      </c>
      <c r="AG1221" t="s">
        <v>4546</v>
      </c>
      <c r="AH1221" t="s">
        <v>4562</v>
      </c>
      <c r="AI1221" t="s">
        <v>4565</v>
      </c>
      <c r="AJ1221" t="s">
        <v>4566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208</v>
      </c>
      <c r="BA1221">
        <v>125733891099.86549</v>
      </c>
      <c r="BB1221" t="s">
        <v>4572</v>
      </c>
      <c r="BC1221" t="s">
        <v>4581</v>
      </c>
    </row>
    <row r="1222" spans="1:55" x14ac:dyDescent="0.25">
      <c r="A1222">
        <v>825</v>
      </c>
      <c r="B1222" t="s">
        <v>1398</v>
      </c>
      <c r="C1222" t="s">
        <v>2833</v>
      </c>
      <c r="D1222" t="s">
        <v>4268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12836064072.825001</v>
      </c>
      <c r="J1222" t="s">
        <v>205</v>
      </c>
      <c r="K1222">
        <v>55585443.221145898</v>
      </c>
      <c r="L1222">
        <v>0.8</v>
      </c>
      <c r="M1222" t="s">
        <v>4536</v>
      </c>
      <c r="O1222" t="s">
        <v>207</v>
      </c>
      <c r="Q1222" t="s">
        <v>207</v>
      </c>
      <c r="R1222" t="s">
        <v>207</v>
      </c>
      <c r="S1222" t="s">
        <v>207</v>
      </c>
      <c r="T1222" t="s">
        <v>207</v>
      </c>
      <c r="U1222" t="s">
        <v>207</v>
      </c>
      <c r="V1222" t="s">
        <v>207</v>
      </c>
      <c r="W1222" t="s">
        <v>207</v>
      </c>
      <c r="X1222" t="s">
        <v>207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210</v>
      </c>
      <c r="BA1222">
        <v>10268851258.26</v>
      </c>
      <c r="BB1222" t="s">
        <v>4572</v>
      </c>
      <c r="BC1222" t="s">
        <v>4536</v>
      </c>
    </row>
    <row r="1223" spans="1:55" x14ac:dyDescent="0.25">
      <c r="A1223">
        <v>1229</v>
      </c>
      <c r="B1223" t="s">
        <v>1399</v>
      </c>
      <c r="C1223" t="s">
        <v>2834</v>
      </c>
      <c r="D1223" t="s">
        <v>4269</v>
      </c>
      <c r="E1223" t="s">
        <v>4522</v>
      </c>
      <c r="F1223">
        <v>299600000</v>
      </c>
      <c r="G1223">
        <v>15.616849999999999</v>
      </c>
      <c r="H1223" t="s">
        <v>4531</v>
      </c>
      <c r="I1223">
        <v>4678808260</v>
      </c>
      <c r="J1223" t="s">
        <v>204</v>
      </c>
      <c r="K1223">
        <v>6479610.5761454096</v>
      </c>
      <c r="L1223">
        <v>0.75</v>
      </c>
      <c r="M1223" t="s">
        <v>4536</v>
      </c>
      <c r="N1223" t="s">
        <v>4537</v>
      </c>
      <c r="O1223" t="s">
        <v>206</v>
      </c>
      <c r="Q1223" t="s">
        <v>207</v>
      </c>
      <c r="R1223" t="s">
        <v>207</v>
      </c>
      <c r="S1223" t="s">
        <v>207</v>
      </c>
      <c r="T1223" t="s">
        <v>207</v>
      </c>
      <c r="U1223" t="s">
        <v>207</v>
      </c>
      <c r="V1223" t="s">
        <v>207</v>
      </c>
      <c r="W1223" t="s">
        <v>207</v>
      </c>
      <c r="X1223" t="s">
        <v>207</v>
      </c>
      <c r="AK1223">
        <v>0</v>
      </c>
      <c r="AL1223">
        <v>0.82399999999999995</v>
      </c>
      <c r="AM1223">
        <v>0</v>
      </c>
      <c r="AO1223" t="s">
        <v>4568</v>
      </c>
      <c r="AQ1223">
        <v>0</v>
      </c>
      <c r="AR1223">
        <v>0</v>
      </c>
      <c r="AW1223">
        <v>6010</v>
      </c>
      <c r="AX1223">
        <v>2.0579999999999998</v>
      </c>
      <c r="AY1223" t="s">
        <v>209</v>
      </c>
      <c r="AZ1223" t="s">
        <v>4571</v>
      </c>
      <c r="BA1223">
        <v>3509106195</v>
      </c>
      <c r="BB1223" t="s">
        <v>4572</v>
      </c>
      <c r="BC1223" t="s">
        <v>4583</v>
      </c>
    </row>
    <row r="1224" spans="1:55" x14ac:dyDescent="0.25">
      <c r="A1224">
        <v>1452</v>
      </c>
      <c r="B1224" t="s">
        <v>1400</v>
      </c>
      <c r="C1224" t="s">
        <v>2835</v>
      </c>
      <c r="D1224" t="s">
        <v>4270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3318929759.1374002</v>
      </c>
      <c r="J1224" t="s">
        <v>205</v>
      </c>
      <c r="K1224">
        <v>8173014.4998295698</v>
      </c>
      <c r="L1224">
        <v>0.65</v>
      </c>
      <c r="M1224" t="s">
        <v>4536</v>
      </c>
      <c r="N1224" t="s">
        <v>4537</v>
      </c>
      <c r="O1224" t="s">
        <v>207</v>
      </c>
      <c r="Q1224" t="s">
        <v>207</v>
      </c>
      <c r="R1224" t="s">
        <v>207</v>
      </c>
      <c r="S1224" t="s">
        <v>207</v>
      </c>
      <c r="T1224" t="s">
        <v>207</v>
      </c>
      <c r="U1224" t="s">
        <v>207</v>
      </c>
      <c r="V1224" t="s">
        <v>207</v>
      </c>
      <c r="W1224" t="s">
        <v>207</v>
      </c>
      <c r="X1224" t="s">
        <v>207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210</v>
      </c>
      <c r="BA1224">
        <v>2157304343.4393101</v>
      </c>
      <c r="BB1224" t="s">
        <v>4572</v>
      </c>
      <c r="BC1224" t="s">
        <v>4575</v>
      </c>
    </row>
    <row r="1225" spans="1:55" x14ac:dyDescent="0.25">
      <c r="A1225">
        <v>1380</v>
      </c>
      <c r="B1225" t="s">
        <v>1401</v>
      </c>
      <c r="C1225" t="s">
        <v>2836</v>
      </c>
      <c r="D1225" t="s">
        <v>4271</v>
      </c>
      <c r="E1225" t="s">
        <v>93</v>
      </c>
      <c r="F1225">
        <v>350175140</v>
      </c>
      <c r="G1225">
        <v>7.6040039999999998</v>
      </c>
      <c r="H1225" t="s">
        <v>101</v>
      </c>
      <c r="I1225">
        <v>2662733165.26056</v>
      </c>
      <c r="J1225" t="s">
        <v>205</v>
      </c>
      <c r="K1225">
        <v>42669244.309629403</v>
      </c>
      <c r="L1225">
        <v>1</v>
      </c>
      <c r="M1225" t="s">
        <v>4536</v>
      </c>
      <c r="O1225" t="s">
        <v>207</v>
      </c>
      <c r="Q1225" t="s">
        <v>207</v>
      </c>
      <c r="R1225" t="s">
        <v>207</v>
      </c>
      <c r="S1225" t="s">
        <v>207</v>
      </c>
      <c r="T1225" t="s">
        <v>207</v>
      </c>
      <c r="U1225" t="s">
        <v>207</v>
      </c>
      <c r="V1225" t="s">
        <v>207</v>
      </c>
      <c r="W1225" t="s">
        <v>207</v>
      </c>
      <c r="X1225" t="s">
        <v>207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210</v>
      </c>
      <c r="BA1225">
        <v>2662733165.26056</v>
      </c>
      <c r="BB1225" t="s">
        <v>4572</v>
      </c>
      <c r="BC1225" t="s">
        <v>4536</v>
      </c>
    </row>
    <row r="1226" spans="1:55" x14ac:dyDescent="0.25">
      <c r="A1226">
        <v>1196</v>
      </c>
      <c r="B1226" t="s">
        <v>1402</v>
      </c>
      <c r="C1226" t="s">
        <v>2837</v>
      </c>
      <c r="D1226" t="s">
        <v>4272</v>
      </c>
      <c r="E1226" t="s">
        <v>93</v>
      </c>
      <c r="F1226">
        <v>1657217700</v>
      </c>
      <c r="G1226">
        <v>2.2217250000000002</v>
      </c>
      <c r="H1226" t="s">
        <v>101</v>
      </c>
      <c r="I1226">
        <v>3681881994.5324998</v>
      </c>
      <c r="J1226" t="s">
        <v>205</v>
      </c>
      <c r="K1226">
        <v>19587118.9363106</v>
      </c>
      <c r="L1226">
        <v>1</v>
      </c>
      <c r="M1226" t="s">
        <v>4536</v>
      </c>
      <c r="O1226" t="s">
        <v>4538</v>
      </c>
      <c r="P1226" t="s">
        <v>4540</v>
      </c>
      <c r="Q1226" t="s">
        <v>207</v>
      </c>
      <c r="R1226" t="s">
        <v>207</v>
      </c>
      <c r="S1226" t="s">
        <v>207</v>
      </c>
      <c r="T1226" t="s">
        <v>207</v>
      </c>
      <c r="U1226" t="s">
        <v>207</v>
      </c>
      <c r="V1226" t="s">
        <v>207</v>
      </c>
      <c r="W1226" t="s">
        <v>207</v>
      </c>
      <c r="X1226" t="s">
        <v>207</v>
      </c>
      <c r="AG1226" t="s">
        <v>4546</v>
      </c>
      <c r="AH1226" t="s">
        <v>4563</v>
      </c>
      <c r="AI1226" t="s">
        <v>4565</v>
      </c>
      <c r="AJ1226" t="s">
        <v>4566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210</v>
      </c>
      <c r="BA1226">
        <v>3681881994.5324998</v>
      </c>
      <c r="BB1226" t="s">
        <v>4572</v>
      </c>
      <c r="BC1226" t="s">
        <v>4655</v>
      </c>
    </row>
    <row r="1227" spans="1:55" x14ac:dyDescent="0.25">
      <c r="A1227">
        <v>564</v>
      </c>
      <c r="B1227" t="s">
        <v>1403</v>
      </c>
      <c r="C1227" t="s">
        <v>2838</v>
      </c>
      <c r="D1227" t="s">
        <v>4273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205</v>
      </c>
      <c r="K1227">
        <v>60447449.952856898</v>
      </c>
      <c r="L1227">
        <v>0.9</v>
      </c>
      <c r="O1227" t="s">
        <v>206</v>
      </c>
      <c r="Q1227" t="s">
        <v>207</v>
      </c>
      <c r="R1227" t="s">
        <v>207</v>
      </c>
      <c r="S1227" t="s">
        <v>207</v>
      </c>
      <c r="T1227" t="s">
        <v>207</v>
      </c>
      <c r="U1227" t="s">
        <v>207</v>
      </c>
      <c r="V1227" t="s">
        <v>207</v>
      </c>
      <c r="W1227" t="s">
        <v>207</v>
      </c>
      <c r="X1227" t="s">
        <v>207</v>
      </c>
      <c r="AG1227" t="s">
        <v>4546</v>
      </c>
      <c r="AH1227" t="s">
        <v>4563</v>
      </c>
      <c r="AI1227" t="s">
        <v>4565</v>
      </c>
      <c r="AJ1227" t="s">
        <v>4566</v>
      </c>
      <c r="AK1227">
        <v>6.83E-2</v>
      </c>
      <c r="AL1227">
        <v>0.2</v>
      </c>
      <c r="AM1227">
        <v>4.2000000000000003E-2</v>
      </c>
      <c r="AN1227" t="s">
        <v>4567</v>
      </c>
      <c r="AO1227" t="s">
        <v>4568</v>
      </c>
      <c r="AP1227" t="s">
        <v>4569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210</v>
      </c>
      <c r="AZ1227" t="s">
        <v>4571</v>
      </c>
      <c r="BA1227">
        <v>22613281033.681801</v>
      </c>
      <c r="BB1227" t="s">
        <v>4572</v>
      </c>
      <c r="BC1227" t="s">
        <v>4656</v>
      </c>
    </row>
    <row r="1228" spans="1:55" x14ac:dyDescent="0.25">
      <c r="A1228">
        <v>764</v>
      </c>
      <c r="B1228" t="s">
        <v>1404</v>
      </c>
      <c r="C1228" t="s">
        <v>2839</v>
      </c>
      <c r="D1228" t="s">
        <v>4274</v>
      </c>
      <c r="E1228" t="s">
        <v>93</v>
      </c>
      <c r="F1228">
        <v>793940550</v>
      </c>
      <c r="G1228">
        <v>17.487929999999999</v>
      </c>
      <c r="H1228" t="s">
        <v>101</v>
      </c>
      <c r="I1228">
        <v>13884376762.561501</v>
      </c>
      <c r="J1228" t="s">
        <v>205</v>
      </c>
      <c r="K1228">
        <v>71843871.3108567</v>
      </c>
      <c r="L1228">
        <v>1</v>
      </c>
      <c r="M1228" t="s">
        <v>4536</v>
      </c>
      <c r="O1228" t="s">
        <v>207</v>
      </c>
      <c r="Q1228" t="s">
        <v>207</v>
      </c>
      <c r="R1228" t="s">
        <v>207</v>
      </c>
      <c r="S1228" t="s">
        <v>207</v>
      </c>
      <c r="T1228" t="s">
        <v>207</v>
      </c>
      <c r="U1228" t="s">
        <v>207</v>
      </c>
      <c r="V1228" t="s">
        <v>207</v>
      </c>
      <c r="W1228" t="s">
        <v>207</v>
      </c>
      <c r="X1228" t="s">
        <v>207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210</v>
      </c>
      <c r="BA1228">
        <v>13884376762.561501</v>
      </c>
      <c r="BB1228" t="s">
        <v>4572</v>
      </c>
      <c r="BC1228" t="s">
        <v>4536</v>
      </c>
    </row>
    <row r="1229" spans="1:55" x14ac:dyDescent="0.25">
      <c r="A1229">
        <v>1006</v>
      </c>
      <c r="B1229" t="s">
        <v>1405</v>
      </c>
      <c r="C1229" t="s">
        <v>2840</v>
      </c>
      <c r="D1229" t="s">
        <v>4275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5981784393.5424004</v>
      </c>
      <c r="J1229" t="s">
        <v>205</v>
      </c>
      <c r="K1229">
        <v>53248558.8962093</v>
      </c>
      <c r="L1229">
        <v>1</v>
      </c>
      <c r="M1229" t="s">
        <v>4536</v>
      </c>
      <c r="O1229" t="s">
        <v>207</v>
      </c>
      <c r="Q1229" t="s">
        <v>207</v>
      </c>
      <c r="R1229" t="s">
        <v>207</v>
      </c>
      <c r="S1229" t="s">
        <v>207</v>
      </c>
      <c r="T1229" t="s">
        <v>207</v>
      </c>
      <c r="U1229" t="s">
        <v>207</v>
      </c>
      <c r="V1229" t="s">
        <v>207</v>
      </c>
      <c r="W1229" t="s">
        <v>207</v>
      </c>
      <c r="X1229" t="s">
        <v>207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210</v>
      </c>
      <c r="BA1229">
        <v>5981784393.5424004</v>
      </c>
      <c r="BB1229" t="s">
        <v>4572</v>
      </c>
      <c r="BC1229" t="s">
        <v>4536</v>
      </c>
    </row>
    <row r="1230" spans="1:55" x14ac:dyDescent="0.25">
      <c r="A1230">
        <v>1009</v>
      </c>
      <c r="B1230" t="s">
        <v>1406</v>
      </c>
      <c r="C1230" t="s">
        <v>2841</v>
      </c>
      <c r="D1230" t="s">
        <v>4276</v>
      </c>
      <c r="E1230" t="s">
        <v>93</v>
      </c>
      <c r="F1230">
        <v>290814030</v>
      </c>
      <c r="G1230">
        <v>21.449819999999999</v>
      </c>
      <c r="H1230" t="s">
        <v>101</v>
      </c>
      <c r="I1230">
        <v>6237908596.9745998</v>
      </c>
      <c r="J1230" t="s">
        <v>205</v>
      </c>
      <c r="K1230">
        <v>29454625.4546877</v>
      </c>
      <c r="L1230">
        <v>0.95</v>
      </c>
      <c r="M1230" t="s">
        <v>4536</v>
      </c>
      <c r="O1230" t="s">
        <v>207</v>
      </c>
      <c r="Q1230" t="s">
        <v>207</v>
      </c>
      <c r="R1230" t="s">
        <v>207</v>
      </c>
      <c r="S1230" t="s">
        <v>207</v>
      </c>
      <c r="T1230" t="s">
        <v>207</v>
      </c>
      <c r="U1230" t="s">
        <v>207</v>
      </c>
      <c r="V1230" t="s">
        <v>207</v>
      </c>
      <c r="W1230" t="s">
        <v>207</v>
      </c>
      <c r="X1230" t="s">
        <v>207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210</v>
      </c>
      <c r="BA1230">
        <v>5926013167.1258698</v>
      </c>
      <c r="BB1230" t="s">
        <v>4572</v>
      </c>
      <c r="BC1230" t="s">
        <v>4536</v>
      </c>
    </row>
    <row r="1231" spans="1:55" x14ac:dyDescent="0.25">
      <c r="A1231">
        <v>672</v>
      </c>
      <c r="B1231" t="s">
        <v>1407</v>
      </c>
      <c r="C1231" t="s">
        <v>2842</v>
      </c>
      <c r="D1231" t="s">
        <v>4277</v>
      </c>
      <c r="E1231" t="s">
        <v>93</v>
      </c>
      <c r="F1231">
        <v>721355400</v>
      </c>
      <c r="G1231">
        <v>24.954440000000002</v>
      </c>
      <c r="H1231" t="s">
        <v>101</v>
      </c>
      <c r="I1231">
        <v>18001020047.976002</v>
      </c>
      <c r="J1231" t="s">
        <v>205</v>
      </c>
      <c r="K1231">
        <v>53625613.068406902</v>
      </c>
      <c r="L1231">
        <v>1</v>
      </c>
      <c r="M1231" t="s">
        <v>4536</v>
      </c>
      <c r="O1231" t="s">
        <v>207</v>
      </c>
      <c r="Q1231" t="s">
        <v>207</v>
      </c>
      <c r="R1231" t="s">
        <v>207</v>
      </c>
      <c r="S1231" t="s">
        <v>207</v>
      </c>
      <c r="T1231" t="s">
        <v>207</v>
      </c>
      <c r="U1231" t="s">
        <v>207</v>
      </c>
      <c r="V1231" t="s">
        <v>207</v>
      </c>
      <c r="W1231" t="s">
        <v>207</v>
      </c>
      <c r="X1231" t="s">
        <v>207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210</v>
      </c>
      <c r="BA1231">
        <v>18001020047.976002</v>
      </c>
      <c r="BB1231" t="s">
        <v>4572</v>
      </c>
      <c r="BC1231" t="s">
        <v>4536</v>
      </c>
    </row>
    <row r="1232" spans="1:55" x14ac:dyDescent="0.25">
      <c r="A1232">
        <v>746</v>
      </c>
      <c r="B1232" t="s">
        <v>1408</v>
      </c>
      <c r="C1232" t="s">
        <v>2843</v>
      </c>
      <c r="D1232" t="s">
        <v>4278</v>
      </c>
      <c r="E1232" t="s">
        <v>93</v>
      </c>
      <c r="F1232">
        <v>476086000</v>
      </c>
      <c r="G1232">
        <v>32.398560000000003</v>
      </c>
      <c r="H1232" t="s">
        <v>101</v>
      </c>
      <c r="I1232">
        <v>15424500836.16</v>
      </c>
      <c r="J1232" t="s">
        <v>205</v>
      </c>
      <c r="K1232">
        <v>41467139.450422198</v>
      </c>
      <c r="L1232">
        <v>1</v>
      </c>
      <c r="M1232" t="s">
        <v>4536</v>
      </c>
      <c r="O1232" t="s">
        <v>207</v>
      </c>
      <c r="Q1232" t="s">
        <v>207</v>
      </c>
      <c r="R1232" t="s">
        <v>207</v>
      </c>
      <c r="S1232" t="s">
        <v>207</v>
      </c>
      <c r="T1232" t="s">
        <v>207</v>
      </c>
      <c r="U1232" t="s">
        <v>207</v>
      </c>
      <c r="V1232" t="s">
        <v>207</v>
      </c>
      <c r="W1232" t="s">
        <v>207</v>
      </c>
      <c r="X1232" t="s">
        <v>207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210</v>
      </c>
      <c r="BA1232">
        <v>15424500836.16</v>
      </c>
      <c r="BB1232" t="s">
        <v>4572</v>
      </c>
      <c r="BC1232" t="s">
        <v>4536</v>
      </c>
    </row>
    <row r="1233" spans="1:55" x14ac:dyDescent="0.25">
      <c r="A1233">
        <v>719</v>
      </c>
      <c r="B1233" t="s">
        <v>1409</v>
      </c>
      <c r="C1233" t="s">
        <v>2844</v>
      </c>
      <c r="D1233" t="s">
        <v>4279</v>
      </c>
      <c r="E1233" t="s">
        <v>4518</v>
      </c>
      <c r="F1233">
        <v>2897780300</v>
      </c>
      <c r="G1233">
        <v>8.6857600000000001</v>
      </c>
      <c r="H1233" t="s">
        <v>4529</v>
      </c>
      <c r="I1233">
        <v>25169424218.528</v>
      </c>
      <c r="J1233" t="s">
        <v>205</v>
      </c>
      <c r="K1233">
        <v>28925933.358489301</v>
      </c>
      <c r="L1233">
        <v>0.65</v>
      </c>
      <c r="M1233" t="s">
        <v>4536</v>
      </c>
      <c r="O1233" t="s">
        <v>207</v>
      </c>
      <c r="Q1233" t="s">
        <v>207</v>
      </c>
      <c r="R1233" t="s">
        <v>207</v>
      </c>
      <c r="S1233" t="s">
        <v>207</v>
      </c>
      <c r="T1233" t="s">
        <v>207</v>
      </c>
      <c r="U1233" t="s">
        <v>207</v>
      </c>
      <c r="V1233" t="s">
        <v>207</v>
      </c>
      <c r="W1233" t="s">
        <v>207</v>
      </c>
      <c r="X1233" t="s">
        <v>207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210</v>
      </c>
      <c r="AZ1233" t="s">
        <v>4571</v>
      </c>
      <c r="BA1233">
        <v>16360125742.0432</v>
      </c>
      <c r="BB1233" t="s">
        <v>4572</v>
      </c>
      <c r="BC1233" t="s">
        <v>4577</v>
      </c>
    </row>
    <row r="1234" spans="1:55" x14ac:dyDescent="0.25">
      <c r="A1234">
        <v>451</v>
      </c>
      <c r="B1234" t="s">
        <v>200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29981960142.626999</v>
      </c>
      <c r="J1234" t="s">
        <v>202</v>
      </c>
      <c r="K1234">
        <v>137375681.20969701</v>
      </c>
      <c r="L1234">
        <v>1</v>
      </c>
      <c r="O1234" t="s">
        <v>207</v>
      </c>
      <c r="Q1234" t="s">
        <v>207</v>
      </c>
      <c r="R1234" t="s">
        <v>207</v>
      </c>
      <c r="S1234" t="s">
        <v>207</v>
      </c>
      <c r="T1234" t="s">
        <v>207</v>
      </c>
      <c r="U1234" t="s">
        <v>207</v>
      </c>
      <c r="V1234" t="s">
        <v>207</v>
      </c>
      <c r="W1234" t="s">
        <v>207</v>
      </c>
      <c r="X1234" t="s">
        <v>207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208</v>
      </c>
      <c r="BA1234">
        <v>29981960142.626999</v>
      </c>
      <c r="BB1234" t="s">
        <v>211</v>
      </c>
    </row>
    <row r="1235" spans="1:55" x14ac:dyDescent="0.25">
      <c r="A1235">
        <v>287</v>
      </c>
      <c r="B1235" t="s">
        <v>1410</v>
      </c>
      <c r="C1235" t="s">
        <v>2845</v>
      </c>
      <c r="D1235" t="s">
        <v>4280</v>
      </c>
      <c r="E1235" t="s">
        <v>97</v>
      </c>
      <c r="F1235">
        <v>1257113900</v>
      </c>
      <c r="G1235">
        <v>37.838999999999999</v>
      </c>
      <c r="H1235" t="s">
        <v>104</v>
      </c>
      <c r="I1235">
        <v>47567932862.099998</v>
      </c>
      <c r="J1235" t="s">
        <v>202</v>
      </c>
      <c r="K1235">
        <v>306973243.90171999</v>
      </c>
      <c r="L1235">
        <v>1</v>
      </c>
      <c r="M1235" t="s">
        <v>4536</v>
      </c>
      <c r="O1235" t="s">
        <v>206</v>
      </c>
      <c r="Q1235" t="s">
        <v>207</v>
      </c>
      <c r="R1235" t="s">
        <v>207</v>
      </c>
      <c r="S1235" t="s">
        <v>207</v>
      </c>
      <c r="T1235" t="s">
        <v>207</v>
      </c>
      <c r="U1235" t="s">
        <v>207</v>
      </c>
      <c r="V1235" t="s">
        <v>207</v>
      </c>
      <c r="W1235" t="s">
        <v>207</v>
      </c>
      <c r="X1235" t="s">
        <v>207</v>
      </c>
      <c r="AK1235">
        <v>0</v>
      </c>
      <c r="AL1235">
        <v>1</v>
      </c>
      <c r="AM1235">
        <v>0.01</v>
      </c>
      <c r="AO1235" t="s">
        <v>4568</v>
      </c>
      <c r="AP1235" t="s">
        <v>4569</v>
      </c>
      <c r="AQ1235">
        <v>0</v>
      </c>
      <c r="AR1235">
        <v>0.01</v>
      </c>
      <c r="AW1235">
        <v>6010</v>
      </c>
      <c r="AX1235">
        <v>1.83</v>
      </c>
      <c r="AY1235" t="s">
        <v>208</v>
      </c>
      <c r="AZ1235" t="s">
        <v>4571</v>
      </c>
      <c r="BA1235">
        <v>47567932862.099998</v>
      </c>
      <c r="BB1235" t="s">
        <v>4572</v>
      </c>
      <c r="BC1235" t="s">
        <v>4611</v>
      </c>
    </row>
    <row r="1236" spans="1:55" x14ac:dyDescent="0.25">
      <c r="A1236">
        <v>780</v>
      </c>
      <c r="B1236" t="s">
        <v>1411</v>
      </c>
      <c r="C1236" t="s">
        <v>2846</v>
      </c>
      <c r="D1236" t="s">
        <v>4281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205</v>
      </c>
      <c r="K1236">
        <v>26821661.806683101</v>
      </c>
      <c r="L1236">
        <v>1</v>
      </c>
      <c r="M1236" t="s">
        <v>4536</v>
      </c>
      <c r="O1236" t="s">
        <v>207</v>
      </c>
      <c r="Q1236" t="s">
        <v>207</v>
      </c>
      <c r="R1236" t="s">
        <v>207</v>
      </c>
      <c r="S1236" t="s">
        <v>207</v>
      </c>
      <c r="T1236" t="s">
        <v>207</v>
      </c>
      <c r="U1236" t="s">
        <v>207</v>
      </c>
      <c r="V1236" t="s">
        <v>207</v>
      </c>
      <c r="W1236" t="s">
        <v>207</v>
      </c>
      <c r="X1236" t="s">
        <v>207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210</v>
      </c>
      <c r="BA1236">
        <v>13119869892.555</v>
      </c>
      <c r="BB1236" t="s">
        <v>4572</v>
      </c>
      <c r="BC1236" t="s">
        <v>4536</v>
      </c>
    </row>
    <row r="1237" spans="1:55" x14ac:dyDescent="0.25">
      <c r="A1237">
        <v>1319</v>
      </c>
      <c r="B1237" t="s">
        <v>1412</v>
      </c>
      <c r="C1237" t="s">
        <v>2847</v>
      </c>
      <c r="D1237" t="s">
        <v>4282</v>
      </c>
      <c r="E1237" t="s">
        <v>95</v>
      </c>
      <c r="F1237">
        <v>69759705</v>
      </c>
      <c r="G1237">
        <v>45.210979999999999</v>
      </c>
      <c r="H1237" t="s">
        <v>103</v>
      </c>
      <c r="I1237">
        <v>3153904627.5609002</v>
      </c>
      <c r="J1237" t="s">
        <v>204</v>
      </c>
      <c r="K1237">
        <v>14965457.106192701</v>
      </c>
      <c r="L1237">
        <v>0.95</v>
      </c>
      <c r="M1237" t="s">
        <v>4536</v>
      </c>
      <c r="O1237" t="s">
        <v>4539</v>
      </c>
      <c r="Q1237" t="s">
        <v>207</v>
      </c>
      <c r="R1237" t="s">
        <v>207</v>
      </c>
      <c r="S1237" t="s">
        <v>207</v>
      </c>
      <c r="T1237" t="s">
        <v>207</v>
      </c>
      <c r="U1237" t="s">
        <v>207</v>
      </c>
      <c r="V1237" t="s">
        <v>207</v>
      </c>
      <c r="W1237" t="s">
        <v>207</v>
      </c>
      <c r="X1237" t="s">
        <v>207</v>
      </c>
      <c r="AK1237">
        <v>0</v>
      </c>
      <c r="AL1237">
        <v>0</v>
      </c>
      <c r="AM1237">
        <v>0</v>
      </c>
      <c r="AW1237">
        <v>1510</v>
      </c>
      <c r="AY1237" t="s">
        <v>209</v>
      </c>
      <c r="BA1237">
        <v>2996209396.1828551</v>
      </c>
      <c r="BB1237" t="s">
        <v>4572</v>
      </c>
      <c r="BC1237" t="s">
        <v>4536</v>
      </c>
    </row>
    <row r="1238" spans="1:55" x14ac:dyDescent="0.25">
      <c r="A1238">
        <v>1195</v>
      </c>
      <c r="B1238" t="s">
        <v>1413</v>
      </c>
      <c r="C1238" t="s">
        <v>2848</v>
      </c>
      <c r="D1238" t="s">
        <v>4283</v>
      </c>
      <c r="E1238" t="s">
        <v>93</v>
      </c>
      <c r="F1238">
        <v>309000000</v>
      </c>
      <c r="G1238">
        <v>29.834050000000001</v>
      </c>
      <c r="H1238" t="s">
        <v>101</v>
      </c>
      <c r="I1238">
        <v>9218721450</v>
      </c>
      <c r="J1238" t="s">
        <v>205</v>
      </c>
      <c r="K1238">
        <v>17565506.4646312</v>
      </c>
      <c r="L1238">
        <v>0.4</v>
      </c>
      <c r="M1238" t="s">
        <v>4536</v>
      </c>
      <c r="O1238" t="s">
        <v>207</v>
      </c>
      <c r="Q1238" t="s">
        <v>207</v>
      </c>
      <c r="R1238" t="s">
        <v>207</v>
      </c>
      <c r="S1238" t="s">
        <v>207</v>
      </c>
      <c r="T1238" t="s">
        <v>207</v>
      </c>
      <c r="U1238" t="s">
        <v>207</v>
      </c>
      <c r="V1238" t="s">
        <v>207</v>
      </c>
      <c r="W1238" t="s">
        <v>207</v>
      </c>
      <c r="X1238" t="s">
        <v>207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210</v>
      </c>
      <c r="BA1238">
        <v>3687488580</v>
      </c>
      <c r="BB1238" t="s">
        <v>4572</v>
      </c>
      <c r="BC1238" t="s">
        <v>4536</v>
      </c>
    </row>
    <row r="1239" spans="1:55" x14ac:dyDescent="0.25">
      <c r="A1239">
        <v>490</v>
      </c>
      <c r="B1239" t="s">
        <v>1414</v>
      </c>
      <c r="C1239" t="s">
        <v>2849</v>
      </c>
      <c r="D1239" t="s">
        <v>4284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202</v>
      </c>
      <c r="K1239">
        <v>2977676925.5194702</v>
      </c>
      <c r="L1239">
        <v>0.85</v>
      </c>
      <c r="M1239" t="s">
        <v>4536</v>
      </c>
      <c r="O1239" t="s">
        <v>207</v>
      </c>
      <c r="Q1239" t="s">
        <v>207</v>
      </c>
      <c r="R1239" t="s">
        <v>207</v>
      </c>
      <c r="S1239" t="s">
        <v>207</v>
      </c>
      <c r="T1239" t="s">
        <v>207</v>
      </c>
      <c r="U1239" t="s">
        <v>207</v>
      </c>
      <c r="V1239" t="s">
        <v>207</v>
      </c>
      <c r="W1239" t="s">
        <v>207</v>
      </c>
      <c r="X1239" t="s">
        <v>207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208</v>
      </c>
      <c r="AZ1239" t="s">
        <v>4571</v>
      </c>
      <c r="BA1239">
        <v>26693205067.000999</v>
      </c>
      <c r="BB1239" t="s">
        <v>4572</v>
      </c>
      <c r="BC1239" t="s">
        <v>4577</v>
      </c>
    </row>
    <row r="1240" spans="1:55" x14ac:dyDescent="0.25">
      <c r="A1240">
        <v>1278</v>
      </c>
      <c r="B1240" t="s">
        <v>1415</v>
      </c>
      <c r="C1240" t="s">
        <v>2850</v>
      </c>
      <c r="D1240" t="s">
        <v>4285</v>
      </c>
      <c r="E1240" t="s">
        <v>93</v>
      </c>
      <c r="F1240">
        <v>116073980</v>
      </c>
      <c r="G1240">
        <v>27.371860000000002</v>
      </c>
      <c r="H1240" t="s">
        <v>101</v>
      </c>
      <c r="I1240">
        <v>3177160730.2027998</v>
      </c>
      <c r="J1240" t="s">
        <v>205</v>
      </c>
      <c r="K1240">
        <v>30864524.821098801</v>
      </c>
      <c r="L1240">
        <v>1</v>
      </c>
      <c r="M1240" t="s">
        <v>4536</v>
      </c>
      <c r="O1240" t="s">
        <v>207</v>
      </c>
      <c r="Q1240" t="s">
        <v>207</v>
      </c>
      <c r="R1240" t="s">
        <v>207</v>
      </c>
      <c r="S1240" t="s">
        <v>207</v>
      </c>
      <c r="T1240" t="s">
        <v>207</v>
      </c>
      <c r="U1240" t="s">
        <v>207</v>
      </c>
      <c r="V1240" t="s">
        <v>207</v>
      </c>
      <c r="W1240" t="s">
        <v>207</v>
      </c>
      <c r="X1240" t="s">
        <v>207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210</v>
      </c>
      <c r="BA1240">
        <v>3177160730.2027998</v>
      </c>
      <c r="BB1240" t="s">
        <v>4572</v>
      </c>
      <c r="BC1240" t="s">
        <v>4536</v>
      </c>
    </row>
    <row r="1241" spans="1:55" x14ac:dyDescent="0.25">
      <c r="A1241">
        <v>1422</v>
      </c>
      <c r="B1241" t="s">
        <v>1416</v>
      </c>
      <c r="C1241" t="s">
        <v>2851</v>
      </c>
      <c r="D1241" t="s">
        <v>4286</v>
      </c>
      <c r="E1241" t="s">
        <v>93</v>
      </c>
      <c r="F1241">
        <v>77740875</v>
      </c>
      <c r="G1241">
        <v>31.810189999999999</v>
      </c>
      <c r="H1241" t="s">
        <v>101</v>
      </c>
      <c r="I1241">
        <v>2472952004.5162501</v>
      </c>
      <c r="J1241" t="s">
        <v>205</v>
      </c>
      <c r="K1241">
        <v>6813640.3418527404</v>
      </c>
      <c r="L1241">
        <v>0.95</v>
      </c>
      <c r="M1241" t="s">
        <v>4536</v>
      </c>
      <c r="N1241" t="s">
        <v>4537</v>
      </c>
      <c r="O1241" t="s">
        <v>207</v>
      </c>
      <c r="Q1241" t="s">
        <v>207</v>
      </c>
      <c r="R1241" t="s">
        <v>207</v>
      </c>
      <c r="S1241" t="s">
        <v>207</v>
      </c>
      <c r="T1241" t="s">
        <v>207</v>
      </c>
      <c r="U1241" t="s">
        <v>207</v>
      </c>
      <c r="V1241" t="s">
        <v>207</v>
      </c>
      <c r="W1241" t="s">
        <v>207</v>
      </c>
      <c r="X1241" t="s">
        <v>207</v>
      </c>
      <c r="AG1241" t="s">
        <v>4546</v>
      </c>
      <c r="AH1241" t="s">
        <v>4562</v>
      </c>
      <c r="AI1241" t="s">
        <v>4565</v>
      </c>
      <c r="AJ1241" t="s">
        <v>4566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210</v>
      </c>
      <c r="BA1241">
        <v>2349304404.2904372</v>
      </c>
      <c r="BB1241" t="s">
        <v>4572</v>
      </c>
      <c r="BC1241" t="s">
        <v>4592</v>
      </c>
    </row>
    <row r="1242" spans="1:55" x14ac:dyDescent="0.25">
      <c r="A1242">
        <v>535</v>
      </c>
      <c r="B1242" t="s">
        <v>1417</v>
      </c>
      <c r="C1242" t="s">
        <v>2852</v>
      </c>
      <c r="D1242" t="s">
        <v>4287</v>
      </c>
      <c r="E1242" t="s">
        <v>93</v>
      </c>
      <c r="F1242">
        <v>1964586400</v>
      </c>
      <c r="G1242">
        <v>12.023149999999999</v>
      </c>
      <c r="H1242" t="s">
        <v>101</v>
      </c>
      <c r="I1242">
        <v>23620516975.16</v>
      </c>
      <c r="J1242" t="s">
        <v>205</v>
      </c>
      <c r="K1242">
        <v>72274448.828544006</v>
      </c>
      <c r="L1242">
        <v>1</v>
      </c>
      <c r="M1242" t="s">
        <v>4536</v>
      </c>
      <c r="O1242" t="s">
        <v>207</v>
      </c>
      <c r="Q1242" t="s">
        <v>207</v>
      </c>
      <c r="R1242" t="s">
        <v>207</v>
      </c>
      <c r="S1242" t="s">
        <v>207</v>
      </c>
      <c r="T1242" t="s">
        <v>207</v>
      </c>
      <c r="U1242" t="s">
        <v>207</v>
      </c>
      <c r="V1242" t="s">
        <v>207</v>
      </c>
      <c r="W1242" t="s">
        <v>207</v>
      </c>
      <c r="X1242" t="s">
        <v>207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210</v>
      </c>
      <c r="BA1242">
        <v>23620516975.16</v>
      </c>
      <c r="BB1242" t="s">
        <v>4572</v>
      </c>
      <c r="BC1242" t="s">
        <v>4536</v>
      </c>
    </row>
    <row r="1243" spans="1:55" x14ac:dyDescent="0.25">
      <c r="A1243">
        <v>933</v>
      </c>
      <c r="B1243" t="s">
        <v>1418</v>
      </c>
      <c r="C1243" t="s">
        <v>2853</v>
      </c>
      <c r="D1243" t="s">
        <v>4288</v>
      </c>
      <c r="E1243" t="s">
        <v>4519</v>
      </c>
      <c r="F1243">
        <v>638676100</v>
      </c>
      <c r="G1243">
        <v>13.483459999999999</v>
      </c>
      <c r="H1243" t="s">
        <v>4530</v>
      </c>
      <c r="I1243">
        <v>8611563647.3059998</v>
      </c>
      <c r="J1243" t="s">
        <v>204</v>
      </c>
      <c r="K1243">
        <v>18512719.7292796</v>
      </c>
      <c r="L1243">
        <v>0.85</v>
      </c>
      <c r="M1243" t="s">
        <v>4536</v>
      </c>
      <c r="O1243" t="s">
        <v>207</v>
      </c>
      <c r="Q1243" t="s">
        <v>207</v>
      </c>
      <c r="R1243" t="s">
        <v>207</v>
      </c>
      <c r="S1243" t="s">
        <v>207</v>
      </c>
      <c r="T1243" t="s">
        <v>207</v>
      </c>
      <c r="U1243" t="s">
        <v>207</v>
      </c>
      <c r="V1243" t="s">
        <v>207</v>
      </c>
      <c r="W1243" t="s">
        <v>207</v>
      </c>
      <c r="X1243" t="s">
        <v>207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209</v>
      </c>
      <c r="BA1243">
        <v>7319829100.2100992</v>
      </c>
      <c r="BB1243" t="s">
        <v>4572</v>
      </c>
      <c r="BC1243" t="s">
        <v>4536</v>
      </c>
    </row>
    <row r="1244" spans="1:55" x14ac:dyDescent="0.25">
      <c r="A1244">
        <v>650</v>
      </c>
      <c r="B1244" t="s">
        <v>1419</v>
      </c>
      <c r="C1244" t="s">
        <v>2854</v>
      </c>
      <c r="D1244" t="s">
        <v>4289</v>
      </c>
      <c r="E1244" t="s">
        <v>4519</v>
      </c>
      <c r="F1244">
        <v>1944777200</v>
      </c>
      <c r="G1244">
        <v>12.089700000000001</v>
      </c>
      <c r="H1244" t="s">
        <v>4530</v>
      </c>
      <c r="I1244">
        <v>23511772914.84</v>
      </c>
      <c r="J1244" t="s">
        <v>204</v>
      </c>
      <c r="K1244">
        <v>56749422.021813497</v>
      </c>
      <c r="L1244">
        <v>0.8</v>
      </c>
      <c r="M1244" t="s">
        <v>4536</v>
      </c>
      <c r="O1244" t="s">
        <v>207</v>
      </c>
      <c r="Q1244" t="s">
        <v>207</v>
      </c>
      <c r="R1244" t="s">
        <v>207</v>
      </c>
      <c r="S1244" t="s">
        <v>207</v>
      </c>
      <c r="T1244" t="s">
        <v>207</v>
      </c>
      <c r="U1244" t="s">
        <v>207</v>
      </c>
      <c r="V1244" t="s">
        <v>207</v>
      </c>
      <c r="W1244" t="s">
        <v>207</v>
      </c>
      <c r="X1244" t="s">
        <v>207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209</v>
      </c>
      <c r="AZ1244" t="s">
        <v>4571</v>
      </c>
      <c r="BA1244">
        <v>18809418331.872002</v>
      </c>
      <c r="BB1244" t="s">
        <v>4572</v>
      </c>
      <c r="BC1244" t="s">
        <v>4577</v>
      </c>
    </row>
    <row r="1245" spans="1:55" x14ac:dyDescent="0.25">
      <c r="A1245">
        <v>1057</v>
      </c>
      <c r="B1245" t="s">
        <v>1420</v>
      </c>
      <c r="C1245" t="s">
        <v>2855</v>
      </c>
      <c r="D1245" t="s">
        <v>4290</v>
      </c>
      <c r="E1245" t="s">
        <v>95</v>
      </c>
      <c r="F1245">
        <v>28936000</v>
      </c>
      <c r="G1245">
        <v>184.10820000000001</v>
      </c>
      <c r="H1245" t="s">
        <v>103</v>
      </c>
      <c r="I1245">
        <v>5327354875.2000008</v>
      </c>
      <c r="J1245" t="s">
        <v>204</v>
      </c>
      <c r="K1245">
        <v>37879192.307345897</v>
      </c>
      <c r="L1245">
        <v>1</v>
      </c>
      <c r="M1245" t="s">
        <v>4536</v>
      </c>
      <c r="O1245" t="s">
        <v>207</v>
      </c>
      <c r="Q1245" t="s">
        <v>207</v>
      </c>
      <c r="R1245" t="s">
        <v>207</v>
      </c>
      <c r="S1245" t="s">
        <v>207</v>
      </c>
      <c r="T1245" t="s">
        <v>207</v>
      </c>
      <c r="U1245" t="s">
        <v>207</v>
      </c>
      <c r="V1245" t="s">
        <v>207</v>
      </c>
      <c r="W1245" t="s">
        <v>207</v>
      </c>
      <c r="X1245" t="s">
        <v>207</v>
      </c>
      <c r="AG1245" t="s">
        <v>4547</v>
      </c>
      <c r="AI1245" t="s">
        <v>4565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209</v>
      </c>
      <c r="AZ1245" t="s">
        <v>4571</v>
      </c>
      <c r="BA1245">
        <v>5327354875.2000008</v>
      </c>
      <c r="BB1245" t="s">
        <v>4572</v>
      </c>
      <c r="BC1245" t="s">
        <v>4633</v>
      </c>
    </row>
    <row r="1246" spans="1:55" x14ac:dyDescent="0.25">
      <c r="A1246">
        <v>1288</v>
      </c>
      <c r="B1246" t="s">
        <v>1421</v>
      </c>
      <c r="C1246" t="s">
        <v>2856</v>
      </c>
      <c r="D1246" t="s">
        <v>4291</v>
      </c>
      <c r="E1246" t="s">
        <v>4519</v>
      </c>
      <c r="F1246">
        <v>332200320</v>
      </c>
      <c r="G1246">
        <v>17.174659999999999</v>
      </c>
      <c r="H1246" t="s">
        <v>4530</v>
      </c>
      <c r="I1246">
        <v>5705427547.8912001</v>
      </c>
      <c r="J1246" t="s">
        <v>204</v>
      </c>
      <c r="K1246">
        <v>4095567.2075344902</v>
      </c>
      <c r="L1246">
        <v>0.55000000000000004</v>
      </c>
      <c r="M1246" t="s">
        <v>4536</v>
      </c>
      <c r="N1246" t="s">
        <v>4537</v>
      </c>
      <c r="O1246" t="s">
        <v>207</v>
      </c>
      <c r="Q1246" t="s">
        <v>207</v>
      </c>
      <c r="R1246" t="s">
        <v>207</v>
      </c>
      <c r="S1246" t="s">
        <v>207</v>
      </c>
      <c r="T1246" t="s">
        <v>207</v>
      </c>
      <c r="U1246" t="s">
        <v>207</v>
      </c>
      <c r="V1246" t="s">
        <v>207</v>
      </c>
      <c r="W1246" t="s">
        <v>207</v>
      </c>
      <c r="X1246" t="s">
        <v>207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209</v>
      </c>
      <c r="BA1246">
        <v>3137985151.3401599</v>
      </c>
      <c r="BB1246" t="s">
        <v>4572</v>
      </c>
      <c r="BC1246" t="s">
        <v>4575</v>
      </c>
    </row>
    <row r="1247" spans="1:55" x14ac:dyDescent="0.25">
      <c r="A1247">
        <v>539</v>
      </c>
      <c r="B1247" t="s">
        <v>1422</v>
      </c>
      <c r="C1247" t="s">
        <v>2857</v>
      </c>
      <c r="D1247" t="s">
        <v>4292</v>
      </c>
      <c r="E1247" t="s">
        <v>4519</v>
      </c>
      <c r="F1247">
        <v>1132005700</v>
      </c>
      <c r="G1247">
        <v>22.911539999999999</v>
      </c>
      <c r="H1247" t="s">
        <v>4530</v>
      </c>
      <c r="I1247">
        <v>25935993875.778</v>
      </c>
      <c r="J1247" t="s">
        <v>204</v>
      </c>
      <c r="K1247">
        <v>52696496.869358599</v>
      </c>
      <c r="L1247">
        <v>0.9</v>
      </c>
      <c r="M1247" t="s">
        <v>4536</v>
      </c>
      <c r="O1247" t="s">
        <v>207</v>
      </c>
      <c r="Q1247" t="s">
        <v>207</v>
      </c>
      <c r="R1247" t="s">
        <v>207</v>
      </c>
      <c r="S1247" t="s">
        <v>207</v>
      </c>
      <c r="T1247" t="s">
        <v>207</v>
      </c>
      <c r="U1247" t="s">
        <v>207</v>
      </c>
      <c r="V1247" t="s">
        <v>207</v>
      </c>
      <c r="W1247" t="s">
        <v>207</v>
      </c>
      <c r="X1247" t="s">
        <v>207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209</v>
      </c>
      <c r="BA1247">
        <v>23342394488.200199</v>
      </c>
      <c r="BB1247" t="s">
        <v>4572</v>
      </c>
      <c r="BC1247" t="s">
        <v>4536</v>
      </c>
    </row>
    <row r="1248" spans="1:55" x14ac:dyDescent="0.25">
      <c r="A1248">
        <v>1047</v>
      </c>
      <c r="B1248" t="s">
        <v>1423</v>
      </c>
      <c r="C1248" t="s">
        <v>2858</v>
      </c>
      <c r="D1248" t="s">
        <v>4293</v>
      </c>
      <c r="E1248" t="s">
        <v>4519</v>
      </c>
      <c r="F1248">
        <v>356000060</v>
      </c>
      <c r="G1248">
        <v>28.090910000000001</v>
      </c>
      <c r="H1248" t="s">
        <v>4530</v>
      </c>
      <c r="I1248">
        <v>10000365645.454599</v>
      </c>
      <c r="J1248" t="s">
        <v>204</v>
      </c>
      <c r="K1248">
        <v>9484698.7879996691</v>
      </c>
      <c r="L1248">
        <v>0.55000000000000004</v>
      </c>
      <c r="M1248" t="s">
        <v>4536</v>
      </c>
      <c r="N1248" t="s">
        <v>4537</v>
      </c>
      <c r="O1248" t="s">
        <v>207</v>
      </c>
      <c r="Q1248" t="s">
        <v>207</v>
      </c>
      <c r="R1248" t="s">
        <v>207</v>
      </c>
      <c r="S1248" t="s">
        <v>207</v>
      </c>
      <c r="T1248" t="s">
        <v>207</v>
      </c>
      <c r="U1248" t="s">
        <v>207</v>
      </c>
      <c r="V1248" t="s">
        <v>207</v>
      </c>
      <c r="W1248" t="s">
        <v>207</v>
      </c>
      <c r="X1248" t="s">
        <v>207</v>
      </c>
      <c r="AG1248" t="s">
        <v>4546</v>
      </c>
      <c r="AH1248" t="s">
        <v>4562</v>
      </c>
      <c r="AI1248" t="s">
        <v>4565</v>
      </c>
      <c r="AJ1248" t="s">
        <v>4566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209</v>
      </c>
      <c r="AZ1248" t="s">
        <v>4571</v>
      </c>
      <c r="BA1248">
        <v>5500201105.0000315</v>
      </c>
      <c r="BB1248" t="s">
        <v>4572</v>
      </c>
      <c r="BC1248" t="s">
        <v>4626</v>
      </c>
    </row>
    <row r="1249" spans="1:55" x14ac:dyDescent="0.25">
      <c r="A1249">
        <v>1352</v>
      </c>
      <c r="B1249" t="s">
        <v>1424</v>
      </c>
      <c r="C1249" t="s">
        <v>2859</v>
      </c>
      <c r="D1249" t="s">
        <v>4294</v>
      </c>
      <c r="E1249" t="s">
        <v>4518</v>
      </c>
      <c r="F1249">
        <v>801093000</v>
      </c>
      <c r="G1249">
        <v>7.7870210000000002</v>
      </c>
      <c r="H1249" t="s">
        <v>4529</v>
      </c>
      <c r="I1249">
        <v>6238128013.9530001</v>
      </c>
      <c r="J1249" t="s">
        <v>205</v>
      </c>
      <c r="K1249">
        <v>10580982.4858706</v>
      </c>
      <c r="L1249">
        <v>0.45</v>
      </c>
      <c r="M1249" t="s">
        <v>4536</v>
      </c>
      <c r="O1249" t="s">
        <v>207</v>
      </c>
      <c r="Q1249" t="s">
        <v>207</v>
      </c>
      <c r="R1249" t="s">
        <v>207</v>
      </c>
      <c r="S1249" t="s">
        <v>207</v>
      </c>
      <c r="T1249" t="s">
        <v>207</v>
      </c>
      <c r="U1249" t="s">
        <v>207</v>
      </c>
      <c r="V1249" t="s">
        <v>207</v>
      </c>
      <c r="W1249" t="s">
        <v>207</v>
      </c>
      <c r="X1249" t="s">
        <v>207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210</v>
      </c>
      <c r="BA1249">
        <v>2807157606.2788501</v>
      </c>
      <c r="BB1249" t="s">
        <v>4572</v>
      </c>
      <c r="BC1249" t="s">
        <v>4536</v>
      </c>
    </row>
    <row r="1250" spans="1:55" x14ac:dyDescent="0.25">
      <c r="A1250">
        <v>538</v>
      </c>
      <c r="B1250" t="s">
        <v>1425</v>
      </c>
      <c r="C1250" t="s">
        <v>2860</v>
      </c>
      <c r="D1250" t="s">
        <v>4295</v>
      </c>
      <c r="E1250" t="s">
        <v>95</v>
      </c>
      <c r="F1250">
        <v>28727518</v>
      </c>
      <c r="G1250">
        <v>812.77689999999996</v>
      </c>
      <c r="H1250" t="s">
        <v>103</v>
      </c>
      <c r="I1250">
        <v>23349063024.7342</v>
      </c>
      <c r="J1250" t="s">
        <v>204</v>
      </c>
      <c r="K1250">
        <v>52686100.382191204</v>
      </c>
      <c r="L1250">
        <v>1</v>
      </c>
      <c r="O1250" t="s">
        <v>207</v>
      </c>
      <c r="Q1250" t="s">
        <v>207</v>
      </c>
      <c r="R1250" t="s">
        <v>207</v>
      </c>
      <c r="S1250" t="s">
        <v>207</v>
      </c>
      <c r="T1250" t="s">
        <v>207</v>
      </c>
      <c r="U1250" t="s">
        <v>207</v>
      </c>
      <c r="V1250" t="s">
        <v>207</v>
      </c>
      <c r="W1250" t="s">
        <v>207</v>
      </c>
      <c r="X1250" t="s">
        <v>207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209</v>
      </c>
      <c r="BA1250">
        <v>23349063024.7342</v>
      </c>
      <c r="BB1250" t="s">
        <v>211</v>
      </c>
    </row>
    <row r="1251" spans="1:55" x14ac:dyDescent="0.25">
      <c r="A1251">
        <v>859</v>
      </c>
      <c r="B1251" t="s">
        <v>1426</v>
      </c>
      <c r="C1251" t="s">
        <v>2861</v>
      </c>
      <c r="D1251" t="s">
        <v>4296</v>
      </c>
      <c r="E1251" t="s">
        <v>95</v>
      </c>
      <c r="F1251">
        <v>77307550</v>
      </c>
      <c r="G1251">
        <v>115.36669999999999</v>
      </c>
      <c r="H1251" t="s">
        <v>103</v>
      </c>
      <c r="I1251">
        <v>8918716928.5849991</v>
      </c>
      <c r="J1251" t="s">
        <v>204</v>
      </c>
      <c r="K1251">
        <v>14630639.937562499</v>
      </c>
      <c r="L1251">
        <v>1</v>
      </c>
      <c r="M1251" t="s">
        <v>4536</v>
      </c>
      <c r="O1251" t="s">
        <v>207</v>
      </c>
      <c r="Q1251" t="s">
        <v>207</v>
      </c>
      <c r="R1251" t="s">
        <v>207</v>
      </c>
      <c r="S1251" t="s">
        <v>207</v>
      </c>
      <c r="T1251" t="s">
        <v>207</v>
      </c>
      <c r="U1251" t="s">
        <v>207</v>
      </c>
      <c r="V1251" t="s">
        <v>207</v>
      </c>
      <c r="W1251" t="s">
        <v>207</v>
      </c>
      <c r="X1251" t="s">
        <v>207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209</v>
      </c>
      <c r="AZ1251" t="s">
        <v>4571</v>
      </c>
      <c r="BA1251">
        <v>8918716928.5849991</v>
      </c>
      <c r="BB1251" t="s">
        <v>4572</v>
      </c>
      <c r="BC1251" t="s">
        <v>4577</v>
      </c>
    </row>
    <row r="1252" spans="1:55" x14ac:dyDescent="0.25">
      <c r="A1252">
        <v>332</v>
      </c>
      <c r="B1252" t="s">
        <v>1427</v>
      </c>
      <c r="C1252" t="s">
        <v>2862</v>
      </c>
      <c r="D1252" t="s">
        <v>4297</v>
      </c>
      <c r="E1252" t="s">
        <v>95</v>
      </c>
      <c r="F1252">
        <v>317497300</v>
      </c>
      <c r="G1252">
        <v>147.05260000000001</v>
      </c>
      <c r="H1252" t="s">
        <v>103</v>
      </c>
      <c r="I1252">
        <v>46688803457.980003</v>
      </c>
      <c r="J1252" t="s">
        <v>204</v>
      </c>
      <c r="K1252">
        <v>109881687.206549</v>
      </c>
      <c r="L1252">
        <v>0.9</v>
      </c>
      <c r="M1252" t="s">
        <v>4536</v>
      </c>
      <c r="O1252" t="s">
        <v>207</v>
      </c>
      <c r="Q1252" t="s">
        <v>207</v>
      </c>
      <c r="R1252" t="s">
        <v>207</v>
      </c>
      <c r="S1252" t="s">
        <v>207</v>
      </c>
      <c r="T1252" t="s">
        <v>207</v>
      </c>
      <c r="U1252" t="s">
        <v>207</v>
      </c>
      <c r="V1252" t="s">
        <v>207</v>
      </c>
      <c r="W1252" t="s">
        <v>207</v>
      </c>
      <c r="X1252" t="s">
        <v>207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209</v>
      </c>
      <c r="BA1252">
        <v>42019923112.182007</v>
      </c>
      <c r="BB1252" t="s">
        <v>4572</v>
      </c>
      <c r="BC1252" t="s">
        <v>4536</v>
      </c>
    </row>
    <row r="1253" spans="1:55" x14ac:dyDescent="0.25">
      <c r="A1253">
        <v>765</v>
      </c>
      <c r="B1253" t="s">
        <v>1428</v>
      </c>
      <c r="C1253" t="s">
        <v>2863</v>
      </c>
      <c r="D1253" t="s">
        <v>4298</v>
      </c>
      <c r="E1253" t="s">
        <v>95</v>
      </c>
      <c r="F1253">
        <v>51801945</v>
      </c>
      <c r="G1253">
        <v>531.21839999999997</v>
      </c>
      <c r="H1253" t="s">
        <v>103</v>
      </c>
      <c r="I1253">
        <v>27518146339.787998</v>
      </c>
      <c r="J1253" t="s">
        <v>204</v>
      </c>
      <c r="K1253">
        <v>54056194.880447403</v>
      </c>
      <c r="L1253">
        <v>0.5</v>
      </c>
      <c r="M1253" t="s">
        <v>4536</v>
      </c>
      <c r="O1253" t="s">
        <v>207</v>
      </c>
      <c r="Q1253" t="s">
        <v>207</v>
      </c>
      <c r="R1253" t="s">
        <v>207</v>
      </c>
      <c r="S1253" t="s">
        <v>207</v>
      </c>
      <c r="T1253" t="s">
        <v>207</v>
      </c>
      <c r="U1253" t="s">
        <v>207</v>
      </c>
      <c r="V1253" t="s">
        <v>207</v>
      </c>
      <c r="W1253" t="s">
        <v>207</v>
      </c>
      <c r="X1253" t="s">
        <v>207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209</v>
      </c>
      <c r="BA1253">
        <v>13759073169.893999</v>
      </c>
      <c r="BB1253" t="s">
        <v>4572</v>
      </c>
      <c r="BC1253" t="s">
        <v>4536</v>
      </c>
    </row>
    <row r="1254" spans="1:55" x14ac:dyDescent="0.25">
      <c r="A1254">
        <v>1081</v>
      </c>
      <c r="B1254" t="s">
        <v>1429</v>
      </c>
      <c r="C1254" t="s">
        <v>2864</v>
      </c>
      <c r="D1254" t="s">
        <v>4299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6962612759.3879995</v>
      </c>
      <c r="J1254" t="s">
        <v>204</v>
      </c>
      <c r="K1254">
        <v>13548666.457774499</v>
      </c>
      <c r="L1254">
        <v>0.7</v>
      </c>
      <c r="M1254" t="s">
        <v>4536</v>
      </c>
      <c r="O1254" t="s">
        <v>207</v>
      </c>
      <c r="Q1254" t="s">
        <v>207</v>
      </c>
      <c r="R1254" t="s">
        <v>207</v>
      </c>
      <c r="S1254" t="s">
        <v>207</v>
      </c>
      <c r="T1254" t="s">
        <v>207</v>
      </c>
      <c r="U1254" t="s">
        <v>207</v>
      </c>
      <c r="V1254" t="s">
        <v>207</v>
      </c>
      <c r="W1254" t="s">
        <v>207</v>
      </c>
      <c r="X1254" t="s">
        <v>207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209</v>
      </c>
      <c r="BA1254">
        <v>4873828931.5716</v>
      </c>
      <c r="BB1254" t="s">
        <v>4572</v>
      </c>
      <c r="BC1254" t="s">
        <v>4536</v>
      </c>
    </row>
    <row r="1255" spans="1:55" x14ac:dyDescent="0.25">
      <c r="A1255">
        <v>1343</v>
      </c>
      <c r="B1255" t="s">
        <v>1430</v>
      </c>
      <c r="C1255" t="s">
        <v>2865</v>
      </c>
      <c r="D1255" t="s">
        <v>4300</v>
      </c>
      <c r="E1255" t="s">
        <v>4523</v>
      </c>
      <c r="F1255">
        <v>54588420</v>
      </c>
      <c r="G1255">
        <v>55.816070000000003</v>
      </c>
      <c r="H1255" t="s">
        <v>4532</v>
      </c>
      <c r="I1255">
        <v>3046911071.9094</v>
      </c>
      <c r="J1255" t="s">
        <v>204</v>
      </c>
      <c r="K1255">
        <v>6528818.7574102096</v>
      </c>
      <c r="L1255">
        <v>0.95</v>
      </c>
      <c r="M1255" t="s">
        <v>4536</v>
      </c>
      <c r="N1255" t="s">
        <v>4537</v>
      </c>
      <c r="O1255" t="s">
        <v>207</v>
      </c>
      <c r="Q1255" t="s">
        <v>207</v>
      </c>
      <c r="R1255" t="s">
        <v>207</v>
      </c>
      <c r="S1255" t="s">
        <v>207</v>
      </c>
      <c r="T1255" t="s">
        <v>207</v>
      </c>
      <c r="U1255" t="s">
        <v>207</v>
      </c>
      <c r="V1255" t="s">
        <v>207</v>
      </c>
      <c r="W1255" t="s">
        <v>207</v>
      </c>
      <c r="X1255" t="s">
        <v>207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209</v>
      </c>
      <c r="AZ1255" t="s">
        <v>4571</v>
      </c>
      <c r="BA1255">
        <v>2894565518.31393</v>
      </c>
      <c r="BB1255" t="s">
        <v>4572</v>
      </c>
      <c r="BC1255" t="s">
        <v>4584</v>
      </c>
    </row>
    <row r="1256" spans="1:55" x14ac:dyDescent="0.25">
      <c r="A1256">
        <v>1016</v>
      </c>
      <c r="B1256" t="s">
        <v>1431</v>
      </c>
      <c r="C1256" t="s">
        <v>2866</v>
      </c>
      <c r="D1256" t="s">
        <v>4301</v>
      </c>
      <c r="E1256" t="s">
        <v>4520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203</v>
      </c>
      <c r="K1256">
        <v>9670521.0715872999</v>
      </c>
      <c r="L1256">
        <v>0.70000000000000007</v>
      </c>
      <c r="M1256" t="s">
        <v>4536</v>
      </c>
      <c r="N1256" t="s">
        <v>4537</v>
      </c>
      <c r="O1256" t="s">
        <v>207</v>
      </c>
      <c r="Q1256" t="s">
        <v>207</v>
      </c>
      <c r="R1256" t="s">
        <v>207</v>
      </c>
      <c r="S1256" t="s">
        <v>207</v>
      </c>
      <c r="T1256" t="s">
        <v>207</v>
      </c>
      <c r="U1256" t="s">
        <v>207</v>
      </c>
      <c r="V1256" t="s">
        <v>207</v>
      </c>
      <c r="W1256" t="s">
        <v>207</v>
      </c>
      <c r="X1256" t="s">
        <v>207</v>
      </c>
      <c r="AG1256" t="s">
        <v>4546</v>
      </c>
      <c r="AH1256" t="s">
        <v>4564</v>
      </c>
      <c r="AI1256" t="s">
        <v>4565</v>
      </c>
      <c r="AJ1256" t="s">
        <v>4566</v>
      </c>
      <c r="AK1256">
        <v>0</v>
      </c>
      <c r="AL1256">
        <v>6.0999999999999999E-2</v>
      </c>
      <c r="AM1256">
        <v>0</v>
      </c>
      <c r="AO1256" t="s">
        <v>4568</v>
      </c>
      <c r="AQ1256">
        <v>0</v>
      </c>
      <c r="AR1256">
        <v>0</v>
      </c>
      <c r="AW1256">
        <v>5510</v>
      </c>
      <c r="AX1256">
        <v>2.742</v>
      </c>
      <c r="AY1256" t="s">
        <v>209</v>
      </c>
      <c r="BA1256">
        <v>5879638332.4910002</v>
      </c>
      <c r="BB1256" t="s">
        <v>4572</v>
      </c>
      <c r="BC1256" t="s">
        <v>4632</v>
      </c>
    </row>
    <row r="1257" spans="1:55" x14ac:dyDescent="0.25">
      <c r="A1257">
        <v>790</v>
      </c>
      <c r="B1257" t="s">
        <v>1432</v>
      </c>
      <c r="C1257" t="s">
        <v>2867</v>
      </c>
      <c r="D1257" t="s">
        <v>4302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203</v>
      </c>
      <c r="K1257">
        <v>28548769.3108197</v>
      </c>
      <c r="L1257">
        <v>0.9</v>
      </c>
      <c r="O1257" t="s">
        <v>207</v>
      </c>
      <c r="Q1257" t="s">
        <v>207</v>
      </c>
      <c r="R1257" t="s">
        <v>207</v>
      </c>
      <c r="S1257" t="s">
        <v>207</v>
      </c>
      <c r="T1257" t="s">
        <v>207</v>
      </c>
      <c r="U1257" t="s">
        <v>207</v>
      </c>
      <c r="V1257" t="s">
        <v>207</v>
      </c>
      <c r="W1257" t="s">
        <v>207</v>
      </c>
      <c r="X1257" t="s">
        <v>207</v>
      </c>
      <c r="AG1257" t="s">
        <v>4546</v>
      </c>
      <c r="AH1257" t="s">
        <v>4564</v>
      </c>
      <c r="AI1257" t="s">
        <v>4565</v>
      </c>
      <c r="AJ1257" t="s">
        <v>4566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209</v>
      </c>
      <c r="BA1257">
        <v>12330410706.9</v>
      </c>
      <c r="BB1257" t="s">
        <v>4572</v>
      </c>
      <c r="BC1257" t="s">
        <v>4581</v>
      </c>
    </row>
    <row r="1258" spans="1:55" x14ac:dyDescent="0.25">
      <c r="A1258">
        <v>555</v>
      </c>
      <c r="B1258" t="s">
        <v>1433</v>
      </c>
      <c r="C1258" t="s">
        <v>2868</v>
      </c>
      <c r="D1258" t="s">
        <v>4303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202</v>
      </c>
      <c r="K1258">
        <v>227313428.13210401</v>
      </c>
      <c r="L1258">
        <v>1</v>
      </c>
      <c r="M1258" t="s">
        <v>4536</v>
      </c>
      <c r="O1258" t="s">
        <v>207</v>
      </c>
      <c r="Q1258" t="s">
        <v>207</v>
      </c>
      <c r="R1258" t="s">
        <v>207</v>
      </c>
      <c r="S1258" t="s">
        <v>207</v>
      </c>
      <c r="T1258" t="s">
        <v>207</v>
      </c>
      <c r="U1258" t="s">
        <v>207</v>
      </c>
      <c r="V1258" t="s">
        <v>207</v>
      </c>
      <c r="W1258" t="s">
        <v>207</v>
      </c>
      <c r="X1258" t="s">
        <v>207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208</v>
      </c>
      <c r="BA1258">
        <v>22834153144.026001</v>
      </c>
      <c r="BB1258" t="s">
        <v>4572</v>
      </c>
      <c r="BC1258" t="s">
        <v>4536</v>
      </c>
    </row>
    <row r="1259" spans="1:55" x14ac:dyDescent="0.25">
      <c r="A1259">
        <v>184</v>
      </c>
      <c r="B1259" t="s">
        <v>1434</v>
      </c>
      <c r="C1259" t="s">
        <v>2869</v>
      </c>
      <c r="D1259" t="s">
        <v>4304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202</v>
      </c>
      <c r="K1259">
        <v>568880087.72422397</v>
      </c>
      <c r="L1259">
        <v>1</v>
      </c>
      <c r="M1259" t="s">
        <v>4536</v>
      </c>
      <c r="O1259" t="s">
        <v>207</v>
      </c>
      <c r="Q1259" t="s">
        <v>207</v>
      </c>
      <c r="R1259" t="s">
        <v>207</v>
      </c>
      <c r="S1259" t="s">
        <v>207</v>
      </c>
      <c r="T1259" t="s">
        <v>207</v>
      </c>
      <c r="U1259" t="s">
        <v>207</v>
      </c>
      <c r="V1259" t="s">
        <v>207</v>
      </c>
      <c r="W1259" t="s">
        <v>207</v>
      </c>
      <c r="X1259" t="s">
        <v>207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208</v>
      </c>
      <c r="BA1259">
        <v>70224188785.25</v>
      </c>
      <c r="BB1259" t="s">
        <v>4572</v>
      </c>
      <c r="BC1259" t="s">
        <v>4536</v>
      </c>
    </row>
    <row r="1260" spans="1:55" x14ac:dyDescent="0.25">
      <c r="A1260">
        <v>401</v>
      </c>
      <c r="B1260" t="s">
        <v>192</v>
      </c>
      <c r="C1260" t="s">
        <v>43</v>
      </c>
      <c r="D1260" t="s">
        <v>83</v>
      </c>
      <c r="E1260" t="s">
        <v>88</v>
      </c>
      <c r="F1260">
        <v>489229640</v>
      </c>
      <c r="G1260">
        <v>70.033479999999997</v>
      </c>
      <c r="H1260" t="s">
        <v>98</v>
      </c>
      <c r="I1260">
        <v>34262454208.347198</v>
      </c>
      <c r="J1260" t="s">
        <v>202</v>
      </c>
      <c r="K1260">
        <v>241821604.805159</v>
      </c>
      <c r="L1260">
        <v>1</v>
      </c>
      <c r="O1260" t="s">
        <v>207</v>
      </c>
      <c r="Q1260" t="s">
        <v>207</v>
      </c>
      <c r="R1260" t="s">
        <v>207</v>
      </c>
      <c r="S1260" t="s">
        <v>207</v>
      </c>
      <c r="T1260" t="s">
        <v>207</v>
      </c>
      <c r="U1260" t="s">
        <v>207</v>
      </c>
      <c r="V1260" t="s">
        <v>207</v>
      </c>
      <c r="W1260" t="s">
        <v>207</v>
      </c>
      <c r="X1260" t="s">
        <v>207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208</v>
      </c>
      <c r="BA1260">
        <v>34262454208.347198</v>
      </c>
      <c r="BB1260" t="s">
        <v>211</v>
      </c>
    </row>
    <row r="1261" spans="1:55" x14ac:dyDescent="0.25">
      <c r="A1261">
        <v>842</v>
      </c>
      <c r="B1261" t="s">
        <v>1435</v>
      </c>
      <c r="C1261" t="s">
        <v>2870</v>
      </c>
      <c r="D1261" t="s">
        <v>4305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205</v>
      </c>
      <c r="K1261">
        <v>22560884.0298452</v>
      </c>
      <c r="L1261">
        <v>0.85</v>
      </c>
      <c r="M1261" t="s">
        <v>4536</v>
      </c>
      <c r="O1261" t="s">
        <v>207</v>
      </c>
      <c r="Q1261" t="s">
        <v>207</v>
      </c>
      <c r="R1261" t="s">
        <v>207</v>
      </c>
      <c r="S1261" t="s">
        <v>207</v>
      </c>
      <c r="T1261" t="s">
        <v>207</v>
      </c>
      <c r="U1261" t="s">
        <v>207</v>
      </c>
      <c r="V1261" t="s">
        <v>207</v>
      </c>
      <c r="W1261" t="s">
        <v>207</v>
      </c>
      <c r="X1261" t="s">
        <v>207</v>
      </c>
      <c r="AG1261" t="s">
        <v>4546</v>
      </c>
      <c r="AH1261" t="s">
        <v>4562</v>
      </c>
      <c r="AI1261" t="s">
        <v>4565</v>
      </c>
      <c r="AJ1261" t="s">
        <v>4566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210</v>
      </c>
      <c r="BA1261">
        <v>9368581958.3223</v>
      </c>
      <c r="BB1261" t="s">
        <v>4572</v>
      </c>
      <c r="BC1261" t="s">
        <v>4578</v>
      </c>
    </row>
    <row r="1262" spans="1:55" x14ac:dyDescent="0.25">
      <c r="A1262">
        <v>809</v>
      </c>
      <c r="B1262" t="s">
        <v>1436</v>
      </c>
      <c r="C1262" t="s">
        <v>2871</v>
      </c>
      <c r="D1262" t="s">
        <v>4306</v>
      </c>
      <c r="E1262" t="s">
        <v>93</v>
      </c>
      <c r="F1262">
        <v>544000000</v>
      </c>
      <c r="G1262">
        <v>20.496919999999999</v>
      </c>
      <c r="H1262" t="s">
        <v>101</v>
      </c>
      <c r="I1262">
        <v>11150324480</v>
      </c>
      <c r="J1262" t="s">
        <v>205</v>
      </c>
      <c r="K1262">
        <v>34536573.612884901</v>
      </c>
      <c r="L1262">
        <v>1</v>
      </c>
      <c r="M1262" t="s">
        <v>4536</v>
      </c>
      <c r="O1262" t="s">
        <v>207</v>
      </c>
      <c r="Q1262" t="s">
        <v>207</v>
      </c>
      <c r="R1262" t="s">
        <v>207</v>
      </c>
      <c r="S1262" t="s">
        <v>207</v>
      </c>
      <c r="T1262" t="s">
        <v>207</v>
      </c>
      <c r="U1262" t="s">
        <v>207</v>
      </c>
      <c r="V1262" t="s">
        <v>207</v>
      </c>
      <c r="W1262" t="s">
        <v>207</v>
      </c>
      <c r="X1262" t="s">
        <v>207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210</v>
      </c>
      <c r="AZ1262" t="s">
        <v>4571</v>
      </c>
      <c r="BA1262">
        <v>11150324480</v>
      </c>
      <c r="BB1262" t="s">
        <v>4572</v>
      </c>
      <c r="BC1262" t="s">
        <v>4577</v>
      </c>
    </row>
    <row r="1263" spans="1:55" x14ac:dyDescent="0.25">
      <c r="A1263">
        <v>562</v>
      </c>
      <c r="B1263" t="s">
        <v>1437</v>
      </c>
      <c r="C1263" t="s">
        <v>2872</v>
      </c>
      <c r="D1263" t="s">
        <v>4307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202</v>
      </c>
      <c r="K1263">
        <v>162821038.79619101</v>
      </c>
      <c r="L1263">
        <v>1</v>
      </c>
      <c r="M1263" t="s">
        <v>4536</v>
      </c>
      <c r="O1263" t="s">
        <v>207</v>
      </c>
      <c r="Q1263" t="s">
        <v>207</v>
      </c>
      <c r="R1263" t="s">
        <v>207</v>
      </c>
      <c r="S1263" t="s">
        <v>207</v>
      </c>
      <c r="T1263" t="s">
        <v>207</v>
      </c>
      <c r="U1263" t="s">
        <v>207</v>
      </c>
      <c r="V1263" t="s">
        <v>207</v>
      </c>
      <c r="W1263" t="s">
        <v>207</v>
      </c>
      <c r="X1263" t="s">
        <v>207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208</v>
      </c>
      <c r="BA1263">
        <v>22629704999.499001</v>
      </c>
      <c r="BB1263" t="s">
        <v>4572</v>
      </c>
      <c r="BC1263" t="s">
        <v>4536</v>
      </c>
    </row>
    <row r="1264" spans="1:55" x14ac:dyDescent="0.25">
      <c r="A1264">
        <v>1437</v>
      </c>
      <c r="B1264" t="s">
        <v>1438</v>
      </c>
      <c r="C1264" t="s">
        <v>2873</v>
      </c>
      <c r="D1264" t="s">
        <v>4308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4535</v>
      </c>
      <c r="K1264">
        <v>5314187.87655738</v>
      </c>
      <c r="L1264">
        <v>1</v>
      </c>
      <c r="M1264" t="s">
        <v>4536</v>
      </c>
      <c r="N1264" t="s">
        <v>4537</v>
      </c>
      <c r="O1264" t="s">
        <v>207</v>
      </c>
      <c r="Q1264" t="s">
        <v>207</v>
      </c>
      <c r="R1264" t="s">
        <v>207</v>
      </c>
      <c r="S1264" t="s">
        <v>207</v>
      </c>
      <c r="T1264" t="s">
        <v>207</v>
      </c>
      <c r="U1264" t="s">
        <v>207</v>
      </c>
      <c r="V1264" t="s">
        <v>207</v>
      </c>
      <c r="W1264" t="s">
        <v>207</v>
      </c>
      <c r="X1264" t="s">
        <v>207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209</v>
      </c>
      <c r="BA1264">
        <v>2253279145.1999998</v>
      </c>
      <c r="BB1264" t="s">
        <v>4572</v>
      </c>
      <c r="BC1264" t="s">
        <v>4575</v>
      </c>
    </row>
    <row r="1265" spans="1:55" x14ac:dyDescent="0.25">
      <c r="A1265">
        <v>1360</v>
      </c>
      <c r="B1265" t="s">
        <v>1439</v>
      </c>
      <c r="C1265" t="s">
        <v>2874</v>
      </c>
      <c r="D1265" t="s">
        <v>4309</v>
      </c>
      <c r="E1265" t="s">
        <v>93</v>
      </c>
      <c r="F1265">
        <v>118191580</v>
      </c>
      <c r="G1265">
        <v>25.811409999999999</v>
      </c>
      <c r="H1265" t="s">
        <v>101</v>
      </c>
      <c r="I1265">
        <v>3050691329.9278002</v>
      </c>
      <c r="J1265" t="s">
        <v>205</v>
      </c>
      <c r="K1265">
        <v>15412272.874980099</v>
      </c>
      <c r="L1265">
        <v>0.9</v>
      </c>
      <c r="M1265" t="s">
        <v>4536</v>
      </c>
      <c r="O1265" t="s">
        <v>207</v>
      </c>
      <c r="Q1265" t="s">
        <v>207</v>
      </c>
      <c r="R1265" t="s">
        <v>207</v>
      </c>
      <c r="S1265" t="s">
        <v>207</v>
      </c>
      <c r="T1265" t="s">
        <v>207</v>
      </c>
      <c r="U1265" t="s">
        <v>207</v>
      </c>
      <c r="V1265" t="s">
        <v>207</v>
      </c>
      <c r="W1265" t="s">
        <v>207</v>
      </c>
      <c r="X1265" t="s">
        <v>207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210</v>
      </c>
      <c r="BA1265">
        <v>2745622196.93502</v>
      </c>
      <c r="BB1265" t="s">
        <v>4572</v>
      </c>
      <c r="BC1265" t="s">
        <v>4536</v>
      </c>
    </row>
    <row r="1266" spans="1:55" x14ac:dyDescent="0.25">
      <c r="A1266">
        <v>893</v>
      </c>
      <c r="B1266" t="s">
        <v>1440</v>
      </c>
      <c r="C1266" t="s">
        <v>2875</v>
      </c>
      <c r="D1266" t="s">
        <v>4310</v>
      </c>
      <c r="E1266" t="s">
        <v>93</v>
      </c>
      <c r="F1266">
        <v>183166470</v>
      </c>
      <c r="G1266">
        <v>44.172289999999997</v>
      </c>
      <c r="H1266" t="s">
        <v>101</v>
      </c>
      <c r="I1266">
        <v>8090882431.1162996</v>
      </c>
      <c r="J1266" t="s">
        <v>205</v>
      </c>
      <c r="K1266">
        <v>33998991.237891302</v>
      </c>
      <c r="L1266">
        <v>1</v>
      </c>
      <c r="M1266" t="s">
        <v>4536</v>
      </c>
      <c r="O1266" t="s">
        <v>207</v>
      </c>
      <c r="Q1266" t="s">
        <v>207</v>
      </c>
      <c r="R1266" t="s">
        <v>207</v>
      </c>
      <c r="S1266" t="s">
        <v>207</v>
      </c>
      <c r="T1266" t="s">
        <v>207</v>
      </c>
      <c r="U1266" t="s">
        <v>207</v>
      </c>
      <c r="V1266" t="s">
        <v>207</v>
      </c>
      <c r="W1266" t="s">
        <v>207</v>
      </c>
      <c r="X1266" t="s">
        <v>207</v>
      </c>
      <c r="AK1266">
        <v>0</v>
      </c>
      <c r="AL1266">
        <v>0.01</v>
      </c>
      <c r="AM1266">
        <v>0</v>
      </c>
      <c r="AO1266" t="s">
        <v>4568</v>
      </c>
      <c r="AQ1266">
        <v>0</v>
      </c>
      <c r="AR1266">
        <v>0</v>
      </c>
      <c r="AW1266">
        <v>5010</v>
      </c>
      <c r="AX1266">
        <v>2.35</v>
      </c>
      <c r="AY1266" t="s">
        <v>210</v>
      </c>
      <c r="BA1266">
        <v>8090882431.1162996</v>
      </c>
      <c r="BB1266" t="s">
        <v>4572</v>
      </c>
      <c r="BC1266" t="s">
        <v>4582</v>
      </c>
    </row>
    <row r="1267" spans="1:55" x14ac:dyDescent="0.25">
      <c r="A1267">
        <v>993</v>
      </c>
      <c r="B1267" t="s">
        <v>1441</v>
      </c>
      <c r="C1267" t="s">
        <v>2876</v>
      </c>
      <c r="D1267" t="s">
        <v>4311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12366961429.721701</v>
      </c>
      <c r="J1267" t="s">
        <v>205</v>
      </c>
      <c r="K1267">
        <v>13399788.863425201</v>
      </c>
      <c r="L1267">
        <v>0.5</v>
      </c>
      <c r="M1267" t="s">
        <v>4536</v>
      </c>
      <c r="O1267" t="s">
        <v>207</v>
      </c>
      <c r="Q1267" t="s">
        <v>207</v>
      </c>
      <c r="R1267" t="s">
        <v>207</v>
      </c>
      <c r="S1267" t="s">
        <v>207</v>
      </c>
      <c r="T1267" t="s">
        <v>207</v>
      </c>
      <c r="U1267" t="s">
        <v>207</v>
      </c>
      <c r="V1267" t="s">
        <v>207</v>
      </c>
      <c r="W1267" t="s">
        <v>207</v>
      </c>
      <c r="X1267" t="s">
        <v>207</v>
      </c>
      <c r="AK1267">
        <v>0</v>
      </c>
      <c r="AL1267">
        <v>0.05</v>
      </c>
      <c r="AM1267">
        <v>0</v>
      </c>
      <c r="AO1267" t="s">
        <v>4568</v>
      </c>
      <c r="AQ1267">
        <v>0</v>
      </c>
      <c r="AR1267">
        <v>0</v>
      </c>
      <c r="AW1267">
        <v>5520</v>
      </c>
      <c r="AX1267">
        <v>1.5269999999999999</v>
      </c>
      <c r="AY1267" t="s">
        <v>210</v>
      </c>
      <c r="AZ1267" t="s">
        <v>4571</v>
      </c>
      <c r="BA1267">
        <v>6183480714.8608503</v>
      </c>
      <c r="BB1267" t="s">
        <v>4572</v>
      </c>
      <c r="BC1267" t="s">
        <v>4594</v>
      </c>
    </row>
    <row r="1268" spans="1:55" x14ac:dyDescent="0.25">
      <c r="A1268">
        <v>1445</v>
      </c>
      <c r="B1268" t="s">
        <v>1442</v>
      </c>
      <c r="C1268" t="s">
        <v>2877</v>
      </c>
      <c r="D1268" t="s">
        <v>4312</v>
      </c>
      <c r="E1268" t="s">
        <v>93</v>
      </c>
      <c r="F1268">
        <v>130218480</v>
      </c>
      <c r="G1268">
        <v>17.030670000000001</v>
      </c>
      <c r="H1268" t="s">
        <v>101</v>
      </c>
      <c r="I1268">
        <v>2217707960.7816</v>
      </c>
      <c r="J1268" t="s">
        <v>205</v>
      </c>
      <c r="K1268">
        <v>33514997.9294829</v>
      </c>
      <c r="L1268">
        <v>1</v>
      </c>
      <c r="M1268" t="s">
        <v>4536</v>
      </c>
      <c r="O1268" t="s">
        <v>207</v>
      </c>
      <c r="Q1268" t="s">
        <v>207</v>
      </c>
      <c r="R1268" t="s">
        <v>207</v>
      </c>
      <c r="S1268" t="s">
        <v>207</v>
      </c>
      <c r="T1268" t="s">
        <v>207</v>
      </c>
      <c r="U1268" t="s">
        <v>207</v>
      </c>
      <c r="V1268" t="s">
        <v>207</v>
      </c>
      <c r="W1268" t="s">
        <v>207</v>
      </c>
      <c r="X1268" t="s">
        <v>207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210</v>
      </c>
      <c r="BA1268">
        <v>2217707960.7816</v>
      </c>
      <c r="BB1268" t="s">
        <v>4572</v>
      </c>
      <c r="BC1268" t="s">
        <v>4536</v>
      </c>
    </row>
    <row r="1269" spans="1:55" x14ac:dyDescent="0.25">
      <c r="A1269">
        <v>1416</v>
      </c>
      <c r="B1269" t="s">
        <v>1443</v>
      </c>
      <c r="C1269" t="s">
        <v>2878</v>
      </c>
      <c r="D1269" t="s">
        <v>4313</v>
      </c>
      <c r="E1269" t="s">
        <v>93</v>
      </c>
      <c r="F1269">
        <v>70239400</v>
      </c>
      <c r="G1269">
        <v>36.165390000000002</v>
      </c>
      <c r="H1269" t="s">
        <v>101</v>
      </c>
      <c r="I1269">
        <v>2540235294.3660002</v>
      </c>
      <c r="J1269" t="s">
        <v>205</v>
      </c>
      <c r="K1269">
        <v>8773866.6993498802</v>
      </c>
      <c r="L1269">
        <v>0.95</v>
      </c>
      <c r="M1269" t="s">
        <v>4536</v>
      </c>
      <c r="N1269" t="s">
        <v>4537</v>
      </c>
      <c r="O1269" t="s">
        <v>207</v>
      </c>
      <c r="Q1269" t="s">
        <v>207</v>
      </c>
      <c r="R1269" t="s">
        <v>207</v>
      </c>
      <c r="S1269" t="s">
        <v>207</v>
      </c>
      <c r="T1269" t="s">
        <v>207</v>
      </c>
      <c r="U1269" t="s">
        <v>207</v>
      </c>
      <c r="V1269" t="s">
        <v>207</v>
      </c>
      <c r="W1269" t="s">
        <v>207</v>
      </c>
      <c r="X1269" t="s">
        <v>207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210</v>
      </c>
      <c r="BA1269">
        <v>2413223529.6476998</v>
      </c>
      <c r="BB1269" t="s">
        <v>4572</v>
      </c>
      <c r="BC1269" t="s">
        <v>4575</v>
      </c>
    </row>
    <row r="1270" spans="1:55" x14ac:dyDescent="0.25">
      <c r="A1270">
        <v>1411</v>
      </c>
      <c r="B1270" t="s">
        <v>1444</v>
      </c>
      <c r="C1270" t="s">
        <v>2879</v>
      </c>
      <c r="D1270" t="s">
        <v>4314</v>
      </c>
      <c r="E1270" t="s">
        <v>93</v>
      </c>
      <c r="F1270">
        <v>327655200</v>
      </c>
      <c r="G1270">
        <v>7.8694090000000001</v>
      </c>
      <c r="H1270" t="s">
        <v>101</v>
      </c>
      <c r="I1270">
        <v>2578452779.7768002</v>
      </c>
      <c r="J1270" t="s">
        <v>205</v>
      </c>
      <c r="K1270">
        <v>14685808.3013712</v>
      </c>
      <c r="L1270">
        <v>0.95</v>
      </c>
      <c r="M1270" t="s">
        <v>4536</v>
      </c>
      <c r="O1270" t="s">
        <v>207</v>
      </c>
      <c r="Q1270" t="s">
        <v>207</v>
      </c>
      <c r="R1270" t="s">
        <v>207</v>
      </c>
      <c r="S1270" t="s">
        <v>207</v>
      </c>
      <c r="T1270" t="s">
        <v>207</v>
      </c>
      <c r="U1270" t="s">
        <v>207</v>
      </c>
      <c r="V1270" t="s">
        <v>207</v>
      </c>
      <c r="W1270" t="s">
        <v>207</v>
      </c>
      <c r="X1270" t="s">
        <v>207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210</v>
      </c>
      <c r="AZ1270" t="s">
        <v>4571</v>
      </c>
      <c r="BA1270">
        <v>2449530140.7879601</v>
      </c>
      <c r="BB1270" t="s">
        <v>4572</v>
      </c>
      <c r="BC1270" t="s">
        <v>4577</v>
      </c>
    </row>
    <row r="1271" spans="1:55" x14ac:dyDescent="0.25">
      <c r="A1271">
        <v>327</v>
      </c>
      <c r="B1271" t="s">
        <v>1445</v>
      </c>
      <c r="C1271" t="s">
        <v>2880</v>
      </c>
      <c r="D1271" t="s">
        <v>4315</v>
      </c>
      <c r="E1271" t="s">
        <v>93</v>
      </c>
      <c r="F1271">
        <v>1590949600</v>
      </c>
      <c r="G1271">
        <v>26.975349999999999</v>
      </c>
      <c r="H1271" t="s">
        <v>101</v>
      </c>
      <c r="I1271">
        <v>42916422292.360001</v>
      </c>
      <c r="J1271" t="s">
        <v>205</v>
      </c>
      <c r="K1271">
        <v>92320967.8842545</v>
      </c>
      <c r="L1271">
        <v>1</v>
      </c>
      <c r="M1271" t="s">
        <v>4536</v>
      </c>
      <c r="O1271" t="s">
        <v>207</v>
      </c>
      <c r="Q1271" t="s">
        <v>207</v>
      </c>
      <c r="R1271" t="s">
        <v>207</v>
      </c>
      <c r="S1271" t="s">
        <v>207</v>
      </c>
      <c r="T1271" t="s">
        <v>207</v>
      </c>
      <c r="U1271" t="s">
        <v>207</v>
      </c>
      <c r="V1271" t="s">
        <v>207</v>
      </c>
      <c r="W1271" t="s">
        <v>207</v>
      </c>
      <c r="X1271" t="s">
        <v>207</v>
      </c>
      <c r="AG1271" t="s">
        <v>4546</v>
      </c>
      <c r="AH1271" t="s">
        <v>4562</v>
      </c>
      <c r="AI1271" t="s">
        <v>4565</v>
      </c>
      <c r="AJ1271" t="s">
        <v>4566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210</v>
      </c>
      <c r="BA1271">
        <v>42916422292.360001</v>
      </c>
      <c r="BB1271" t="s">
        <v>4572</v>
      </c>
      <c r="BC1271" t="s">
        <v>4578</v>
      </c>
    </row>
    <row r="1272" spans="1:55" x14ac:dyDescent="0.25">
      <c r="A1272">
        <v>402</v>
      </c>
      <c r="B1272" t="s">
        <v>193</v>
      </c>
      <c r="C1272" t="s">
        <v>44</v>
      </c>
      <c r="D1272" t="s">
        <v>84</v>
      </c>
      <c r="E1272" t="s">
        <v>90</v>
      </c>
      <c r="F1272">
        <v>176495710</v>
      </c>
      <c r="G1272">
        <v>202.43899999999999</v>
      </c>
      <c r="H1272" t="s">
        <v>98</v>
      </c>
      <c r="I1272">
        <v>35729615036.690002</v>
      </c>
      <c r="J1272" t="s">
        <v>202</v>
      </c>
      <c r="K1272">
        <v>302384025.46528202</v>
      </c>
      <c r="L1272">
        <v>0.95</v>
      </c>
      <c r="O1272" t="s">
        <v>207</v>
      </c>
      <c r="Q1272" t="s">
        <v>207</v>
      </c>
      <c r="R1272" t="s">
        <v>207</v>
      </c>
      <c r="S1272" t="s">
        <v>207</v>
      </c>
      <c r="T1272" t="s">
        <v>207</v>
      </c>
      <c r="U1272" t="s">
        <v>207</v>
      </c>
      <c r="V1272" t="s">
        <v>207</v>
      </c>
      <c r="W1272" t="s">
        <v>207</v>
      </c>
      <c r="X1272" t="s">
        <v>207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208</v>
      </c>
      <c r="BA1272">
        <v>33943134284.855499</v>
      </c>
      <c r="BB1272" t="s">
        <v>211</v>
      </c>
    </row>
    <row r="1273" spans="1:55" x14ac:dyDescent="0.25">
      <c r="A1273">
        <v>1054</v>
      </c>
      <c r="B1273" t="s">
        <v>1446</v>
      </c>
      <c r="C1273" t="s">
        <v>2881</v>
      </c>
      <c r="D1273" t="s">
        <v>4316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203</v>
      </c>
      <c r="K1273">
        <v>8563219.3114754092</v>
      </c>
      <c r="L1273">
        <v>0.25</v>
      </c>
      <c r="M1273" t="s">
        <v>4536</v>
      </c>
      <c r="N1273" t="s">
        <v>4537</v>
      </c>
      <c r="O1273" t="s">
        <v>207</v>
      </c>
      <c r="Q1273" t="s">
        <v>207</v>
      </c>
      <c r="R1273" t="s">
        <v>207</v>
      </c>
      <c r="S1273" t="s">
        <v>207</v>
      </c>
      <c r="T1273" t="s">
        <v>207</v>
      </c>
      <c r="U1273" t="s">
        <v>207</v>
      </c>
      <c r="V1273" t="s">
        <v>207</v>
      </c>
      <c r="W1273" t="s">
        <v>207</v>
      </c>
      <c r="X1273" t="s">
        <v>207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209</v>
      </c>
      <c r="BA1273">
        <v>5396986100</v>
      </c>
      <c r="BB1273" t="s">
        <v>4572</v>
      </c>
      <c r="BC1273" t="s">
        <v>4575</v>
      </c>
    </row>
    <row r="1274" spans="1:55" x14ac:dyDescent="0.25">
      <c r="A1274">
        <v>708</v>
      </c>
      <c r="B1274" t="s">
        <v>1447</v>
      </c>
      <c r="C1274" t="s">
        <v>2882</v>
      </c>
      <c r="D1274" t="s">
        <v>4317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202</v>
      </c>
      <c r="K1274">
        <v>354695614.24604499</v>
      </c>
      <c r="L1274">
        <v>1</v>
      </c>
      <c r="M1274" t="s">
        <v>4536</v>
      </c>
      <c r="O1274" t="s">
        <v>207</v>
      </c>
      <c r="Q1274" t="s">
        <v>207</v>
      </c>
      <c r="R1274" t="s">
        <v>207</v>
      </c>
      <c r="S1274" t="s">
        <v>207</v>
      </c>
      <c r="T1274" t="s">
        <v>207</v>
      </c>
      <c r="U1274" t="s">
        <v>207</v>
      </c>
      <c r="V1274" t="s">
        <v>207</v>
      </c>
      <c r="W1274" t="s">
        <v>207</v>
      </c>
      <c r="X1274" t="s">
        <v>207</v>
      </c>
      <c r="AG1274" t="s">
        <v>4547</v>
      </c>
      <c r="AI1274" t="s">
        <v>4565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208</v>
      </c>
      <c r="BA1274">
        <v>16749342206.8155</v>
      </c>
      <c r="BB1274" t="s">
        <v>4572</v>
      </c>
      <c r="BC1274" t="s">
        <v>4597</v>
      </c>
    </row>
    <row r="1275" spans="1:55" x14ac:dyDescent="0.25">
      <c r="A1275">
        <v>334</v>
      </c>
      <c r="B1275" t="s">
        <v>1448</v>
      </c>
      <c r="C1275" t="s">
        <v>2883</v>
      </c>
      <c r="D1275" t="s">
        <v>4318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202</v>
      </c>
      <c r="K1275">
        <v>309599667.06598598</v>
      </c>
      <c r="L1275">
        <v>1</v>
      </c>
      <c r="M1275" t="s">
        <v>4536</v>
      </c>
      <c r="O1275" t="s">
        <v>207</v>
      </c>
      <c r="Q1275" t="s">
        <v>207</v>
      </c>
      <c r="R1275" t="s">
        <v>207</v>
      </c>
      <c r="S1275" t="s">
        <v>207</v>
      </c>
      <c r="T1275" t="s">
        <v>207</v>
      </c>
      <c r="U1275" t="s">
        <v>207</v>
      </c>
      <c r="V1275" t="s">
        <v>207</v>
      </c>
      <c r="W1275" t="s">
        <v>207</v>
      </c>
      <c r="X1275" t="s">
        <v>207</v>
      </c>
      <c r="AK1275">
        <v>0</v>
      </c>
      <c r="AL1275">
        <v>1</v>
      </c>
      <c r="AM1275">
        <v>0</v>
      </c>
      <c r="AO1275" t="s">
        <v>4568</v>
      </c>
      <c r="AQ1275">
        <v>0</v>
      </c>
      <c r="AR1275">
        <v>0</v>
      </c>
      <c r="AW1275">
        <v>6010</v>
      </c>
      <c r="AX1275">
        <v>2.4460000000000002</v>
      </c>
      <c r="AY1275" t="s">
        <v>208</v>
      </c>
      <c r="BA1275">
        <v>41798068645.508003</v>
      </c>
      <c r="BB1275" t="s">
        <v>4572</v>
      </c>
      <c r="BC1275" t="s">
        <v>4582</v>
      </c>
    </row>
    <row r="1276" spans="1:55" x14ac:dyDescent="0.25">
      <c r="A1276">
        <v>246</v>
      </c>
      <c r="B1276" t="s">
        <v>1449</v>
      </c>
      <c r="C1276" t="s">
        <v>2884</v>
      </c>
      <c r="D1276" t="s">
        <v>4319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202</v>
      </c>
      <c r="K1276">
        <v>737072652.43973804</v>
      </c>
      <c r="L1276">
        <v>1</v>
      </c>
      <c r="M1276" t="s">
        <v>4536</v>
      </c>
      <c r="O1276" t="s">
        <v>206</v>
      </c>
      <c r="Q1276" t="s">
        <v>207</v>
      </c>
      <c r="R1276" t="s">
        <v>207</v>
      </c>
      <c r="S1276" t="s">
        <v>207</v>
      </c>
      <c r="T1276" t="s">
        <v>207</v>
      </c>
      <c r="U1276" t="s">
        <v>207</v>
      </c>
      <c r="V1276" t="s">
        <v>207</v>
      </c>
      <c r="W1276" t="s">
        <v>207</v>
      </c>
      <c r="X1276" t="s">
        <v>207</v>
      </c>
      <c r="AG1276" t="s">
        <v>4546</v>
      </c>
      <c r="AH1276" t="s">
        <v>4564</v>
      </c>
      <c r="AI1276" t="s">
        <v>4565</v>
      </c>
      <c r="AJ1276" t="s">
        <v>4566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208</v>
      </c>
      <c r="BA1276">
        <v>54463891215.419998</v>
      </c>
      <c r="BB1276" t="s">
        <v>4572</v>
      </c>
      <c r="BC1276" t="s">
        <v>4578</v>
      </c>
    </row>
    <row r="1277" spans="1:55" x14ac:dyDescent="0.25">
      <c r="A1277">
        <v>1080</v>
      </c>
      <c r="B1277" t="s">
        <v>1450</v>
      </c>
      <c r="C1277" t="s">
        <v>2885</v>
      </c>
      <c r="D1277" t="s">
        <v>4320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204</v>
      </c>
      <c r="K1277">
        <v>19580322.357266299</v>
      </c>
      <c r="L1277">
        <v>1</v>
      </c>
      <c r="M1277" t="s">
        <v>4536</v>
      </c>
      <c r="O1277" t="s">
        <v>207</v>
      </c>
      <c r="Q1277" t="s">
        <v>207</v>
      </c>
      <c r="R1277" t="s">
        <v>207</v>
      </c>
      <c r="S1277" t="s">
        <v>207</v>
      </c>
      <c r="T1277" t="s">
        <v>207</v>
      </c>
      <c r="U1277" t="s">
        <v>207</v>
      </c>
      <c r="V1277" t="s">
        <v>207</v>
      </c>
      <c r="W1277" t="s">
        <v>207</v>
      </c>
      <c r="X1277" t="s">
        <v>207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209</v>
      </c>
      <c r="BA1277">
        <v>4893845134.1938</v>
      </c>
      <c r="BB1277" t="s">
        <v>4572</v>
      </c>
      <c r="BC1277" t="s">
        <v>4536</v>
      </c>
    </row>
    <row r="1278" spans="1:55" x14ac:dyDescent="0.25">
      <c r="A1278">
        <v>1161</v>
      </c>
      <c r="B1278" t="s">
        <v>1451</v>
      </c>
      <c r="C1278" t="s">
        <v>2886</v>
      </c>
      <c r="D1278" t="s">
        <v>4321</v>
      </c>
      <c r="E1278" t="s">
        <v>93</v>
      </c>
      <c r="F1278">
        <v>165591060</v>
      </c>
      <c r="G1278">
        <v>27.148019999999999</v>
      </c>
      <c r="H1278" t="s">
        <v>101</v>
      </c>
      <c r="I1278">
        <v>4495469408.7011995</v>
      </c>
      <c r="J1278" t="s">
        <v>205</v>
      </c>
      <c r="K1278">
        <v>8679745.4043349605</v>
      </c>
      <c r="L1278">
        <v>0.9</v>
      </c>
      <c r="M1278" t="s">
        <v>4536</v>
      </c>
      <c r="N1278" t="s">
        <v>4537</v>
      </c>
      <c r="O1278" t="s">
        <v>207</v>
      </c>
      <c r="Q1278" t="s">
        <v>207</v>
      </c>
      <c r="R1278" t="s">
        <v>207</v>
      </c>
      <c r="S1278" t="s">
        <v>207</v>
      </c>
      <c r="T1278" t="s">
        <v>207</v>
      </c>
      <c r="U1278" t="s">
        <v>207</v>
      </c>
      <c r="V1278" t="s">
        <v>207</v>
      </c>
      <c r="W1278" t="s">
        <v>207</v>
      </c>
      <c r="X1278" t="s">
        <v>207</v>
      </c>
      <c r="AG1278" t="s">
        <v>4547</v>
      </c>
      <c r="AI1278" t="s">
        <v>4565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210</v>
      </c>
      <c r="BA1278">
        <v>4045922467.831079</v>
      </c>
      <c r="BB1278" t="s">
        <v>4572</v>
      </c>
      <c r="BC1278" t="s">
        <v>4649</v>
      </c>
    </row>
    <row r="1279" spans="1:55" x14ac:dyDescent="0.25">
      <c r="A1279">
        <v>311</v>
      </c>
      <c r="B1279" t="s">
        <v>1452</v>
      </c>
      <c r="C1279" t="s">
        <v>2887</v>
      </c>
      <c r="D1279" t="s">
        <v>4322</v>
      </c>
      <c r="E1279" t="s">
        <v>97</v>
      </c>
      <c r="F1279">
        <v>1039095500</v>
      </c>
      <c r="G1279">
        <v>43.084870000000002</v>
      </c>
      <c r="H1279" t="s">
        <v>104</v>
      </c>
      <c r="I1279">
        <v>44769294535.084999</v>
      </c>
      <c r="J1279" t="s">
        <v>202</v>
      </c>
      <c r="K1279">
        <v>232786247.351338</v>
      </c>
      <c r="L1279">
        <v>1</v>
      </c>
      <c r="M1279" t="s">
        <v>4536</v>
      </c>
      <c r="O1279" t="s">
        <v>206</v>
      </c>
      <c r="Q1279" t="s">
        <v>207</v>
      </c>
      <c r="R1279" t="s">
        <v>207</v>
      </c>
      <c r="S1279" t="s">
        <v>207</v>
      </c>
      <c r="T1279" t="s">
        <v>207</v>
      </c>
      <c r="U1279" t="s">
        <v>207</v>
      </c>
      <c r="V1279" t="s">
        <v>207</v>
      </c>
      <c r="W1279" t="s">
        <v>207</v>
      </c>
      <c r="X1279" t="s">
        <v>207</v>
      </c>
      <c r="AK1279">
        <v>0</v>
      </c>
      <c r="AL1279">
        <v>0.94699999999999995</v>
      </c>
      <c r="AM1279">
        <v>6.4000000000000003E-3</v>
      </c>
      <c r="AO1279" t="s">
        <v>4568</v>
      </c>
      <c r="AP1279" t="s">
        <v>4569</v>
      </c>
      <c r="AQ1279">
        <v>0</v>
      </c>
      <c r="AR1279">
        <v>0</v>
      </c>
      <c r="AW1279">
        <v>6010</v>
      </c>
      <c r="AX1279">
        <v>1.921</v>
      </c>
      <c r="AY1279" t="s">
        <v>208</v>
      </c>
      <c r="AZ1279" t="s">
        <v>4571</v>
      </c>
      <c r="BA1279">
        <v>44769294535.084999</v>
      </c>
      <c r="BB1279" t="s">
        <v>4572</v>
      </c>
      <c r="BC1279" t="s">
        <v>4611</v>
      </c>
    </row>
    <row r="1280" spans="1:55" x14ac:dyDescent="0.25">
      <c r="A1280">
        <v>598</v>
      </c>
      <c r="B1280" t="s">
        <v>1453</v>
      </c>
      <c r="C1280" t="s">
        <v>2888</v>
      </c>
      <c r="D1280" t="s">
        <v>4323</v>
      </c>
      <c r="E1280" t="s">
        <v>93</v>
      </c>
      <c r="F1280">
        <v>1943859900</v>
      </c>
      <c r="G1280">
        <v>10.715310000000001</v>
      </c>
      <c r="H1280" t="s">
        <v>101</v>
      </c>
      <c r="I1280">
        <v>20829061425.069</v>
      </c>
      <c r="J1280" t="s">
        <v>205</v>
      </c>
      <c r="K1280">
        <v>88443431.589020893</v>
      </c>
      <c r="L1280">
        <v>1</v>
      </c>
      <c r="M1280" t="s">
        <v>4536</v>
      </c>
      <c r="O1280" t="s">
        <v>207</v>
      </c>
      <c r="Q1280" t="s">
        <v>207</v>
      </c>
      <c r="R1280" t="s">
        <v>207</v>
      </c>
      <c r="S1280" t="s">
        <v>207</v>
      </c>
      <c r="T1280" t="s">
        <v>207</v>
      </c>
      <c r="U1280" t="s">
        <v>207</v>
      </c>
      <c r="V1280" t="s">
        <v>207</v>
      </c>
      <c r="W1280" t="s">
        <v>207</v>
      </c>
      <c r="X1280" t="s">
        <v>207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210</v>
      </c>
      <c r="BA1280">
        <v>20829061425.069</v>
      </c>
      <c r="BB1280" t="s">
        <v>4572</v>
      </c>
      <c r="BC1280" t="s">
        <v>4536</v>
      </c>
    </row>
    <row r="1281" spans="1:55" x14ac:dyDescent="0.25">
      <c r="A1281">
        <v>315</v>
      </c>
      <c r="B1281" t="s">
        <v>1454</v>
      </c>
      <c r="C1281" t="s">
        <v>2889</v>
      </c>
      <c r="D1281" t="s">
        <v>4324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202</v>
      </c>
      <c r="K1281">
        <v>225881325.26594001</v>
      </c>
      <c r="L1281">
        <v>1</v>
      </c>
      <c r="O1281" t="s">
        <v>207</v>
      </c>
      <c r="Q1281" t="s">
        <v>207</v>
      </c>
      <c r="R1281" t="s">
        <v>207</v>
      </c>
      <c r="S1281" t="s">
        <v>207</v>
      </c>
      <c r="T1281" t="s">
        <v>207</v>
      </c>
      <c r="U1281" t="s">
        <v>207</v>
      </c>
      <c r="V1281" t="s">
        <v>207</v>
      </c>
      <c r="W1281" t="s">
        <v>207</v>
      </c>
      <c r="X1281" t="s">
        <v>207</v>
      </c>
      <c r="AG1281" t="s">
        <v>4546</v>
      </c>
      <c r="AH1281" t="s">
        <v>4562</v>
      </c>
      <c r="AI1281" t="s">
        <v>4565</v>
      </c>
      <c r="AJ1281" t="s">
        <v>4566</v>
      </c>
      <c r="AK1281">
        <v>0</v>
      </c>
      <c r="AL1281">
        <v>0.05</v>
      </c>
      <c r="AM1281">
        <v>0</v>
      </c>
      <c r="AO1281" t="s">
        <v>4568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208</v>
      </c>
      <c r="BA1281">
        <v>44092333553.526001</v>
      </c>
      <c r="BB1281" t="s">
        <v>4572</v>
      </c>
      <c r="BC1281" t="s">
        <v>4573</v>
      </c>
    </row>
    <row r="1282" spans="1:55" x14ac:dyDescent="0.25">
      <c r="A1282">
        <v>1023</v>
      </c>
      <c r="B1282" t="s">
        <v>1455</v>
      </c>
      <c r="C1282" t="s">
        <v>2890</v>
      </c>
      <c r="D1282" t="s">
        <v>4325</v>
      </c>
      <c r="E1282" t="s">
        <v>94</v>
      </c>
      <c r="F1282">
        <v>327368530</v>
      </c>
      <c r="G1282">
        <v>19.536580000000001</v>
      </c>
      <c r="H1282" t="s">
        <v>102</v>
      </c>
      <c r="I1282">
        <v>6395661475.8274002</v>
      </c>
      <c r="J1282" t="s">
        <v>205</v>
      </c>
      <c r="K1282">
        <v>14876970.798809901</v>
      </c>
      <c r="L1282">
        <v>0.9</v>
      </c>
      <c r="M1282" t="s">
        <v>4536</v>
      </c>
      <c r="O1282" t="s">
        <v>207</v>
      </c>
      <c r="Q1282" t="s">
        <v>207</v>
      </c>
      <c r="R1282" t="s">
        <v>207</v>
      </c>
      <c r="S1282" t="s">
        <v>207</v>
      </c>
      <c r="T1282" t="s">
        <v>207</v>
      </c>
      <c r="U1282" t="s">
        <v>207</v>
      </c>
      <c r="V1282" t="s">
        <v>207</v>
      </c>
      <c r="W1282" t="s">
        <v>207</v>
      </c>
      <c r="X1282" t="s">
        <v>207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210</v>
      </c>
      <c r="AZ1282" t="s">
        <v>4571</v>
      </c>
      <c r="BA1282">
        <v>5756095328.2446604</v>
      </c>
      <c r="BB1282" t="s">
        <v>4572</v>
      </c>
      <c r="BC1282" t="s">
        <v>4577</v>
      </c>
    </row>
    <row r="1283" spans="1:55" x14ac:dyDescent="0.25">
      <c r="A1283">
        <v>657</v>
      </c>
      <c r="B1283" t="s">
        <v>1456</v>
      </c>
      <c r="C1283" t="s">
        <v>2891</v>
      </c>
      <c r="D1283" t="s">
        <v>4326</v>
      </c>
      <c r="E1283" t="s">
        <v>4518</v>
      </c>
      <c r="F1283">
        <v>1832304900</v>
      </c>
      <c r="G1283">
        <v>13.48109</v>
      </c>
      <c r="H1283" t="s">
        <v>4529</v>
      </c>
      <c r="I1283">
        <v>24701467264.341</v>
      </c>
      <c r="J1283" t="s">
        <v>205</v>
      </c>
      <c r="K1283">
        <v>47160111.735538803</v>
      </c>
      <c r="L1283">
        <v>0.75</v>
      </c>
      <c r="M1283" t="s">
        <v>4536</v>
      </c>
      <c r="O1283" t="s">
        <v>207</v>
      </c>
      <c r="Q1283" t="s">
        <v>207</v>
      </c>
      <c r="R1283" t="s">
        <v>207</v>
      </c>
      <c r="S1283" t="s">
        <v>207</v>
      </c>
      <c r="T1283" t="s">
        <v>207</v>
      </c>
      <c r="U1283" t="s">
        <v>207</v>
      </c>
      <c r="V1283" t="s">
        <v>207</v>
      </c>
      <c r="W1283" t="s">
        <v>207</v>
      </c>
      <c r="X1283" t="s">
        <v>207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210</v>
      </c>
      <c r="BA1283">
        <v>18526100448.255749</v>
      </c>
      <c r="BB1283" t="s">
        <v>4572</v>
      </c>
      <c r="BC1283" t="s">
        <v>4536</v>
      </c>
    </row>
    <row r="1284" spans="1:55" x14ac:dyDescent="0.25">
      <c r="A1284">
        <v>654</v>
      </c>
      <c r="B1284" t="s">
        <v>1457</v>
      </c>
      <c r="C1284" t="s">
        <v>2892</v>
      </c>
      <c r="D1284" t="s">
        <v>4327</v>
      </c>
      <c r="E1284" t="s">
        <v>97</v>
      </c>
      <c r="F1284">
        <v>498743440</v>
      </c>
      <c r="G1284">
        <v>39.394579999999998</v>
      </c>
      <c r="H1284" t="s">
        <v>104</v>
      </c>
      <c r="I1284">
        <v>19647788346.555199</v>
      </c>
      <c r="J1284" t="s">
        <v>202</v>
      </c>
      <c r="K1284">
        <v>39785202.591382101</v>
      </c>
      <c r="L1284">
        <v>0.95</v>
      </c>
      <c r="M1284" t="s">
        <v>4536</v>
      </c>
      <c r="O1284" t="s">
        <v>207</v>
      </c>
      <c r="Q1284" t="s">
        <v>207</v>
      </c>
      <c r="R1284" t="s">
        <v>207</v>
      </c>
      <c r="S1284" t="s">
        <v>207</v>
      </c>
      <c r="T1284" t="s">
        <v>207</v>
      </c>
      <c r="U1284" t="s">
        <v>207</v>
      </c>
      <c r="V1284" t="s">
        <v>207</v>
      </c>
      <c r="W1284" t="s">
        <v>207</v>
      </c>
      <c r="X1284" t="s">
        <v>207</v>
      </c>
      <c r="AK1284">
        <v>0.56899999999999995</v>
      </c>
      <c r="AL1284">
        <v>0.56899999999999995</v>
      </c>
      <c r="AM1284">
        <v>0</v>
      </c>
      <c r="AN1284" t="s">
        <v>4567</v>
      </c>
      <c r="AO1284" t="s">
        <v>4568</v>
      </c>
      <c r="AQ1284">
        <v>0</v>
      </c>
      <c r="AR1284">
        <v>0</v>
      </c>
      <c r="AW1284">
        <v>5510</v>
      </c>
      <c r="AX1284">
        <v>2.6739999999999999</v>
      </c>
      <c r="AY1284" t="s">
        <v>208</v>
      </c>
      <c r="BA1284">
        <v>18665398929.22744</v>
      </c>
      <c r="BB1284" t="s">
        <v>4572</v>
      </c>
      <c r="BC1284" t="s">
        <v>4599</v>
      </c>
    </row>
    <row r="1285" spans="1:55" x14ac:dyDescent="0.25">
      <c r="A1285">
        <v>997</v>
      </c>
      <c r="B1285" t="s">
        <v>1458</v>
      </c>
      <c r="C1285" t="s">
        <v>2893</v>
      </c>
      <c r="D1285" t="s">
        <v>4328</v>
      </c>
      <c r="E1285" t="s">
        <v>4519</v>
      </c>
      <c r="F1285">
        <v>683286900</v>
      </c>
      <c r="G1285">
        <v>11.195</v>
      </c>
      <c r="H1285" t="s">
        <v>4530</v>
      </c>
      <c r="I1285">
        <v>7649396845.5</v>
      </c>
      <c r="J1285" t="s">
        <v>204</v>
      </c>
      <c r="K1285">
        <v>18266804.221528899</v>
      </c>
      <c r="L1285">
        <v>0.8</v>
      </c>
      <c r="M1285" t="s">
        <v>4536</v>
      </c>
      <c r="O1285" t="s">
        <v>207</v>
      </c>
      <c r="Q1285" t="s">
        <v>207</v>
      </c>
      <c r="R1285" t="s">
        <v>207</v>
      </c>
      <c r="S1285" t="s">
        <v>207</v>
      </c>
      <c r="T1285" t="s">
        <v>207</v>
      </c>
      <c r="U1285" t="s">
        <v>207</v>
      </c>
      <c r="V1285" t="s">
        <v>207</v>
      </c>
      <c r="W1285" t="s">
        <v>207</v>
      </c>
      <c r="X1285" t="s">
        <v>207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209</v>
      </c>
      <c r="BA1285">
        <v>6119517476.4000006</v>
      </c>
      <c r="BB1285" t="s">
        <v>4572</v>
      </c>
      <c r="BC1285" t="s">
        <v>4536</v>
      </c>
    </row>
    <row r="1286" spans="1:55" x14ac:dyDescent="0.25">
      <c r="A1286">
        <v>1372</v>
      </c>
      <c r="B1286" t="s">
        <v>1459</v>
      </c>
      <c r="C1286" t="s">
        <v>2894</v>
      </c>
      <c r="D1286" t="s">
        <v>4329</v>
      </c>
      <c r="E1286" t="s">
        <v>4517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4535</v>
      </c>
      <c r="K1286">
        <v>81411523.784232795</v>
      </c>
      <c r="L1286">
        <v>0.65</v>
      </c>
      <c r="M1286" t="s">
        <v>4536</v>
      </c>
      <c r="O1286" t="s">
        <v>207</v>
      </c>
      <c r="Q1286" t="s">
        <v>207</v>
      </c>
      <c r="R1286" t="s">
        <v>207</v>
      </c>
      <c r="S1286" t="s">
        <v>207</v>
      </c>
      <c r="T1286" t="s">
        <v>207</v>
      </c>
      <c r="U1286" t="s">
        <v>207</v>
      </c>
      <c r="V1286" t="s">
        <v>207</v>
      </c>
      <c r="W1286" t="s">
        <v>207</v>
      </c>
      <c r="X1286" t="s">
        <v>207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209</v>
      </c>
      <c r="BA1286">
        <v>2702278353.9148798</v>
      </c>
      <c r="BB1286" t="s">
        <v>4572</v>
      </c>
      <c r="BC1286" t="s">
        <v>4536</v>
      </c>
    </row>
    <row r="1287" spans="1:55" x14ac:dyDescent="0.25">
      <c r="A1287">
        <v>575</v>
      </c>
      <c r="B1287" t="s">
        <v>1460</v>
      </c>
      <c r="C1287" t="s">
        <v>2895</v>
      </c>
      <c r="D1287" t="s">
        <v>4330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202</v>
      </c>
      <c r="K1287">
        <v>113789539.39712401</v>
      </c>
      <c r="L1287">
        <v>1</v>
      </c>
      <c r="M1287" t="s">
        <v>4536</v>
      </c>
      <c r="O1287" t="s">
        <v>207</v>
      </c>
      <c r="Q1287" t="s">
        <v>207</v>
      </c>
      <c r="R1287" t="s">
        <v>207</v>
      </c>
      <c r="S1287" t="s">
        <v>206</v>
      </c>
      <c r="T1287" t="s">
        <v>207</v>
      </c>
      <c r="U1287" t="s">
        <v>207</v>
      </c>
      <c r="V1287" t="s">
        <v>207</v>
      </c>
      <c r="W1287" t="s">
        <v>207</v>
      </c>
      <c r="X1287" t="s">
        <v>207</v>
      </c>
      <c r="AA1287" t="s">
        <v>4541</v>
      </c>
      <c r="AK1287">
        <v>0</v>
      </c>
      <c r="AL1287">
        <v>0.05</v>
      </c>
      <c r="AM1287">
        <v>0</v>
      </c>
      <c r="AO1287" t="s">
        <v>4568</v>
      </c>
      <c r="AQ1287">
        <v>0</v>
      </c>
      <c r="AR1287">
        <v>0</v>
      </c>
      <c r="AW1287">
        <v>5020</v>
      </c>
      <c r="AX1287">
        <v>1.7410000000000001</v>
      </c>
      <c r="AY1287" t="s">
        <v>208</v>
      </c>
      <c r="AZ1287" t="s">
        <v>4571</v>
      </c>
      <c r="BA1287">
        <v>21887264252.127998</v>
      </c>
      <c r="BB1287" t="s">
        <v>4572</v>
      </c>
      <c r="BC1287" t="s">
        <v>4657</v>
      </c>
    </row>
    <row r="1288" spans="1:55" x14ac:dyDescent="0.25">
      <c r="A1288">
        <v>714</v>
      </c>
      <c r="B1288" t="s">
        <v>1461</v>
      </c>
      <c r="C1288" t="s">
        <v>2896</v>
      </c>
      <c r="D1288" t="s">
        <v>4331</v>
      </c>
      <c r="E1288" t="s">
        <v>92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203</v>
      </c>
      <c r="K1288">
        <v>53268601.0030111</v>
      </c>
      <c r="L1288">
        <v>0.7</v>
      </c>
      <c r="M1288" t="s">
        <v>4536</v>
      </c>
      <c r="O1288" t="s">
        <v>207</v>
      </c>
      <c r="Q1288" t="s">
        <v>207</v>
      </c>
      <c r="R1288" t="s">
        <v>207</v>
      </c>
      <c r="S1288" t="s">
        <v>207</v>
      </c>
      <c r="T1288" t="s">
        <v>207</v>
      </c>
      <c r="U1288" t="s">
        <v>207</v>
      </c>
      <c r="V1288" t="s">
        <v>207</v>
      </c>
      <c r="W1288" t="s">
        <v>207</v>
      </c>
      <c r="X1288" t="s">
        <v>207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209</v>
      </c>
      <c r="BA1288">
        <v>16567078162.879999</v>
      </c>
      <c r="BB1288" t="s">
        <v>4572</v>
      </c>
      <c r="BC1288" t="s">
        <v>4536</v>
      </c>
    </row>
    <row r="1289" spans="1:55" x14ac:dyDescent="0.25">
      <c r="A1289">
        <v>1040</v>
      </c>
      <c r="B1289" t="s">
        <v>1462</v>
      </c>
      <c r="C1289" t="s">
        <v>2897</v>
      </c>
      <c r="D1289" t="s">
        <v>4332</v>
      </c>
      <c r="E1289" t="s">
        <v>4524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203</v>
      </c>
      <c r="K1289">
        <v>447632.55360655801</v>
      </c>
      <c r="L1289">
        <v>1</v>
      </c>
      <c r="M1289" t="s">
        <v>4536</v>
      </c>
      <c r="N1289" t="s">
        <v>4537</v>
      </c>
      <c r="O1289" t="s">
        <v>207</v>
      </c>
      <c r="Q1289" t="s">
        <v>207</v>
      </c>
      <c r="R1289" t="s">
        <v>207</v>
      </c>
      <c r="S1289" t="s">
        <v>207</v>
      </c>
      <c r="T1289" t="s">
        <v>207</v>
      </c>
      <c r="U1289" t="s">
        <v>207</v>
      </c>
      <c r="V1289" t="s">
        <v>207</v>
      </c>
      <c r="W1289" t="s">
        <v>207</v>
      </c>
      <c r="X1289" t="s">
        <v>207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209</v>
      </c>
      <c r="BA1289">
        <v>5601734494.1999998</v>
      </c>
      <c r="BB1289" t="s">
        <v>4572</v>
      </c>
      <c r="BC1289" t="s">
        <v>4575</v>
      </c>
    </row>
    <row r="1290" spans="1:55" x14ac:dyDescent="0.25">
      <c r="A1290">
        <v>924</v>
      </c>
      <c r="B1290" t="s">
        <v>1463</v>
      </c>
      <c r="C1290" t="s">
        <v>2898</v>
      </c>
      <c r="D1290" t="s">
        <v>4333</v>
      </c>
      <c r="E1290" t="s">
        <v>4522</v>
      </c>
      <c r="F1290">
        <v>1368349989</v>
      </c>
      <c r="G1290">
        <v>12.142609999999999</v>
      </c>
      <c r="H1290" t="s">
        <v>4531</v>
      </c>
      <c r="I1290">
        <v>16615340259.93129</v>
      </c>
      <c r="J1290" t="s">
        <v>204</v>
      </c>
      <c r="K1290">
        <v>14604406.268437199</v>
      </c>
      <c r="L1290">
        <v>0.45</v>
      </c>
      <c r="M1290" t="s">
        <v>4536</v>
      </c>
      <c r="O1290" t="s">
        <v>207</v>
      </c>
      <c r="Q1290" t="s">
        <v>207</v>
      </c>
      <c r="R1290" t="s">
        <v>207</v>
      </c>
      <c r="S1290" t="s">
        <v>207</v>
      </c>
      <c r="T1290" t="s">
        <v>207</v>
      </c>
      <c r="U1290" t="s">
        <v>207</v>
      </c>
      <c r="V1290" t="s">
        <v>207</v>
      </c>
      <c r="W1290" t="s">
        <v>207</v>
      </c>
      <c r="X1290" t="s">
        <v>207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209</v>
      </c>
      <c r="AZ1290" t="s">
        <v>4571</v>
      </c>
      <c r="BA1290">
        <v>7476903116.9690809</v>
      </c>
      <c r="BB1290" t="s">
        <v>4572</v>
      </c>
      <c r="BC1290" t="s">
        <v>4577</v>
      </c>
    </row>
    <row r="1291" spans="1:55" x14ac:dyDescent="0.25">
      <c r="A1291">
        <v>940</v>
      </c>
      <c r="B1291" t="s">
        <v>1464</v>
      </c>
      <c r="C1291" t="s">
        <v>2899</v>
      </c>
      <c r="D1291" t="s">
        <v>4334</v>
      </c>
      <c r="E1291" t="s">
        <v>4519</v>
      </c>
      <c r="F1291">
        <v>3932109400</v>
      </c>
      <c r="G1291">
        <v>3.062665</v>
      </c>
      <c r="H1291" t="s">
        <v>4530</v>
      </c>
      <c r="I1291">
        <v>12042733835.551001</v>
      </c>
      <c r="J1291" t="s">
        <v>204</v>
      </c>
      <c r="K1291">
        <v>23714827.3458638</v>
      </c>
      <c r="L1291">
        <v>0.6</v>
      </c>
      <c r="M1291" t="s">
        <v>4536</v>
      </c>
      <c r="O1291" t="s">
        <v>207</v>
      </c>
      <c r="Q1291" t="s">
        <v>207</v>
      </c>
      <c r="R1291" t="s">
        <v>207</v>
      </c>
      <c r="S1291" t="s">
        <v>207</v>
      </c>
      <c r="T1291" t="s">
        <v>207</v>
      </c>
      <c r="U1291" t="s">
        <v>207</v>
      </c>
      <c r="V1291" t="s">
        <v>207</v>
      </c>
      <c r="W1291" t="s">
        <v>207</v>
      </c>
      <c r="X1291" t="s">
        <v>207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209</v>
      </c>
      <c r="AZ1291" t="s">
        <v>4571</v>
      </c>
      <c r="BA1291">
        <v>7225640301.3305998</v>
      </c>
      <c r="BB1291" t="s">
        <v>4572</v>
      </c>
      <c r="BC1291" t="s">
        <v>4577</v>
      </c>
    </row>
    <row r="1292" spans="1:55" x14ac:dyDescent="0.25">
      <c r="A1292">
        <v>1060</v>
      </c>
      <c r="B1292" t="s">
        <v>1465</v>
      </c>
      <c r="C1292" t="s">
        <v>2900</v>
      </c>
      <c r="D1292" t="s">
        <v>4335</v>
      </c>
      <c r="E1292" t="s">
        <v>94</v>
      </c>
      <c r="F1292">
        <v>336872300</v>
      </c>
      <c r="G1292">
        <v>18.365849999999998</v>
      </c>
      <c r="H1292" t="s">
        <v>102</v>
      </c>
      <c r="I1292">
        <v>6186946130.954999</v>
      </c>
      <c r="J1292" t="s">
        <v>205</v>
      </c>
      <c r="K1292">
        <v>16326138.454691799</v>
      </c>
      <c r="L1292">
        <v>0.85</v>
      </c>
      <c r="M1292" t="s">
        <v>4536</v>
      </c>
      <c r="O1292" t="s">
        <v>207</v>
      </c>
      <c r="Q1292" t="s">
        <v>207</v>
      </c>
      <c r="R1292" t="s">
        <v>207</v>
      </c>
      <c r="S1292" t="s">
        <v>207</v>
      </c>
      <c r="T1292" t="s">
        <v>207</v>
      </c>
      <c r="U1292" t="s">
        <v>207</v>
      </c>
      <c r="V1292" t="s">
        <v>207</v>
      </c>
      <c r="W1292" t="s">
        <v>207</v>
      </c>
      <c r="X1292" t="s">
        <v>207</v>
      </c>
      <c r="AG1292" t="s">
        <v>4546</v>
      </c>
      <c r="AH1292" t="s">
        <v>4562</v>
      </c>
      <c r="AI1292" t="s">
        <v>4565</v>
      </c>
      <c r="AJ1292" t="s">
        <v>4566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210</v>
      </c>
      <c r="BA1292">
        <v>5258904211.3117495</v>
      </c>
      <c r="BB1292" t="s">
        <v>4572</v>
      </c>
      <c r="BC1292" t="s">
        <v>4578</v>
      </c>
    </row>
    <row r="1293" spans="1:55" x14ac:dyDescent="0.25">
      <c r="A1293">
        <v>463</v>
      </c>
      <c r="B1293" t="s">
        <v>1466</v>
      </c>
      <c r="C1293" t="s">
        <v>2901</v>
      </c>
      <c r="D1293" t="s">
        <v>4336</v>
      </c>
      <c r="E1293" t="s">
        <v>94</v>
      </c>
      <c r="F1293">
        <v>11554428000</v>
      </c>
      <c r="G1293">
        <v>2.5304880000000001</v>
      </c>
      <c r="H1293" t="s">
        <v>102</v>
      </c>
      <c r="I1293">
        <v>29238341400.863998</v>
      </c>
      <c r="J1293" t="s">
        <v>205</v>
      </c>
      <c r="K1293">
        <v>47128629.4326111</v>
      </c>
      <c r="L1293">
        <v>1</v>
      </c>
      <c r="M1293" t="s">
        <v>4536</v>
      </c>
      <c r="O1293" t="s">
        <v>207</v>
      </c>
      <c r="Q1293" t="s">
        <v>207</v>
      </c>
      <c r="R1293" t="s">
        <v>207</v>
      </c>
      <c r="S1293" t="s">
        <v>207</v>
      </c>
      <c r="T1293" t="s">
        <v>207</v>
      </c>
      <c r="U1293" t="s">
        <v>207</v>
      </c>
      <c r="V1293" t="s">
        <v>207</v>
      </c>
      <c r="W1293" t="s">
        <v>207</v>
      </c>
      <c r="X1293" t="s">
        <v>207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210</v>
      </c>
      <c r="BA1293">
        <v>29238341400.863998</v>
      </c>
      <c r="BB1293" t="s">
        <v>4572</v>
      </c>
      <c r="BC1293" t="s">
        <v>4536</v>
      </c>
    </row>
    <row r="1294" spans="1:55" x14ac:dyDescent="0.25">
      <c r="A1294">
        <v>563</v>
      </c>
      <c r="B1294" t="s">
        <v>1467</v>
      </c>
      <c r="C1294" t="s">
        <v>2902</v>
      </c>
      <c r="D1294" t="s">
        <v>4337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202</v>
      </c>
      <c r="K1294">
        <v>61757602.967222199</v>
      </c>
      <c r="L1294">
        <v>1</v>
      </c>
      <c r="M1294" t="s">
        <v>4536</v>
      </c>
      <c r="O1294" t="s">
        <v>207</v>
      </c>
      <c r="Q1294" t="s">
        <v>207</v>
      </c>
      <c r="R1294" t="s">
        <v>207</v>
      </c>
      <c r="S1294" t="s">
        <v>207</v>
      </c>
      <c r="T1294" t="s">
        <v>207</v>
      </c>
      <c r="U1294" t="s">
        <v>207</v>
      </c>
      <c r="V1294" t="s">
        <v>207</v>
      </c>
      <c r="W1294" t="s">
        <v>207</v>
      </c>
      <c r="X1294" t="s">
        <v>207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208</v>
      </c>
      <c r="BA1294">
        <v>22623702000</v>
      </c>
      <c r="BB1294" t="s">
        <v>4572</v>
      </c>
      <c r="BC1294" t="s">
        <v>4536</v>
      </c>
    </row>
    <row r="1295" spans="1:55" x14ac:dyDescent="0.25">
      <c r="A1295">
        <v>1089</v>
      </c>
      <c r="B1295" t="s">
        <v>1468</v>
      </c>
      <c r="C1295" t="s">
        <v>2903</v>
      </c>
      <c r="D1295" t="s">
        <v>4338</v>
      </c>
      <c r="E1295" t="s">
        <v>95</v>
      </c>
      <c r="F1295">
        <v>75171080</v>
      </c>
      <c r="G1295">
        <v>79.587059999999994</v>
      </c>
      <c r="H1295" t="s">
        <v>103</v>
      </c>
      <c r="I1295">
        <v>5982645254.2247992</v>
      </c>
      <c r="J1295" t="s">
        <v>204</v>
      </c>
      <c r="K1295">
        <v>18044772.726358701</v>
      </c>
      <c r="L1295">
        <v>0.8</v>
      </c>
      <c r="M1295" t="s">
        <v>4536</v>
      </c>
      <c r="O1295" t="s">
        <v>207</v>
      </c>
      <c r="Q1295" t="s">
        <v>207</v>
      </c>
      <c r="R1295" t="s">
        <v>207</v>
      </c>
      <c r="S1295" t="s">
        <v>207</v>
      </c>
      <c r="T1295" t="s">
        <v>207</v>
      </c>
      <c r="U1295" t="s">
        <v>207</v>
      </c>
      <c r="V1295" t="s">
        <v>207</v>
      </c>
      <c r="W1295" t="s">
        <v>207</v>
      </c>
      <c r="X1295" t="s">
        <v>207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209</v>
      </c>
      <c r="BA1295">
        <v>4786116203.3798399</v>
      </c>
      <c r="BB1295" t="s">
        <v>4572</v>
      </c>
      <c r="BC1295" t="s">
        <v>4536</v>
      </c>
    </row>
    <row r="1296" spans="1:55" x14ac:dyDescent="0.25">
      <c r="A1296">
        <v>981</v>
      </c>
      <c r="B1296" t="s">
        <v>1469</v>
      </c>
      <c r="C1296" t="s">
        <v>2904</v>
      </c>
      <c r="D1296" t="s">
        <v>4339</v>
      </c>
      <c r="E1296" t="s">
        <v>4517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203</v>
      </c>
      <c r="K1296">
        <v>49179355.2693443</v>
      </c>
      <c r="L1296">
        <v>0.3</v>
      </c>
      <c r="M1296" t="s">
        <v>4536</v>
      </c>
      <c r="O1296" t="s">
        <v>207</v>
      </c>
      <c r="Q1296" t="s">
        <v>207</v>
      </c>
      <c r="R1296" t="s">
        <v>207</v>
      </c>
      <c r="S1296" t="s">
        <v>207</v>
      </c>
      <c r="T1296" t="s">
        <v>207</v>
      </c>
      <c r="U1296" t="s">
        <v>207</v>
      </c>
      <c r="V1296" t="s">
        <v>207</v>
      </c>
      <c r="W1296" t="s">
        <v>207</v>
      </c>
      <c r="X1296" t="s">
        <v>207</v>
      </c>
      <c r="AK1296">
        <v>0</v>
      </c>
      <c r="AL1296">
        <v>0.94799999999999995</v>
      </c>
      <c r="AM1296">
        <v>6.0000000000000001E-3</v>
      </c>
      <c r="AO1296" t="s">
        <v>4568</v>
      </c>
      <c r="AP1296" t="s">
        <v>4569</v>
      </c>
      <c r="AQ1296">
        <v>0</v>
      </c>
      <c r="AR1296">
        <v>0</v>
      </c>
      <c r="AW1296">
        <v>6010</v>
      </c>
      <c r="AX1296">
        <v>2.2599999999999998</v>
      </c>
      <c r="AY1296" t="s">
        <v>209</v>
      </c>
      <c r="BA1296">
        <v>6376562283.552001</v>
      </c>
      <c r="BB1296" t="s">
        <v>4572</v>
      </c>
      <c r="BC1296" t="s">
        <v>4595</v>
      </c>
    </row>
    <row r="1297" spans="1:55" x14ac:dyDescent="0.25">
      <c r="A1297">
        <v>676</v>
      </c>
      <c r="B1297" t="s">
        <v>1470</v>
      </c>
      <c r="C1297" t="s">
        <v>2905</v>
      </c>
      <c r="D1297" t="s">
        <v>4340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202</v>
      </c>
      <c r="K1297">
        <v>299113184.14252001</v>
      </c>
      <c r="L1297">
        <v>1</v>
      </c>
      <c r="O1297" t="s">
        <v>207</v>
      </c>
      <c r="Q1297" t="s">
        <v>207</v>
      </c>
      <c r="R1297" t="s">
        <v>207</v>
      </c>
      <c r="S1297" t="s">
        <v>207</v>
      </c>
      <c r="T1297" t="s">
        <v>207</v>
      </c>
      <c r="U1297" t="s">
        <v>207</v>
      </c>
      <c r="V1297" t="s">
        <v>207</v>
      </c>
      <c r="W1297" t="s">
        <v>207</v>
      </c>
      <c r="X1297" t="s">
        <v>207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208</v>
      </c>
      <c r="BA1297">
        <v>17929048467.312</v>
      </c>
      <c r="BB1297" t="s">
        <v>211</v>
      </c>
    </row>
    <row r="1298" spans="1:55" x14ac:dyDescent="0.25">
      <c r="A1298">
        <v>811</v>
      </c>
      <c r="B1298" t="s">
        <v>1471</v>
      </c>
      <c r="C1298" t="s">
        <v>2906</v>
      </c>
      <c r="D1298" t="s">
        <v>4341</v>
      </c>
      <c r="E1298" t="s">
        <v>4517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203</v>
      </c>
      <c r="K1298">
        <v>30108575.329360701</v>
      </c>
      <c r="L1298">
        <v>0.70000000000000007</v>
      </c>
      <c r="M1298" t="s">
        <v>4536</v>
      </c>
      <c r="O1298" t="s">
        <v>207</v>
      </c>
      <c r="Q1298" t="s">
        <v>207</v>
      </c>
      <c r="R1298" t="s">
        <v>207</v>
      </c>
      <c r="S1298" t="s">
        <v>207</v>
      </c>
      <c r="T1298" t="s">
        <v>207</v>
      </c>
      <c r="U1298" t="s">
        <v>207</v>
      </c>
      <c r="V1298" t="s">
        <v>207</v>
      </c>
      <c r="W1298" t="s">
        <v>207</v>
      </c>
      <c r="X1298" t="s">
        <v>207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209</v>
      </c>
      <c r="BA1298">
        <v>11011138174.4</v>
      </c>
      <c r="BB1298" t="s">
        <v>4572</v>
      </c>
      <c r="BC1298" t="s">
        <v>4536</v>
      </c>
    </row>
    <row r="1299" spans="1:55" x14ac:dyDescent="0.25">
      <c r="A1299">
        <v>517</v>
      </c>
      <c r="B1299" t="s">
        <v>1472</v>
      </c>
      <c r="C1299" t="s">
        <v>2907</v>
      </c>
      <c r="D1299" t="s">
        <v>4342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25285931309.210999</v>
      </c>
      <c r="J1299" t="s">
        <v>205</v>
      </c>
      <c r="K1299">
        <v>52410164.188963197</v>
      </c>
      <c r="L1299">
        <v>1</v>
      </c>
      <c r="M1299" t="s">
        <v>4536</v>
      </c>
      <c r="O1299" t="s">
        <v>207</v>
      </c>
      <c r="Q1299" t="s">
        <v>207</v>
      </c>
      <c r="R1299" t="s">
        <v>207</v>
      </c>
      <c r="S1299" t="s">
        <v>207</v>
      </c>
      <c r="T1299" t="s">
        <v>207</v>
      </c>
      <c r="U1299" t="s">
        <v>207</v>
      </c>
      <c r="V1299" t="s">
        <v>207</v>
      </c>
      <c r="W1299" t="s">
        <v>207</v>
      </c>
      <c r="X1299" t="s">
        <v>207</v>
      </c>
      <c r="AG1299" t="s">
        <v>4546</v>
      </c>
      <c r="AH1299" t="s">
        <v>4562</v>
      </c>
      <c r="AI1299" t="s">
        <v>4565</v>
      </c>
      <c r="AJ1299" t="s">
        <v>4566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210</v>
      </c>
      <c r="BA1299">
        <v>25285931309.210999</v>
      </c>
      <c r="BB1299" t="s">
        <v>4572</v>
      </c>
      <c r="BC1299" t="s">
        <v>4578</v>
      </c>
    </row>
    <row r="1300" spans="1:55" x14ac:dyDescent="0.25">
      <c r="A1300">
        <v>442</v>
      </c>
      <c r="B1300" t="s">
        <v>1473</v>
      </c>
      <c r="C1300" t="s">
        <v>2908</v>
      </c>
      <c r="D1300" t="s">
        <v>4343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204</v>
      </c>
      <c r="K1300">
        <v>51282283.913053602</v>
      </c>
      <c r="L1300">
        <v>1</v>
      </c>
      <c r="M1300" t="s">
        <v>4536</v>
      </c>
      <c r="O1300" t="s">
        <v>207</v>
      </c>
      <c r="Q1300" t="s">
        <v>207</v>
      </c>
      <c r="R1300" t="s">
        <v>207</v>
      </c>
      <c r="S1300" t="s">
        <v>207</v>
      </c>
      <c r="T1300" t="s">
        <v>207</v>
      </c>
      <c r="U1300" t="s">
        <v>207</v>
      </c>
      <c r="V1300" t="s">
        <v>207</v>
      </c>
      <c r="W1300" t="s">
        <v>207</v>
      </c>
      <c r="X1300" t="s">
        <v>207</v>
      </c>
      <c r="AK1300">
        <v>0</v>
      </c>
      <c r="AL1300">
        <v>9.9000000000000005E-2</v>
      </c>
      <c r="AM1300">
        <v>0</v>
      </c>
      <c r="AO1300" t="s">
        <v>4568</v>
      </c>
      <c r="AQ1300">
        <v>0</v>
      </c>
      <c r="AR1300">
        <v>0.05</v>
      </c>
      <c r="AW1300">
        <v>4520</v>
      </c>
      <c r="AX1300">
        <v>2.331</v>
      </c>
      <c r="AY1300" t="s">
        <v>209</v>
      </c>
      <c r="BA1300">
        <v>30468418892.352001</v>
      </c>
      <c r="BB1300" t="s">
        <v>4572</v>
      </c>
      <c r="BC1300" t="s">
        <v>4582</v>
      </c>
    </row>
    <row r="1301" spans="1:55" x14ac:dyDescent="0.25">
      <c r="A1301">
        <v>8</v>
      </c>
      <c r="B1301" t="s">
        <v>1474</v>
      </c>
      <c r="C1301" t="s">
        <v>2909</v>
      </c>
      <c r="D1301" t="s">
        <v>4344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202</v>
      </c>
      <c r="K1301">
        <v>30552407925.8279</v>
      </c>
      <c r="L1301">
        <v>0.85</v>
      </c>
      <c r="O1301" t="s">
        <v>4538</v>
      </c>
      <c r="P1301" t="s">
        <v>4540</v>
      </c>
      <c r="Q1301" t="s">
        <v>207</v>
      </c>
      <c r="R1301" t="s">
        <v>207</v>
      </c>
      <c r="S1301" t="s">
        <v>207</v>
      </c>
      <c r="T1301" t="s">
        <v>207</v>
      </c>
      <c r="U1301" t="s">
        <v>207</v>
      </c>
      <c r="V1301" t="s">
        <v>207</v>
      </c>
      <c r="W1301" t="s">
        <v>207</v>
      </c>
      <c r="X1301" t="s">
        <v>207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208</v>
      </c>
      <c r="BA1301">
        <v>883365412255.54993</v>
      </c>
      <c r="BB1301" t="s">
        <v>4572</v>
      </c>
      <c r="BC1301" t="s">
        <v>4540</v>
      </c>
    </row>
    <row r="1302" spans="1:55" x14ac:dyDescent="0.25">
      <c r="A1302">
        <v>56</v>
      </c>
      <c r="B1302" t="s">
        <v>1475</v>
      </c>
      <c r="C1302" t="s">
        <v>2910</v>
      </c>
      <c r="D1302" t="s">
        <v>4345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202</v>
      </c>
      <c r="K1302">
        <v>1099946858.7142601</v>
      </c>
      <c r="L1302">
        <v>1</v>
      </c>
      <c r="M1302" t="s">
        <v>4536</v>
      </c>
      <c r="O1302" t="s">
        <v>207</v>
      </c>
      <c r="Q1302" t="s">
        <v>207</v>
      </c>
      <c r="R1302" t="s">
        <v>207</v>
      </c>
      <c r="S1302" t="s">
        <v>207</v>
      </c>
      <c r="T1302" t="s">
        <v>207</v>
      </c>
      <c r="U1302" t="s">
        <v>207</v>
      </c>
      <c r="V1302" t="s">
        <v>207</v>
      </c>
      <c r="W1302" t="s">
        <v>207</v>
      </c>
      <c r="X1302" t="s">
        <v>207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208</v>
      </c>
      <c r="BA1302">
        <v>175884518936.54999</v>
      </c>
      <c r="BB1302" t="s">
        <v>4572</v>
      </c>
      <c r="BC1302" t="s">
        <v>4536</v>
      </c>
    </row>
    <row r="1303" spans="1:55" x14ac:dyDescent="0.25">
      <c r="A1303">
        <v>459</v>
      </c>
      <c r="B1303" t="s">
        <v>1476</v>
      </c>
      <c r="C1303" t="s">
        <v>2911</v>
      </c>
      <c r="D1303" t="s">
        <v>4346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202</v>
      </c>
      <c r="K1303">
        <v>334269047.99573398</v>
      </c>
      <c r="L1303">
        <v>1</v>
      </c>
      <c r="M1303" t="s">
        <v>4536</v>
      </c>
      <c r="O1303" t="s">
        <v>207</v>
      </c>
      <c r="Q1303" t="s">
        <v>207</v>
      </c>
      <c r="R1303" t="s">
        <v>207</v>
      </c>
      <c r="S1303" t="s">
        <v>207</v>
      </c>
      <c r="T1303" t="s">
        <v>207</v>
      </c>
      <c r="U1303" t="s">
        <v>207</v>
      </c>
      <c r="V1303" t="s">
        <v>207</v>
      </c>
      <c r="W1303" t="s">
        <v>207</v>
      </c>
      <c r="X1303" t="s">
        <v>207</v>
      </c>
      <c r="AK1303">
        <v>0</v>
      </c>
      <c r="AL1303">
        <v>0.86799999999999999</v>
      </c>
      <c r="AM1303">
        <v>0</v>
      </c>
      <c r="AO1303" t="s">
        <v>4568</v>
      </c>
      <c r="AQ1303">
        <v>0</v>
      </c>
      <c r="AR1303">
        <v>0</v>
      </c>
      <c r="AW1303">
        <v>6010</v>
      </c>
      <c r="AX1303">
        <v>2.7050000000000001</v>
      </c>
      <c r="AY1303" t="s">
        <v>208</v>
      </c>
      <c r="BA1303">
        <v>29581458010.798</v>
      </c>
      <c r="BB1303" t="s">
        <v>4572</v>
      </c>
      <c r="BC1303" t="s">
        <v>4582</v>
      </c>
    </row>
    <row r="1304" spans="1:55" x14ac:dyDescent="0.25">
      <c r="A1304">
        <v>1284</v>
      </c>
      <c r="B1304" t="s">
        <v>1477</v>
      </c>
      <c r="C1304" t="s">
        <v>2912</v>
      </c>
      <c r="D1304" t="s">
        <v>4347</v>
      </c>
      <c r="E1304" t="s">
        <v>4527</v>
      </c>
      <c r="F1304">
        <v>25130486000</v>
      </c>
      <c r="G1304">
        <v>0.35785699999999998</v>
      </c>
      <c r="H1304" t="s">
        <v>4534</v>
      </c>
      <c r="I1304">
        <v>8993120328.5019989</v>
      </c>
      <c r="J1304" t="s">
        <v>205</v>
      </c>
      <c r="K1304">
        <v>9567373.2303522807</v>
      </c>
      <c r="L1304">
        <v>0.35</v>
      </c>
      <c r="N1304" t="s">
        <v>4537</v>
      </c>
      <c r="O1304" t="s">
        <v>207</v>
      </c>
      <c r="Q1304" t="s">
        <v>207</v>
      </c>
      <c r="R1304" t="s">
        <v>207</v>
      </c>
      <c r="S1304" t="s">
        <v>207</v>
      </c>
      <c r="T1304" t="s">
        <v>207</v>
      </c>
      <c r="U1304" t="s">
        <v>207</v>
      </c>
      <c r="V1304" t="s">
        <v>207</v>
      </c>
      <c r="W1304" t="s">
        <v>207</v>
      </c>
      <c r="X1304" t="s">
        <v>207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210</v>
      </c>
      <c r="BA1304">
        <v>3147592114.9756989</v>
      </c>
      <c r="BB1304" t="s">
        <v>4572</v>
      </c>
      <c r="BC1304" t="s">
        <v>4537</v>
      </c>
    </row>
    <row r="1305" spans="1:55" x14ac:dyDescent="0.25">
      <c r="A1305">
        <v>51</v>
      </c>
      <c r="B1305" t="s">
        <v>169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187885478551.67999</v>
      </c>
      <c r="J1305" t="s">
        <v>202</v>
      </c>
      <c r="K1305">
        <v>876859372.71119905</v>
      </c>
      <c r="L1305">
        <v>1</v>
      </c>
      <c r="O1305" t="s">
        <v>207</v>
      </c>
      <c r="Q1305" t="s">
        <v>207</v>
      </c>
      <c r="R1305" t="s">
        <v>207</v>
      </c>
      <c r="S1305" t="s">
        <v>207</v>
      </c>
      <c r="T1305" t="s">
        <v>207</v>
      </c>
      <c r="U1305" t="s">
        <v>207</v>
      </c>
      <c r="V1305" t="s">
        <v>207</v>
      </c>
      <c r="W1305" t="s">
        <v>207</v>
      </c>
      <c r="X1305" t="s">
        <v>207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208</v>
      </c>
      <c r="BA1305">
        <v>187885478551.67999</v>
      </c>
      <c r="BB1305" t="s">
        <v>211</v>
      </c>
    </row>
    <row r="1306" spans="1:55" x14ac:dyDescent="0.25">
      <c r="A1306">
        <v>50</v>
      </c>
      <c r="B1306" t="s">
        <v>1478</v>
      </c>
      <c r="C1306" t="s">
        <v>2913</v>
      </c>
      <c r="D1306" t="s">
        <v>4348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202</v>
      </c>
      <c r="K1306">
        <v>1067520211.65624</v>
      </c>
      <c r="L1306">
        <v>1</v>
      </c>
      <c r="O1306" t="s">
        <v>207</v>
      </c>
      <c r="Q1306" t="s">
        <v>207</v>
      </c>
      <c r="R1306" t="s">
        <v>207</v>
      </c>
      <c r="S1306" t="s">
        <v>207</v>
      </c>
      <c r="T1306" t="s">
        <v>207</v>
      </c>
      <c r="U1306" t="s">
        <v>207</v>
      </c>
      <c r="V1306" t="s">
        <v>207</v>
      </c>
      <c r="W1306" t="s">
        <v>207</v>
      </c>
      <c r="X1306" t="s">
        <v>207</v>
      </c>
      <c r="AG1306" t="s">
        <v>4546</v>
      </c>
      <c r="AH1306" t="s">
        <v>4562</v>
      </c>
      <c r="AI1306" t="s">
        <v>4565</v>
      </c>
      <c r="AJ1306" t="s">
        <v>4566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208</v>
      </c>
      <c r="BA1306">
        <v>192166842576.995</v>
      </c>
      <c r="BB1306" t="s">
        <v>4572</v>
      </c>
      <c r="BC1306" t="s">
        <v>4581</v>
      </c>
    </row>
    <row r="1307" spans="1:55" x14ac:dyDescent="0.25">
      <c r="A1307">
        <v>1351</v>
      </c>
      <c r="B1307" t="s">
        <v>1479</v>
      </c>
      <c r="C1307" t="s">
        <v>2914</v>
      </c>
      <c r="D1307" t="s">
        <v>4349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3165763185.1339998</v>
      </c>
      <c r="J1307" t="s">
        <v>205</v>
      </c>
      <c r="K1307">
        <v>23688156.498476502</v>
      </c>
      <c r="L1307">
        <v>0.9</v>
      </c>
      <c r="M1307" t="s">
        <v>4536</v>
      </c>
      <c r="O1307" t="s">
        <v>207</v>
      </c>
      <c r="Q1307" t="s">
        <v>207</v>
      </c>
      <c r="R1307" t="s">
        <v>207</v>
      </c>
      <c r="S1307" t="s">
        <v>207</v>
      </c>
      <c r="T1307" t="s">
        <v>207</v>
      </c>
      <c r="U1307" t="s">
        <v>207</v>
      </c>
      <c r="V1307" t="s">
        <v>207</v>
      </c>
      <c r="W1307" t="s">
        <v>207</v>
      </c>
      <c r="X1307" t="s">
        <v>207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210</v>
      </c>
      <c r="BA1307">
        <v>2849186866.6206002</v>
      </c>
      <c r="BB1307" t="s">
        <v>4572</v>
      </c>
      <c r="BC1307" t="s">
        <v>4536</v>
      </c>
    </row>
    <row r="1308" spans="1:55" x14ac:dyDescent="0.25">
      <c r="A1308">
        <v>493</v>
      </c>
      <c r="B1308" t="s">
        <v>1480</v>
      </c>
      <c r="C1308" t="s">
        <v>2915</v>
      </c>
      <c r="D1308" t="s">
        <v>4350</v>
      </c>
      <c r="E1308" t="s">
        <v>97</v>
      </c>
      <c r="F1308">
        <v>449916530</v>
      </c>
      <c r="G1308">
        <v>168.74350000000001</v>
      </c>
      <c r="H1308" t="s">
        <v>104</v>
      </c>
      <c r="I1308">
        <v>75920489980.055008</v>
      </c>
      <c r="J1308" t="s">
        <v>202</v>
      </c>
      <c r="K1308">
        <v>50085321.387965903</v>
      </c>
      <c r="L1308">
        <v>0.35</v>
      </c>
      <c r="M1308" t="s">
        <v>4536</v>
      </c>
      <c r="O1308" t="s">
        <v>207</v>
      </c>
      <c r="Q1308" t="s">
        <v>207</v>
      </c>
      <c r="R1308" t="s">
        <v>207</v>
      </c>
      <c r="S1308" t="s">
        <v>207</v>
      </c>
      <c r="T1308" t="s">
        <v>207</v>
      </c>
      <c r="U1308" t="s">
        <v>207</v>
      </c>
      <c r="V1308" t="s">
        <v>207</v>
      </c>
      <c r="W1308" t="s">
        <v>207</v>
      </c>
      <c r="X1308" t="s">
        <v>207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208</v>
      </c>
      <c r="BA1308">
        <v>26572171493.019249</v>
      </c>
      <c r="BB1308" t="s">
        <v>4572</v>
      </c>
      <c r="BC1308" t="s">
        <v>4536</v>
      </c>
    </row>
    <row r="1309" spans="1:55" x14ac:dyDescent="0.25">
      <c r="A1309">
        <v>1234</v>
      </c>
      <c r="B1309" t="s">
        <v>1481</v>
      </c>
      <c r="C1309" t="s">
        <v>2916</v>
      </c>
      <c r="D1309" t="s">
        <v>4351</v>
      </c>
      <c r="E1309" t="s">
        <v>4519</v>
      </c>
      <c r="F1309">
        <v>107838165</v>
      </c>
      <c r="G1309">
        <v>32.281170000000003</v>
      </c>
      <c r="H1309" t="s">
        <v>4530</v>
      </c>
      <c r="I1309">
        <v>3481142136.8530502</v>
      </c>
      <c r="J1309" t="s">
        <v>204</v>
      </c>
      <c r="K1309">
        <v>5319607.1481512701</v>
      </c>
      <c r="L1309">
        <v>1</v>
      </c>
      <c r="M1309" t="s">
        <v>4536</v>
      </c>
      <c r="N1309" t="s">
        <v>4537</v>
      </c>
      <c r="O1309" t="s">
        <v>207</v>
      </c>
      <c r="Q1309" t="s">
        <v>207</v>
      </c>
      <c r="R1309" t="s">
        <v>207</v>
      </c>
      <c r="S1309" t="s">
        <v>207</v>
      </c>
      <c r="T1309" t="s">
        <v>207</v>
      </c>
      <c r="U1309" t="s">
        <v>207</v>
      </c>
      <c r="V1309" t="s">
        <v>207</v>
      </c>
      <c r="W1309" t="s">
        <v>207</v>
      </c>
      <c r="X1309" t="s">
        <v>207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209</v>
      </c>
      <c r="BA1309">
        <v>3481142136.8530502</v>
      </c>
      <c r="BB1309" t="s">
        <v>4572</v>
      </c>
      <c r="BC1309" t="s">
        <v>4575</v>
      </c>
    </row>
    <row r="1310" spans="1:55" x14ac:dyDescent="0.25">
      <c r="A1310">
        <v>1318</v>
      </c>
      <c r="B1310" t="s">
        <v>1482</v>
      </c>
      <c r="C1310" t="s">
        <v>2917</v>
      </c>
      <c r="D1310" t="s">
        <v>4352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203</v>
      </c>
      <c r="K1310">
        <v>15616358.654516401</v>
      </c>
      <c r="L1310">
        <v>0.8</v>
      </c>
      <c r="O1310" t="s">
        <v>207</v>
      </c>
      <c r="Q1310" t="s">
        <v>207</v>
      </c>
      <c r="R1310" t="s">
        <v>207</v>
      </c>
      <c r="S1310" t="s">
        <v>206</v>
      </c>
      <c r="T1310" t="s">
        <v>207</v>
      </c>
      <c r="U1310" t="s">
        <v>207</v>
      </c>
      <c r="V1310" t="s">
        <v>207</v>
      </c>
      <c r="W1310" t="s">
        <v>207</v>
      </c>
      <c r="X1310" t="s">
        <v>207</v>
      </c>
      <c r="AA1310" t="s">
        <v>4541</v>
      </c>
      <c r="AK1310">
        <v>0</v>
      </c>
      <c r="AL1310">
        <v>0.05</v>
      </c>
      <c r="AM1310">
        <v>0</v>
      </c>
      <c r="AO1310" t="s">
        <v>4568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209</v>
      </c>
      <c r="BA1310">
        <v>2998112859.8400002</v>
      </c>
      <c r="BB1310" t="s">
        <v>4572</v>
      </c>
      <c r="BC1310" t="s">
        <v>4658</v>
      </c>
    </row>
    <row r="1311" spans="1:55" x14ac:dyDescent="0.25">
      <c r="A1311">
        <v>1019</v>
      </c>
      <c r="B1311" t="s">
        <v>1483</v>
      </c>
      <c r="C1311" t="s">
        <v>2918</v>
      </c>
      <c r="D1311" t="s">
        <v>4353</v>
      </c>
      <c r="E1311" t="s">
        <v>93</v>
      </c>
      <c r="F1311">
        <v>236233410</v>
      </c>
      <c r="G1311">
        <v>24.525950000000002</v>
      </c>
      <c r="H1311" t="s">
        <v>101</v>
      </c>
      <c r="I1311">
        <v>5793848801.9895</v>
      </c>
      <c r="J1311" t="s">
        <v>205</v>
      </c>
      <c r="K1311">
        <v>20044155.062290899</v>
      </c>
      <c r="L1311">
        <v>1</v>
      </c>
      <c r="M1311" t="s">
        <v>4536</v>
      </c>
      <c r="O1311" t="s">
        <v>207</v>
      </c>
      <c r="Q1311" t="s">
        <v>207</v>
      </c>
      <c r="R1311" t="s">
        <v>207</v>
      </c>
      <c r="S1311" t="s">
        <v>207</v>
      </c>
      <c r="T1311" t="s">
        <v>207</v>
      </c>
      <c r="U1311" t="s">
        <v>207</v>
      </c>
      <c r="V1311" t="s">
        <v>207</v>
      </c>
      <c r="W1311" t="s">
        <v>207</v>
      </c>
      <c r="X1311" t="s">
        <v>207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210</v>
      </c>
      <c r="BA1311">
        <v>5793848801.9895</v>
      </c>
      <c r="BB1311" t="s">
        <v>4572</v>
      </c>
      <c r="BC1311" t="s">
        <v>4536</v>
      </c>
    </row>
    <row r="1312" spans="1:55" x14ac:dyDescent="0.25">
      <c r="A1312">
        <v>89</v>
      </c>
      <c r="B1312" t="s">
        <v>1484</v>
      </c>
      <c r="C1312" t="s">
        <v>2919</v>
      </c>
      <c r="D1312" t="s">
        <v>4354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202</v>
      </c>
      <c r="K1312">
        <v>561111696.66266298</v>
      </c>
      <c r="L1312">
        <v>1</v>
      </c>
      <c r="M1312" t="s">
        <v>4536</v>
      </c>
      <c r="O1312" t="s">
        <v>207</v>
      </c>
      <c r="Q1312" t="s">
        <v>207</v>
      </c>
      <c r="R1312" t="s">
        <v>207</v>
      </c>
      <c r="S1312" t="s">
        <v>207</v>
      </c>
      <c r="T1312" t="s">
        <v>207</v>
      </c>
      <c r="U1312" t="s">
        <v>207</v>
      </c>
      <c r="V1312" t="s">
        <v>207</v>
      </c>
      <c r="W1312" t="s">
        <v>207</v>
      </c>
      <c r="X1312" t="s">
        <v>207</v>
      </c>
      <c r="AG1312" t="s">
        <v>4547</v>
      </c>
      <c r="AI1312" t="s">
        <v>4565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208</v>
      </c>
      <c r="BA1312">
        <v>130221687393.33</v>
      </c>
      <c r="BB1312" t="s">
        <v>4572</v>
      </c>
      <c r="BC1312" t="s">
        <v>4597</v>
      </c>
    </row>
    <row r="1313" spans="1:55" x14ac:dyDescent="0.25">
      <c r="A1313">
        <v>105</v>
      </c>
      <c r="B1313" t="s">
        <v>1485</v>
      </c>
      <c r="C1313" t="s">
        <v>2920</v>
      </c>
      <c r="D1313" t="s">
        <v>4355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202</v>
      </c>
      <c r="K1313">
        <v>842295735.52209401</v>
      </c>
      <c r="L1313">
        <v>0.4</v>
      </c>
      <c r="M1313" t="s">
        <v>4536</v>
      </c>
      <c r="O1313" t="s">
        <v>206</v>
      </c>
      <c r="Q1313" t="s">
        <v>207</v>
      </c>
      <c r="R1313" t="s">
        <v>207</v>
      </c>
      <c r="S1313" t="s">
        <v>207</v>
      </c>
      <c r="T1313" t="s">
        <v>207</v>
      </c>
      <c r="U1313" t="s">
        <v>207</v>
      </c>
      <c r="V1313" t="s">
        <v>207</v>
      </c>
      <c r="W1313" t="s">
        <v>207</v>
      </c>
      <c r="X1313" t="s">
        <v>207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208</v>
      </c>
      <c r="BA1313">
        <v>115832268070.2</v>
      </c>
      <c r="BB1313" t="s">
        <v>4572</v>
      </c>
      <c r="BC1313" t="s">
        <v>4536</v>
      </c>
    </row>
    <row r="1314" spans="1:55" x14ac:dyDescent="0.25">
      <c r="A1314">
        <v>1265</v>
      </c>
      <c r="B1314" t="s">
        <v>1486</v>
      </c>
      <c r="C1314" t="s">
        <v>2921</v>
      </c>
      <c r="D1314" t="s">
        <v>4356</v>
      </c>
      <c r="E1314" t="s">
        <v>93</v>
      </c>
      <c r="F1314">
        <v>201215420</v>
      </c>
      <c r="G1314">
        <v>16.295210000000001</v>
      </c>
      <c r="H1314" t="s">
        <v>101</v>
      </c>
      <c r="I1314">
        <v>3278847524.1381998</v>
      </c>
      <c r="J1314" t="s">
        <v>205</v>
      </c>
      <c r="K1314">
        <v>8649471.5818724297</v>
      </c>
      <c r="L1314">
        <v>1</v>
      </c>
      <c r="M1314" t="s">
        <v>4536</v>
      </c>
      <c r="N1314" t="s">
        <v>4537</v>
      </c>
      <c r="O1314" t="s">
        <v>207</v>
      </c>
      <c r="Q1314" t="s">
        <v>207</v>
      </c>
      <c r="R1314" t="s">
        <v>207</v>
      </c>
      <c r="S1314" t="s">
        <v>207</v>
      </c>
      <c r="T1314" t="s">
        <v>207</v>
      </c>
      <c r="U1314" t="s">
        <v>207</v>
      </c>
      <c r="V1314" t="s">
        <v>207</v>
      </c>
      <c r="W1314" t="s">
        <v>207</v>
      </c>
      <c r="X1314" t="s">
        <v>207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210</v>
      </c>
      <c r="AZ1314" t="s">
        <v>4571</v>
      </c>
      <c r="BA1314">
        <v>3278847524.1381998</v>
      </c>
      <c r="BB1314" t="s">
        <v>4572</v>
      </c>
      <c r="BC1314" t="s">
        <v>4584</v>
      </c>
    </row>
    <row r="1315" spans="1:55" x14ac:dyDescent="0.25">
      <c r="A1315">
        <v>1005</v>
      </c>
      <c r="B1315" t="s">
        <v>1487</v>
      </c>
      <c r="C1315" t="s">
        <v>2922</v>
      </c>
      <c r="D1315" t="s">
        <v>4357</v>
      </c>
      <c r="E1315" t="s">
        <v>93</v>
      </c>
      <c r="F1315">
        <v>186490650</v>
      </c>
      <c r="G1315">
        <v>45.854259999999996</v>
      </c>
      <c r="H1315" t="s">
        <v>101</v>
      </c>
      <c r="I1315">
        <v>8551390752.6689997</v>
      </c>
      <c r="J1315" t="s">
        <v>205</v>
      </c>
      <c r="K1315">
        <v>20414156.085045401</v>
      </c>
      <c r="L1315">
        <v>0.7</v>
      </c>
      <c r="M1315" t="s">
        <v>4536</v>
      </c>
      <c r="O1315" t="s">
        <v>207</v>
      </c>
      <c r="Q1315" t="s">
        <v>207</v>
      </c>
      <c r="R1315" t="s">
        <v>207</v>
      </c>
      <c r="S1315" t="s">
        <v>207</v>
      </c>
      <c r="T1315" t="s">
        <v>207</v>
      </c>
      <c r="U1315" t="s">
        <v>207</v>
      </c>
      <c r="V1315" t="s">
        <v>207</v>
      </c>
      <c r="W1315" t="s">
        <v>207</v>
      </c>
      <c r="X1315" t="s">
        <v>207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210</v>
      </c>
      <c r="BA1315">
        <v>5985973526.8682985</v>
      </c>
      <c r="BB1315" t="s">
        <v>4572</v>
      </c>
      <c r="BC1315" t="s">
        <v>4536</v>
      </c>
    </row>
    <row r="1316" spans="1:55" x14ac:dyDescent="0.25">
      <c r="A1316">
        <v>1405</v>
      </c>
      <c r="B1316" t="s">
        <v>1488</v>
      </c>
      <c r="C1316" t="s">
        <v>2923</v>
      </c>
      <c r="D1316" t="s">
        <v>4358</v>
      </c>
      <c r="E1316" t="s">
        <v>93</v>
      </c>
      <c r="F1316">
        <v>105256290</v>
      </c>
      <c r="G1316">
        <v>26.201519999999999</v>
      </c>
      <c r="H1316" t="s">
        <v>101</v>
      </c>
      <c r="I1316">
        <v>2757874787.5608001</v>
      </c>
      <c r="J1316" t="s">
        <v>205</v>
      </c>
      <c r="K1316">
        <v>6579959.9559052298</v>
      </c>
      <c r="L1316">
        <v>0.9</v>
      </c>
      <c r="M1316" t="s">
        <v>4536</v>
      </c>
      <c r="N1316" t="s">
        <v>4537</v>
      </c>
      <c r="O1316" t="s">
        <v>207</v>
      </c>
      <c r="Q1316" t="s">
        <v>207</v>
      </c>
      <c r="R1316" t="s">
        <v>207</v>
      </c>
      <c r="S1316" t="s">
        <v>207</v>
      </c>
      <c r="T1316" t="s">
        <v>207</v>
      </c>
      <c r="U1316" t="s">
        <v>207</v>
      </c>
      <c r="V1316" t="s">
        <v>207</v>
      </c>
      <c r="W1316" t="s">
        <v>207</v>
      </c>
      <c r="X1316" t="s">
        <v>207</v>
      </c>
      <c r="AK1316">
        <v>0</v>
      </c>
      <c r="AL1316">
        <v>0.95499999999999996</v>
      </c>
      <c r="AM1316">
        <v>6.2799999999999995E-2</v>
      </c>
      <c r="AO1316" t="s">
        <v>4568</v>
      </c>
      <c r="AP1316" t="s">
        <v>4569</v>
      </c>
      <c r="AQ1316">
        <v>0</v>
      </c>
      <c r="AR1316">
        <v>0</v>
      </c>
      <c r="AW1316">
        <v>6510</v>
      </c>
      <c r="AX1316">
        <v>2.125</v>
      </c>
      <c r="AY1316" t="s">
        <v>210</v>
      </c>
      <c r="BA1316">
        <v>2482087308.8047199</v>
      </c>
      <c r="BB1316" t="s">
        <v>4572</v>
      </c>
      <c r="BC1316" t="s">
        <v>4615</v>
      </c>
    </row>
    <row r="1317" spans="1:55" x14ac:dyDescent="0.25">
      <c r="A1317">
        <v>1247</v>
      </c>
      <c r="B1317" t="s">
        <v>1489</v>
      </c>
      <c r="C1317" t="s">
        <v>2924</v>
      </c>
      <c r="D1317" t="s">
        <v>4359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3362413870.7280002</v>
      </c>
      <c r="J1317" t="s">
        <v>205</v>
      </c>
      <c r="K1317">
        <v>14969074.958146701</v>
      </c>
      <c r="L1317">
        <v>1</v>
      </c>
      <c r="M1317" t="s">
        <v>4536</v>
      </c>
      <c r="O1317" t="s">
        <v>207</v>
      </c>
      <c r="Q1317" t="s">
        <v>207</v>
      </c>
      <c r="R1317" t="s">
        <v>207</v>
      </c>
      <c r="S1317" t="s">
        <v>207</v>
      </c>
      <c r="T1317" t="s">
        <v>207</v>
      </c>
      <c r="U1317" t="s">
        <v>207</v>
      </c>
      <c r="V1317" t="s">
        <v>207</v>
      </c>
      <c r="W1317" t="s">
        <v>207</v>
      </c>
      <c r="X1317" t="s">
        <v>207</v>
      </c>
      <c r="AK1317">
        <v>0.18010000000000001</v>
      </c>
      <c r="AL1317">
        <v>0.53700000000000003</v>
      </c>
      <c r="AM1317">
        <v>0.52910000000000001</v>
      </c>
      <c r="AN1317" t="s">
        <v>4567</v>
      </c>
      <c r="AO1317" t="s">
        <v>4568</v>
      </c>
      <c r="AP1317" t="s">
        <v>4569</v>
      </c>
      <c r="AQ1317">
        <v>0</v>
      </c>
      <c r="AR1317">
        <v>0</v>
      </c>
      <c r="AW1317">
        <v>6510</v>
      </c>
      <c r="AX1317">
        <v>2.081</v>
      </c>
      <c r="AY1317" t="s">
        <v>210</v>
      </c>
      <c r="BA1317">
        <v>3362413870.7280002</v>
      </c>
      <c r="BB1317" t="s">
        <v>4572</v>
      </c>
      <c r="BC1317" t="s">
        <v>4576</v>
      </c>
    </row>
    <row r="1318" spans="1:55" x14ac:dyDescent="0.25">
      <c r="A1318">
        <v>211</v>
      </c>
      <c r="B1318" t="s">
        <v>1490</v>
      </c>
      <c r="C1318" t="s">
        <v>2925</v>
      </c>
      <c r="D1318" t="s">
        <v>4360</v>
      </c>
      <c r="E1318" t="s">
        <v>93</v>
      </c>
      <c r="F1318">
        <v>1978000000</v>
      </c>
      <c r="G1318">
        <v>32.692740000000001</v>
      </c>
      <c r="H1318" t="s">
        <v>101</v>
      </c>
      <c r="I1318">
        <v>64666239720</v>
      </c>
      <c r="J1318" t="s">
        <v>205</v>
      </c>
      <c r="K1318">
        <v>171306559.62172899</v>
      </c>
      <c r="L1318">
        <v>1</v>
      </c>
      <c r="M1318" t="s">
        <v>4536</v>
      </c>
      <c r="O1318" t="s">
        <v>207</v>
      </c>
      <c r="Q1318" t="s">
        <v>207</v>
      </c>
      <c r="R1318" t="s">
        <v>207</v>
      </c>
      <c r="S1318" t="s">
        <v>207</v>
      </c>
      <c r="T1318" t="s">
        <v>207</v>
      </c>
      <c r="U1318" t="s">
        <v>207</v>
      </c>
      <c r="V1318" t="s">
        <v>207</v>
      </c>
      <c r="W1318" t="s">
        <v>207</v>
      </c>
      <c r="X1318" t="s">
        <v>207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210</v>
      </c>
      <c r="BA1318">
        <v>64666239720</v>
      </c>
      <c r="BB1318" t="s">
        <v>4572</v>
      </c>
      <c r="BC1318" t="s">
        <v>4536</v>
      </c>
    </row>
    <row r="1319" spans="1:55" x14ac:dyDescent="0.25">
      <c r="A1319">
        <v>1158</v>
      </c>
      <c r="B1319" t="s">
        <v>1491</v>
      </c>
      <c r="C1319" t="s">
        <v>2926</v>
      </c>
      <c r="D1319" t="s">
        <v>4361</v>
      </c>
      <c r="E1319" t="s">
        <v>93</v>
      </c>
      <c r="F1319">
        <v>1607017500</v>
      </c>
      <c r="G1319">
        <v>2.5344549999999999</v>
      </c>
      <c r="H1319" t="s">
        <v>101</v>
      </c>
      <c r="I1319">
        <v>4072913537.9625001</v>
      </c>
      <c r="J1319" t="s">
        <v>205</v>
      </c>
      <c r="K1319">
        <v>73018347.575589195</v>
      </c>
      <c r="L1319">
        <v>1</v>
      </c>
      <c r="M1319" t="s">
        <v>4536</v>
      </c>
      <c r="O1319" t="s">
        <v>206</v>
      </c>
      <c r="Q1319" t="s">
        <v>207</v>
      </c>
      <c r="R1319" t="s">
        <v>207</v>
      </c>
      <c r="S1319" t="s">
        <v>207</v>
      </c>
      <c r="T1319" t="s">
        <v>207</v>
      </c>
      <c r="U1319" t="s">
        <v>207</v>
      </c>
      <c r="V1319" t="s">
        <v>207</v>
      </c>
      <c r="W1319" t="s">
        <v>207</v>
      </c>
      <c r="X1319" t="s">
        <v>207</v>
      </c>
      <c r="AK1319">
        <v>0.19950000000000001</v>
      </c>
      <c r="AL1319">
        <v>0.83</v>
      </c>
      <c r="AM1319">
        <v>0.82899999999999996</v>
      </c>
      <c r="AN1319" t="s">
        <v>4567</v>
      </c>
      <c r="AO1319" t="s">
        <v>4568</v>
      </c>
      <c r="AP1319" t="s">
        <v>4569</v>
      </c>
      <c r="AQ1319">
        <v>0</v>
      </c>
      <c r="AR1319">
        <v>0</v>
      </c>
      <c r="AW1319">
        <v>6510</v>
      </c>
      <c r="AX1319">
        <v>2.4279999999999999</v>
      </c>
      <c r="AY1319" t="s">
        <v>210</v>
      </c>
      <c r="BA1319">
        <v>4072913537.9625001</v>
      </c>
      <c r="BB1319" t="s">
        <v>4572</v>
      </c>
      <c r="BC1319" t="s">
        <v>4576</v>
      </c>
    </row>
    <row r="1320" spans="1:55" x14ac:dyDescent="0.25">
      <c r="A1320">
        <v>162</v>
      </c>
      <c r="B1320" t="s">
        <v>1492</v>
      </c>
      <c r="C1320" t="s">
        <v>2927</v>
      </c>
      <c r="D1320" t="s">
        <v>4362</v>
      </c>
      <c r="E1320" t="s">
        <v>93</v>
      </c>
      <c r="F1320">
        <v>471632720</v>
      </c>
      <c r="G1320">
        <v>162.79220000000001</v>
      </c>
      <c r="H1320" t="s">
        <v>101</v>
      </c>
      <c r="I1320">
        <v>76778128080.783997</v>
      </c>
      <c r="J1320" t="s">
        <v>205</v>
      </c>
      <c r="K1320">
        <v>617107268.281793</v>
      </c>
      <c r="L1320">
        <v>1</v>
      </c>
      <c r="M1320" t="s">
        <v>4536</v>
      </c>
      <c r="O1320" t="s">
        <v>207</v>
      </c>
      <c r="Q1320" t="s">
        <v>207</v>
      </c>
      <c r="R1320" t="s">
        <v>207</v>
      </c>
      <c r="S1320" t="s">
        <v>207</v>
      </c>
      <c r="T1320" t="s">
        <v>207</v>
      </c>
      <c r="U1320" t="s">
        <v>207</v>
      </c>
      <c r="V1320" t="s">
        <v>207</v>
      </c>
      <c r="W1320" t="s">
        <v>207</v>
      </c>
      <c r="X1320" t="s">
        <v>207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210</v>
      </c>
      <c r="BA1320">
        <v>76778128080.783997</v>
      </c>
      <c r="BB1320" t="s">
        <v>4572</v>
      </c>
      <c r="BC1320" t="s">
        <v>4536</v>
      </c>
    </row>
    <row r="1321" spans="1:55" x14ac:dyDescent="0.25">
      <c r="A1321">
        <v>831</v>
      </c>
      <c r="B1321" t="s">
        <v>1493</v>
      </c>
      <c r="C1321" t="s">
        <v>2928</v>
      </c>
      <c r="D1321" t="s">
        <v>4363</v>
      </c>
      <c r="E1321" t="s">
        <v>93</v>
      </c>
      <c r="F1321">
        <v>388893860</v>
      </c>
      <c r="G1321">
        <v>30.141020000000001</v>
      </c>
      <c r="H1321" t="s">
        <v>101</v>
      </c>
      <c r="I1321">
        <v>11721657612.137199</v>
      </c>
      <c r="J1321" t="s">
        <v>205</v>
      </c>
      <c r="K1321">
        <v>45956861.623381302</v>
      </c>
      <c r="L1321">
        <v>0.85</v>
      </c>
      <c r="M1321" t="s">
        <v>4536</v>
      </c>
      <c r="O1321" t="s">
        <v>207</v>
      </c>
      <c r="Q1321" t="s">
        <v>207</v>
      </c>
      <c r="R1321" t="s">
        <v>207</v>
      </c>
      <c r="S1321" t="s">
        <v>207</v>
      </c>
      <c r="T1321" t="s">
        <v>207</v>
      </c>
      <c r="U1321" t="s">
        <v>207</v>
      </c>
      <c r="V1321" t="s">
        <v>207</v>
      </c>
      <c r="W1321" t="s">
        <v>207</v>
      </c>
      <c r="X1321" t="s">
        <v>207</v>
      </c>
      <c r="AK1321">
        <v>0</v>
      </c>
      <c r="AL1321">
        <v>0.82499999999999996</v>
      </c>
      <c r="AM1321">
        <v>0.16200000000000001</v>
      </c>
      <c r="AO1321" t="s">
        <v>4568</v>
      </c>
      <c r="AP1321" t="s">
        <v>4569</v>
      </c>
      <c r="AQ1321">
        <v>0</v>
      </c>
      <c r="AR1321">
        <v>0</v>
      </c>
      <c r="AW1321">
        <v>6510</v>
      </c>
      <c r="AX1321">
        <v>1.9259999999999999</v>
      </c>
      <c r="AY1321" t="s">
        <v>210</v>
      </c>
      <c r="AZ1321" t="s">
        <v>4571</v>
      </c>
      <c r="BA1321">
        <v>9963408970.3166218</v>
      </c>
      <c r="BB1321" t="s">
        <v>4572</v>
      </c>
      <c r="BC1321" t="s">
        <v>4611</v>
      </c>
    </row>
    <row r="1322" spans="1:55" x14ac:dyDescent="0.25">
      <c r="A1322">
        <v>1261</v>
      </c>
      <c r="B1322" t="s">
        <v>1494</v>
      </c>
      <c r="C1322" t="s">
        <v>2929</v>
      </c>
      <c r="D1322" t="s">
        <v>4364</v>
      </c>
      <c r="E1322" t="s">
        <v>93</v>
      </c>
      <c r="F1322">
        <v>581000000</v>
      </c>
      <c r="G1322">
        <v>11.374029999999999</v>
      </c>
      <c r="H1322" t="s">
        <v>101</v>
      </c>
      <c r="I1322">
        <v>6608311430</v>
      </c>
      <c r="J1322" t="s">
        <v>205</v>
      </c>
      <c r="K1322">
        <v>54616299.414927602</v>
      </c>
      <c r="L1322">
        <v>0.5</v>
      </c>
      <c r="M1322" t="s">
        <v>4536</v>
      </c>
      <c r="O1322" t="s">
        <v>207</v>
      </c>
      <c r="Q1322" t="s">
        <v>207</v>
      </c>
      <c r="R1322" t="s">
        <v>207</v>
      </c>
      <c r="S1322" t="s">
        <v>207</v>
      </c>
      <c r="T1322" t="s">
        <v>207</v>
      </c>
      <c r="U1322" t="s">
        <v>207</v>
      </c>
      <c r="V1322" t="s">
        <v>207</v>
      </c>
      <c r="W1322" t="s">
        <v>207</v>
      </c>
      <c r="X1322" t="s">
        <v>207</v>
      </c>
      <c r="AG1322" t="s">
        <v>4539</v>
      </c>
      <c r="AH1322" t="s">
        <v>4539</v>
      </c>
      <c r="AI1322" t="s">
        <v>4565</v>
      </c>
      <c r="AJ1322" t="s">
        <v>4566</v>
      </c>
      <c r="AK1322">
        <v>0</v>
      </c>
      <c r="AL1322">
        <v>0</v>
      </c>
      <c r="AM1322">
        <v>0</v>
      </c>
      <c r="AW1322">
        <v>5020</v>
      </c>
      <c r="AY1322" t="s">
        <v>210</v>
      </c>
      <c r="BA1322">
        <v>3304155715</v>
      </c>
      <c r="BB1322" t="s">
        <v>4572</v>
      </c>
      <c r="BC1322" t="s">
        <v>4578</v>
      </c>
    </row>
    <row r="1323" spans="1:55" x14ac:dyDescent="0.25">
      <c r="A1323">
        <v>1369</v>
      </c>
      <c r="B1323" t="s">
        <v>1495</v>
      </c>
      <c r="C1323" t="s">
        <v>2930</v>
      </c>
      <c r="D1323" t="s">
        <v>4365</v>
      </c>
      <c r="E1323" t="s">
        <v>93</v>
      </c>
      <c r="F1323">
        <v>127800000</v>
      </c>
      <c r="G1323">
        <v>23.541080000000001</v>
      </c>
      <c r="H1323" t="s">
        <v>101</v>
      </c>
      <c r="I1323">
        <v>3008550024</v>
      </c>
      <c r="J1323" t="s">
        <v>205</v>
      </c>
      <c r="K1323">
        <v>15560552.261260901</v>
      </c>
      <c r="L1323">
        <v>0.9</v>
      </c>
      <c r="M1323" t="s">
        <v>4536</v>
      </c>
      <c r="O1323" t="s">
        <v>207</v>
      </c>
      <c r="Q1323" t="s">
        <v>207</v>
      </c>
      <c r="R1323" t="s">
        <v>207</v>
      </c>
      <c r="S1323" t="s">
        <v>207</v>
      </c>
      <c r="T1323" t="s">
        <v>207</v>
      </c>
      <c r="U1323" t="s">
        <v>207</v>
      </c>
      <c r="V1323" t="s">
        <v>207</v>
      </c>
      <c r="W1323" t="s">
        <v>207</v>
      </c>
      <c r="X1323" t="s">
        <v>207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210</v>
      </c>
      <c r="BA1323">
        <v>2707695021.5999999</v>
      </c>
      <c r="BB1323" t="s">
        <v>4572</v>
      </c>
      <c r="BC1323" t="s">
        <v>4536</v>
      </c>
    </row>
    <row r="1324" spans="1:55" x14ac:dyDescent="0.25">
      <c r="A1324">
        <v>1410</v>
      </c>
      <c r="B1324" t="s">
        <v>1496</v>
      </c>
      <c r="C1324" t="s">
        <v>2931</v>
      </c>
      <c r="D1324" t="s">
        <v>4366</v>
      </c>
      <c r="E1324" t="s">
        <v>93</v>
      </c>
      <c r="F1324">
        <v>42164080</v>
      </c>
      <c r="G1324">
        <v>58.254730000000002</v>
      </c>
      <c r="H1324" t="s">
        <v>101</v>
      </c>
      <c r="I1324">
        <v>2456257096.0984001</v>
      </c>
      <c r="J1324" t="s">
        <v>205</v>
      </c>
      <c r="K1324">
        <v>18665041.353854999</v>
      </c>
      <c r="L1324">
        <v>1</v>
      </c>
      <c r="M1324" t="s">
        <v>4536</v>
      </c>
      <c r="O1324" t="s">
        <v>207</v>
      </c>
      <c r="Q1324" t="s">
        <v>207</v>
      </c>
      <c r="R1324" t="s">
        <v>207</v>
      </c>
      <c r="S1324" t="s">
        <v>207</v>
      </c>
      <c r="T1324" t="s">
        <v>207</v>
      </c>
      <c r="U1324" t="s">
        <v>207</v>
      </c>
      <c r="V1324" t="s">
        <v>207</v>
      </c>
      <c r="W1324" t="s">
        <v>207</v>
      </c>
      <c r="X1324" t="s">
        <v>207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210</v>
      </c>
      <c r="BA1324">
        <v>2456257096.0984001</v>
      </c>
      <c r="BB1324" t="s">
        <v>4572</v>
      </c>
      <c r="BC1324" t="s">
        <v>4536</v>
      </c>
    </row>
    <row r="1325" spans="1:55" x14ac:dyDescent="0.25">
      <c r="A1325">
        <v>1276</v>
      </c>
      <c r="B1325" t="s">
        <v>1497</v>
      </c>
      <c r="C1325" t="s">
        <v>2932</v>
      </c>
      <c r="D1325" t="s">
        <v>4367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3201758961.2351999</v>
      </c>
      <c r="J1325" t="s">
        <v>205</v>
      </c>
      <c r="K1325">
        <v>18865708.8707546</v>
      </c>
      <c r="L1325">
        <v>1</v>
      </c>
      <c r="M1325" t="s">
        <v>4536</v>
      </c>
      <c r="O1325" t="s">
        <v>207</v>
      </c>
      <c r="Q1325" t="s">
        <v>207</v>
      </c>
      <c r="R1325" t="s">
        <v>207</v>
      </c>
      <c r="S1325" t="s">
        <v>207</v>
      </c>
      <c r="T1325" t="s">
        <v>207</v>
      </c>
      <c r="U1325" t="s">
        <v>207</v>
      </c>
      <c r="V1325" t="s">
        <v>207</v>
      </c>
      <c r="W1325" t="s">
        <v>207</v>
      </c>
      <c r="X1325" t="s">
        <v>207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210</v>
      </c>
      <c r="BA1325">
        <v>3201758961.2351999</v>
      </c>
      <c r="BB1325" t="s">
        <v>4572</v>
      </c>
      <c r="BC1325" t="s">
        <v>4536</v>
      </c>
    </row>
    <row r="1326" spans="1:55" x14ac:dyDescent="0.25">
      <c r="A1326">
        <v>982</v>
      </c>
      <c r="B1326" t="s">
        <v>1498</v>
      </c>
      <c r="C1326" t="s">
        <v>2933</v>
      </c>
      <c r="D1326" t="s">
        <v>4368</v>
      </c>
      <c r="E1326" t="s">
        <v>93</v>
      </c>
      <c r="F1326">
        <v>624869900</v>
      </c>
      <c r="G1326">
        <v>10.712120000000001</v>
      </c>
      <c r="H1326" t="s">
        <v>101</v>
      </c>
      <c r="I1326">
        <v>6693681353.1880007</v>
      </c>
      <c r="J1326" t="s">
        <v>205</v>
      </c>
      <c r="K1326">
        <v>20429242.446193501</v>
      </c>
      <c r="L1326">
        <v>0.95</v>
      </c>
      <c r="M1326" t="s">
        <v>4536</v>
      </c>
      <c r="O1326" t="s">
        <v>207</v>
      </c>
      <c r="Q1326" t="s">
        <v>207</v>
      </c>
      <c r="R1326" t="s">
        <v>207</v>
      </c>
      <c r="S1326" t="s">
        <v>207</v>
      </c>
      <c r="T1326" t="s">
        <v>207</v>
      </c>
      <c r="U1326" t="s">
        <v>207</v>
      </c>
      <c r="V1326" t="s">
        <v>207</v>
      </c>
      <c r="W1326" t="s">
        <v>207</v>
      </c>
      <c r="X1326" t="s">
        <v>207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210</v>
      </c>
      <c r="BA1326">
        <v>6358997285.5286007</v>
      </c>
      <c r="BB1326" t="s">
        <v>4572</v>
      </c>
      <c r="BC1326" t="s">
        <v>4536</v>
      </c>
    </row>
    <row r="1327" spans="1:55" x14ac:dyDescent="0.25">
      <c r="A1327">
        <v>1181</v>
      </c>
      <c r="B1327" t="s">
        <v>1499</v>
      </c>
      <c r="C1327" t="s">
        <v>2934</v>
      </c>
      <c r="D1327" t="s">
        <v>4369</v>
      </c>
      <c r="E1327" t="s">
        <v>93</v>
      </c>
      <c r="F1327">
        <v>719831000</v>
      </c>
      <c r="G1327">
        <v>6.2354120000000002</v>
      </c>
      <c r="H1327" t="s">
        <v>101</v>
      </c>
      <c r="I1327">
        <v>4488442855.3719997</v>
      </c>
      <c r="J1327" t="s">
        <v>205</v>
      </c>
      <c r="K1327">
        <v>14796714.3151065</v>
      </c>
      <c r="L1327">
        <v>0.85</v>
      </c>
      <c r="M1327" t="s">
        <v>4536</v>
      </c>
      <c r="O1327" t="s">
        <v>207</v>
      </c>
      <c r="Q1327" t="s">
        <v>207</v>
      </c>
      <c r="R1327" t="s">
        <v>207</v>
      </c>
      <c r="S1327" t="s">
        <v>207</v>
      </c>
      <c r="T1327" t="s">
        <v>207</v>
      </c>
      <c r="U1327" t="s">
        <v>207</v>
      </c>
      <c r="V1327" t="s">
        <v>207</v>
      </c>
      <c r="W1327" t="s">
        <v>207</v>
      </c>
      <c r="X1327" t="s">
        <v>207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210</v>
      </c>
      <c r="BA1327">
        <v>3815176427.0661998</v>
      </c>
      <c r="BB1327" t="s">
        <v>4572</v>
      </c>
      <c r="BC1327" t="s">
        <v>4536</v>
      </c>
    </row>
    <row r="1328" spans="1:55" x14ac:dyDescent="0.25">
      <c r="A1328">
        <v>1250</v>
      </c>
      <c r="B1328" t="s">
        <v>1500</v>
      </c>
      <c r="C1328" t="s">
        <v>2935</v>
      </c>
      <c r="D1328" t="s">
        <v>4370</v>
      </c>
      <c r="E1328" t="s">
        <v>4522</v>
      </c>
      <c r="F1328">
        <v>296040156</v>
      </c>
      <c r="G1328">
        <v>15.04927</v>
      </c>
      <c r="H1328" t="s">
        <v>4531</v>
      </c>
      <c r="I1328">
        <v>4455188238.4861202</v>
      </c>
      <c r="J1328" t="s">
        <v>204</v>
      </c>
      <c r="K1328">
        <v>4716455.0331286201</v>
      </c>
      <c r="L1328">
        <v>0.75</v>
      </c>
      <c r="M1328" t="s">
        <v>4536</v>
      </c>
      <c r="N1328" t="s">
        <v>4537</v>
      </c>
      <c r="O1328" t="s">
        <v>207</v>
      </c>
      <c r="Q1328" t="s">
        <v>207</v>
      </c>
      <c r="R1328" t="s">
        <v>207</v>
      </c>
      <c r="S1328" t="s">
        <v>207</v>
      </c>
      <c r="T1328" t="s">
        <v>207</v>
      </c>
      <c r="U1328" t="s">
        <v>207</v>
      </c>
      <c r="V1328" t="s">
        <v>207</v>
      </c>
      <c r="W1328" t="s">
        <v>207</v>
      </c>
      <c r="X1328" t="s">
        <v>207</v>
      </c>
      <c r="AK1328">
        <v>0.01</v>
      </c>
      <c r="AL1328">
        <v>0.01</v>
      </c>
      <c r="AM1328">
        <v>0</v>
      </c>
      <c r="AN1328" t="s">
        <v>4567</v>
      </c>
      <c r="AO1328" t="s">
        <v>4568</v>
      </c>
      <c r="AQ1328">
        <v>0</v>
      </c>
      <c r="AR1328">
        <v>0</v>
      </c>
      <c r="AW1328">
        <v>5020</v>
      </c>
      <c r="AX1328">
        <v>2.468</v>
      </c>
      <c r="AY1328" t="s">
        <v>209</v>
      </c>
      <c r="BA1328">
        <v>3341391178.8645902</v>
      </c>
      <c r="BB1328" t="s">
        <v>4572</v>
      </c>
      <c r="BC1328" t="s">
        <v>4593</v>
      </c>
    </row>
    <row r="1329" spans="1:55" x14ac:dyDescent="0.25">
      <c r="A1329">
        <v>1448</v>
      </c>
      <c r="B1329" t="s">
        <v>1501</v>
      </c>
      <c r="C1329" t="s">
        <v>2936</v>
      </c>
      <c r="D1329" t="s">
        <v>4371</v>
      </c>
      <c r="E1329" t="s">
        <v>93</v>
      </c>
      <c r="F1329">
        <v>93616650</v>
      </c>
      <c r="G1329">
        <v>24.481179999999998</v>
      </c>
      <c r="H1329" t="s">
        <v>101</v>
      </c>
      <c r="I1329">
        <v>2291846059.6469998</v>
      </c>
      <c r="J1329" t="s">
        <v>205</v>
      </c>
      <c r="K1329">
        <v>27554591.063856799</v>
      </c>
      <c r="L1329">
        <v>0.95</v>
      </c>
      <c r="M1329" t="s">
        <v>4536</v>
      </c>
      <c r="O1329" t="s">
        <v>207</v>
      </c>
      <c r="Q1329" t="s">
        <v>207</v>
      </c>
      <c r="R1329" t="s">
        <v>207</v>
      </c>
      <c r="S1329" t="s">
        <v>207</v>
      </c>
      <c r="T1329" t="s">
        <v>207</v>
      </c>
      <c r="U1329" t="s">
        <v>207</v>
      </c>
      <c r="V1329" t="s">
        <v>207</v>
      </c>
      <c r="W1329" t="s">
        <v>207</v>
      </c>
      <c r="X1329" t="s">
        <v>207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210</v>
      </c>
      <c r="AZ1329" t="s">
        <v>4571</v>
      </c>
      <c r="BA1329">
        <v>2177253756.66465</v>
      </c>
      <c r="BB1329" t="s">
        <v>4572</v>
      </c>
      <c r="BC1329" t="s">
        <v>4577</v>
      </c>
    </row>
    <row r="1330" spans="1:55" x14ac:dyDescent="0.25">
      <c r="A1330">
        <v>901</v>
      </c>
      <c r="B1330" t="s">
        <v>1502</v>
      </c>
      <c r="C1330" t="s">
        <v>2937</v>
      </c>
      <c r="D1330" t="s">
        <v>4372</v>
      </c>
      <c r="E1330" t="s">
        <v>93</v>
      </c>
      <c r="F1330">
        <v>318706240</v>
      </c>
      <c r="G1330">
        <v>29.258469999999999</v>
      </c>
      <c r="H1330" t="s">
        <v>101</v>
      </c>
      <c r="I1330">
        <v>9324856961.8528004</v>
      </c>
      <c r="J1330" t="s">
        <v>205</v>
      </c>
      <c r="K1330">
        <v>26979020.509944201</v>
      </c>
      <c r="L1330">
        <v>0.85</v>
      </c>
      <c r="M1330" t="s">
        <v>4536</v>
      </c>
      <c r="O1330" t="s">
        <v>207</v>
      </c>
      <c r="Q1330" t="s">
        <v>207</v>
      </c>
      <c r="R1330" t="s">
        <v>207</v>
      </c>
      <c r="S1330" t="s">
        <v>207</v>
      </c>
      <c r="T1330" t="s">
        <v>207</v>
      </c>
      <c r="U1330" t="s">
        <v>207</v>
      </c>
      <c r="V1330" t="s">
        <v>207</v>
      </c>
      <c r="W1330" t="s">
        <v>207</v>
      </c>
      <c r="X1330" t="s">
        <v>207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210</v>
      </c>
      <c r="BA1330">
        <v>7926128417.5748796</v>
      </c>
      <c r="BB1330" t="s">
        <v>4572</v>
      </c>
      <c r="BC1330" t="s">
        <v>4536</v>
      </c>
    </row>
    <row r="1331" spans="1:55" x14ac:dyDescent="0.25">
      <c r="A1331">
        <v>834</v>
      </c>
      <c r="B1331" t="s">
        <v>1503</v>
      </c>
      <c r="C1331" t="s">
        <v>2938</v>
      </c>
      <c r="D1331" t="s">
        <v>4373</v>
      </c>
      <c r="E1331" t="s">
        <v>93</v>
      </c>
      <c r="F1331">
        <v>1631481300</v>
      </c>
      <c r="G1331">
        <v>6.3466899999999997</v>
      </c>
      <c r="H1331" t="s">
        <v>101</v>
      </c>
      <c r="I1331">
        <v>10354506051.896999</v>
      </c>
      <c r="J1331" t="s">
        <v>205</v>
      </c>
      <c r="K1331">
        <v>41882667.770816103</v>
      </c>
      <c r="L1331">
        <v>0.95</v>
      </c>
      <c r="O1331" t="s">
        <v>207</v>
      </c>
      <c r="Q1331" t="s">
        <v>207</v>
      </c>
      <c r="R1331" t="s">
        <v>207</v>
      </c>
      <c r="S1331" t="s">
        <v>207</v>
      </c>
      <c r="T1331" t="s">
        <v>207</v>
      </c>
      <c r="U1331" t="s">
        <v>207</v>
      </c>
      <c r="V1331" t="s">
        <v>206</v>
      </c>
      <c r="W1331" t="s">
        <v>207</v>
      </c>
      <c r="X1331" t="s">
        <v>207</v>
      </c>
      <c r="AD1331" t="s">
        <v>4543</v>
      </c>
      <c r="AG1331" t="s">
        <v>4546</v>
      </c>
      <c r="AH1331" t="s">
        <v>4563</v>
      </c>
      <c r="AI1331" t="s">
        <v>4565</v>
      </c>
      <c r="AJ1331" t="s">
        <v>4566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210</v>
      </c>
      <c r="BA1331">
        <v>9836780749.3021488</v>
      </c>
      <c r="BB1331" t="s">
        <v>4572</v>
      </c>
      <c r="BC1331" t="s">
        <v>4659</v>
      </c>
    </row>
    <row r="1332" spans="1:55" x14ac:dyDescent="0.25">
      <c r="A1332">
        <v>119</v>
      </c>
      <c r="B1332" t="s">
        <v>1504</v>
      </c>
      <c r="C1332" t="s">
        <v>2939</v>
      </c>
      <c r="D1332" t="s">
        <v>4374</v>
      </c>
      <c r="E1332" t="s">
        <v>97</v>
      </c>
      <c r="F1332">
        <v>1750271700</v>
      </c>
      <c r="G1332">
        <v>57.320799999999998</v>
      </c>
      <c r="H1332" t="s">
        <v>104</v>
      </c>
      <c r="I1332">
        <v>100326974061.36</v>
      </c>
      <c r="J1332" t="s">
        <v>202</v>
      </c>
      <c r="K1332">
        <v>440846435.29563802</v>
      </c>
      <c r="L1332">
        <v>1</v>
      </c>
      <c r="M1332" t="s">
        <v>4536</v>
      </c>
      <c r="O1332" t="s">
        <v>206</v>
      </c>
      <c r="Q1332" t="s">
        <v>207</v>
      </c>
      <c r="R1332" t="s">
        <v>207</v>
      </c>
      <c r="S1332" t="s">
        <v>207</v>
      </c>
      <c r="T1332" t="s">
        <v>207</v>
      </c>
      <c r="U1332" t="s">
        <v>207</v>
      </c>
      <c r="V1332" t="s">
        <v>207</v>
      </c>
      <c r="W1332" t="s">
        <v>207</v>
      </c>
      <c r="X1332" t="s">
        <v>207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208</v>
      </c>
      <c r="BA1332">
        <v>100326974061.36</v>
      </c>
      <c r="BB1332" t="s">
        <v>4572</v>
      </c>
      <c r="BC1332" t="s">
        <v>4536</v>
      </c>
    </row>
    <row r="1333" spans="1:55" x14ac:dyDescent="0.25">
      <c r="A1333">
        <v>1154</v>
      </c>
      <c r="B1333" t="s">
        <v>1505</v>
      </c>
      <c r="C1333" t="s">
        <v>2940</v>
      </c>
      <c r="D1333" t="s">
        <v>4375</v>
      </c>
      <c r="E1333" t="s">
        <v>93</v>
      </c>
      <c r="F1333">
        <v>325080960</v>
      </c>
      <c r="G1333">
        <v>13.340579999999999</v>
      </c>
      <c r="H1333" t="s">
        <v>101</v>
      </c>
      <c r="I1333">
        <v>4336768553.3568001</v>
      </c>
      <c r="J1333" t="s">
        <v>205</v>
      </c>
      <c r="K1333">
        <v>11994228.1844004</v>
      </c>
      <c r="L1333">
        <v>0.95</v>
      </c>
      <c r="M1333" t="s">
        <v>4536</v>
      </c>
      <c r="O1333" t="s">
        <v>207</v>
      </c>
      <c r="Q1333" t="s">
        <v>207</v>
      </c>
      <c r="R1333" t="s">
        <v>207</v>
      </c>
      <c r="S1333" t="s">
        <v>207</v>
      </c>
      <c r="T1333" t="s">
        <v>207</v>
      </c>
      <c r="U1333" t="s">
        <v>207</v>
      </c>
      <c r="V1333" t="s">
        <v>207</v>
      </c>
      <c r="W1333" t="s">
        <v>207</v>
      </c>
      <c r="X1333" t="s">
        <v>207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210</v>
      </c>
      <c r="AZ1333" t="s">
        <v>4571</v>
      </c>
      <c r="BA1333">
        <v>4119930125.6889601</v>
      </c>
      <c r="BB1333" t="s">
        <v>4572</v>
      </c>
      <c r="BC1333" t="s">
        <v>4577</v>
      </c>
    </row>
    <row r="1334" spans="1:55" x14ac:dyDescent="0.25">
      <c r="A1334">
        <v>1127</v>
      </c>
      <c r="B1334" t="s">
        <v>1506</v>
      </c>
      <c r="C1334" t="s">
        <v>2941</v>
      </c>
      <c r="D1334" t="s">
        <v>4376</v>
      </c>
      <c r="E1334" t="s">
        <v>93</v>
      </c>
      <c r="F1334">
        <v>176981300</v>
      </c>
      <c r="G1334">
        <v>25.766639999999999</v>
      </c>
      <c r="H1334" t="s">
        <v>101</v>
      </c>
      <c r="I1334">
        <v>4560213443.8319998</v>
      </c>
      <c r="J1334" t="s">
        <v>205</v>
      </c>
      <c r="K1334">
        <v>23609775.271563701</v>
      </c>
      <c r="L1334">
        <v>0.95</v>
      </c>
      <c r="M1334" t="s">
        <v>4536</v>
      </c>
      <c r="O1334" t="s">
        <v>207</v>
      </c>
      <c r="Q1334" t="s">
        <v>207</v>
      </c>
      <c r="R1334" t="s">
        <v>207</v>
      </c>
      <c r="S1334" t="s">
        <v>207</v>
      </c>
      <c r="T1334" t="s">
        <v>207</v>
      </c>
      <c r="U1334" t="s">
        <v>207</v>
      </c>
      <c r="V1334" t="s">
        <v>207</v>
      </c>
      <c r="W1334" t="s">
        <v>207</v>
      </c>
      <c r="X1334" t="s">
        <v>207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210</v>
      </c>
      <c r="BA1334">
        <v>4332202771.6403999</v>
      </c>
      <c r="BB1334" t="s">
        <v>4572</v>
      </c>
      <c r="BC1334" t="s">
        <v>4536</v>
      </c>
    </row>
    <row r="1335" spans="1:55" x14ac:dyDescent="0.25">
      <c r="A1335">
        <v>710</v>
      </c>
      <c r="B1335" t="s">
        <v>1507</v>
      </c>
      <c r="C1335" t="s">
        <v>2942</v>
      </c>
      <c r="D1335" t="s">
        <v>4377</v>
      </c>
      <c r="E1335" t="s">
        <v>97</v>
      </c>
      <c r="F1335">
        <v>373684020</v>
      </c>
      <c r="G1335">
        <v>46.956989999999998</v>
      </c>
      <c r="H1335" t="s">
        <v>104</v>
      </c>
      <c r="I1335">
        <v>17547076790.299801</v>
      </c>
      <c r="J1335" t="s">
        <v>202</v>
      </c>
      <c r="K1335">
        <v>73362553.718362197</v>
      </c>
      <c r="L1335">
        <v>0.95</v>
      </c>
      <c r="M1335" t="s">
        <v>4536</v>
      </c>
      <c r="O1335" t="s">
        <v>207</v>
      </c>
      <c r="Q1335" t="s">
        <v>207</v>
      </c>
      <c r="R1335" t="s">
        <v>207</v>
      </c>
      <c r="S1335" t="s">
        <v>207</v>
      </c>
      <c r="T1335" t="s">
        <v>207</v>
      </c>
      <c r="U1335" t="s">
        <v>207</v>
      </c>
      <c r="V1335" t="s">
        <v>207</v>
      </c>
      <c r="W1335" t="s">
        <v>207</v>
      </c>
      <c r="X1335" t="s">
        <v>207</v>
      </c>
      <c r="AK1335">
        <v>0</v>
      </c>
      <c r="AL1335">
        <v>1</v>
      </c>
      <c r="AM1335">
        <v>3.0000000000000001E-3</v>
      </c>
      <c r="AO1335" t="s">
        <v>4568</v>
      </c>
      <c r="AP1335" t="s">
        <v>4569</v>
      </c>
      <c r="AQ1335">
        <v>0</v>
      </c>
      <c r="AR1335">
        <v>0</v>
      </c>
      <c r="AW1335">
        <v>6010</v>
      </c>
      <c r="AX1335">
        <v>2.2770000000000001</v>
      </c>
      <c r="AY1335" t="s">
        <v>208</v>
      </c>
      <c r="BA1335">
        <v>16669722950.784809</v>
      </c>
      <c r="BB1335" t="s">
        <v>4572</v>
      </c>
      <c r="BC1335" t="s">
        <v>4595</v>
      </c>
    </row>
    <row r="1336" spans="1:55" x14ac:dyDescent="0.25">
      <c r="A1336">
        <v>1021</v>
      </c>
      <c r="B1336" t="s">
        <v>1508</v>
      </c>
      <c r="C1336" t="s">
        <v>2943</v>
      </c>
      <c r="D1336" t="s">
        <v>4378</v>
      </c>
      <c r="E1336" t="s">
        <v>93</v>
      </c>
      <c r="F1336">
        <v>110881040</v>
      </c>
      <c r="G1336">
        <v>57.960549999999998</v>
      </c>
      <c r="H1336" t="s">
        <v>101</v>
      </c>
      <c r="I1336">
        <v>6426726062.9720001</v>
      </c>
      <c r="J1336" t="s">
        <v>205</v>
      </c>
      <c r="K1336">
        <v>29405560.773147099</v>
      </c>
      <c r="L1336">
        <v>0.9</v>
      </c>
      <c r="M1336" t="s">
        <v>4536</v>
      </c>
      <c r="O1336" t="s">
        <v>207</v>
      </c>
      <c r="Q1336" t="s">
        <v>207</v>
      </c>
      <c r="R1336" t="s">
        <v>207</v>
      </c>
      <c r="S1336" t="s">
        <v>207</v>
      </c>
      <c r="T1336" t="s">
        <v>207</v>
      </c>
      <c r="U1336" t="s">
        <v>207</v>
      </c>
      <c r="V1336" t="s">
        <v>207</v>
      </c>
      <c r="W1336" t="s">
        <v>207</v>
      </c>
      <c r="X1336" t="s">
        <v>207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210</v>
      </c>
      <c r="AZ1336" t="s">
        <v>4571</v>
      </c>
      <c r="BA1336">
        <v>5784053456.6747999</v>
      </c>
      <c r="BB1336" t="s">
        <v>4572</v>
      </c>
      <c r="BC1336" t="s">
        <v>4577</v>
      </c>
    </row>
    <row r="1337" spans="1:55" x14ac:dyDescent="0.25">
      <c r="A1337">
        <v>689</v>
      </c>
      <c r="B1337" t="s">
        <v>1509</v>
      </c>
      <c r="C1337" t="s">
        <v>2944</v>
      </c>
      <c r="D1337" t="s">
        <v>4379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26694074097.574402</v>
      </c>
      <c r="J1337" t="s">
        <v>205</v>
      </c>
      <c r="K1337">
        <v>50075971.554729499</v>
      </c>
      <c r="L1337">
        <v>0.65</v>
      </c>
      <c r="O1337" t="s">
        <v>207</v>
      </c>
      <c r="Q1337" t="s">
        <v>207</v>
      </c>
      <c r="R1337" t="s">
        <v>207</v>
      </c>
      <c r="S1337" t="s">
        <v>207</v>
      </c>
      <c r="T1337" t="s">
        <v>207</v>
      </c>
      <c r="U1337" t="s">
        <v>207</v>
      </c>
      <c r="V1337" t="s">
        <v>207</v>
      </c>
      <c r="W1337" t="s">
        <v>207</v>
      </c>
      <c r="X1337" t="s">
        <v>207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210</v>
      </c>
      <c r="BA1337">
        <v>17351148163.423359</v>
      </c>
      <c r="BB1337" t="s">
        <v>211</v>
      </c>
    </row>
    <row r="1338" spans="1:55" x14ac:dyDescent="0.25">
      <c r="A1338">
        <v>46</v>
      </c>
      <c r="B1338" t="s">
        <v>1510</v>
      </c>
      <c r="C1338" t="s">
        <v>2945</v>
      </c>
      <c r="D1338" t="s">
        <v>4380</v>
      </c>
      <c r="E1338" t="s">
        <v>93</v>
      </c>
      <c r="F1338">
        <v>15794987000</v>
      </c>
      <c r="G1338">
        <v>17.305669999999999</v>
      </c>
      <c r="H1338" t="s">
        <v>101</v>
      </c>
      <c r="I1338">
        <v>273342832676.29001</v>
      </c>
      <c r="J1338" t="s">
        <v>205</v>
      </c>
      <c r="K1338">
        <v>470702957.63517898</v>
      </c>
      <c r="L1338">
        <v>0.75</v>
      </c>
      <c r="O1338" t="s">
        <v>206</v>
      </c>
      <c r="Q1338" t="s">
        <v>207</v>
      </c>
      <c r="R1338" t="s">
        <v>207</v>
      </c>
      <c r="S1338" t="s">
        <v>207</v>
      </c>
      <c r="T1338" t="s">
        <v>207</v>
      </c>
      <c r="U1338" t="s">
        <v>207</v>
      </c>
      <c r="V1338" t="s">
        <v>207</v>
      </c>
      <c r="W1338" t="s">
        <v>207</v>
      </c>
      <c r="X1338" t="s">
        <v>207</v>
      </c>
      <c r="AK1338">
        <v>2.0000000000000001E-4</v>
      </c>
      <c r="AL1338">
        <v>0.01</v>
      </c>
      <c r="AM1338">
        <v>2.0000000000000001E-4</v>
      </c>
      <c r="AN1338" t="s">
        <v>4567</v>
      </c>
      <c r="AO1338" t="s">
        <v>4568</v>
      </c>
      <c r="AP1338" t="s">
        <v>4569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210</v>
      </c>
      <c r="BA1338">
        <v>205007124507.2175</v>
      </c>
      <c r="BB1338" t="s">
        <v>4572</v>
      </c>
      <c r="BC1338" t="s">
        <v>4618</v>
      </c>
    </row>
    <row r="1339" spans="1:55" x14ac:dyDescent="0.25">
      <c r="A1339">
        <v>815</v>
      </c>
      <c r="B1339" t="s">
        <v>1511</v>
      </c>
      <c r="C1339" t="s">
        <v>2946</v>
      </c>
      <c r="D1339" t="s">
        <v>4381</v>
      </c>
      <c r="E1339" t="s">
        <v>93</v>
      </c>
      <c r="F1339">
        <v>1062169600</v>
      </c>
      <c r="G1339">
        <v>15.498989999999999</v>
      </c>
      <c r="H1339" t="s">
        <v>101</v>
      </c>
      <c r="I1339">
        <v>16462556008.704</v>
      </c>
      <c r="J1339" t="s">
        <v>205</v>
      </c>
      <c r="K1339">
        <v>28941436.347890802</v>
      </c>
      <c r="L1339">
        <v>0.65</v>
      </c>
      <c r="O1339" t="s">
        <v>207</v>
      </c>
      <c r="Q1339" t="s">
        <v>207</v>
      </c>
      <c r="R1339" t="s">
        <v>207</v>
      </c>
      <c r="S1339" t="s">
        <v>207</v>
      </c>
      <c r="T1339" t="s">
        <v>207</v>
      </c>
      <c r="U1339" t="s">
        <v>207</v>
      </c>
      <c r="V1339" t="s">
        <v>207</v>
      </c>
      <c r="W1339" t="s">
        <v>207</v>
      </c>
      <c r="X1339" t="s">
        <v>207</v>
      </c>
      <c r="AG1339" t="s">
        <v>4560</v>
      </c>
      <c r="AH1339" t="s">
        <v>4564</v>
      </c>
      <c r="AI1339" t="s">
        <v>4565</v>
      </c>
      <c r="AJ1339" t="s">
        <v>4566</v>
      </c>
      <c r="AK1339">
        <v>6.9999999999999999E-4</v>
      </c>
      <c r="AL1339">
        <v>0.01</v>
      </c>
      <c r="AM1339">
        <v>6.9999999999999999E-4</v>
      </c>
      <c r="AN1339" t="s">
        <v>4567</v>
      </c>
      <c r="AO1339" t="s">
        <v>4568</v>
      </c>
      <c r="AP1339" t="s">
        <v>4569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210</v>
      </c>
      <c r="BA1339">
        <v>10700661405.6576</v>
      </c>
      <c r="BB1339" t="s">
        <v>4572</v>
      </c>
      <c r="BC1339" t="s">
        <v>4602</v>
      </c>
    </row>
    <row r="1340" spans="1:55" x14ac:dyDescent="0.25">
      <c r="A1340">
        <v>467</v>
      </c>
      <c r="B1340" t="s">
        <v>1512</v>
      </c>
      <c r="C1340" t="s">
        <v>2947</v>
      </c>
      <c r="D1340" t="s">
        <v>4382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202</v>
      </c>
      <c r="K1340">
        <v>282384720.20938802</v>
      </c>
      <c r="L1340">
        <v>1</v>
      </c>
      <c r="M1340" t="s">
        <v>4536</v>
      </c>
      <c r="O1340" t="s">
        <v>207</v>
      </c>
      <c r="Q1340" t="s">
        <v>207</v>
      </c>
      <c r="R1340" t="s">
        <v>207</v>
      </c>
      <c r="S1340" t="s">
        <v>207</v>
      </c>
      <c r="T1340" t="s">
        <v>207</v>
      </c>
      <c r="U1340" t="s">
        <v>207</v>
      </c>
      <c r="V1340" t="s">
        <v>207</v>
      </c>
      <c r="W1340" t="s">
        <v>207</v>
      </c>
      <c r="X1340" t="s">
        <v>207</v>
      </c>
      <c r="AK1340">
        <v>0</v>
      </c>
      <c r="AL1340">
        <v>0.01</v>
      </c>
      <c r="AM1340">
        <v>0</v>
      </c>
      <c r="AO1340" t="s">
        <v>4568</v>
      </c>
      <c r="AQ1340">
        <v>0</v>
      </c>
      <c r="AR1340">
        <v>0</v>
      </c>
      <c r="AW1340">
        <v>4040</v>
      </c>
      <c r="AX1340">
        <v>1.8640000000000001</v>
      </c>
      <c r="AY1340" t="s">
        <v>208</v>
      </c>
      <c r="BA1340">
        <v>28659380222.628601</v>
      </c>
      <c r="BB1340" t="s">
        <v>4572</v>
      </c>
      <c r="BC1340" t="s">
        <v>4582</v>
      </c>
    </row>
    <row r="1341" spans="1:55" x14ac:dyDescent="0.25">
      <c r="A1341">
        <v>435</v>
      </c>
      <c r="B1341" t="s">
        <v>1513</v>
      </c>
      <c r="C1341" t="s">
        <v>2948</v>
      </c>
      <c r="D1341" t="s">
        <v>4383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202</v>
      </c>
      <c r="K1341">
        <v>575063303.273947</v>
      </c>
      <c r="L1341">
        <v>1</v>
      </c>
      <c r="M1341" t="s">
        <v>4536</v>
      </c>
      <c r="O1341" t="s">
        <v>207</v>
      </c>
      <c r="Q1341" t="s">
        <v>207</v>
      </c>
      <c r="R1341" t="s">
        <v>207</v>
      </c>
      <c r="S1341" t="s">
        <v>207</v>
      </c>
      <c r="T1341" t="s">
        <v>207</v>
      </c>
      <c r="U1341" t="s">
        <v>207</v>
      </c>
      <c r="V1341" t="s">
        <v>207</v>
      </c>
      <c r="W1341" t="s">
        <v>207</v>
      </c>
      <c r="X1341" t="s">
        <v>207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208</v>
      </c>
      <c r="BA1341">
        <v>30992003233.799999</v>
      </c>
      <c r="BB1341" t="s">
        <v>4572</v>
      </c>
      <c r="BC1341" t="s">
        <v>4536</v>
      </c>
    </row>
    <row r="1342" spans="1:55" x14ac:dyDescent="0.25">
      <c r="A1342">
        <v>166</v>
      </c>
      <c r="B1342" t="s">
        <v>181</v>
      </c>
      <c r="C1342" t="s">
        <v>46</v>
      </c>
      <c r="D1342" t="s">
        <v>86</v>
      </c>
      <c r="E1342" t="s">
        <v>88</v>
      </c>
      <c r="F1342">
        <v>224290970</v>
      </c>
      <c r="G1342">
        <v>339.38780000000003</v>
      </c>
      <c r="H1342" t="s">
        <v>98</v>
      </c>
      <c r="I1342">
        <v>76121618868.166</v>
      </c>
      <c r="J1342" t="s">
        <v>202</v>
      </c>
      <c r="K1342">
        <v>489090304.18358302</v>
      </c>
      <c r="L1342">
        <v>1</v>
      </c>
      <c r="O1342" t="s">
        <v>207</v>
      </c>
      <c r="Q1342" t="s">
        <v>207</v>
      </c>
      <c r="R1342" t="s">
        <v>207</v>
      </c>
      <c r="S1342" t="s">
        <v>207</v>
      </c>
      <c r="T1342" t="s">
        <v>207</v>
      </c>
      <c r="U1342" t="s">
        <v>207</v>
      </c>
      <c r="V1342" t="s">
        <v>207</v>
      </c>
      <c r="W1342" t="s">
        <v>207</v>
      </c>
      <c r="X1342" t="s">
        <v>207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208</v>
      </c>
      <c r="BA1342">
        <v>76121618868.166</v>
      </c>
      <c r="BB1342" t="s">
        <v>211</v>
      </c>
    </row>
    <row r="1343" spans="1:55" x14ac:dyDescent="0.25">
      <c r="A1343">
        <v>187</v>
      </c>
      <c r="B1343" t="s">
        <v>1514</v>
      </c>
      <c r="C1343" t="s">
        <v>2949</v>
      </c>
      <c r="D1343" t="s">
        <v>4384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202</v>
      </c>
      <c r="K1343">
        <v>353424040.86427999</v>
      </c>
      <c r="L1343">
        <v>1</v>
      </c>
      <c r="O1343" t="s">
        <v>207</v>
      </c>
      <c r="Q1343" t="s">
        <v>207</v>
      </c>
      <c r="R1343" t="s">
        <v>207</v>
      </c>
      <c r="S1343" t="s">
        <v>207</v>
      </c>
      <c r="T1343" t="s">
        <v>207</v>
      </c>
      <c r="U1343" t="s">
        <v>207</v>
      </c>
      <c r="V1343" t="s">
        <v>4538</v>
      </c>
      <c r="W1343" t="s">
        <v>207</v>
      </c>
      <c r="X1343" t="s">
        <v>207</v>
      </c>
      <c r="AD1343" t="s">
        <v>4543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208</v>
      </c>
      <c r="AZ1343" t="s">
        <v>4571</v>
      </c>
      <c r="BA1343">
        <v>69207483004.608002</v>
      </c>
      <c r="BB1343" t="s">
        <v>4572</v>
      </c>
      <c r="BC1343" t="s">
        <v>4660</v>
      </c>
    </row>
    <row r="1344" spans="1:55" x14ac:dyDescent="0.25">
      <c r="A1344">
        <v>694</v>
      </c>
      <c r="B1344" t="s">
        <v>1515</v>
      </c>
      <c r="C1344" t="s">
        <v>2950</v>
      </c>
      <c r="D1344" t="s">
        <v>4385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202</v>
      </c>
      <c r="K1344">
        <v>133062456.90425</v>
      </c>
      <c r="L1344">
        <v>1</v>
      </c>
      <c r="M1344" t="s">
        <v>4536</v>
      </c>
      <c r="O1344" t="s">
        <v>207</v>
      </c>
      <c r="Q1344" t="s">
        <v>207</v>
      </c>
      <c r="R1344" t="s">
        <v>207</v>
      </c>
      <c r="S1344" t="s">
        <v>207</v>
      </c>
      <c r="T1344" t="s">
        <v>207</v>
      </c>
      <c r="U1344" t="s">
        <v>207</v>
      </c>
      <c r="V1344" t="s">
        <v>207</v>
      </c>
      <c r="W1344" t="s">
        <v>207</v>
      </c>
      <c r="X1344" t="s">
        <v>207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208</v>
      </c>
      <c r="BA1344">
        <v>17110205617</v>
      </c>
      <c r="BB1344" t="s">
        <v>4572</v>
      </c>
      <c r="BC1344" t="s">
        <v>4536</v>
      </c>
    </row>
    <row r="1345" spans="1:55" x14ac:dyDescent="0.25">
      <c r="A1345">
        <v>520</v>
      </c>
      <c r="B1345" t="s">
        <v>1516</v>
      </c>
      <c r="C1345" t="s">
        <v>2951</v>
      </c>
      <c r="D1345" t="s">
        <v>4386</v>
      </c>
      <c r="E1345" t="s">
        <v>94</v>
      </c>
      <c r="F1345">
        <v>3104030800</v>
      </c>
      <c r="G1345">
        <v>8.0182909999999996</v>
      </c>
      <c r="H1345" t="s">
        <v>102</v>
      </c>
      <c r="I1345">
        <v>24889022227.362801</v>
      </c>
      <c r="J1345" t="s">
        <v>205</v>
      </c>
      <c r="K1345">
        <v>37869397.9627764</v>
      </c>
      <c r="L1345">
        <v>1</v>
      </c>
      <c r="M1345" t="s">
        <v>4536</v>
      </c>
      <c r="O1345" t="s">
        <v>207</v>
      </c>
      <c r="Q1345" t="s">
        <v>207</v>
      </c>
      <c r="R1345" t="s">
        <v>207</v>
      </c>
      <c r="S1345" t="s">
        <v>207</v>
      </c>
      <c r="T1345" t="s">
        <v>207</v>
      </c>
      <c r="U1345" t="s">
        <v>207</v>
      </c>
      <c r="V1345" t="s">
        <v>207</v>
      </c>
      <c r="W1345" t="s">
        <v>207</v>
      </c>
      <c r="X1345" t="s">
        <v>207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210</v>
      </c>
      <c r="BA1345">
        <v>24889022227.362801</v>
      </c>
      <c r="BB1345" t="s">
        <v>4572</v>
      </c>
      <c r="BC1345" t="s">
        <v>4536</v>
      </c>
    </row>
    <row r="1346" spans="1:55" x14ac:dyDescent="0.25">
      <c r="A1346">
        <v>265</v>
      </c>
      <c r="B1346" t="s">
        <v>1517</v>
      </c>
      <c r="C1346" t="s">
        <v>2952</v>
      </c>
      <c r="D1346" t="s">
        <v>4387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202</v>
      </c>
      <c r="K1346">
        <v>315792771.93658298</v>
      </c>
      <c r="L1346">
        <v>1</v>
      </c>
      <c r="M1346" t="s">
        <v>4536</v>
      </c>
      <c r="O1346" t="s">
        <v>207</v>
      </c>
      <c r="Q1346" t="s">
        <v>207</v>
      </c>
      <c r="R1346" t="s">
        <v>207</v>
      </c>
      <c r="S1346" t="s">
        <v>207</v>
      </c>
      <c r="T1346" t="s">
        <v>207</v>
      </c>
      <c r="U1346" t="s">
        <v>207</v>
      </c>
      <c r="V1346" t="s">
        <v>207</v>
      </c>
      <c r="W1346" t="s">
        <v>207</v>
      </c>
      <c r="X1346" t="s">
        <v>207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208</v>
      </c>
      <c r="BA1346">
        <v>52052772470.061996</v>
      </c>
      <c r="BB1346" t="s">
        <v>4572</v>
      </c>
      <c r="BC1346" t="s">
        <v>4536</v>
      </c>
    </row>
    <row r="1347" spans="1:55" x14ac:dyDescent="0.25">
      <c r="A1347">
        <v>1058</v>
      </c>
      <c r="B1347" t="s">
        <v>1518</v>
      </c>
      <c r="C1347" t="s">
        <v>2953</v>
      </c>
      <c r="D1347" t="s">
        <v>4388</v>
      </c>
      <c r="E1347" t="s">
        <v>94</v>
      </c>
      <c r="F1347">
        <v>811426450</v>
      </c>
      <c r="G1347">
        <v>6.5365849999999996</v>
      </c>
      <c r="H1347" t="s">
        <v>102</v>
      </c>
      <c r="I1347">
        <v>5303957961.6732492</v>
      </c>
      <c r="J1347" t="s">
        <v>205</v>
      </c>
      <c r="K1347">
        <v>18022378.569519401</v>
      </c>
      <c r="L1347">
        <v>1</v>
      </c>
      <c r="O1347" t="s">
        <v>207</v>
      </c>
      <c r="Q1347" t="s">
        <v>207</v>
      </c>
      <c r="R1347" t="s">
        <v>207</v>
      </c>
      <c r="S1347" t="s">
        <v>207</v>
      </c>
      <c r="T1347" t="s">
        <v>207</v>
      </c>
      <c r="U1347" t="s">
        <v>207</v>
      </c>
      <c r="V1347" t="s">
        <v>207</v>
      </c>
      <c r="W1347" t="s">
        <v>207</v>
      </c>
      <c r="X1347" t="s">
        <v>207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210</v>
      </c>
      <c r="BA1347">
        <v>5303957961.6732492</v>
      </c>
      <c r="BB1347" t="s">
        <v>211</v>
      </c>
    </row>
    <row r="1348" spans="1:55" x14ac:dyDescent="0.25">
      <c r="A1348">
        <v>888</v>
      </c>
      <c r="B1348" t="s">
        <v>1519</v>
      </c>
      <c r="C1348" t="s">
        <v>2954</v>
      </c>
      <c r="D1348" t="s">
        <v>4389</v>
      </c>
      <c r="E1348" t="s">
        <v>4519</v>
      </c>
      <c r="F1348">
        <v>213047180</v>
      </c>
      <c r="G1348">
        <v>38.251829999999998</v>
      </c>
      <c r="H1348" t="s">
        <v>4530</v>
      </c>
      <c r="I1348">
        <v>8149444511.3393993</v>
      </c>
      <c r="J1348" t="s">
        <v>204</v>
      </c>
      <c r="K1348">
        <v>13822085.647705499</v>
      </c>
      <c r="L1348">
        <v>1</v>
      </c>
      <c r="M1348" t="s">
        <v>4536</v>
      </c>
      <c r="O1348" t="s">
        <v>207</v>
      </c>
      <c r="Q1348" t="s">
        <v>207</v>
      </c>
      <c r="R1348" t="s">
        <v>207</v>
      </c>
      <c r="S1348" t="s">
        <v>207</v>
      </c>
      <c r="T1348" t="s">
        <v>207</v>
      </c>
      <c r="U1348" t="s">
        <v>207</v>
      </c>
      <c r="V1348" t="s">
        <v>207</v>
      </c>
      <c r="W1348" t="s">
        <v>207</v>
      </c>
      <c r="X1348" t="s">
        <v>207</v>
      </c>
      <c r="AK1348">
        <v>0</v>
      </c>
      <c r="AL1348">
        <v>0.01</v>
      </c>
      <c r="AM1348">
        <v>0</v>
      </c>
      <c r="AO1348" t="s">
        <v>4568</v>
      </c>
      <c r="AQ1348">
        <v>0</v>
      </c>
      <c r="AR1348">
        <v>0</v>
      </c>
      <c r="AW1348">
        <v>5020</v>
      </c>
      <c r="AX1348">
        <v>2.395</v>
      </c>
      <c r="AY1348" t="s">
        <v>209</v>
      </c>
      <c r="BA1348">
        <v>8149444511.3393993</v>
      </c>
      <c r="BB1348" t="s">
        <v>4572</v>
      </c>
      <c r="BC1348" t="s">
        <v>4582</v>
      </c>
    </row>
    <row r="1349" spans="1:55" x14ac:dyDescent="0.25">
      <c r="A1349">
        <v>878</v>
      </c>
      <c r="B1349" t="s">
        <v>1520</v>
      </c>
      <c r="C1349" t="s">
        <v>2955</v>
      </c>
      <c r="D1349" t="s">
        <v>4390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10047345782.123301</v>
      </c>
      <c r="J1349" t="s">
        <v>205</v>
      </c>
      <c r="K1349">
        <v>27016520.949802</v>
      </c>
      <c r="L1349">
        <v>0.85</v>
      </c>
      <c r="M1349" t="s">
        <v>4536</v>
      </c>
      <c r="O1349" t="s">
        <v>207</v>
      </c>
      <c r="Q1349" t="s">
        <v>207</v>
      </c>
      <c r="R1349" t="s">
        <v>207</v>
      </c>
      <c r="S1349" t="s">
        <v>207</v>
      </c>
      <c r="T1349" t="s">
        <v>207</v>
      </c>
      <c r="U1349" t="s">
        <v>207</v>
      </c>
      <c r="V1349" t="s">
        <v>207</v>
      </c>
      <c r="W1349" t="s">
        <v>207</v>
      </c>
      <c r="X1349" t="s">
        <v>207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210</v>
      </c>
      <c r="AZ1349" t="s">
        <v>4571</v>
      </c>
      <c r="BA1349">
        <v>8540243914.8048048</v>
      </c>
      <c r="BB1349" t="s">
        <v>4572</v>
      </c>
      <c r="BC1349" t="s">
        <v>4577</v>
      </c>
    </row>
    <row r="1350" spans="1:55" x14ac:dyDescent="0.25">
      <c r="A1350">
        <v>705</v>
      </c>
      <c r="B1350" t="s">
        <v>1521</v>
      </c>
      <c r="C1350" t="s">
        <v>2956</v>
      </c>
      <c r="D1350" t="s">
        <v>4391</v>
      </c>
      <c r="E1350" t="s">
        <v>90</v>
      </c>
      <c r="F1350">
        <v>245792050</v>
      </c>
      <c r="G1350">
        <v>68.359629999999996</v>
      </c>
      <c r="H1350" t="s">
        <v>98</v>
      </c>
      <c r="I1350">
        <v>16802253594.9415</v>
      </c>
      <c r="J1350" t="s">
        <v>202</v>
      </c>
      <c r="K1350">
        <v>92621411.8501634</v>
      </c>
      <c r="L1350">
        <v>1</v>
      </c>
      <c r="O1350" t="s">
        <v>207</v>
      </c>
      <c r="Q1350" t="s">
        <v>207</v>
      </c>
      <c r="R1350" t="s">
        <v>207</v>
      </c>
      <c r="S1350" t="s">
        <v>207</v>
      </c>
      <c r="T1350" t="s">
        <v>207</v>
      </c>
      <c r="U1350" t="s">
        <v>207</v>
      </c>
      <c r="V1350" t="s">
        <v>207</v>
      </c>
      <c r="W1350" t="s">
        <v>207</v>
      </c>
      <c r="X1350" t="s">
        <v>207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208</v>
      </c>
      <c r="BA1350">
        <v>16802253594.9415</v>
      </c>
      <c r="BB1350" t="s">
        <v>211</v>
      </c>
    </row>
    <row r="1351" spans="1:55" x14ac:dyDescent="0.25">
      <c r="A1351">
        <v>1167</v>
      </c>
      <c r="B1351" t="s">
        <v>1522</v>
      </c>
      <c r="C1351" t="s">
        <v>2957</v>
      </c>
      <c r="D1351" t="s">
        <v>4392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204</v>
      </c>
      <c r="K1351">
        <v>7722815.8409963399</v>
      </c>
      <c r="L1351">
        <v>0.9</v>
      </c>
      <c r="M1351" t="s">
        <v>4536</v>
      </c>
      <c r="N1351" t="s">
        <v>4537</v>
      </c>
      <c r="O1351" t="s">
        <v>207</v>
      </c>
      <c r="Q1351" t="s">
        <v>207</v>
      </c>
      <c r="R1351" t="s">
        <v>207</v>
      </c>
      <c r="S1351" t="s">
        <v>207</v>
      </c>
      <c r="T1351" t="s">
        <v>207</v>
      </c>
      <c r="U1351" t="s">
        <v>207</v>
      </c>
      <c r="V1351" t="s">
        <v>207</v>
      </c>
      <c r="W1351" t="s">
        <v>207</v>
      </c>
      <c r="X1351" t="s">
        <v>207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209</v>
      </c>
      <c r="BA1351">
        <v>3951480368.2567501</v>
      </c>
      <c r="BB1351" t="s">
        <v>4572</v>
      </c>
      <c r="BC1351" t="s">
        <v>4575</v>
      </c>
    </row>
    <row r="1352" spans="1:55" x14ac:dyDescent="0.25">
      <c r="A1352">
        <v>230</v>
      </c>
      <c r="B1352" t="s">
        <v>1523</v>
      </c>
      <c r="C1352" t="s">
        <v>2958</v>
      </c>
      <c r="D1352" t="s">
        <v>4393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202</v>
      </c>
      <c r="K1352">
        <v>321231778.78381097</v>
      </c>
      <c r="L1352">
        <v>1</v>
      </c>
      <c r="M1352" t="s">
        <v>4536</v>
      </c>
      <c r="O1352" t="s">
        <v>207</v>
      </c>
      <c r="Q1352" t="s">
        <v>207</v>
      </c>
      <c r="R1352" t="s">
        <v>207</v>
      </c>
      <c r="S1352" t="s">
        <v>207</v>
      </c>
      <c r="T1352" t="s">
        <v>207</v>
      </c>
      <c r="U1352" t="s">
        <v>207</v>
      </c>
      <c r="V1352" t="s">
        <v>207</v>
      </c>
      <c r="W1352" t="s">
        <v>207</v>
      </c>
      <c r="X1352" t="s">
        <v>207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208</v>
      </c>
      <c r="BA1352">
        <v>57976647861.328003</v>
      </c>
      <c r="BB1352" t="s">
        <v>4572</v>
      </c>
      <c r="BC1352" t="s">
        <v>4536</v>
      </c>
    </row>
    <row r="1353" spans="1:55" x14ac:dyDescent="0.25">
      <c r="A1353">
        <v>991</v>
      </c>
      <c r="B1353" t="s">
        <v>1524</v>
      </c>
      <c r="C1353" t="s">
        <v>2959</v>
      </c>
      <c r="D1353" t="s">
        <v>4394</v>
      </c>
      <c r="E1353" t="s">
        <v>4523</v>
      </c>
      <c r="F1353">
        <v>616392100</v>
      </c>
      <c r="G1353">
        <v>20.120059999999999</v>
      </c>
      <c r="H1353" t="s">
        <v>4532</v>
      </c>
      <c r="I1353">
        <v>12401846035.525999</v>
      </c>
      <c r="J1353" t="s">
        <v>204</v>
      </c>
      <c r="K1353">
        <v>16625526.2193272</v>
      </c>
      <c r="L1353">
        <v>0.5</v>
      </c>
      <c r="M1353" t="s">
        <v>4536</v>
      </c>
      <c r="O1353" t="s">
        <v>207</v>
      </c>
      <c r="Q1353" t="s">
        <v>207</v>
      </c>
      <c r="R1353" t="s">
        <v>207</v>
      </c>
      <c r="S1353" t="s">
        <v>207</v>
      </c>
      <c r="T1353" t="s">
        <v>207</v>
      </c>
      <c r="U1353" t="s">
        <v>207</v>
      </c>
      <c r="V1353" t="s">
        <v>207</v>
      </c>
      <c r="W1353" t="s">
        <v>207</v>
      </c>
      <c r="X1353" t="s">
        <v>207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209</v>
      </c>
      <c r="BA1353">
        <v>6200923017.7629995</v>
      </c>
      <c r="BB1353" t="s">
        <v>4572</v>
      </c>
      <c r="BC1353" t="s">
        <v>4536</v>
      </c>
    </row>
    <row r="1354" spans="1:55" x14ac:dyDescent="0.25">
      <c r="A1354">
        <v>1440</v>
      </c>
      <c r="B1354" t="s">
        <v>1525</v>
      </c>
      <c r="C1354" t="s">
        <v>2960</v>
      </c>
      <c r="D1354" t="s">
        <v>4395</v>
      </c>
      <c r="E1354" t="s">
        <v>93</v>
      </c>
      <c r="F1354">
        <v>49556767</v>
      </c>
      <c r="G1354">
        <v>60.096580000000003</v>
      </c>
      <c r="H1354" t="s">
        <v>101</v>
      </c>
      <c r="I1354">
        <v>2978192212.55686</v>
      </c>
      <c r="J1354" t="s">
        <v>205</v>
      </c>
      <c r="K1354">
        <v>12262643.783500001</v>
      </c>
      <c r="L1354">
        <v>0.75</v>
      </c>
      <c r="M1354" t="s">
        <v>4536</v>
      </c>
      <c r="O1354" t="s">
        <v>207</v>
      </c>
      <c r="Q1354" t="s">
        <v>207</v>
      </c>
      <c r="R1354" t="s">
        <v>207</v>
      </c>
      <c r="S1354" t="s">
        <v>207</v>
      </c>
      <c r="T1354" t="s">
        <v>207</v>
      </c>
      <c r="U1354" t="s">
        <v>207</v>
      </c>
      <c r="V1354" t="s">
        <v>207</v>
      </c>
      <c r="W1354" t="s">
        <v>207</v>
      </c>
      <c r="X1354" t="s">
        <v>207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210</v>
      </c>
      <c r="BA1354">
        <v>2233644159.417645</v>
      </c>
      <c r="BB1354" t="s">
        <v>4572</v>
      </c>
      <c r="BC1354" t="s">
        <v>4536</v>
      </c>
    </row>
    <row r="1355" spans="1:55" x14ac:dyDescent="0.25">
      <c r="A1355">
        <v>1347</v>
      </c>
      <c r="B1355" t="s">
        <v>1526</v>
      </c>
      <c r="C1355" t="s">
        <v>2961</v>
      </c>
      <c r="D1355" t="s">
        <v>4396</v>
      </c>
      <c r="E1355" t="s">
        <v>4520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4535</v>
      </c>
      <c r="K1355">
        <v>2843098.8460317501</v>
      </c>
      <c r="L1355">
        <v>0.45</v>
      </c>
      <c r="M1355" t="s">
        <v>4536</v>
      </c>
      <c r="N1355" t="s">
        <v>4537</v>
      </c>
      <c r="O1355" t="s">
        <v>207</v>
      </c>
      <c r="Q1355" t="s">
        <v>207</v>
      </c>
      <c r="R1355" t="s">
        <v>207</v>
      </c>
      <c r="S1355" t="s">
        <v>207</v>
      </c>
      <c r="T1355" t="s">
        <v>207</v>
      </c>
      <c r="U1355" t="s">
        <v>207</v>
      </c>
      <c r="V1355" t="s">
        <v>207</v>
      </c>
      <c r="W1355" t="s">
        <v>207</v>
      </c>
      <c r="X1355" t="s">
        <v>207</v>
      </c>
      <c r="AG1355" t="s">
        <v>4539</v>
      </c>
      <c r="AH1355" t="s">
        <v>4539</v>
      </c>
      <c r="AI1355" t="s">
        <v>4565</v>
      </c>
      <c r="AJ1355" t="s">
        <v>4566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209</v>
      </c>
      <c r="BA1355">
        <v>2872397948.9400001</v>
      </c>
      <c r="BB1355" t="s">
        <v>4572</v>
      </c>
      <c r="BC1355" t="s">
        <v>4592</v>
      </c>
    </row>
    <row r="1356" spans="1:55" x14ac:dyDescent="0.25">
      <c r="A1356">
        <v>1316</v>
      </c>
      <c r="B1356" t="s">
        <v>1527</v>
      </c>
      <c r="C1356" t="s">
        <v>2962</v>
      </c>
      <c r="D1356" t="s">
        <v>4397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203</v>
      </c>
      <c r="K1356">
        <v>30812669.2248688</v>
      </c>
      <c r="L1356">
        <v>0.9</v>
      </c>
      <c r="M1356" t="s">
        <v>4536</v>
      </c>
      <c r="O1356" t="s">
        <v>207</v>
      </c>
      <c r="Q1356" t="s">
        <v>207</v>
      </c>
      <c r="R1356" t="s">
        <v>207</v>
      </c>
      <c r="S1356" t="s">
        <v>207</v>
      </c>
      <c r="T1356" t="s">
        <v>207</v>
      </c>
      <c r="U1356" t="s">
        <v>207</v>
      </c>
      <c r="V1356" t="s">
        <v>207</v>
      </c>
      <c r="W1356" t="s">
        <v>207</v>
      </c>
      <c r="X1356" t="s">
        <v>207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209</v>
      </c>
      <c r="BA1356">
        <v>3003179807.9520001</v>
      </c>
      <c r="BB1356" t="s">
        <v>4572</v>
      </c>
      <c r="BC1356" t="s">
        <v>4536</v>
      </c>
    </row>
    <row r="1357" spans="1:55" x14ac:dyDescent="0.25">
      <c r="A1357">
        <v>707</v>
      </c>
      <c r="B1357" t="s">
        <v>1528</v>
      </c>
      <c r="C1357" t="s">
        <v>2963</v>
      </c>
      <c r="D1357" t="s">
        <v>4398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202</v>
      </c>
      <c r="K1357">
        <v>395671852.73718101</v>
      </c>
      <c r="L1357">
        <v>1</v>
      </c>
      <c r="M1357" t="s">
        <v>4536</v>
      </c>
      <c r="O1357" t="s">
        <v>207</v>
      </c>
      <c r="Q1357" t="s">
        <v>207</v>
      </c>
      <c r="R1357" t="s">
        <v>207</v>
      </c>
      <c r="S1357" t="s">
        <v>207</v>
      </c>
      <c r="T1357" t="s">
        <v>207</v>
      </c>
      <c r="U1357" t="s">
        <v>207</v>
      </c>
      <c r="V1357" t="s">
        <v>207</v>
      </c>
      <c r="W1357" t="s">
        <v>207</v>
      </c>
      <c r="X1357" t="s">
        <v>207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208</v>
      </c>
      <c r="BA1357">
        <v>16770237516.24</v>
      </c>
      <c r="BB1357" t="s">
        <v>4572</v>
      </c>
      <c r="BC1357" t="s">
        <v>4536</v>
      </c>
    </row>
    <row r="1358" spans="1:55" x14ac:dyDescent="0.25">
      <c r="A1358">
        <v>516</v>
      </c>
      <c r="B1358" t="s">
        <v>1529</v>
      </c>
      <c r="C1358" t="s">
        <v>2964</v>
      </c>
      <c r="D1358" t="s">
        <v>4399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202</v>
      </c>
      <c r="K1358">
        <v>149555400.44419399</v>
      </c>
      <c r="L1358">
        <v>1</v>
      </c>
      <c r="M1358" t="s">
        <v>4536</v>
      </c>
      <c r="O1358" t="s">
        <v>207</v>
      </c>
      <c r="Q1358" t="s">
        <v>207</v>
      </c>
      <c r="R1358" t="s">
        <v>207</v>
      </c>
      <c r="S1358" t="s">
        <v>207</v>
      </c>
      <c r="T1358" t="s">
        <v>207</v>
      </c>
      <c r="U1358" t="s">
        <v>207</v>
      </c>
      <c r="V1358" t="s">
        <v>207</v>
      </c>
      <c r="W1358" t="s">
        <v>207</v>
      </c>
      <c r="X1358" t="s">
        <v>207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208</v>
      </c>
      <c r="BA1358">
        <v>25310877019.560001</v>
      </c>
      <c r="BB1358" t="s">
        <v>4572</v>
      </c>
      <c r="BC1358" t="s">
        <v>4536</v>
      </c>
    </row>
    <row r="1359" spans="1:55" x14ac:dyDescent="0.25">
      <c r="A1359">
        <v>716</v>
      </c>
      <c r="B1359" t="s">
        <v>1530</v>
      </c>
      <c r="C1359" t="s">
        <v>2965</v>
      </c>
      <c r="D1359" t="s">
        <v>4400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202</v>
      </c>
      <c r="K1359">
        <v>132953663.007291</v>
      </c>
      <c r="L1359">
        <v>1</v>
      </c>
      <c r="M1359" t="s">
        <v>4536</v>
      </c>
      <c r="O1359" t="s">
        <v>206</v>
      </c>
      <c r="Q1359" t="s">
        <v>207</v>
      </c>
      <c r="R1359" t="s">
        <v>207</v>
      </c>
      <c r="S1359" t="s">
        <v>207</v>
      </c>
      <c r="T1359" t="s">
        <v>207</v>
      </c>
      <c r="U1359" t="s">
        <v>207</v>
      </c>
      <c r="V1359" t="s">
        <v>207</v>
      </c>
      <c r="W1359" t="s">
        <v>207</v>
      </c>
      <c r="X1359" t="s">
        <v>207</v>
      </c>
      <c r="AG1359" t="s">
        <v>4561</v>
      </c>
      <c r="AH1359" t="s">
        <v>4563</v>
      </c>
      <c r="AI1359" t="s">
        <v>4565</v>
      </c>
      <c r="AJ1359" t="s">
        <v>4566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208</v>
      </c>
      <c r="AZ1359" t="s">
        <v>4571</v>
      </c>
      <c r="BA1359">
        <v>16547017152.472799</v>
      </c>
      <c r="BB1359" t="s">
        <v>4572</v>
      </c>
      <c r="BC1359" t="s">
        <v>4588</v>
      </c>
    </row>
    <row r="1360" spans="1:55" x14ac:dyDescent="0.25">
      <c r="A1360">
        <v>192</v>
      </c>
      <c r="B1360" t="s">
        <v>1531</v>
      </c>
      <c r="C1360" t="s">
        <v>2966</v>
      </c>
      <c r="D1360" t="s">
        <v>4401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202</v>
      </c>
      <c r="K1360">
        <v>379621262.40256</v>
      </c>
      <c r="L1360">
        <v>1</v>
      </c>
      <c r="M1360" t="s">
        <v>4536</v>
      </c>
      <c r="O1360" t="s">
        <v>207</v>
      </c>
      <c r="Q1360" t="s">
        <v>207</v>
      </c>
      <c r="R1360" t="s">
        <v>207</v>
      </c>
      <c r="S1360" t="s">
        <v>207</v>
      </c>
      <c r="T1360" t="s">
        <v>207</v>
      </c>
      <c r="U1360" t="s">
        <v>207</v>
      </c>
      <c r="V1360" t="s">
        <v>207</v>
      </c>
      <c r="W1360" t="s">
        <v>207</v>
      </c>
      <c r="X1360" t="s">
        <v>207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208</v>
      </c>
      <c r="AZ1360" t="s">
        <v>4571</v>
      </c>
      <c r="BA1360">
        <v>68438098604.25</v>
      </c>
      <c r="BB1360" t="s">
        <v>4572</v>
      </c>
      <c r="BC1360" t="s">
        <v>4577</v>
      </c>
    </row>
    <row r="1361" spans="1:55" x14ac:dyDescent="0.25">
      <c r="A1361">
        <v>64</v>
      </c>
      <c r="B1361" t="s">
        <v>1532</v>
      </c>
      <c r="C1361" t="s">
        <v>2967</v>
      </c>
      <c r="D1361" t="s">
        <v>4402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202</v>
      </c>
      <c r="K1361">
        <v>1811004865.48471</v>
      </c>
      <c r="L1361">
        <v>1</v>
      </c>
      <c r="M1361" t="s">
        <v>4536</v>
      </c>
      <c r="O1361" t="s">
        <v>206</v>
      </c>
      <c r="Q1361" t="s">
        <v>207</v>
      </c>
      <c r="R1361" t="s">
        <v>207</v>
      </c>
      <c r="S1361" t="s">
        <v>207</v>
      </c>
      <c r="T1361" t="s">
        <v>207</v>
      </c>
      <c r="U1361" t="s">
        <v>207</v>
      </c>
      <c r="V1361" t="s">
        <v>207</v>
      </c>
      <c r="W1361" t="s">
        <v>207</v>
      </c>
      <c r="X1361" t="s">
        <v>207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208</v>
      </c>
      <c r="AZ1361" t="s">
        <v>4571</v>
      </c>
      <c r="BA1361">
        <v>157629752099.13599</v>
      </c>
      <c r="BB1361" t="s">
        <v>4572</v>
      </c>
      <c r="BC1361" t="s">
        <v>4577</v>
      </c>
    </row>
    <row r="1362" spans="1:55" x14ac:dyDescent="0.25">
      <c r="A1362">
        <v>125</v>
      </c>
      <c r="B1362" t="s">
        <v>1533</v>
      </c>
      <c r="C1362" t="s">
        <v>2968</v>
      </c>
      <c r="D1362" t="s">
        <v>4403</v>
      </c>
      <c r="E1362" t="s">
        <v>95</v>
      </c>
      <c r="F1362">
        <v>3462087600</v>
      </c>
      <c r="G1362">
        <v>32.238869999999999</v>
      </c>
      <c r="H1362" t="s">
        <v>103</v>
      </c>
      <c r="I1362">
        <v>111613792065.01199</v>
      </c>
      <c r="J1362" t="s">
        <v>204</v>
      </c>
      <c r="K1362">
        <v>190335590.75150201</v>
      </c>
      <c r="L1362">
        <v>0.85</v>
      </c>
      <c r="M1362" t="s">
        <v>4536</v>
      </c>
      <c r="O1362" t="s">
        <v>206</v>
      </c>
      <c r="Q1362" t="s">
        <v>207</v>
      </c>
      <c r="R1362" t="s">
        <v>207</v>
      </c>
      <c r="S1362" t="s">
        <v>207</v>
      </c>
      <c r="T1362" t="s">
        <v>207</v>
      </c>
      <c r="U1362" t="s">
        <v>207</v>
      </c>
      <c r="V1362" t="s">
        <v>207</v>
      </c>
      <c r="W1362" t="s">
        <v>207</v>
      </c>
      <c r="X1362" t="s">
        <v>207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209</v>
      </c>
      <c r="BA1362">
        <v>94871723255.260193</v>
      </c>
      <c r="BB1362" t="s">
        <v>4572</v>
      </c>
      <c r="BC1362" t="s">
        <v>4536</v>
      </c>
    </row>
    <row r="1363" spans="1:55" x14ac:dyDescent="0.25">
      <c r="A1363">
        <v>551</v>
      </c>
      <c r="B1363" t="s">
        <v>1534</v>
      </c>
      <c r="C1363" t="s">
        <v>2969</v>
      </c>
      <c r="D1363" t="s">
        <v>4404</v>
      </c>
      <c r="E1363" t="s">
        <v>4520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203</v>
      </c>
      <c r="K1363">
        <v>36834331.3722222</v>
      </c>
      <c r="L1363">
        <v>0.65</v>
      </c>
      <c r="M1363" t="s">
        <v>4536</v>
      </c>
      <c r="O1363" t="s">
        <v>207</v>
      </c>
      <c r="Q1363" t="s">
        <v>207</v>
      </c>
      <c r="R1363" t="s">
        <v>207</v>
      </c>
      <c r="S1363" t="s">
        <v>207</v>
      </c>
      <c r="T1363" t="s">
        <v>207</v>
      </c>
      <c r="U1363" t="s">
        <v>207</v>
      </c>
      <c r="V1363" t="s">
        <v>207</v>
      </c>
      <c r="W1363" t="s">
        <v>207</v>
      </c>
      <c r="X1363" t="s">
        <v>207</v>
      </c>
      <c r="AG1363" t="s">
        <v>4546</v>
      </c>
      <c r="AH1363" t="s">
        <v>4562</v>
      </c>
      <c r="AI1363" t="s">
        <v>4565</v>
      </c>
      <c r="AJ1363" t="s">
        <v>4566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209</v>
      </c>
      <c r="BA1363">
        <v>22984733605.860001</v>
      </c>
      <c r="BB1363" t="s">
        <v>4572</v>
      </c>
      <c r="BC1363" t="s">
        <v>4578</v>
      </c>
    </row>
    <row r="1364" spans="1:55" x14ac:dyDescent="0.25">
      <c r="A1364">
        <v>733</v>
      </c>
      <c r="B1364" t="s">
        <v>1535</v>
      </c>
      <c r="C1364" t="s">
        <v>2970</v>
      </c>
      <c r="D1364" t="s">
        <v>4405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202</v>
      </c>
      <c r="K1364">
        <v>375752027.47130698</v>
      </c>
      <c r="L1364">
        <v>1</v>
      </c>
      <c r="M1364" t="s">
        <v>4536</v>
      </c>
      <c r="O1364" t="s">
        <v>207</v>
      </c>
      <c r="Q1364" t="s">
        <v>207</v>
      </c>
      <c r="R1364" t="s">
        <v>207</v>
      </c>
      <c r="S1364" t="s">
        <v>207</v>
      </c>
      <c r="T1364" t="s">
        <v>207</v>
      </c>
      <c r="U1364" t="s">
        <v>207</v>
      </c>
      <c r="V1364" t="s">
        <v>207</v>
      </c>
      <c r="W1364" t="s">
        <v>207</v>
      </c>
      <c r="X1364" t="s">
        <v>207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208</v>
      </c>
      <c r="BA1364">
        <v>16035893292.732</v>
      </c>
      <c r="BB1364" t="s">
        <v>4572</v>
      </c>
      <c r="BC1364" t="s">
        <v>4536</v>
      </c>
    </row>
    <row r="1365" spans="1:55" x14ac:dyDescent="0.25">
      <c r="A1365">
        <v>548</v>
      </c>
      <c r="B1365" t="s">
        <v>1536</v>
      </c>
      <c r="C1365" t="s">
        <v>2971</v>
      </c>
      <c r="D1365" t="s">
        <v>4406</v>
      </c>
      <c r="E1365" t="s">
        <v>96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203</v>
      </c>
      <c r="K1365">
        <v>33560177.086428598</v>
      </c>
      <c r="L1365">
        <v>0.45</v>
      </c>
      <c r="M1365" t="s">
        <v>4536</v>
      </c>
      <c r="O1365" t="s">
        <v>207</v>
      </c>
      <c r="Q1365" t="s">
        <v>207</v>
      </c>
      <c r="R1365" t="s">
        <v>207</v>
      </c>
      <c r="S1365" t="s">
        <v>207</v>
      </c>
      <c r="T1365" t="s">
        <v>207</v>
      </c>
      <c r="U1365" t="s">
        <v>207</v>
      </c>
      <c r="V1365" t="s">
        <v>207</v>
      </c>
      <c r="W1365" t="s">
        <v>207</v>
      </c>
      <c r="X1365" t="s">
        <v>207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209</v>
      </c>
      <c r="BA1365">
        <v>23065406285.139</v>
      </c>
      <c r="BB1365" t="s">
        <v>4572</v>
      </c>
      <c r="BC1365" t="s">
        <v>4536</v>
      </c>
    </row>
    <row r="1366" spans="1:55" x14ac:dyDescent="0.25">
      <c r="A1366">
        <v>846</v>
      </c>
      <c r="B1366" t="s">
        <v>1537</v>
      </c>
      <c r="C1366" t="s">
        <v>2972</v>
      </c>
      <c r="D1366" t="s">
        <v>4407</v>
      </c>
      <c r="E1366" t="s">
        <v>93</v>
      </c>
      <c r="F1366">
        <v>1862502900</v>
      </c>
      <c r="G1366">
        <v>7.1371479999999998</v>
      </c>
      <c r="H1366" t="s">
        <v>101</v>
      </c>
      <c r="I1366">
        <v>13292958847.7292</v>
      </c>
      <c r="J1366" t="s">
        <v>205</v>
      </c>
      <c r="K1366">
        <v>34495201.505792499</v>
      </c>
      <c r="L1366">
        <v>0.7</v>
      </c>
      <c r="M1366" t="s">
        <v>4536</v>
      </c>
      <c r="O1366" t="s">
        <v>207</v>
      </c>
      <c r="Q1366" t="s">
        <v>207</v>
      </c>
      <c r="R1366" t="s">
        <v>207</v>
      </c>
      <c r="S1366" t="s">
        <v>207</v>
      </c>
      <c r="T1366" t="s">
        <v>207</v>
      </c>
      <c r="U1366" t="s">
        <v>207</v>
      </c>
      <c r="V1366" t="s">
        <v>207</v>
      </c>
      <c r="W1366" t="s">
        <v>207</v>
      </c>
      <c r="X1366" t="s">
        <v>207</v>
      </c>
      <c r="AG1366" t="s">
        <v>4546</v>
      </c>
      <c r="AH1366" t="s">
        <v>4564</v>
      </c>
      <c r="AI1366" t="s">
        <v>4565</v>
      </c>
      <c r="AJ1366" t="s">
        <v>4566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210</v>
      </c>
      <c r="BA1366">
        <v>9305071193.4104404</v>
      </c>
      <c r="BB1366" t="s">
        <v>4572</v>
      </c>
      <c r="BC1366" t="s">
        <v>4578</v>
      </c>
    </row>
    <row r="1367" spans="1:55" x14ac:dyDescent="0.25">
      <c r="A1367">
        <v>169</v>
      </c>
      <c r="B1367" t="s">
        <v>1538</v>
      </c>
      <c r="C1367" t="s">
        <v>2973</v>
      </c>
      <c r="D1367" t="s">
        <v>4408</v>
      </c>
      <c r="E1367" t="s">
        <v>4517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203</v>
      </c>
      <c r="K1367">
        <v>328954382.36553299</v>
      </c>
      <c r="L1367">
        <v>1</v>
      </c>
      <c r="M1367" t="s">
        <v>4536</v>
      </c>
      <c r="O1367" t="s">
        <v>207</v>
      </c>
      <c r="Q1367" t="s">
        <v>207</v>
      </c>
      <c r="R1367" t="s">
        <v>207</v>
      </c>
      <c r="S1367" t="s">
        <v>207</v>
      </c>
      <c r="T1367" t="s">
        <v>207</v>
      </c>
      <c r="U1367" t="s">
        <v>207</v>
      </c>
      <c r="V1367" t="s">
        <v>207</v>
      </c>
      <c r="W1367" t="s">
        <v>207</v>
      </c>
      <c r="X1367" t="s">
        <v>207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209</v>
      </c>
      <c r="BA1367">
        <v>74433508285.159988</v>
      </c>
      <c r="BB1367" t="s">
        <v>4572</v>
      </c>
      <c r="BC1367" t="s">
        <v>4536</v>
      </c>
    </row>
    <row r="1368" spans="1:55" x14ac:dyDescent="0.25">
      <c r="A1368">
        <v>82</v>
      </c>
      <c r="B1368" t="s">
        <v>1539</v>
      </c>
      <c r="C1368" t="s">
        <v>2974</v>
      </c>
      <c r="D1368" t="s">
        <v>4409</v>
      </c>
      <c r="E1368" t="s">
        <v>96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203</v>
      </c>
      <c r="K1368">
        <v>67116423.676190495</v>
      </c>
      <c r="L1368">
        <v>1</v>
      </c>
      <c r="M1368" t="s">
        <v>4536</v>
      </c>
      <c r="O1368" t="s">
        <v>207</v>
      </c>
      <c r="Q1368" t="s">
        <v>207</v>
      </c>
      <c r="R1368" t="s">
        <v>207</v>
      </c>
      <c r="S1368" t="s">
        <v>207</v>
      </c>
      <c r="T1368" t="s">
        <v>207</v>
      </c>
      <c r="U1368" t="s">
        <v>207</v>
      </c>
      <c r="V1368" t="s">
        <v>207</v>
      </c>
      <c r="W1368" t="s">
        <v>207</v>
      </c>
      <c r="X1368" t="s">
        <v>207</v>
      </c>
      <c r="AG1368" t="s">
        <v>4546</v>
      </c>
      <c r="AH1368" t="s">
        <v>4564</v>
      </c>
      <c r="AI1368" t="s">
        <v>4565</v>
      </c>
      <c r="AJ1368" t="s">
        <v>4566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209</v>
      </c>
      <c r="BA1368">
        <v>140591743047.60001</v>
      </c>
      <c r="BB1368" t="s">
        <v>4572</v>
      </c>
      <c r="BC1368" t="s">
        <v>4578</v>
      </c>
    </row>
    <row r="1369" spans="1:55" x14ac:dyDescent="0.25">
      <c r="A1369">
        <v>79</v>
      </c>
      <c r="B1369" t="s">
        <v>1540</v>
      </c>
      <c r="C1369" t="s">
        <v>2975</v>
      </c>
      <c r="D1369" t="s">
        <v>4410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202</v>
      </c>
      <c r="K1369">
        <v>618567056.83675897</v>
      </c>
      <c r="L1369">
        <v>1</v>
      </c>
      <c r="M1369" t="s">
        <v>4536</v>
      </c>
      <c r="O1369" t="s">
        <v>207</v>
      </c>
      <c r="Q1369" t="s">
        <v>207</v>
      </c>
      <c r="R1369" t="s">
        <v>207</v>
      </c>
      <c r="S1369" t="s">
        <v>207</v>
      </c>
      <c r="T1369" t="s">
        <v>207</v>
      </c>
      <c r="U1369" t="s">
        <v>207</v>
      </c>
      <c r="V1369" t="s">
        <v>207</v>
      </c>
      <c r="W1369" t="s">
        <v>207</v>
      </c>
      <c r="X1369" t="s">
        <v>206</v>
      </c>
      <c r="AF1369" t="s">
        <v>4545</v>
      </c>
      <c r="AK1369">
        <v>0.1</v>
      </c>
      <c r="AL1369">
        <v>0.2</v>
      </c>
      <c r="AM1369">
        <v>0</v>
      </c>
      <c r="AN1369" t="s">
        <v>4567</v>
      </c>
      <c r="AO1369" t="s">
        <v>4568</v>
      </c>
      <c r="AQ1369">
        <v>0</v>
      </c>
      <c r="AR1369">
        <v>0</v>
      </c>
      <c r="AW1369">
        <v>5020</v>
      </c>
      <c r="AX1369">
        <v>2.0550000000000002</v>
      </c>
      <c r="AY1369" t="s">
        <v>208</v>
      </c>
      <c r="BA1369">
        <v>143214693772.23001</v>
      </c>
      <c r="BB1369" t="s">
        <v>4572</v>
      </c>
      <c r="BC1369" t="s">
        <v>4661</v>
      </c>
    </row>
    <row r="1370" spans="1:55" x14ac:dyDescent="0.25">
      <c r="A1370">
        <v>1051</v>
      </c>
      <c r="B1370" t="s">
        <v>1541</v>
      </c>
      <c r="C1370" t="s">
        <v>2976</v>
      </c>
      <c r="D1370" t="s">
        <v>4411</v>
      </c>
      <c r="E1370" t="s">
        <v>4517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203</v>
      </c>
      <c r="K1370">
        <v>33150047.318852499</v>
      </c>
      <c r="L1370">
        <v>0.55000000000000004</v>
      </c>
      <c r="M1370" t="s">
        <v>4536</v>
      </c>
      <c r="O1370" t="s">
        <v>207</v>
      </c>
      <c r="Q1370" t="s">
        <v>207</v>
      </c>
      <c r="R1370" t="s">
        <v>207</v>
      </c>
      <c r="S1370" t="s">
        <v>207</v>
      </c>
      <c r="T1370" t="s">
        <v>207</v>
      </c>
      <c r="U1370" t="s">
        <v>207</v>
      </c>
      <c r="V1370" t="s">
        <v>207</v>
      </c>
      <c r="W1370" t="s">
        <v>207</v>
      </c>
      <c r="X1370" t="s">
        <v>207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209</v>
      </c>
      <c r="BA1370">
        <v>5449570030.0139999</v>
      </c>
      <c r="BB1370" t="s">
        <v>4572</v>
      </c>
      <c r="BC1370" t="s">
        <v>4536</v>
      </c>
    </row>
    <row r="1371" spans="1:55" x14ac:dyDescent="0.25">
      <c r="A1371">
        <v>1387</v>
      </c>
      <c r="B1371" t="s">
        <v>1542</v>
      </c>
      <c r="C1371" t="s">
        <v>2977</v>
      </c>
      <c r="D1371" t="s">
        <v>4412</v>
      </c>
      <c r="E1371" t="s">
        <v>4524</v>
      </c>
      <c r="F1371">
        <v>309000000</v>
      </c>
      <c r="G1371">
        <v>8.5</v>
      </c>
      <c r="H1371" t="s">
        <v>99</v>
      </c>
      <c r="I1371">
        <v>2626500000</v>
      </c>
      <c r="J1371" t="s">
        <v>4535</v>
      </c>
      <c r="K1371">
        <v>1356610.5313114801</v>
      </c>
      <c r="L1371">
        <v>1</v>
      </c>
      <c r="M1371" t="s">
        <v>4536</v>
      </c>
      <c r="N1371" t="s">
        <v>4537</v>
      </c>
      <c r="O1371" t="s">
        <v>207</v>
      </c>
      <c r="Q1371" t="s">
        <v>207</v>
      </c>
      <c r="R1371" t="s">
        <v>207</v>
      </c>
      <c r="S1371" t="s">
        <v>207</v>
      </c>
      <c r="T1371" t="s">
        <v>207</v>
      </c>
      <c r="U1371" t="s">
        <v>207</v>
      </c>
      <c r="V1371" t="s">
        <v>207</v>
      </c>
      <c r="W1371" t="s">
        <v>207</v>
      </c>
      <c r="X1371" t="s">
        <v>207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209</v>
      </c>
      <c r="AZ1371" t="s">
        <v>4571</v>
      </c>
      <c r="BA1371">
        <v>2626500000</v>
      </c>
      <c r="BB1371" t="s">
        <v>4572</v>
      </c>
      <c r="BC1371" t="s">
        <v>4584</v>
      </c>
    </row>
    <row r="1372" spans="1:55" x14ac:dyDescent="0.25">
      <c r="A1372">
        <v>1102</v>
      </c>
      <c r="B1372" t="s">
        <v>1543</v>
      </c>
      <c r="C1372" t="s">
        <v>2978</v>
      </c>
      <c r="D1372" t="s">
        <v>4413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204</v>
      </c>
      <c r="K1372">
        <v>7898997.63288505</v>
      </c>
      <c r="L1372">
        <v>0.9</v>
      </c>
      <c r="M1372" t="s">
        <v>4536</v>
      </c>
      <c r="N1372" t="s">
        <v>4537</v>
      </c>
      <c r="O1372" t="s">
        <v>207</v>
      </c>
      <c r="Q1372" t="s">
        <v>207</v>
      </c>
      <c r="R1372" t="s">
        <v>207</v>
      </c>
      <c r="S1372" t="s">
        <v>207</v>
      </c>
      <c r="T1372" t="s">
        <v>207</v>
      </c>
      <c r="U1372" t="s">
        <v>207</v>
      </c>
      <c r="V1372" t="s">
        <v>207</v>
      </c>
      <c r="W1372" t="s">
        <v>207</v>
      </c>
      <c r="X1372" t="s">
        <v>207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209</v>
      </c>
      <c r="AZ1372" t="s">
        <v>4571</v>
      </c>
      <c r="BA1372">
        <v>4576396010.9011202</v>
      </c>
      <c r="BB1372" t="s">
        <v>4572</v>
      </c>
      <c r="BC1372" t="s">
        <v>4584</v>
      </c>
    </row>
    <row r="1373" spans="1:55" x14ac:dyDescent="0.25">
      <c r="A1373">
        <v>448</v>
      </c>
      <c r="B1373" t="s">
        <v>1544</v>
      </c>
      <c r="C1373" t="s">
        <v>2979</v>
      </c>
      <c r="D1373" t="s">
        <v>4414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202</v>
      </c>
      <c r="K1373">
        <v>564074638.60260403</v>
      </c>
      <c r="L1373">
        <v>1</v>
      </c>
      <c r="M1373" t="s">
        <v>4536</v>
      </c>
      <c r="O1373" t="s">
        <v>207</v>
      </c>
      <c r="Q1373" t="s">
        <v>207</v>
      </c>
      <c r="R1373" t="s">
        <v>207</v>
      </c>
      <c r="S1373" t="s">
        <v>207</v>
      </c>
      <c r="T1373" t="s">
        <v>207</v>
      </c>
      <c r="U1373" t="s">
        <v>207</v>
      </c>
      <c r="V1373" t="s">
        <v>207</v>
      </c>
      <c r="W1373" t="s">
        <v>207</v>
      </c>
      <c r="X1373" t="s">
        <v>207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208</v>
      </c>
      <c r="BA1373">
        <v>30163471455.192001</v>
      </c>
      <c r="BB1373" t="s">
        <v>4572</v>
      </c>
      <c r="BC1373" t="s">
        <v>4536</v>
      </c>
    </row>
    <row r="1374" spans="1:55" x14ac:dyDescent="0.25">
      <c r="A1374">
        <v>16</v>
      </c>
      <c r="B1374" t="s">
        <v>1545</v>
      </c>
      <c r="C1374" t="s">
        <v>2980</v>
      </c>
      <c r="D1374" t="s">
        <v>4415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202</v>
      </c>
      <c r="K1374">
        <v>2709309096.8117399</v>
      </c>
      <c r="L1374">
        <v>1</v>
      </c>
      <c r="M1374" t="s">
        <v>4536</v>
      </c>
      <c r="O1374" t="s">
        <v>207</v>
      </c>
      <c r="Q1374" t="s">
        <v>207</v>
      </c>
      <c r="R1374" t="s">
        <v>207</v>
      </c>
      <c r="S1374" t="s">
        <v>207</v>
      </c>
      <c r="T1374" t="s">
        <v>207</v>
      </c>
      <c r="U1374" t="s">
        <v>207</v>
      </c>
      <c r="V1374" t="s">
        <v>207</v>
      </c>
      <c r="W1374" t="s">
        <v>207</v>
      </c>
      <c r="X1374" t="s">
        <v>207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208</v>
      </c>
      <c r="BA1374">
        <v>410558639109.74011</v>
      </c>
      <c r="BB1374" t="s">
        <v>4572</v>
      </c>
      <c r="BC1374" t="s">
        <v>4536</v>
      </c>
    </row>
    <row r="1375" spans="1:55" x14ac:dyDescent="0.25">
      <c r="A1375">
        <v>359</v>
      </c>
      <c r="B1375" t="s">
        <v>1546</v>
      </c>
      <c r="C1375" t="s">
        <v>2981</v>
      </c>
      <c r="D1375" t="s">
        <v>4416</v>
      </c>
      <c r="E1375" t="s">
        <v>4527</v>
      </c>
      <c r="F1375">
        <v>1685923300</v>
      </c>
      <c r="G1375">
        <v>27.469100000000001</v>
      </c>
      <c r="H1375" t="s">
        <v>4534</v>
      </c>
      <c r="I1375">
        <v>46310795720.029999</v>
      </c>
      <c r="J1375" t="s">
        <v>205</v>
      </c>
      <c r="K1375">
        <v>58507284.4253373</v>
      </c>
      <c r="L1375">
        <v>0.85</v>
      </c>
      <c r="M1375" t="s">
        <v>4536</v>
      </c>
      <c r="O1375" t="s">
        <v>207</v>
      </c>
      <c r="Q1375" t="s">
        <v>207</v>
      </c>
      <c r="R1375" t="s">
        <v>207</v>
      </c>
      <c r="S1375" t="s">
        <v>207</v>
      </c>
      <c r="T1375" t="s">
        <v>207</v>
      </c>
      <c r="U1375" t="s">
        <v>207</v>
      </c>
      <c r="V1375" t="s">
        <v>207</v>
      </c>
      <c r="W1375" t="s">
        <v>207</v>
      </c>
      <c r="X1375" t="s">
        <v>207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210</v>
      </c>
      <c r="BA1375">
        <v>39364176362.025497</v>
      </c>
      <c r="BB1375" t="s">
        <v>4572</v>
      </c>
      <c r="BC1375" t="s">
        <v>4536</v>
      </c>
    </row>
    <row r="1376" spans="1:55" x14ac:dyDescent="0.25">
      <c r="A1376">
        <v>340</v>
      </c>
      <c r="B1376" t="s">
        <v>1547</v>
      </c>
      <c r="C1376" t="s">
        <v>2982</v>
      </c>
      <c r="D1376" t="s">
        <v>4417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202</v>
      </c>
      <c r="K1376">
        <v>431330685.382842</v>
      </c>
      <c r="L1376">
        <v>1</v>
      </c>
      <c r="M1376" t="s">
        <v>4536</v>
      </c>
      <c r="O1376" t="s">
        <v>207</v>
      </c>
      <c r="Q1376" t="s">
        <v>207</v>
      </c>
      <c r="R1376" t="s">
        <v>207</v>
      </c>
      <c r="S1376" t="s">
        <v>207</v>
      </c>
      <c r="T1376" t="s">
        <v>207</v>
      </c>
      <c r="U1376" t="s">
        <v>207</v>
      </c>
      <c r="V1376" t="s">
        <v>207</v>
      </c>
      <c r="W1376" t="s">
        <v>207</v>
      </c>
      <c r="X1376" t="s">
        <v>207</v>
      </c>
      <c r="AK1376">
        <v>0</v>
      </c>
      <c r="AL1376">
        <v>0.05</v>
      </c>
      <c r="AM1376">
        <v>0</v>
      </c>
      <c r="AO1376" t="s">
        <v>4568</v>
      </c>
      <c r="AQ1376">
        <v>0</v>
      </c>
      <c r="AR1376">
        <v>0</v>
      </c>
      <c r="AW1376">
        <v>5020</v>
      </c>
      <c r="AX1376">
        <v>2.0779999999999998</v>
      </c>
      <c r="AY1376" t="s">
        <v>208</v>
      </c>
      <c r="BA1376">
        <v>41057581102.080002</v>
      </c>
      <c r="BB1376" t="s">
        <v>4572</v>
      </c>
      <c r="BC1376" t="s">
        <v>4582</v>
      </c>
    </row>
    <row r="1377" spans="1:55" x14ac:dyDescent="0.25">
      <c r="A1377">
        <v>1378</v>
      </c>
      <c r="B1377" t="s">
        <v>1548</v>
      </c>
      <c r="C1377" t="s">
        <v>2983</v>
      </c>
      <c r="D1377" t="s">
        <v>4418</v>
      </c>
      <c r="E1377" t="s">
        <v>93</v>
      </c>
      <c r="F1377">
        <v>3098591</v>
      </c>
      <c r="G1377">
        <v>959.29409999999996</v>
      </c>
      <c r="H1377" t="s">
        <v>101</v>
      </c>
      <c r="I1377">
        <v>2972460064.6131001</v>
      </c>
      <c r="J1377" t="s">
        <v>205</v>
      </c>
      <c r="K1377">
        <v>7556228.7307478404</v>
      </c>
      <c r="L1377">
        <v>0.9</v>
      </c>
      <c r="M1377" t="s">
        <v>4536</v>
      </c>
      <c r="N1377" t="s">
        <v>4537</v>
      </c>
      <c r="O1377" t="s">
        <v>207</v>
      </c>
      <c r="Q1377" t="s">
        <v>207</v>
      </c>
      <c r="R1377" t="s">
        <v>207</v>
      </c>
      <c r="S1377" t="s">
        <v>207</v>
      </c>
      <c r="T1377" t="s">
        <v>207</v>
      </c>
      <c r="U1377" t="s">
        <v>207</v>
      </c>
      <c r="V1377" t="s">
        <v>207</v>
      </c>
      <c r="W1377" t="s">
        <v>207</v>
      </c>
      <c r="X1377" t="s">
        <v>207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210</v>
      </c>
      <c r="BA1377">
        <v>2675214058.1517901</v>
      </c>
      <c r="BB1377" t="s">
        <v>4572</v>
      </c>
      <c r="BC1377" t="s">
        <v>4575</v>
      </c>
    </row>
    <row r="1378" spans="1:55" x14ac:dyDescent="0.25">
      <c r="A1378">
        <v>902</v>
      </c>
      <c r="B1378" t="s">
        <v>1549</v>
      </c>
      <c r="C1378" t="s">
        <v>2984</v>
      </c>
      <c r="D1378" t="s">
        <v>4419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204</v>
      </c>
      <c r="K1378">
        <v>15580051.4032885</v>
      </c>
      <c r="L1378">
        <v>1</v>
      </c>
      <c r="M1378" t="s">
        <v>4536</v>
      </c>
      <c r="O1378" t="s">
        <v>207</v>
      </c>
      <c r="Q1378" t="s">
        <v>207</v>
      </c>
      <c r="R1378" t="s">
        <v>207</v>
      </c>
      <c r="S1378" t="s">
        <v>207</v>
      </c>
      <c r="T1378" t="s">
        <v>207</v>
      </c>
      <c r="U1378" t="s">
        <v>207</v>
      </c>
      <c r="V1378" t="s">
        <v>207</v>
      </c>
      <c r="W1378" t="s">
        <v>207</v>
      </c>
      <c r="X1378" t="s">
        <v>207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209</v>
      </c>
      <c r="BA1378">
        <v>7925438857.7520008</v>
      </c>
      <c r="BB1378" t="s">
        <v>4572</v>
      </c>
      <c r="BC1378" t="s">
        <v>4536</v>
      </c>
    </row>
    <row r="1379" spans="1:55" x14ac:dyDescent="0.25">
      <c r="A1379">
        <v>743</v>
      </c>
      <c r="B1379" t="s">
        <v>1550</v>
      </c>
      <c r="C1379" t="s">
        <v>2985</v>
      </c>
      <c r="D1379" t="s">
        <v>4420</v>
      </c>
      <c r="E1379" t="s">
        <v>4528</v>
      </c>
      <c r="F1379">
        <v>533735700</v>
      </c>
      <c r="G1379">
        <v>29.2</v>
      </c>
      <c r="H1379" t="s">
        <v>99</v>
      </c>
      <c r="I1379">
        <v>15585082440</v>
      </c>
      <c r="J1379" t="s">
        <v>203</v>
      </c>
      <c r="K1379">
        <v>33824524.715084702</v>
      </c>
      <c r="L1379">
        <v>1</v>
      </c>
      <c r="M1379" t="s">
        <v>4536</v>
      </c>
      <c r="O1379" t="s">
        <v>207</v>
      </c>
      <c r="Q1379" t="s">
        <v>207</v>
      </c>
      <c r="R1379" t="s">
        <v>207</v>
      </c>
      <c r="S1379" t="s">
        <v>207</v>
      </c>
      <c r="T1379" t="s">
        <v>207</v>
      </c>
      <c r="U1379" t="s">
        <v>207</v>
      </c>
      <c r="V1379" t="s">
        <v>207</v>
      </c>
      <c r="W1379" t="s">
        <v>207</v>
      </c>
      <c r="X1379" t="s">
        <v>207</v>
      </c>
      <c r="AL1379">
        <v>2E-3</v>
      </c>
      <c r="AM1379">
        <v>2.9999999999999997E-4</v>
      </c>
      <c r="AO1379" t="s">
        <v>4568</v>
      </c>
      <c r="AP1379" t="s">
        <v>4569</v>
      </c>
      <c r="AQ1379">
        <v>0</v>
      </c>
      <c r="AR1379">
        <v>0</v>
      </c>
      <c r="AW1379">
        <v>5510</v>
      </c>
      <c r="AX1379">
        <v>2.7229999999999999</v>
      </c>
      <c r="AY1379" t="s">
        <v>209</v>
      </c>
      <c r="BA1379">
        <v>15585082440</v>
      </c>
      <c r="BB1379" t="s">
        <v>4572</v>
      </c>
      <c r="BC1379" t="s">
        <v>4595</v>
      </c>
    </row>
    <row r="1380" spans="1:55" x14ac:dyDescent="0.25">
      <c r="A1380">
        <v>152</v>
      </c>
      <c r="B1380" t="s">
        <v>1551</v>
      </c>
      <c r="C1380" t="s">
        <v>2986</v>
      </c>
      <c r="D1380" t="s">
        <v>4421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202</v>
      </c>
      <c r="K1380">
        <v>673273276.43208396</v>
      </c>
      <c r="L1380">
        <v>1</v>
      </c>
      <c r="O1380" t="s">
        <v>206</v>
      </c>
      <c r="Q1380" t="s">
        <v>207</v>
      </c>
      <c r="R1380" t="s">
        <v>207</v>
      </c>
      <c r="S1380" t="s">
        <v>207</v>
      </c>
      <c r="T1380" t="s">
        <v>207</v>
      </c>
      <c r="U1380" t="s">
        <v>207</v>
      </c>
      <c r="V1380" t="s">
        <v>207</v>
      </c>
      <c r="W1380" t="s">
        <v>207</v>
      </c>
      <c r="X1380" t="s">
        <v>207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208</v>
      </c>
      <c r="AZ1380" t="s">
        <v>4571</v>
      </c>
      <c r="BA1380">
        <v>82323760066.740005</v>
      </c>
      <c r="BB1380" t="s">
        <v>4572</v>
      </c>
      <c r="BC1380" t="s">
        <v>4571</v>
      </c>
    </row>
    <row r="1381" spans="1:55" x14ac:dyDescent="0.25">
      <c r="A1381">
        <v>1197</v>
      </c>
      <c r="B1381" t="s">
        <v>1552</v>
      </c>
      <c r="C1381" t="s">
        <v>2987</v>
      </c>
      <c r="D1381" t="s">
        <v>4422</v>
      </c>
      <c r="E1381" t="s">
        <v>93</v>
      </c>
      <c r="F1381">
        <v>514000000</v>
      </c>
      <c r="G1381">
        <v>8.9470159999999996</v>
      </c>
      <c r="H1381" t="s">
        <v>101</v>
      </c>
      <c r="I1381">
        <v>4598766224</v>
      </c>
      <c r="J1381" t="s">
        <v>205</v>
      </c>
      <c r="K1381">
        <v>8889166.1313737705</v>
      </c>
      <c r="L1381">
        <v>0.8</v>
      </c>
      <c r="M1381" t="s">
        <v>4536</v>
      </c>
      <c r="N1381" t="s">
        <v>4537</v>
      </c>
      <c r="O1381" t="s">
        <v>207</v>
      </c>
      <c r="Q1381" t="s">
        <v>207</v>
      </c>
      <c r="R1381" t="s">
        <v>207</v>
      </c>
      <c r="S1381" t="s">
        <v>207</v>
      </c>
      <c r="T1381" t="s">
        <v>207</v>
      </c>
      <c r="U1381" t="s">
        <v>207</v>
      </c>
      <c r="V1381" t="s">
        <v>207</v>
      </c>
      <c r="W1381" t="s">
        <v>207</v>
      </c>
      <c r="X1381" t="s">
        <v>207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210</v>
      </c>
      <c r="BA1381">
        <v>3679012979.1999998</v>
      </c>
      <c r="BB1381" t="s">
        <v>4572</v>
      </c>
      <c r="BC1381" t="s">
        <v>4575</v>
      </c>
    </row>
    <row r="1382" spans="1:55" x14ac:dyDescent="0.25">
      <c r="A1382">
        <v>342</v>
      </c>
      <c r="B1382" t="s">
        <v>1553</v>
      </c>
      <c r="C1382" t="s">
        <v>2988</v>
      </c>
      <c r="D1382" t="s">
        <v>4423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202</v>
      </c>
      <c r="K1382">
        <v>381584373.67013901</v>
      </c>
      <c r="L1382">
        <v>1</v>
      </c>
      <c r="M1382" t="s">
        <v>4536</v>
      </c>
      <c r="O1382" t="s">
        <v>207</v>
      </c>
      <c r="Q1382" t="s">
        <v>207</v>
      </c>
      <c r="R1382" t="s">
        <v>207</v>
      </c>
      <c r="S1382" t="s">
        <v>207</v>
      </c>
      <c r="T1382" t="s">
        <v>207</v>
      </c>
      <c r="U1382" t="s">
        <v>207</v>
      </c>
      <c r="V1382" t="s">
        <v>207</v>
      </c>
      <c r="W1382" t="s">
        <v>207</v>
      </c>
      <c r="X1382" t="s">
        <v>207</v>
      </c>
      <c r="AK1382">
        <v>0</v>
      </c>
      <c r="AL1382">
        <v>0.94299999999999995</v>
      </c>
      <c r="AM1382">
        <v>0</v>
      </c>
      <c r="AO1382" t="s">
        <v>4568</v>
      </c>
      <c r="AQ1382">
        <v>0</v>
      </c>
      <c r="AR1382">
        <v>0</v>
      </c>
      <c r="AW1382">
        <v>6010</v>
      </c>
      <c r="AX1382">
        <v>2.5430000000000001</v>
      </c>
      <c r="AY1382" t="s">
        <v>208</v>
      </c>
      <c r="BA1382">
        <v>40800271048.764</v>
      </c>
      <c r="BB1382" t="s">
        <v>4572</v>
      </c>
      <c r="BC1382" t="s">
        <v>4582</v>
      </c>
    </row>
    <row r="1383" spans="1:55" x14ac:dyDescent="0.25">
      <c r="A1383">
        <v>1162</v>
      </c>
      <c r="B1383" t="s">
        <v>1554</v>
      </c>
      <c r="C1383" t="s">
        <v>2989</v>
      </c>
      <c r="D1383" t="s">
        <v>4424</v>
      </c>
      <c r="E1383" t="s">
        <v>4528</v>
      </c>
      <c r="F1383">
        <v>184529600</v>
      </c>
      <c r="G1383">
        <v>27.3</v>
      </c>
      <c r="H1383" t="s">
        <v>99</v>
      </c>
      <c r="I1383">
        <v>5037658080</v>
      </c>
      <c r="J1383" t="s">
        <v>203</v>
      </c>
      <c r="K1383">
        <v>10486717.3045763</v>
      </c>
      <c r="L1383">
        <v>0.8</v>
      </c>
      <c r="O1383" t="s">
        <v>207</v>
      </c>
      <c r="Q1383" t="s">
        <v>207</v>
      </c>
      <c r="R1383" t="s">
        <v>207</v>
      </c>
      <c r="S1383" t="s">
        <v>207</v>
      </c>
      <c r="T1383" t="s">
        <v>207</v>
      </c>
      <c r="U1383" t="s">
        <v>207</v>
      </c>
      <c r="V1383" t="s">
        <v>207</v>
      </c>
      <c r="W1383" t="s">
        <v>207</v>
      </c>
      <c r="X1383" t="s">
        <v>207</v>
      </c>
      <c r="AK1383">
        <v>0</v>
      </c>
      <c r="AL1383">
        <v>0.05</v>
      </c>
      <c r="AM1383">
        <v>0</v>
      </c>
      <c r="AO1383" t="s">
        <v>4568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209</v>
      </c>
      <c r="BA1383">
        <v>4030126464</v>
      </c>
      <c r="BB1383" t="s">
        <v>4572</v>
      </c>
      <c r="BC1383" t="s">
        <v>4568</v>
      </c>
    </row>
    <row r="1384" spans="1:55" x14ac:dyDescent="0.25">
      <c r="A1384">
        <v>818</v>
      </c>
      <c r="B1384" t="s">
        <v>1555</v>
      </c>
      <c r="C1384" t="s">
        <v>2990</v>
      </c>
      <c r="D1384" t="s">
        <v>4425</v>
      </c>
      <c r="E1384" t="s">
        <v>95</v>
      </c>
      <c r="F1384">
        <v>30000000</v>
      </c>
      <c r="G1384">
        <v>389.80110000000002</v>
      </c>
      <c r="H1384" t="s">
        <v>103</v>
      </c>
      <c r="I1384">
        <v>11694033000</v>
      </c>
      <c r="J1384" t="s">
        <v>204</v>
      </c>
      <c r="K1384">
        <v>34521108.4792215</v>
      </c>
      <c r="L1384">
        <v>0.9</v>
      </c>
      <c r="M1384" t="s">
        <v>4536</v>
      </c>
      <c r="O1384" t="s">
        <v>207</v>
      </c>
      <c r="Q1384" t="s">
        <v>207</v>
      </c>
      <c r="R1384" t="s">
        <v>207</v>
      </c>
      <c r="S1384" t="s">
        <v>207</v>
      </c>
      <c r="T1384" t="s">
        <v>207</v>
      </c>
      <c r="U1384" t="s">
        <v>207</v>
      </c>
      <c r="V1384" t="s">
        <v>207</v>
      </c>
      <c r="W1384" t="s">
        <v>207</v>
      </c>
      <c r="X1384" t="s">
        <v>207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209</v>
      </c>
      <c r="BA1384">
        <v>10524629700</v>
      </c>
      <c r="BB1384" t="s">
        <v>4572</v>
      </c>
      <c r="BC1384" t="s">
        <v>4536</v>
      </c>
    </row>
    <row r="1385" spans="1:55" x14ac:dyDescent="0.25">
      <c r="A1385">
        <v>427</v>
      </c>
      <c r="B1385" t="s">
        <v>1556</v>
      </c>
      <c r="C1385" t="s">
        <v>2991</v>
      </c>
      <c r="D1385" t="s">
        <v>4426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202</v>
      </c>
      <c r="K1385">
        <v>247245597.40785801</v>
      </c>
      <c r="L1385">
        <v>0.9</v>
      </c>
      <c r="M1385" t="s">
        <v>4536</v>
      </c>
      <c r="O1385" t="s">
        <v>207</v>
      </c>
      <c r="Q1385" t="s">
        <v>207</v>
      </c>
      <c r="R1385" t="s">
        <v>207</v>
      </c>
      <c r="S1385" t="s">
        <v>207</v>
      </c>
      <c r="T1385" t="s">
        <v>207</v>
      </c>
      <c r="U1385" t="s">
        <v>207</v>
      </c>
      <c r="V1385" t="s">
        <v>207</v>
      </c>
      <c r="W1385" t="s">
        <v>207</v>
      </c>
      <c r="X1385" t="s">
        <v>207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208</v>
      </c>
      <c r="AZ1385" t="s">
        <v>4571</v>
      </c>
      <c r="BA1385">
        <v>31555591386.206409</v>
      </c>
      <c r="BB1385" t="s">
        <v>4572</v>
      </c>
      <c r="BC1385" t="s">
        <v>4577</v>
      </c>
    </row>
    <row r="1386" spans="1:55" x14ac:dyDescent="0.25">
      <c r="A1386">
        <v>477</v>
      </c>
      <c r="B1386" t="s">
        <v>1557</v>
      </c>
      <c r="C1386" t="s">
        <v>2992</v>
      </c>
      <c r="D1386" t="s">
        <v>4427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202</v>
      </c>
      <c r="K1386">
        <v>158073685.79768801</v>
      </c>
      <c r="L1386">
        <v>1</v>
      </c>
      <c r="M1386" t="s">
        <v>4536</v>
      </c>
      <c r="O1386" t="s">
        <v>207</v>
      </c>
      <c r="Q1386" t="s">
        <v>207</v>
      </c>
      <c r="R1386" t="s">
        <v>207</v>
      </c>
      <c r="S1386" t="s">
        <v>207</v>
      </c>
      <c r="T1386" t="s">
        <v>207</v>
      </c>
      <c r="U1386" t="s">
        <v>207</v>
      </c>
      <c r="V1386" t="s">
        <v>207</v>
      </c>
      <c r="W1386" t="s">
        <v>207</v>
      </c>
      <c r="X1386" t="s">
        <v>207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208</v>
      </c>
      <c r="AZ1386" t="s">
        <v>4571</v>
      </c>
      <c r="BA1386">
        <v>27629087095.3158</v>
      </c>
      <c r="BB1386" t="s">
        <v>4572</v>
      </c>
      <c r="BC1386" t="s">
        <v>4577</v>
      </c>
    </row>
    <row r="1387" spans="1:55" x14ac:dyDescent="0.25">
      <c r="A1387">
        <v>1430</v>
      </c>
      <c r="B1387" t="s">
        <v>1558</v>
      </c>
      <c r="C1387" t="s">
        <v>2993</v>
      </c>
      <c r="D1387" t="s">
        <v>4428</v>
      </c>
      <c r="E1387" t="s">
        <v>4527</v>
      </c>
      <c r="F1387">
        <v>290481260</v>
      </c>
      <c r="G1387">
        <v>9.2613380000000003</v>
      </c>
      <c r="H1387" t="s">
        <v>4534</v>
      </c>
      <c r="I1387">
        <v>2690245131.5258799</v>
      </c>
      <c r="J1387" t="s">
        <v>205</v>
      </c>
      <c r="K1387">
        <v>5664422.0962155499</v>
      </c>
      <c r="L1387">
        <v>0.85</v>
      </c>
      <c r="M1387" t="s">
        <v>4536</v>
      </c>
      <c r="N1387" t="s">
        <v>4537</v>
      </c>
      <c r="O1387" t="s">
        <v>207</v>
      </c>
      <c r="Q1387" t="s">
        <v>207</v>
      </c>
      <c r="R1387" t="s">
        <v>207</v>
      </c>
      <c r="S1387" t="s">
        <v>207</v>
      </c>
      <c r="T1387" t="s">
        <v>207</v>
      </c>
      <c r="U1387" t="s">
        <v>207</v>
      </c>
      <c r="V1387" t="s">
        <v>207</v>
      </c>
      <c r="W1387" t="s">
        <v>207</v>
      </c>
      <c r="X1387" t="s">
        <v>207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210</v>
      </c>
      <c r="AZ1387" t="s">
        <v>4571</v>
      </c>
      <c r="BA1387">
        <v>2286708361.796998</v>
      </c>
      <c r="BB1387" t="s">
        <v>4572</v>
      </c>
      <c r="BC1387" t="s">
        <v>4584</v>
      </c>
    </row>
    <row r="1388" spans="1:55" x14ac:dyDescent="0.25">
      <c r="A1388">
        <v>544</v>
      </c>
      <c r="B1388" t="s">
        <v>1559</v>
      </c>
      <c r="C1388" t="s">
        <v>2994</v>
      </c>
      <c r="D1388" t="s">
        <v>4429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202</v>
      </c>
      <c r="K1388">
        <v>139086505.88459101</v>
      </c>
      <c r="L1388">
        <v>1</v>
      </c>
      <c r="M1388" t="s">
        <v>4536</v>
      </c>
      <c r="O1388" t="s">
        <v>207</v>
      </c>
      <c r="Q1388" t="s">
        <v>207</v>
      </c>
      <c r="R1388" t="s">
        <v>207</v>
      </c>
      <c r="S1388" t="s">
        <v>207</v>
      </c>
      <c r="T1388" t="s">
        <v>207</v>
      </c>
      <c r="U1388" t="s">
        <v>207</v>
      </c>
      <c r="V1388" t="s">
        <v>207</v>
      </c>
      <c r="W1388" t="s">
        <v>207</v>
      </c>
      <c r="X1388" t="s">
        <v>207</v>
      </c>
      <c r="AK1388">
        <v>0</v>
      </c>
      <c r="AL1388">
        <v>0.05</v>
      </c>
      <c r="AM1388">
        <v>0</v>
      </c>
      <c r="AO1388" t="s">
        <v>4568</v>
      </c>
      <c r="AQ1388">
        <v>0</v>
      </c>
      <c r="AR1388">
        <v>0</v>
      </c>
      <c r="AW1388">
        <v>5020</v>
      </c>
      <c r="AX1388">
        <v>2.601</v>
      </c>
      <c r="AY1388" t="s">
        <v>208</v>
      </c>
      <c r="BA1388">
        <v>23216887432.100399</v>
      </c>
      <c r="BB1388" t="s">
        <v>4572</v>
      </c>
      <c r="BC1388" t="s">
        <v>4582</v>
      </c>
    </row>
    <row r="1389" spans="1:55" x14ac:dyDescent="0.25">
      <c r="A1389">
        <v>1085</v>
      </c>
      <c r="B1389" t="s">
        <v>1560</v>
      </c>
      <c r="C1389" t="s">
        <v>2995</v>
      </c>
      <c r="D1389" t="s">
        <v>4430</v>
      </c>
      <c r="E1389" t="s">
        <v>4524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203</v>
      </c>
      <c r="K1389">
        <v>8900853.2139344309</v>
      </c>
      <c r="L1389">
        <v>0.4</v>
      </c>
      <c r="M1389" t="s">
        <v>4536</v>
      </c>
      <c r="N1389" t="s">
        <v>4537</v>
      </c>
      <c r="O1389" t="s">
        <v>207</v>
      </c>
      <c r="Q1389" t="s">
        <v>207</v>
      </c>
      <c r="R1389" t="s">
        <v>207</v>
      </c>
      <c r="S1389" t="s">
        <v>207</v>
      </c>
      <c r="T1389" t="s">
        <v>207</v>
      </c>
      <c r="U1389" t="s">
        <v>207</v>
      </c>
      <c r="V1389" t="s">
        <v>207</v>
      </c>
      <c r="W1389" t="s">
        <v>207</v>
      </c>
      <c r="X1389" t="s">
        <v>207</v>
      </c>
      <c r="AK1389">
        <v>0</v>
      </c>
      <c r="AL1389">
        <v>2.5999999999999999E-2</v>
      </c>
      <c r="AM1389">
        <v>1.0699999999999999E-2</v>
      </c>
      <c r="AO1389" t="s">
        <v>4568</v>
      </c>
      <c r="AP1389" t="s">
        <v>4569</v>
      </c>
      <c r="AQ1389">
        <v>0</v>
      </c>
      <c r="AR1389">
        <v>0</v>
      </c>
      <c r="AW1389">
        <v>6510</v>
      </c>
      <c r="AX1389">
        <v>2.92</v>
      </c>
      <c r="AY1389" t="s">
        <v>209</v>
      </c>
      <c r="BA1389">
        <v>4844850248.2000008</v>
      </c>
      <c r="BB1389" t="s">
        <v>4572</v>
      </c>
      <c r="BC1389" t="s">
        <v>4615</v>
      </c>
    </row>
    <row r="1390" spans="1:55" x14ac:dyDescent="0.25">
      <c r="A1390">
        <v>681</v>
      </c>
      <c r="B1390" t="s">
        <v>1561</v>
      </c>
      <c r="C1390" t="s">
        <v>2996</v>
      </c>
      <c r="D1390" t="s">
        <v>4431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202</v>
      </c>
      <c r="K1390">
        <v>145302541.65797201</v>
      </c>
      <c r="L1390">
        <v>0.85</v>
      </c>
      <c r="M1390" t="s">
        <v>4536</v>
      </c>
      <c r="O1390" t="s">
        <v>207</v>
      </c>
      <c r="Q1390" t="s">
        <v>207</v>
      </c>
      <c r="R1390" t="s">
        <v>207</v>
      </c>
      <c r="S1390" t="s">
        <v>207</v>
      </c>
      <c r="T1390" t="s">
        <v>207</v>
      </c>
      <c r="U1390" t="s">
        <v>207</v>
      </c>
      <c r="V1390" t="s">
        <v>207</v>
      </c>
      <c r="W1390" t="s">
        <v>207</v>
      </c>
      <c r="X1390" t="s">
        <v>207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208</v>
      </c>
      <c r="BA1390">
        <v>17833257431</v>
      </c>
      <c r="BB1390" t="s">
        <v>4572</v>
      </c>
      <c r="BC1390" t="s">
        <v>4536</v>
      </c>
    </row>
    <row r="1391" spans="1:55" x14ac:dyDescent="0.25">
      <c r="A1391">
        <v>349</v>
      </c>
      <c r="B1391" t="s">
        <v>1562</v>
      </c>
      <c r="C1391" t="s">
        <v>2997</v>
      </c>
      <c r="D1391" t="s">
        <v>4432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202</v>
      </c>
      <c r="K1391">
        <v>188062317.730591</v>
      </c>
      <c r="L1391">
        <v>1</v>
      </c>
      <c r="M1391" t="s">
        <v>4536</v>
      </c>
      <c r="O1391" t="s">
        <v>207</v>
      </c>
      <c r="Q1391" t="s">
        <v>207</v>
      </c>
      <c r="R1391" t="s">
        <v>207</v>
      </c>
      <c r="S1391" t="s">
        <v>207</v>
      </c>
      <c r="T1391" t="s">
        <v>207</v>
      </c>
      <c r="U1391" t="s">
        <v>207</v>
      </c>
      <c r="V1391" t="s">
        <v>207</v>
      </c>
      <c r="W1391" t="s">
        <v>207</v>
      </c>
      <c r="X1391" t="s">
        <v>207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208</v>
      </c>
      <c r="BA1391">
        <v>39859072656.084</v>
      </c>
      <c r="BB1391" t="s">
        <v>4572</v>
      </c>
      <c r="BC1391" t="s">
        <v>4536</v>
      </c>
    </row>
    <row r="1392" spans="1:55" x14ac:dyDescent="0.25">
      <c r="A1392">
        <v>58</v>
      </c>
      <c r="B1392" t="s">
        <v>1563</v>
      </c>
      <c r="C1392" t="s">
        <v>2998</v>
      </c>
      <c r="D1392" t="s">
        <v>4433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202</v>
      </c>
      <c r="K1392">
        <v>804749460.22693801</v>
      </c>
      <c r="L1392">
        <v>1</v>
      </c>
      <c r="M1392" t="s">
        <v>4536</v>
      </c>
      <c r="O1392" t="s">
        <v>206</v>
      </c>
      <c r="Q1392" t="s">
        <v>207</v>
      </c>
      <c r="R1392" t="s">
        <v>207</v>
      </c>
      <c r="S1392" t="s">
        <v>207</v>
      </c>
      <c r="T1392" t="s">
        <v>207</v>
      </c>
      <c r="U1392" t="s">
        <v>207</v>
      </c>
      <c r="V1392" t="s">
        <v>207</v>
      </c>
      <c r="W1392" t="s">
        <v>207</v>
      </c>
      <c r="X1392" t="s">
        <v>207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208</v>
      </c>
      <c r="BA1392">
        <v>172173062769.35999</v>
      </c>
      <c r="BB1392" t="s">
        <v>4572</v>
      </c>
      <c r="BC1392" t="s">
        <v>4536</v>
      </c>
    </row>
    <row r="1393" spans="1:55" x14ac:dyDescent="0.25">
      <c r="A1393">
        <v>103</v>
      </c>
      <c r="B1393" t="s">
        <v>1564</v>
      </c>
      <c r="C1393" t="s">
        <v>2999</v>
      </c>
      <c r="D1393" t="s">
        <v>4434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202</v>
      </c>
      <c r="K1393">
        <v>683323455.93520796</v>
      </c>
      <c r="L1393">
        <v>1</v>
      </c>
      <c r="M1393" t="s">
        <v>4536</v>
      </c>
      <c r="O1393" t="s">
        <v>207</v>
      </c>
      <c r="Q1393" t="s">
        <v>207</v>
      </c>
      <c r="R1393" t="s">
        <v>207</v>
      </c>
      <c r="S1393" t="s">
        <v>207</v>
      </c>
      <c r="T1393" t="s">
        <v>207</v>
      </c>
      <c r="U1393" t="s">
        <v>207</v>
      </c>
      <c r="V1393" t="s">
        <v>207</v>
      </c>
      <c r="W1393" t="s">
        <v>207</v>
      </c>
      <c r="X1393" t="s">
        <v>207</v>
      </c>
      <c r="AG1393" t="s">
        <v>4546</v>
      </c>
      <c r="AH1393" t="s">
        <v>4562</v>
      </c>
      <c r="AI1393" t="s">
        <v>4565</v>
      </c>
      <c r="AJ1393" t="s">
        <v>4566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208</v>
      </c>
      <c r="BA1393">
        <v>118936306617.774</v>
      </c>
      <c r="BB1393" t="s">
        <v>4572</v>
      </c>
      <c r="BC1393" t="s">
        <v>4578</v>
      </c>
    </row>
    <row r="1394" spans="1:55" x14ac:dyDescent="0.25">
      <c r="A1394">
        <v>395</v>
      </c>
      <c r="B1394" t="s">
        <v>1565</v>
      </c>
      <c r="C1394" t="s">
        <v>3000</v>
      </c>
      <c r="D1394" t="s">
        <v>4435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202</v>
      </c>
      <c r="K1394">
        <v>962581728.637321</v>
      </c>
      <c r="L1394">
        <v>1</v>
      </c>
      <c r="M1394" t="s">
        <v>4536</v>
      </c>
      <c r="O1394" t="s">
        <v>207</v>
      </c>
      <c r="Q1394" t="s">
        <v>207</v>
      </c>
      <c r="R1394" t="s">
        <v>207</v>
      </c>
      <c r="S1394" t="s">
        <v>207</v>
      </c>
      <c r="T1394" t="s">
        <v>207</v>
      </c>
      <c r="U1394" t="s">
        <v>207</v>
      </c>
      <c r="V1394" t="s">
        <v>207</v>
      </c>
      <c r="W1394" t="s">
        <v>207</v>
      </c>
      <c r="X1394" t="s">
        <v>207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208</v>
      </c>
      <c r="BA1394">
        <v>34959968443.892097</v>
      </c>
      <c r="BB1394" t="s">
        <v>4572</v>
      </c>
      <c r="BC1394" t="s">
        <v>4536</v>
      </c>
    </row>
    <row r="1395" spans="1:55" x14ac:dyDescent="0.25">
      <c r="A1395">
        <v>778</v>
      </c>
      <c r="B1395" t="s">
        <v>1566</v>
      </c>
      <c r="C1395" t="s">
        <v>3001</v>
      </c>
      <c r="D1395" t="s">
        <v>4436</v>
      </c>
      <c r="E1395" t="s">
        <v>4523</v>
      </c>
      <c r="F1395">
        <v>1009867250</v>
      </c>
      <c r="G1395">
        <v>13.13903</v>
      </c>
      <c r="H1395" t="s">
        <v>4532</v>
      </c>
      <c r="I1395">
        <v>13268676093.7675</v>
      </c>
      <c r="J1395" t="s">
        <v>204</v>
      </c>
      <c r="K1395">
        <v>50667588.035409801</v>
      </c>
      <c r="L1395">
        <v>1</v>
      </c>
      <c r="M1395" t="s">
        <v>4536</v>
      </c>
      <c r="O1395" t="s">
        <v>207</v>
      </c>
      <c r="Q1395" t="s">
        <v>207</v>
      </c>
      <c r="R1395" t="s">
        <v>207</v>
      </c>
      <c r="S1395" t="s">
        <v>207</v>
      </c>
      <c r="T1395" t="s">
        <v>207</v>
      </c>
      <c r="U1395" t="s">
        <v>207</v>
      </c>
      <c r="V1395" t="s">
        <v>207</v>
      </c>
      <c r="W1395" t="s">
        <v>207</v>
      </c>
      <c r="X1395" t="s">
        <v>207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209</v>
      </c>
      <c r="BA1395">
        <v>13268676093.7675</v>
      </c>
      <c r="BB1395" t="s">
        <v>4572</v>
      </c>
      <c r="BC1395" t="s">
        <v>4536</v>
      </c>
    </row>
    <row r="1396" spans="1:55" x14ac:dyDescent="0.25">
      <c r="A1396">
        <v>426</v>
      </c>
      <c r="B1396" t="s">
        <v>1567</v>
      </c>
      <c r="C1396" t="s">
        <v>3002</v>
      </c>
      <c r="D1396" t="s">
        <v>4437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202</v>
      </c>
      <c r="K1396">
        <v>168919823.69959399</v>
      </c>
      <c r="L1396">
        <v>1</v>
      </c>
      <c r="M1396" t="s">
        <v>4536</v>
      </c>
      <c r="O1396" t="s">
        <v>207</v>
      </c>
      <c r="Q1396" t="s">
        <v>207</v>
      </c>
      <c r="R1396" t="s">
        <v>207</v>
      </c>
      <c r="S1396" t="s">
        <v>207</v>
      </c>
      <c r="T1396" t="s">
        <v>207</v>
      </c>
      <c r="U1396" t="s">
        <v>207</v>
      </c>
      <c r="V1396" t="s">
        <v>207</v>
      </c>
      <c r="W1396" t="s">
        <v>207</v>
      </c>
      <c r="X1396" t="s">
        <v>207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208</v>
      </c>
      <c r="BA1396">
        <v>31604292631.169998</v>
      </c>
      <c r="BB1396" t="s">
        <v>4572</v>
      </c>
      <c r="BC1396" t="s">
        <v>4536</v>
      </c>
    </row>
    <row r="1397" spans="1:55" x14ac:dyDescent="0.25">
      <c r="A1397">
        <v>1056</v>
      </c>
      <c r="B1397" t="s">
        <v>1568</v>
      </c>
      <c r="C1397" t="s">
        <v>3003</v>
      </c>
      <c r="D1397" t="s">
        <v>4438</v>
      </c>
      <c r="E1397" t="s">
        <v>94</v>
      </c>
      <c r="F1397">
        <v>4552275400</v>
      </c>
      <c r="G1397">
        <v>1.3841460000000001</v>
      </c>
      <c r="H1397" t="s">
        <v>102</v>
      </c>
      <c r="I1397">
        <v>6301013785.8084002</v>
      </c>
      <c r="J1397" t="s">
        <v>205</v>
      </c>
      <c r="K1397">
        <v>12849460.363974901</v>
      </c>
      <c r="L1397">
        <v>0.85</v>
      </c>
      <c r="M1397" t="s">
        <v>4536</v>
      </c>
      <c r="O1397" t="s">
        <v>207</v>
      </c>
      <c r="Q1397" t="s">
        <v>207</v>
      </c>
      <c r="R1397" t="s">
        <v>207</v>
      </c>
      <c r="S1397" t="s">
        <v>207</v>
      </c>
      <c r="T1397" t="s">
        <v>207</v>
      </c>
      <c r="U1397" t="s">
        <v>207</v>
      </c>
      <c r="V1397" t="s">
        <v>207</v>
      </c>
      <c r="W1397" t="s">
        <v>207</v>
      </c>
      <c r="X1397" t="s">
        <v>207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210</v>
      </c>
      <c r="BA1397">
        <v>5355861717.9371405</v>
      </c>
      <c r="BB1397" t="s">
        <v>4572</v>
      </c>
      <c r="BC1397" t="s">
        <v>4536</v>
      </c>
    </row>
    <row r="1398" spans="1:55" x14ac:dyDescent="0.25">
      <c r="A1398">
        <v>1467</v>
      </c>
      <c r="B1398" t="s">
        <v>1569</v>
      </c>
      <c r="C1398" t="s">
        <v>3004</v>
      </c>
      <c r="D1398" t="s">
        <v>4439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4535</v>
      </c>
      <c r="K1398">
        <v>1906283.93777778</v>
      </c>
      <c r="L1398">
        <v>0.65</v>
      </c>
      <c r="M1398" t="s">
        <v>4536</v>
      </c>
      <c r="N1398" t="s">
        <v>4537</v>
      </c>
      <c r="O1398" t="s">
        <v>207</v>
      </c>
      <c r="Q1398" t="s">
        <v>207</v>
      </c>
      <c r="R1398" t="s">
        <v>207</v>
      </c>
      <c r="S1398" t="s">
        <v>207</v>
      </c>
      <c r="T1398" t="s">
        <v>207</v>
      </c>
      <c r="U1398" t="s">
        <v>207</v>
      </c>
      <c r="V1398" t="s">
        <v>207</v>
      </c>
      <c r="W1398" t="s">
        <v>207</v>
      </c>
      <c r="X1398" t="s">
        <v>207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209</v>
      </c>
      <c r="BA1398">
        <v>2096616518.0999999</v>
      </c>
      <c r="BB1398" t="s">
        <v>4572</v>
      </c>
      <c r="BC1398" t="s">
        <v>4575</v>
      </c>
    </row>
    <row r="1399" spans="1:55" x14ac:dyDescent="0.25">
      <c r="A1399">
        <v>12</v>
      </c>
      <c r="B1399" t="s">
        <v>1570</v>
      </c>
      <c r="C1399" t="s">
        <v>3005</v>
      </c>
      <c r="D1399" t="s">
        <v>4440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202</v>
      </c>
      <c r="K1399">
        <v>1889222490.4226</v>
      </c>
      <c r="L1399">
        <v>1</v>
      </c>
      <c r="M1399" t="s">
        <v>4536</v>
      </c>
      <c r="O1399" t="s">
        <v>207</v>
      </c>
      <c r="Q1399" t="s">
        <v>207</v>
      </c>
      <c r="R1399" t="s">
        <v>207</v>
      </c>
      <c r="S1399" t="s">
        <v>207</v>
      </c>
      <c r="T1399" t="s">
        <v>207</v>
      </c>
      <c r="U1399" t="s">
        <v>207</v>
      </c>
      <c r="V1399" t="s">
        <v>207</v>
      </c>
      <c r="W1399" t="s">
        <v>207</v>
      </c>
      <c r="X1399" t="s">
        <v>207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208</v>
      </c>
      <c r="BA1399">
        <v>574503503052.6001</v>
      </c>
      <c r="BB1399" t="s">
        <v>4572</v>
      </c>
      <c r="BC1399" t="s">
        <v>4536</v>
      </c>
    </row>
    <row r="1400" spans="1:55" x14ac:dyDescent="0.25">
      <c r="A1400">
        <v>1439</v>
      </c>
      <c r="B1400" t="s">
        <v>1571</v>
      </c>
      <c r="C1400" t="s">
        <v>3006</v>
      </c>
      <c r="D1400" t="s">
        <v>4441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4535</v>
      </c>
      <c r="K1400">
        <v>2238220.7419047598</v>
      </c>
      <c r="L1400">
        <v>0.8</v>
      </c>
      <c r="M1400" t="s">
        <v>4536</v>
      </c>
      <c r="N1400" t="s">
        <v>4537</v>
      </c>
      <c r="O1400" t="s">
        <v>207</v>
      </c>
      <c r="Q1400" t="s">
        <v>207</v>
      </c>
      <c r="R1400" t="s">
        <v>207</v>
      </c>
      <c r="S1400" t="s">
        <v>207</v>
      </c>
      <c r="T1400" t="s">
        <v>207</v>
      </c>
      <c r="U1400" t="s">
        <v>207</v>
      </c>
      <c r="V1400" t="s">
        <v>207</v>
      </c>
      <c r="W1400" t="s">
        <v>207</v>
      </c>
      <c r="X1400" t="s">
        <v>207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209</v>
      </c>
      <c r="BA1400">
        <v>2246880000</v>
      </c>
      <c r="BB1400" t="s">
        <v>4572</v>
      </c>
      <c r="BC1400" t="s">
        <v>4575</v>
      </c>
    </row>
    <row r="1401" spans="1:55" x14ac:dyDescent="0.25">
      <c r="A1401">
        <v>278</v>
      </c>
      <c r="B1401" t="s">
        <v>1572</v>
      </c>
      <c r="C1401" t="s">
        <v>3007</v>
      </c>
      <c r="D1401" t="s">
        <v>4442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202</v>
      </c>
      <c r="K1401">
        <v>1101507897.1385901</v>
      </c>
      <c r="L1401">
        <v>1</v>
      </c>
      <c r="M1401" t="s">
        <v>4536</v>
      </c>
      <c r="O1401" t="s">
        <v>207</v>
      </c>
      <c r="Q1401" t="s">
        <v>207</v>
      </c>
      <c r="R1401" t="s">
        <v>207</v>
      </c>
      <c r="S1401" t="s">
        <v>207</v>
      </c>
      <c r="T1401" t="s">
        <v>207</v>
      </c>
      <c r="U1401" t="s">
        <v>207</v>
      </c>
      <c r="V1401" t="s">
        <v>207</v>
      </c>
      <c r="W1401" t="s">
        <v>207</v>
      </c>
      <c r="X1401" t="s">
        <v>207</v>
      </c>
      <c r="AK1401">
        <v>0.251</v>
      </c>
      <c r="AL1401">
        <v>0.94299999999999995</v>
      </c>
      <c r="AM1401">
        <v>0.88300000000000001</v>
      </c>
      <c r="AN1401" t="s">
        <v>4567</v>
      </c>
      <c r="AO1401" t="s">
        <v>4568</v>
      </c>
      <c r="AP1401" t="s">
        <v>4569</v>
      </c>
      <c r="AQ1401">
        <v>0</v>
      </c>
      <c r="AR1401">
        <v>0</v>
      </c>
      <c r="AW1401">
        <v>6510</v>
      </c>
      <c r="AX1401">
        <v>1.9590000000000001</v>
      </c>
      <c r="AY1401" t="s">
        <v>208</v>
      </c>
      <c r="BA1401">
        <v>48956138890.766998</v>
      </c>
      <c r="BB1401" t="s">
        <v>4572</v>
      </c>
      <c r="BC1401" t="s">
        <v>4576</v>
      </c>
    </row>
    <row r="1402" spans="1:55" x14ac:dyDescent="0.25">
      <c r="A1402">
        <v>731</v>
      </c>
      <c r="B1402" t="s">
        <v>1573</v>
      </c>
      <c r="C1402" t="s">
        <v>3008</v>
      </c>
      <c r="D1402" t="s">
        <v>4443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204</v>
      </c>
      <c r="K1402">
        <v>51438057.273945697</v>
      </c>
      <c r="L1402">
        <v>0.8</v>
      </c>
      <c r="M1402" t="s">
        <v>4536</v>
      </c>
      <c r="O1402" t="s">
        <v>207</v>
      </c>
      <c r="Q1402" t="s">
        <v>207</v>
      </c>
      <c r="R1402" t="s">
        <v>207</v>
      </c>
      <c r="S1402" t="s">
        <v>207</v>
      </c>
      <c r="T1402" t="s">
        <v>207</v>
      </c>
      <c r="U1402" t="s">
        <v>207</v>
      </c>
      <c r="V1402" t="s">
        <v>207</v>
      </c>
      <c r="W1402" t="s">
        <v>207</v>
      </c>
      <c r="X1402" t="s">
        <v>207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209</v>
      </c>
      <c r="AZ1402" t="s">
        <v>4571</v>
      </c>
      <c r="BA1402">
        <v>16058455631.0308</v>
      </c>
      <c r="BB1402" t="s">
        <v>4572</v>
      </c>
      <c r="BC1402" t="s">
        <v>4577</v>
      </c>
    </row>
    <row r="1403" spans="1:55" x14ac:dyDescent="0.25">
      <c r="A1403">
        <v>1432</v>
      </c>
      <c r="B1403" t="s">
        <v>1574</v>
      </c>
      <c r="C1403" t="s">
        <v>3009</v>
      </c>
      <c r="D1403" t="s">
        <v>4444</v>
      </c>
      <c r="E1403" t="s">
        <v>4524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4535</v>
      </c>
      <c r="K1403">
        <v>9722995.82360656</v>
      </c>
      <c r="L1403">
        <v>0.6</v>
      </c>
      <c r="N1403" t="s">
        <v>4537</v>
      </c>
      <c r="O1403" t="s">
        <v>207</v>
      </c>
      <c r="Q1403" t="s">
        <v>207</v>
      </c>
      <c r="R1403" t="s">
        <v>207</v>
      </c>
      <c r="S1403" t="s">
        <v>207</v>
      </c>
      <c r="T1403" t="s">
        <v>207</v>
      </c>
      <c r="U1403" t="s">
        <v>207</v>
      </c>
      <c r="V1403" t="s">
        <v>207</v>
      </c>
      <c r="W1403" t="s">
        <v>207</v>
      </c>
      <c r="X1403" t="s">
        <v>207</v>
      </c>
      <c r="AK1403">
        <v>0</v>
      </c>
      <c r="AL1403">
        <v>0.05</v>
      </c>
      <c r="AM1403">
        <v>0</v>
      </c>
      <c r="AO1403" t="s">
        <v>4568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209</v>
      </c>
      <c r="AZ1403" t="s">
        <v>4571</v>
      </c>
      <c r="BA1403">
        <v>2269002725.2800002</v>
      </c>
      <c r="BB1403" t="s">
        <v>4572</v>
      </c>
      <c r="BC1403" t="s">
        <v>4662</v>
      </c>
    </row>
    <row r="1404" spans="1:55" x14ac:dyDescent="0.25">
      <c r="A1404">
        <v>610</v>
      </c>
      <c r="B1404" t="s">
        <v>1575</v>
      </c>
      <c r="C1404" t="s">
        <v>3010</v>
      </c>
      <c r="D1404" t="s">
        <v>4445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203</v>
      </c>
      <c r="K1404">
        <v>98236018.425491795</v>
      </c>
      <c r="L1404">
        <v>1</v>
      </c>
      <c r="O1404" t="s">
        <v>206</v>
      </c>
      <c r="Q1404" t="s">
        <v>207</v>
      </c>
      <c r="R1404" t="s">
        <v>207</v>
      </c>
      <c r="S1404" t="s">
        <v>206</v>
      </c>
      <c r="T1404" t="s">
        <v>207</v>
      </c>
      <c r="U1404" t="s">
        <v>207</v>
      </c>
      <c r="V1404" t="s">
        <v>207</v>
      </c>
      <c r="W1404" t="s">
        <v>207</v>
      </c>
      <c r="X1404" t="s">
        <v>207</v>
      </c>
      <c r="AA1404" t="s">
        <v>4541</v>
      </c>
      <c r="AK1404">
        <v>8.8000000000000005E-3</v>
      </c>
      <c r="AL1404">
        <v>0.01</v>
      </c>
      <c r="AM1404">
        <v>9.7999999999999997E-3</v>
      </c>
      <c r="AN1404" t="s">
        <v>4567</v>
      </c>
      <c r="AO1404" t="s">
        <v>4568</v>
      </c>
      <c r="AP1404" t="s">
        <v>4569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209</v>
      </c>
      <c r="BA1404">
        <v>20393718016</v>
      </c>
      <c r="BB1404" t="s">
        <v>4572</v>
      </c>
      <c r="BC1404" t="s">
        <v>4663</v>
      </c>
    </row>
    <row r="1405" spans="1:55" x14ac:dyDescent="0.25">
      <c r="A1405">
        <v>293</v>
      </c>
      <c r="B1405" t="s">
        <v>1576</v>
      </c>
      <c r="C1405" t="s">
        <v>3011</v>
      </c>
      <c r="D1405" t="s">
        <v>4446</v>
      </c>
      <c r="E1405" t="s">
        <v>4519</v>
      </c>
      <c r="F1405">
        <v>1588467400</v>
      </c>
      <c r="G1405">
        <v>29.502649999999999</v>
      </c>
      <c r="H1405" t="s">
        <v>4530</v>
      </c>
      <c r="I1405">
        <v>46863997738.610001</v>
      </c>
      <c r="J1405" t="s">
        <v>204</v>
      </c>
      <c r="K1405">
        <v>77388630.084493697</v>
      </c>
      <c r="L1405">
        <v>1</v>
      </c>
      <c r="M1405" t="s">
        <v>4536</v>
      </c>
      <c r="O1405" t="s">
        <v>207</v>
      </c>
      <c r="Q1405" t="s">
        <v>207</v>
      </c>
      <c r="R1405" t="s">
        <v>207</v>
      </c>
      <c r="S1405" t="s">
        <v>207</v>
      </c>
      <c r="T1405" t="s">
        <v>207</v>
      </c>
      <c r="U1405" t="s">
        <v>207</v>
      </c>
      <c r="V1405" t="s">
        <v>207</v>
      </c>
      <c r="W1405" t="s">
        <v>207</v>
      </c>
      <c r="X1405" t="s">
        <v>207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209</v>
      </c>
      <c r="BA1405">
        <v>46863997738.610001</v>
      </c>
      <c r="BB1405" t="s">
        <v>4572</v>
      </c>
      <c r="BC1405" t="s">
        <v>4536</v>
      </c>
    </row>
    <row r="1406" spans="1:55" x14ac:dyDescent="0.25">
      <c r="A1406">
        <v>623</v>
      </c>
      <c r="B1406" t="s">
        <v>1577</v>
      </c>
      <c r="C1406" t="s">
        <v>3012</v>
      </c>
      <c r="D1406" t="s">
        <v>4447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203</v>
      </c>
      <c r="K1406">
        <v>58053347.874098398</v>
      </c>
      <c r="L1406">
        <v>0.85</v>
      </c>
      <c r="M1406" t="s">
        <v>4536</v>
      </c>
      <c r="O1406" t="s">
        <v>207</v>
      </c>
      <c r="Q1406" t="s">
        <v>207</v>
      </c>
      <c r="R1406" t="s">
        <v>207</v>
      </c>
      <c r="S1406" t="s">
        <v>207</v>
      </c>
      <c r="T1406" t="s">
        <v>207</v>
      </c>
      <c r="U1406" t="s">
        <v>207</v>
      </c>
      <c r="V1406" t="s">
        <v>207</v>
      </c>
      <c r="W1406" t="s">
        <v>207</v>
      </c>
      <c r="X1406" t="s">
        <v>207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209</v>
      </c>
      <c r="BA1406">
        <v>19926617252.849998</v>
      </c>
      <c r="BB1406" t="s">
        <v>4572</v>
      </c>
      <c r="BC1406" t="s">
        <v>4536</v>
      </c>
    </row>
    <row r="1407" spans="1:55" x14ac:dyDescent="0.25">
      <c r="A1407">
        <v>1426</v>
      </c>
      <c r="B1407" t="s">
        <v>1578</v>
      </c>
      <c r="C1407" t="s">
        <v>3013</v>
      </c>
      <c r="D1407" t="s">
        <v>4448</v>
      </c>
      <c r="E1407" t="s">
        <v>96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4535</v>
      </c>
      <c r="K1407">
        <v>5522236.5395238101</v>
      </c>
      <c r="L1407">
        <v>0.5</v>
      </c>
      <c r="M1407" t="s">
        <v>4536</v>
      </c>
      <c r="N1407" t="s">
        <v>4537</v>
      </c>
      <c r="O1407" t="s">
        <v>207</v>
      </c>
      <c r="Q1407" t="s">
        <v>207</v>
      </c>
      <c r="R1407" t="s">
        <v>207</v>
      </c>
      <c r="S1407" t="s">
        <v>207</v>
      </c>
      <c r="T1407" t="s">
        <v>207</v>
      </c>
      <c r="U1407" t="s">
        <v>207</v>
      </c>
      <c r="V1407" t="s">
        <v>207</v>
      </c>
      <c r="W1407" t="s">
        <v>207</v>
      </c>
      <c r="X1407" t="s">
        <v>207</v>
      </c>
      <c r="AK1407">
        <v>0</v>
      </c>
      <c r="AL1407">
        <v>0.44900000000000001</v>
      </c>
      <c r="AM1407">
        <v>0</v>
      </c>
      <c r="AO1407" t="s">
        <v>4568</v>
      </c>
      <c r="AQ1407">
        <v>0</v>
      </c>
      <c r="AR1407">
        <v>0</v>
      </c>
      <c r="AW1407">
        <v>5020</v>
      </c>
      <c r="AX1407">
        <v>2.16</v>
      </c>
      <c r="AY1407" t="s">
        <v>209</v>
      </c>
      <c r="BA1407">
        <v>2306840177.8400002</v>
      </c>
      <c r="BB1407" t="s">
        <v>4572</v>
      </c>
      <c r="BC1407" t="s">
        <v>4579</v>
      </c>
    </row>
    <row r="1408" spans="1:55" x14ac:dyDescent="0.25">
      <c r="A1408">
        <v>418</v>
      </c>
      <c r="B1408" t="s">
        <v>1579</v>
      </c>
      <c r="C1408" t="s">
        <v>3014</v>
      </c>
      <c r="D1408" t="s">
        <v>4449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202</v>
      </c>
      <c r="K1408">
        <v>189506419.707394</v>
      </c>
      <c r="L1408">
        <v>1</v>
      </c>
      <c r="M1408" t="s">
        <v>4536</v>
      </c>
      <c r="O1408" t="s">
        <v>207</v>
      </c>
      <c r="Q1408" t="s">
        <v>207</v>
      </c>
      <c r="R1408" t="s">
        <v>207</v>
      </c>
      <c r="S1408" t="s">
        <v>207</v>
      </c>
      <c r="T1408" t="s">
        <v>207</v>
      </c>
      <c r="U1408" t="s">
        <v>207</v>
      </c>
      <c r="V1408" t="s">
        <v>207</v>
      </c>
      <c r="W1408" t="s">
        <v>207</v>
      </c>
      <c r="X1408" t="s">
        <v>207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208</v>
      </c>
      <c r="BA1408">
        <v>31951461085.096001</v>
      </c>
      <c r="BB1408" t="s">
        <v>4572</v>
      </c>
      <c r="BC1408" t="s">
        <v>4536</v>
      </c>
    </row>
    <row r="1409" spans="1:55" x14ac:dyDescent="0.25">
      <c r="A1409">
        <v>711</v>
      </c>
      <c r="B1409" t="s">
        <v>1580</v>
      </c>
      <c r="C1409" t="s">
        <v>3015</v>
      </c>
      <c r="D1409" t="s">
        <v>4450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202</v>
      </c>
      <c r="K1409">
        <v>95627984.666105106</v>
      </c>
      <c r="L1409">
        <v>0.75</v>
      </c>
      <c r="M1409" t="s">
        <v>4536</v>
      </c>
      <c r="O1409" t="s">
        <v>207</v>
      </c>
      <c r="Q1409" t="s">
        <v>207</v>
      </c>
      <c r="R1409" t="s">
        <v>207</v>
      </c>
      <c r="S1409" t="s">
        <v>207</v>
      </c>
      <c r="T1409" t="s">
        <v>207</v>
      </c>
      <c r="U1409" t="s">
        <v>207</v>
      </c>
      <c r="V1409" t="s">
        <v>207</v>
      </c>
      <c r="W1409" t="s">
        <v>207</v>
      </c>
      <c r="X1409" t="s">
        <v>207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208</v>
      </c>
      <c r="AZ1409" t="s">
        <v>4571</v>
      </c>
      <c r="BA1409">
        <v>16666991582.544001</v>
      </c>
      <c r="BB1409" t="s">
        <v>4572</v>
      </c>
      <c r="BC1409" t="s">
        <v>4577</v>
      </c>
    </row>
    <row r="1410" spans="1:55" x14ac:dyDescent="0.25">
      <c r="A1410">
        <v>314</v>
      </c>
      <c r="B1410" t="s">
        <v>1581</v>
      </c>
      <c r="C1410" t="s">
        <v>3016</v>
      </c>
      <c r="D1410" t="s">
        <v>4451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202</v>
      </c>
      <c r="K1410">
        <v>288754890.27965099</v>
      </c>
      <c r="L1410">
        <v>0.95</v>
      </c>
      <c r="M1410" t="s">
        <v>4536</v>
      </c>
      <c r="O1410" t="s">
        <v>207</v>
      </c>
      <c r="Q1410" t="s">
        <v>207</v>
      </c>
      <c r="R1410" t="s">
        <v>207</v>
      </c>
      <c r="S1410" t="s">
        <v>207</v>
      </c>
      <c r="T1410" t="s">
        <v>207</v>
      </c>
      <c r="U1410" t="s">
        <v>207</v>
      </c>
      <c r="V1410" t="s">
        <v>207</v>
      </c>
      <c r="W1410" t="s">
        <v>207</v>
      </c>
      <c r="X1410" t="s">
        <v>207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208</v>
      </c>
      <c r="BA1410">
        <v>44158530351.831787</v>
      </c>
      <c r="BB1410" t="s">
        <v>4572</v>
      </c>
      <c r="BC1410" t="s">
        <v>4536</v>
      </c>
    </row>
    <row r="1411" spans="1:55" x14ac:dyDescent="0.25">
      <c r="A1411">
        <v>18</v>
      </c>
      <c r="B1411" t="s">
        <v>1582</v>
      </c>
      <c r="C1411" t="s">
        <v>3017</v>
      </c>
      <c r="D1411" t="s">
        <v>4452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202</v>
      </c>
      <c r="K1411">
        <v>1593002154.556</v>
      </c>
      <c r="L1411">
        <v>0.55000000000000004</v>
      </c>
      <c r="M1411" t="s">
        <v>4536</v>
      </c>
      <c r="O1411" t="s">
        <v>206</v>
      </c>
      <c r="Q1411" t="s">
        <v>207</v>
      </c>
      <c r="R1411" t="s">
        <v>207</v>
      </c>
      <c r="S1411" t="s">
        <v>207</v>
      </c>
      <c r="T1411" t="s">
        <v>207</v>
      </c>
      <c r="U1411" t="s">
        <v>207</v>
      </c>
      <c r="V1411" t="s">
        <v>207</v>
      </c>
      <c r="W1411" t="s">
        <v>207</v>
      </c>
      <c r="X1411" t="s">
        <v>207</v>
      </c>
      <c r="AK1411">
        <v>0</v>
      </c>
      <c r="AL1411">
        <v>0.03</v>
      </c>
      <c r="AM1411">
        <v>0</v>
      </c>
      <c r="AO1411" t="s">
        <v>4568</v>
      </c>
      <c r="AQ1411">
        <v>0</v>
      </c>
      <c r="AR1411">
        <v>0.01</v>
      </c>
      <c r="AW1411">
        <v>4040</v>
      </c>
      <c r="AX1411">
        <v>1.653</v>
      </c>
      <c r="AY1411" t="s">
        <v>208</v>
      </c>
      <c r="BA1411">
        <v>400547473795.3371</v>
      </c>
      <c r="BB1411" t="s">
        <v>4572</v>
      </c>
      <c r="BC1411" t="s">
        <v>4582</v>
      </c>
    </row>
    <row r="1412" spans="1:55" x14ac:dyDescent="0.25">
      <c r="A1412">
        <v>557</v>
      </c>
      <c r="B1412" t="s">
        <v>1583</v>
      </c>
      <c r="C1412" t="s">
        <v>3018</v>
      </c>
      <c r="D1412" t="s">
        <v>4453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202</v>
      </c>
      <c r="K1412">
        <v>279393823.16156602</v>
      </c>
      <c r="L1412">
        <v>0.9</v>
      </c>
      <c r="M1412" t="s">
        <v>4536</v>
      </c>
      <c r="O1412" t="s">
        <v>207</v>
      </c>
      <c r="Q1412" t="s">
        <v>207</v>
      </c>
      <c r="R1412" t="s">
        <v>207</v>
      </c>
      <c r="S1412" t="s">
        <v>207</v>
      </c>
      <c r="T1412" t="s">
        <v>207</v>
      </c>
      <c r="U1412" t="s">
        <v>207</v>
      </c>
      <c r="V1412" t="s">
        <v>207</v>
      </c>
      <c r="W1412" t="s">
        <v>207</v>
      </c>
      <c r="X1412" t="s">
        <v>207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208</v>
      </c>
      <c r="BA1412">
        <v>22764816784.709999</v>
      </c>
      <c r="BB1412" t="s">
        <v>4572</v>
      </c>
      <c r="BC1412" t="s">
        <v>4536</v>
      </c>
    </row>
    <row r="1413" spans="1:55" x14ac:dyDescent="0.25">
      <c r="A1413">
        <v>870</v>
      </c>
      <c r="B1413" t="s">
        <v>1584</v>
      </c>
      <c r="C1413" t="s">
        <v>3019</v>
      </c>
      <c r="D1413" t="s">
        <v>4454</v>
      </c>
      <c r="E1413" t="s">
        <v>4528</v>
      </c>
      <c r="F1413">
        <v>591723400</v>
      </c>
      <c r="G1413">
        <v>18.32</v>
      </c>
      <c r="H1413" t="s">
        <v>99</v>
      </c>
      <c r="I1413">
        <v>10840372688</v>
      </c>
      <c r="J1413" t="s">
        <v>203</v>
      </c>
      <c r="K1413">
        <v>16927839.842711899</v>
      </c>
      <c r="L1413">
        <v>0.8</v>
      </c>
      <c r="M1413" t="s">
        <v>4536</v>
      </c>
      <c r="O1413" t="s">
        <v>207</v>
      </c>
      <c r="Q1413" t="s">
        <v>207</v>
      </c>
      <c r="R1413" t="s">
        <v>207</v>
      </c>
      <c r="S1413" t="s">
        <v>4538</v>
      </c>
      <c r="T1413" t="s">
        <v>207</v>
      </c>
      <c r="U1413" t="s">
        <v>207</v>
      </c>
      <c r="V1413" t="s">
        <v>207</v>
      </c>
      <c r="W1413" t="s">
        <v>207</v>
      </c>
      <c r="X1413" t="s">
        <v>207</v>
      </c>
      <c r="AA1413" t="s">
        <v>4541</v>
      </c>
      <c r="AK1413">
        <v>0</v>
      </c>
      <c r="AL1413">
        <v>0.15</v>
      </c>
      <c r="AM1413">
        <v>0</v>
      </c>
      <c r="AO1413" t="s">
        <v>4568</v>
      </c>
      <c r="AQ1413">
        <v>0</v>
      </c>
      <c r="AR1413">
        <v>0</v>
      </c>
      <c r="AW1413">
        <v>5020</v>
      </c>
      <c r="AX1413">
        <v>2.7509999999999999</v>
      </c>
      <c r="AY1413" t="s">
        <v>209</v>
      </c>
      <c r="BA1413">
        <v>8672298150.3999996</v>
      </c>
      <c r="BB1413" t="s">
        <v>4572</v>
      </c>
      <c r="BC1413" t="s">
        <v>4625</v>
      </c>
    </row>
    <row r="1414" spans="1:55" x14ac:dyDescent="0.25">
      <c r="A1414">
        <v>1048</v>
      </c>
      <c r="B1414" t="s">
        <v>1585</v>
      </c>
      <c r="C1414" t="s">
        <v>3020</v>
      </c>
      <c r="D1414" t="s">
        <v>4455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7821205856.3066998</v>
      </c>
      <c r="J1414" t="s">
        <v>205</v>
      </c>
      <c r="K1414">
        <v>5673019.7367961099</v>
      </c>
      <c r="L1414">
        <v>0.7</v>
      </c>
      <c r="M1414" t="s">
        <v>4536</v>
      </c>
      <c r="N1414" t="s">
        <v>4537</v>
      </c>
      <c r="O1414" t="s">
        <v>207</v>
      </c>
      <c r="Q1414" t="s">
        <v>207</v>
      </c>
      <c r="R1414" t="s">
        <v>207</v>
      </c>
      <c r="S1414" t="s">
        <v>207</v>
      </c>
      <c r="T1414" t="s">
        <v>207</v>
      </c>
      <c r="U1414" t="s">
        <v>207</v>
      </c>
      <c r="V1414" t="s">
        <v>207</v>
      </c>
      <c r="W1414" t="s">
        <v>207</v>
      </c>
      <c r="X1414" t="s">
        <v>207</v>
      </c>
      <c r="AG1414" t="s">
        <v>4546</v>
      </c>
      <c r="AH1414" t="s">
        <v>4562</v>
      </c>
      <c r="AI1414" t="s">
        <v>4565</v>
      </c>
      <c r="AJ1414" t="s">
        <v>4566</v>
      </c>
      <c r="AK1414">
        <v>0.318</v>
      </c>
      <c r="AL1414">
        <v>0.32300000000000001</v>
      </c>
      <c r="AM1414">
        <v>0</v>
      </c>
      <c r="AN1414" t="s">
        <v>4567</v>
      </c>
      <c r="AO1414" t="s">
        <v>4568</v>
      </c>
      <c r="AQ1414">
        <v>0</v>
      </c>
      <c r="AR1414">
        <v>0</v>
      </c>
      <c r="AW1414">
        <v>6010</v>
      </c>
      <c r="AX1414">
        <v>1.3320000000000001</v>
      </c>
      <c r="AY1414" t="s">
        <v>210</v>
      </c>
      <c r="AZ1414" t="s">
        <v>4571</v>
      </c>
      <c r="BA1414">
        <v>5474844099.4146891</v>
      </c>
      <c r="BB1414" t="s">
        <v>4572</v>
      </c>
      <c r="BC1414" t="s">
        <v>4664</v>
      </c>
    </row>
    <row r="1415" spans="1:55" x14ac:dyDescent="0.25">
      <c r="A1415">
        <v>298</v>
      </c>
      <c r="B1415" t="s">
        <v>1586</v>
      </c>
      <c r="C1415" t="s">
        <v>3021</v>
      </c>
      <c r="D1415" t="s">
        <v>4456</v>
      </c>
      <c r="E1415" t="s">
        <v>97</v>
      </c>
      <c r="F1415">
        <v>258085200</v>
      </c>
      <c r="G1415">
        <v>179.55850000000001</v>
      </c>
      <c r="H1415" t="s">
        <v>104</v>
      </c>
      <c r="I1415">
        <v>46341391384.199997</v>
      </c>
      <c r="J1415" t="s">
        <v>202</v>
      </c>
      <c r="K1415">
        <v>47984002.541257396</v>
      </c>
      <c r="L1415">
        <v>1</v>
      </c>
      <c r="M1415" t="s">
        <v>4536</v>
      </c>
      <c r="O1415" t="s">
        <v>207</v>
      </c>
      <c r="Q1415" t="s">
        <v>207</v>
      </c>
      <c r="R1415" t="s">
        <v>207</v>
      </c>
      <c r="S1415" t="s">
        <v>207</v>
      </c>
      <c r="T1415" t="s">
        <v>207</v>
      </c>
      <c r="U1415" t="s">
        <v>207</v>
      </c>
      <c r="V1415" t="s">
        <v>207</v>
      </c>
      <c r="W1415" t="s">
        <v>207</v>
      </c>
      <c r="X1415" t="s">
        <v>207</v>
      </c>
      <c r="AK1415">
        <v>0</v>
      </c>
      <c r="AL1415">
        <v>2.9000000000000001E-2</v>
      </c>
      <c r="AM1415">
        <v>0</v>
      </c>
      <c r="AO1415" t="s">
        <v>4568</v>
      </c>
      <c r="AQ1415">
        <v>0</v>
      </c>
      <c r="AR1415">
        <v>0</v>
      </c>
      <c r="AW1415">
        <v>6510</v>
      </c>
      <c r="AX1415">
        <v>1.875</v>
      </c>
      <c r="AY1415" t="s">
        <v>208</v>
      </c>
      <c r="AZ1415" t="s">
        <v>4571</v>
      </c>
      <c r="BA1415">
        <v>46341391384.199997</v>
      </c>
      <c r="BB1415" t="s">
        <v>4572</v>
      </c>
      <c r="BC1415" t="s">
        <v>4594</v>
      </c>
    </row>
    <row r="1416" spans="1:55" x14ac:dyDescent="0.25">
      <c r="A1416">
        <v>158</v>
      </c>
      <c r="B1416" t="s">
        <v>1587</v>
      </c>
      <c r="C1416" t="s">
        <v>3022</v>
      </c>
      <c r="D1416" t="s">
        <v>4457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202</v>
      </c>
      <c r="K1416">
        <v>347866897.05388302</v>
      </c>
      <c r="L1416">
        <v>0.9</v>
      </c>
      <c r="M1416" t="s">
        <v>4536</v>
      </c>
      <c r="O1416" t="s">
        <v>207</v>
      </c>
      <c r="Q1416" t="s">
        <v>207</v>
      </c>
      <c r="R1416" t="s">
        <v>207</v>
      </c>
      <c r="S1416" t="s">
        <v>207</v>
      </c>
      <c r="T1416" t="s">
        <v>207</v>
      </c>
      <c r="U1416" t="s">
        <v>207</v>
      </c>
      <c r="V1416" t="s">
        <v>207</v>
      </c>
      <c r="W1416" t="s">
        <v>207</v>
      </c>
      <c r="X1416" t="s">
        <v>207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208</v>
      </c>
      <c r="BA1416">
        <v>78933485484.710999</v>
      </c>
      <c r="BB1416" t="s">
        <v>4572</v>
      </c>
      <c r="BC1416" t="s">
        <v>4536</v>
      </c>
    </row>
    <row r="1417" spans="1:55" x14ac:dyDescent="0.25">
      <c r="A1417">
        <v>591</v>
      </c>
      <c r="B1417" t="s">
        <v>1588</v>
      </c>
      <c r="C1417" t="s">
        <v>3023</v>
      </c>
      <c r="D1417" t="s">
        <v>4458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202</v>
      </c>
      <c r="K1417">
        <v>174010299.99622399</v>
      </c>
      <c r="L1417">
        <v>1</v>
      </c>
      <c r="M1417" t="s">
        <v>4536</v>
      </c>
      <c r="O1417" t="s">
        <v>207</v>
      </c>
      <c r="Q1417" t="s">
        <v>207</v>
      </c>
      <c r="R1417" t="s">
        <v>207</v>
      </c>
      <c r="S1417" t="s">
        <v>207</v>
      </c>
      <c r="T1417" t="s">
        <v>207</v>
      </c>
      <c r="U1417" t="s">
        <v>207</v>
      </c>
      <c r="V1417" t="s">
        <v>207</v>
      </c>
      <c r="W1417" t="s">
        <v>207</v>
      </c>
      <c r="X1417" t="s">
        <v>207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208</v>
      </c>
      <c r="BA1417">
        <v>21286827809.282501</v>
      </c>
      <c r="BB1417" t="s">
        <v>4572</v>
      </c>
      <c r="BC1417" t="s">
        <v>4536</v>
      </c>
    </row>
    <row r="1418" spans="1:55" x14ac:dyDescent="0.25">
      <c r="A1418">
        <v>712</v>
      </c>
      <c r="B1418" t="s">
        <v>1589</v>
      </c>
      <c r="C1418" t="s">
        <v>3024</v>
      </c>
      <c r="D1418" t="s">
        <v>4459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202</v>
      </c>
      <c r="K1418">
        <v>109583759.82551099</v>
      </c>
      <c r="L1418">
        <v>1</v>
      </c>
      <c r="M1418" t="s">
        <v>4536</v>
      </c>
      <c r="O1418" t="s">
        <v>207</v>
      </c>
      <c r="Q1418" t="s">
        <v>207</v>
      </c>
      <c r="R1418" t="s">
        <v>207</v>
      </c>
      <c r="S1418" t="s">
        <v>207</v>
      </c>
      <c r="T1418" t="s">
        <v>207</v>
      </c>
      <c r="U1418" t="s">
        <v>207</v>
      </c>
      <c r="V1418" t="s">
        <v>207</v>
      </c>
      <c r="W1418" t="s">
        <v>207</v>
      </c>
      <c r="X1418" t="s">
        <v>207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208</v>
      </c>
      <c r="AZ1418" t="s">
        <v>4571</v>
      </c>
      <c r="BA1418">
        <v>16612946981.459999</v>
      </c>
      <c r="BB1418" t="s">
        <v>4572</v>
      </c>
      <c r="BC1418" t="s">
        <v>4577</v>
      </c>
    </row>
    <row r="1419" spans="1:55" x14ac:dyDescent="0.25">
      <c r="A1419">
        <v>1186</v>
      </c>
      <c r="B1419" t="s">
        <v>1590</v>
      </c>
      <c r="C1419" t="s">
        <v>3025</v>
      </c>
      <c r="D1419" t="s">
        <v>4460</v>
      </c>
      <c r="E1419" t="s">
        <v>4520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203</v>
      </c>
      <c r="K1419">
        <v>8979727.3103968203</v>
      </c>
      <c r="L1419">
        <v>0.8</v>
      </c>
      <c r="M1419" t="s">
        <v>4536</v>
      </c>
      <c r="N1419" t="s">
        <v>4537</v>
      </c>
      <c r="O1419" t="s">
        <v>207</v>
      </c>
      <c r="Q1419" t="s">
        <v>207</v>
      </c>
      <c r="R1419" t="s">
        <v>207</v>
      </c>
      <c r="S1419" t="s">
        <v>207</v>
      </c>
      <c r="T1419" t="s">
        <v>207</v>
      </c>
      <c r="U1419" t="s">
        <v>207</v>
      </c>
      <c r="V1419" t="s">
        <v>207</v>
      </c>
      <c r="W1419" t="s">
        <v>207</v>
      </c>
      <c r="X1419" t="s">
        <v>207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209</v>
      </c>
      <c r="BA1419">
        <v>3786985241.7280002</v>
      </c>
      <c r="BB1419" t="s">
        <v>4572</v>
      </c>
      <c r="BC1419" t="s">
        <v>4575</v>
      </c>
    </row>
    <row r="1420" spans="1:55" x14ac:dyDescent="0.25">
      <c r="A1420">
        <v>424</v>
      </c>
      <c r="B1420" t="s">
        <v>1591</v>
      </c>
      <c r="C1420" t="s">
        <v>3026</v>
      </c>
      <c r="D1420" t="s">
        <v>4461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202</v>
      </c>
      <c r="K1420">
        <v>176263331.14231801</v>
      </c>
      <c r="L1420">
        <v>1</v>
      </c>
      <c r="M1420" t="s">
        <v>4536</v>
      </c>
      <c r="O1420" t="s">
        <v>207</v>
      </c>
      <c r="Q1420" t="s">
        <v>207</v>
      </c>
      <c r="R1420" t="s">
        <v>207</v>
      </c>
      <c r="S1420" t="s">
        <v>207</v>
      </c>
      <c r="T1420" t="s">
        <v>207</v>
      </c>
      <c r="U1420" t="s">
        <v>207</v>
      </c>
      <c r="V1420" t="s">
        <v>207</v>
      </c>
      <c r="W1420" t="s">
        <v>207</v>
      </c>
      <c r="X1420" t="s">
        <v>207</v>
      </c>
      <c r="AK1420">
        <v>0.1144</v>
      </c>
      <c r="AL1420">
        <v>0.66400000000000003</v>
      </c>
      <c r="AM1420">
        <v>0.2472</v>
      </c>
      <c r="AN1420" t="s">
        <v>4567</v>
      </c>
      <c r="AO1420" t="s">
        <v>4568</v>
      </c>
      <c r="AP1420" t="s">
        <v>4569</v>
      </c>
      <c r="AQ1420">
        <v>0</v>
      </c>
      <c r="AR1420">
        <v>0</v>
      </c>
      <c r="AW1420">
        <v>6510</v>
      </c>
      <c r="AX1420">
        <v>2.5099999999999998</v>
      </c>
      <c r="AY1420" t="s">
        <v>208</v>
      </c>
      <c r="BA1420">
        <v>31623252216.566399</v>
      </c>
      <c r="BB1420" t="s">
        <v>4572</v>
      </c>
      <c r="BC1420" t="s">
        <v>4576</v>
      </c>
    </row>
    <row r="1421" spans="1:55" x14ac:dyDescent="0.25">
      <c r="A1421">
        <v>939</v>
      </c>
      <c r="B1421" t="s">
        <v>1592</v>
      </c>
      <c r="C1421" t="s">
        <v>3027</v>
      </c>
      <c r="D1421" t="s">
        <v>4462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204</v>
      </c>
      <c r="K1421">
        <v>11563864.2202569</v>
      </c>
      <c r="L1421">
        <v>1</v>
      </c>
      <c r="M1421" t="s">
        <v>4536</v>
      </c>
      <c r="O1421" t="s">
        <v>207</v>
      </c>
      <c r="Q1421" t="s">
        <v>207</v>
      </c>
      <c r="R1421" t="s">
        <v>207</v>
      </c>
      <c r="S1421" t="s">
        <v>207</v>
      </c>
      <c r="T1421" t="s">
        <v>207</v>
      </c>
      <c r="U1421" t="s">
        <v>207</v>
      </c>
      <c r="V1421" t="s">
        <v>207</v>
      </c>
      <c r="W1421" t="s">
        <v>207</v>
      </c>
      <c r="X1421" t="s">
        <v>207</v>
      </c>
      <c r="AK1421">
        <v>0.06</v>
      </c>
      <c r="AL1421">
        <v>0.14000000000000001</v>
      </c>
      <c r="AM1421">
        <v>0</v>
      </c>
      <c r="AN1421" t="s">
        <v>4567</v>
      </c>
      <c r="AO1421" t="s">
        <v>4568</v>
      </c>
      <c r="AQ1421">
        <v>0</v>
      </c>
      <c r="AR1421">
        <v>0</v>
      </c>
      <c r="AW1421">
        <v>5020</v>
      </c>
      <c r="AX1421">
        <v>2.6080000000000001</v>
      </c>
      <c r="AY1421" t="s">
        <v>209</v>
      </c>
      <c r="BA1421">
        <v>7231247299.8430004</v>
      </c>
      <c r="BB1421" t="s">
        <v>4572</v>
      </c>
      <c r="BC1421" t="s">
        <v>4599</v>
      </c>
    </row>
    <row r="1422" spans="1:55" x14ac:dyDescent="0.25">
      <c r="A1422">
        <v>31</v>
      </c>
      <c r="B1422" t="s">
        <v>1593</v>
      </c>
      <c r="C1422" t="s">
        <v>3028</v>
      </c>
      <c r="D1422" t="s">
        <v>4463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202</v>
      </c>
      <c r="K1422">
        <v>1121970939.3297</v>
      </c>
      <c r="L1422">
        <v>1</v>
      </c>
      <c r="M1422" t="s">
        <v>4536</v>
      </c>
      <c r="O1422" t="s">
        <v>207</v>
      </c>
      <c r="Q1422" t="s">
        <v>207</v>
      </c>
      <c r="R1422" t="s">
        <v>207</v>
      </c>
      <c r="S1422" t="s">
        <v>207</v>
      </c>
      <c r="T1422" t="s">
        <v>207</v>
      </c>
      <c r="U1422" t="s">
        <v>207</v>
      </c>
      <c r="V1422" t="s">
        <v>207</v>
      </c>
      <c r="W1422" t="s">
        <v>207</v>
      </c>
      <c r="X1422" t="s">
        <v>207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208</v>
      </c>
      <c r="BA1422">
        <v>243796980969</v>
      </c>
      <c r="BB1422" t="s">
        <v>4572</v>
      </c>
      <c r="BC1422" t="s">
        <v>4536</v>
      </c>
    </row>
    <row r="1423" spans="1:55" x14ac:dyDescent="0.25">
      <c r="A1423">
        <v>130</v>
      </c>
      <c r="B1423" t="s">
        <v>1594</v>
      </c>
      <c r="C1423" t="s">
        <v>3029</v>
      </c>
      <c r="D1423" t="s">
        <v>4464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202</v>
      </c>
      <c r="K1423">
        <v>368679442.18613201</v>
      </c>
      <c r="L1423">
        <v>1</v>
      </c>
      <c r="M1423" t="s">
        <v>4536</v>
      </c>
      <c r="O1423" t="s">
        <v>207</v>
      </c>
      <c r="Q1423" t="s">
        <v>207</v>
      </c>
      <c r="R1423" t="s">
        <v>207</v>
      </c>
      <c r="S1423" t="s">
        <v>207</v>
      </c>
      <c r="T1423" t="s">
        <v>207</v>
      </c>
      <c r="U1423" t="s">
        <v>207</v>
      </c>
      <c r="V1423" t="s">
        <v>207</v>
      </c>
      <c r="W1423" t="s">
        <v>207</v>
      </c>
      <c r="X1423" t="s">
        <v>207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208</v>
      </c>
      <c r="BA1423">
        <v>91138722534.951996</v>
      </c>
      <c r="BB1423" t="s">
        <v>4572</v>
      </c>
      <c r="BC1423" t="s">
        <v>4536</v>
      </c>
    </row>
    <row r="1424" spans="1:55" x14ac:dyDescent="0.25">
      <c r="A1424">
        <v>257</v>
      </c>
      <c r="B1424" t="s">
        <v>1595</v>
      </c>
      <c r="C1424" t="s">
        <v>3030</v>
      </c>
      <c r="D1424" t="s">
        <v>4465</v>
      </c>
      <c r="E1424" t="s">
        <v>94</v>
      </c>
      <c r="F1424">
        <v>1134780800</v>
      </c>
      <c r="G1424">
        <v>46.414630000000002</v>
      </c>
      <c r="H1424" t="s">
        <v>102</v>
      </c>
      <c r="I1424">
        <v>52670430963.103996</v>
      </c>
      <c r="J1424" t="s">
        <v>205</v>
      </c>
      <c r="K1424">
        <v>54473652.481698997</v>
      </c>
      <c r="L1424">
        <v>1</v>
      </c>
      <c r="M1424" t="s">
        <v>4536</v>
      </c>
      <c r="O1424" t="s">
        <v>207</v>
      </c>
      <c r="Q1424" t="s">
        <v>207</v>
      </c>
      <c r="R1424" t="s">
        <v>207</v>
      </c>
      <c r="S1424" t="s">
        <v>207</v>
      </c>
      <c r="T1424" t="s">
        <v>207</v>
      </c>
      <c r="U1424" t="s">
        <v>207</v>
      </c>
      <c r="V1424" t="s">
        <v>207</v>
      </c>
      <c r="W1424" t="s">
        <v>207</v>
      </c>
      <c r="X1424" t="s">
        <v>207</v>
      </c>
      <c r="AK1424">
        <v>0</v>
      </c>
      <c r="AL1424">
        <v>1.2999999999999999E-2</v>
      </c>
      <c r="AM1424">
        <v>0</v>
      </c>
      <c r="AO1424" t="s">
        <v>4568</v>
      </c>
      <c r="AQ1424">
        <v>0</v>
      </c>
      <c r="AR1424">
        <v>0</v>
      </c>
      <c r="AW1424">
        <v>4040</v>
      </c>
      <c r="AX1424">
        <v>2.468</v>
      </c>
      <c r="AY1424" t="s">
        <v>210</v>
      </c>
      <c r="BA1424">
        <v>52670430963.103996</v>
      </c>
      <c r="BB1424" t="s">
        <v>4572</v>
      </c>
      <c r="BC1424" t="s">
        <v>4582</v>
      </c>
    </row>
    <row r="1425" spans="1:55" x14ac:dyDescent="0.25">
      <c r="A1425">
        <v>861</v>
      </c>
      <c r="B1425" t="s">
        <v>1596</v>
      </c>
      <c r="C1425" t="s">
        <v>3031</v>
      </c>
      <c r="D1425" t="s">
        <v>4466</v>
      </c>
      <c r="E1425" t="s">
        <v>93</v>
      </c>
      <c r="F1425">
        <v>471009800</v>
      </c>
      <c r="G1425">
        <v>18.914079999999998</v>
      </c>
      <c r="H1425" t="s">
        <v>101</v>
      </c>
      <c r="I1425">
        <v>8908717037.9839993</v>
      </c>
      <c r="J1425" t="s">
        <v>205</v>
      </c>
      <c r="K1425">
        <v>25597259.815307699</v>
      </c>
      <c r="L1425">
        <v>1</v>
      </c>
      <c r="M1425" t="s">
        <v>4536</v>
      </c>
      <c r="O1425" t="s">
        <v>207</v>
      </c>
      <c r="Q1425" t="s">
        <v>207</v>
      </c>
      <c r="R1425" t="s">
        <v>207</v>
      </c>
      <c r="S1425" t="s">
        <v>207</v>
      </c>
      <c r="T1425" t="s">
        <v>207</v>
      </c>
      <c r="U1425" t="s">
        <v>207</v>
      </c>
      <c r="V1425" t="s">
        <v>207</v>
      </c>
      <c r="W1425" t="s">
        <v>207</v>
      </c>
      <c r="X1425" t="s">
        <v>207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210</v>
      </c>
      <c r="BA1425">
        <v>8908717037.9839993</v>
      </c>
      <c r="BB1425" t="s">
        <v>4572</v>
      </c>
      <c r="BC1425" t="s">
        <v>4536</v>
      </c>
    </row>
    <row r="1426" spans="1:55" x14ac:dyDescent="0.25">
      <c r="A1426">
        <v>554</v>
      </c>
      <c r="B1426" t="s">
        <v>1597</v>
      </c>
      <c r="C1426" t="s">
        <v>3032</v>
      </c>
      <c r="D1426" t="s">
        <v>4467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202</v>
      </c>
      <c r="K1426">
        <v>397949834.46308702</v>
      </c>
      <c r="L1426">
        <v>1</v>
      </c>
      <c r="M1426" t="s">
        <v>4536</v>
      </c>
      <c r="O1426" t="s">
        <v>207</v>
      </c>
      <c r="Q1426" t="s">
        <v>207</v>
      </c>
      <c r="R1426" t="s">
        <v>207</v>
      </c>
      <c r="S1426" t="s">
        <v>207</v>
      </c>
      <c r="T1426" t="s">
        <v>207</v>
      </c>
      <c r="U1426" t="s">
        <v>207</v>
      </c>
      <c r="V1426" t="s">
        <v>207</v>
      </c>
      <c r="W1426" t="s">
        <v>207</v>
      </c>
      <c r="X1426" t="s">
        <v>207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208</v>
      </c>
      <c r="BA1426">
        <v>22857237153.783001</v>
      </c>
      <c r="BB1426" t="s">
        <v>4572</v>
      </c>
      <c r="BC1426" t="s">
        <v>4536</v>
      </c>
    </row>
    <row r="1427" spans="1:55" x14ac:dyDescent="0.25">
      <c r="A1427">
        <v>447</v>
      </c>
      <c r="B1427" t="s">
        <v>1598</v>
      </c>
      <c r="C1427" t="s">
        <v>3033</v>
      </c>
      <c r="D1427" t="s">
        <v>4468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202</v>
      </c>
      <c r="K1427">
        <v>217442983.90484101</v>
      </c>
      <c r="L1427">
        <v>1</v>
      </c>
      <c r="M1427" t="s">
        <v>4536</v>
      </c>
      <c r="O1427" t="s">
        <v>207</v>
      </c>
      <c r="Q1427" t="s">
        <v>207</v>
      </c>
      <c r="R1427" t="s">
        <v>207</v>
      </c>
      <c r="S1427" t="s">
        <v>207</v>
      </c>
      <c r="T1427" t="s">
        <v>207</v>
      </c>
      <c r="U1427" t="s">
        <v>207</v>
      </c>
      <c r="V1427" t="s">
        <v>207</v>
      </c>
      <c r="W1427" t="s">
        <v>207</v>
      </c>
      <c r="X1427" t="s">
        <v>207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208</v>
      </c>
      <c r="BA1427">
        <v>30170910198.486</v>
      </c>
      <c r="BB1427" t="s">
        <v>4572</v>
      </c>
      <c r="BC1427" t="s">
        <v>4536</v>
      </c>
    </row>
    <row r="1428" spans="1:55" x14ac:dyDescent="0.25">
      <c r="A1428">
        <v>210</v>
      </c>
      <c r="B1428" t="s">
        <v>1599</v>
      </c>
      <c r="C1428" t="s">
        <v>3034</v>
      </c>
      <c r="D1428" t="s">
        <v>4469</v>
      </c>
      <c r="E1428" t="s">
        <v>94</v>
      </c>
      <c r="F1428">
        <v>3430510700</v>
      </c>
      <c r="G1428">
        <v>18.920729999999999</v>
      </c>
      <c r="H1428" t="s">
        <v>102</v>
      </c>
      <c r="I1428">
        <v>64907766716.810997</v>
      </c>
      <c r="J1428" t="s">
        <v>205</v>
      </c>
      <c r="K1428">
        <v>91310471.611985207</v>
      </c>
      <c r="L1428">
        <v>1</v>
      </c>
      <c r="M1428" t="s">
        <v>4536</v>
      </c>
      <c r="O1428" t="s">
        <v>207</v>
      </c>
      <c r="Q1428" t="s">
        <v>207</v>
      </c>
      <c r="R1428" t="s">
        <v>207</v>
      </c>
      <c r="S1428" t="s">
        <v>207</v>
      </c>
      <c r="T1428" t="s">
        <v>207</v>
      </c>
      <c r="U1428" t="s">
        <v>207</v>
      </c>
      <c r="V1428" t="s">
        <v>207</v>
      </c>
      <c r="W1428" t="s">
        <v>207</v>
      </c>
      <c r="X1428" t="s">
        <v>207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210</v>
      </c>
      <c r="BA1428">
        <v>64907766716.810997</v>
      </c>
      <c r="BB1428" t="s">
        <v>4572</v>
      </c>
      <c r="BC1428" t="s">
        <v>4536</v>
      </c>
    </row>
    <row r="1429" spans="1:55" x14ac:dyDescent="0.25">
      <c r="A1429">
        <v>602</v>
      </c>
      <c r="B1429" t="s">
        <v>1600</v>
      </c>
      <c r="C1429" t="s">
        <v>3035</v>
      </c>
      <c r="D1429" t="s">
        <v>4470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202</v>
      </c>
      <c r="K1429">
        <v>102495893.302791</v>
      </c>
      <c r="L1429">
        <v>1</v>
      </c>
      <c r="M1429" t="s">
        <v>4536</v>
      </c>
      <c r="O1429" t="s">
        <v>207</v>
      </c>
      <c r="Q1429" t="s">
        <v>207</v>
      </c>
      <c r="R1429" t="s">
        <v>207</v>
      </c>
      <c r="S1429" t="s">
        <v>207</v>
      </c>
      <c r="T1429" t="s">
        <v>207</v>
      </c>
      <c r="U1429" t="s">
        <v>207</v>
      </c>
      <c r="V1429" t="s">
        <v>207</v>
      </c>
      <c r="W1429" t="s">
        <v>207</v>
      </c>
      <c r="X1429" t="s">
        <v>207</v>
      </c>
      <c r="AK1429">
        <v>0</v>
      </c>
      <c r="AL1429">
        <v>0.01</v>
      </c>
      <c r="AM1429">
        <v>0</v>
      </c>
      <c r="AO1429" t="s">
        <v>4568</v>
      </c>
      <c r="AQ1429">
        <v>0</v>
      </c>
      <c r="AR1429">
        <v>0</v>
      </c>
      <c r="AW1429">
        <v>3510</v>
      </c>
      <c r="AX1429">
        <v>2.0699999999999998</v>
      </c>
      <c r="AY1429" t="s">
        <v>208</v>
      </c>
      <c r="BA1429">
        <v>20618764537.560001</v>
      </c>
      <c r="BB1429" t="s">
        <v>4572</v>
      </c>
      <c r="BC1429" t="s">
        <v>4582</v>
      </c>
    </row>
    <row r="1430" spans="1:55" x14ac:dyDescent="0.25">
      <c r="A1430">
        <v>1018</v>
      </c>
      <c r="B1430" t="s">
        <v>1601</v>
      </c>
      <c r="C1430" t="s">
        <v>3036</v>
      </c>
      <c r="D1430" t="s">
        <v>4471</v>
      </c>
      <c r="E1430" t="s">
        <v>4518</v>
      </c>
      <c r="F1430">
        <v>12830220000</v>
      </c>
      <c r="G1430">
        <v>0.76085040000000004</v>
      </c>
      <c r="H1430" t="s">
        <v>4529</v>
      </c>
      <c r="I1430">
        <v>9761878019.0880013</v>
      </c>
      <c r="J1430" t="s">
        <v>205</v>
      </c>
      <c r="K1430">
        <v>20932115.1333168</v>
      </c>
      <c r="L1430">
        <v>0.6</v>
      </c>
      <c r="M1430" t="s">
        <v>4536</v>
      </c>
      <c r="O1430" t="s">
        <v>207</v>
      </c>
      <c r="Q1430" t="s">
        <v>207</v>
      </c>
      <c r="R1430" t="s">
        <v>207</v>
      </c>
      <c r="S1430" t="s">
        <v>207</v>
      </c>
      <c r="T1430" t="s">
        <v>207</v>
      </c>
      <c r="U1430" t="s">
        <v>207</v>
      </c>
      <c r="V1430" t="s">
        <v>207</v>
      </c>
      <c r="W1430" t="s">
        <v>207</v>
      </c>
      <c r="X1430" t="s">
        <v>207</v>
      </c>
      <c r="AG1430" t="s">
        <v>4548</v>
      </c>
      <c r="AI1430" t="s">
        <v>4565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210</v>
      </c>
      <c r="BA1430">
        <v>5857126811.4528008</v>
      </c>
      <c r="BB1430" t="s">
        <v>4572</v>
      </c>
      <c r="BC1430" t="s">
        <v>4597</v>
      </c>
    </row>
    <row r="1431" spans="1:55" x14ac:dyDescent="0.25">
      <c r="A1431">
        <v>1204</v>
      </c>
      <c r="B1431" t="s">
        <v>1602</v>
      </c>
      <c r="C1431" t="s">
        <v>3037</v>
      </c>
      <c r="D1431" t="s">
        <v>4472</v>
      </c>
      <c r="E1431" t="s">
        <v>4518</v>
      </c>
      <c r="F1431">
        <v>3036227300</v>
      </c>
      <c r="G1431">
        <v>2.4056660000000001</v>
      </c>
      <c r="H1431" t="s">
        <v>4529</v>
      </c>
      <c r="I1431">
        <v>7304148783.8818007</v>
      </c>
      <c r="J1431" t="s">
        <v>205</v>
      </c>
      <c r="K1431">
        <v>7982748.8595248098</v>
      </c>
      <c r="L1431">
        <v>0.5</v>
      </c>
      <c r="M1431" t="s">
        <v>4536</v>
      </c>
      <c r="N1431" t="s">
        <v>4537</v>
      </c>
      <c r="O1431" t="s">
        <v>207</v>
      </c>
      <c r="Q1431" t="s">
        <v>207</v>
      </c>
      <c r="R1431" t="s">
        <v>207</v>
      </c>
      <c r="S1431" t="s">
        <v>207</v>
      </c>
      <c r="T1431" t="s">
        <v>207</v>
      </c>
      <c r="U1431" t="s">
        <v>207</v>
      </c>
      <c r="V1431" t="s">
        <v>207</v>
      </c>
      <c r="W1431" t="s">
        <v>207</v>
      </c>
      <c r="X1431" t="s">
        <v>207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210</v>
      </c>
      <c r="BA1431">
        <v>3652074391.9408998</v>
      </c>
      <c r="BB1431" t="s">
        <v>4572</v>
      </c>
      <c r="BC1431" t="s">
        <v>4575</v>
      </c>
    </row>
    <row r="1432" spans="1:55" x14ac:dyDescent="0.25">
      <c r="A1432">
        <v>457</v>
      </c>
      <c r="B1432" t="s">
        <v>1603</v>
      </c>
      <c r="C1432" t="s">
        <v>3038</v>
      </c>
      <c r="D1432" t="s">
        <v>4473</v>
      </c>
      <c r="E1432" t="s">
        <v>97</v>
      </c>
      <c r="F1432">
        <v>453677500</v>
      </c>
      <c r="G1432">
        <v>65.226650000000006</v>
      </c>
      <c r="H1432" t="s">
        <v>104</v>
      </c>
      <c r="I1432">
        <v>29591863505.375</v>
      </c>
      <c r="J1432" t="s">
        <v>202</v>
      </c>
      <c r="K1432">
        <v>40676979.352115497</v>
      </c>
      <c r="L1432">
        <v>1</v>
      </c>
      <c r="M1432" t="s">
        <v>4536</v>
      </c>
      <c r="O1432" t="s">
        <v>207</v>
      </c>
      <c r="Q1432" t="s">
        <v>207</v>
      </c>
      <c r="R1432" t="s">
        <v>207</v>
      </c>
      <c r="S1432" t="s">
        <v>207</v>
      </c>
      <c r="T1432" t="s">
        <v>207</v>
      </c>
      <c r="U1432" t="s">
        <v>207</v>
      </c>
      <c r="V1432" t="s">
        <v>207</v>
      </c>
      <c r="W1432" t="s">
        <v>207</v>
      </c>
      <c r="X1432" t="s">
        <v>207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208</v>
      </c>
      <c r="BA1432">
        <v>29591863505.375</v>
      </c>
      <c r="BB1432" t="s">
        <v>4572</v>
      </c>
      <c r="BC1432" t="s">
        <v>4536</v>
      </c>
    </row>
    <row r="1433" spans="1:55" x14ac:dyDescent="0.25">
      <c r="A1433">
        <v>1033</v>
      </c>
      <c r="B1433" t="s">
        <v>1604</v>
      </c>
      <c r="C1433" t="s">
        <v>3039</v>
      </c>
      <c r="D1433" t="s">
        <v>4474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204</v>
      </c>
      <c r="K1433">
        <v>15630698.560913401</v>
      </c>
      <c r="L1433">
        <v>1</v>
      </c>
      <c r="M1433" t="s">
        <v>4536</v>
      </c>
      <c r="O1433" t="s">
        <v>207</v>
      </c>
      <c r="Q1433" t="s">
        <v>207</v>
      </c>
      <c r="R1433" t="s">
        <v>207</v>
      </c>
      <c r="S1433" t="s">
        <v>207</v>
      </c>
      <c r="T1433" t="s">
        <v>207</v>
      </c>
      <c r="U1433" t="s">
        <v>207</v>
      </c>
      <c r="V1433" t="s">
        <v>207</v>
      </c>
      <c r="W1433" t="s">
        <v>207</v>
      </c>
      <c r="X1433" t="s">
        <v>207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209</v>
      </c>
      <c r="BA1433">
        <v>5647828311.5681</v>
      </c>
      <c r="BB1433" t="s">
        <v>4572</v>
      </c>
      <c r="BC1433" t="s">
        <v>4536</v>
      </c>
    </row>
    <row r="1434" spans="1:55" x14ac:dyDescent="0.25">
      <c r="A1434">
        <v>1346</v>
      </c>
      <c r="B1434" t="s">
        <v>1605</v>
      </c>
      <c r="C1434" t="s">
        <v>3040</v>
      </c>
      <c r="D1434" t="s">
        <v>4475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2882191717.9439402</v>
      </c>
      <c r="J1434" t="s">
        <v>205</v>
      </c>
      <c r="K1434">
        <v>21940114.226231199</v>
      </c>
      <c r="L1434">
        <v>1</v>
      </c>
      <c r="M1434" t="s">
        <v>4536</v>
      </c>
      <c r="O1434" t="s">
        <v>207</v>
      </c>
      <c r="Q1434" t="s">
        <v>207</v>
      </c>
      <c r="R1434" t="s">
        <v>207</v>
      </c>
      <c r="S1434" t="s">
        <v>207</v>
      </c>
      <c r="T1434" t="s">
        <v>207</v>
      </c>
      <c r="U1434" t="s">
        <v>207</v>
      </c>
      <c r="V1434" t="s">
        <v>207</v>
      </c>
      <c r="W1434" t="s">
        <v>207</v>
      </c>
      <c r="X1434" t="s">
        <v>207</v>
      </c>
      <c r="AK1434">
        <v>0.97299999999999998</v>
      </c>
      <c r="AL1434">
        <v>1</v>
      </c>
      <c r="AM1434">
        <v>0</v>
      </c>
      <c r="AN1434" t="s">
        <v>4567</v>
      </c>
      <c r="AO1434" t="s">
        <v>4568</v>
      </c>
      <c r="AQ1434">
        <v>0</v>
      </c>
      <c r="AR1434">
        <v>0</v>
      </c>
      <c r="AW1434">
        <v>6010</v>
      </c>
      <c r="AX1434">
        <v>2.3660000000000001</v>
      </c>
      <c r="AY1434" t="s">
        <v>210</v>
      </c>
      <c r="BA1434">
        <v>2882191717.9439402</v>
      </c>
      <c r="BB1434" t="s">
        <v>4572</v>
      </c>
      <c r="BC1434" t="s">
        <v>4599</v>
      </c>
    </row>
    <row r="1435" spans="1:55" x14ac:dyDescent="0.25">
      <c r="A1435">
        <v>1258</v>
      </c>
      <c r="B1435" t="s">
        <v>1606</v>
      </c>
      <c r="C1435" t="s">
        <v>3041</v>
      </c>
      <c r="D1435" t="s">
        <v>4476</v>
      </c>
      <c r="E1435" t="s">
        <v>4524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203</v>
      </c>
      <c r="K1435">
        <v>6821360.8039344298</v>
      </c>
      <c r="L1435">
        <v>1</v>
      </c>
      <c r="M1435" t="s">
        <v>4536</v>
      </c>
      <c r="N1435" t="s">
        <v>4537</v>
      </c>
      <c r="O1435" t="s">
        <v>207</v>
      </c>
      <c r="Q1435" t="s">
        <v>207</v>
      </c>
      <c r="R1435" t="s">
        <v>207</v>
      </c>
      <c r="S1435" t="s">
        <v>207</v>
      </c>
      <c r="T1435" t="s">
        <v>207</v>
      </c>
      <c r="U1435" t="s">
        <v>207</v>
      </c>
      <c r="V1435" t="s">
        <v>207</v>
      </c>
      <c r="W1435" t="s">
        <v>207</v>
      </c>
      <c r="X1435" t="s">
        <v>207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209</v>
      </c>
      <c r="BA1435">
        <v>3313981382.3600001</v>
      </c>
      <c r="BB1435" t="s">
        <v>4572</v>
      </c>
      <c r="BC1435" t="s">
        <v>4575</v>
      </c>
    </row>
    <row r="1436" spans="1:55" x14ac:dyDescent="0.25">
      <c r="A1436">
        <v>198</v>
      </c>
      <c r="B1436" t="s">
        <v>1607</v>
      </c>
      <c r="C1436" t="s">
        <v>3042</v>
      </c>
      <c r="D1436" t="s">
        <v>4477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202</v>
      </c>
      <c r="K1436">
        <v>405306861.45444101</v>
      </c>
      <c r="L1436">
        <v>1</v>
      </c>
      <c r="M1436" t="s">
        <v>4536</v>
      </c>
      <c r="O1436" t="s">
        <v>207</v>
      </c>
      <c r="Q1436" t="s">
        <v>207</v>
      </c>
      <c r="R1436" t="s">
        <v>207</v>
      </c>
      <c r="S1436" t="s">
        <v>207</v>
      </c>
      <c r="T1436" t="s">
        <v>207</v>
      </c>
      <c r="U1436" t="s">
        <v>207</v>
      </c>
      <c r="V1436" t="s">
        <v>207</v>
      </c>
      <c r="W1436" t="s">
        <v>207</v>
      </c>
      <c r="X1436" t="s">
        <v>207</v>
      </c>
      <c r="AK1436">
        <v>0</v>
      </c>
      <c r="AL1436">
        <v>1</v>
      </c>
      <c r="AM1436">
        <v>0</v>
      </c>
      <c r="AO1436" t="s">
        <v>4568</v>
      </c>
      <c r="AQ1436">
        <v>0</v>
      </c>
      <c r="AR1436">
        <v>0</v>
      </c>
      <c r="AW1436">
        <v>6010</v>
      </c>
      <c r="AX1436">
        <v>2.6970000000000001</v>
      </c>
      <c r="AY1436" t="s">
        <v>208</v>
      </c>
      <c r="BA1436">
        <v>66972776474.595993</v>
      </c>
      <c r="BB1436" t="s">
        <v>4572</v>
      </c>
      <c r="BC1436" t="s">
        <v>4582</v>
      </c>
    </row>
    <row r="1437" spans="1:55" x14ac:dyDescent="0.25">
      <c r="A1437">
        <v>576</v>
      </c>
      <c r="B1437" t="s">
        <v>1608</v>
      </c>
      <c r="C1437" t="s">
        <v>3043</v>
      </c>
      <c r="D1437" t="s">
        <v>4478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202</v>
      </c>
      <c r="K1437">
        <v>305833059.36661202</v>
      </c>
      <c r="L1437">
        <v>0.95</v>
      </c>
      <c r="M1437" t="s">
        <v>4536</v>
      </c>
      <c r="O1437" t="s">
        <v>207</v>
      </c>
      <c r="Q1437" t="s">
        <v>207</v>
      </c>
      <c r="R1437" t="s">
        <v>207</v>
      </c>
      <c r="S1437" t="s">
        <v>207</v>
      </c>
      <c r="T1437" t="s">
        <v>207</v>
      </c>
      <c r="U1437" t="s">
        <v>207</v>
      </c>
      <c r="V1437" t="s">
        <v>207</v>
      </c>
      <c r="W1437" t="s">
        <v>207</v>
      </c>
      <c r="X1437" t="s">
        <v>207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208</v>
      </c>
      <c r="AZ1437" t="s">
        <v>4571</v>
      </c>
      <c r="BA1437">
        <v>21831961126.66695</v>
      </c>
      <c r="BB1437" t="s">
        <v>4572</v>
      </c>
      <c r="BC1437" t="s">
        <v>4577</v>
      </c>
    </row>
    <row r="1438" spans="1:55" x14ac:dyDescent="0.25">
      <c r="A1438">
        <v>429</v>
      </c>
      <c r="B1438" t="s">
        <v>198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202</v>
      </c>
      <c r="K1438">
        <v>195273317.80531701</v>
      </c>
      <c r="L1438">
        <v>1</v>
      </c>
      <c r="O1438" t="s">
        <v>207</v>
      </c>
      <c r="Q1438" t="s">
        <v>207</v>
      </c>
      <c r="R1438" t="s">
        <v>207</v>
      </c>
      <c r="S1438" t="s">
        <v>207</v>
      </c>
      <c r="T1438" t="s">
        <v>207</v>
      </c>
      <c r="U1438" t="s">
        <v>207</v>
      </c>
      <c r="V1438" t="s">
        <v>207</v>
      </c>
      <c r="W1438" t="s">
        <v>207</v>
      </c>
      <c r="X1438" t="s">
        <v>207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208</v>
      </c>
      <c r="BA1438">
        <v>31402645936.909</v>
      </c>
      <c r="BB1438" t="s">
        <v>211</v>
      </c>
    </row>
    <row r="1439" spans="1:55" x14ac:dyDescent="0.25">
      <c r="A1439">
        <v>983</v>
      </c>
      <c r="B1439" t="s">
        <v>1609</v>
      </c>
      <c r="C1439" t="s">
        <v>3044</v>
      </c>
      <c r="D1439" t="s">
        <v>4479</v>
      </c>
      <c r="E1439" t="s">
        <v>4527</v>
      </c>
      <c r="F1439">
        <v>6403401000</v>
      </c>
      <c r="G1439">
        <v>2.204399</v>
      </c>
      <c r="H1439" t="s">
        <v>4534</v>
      </c>
      <c r="I1439">
        <v>14115650760.999001</v>
      </c>
      <c r="J1439" t="s">
        <v>205</v>
      </c>
      <c r="K1439">
        <v>9858832.1195746008</v>
      </c>
      <c r="L1439">
        <v>0.45</v>
      </c>
      <c r="M1439" t="s">
        <v>4536</v>
      </c>
      <c r="N1439" t="s">
        <v>4537</v>
      </c>
      <c r="O1439" t="s">
        <v>206</v>
      </c>
      <c r="Q1439" t="s">
        <v>207</v>
      </c>
      <c r="R1439" t="s">
        <v>207</v>
      </c>
      <c r="S1439" t="s">
        <v>207</v>
      </c>
      <c r="T1439" t="s">
        <v>207</v>
      </c>
      <c r="U1439" t="s">
        <v>207</v>
      </c>
      <c r="V1439" t="s">
        <v>207</v>
      </c>
      <c r="W1439" t="s">
        <v>207</v>
      </c>
      <c r="X1439" t="s">
        <v>207</v>
      </c>
      <c r="AG1439" t="s">
        <v>4546</v>
      </c>
      <c r="AH1439" t="s">
        <v>4564</v>
      </c>
      <c r="AI1439" t="s">
        <v>4565</v>
      </c>
      <c r="AJ1439" t="s">
        <v>4566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210</v>
      </c>
      <c r="BA1439">
        <v>6352042842.4495506</v>
      </c>
      <c r="BB1439" t="s">
        <v>4572</v>
      </c>
      <c r="BC1439" t="s">
        <v>4592</v>
      </c>
    </row>
    <row r="1440" spans="1:55" x14ac:dyDescent="0.25">
      <c r="A1440">
        <v>864</v>
      </c>
      <c r="B1440" t="s">
        <v>1610</v>
      </c>
      <c r="C1440" t="s">
        <v>3045</v>
      </c>
      <c r="D1440" t="s">
        <v>4480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204</v>
      </c>
      <c r="K1440">
        <v>16755582.785158001</v>
      </c>
      <c r="L1440">
        <v>0.7</v>
      </c>
      <c r="M1440" t="s">
        <v>4536</v>
      </c>
      <c r="O1440" t="s">
        <v>207</v>
      </c>
      <c r="Q1440" t="s">
        <v>207</v>
      </c>
      <c r="R1440" t="s">
        <v>207</v>
      </c>
      <c r="S1440" t="s">
        <v>207</v>
      </c>
      <c r="T1440" t="s">
        <v>207</v>
      </c>
      <c r="U1440" t="s">
        <v>207</v>
      </c>
      <c r="V1440" t="s">
        <v>207</v>
      </c>
      <c r="W1440" t="s">
        <v>207</v>
      </c>
      <c r="X1440" t="s">
        <v>207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209</v>
      </c>
      <c r="BA1440">
        <v>8830302922.9855995</v>
      </c>
      <c r="BB1440" t="s">
        <v>4572</v>
      </c>
      <c r="BC1440" t="s">
        <v>4536</v>
      </c>
    </row>
    <row r="1441" spans="1:55" x14ac:dyDescent="0.25">
      <c r="A1441">
        <v>768</v>
      </c>
      <c r="B1441" t="s">
        <v>1611</v>
      </c>
      <c r="C1441" t="s">
        <v>3046</v>
      </c>
      <c r="D1441" t="s">
        <v>4481</v>
      </c>
      <c r="E1441" t="s">
        <v>94</v>
      </c>
      <c r="F1441">
        <v>334469600</v>
      </c>
      <c r="G1441">
        <v>74.207310000000007</v>
      </c>
      <c r="H1441" t="s">
        <v>102</v>
      </c>
      <c r="I1441">
        <v>24820089292.776001</v>
      </c>
      <c r="J1441" t="s">
        <v>205</v>
      </c>
      <c r="K1441">
        <v>47355208.043463796</v>
      </c>
      <c r="L1441">
        <v>0.55000000000000004</v>
      </c>
      <c r="M1441" t="s">
        <v>4536</v>
      </c>
      <c r="O1441" t="s">
        <v>207</v>
      </c>
      <c r="Q1441" t="s">
        <v>207</v>
      </c>
      <c r="R1441" t="s">
        <v>207</v>
      </c>
      <c r="S1441" t="s">
        <v>207</v>
      </c>
      <c r="T1441" t="s">
        <v>207</v>
      </c>
      <c r="U1441" t="s">
        <v>207</v>
      </c>
      <c r="V1441" t="s">
        <v>207</v>
      </c>
      <c r="W1441" t="s">
        <v>207</v>
      </c>
      <c r="X1441" t="s">
        <v>207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210</v>
      </c>
      <c r="AZ1441" t="s">
        <v>4571</v>
      </c>
      <c r="BA1441">
        <v>13651049111.0268</v>
      </c>
      <c r="BB1441" t="s">
        <v>4572</v>
      </c>
      <c r="BC1441" t="s">
        <v>4577</v>
      </c>
    </row>
    <row r="1442" spans="1:55" x14ac:dyDescent="0.25">
      <c r="A1442">
        <v>337</v>
      </c>
      <c r="B1442" t="s">
        <v>1612</v>
      </c>
      <c r="C1442" t="s">
        <v>3047</v>
      </c>
      <c r="D1442" t="s">
        <v>4482</v>
      </c>
      <c r="E1442" t="s">
        <v>96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203</v>
      </c>
      <c r="K1442">
        <v>74863714.427777797</v>
      </c>
      <c r="L1442">
        <v>1</v>
      </c>
      <c r="M1442" t="s">
        <v>4536</v>
      </c>
      <c r="O1442" t="s">
        <v>207</v>
      </c>
      <c r="Q1442" t="s">
        <v>207</v>
      </c>
      <c r="R1442" t="s">
        <v>207</v>
      </c>
      <c r="S1442" t="s">
        <v>207</v>
      </c>
      <c r="T1442" t="s">
        <v>207</v>
      </c>
      <c r="U1442" t="s">
        <v>207</v>
      </c>
      <c r="V1442" t="s">
        <v>207</v>
      </c>
      <c r="W1442" t="s">
        <v>207</v>
      </c>
      <c r="X1442" t="s">
        <v>207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209</v>
      </c>
      <c r="BA1442">
        <v>41167888007.800003</v>
      </c>
      <c r="BB1442" t="s">
        <v>4572</v>
      </c>
      <c r="BC1442" t="s">
        <v>4536</v>
      </c>
    </row>
    <row r="1443" spans="1:55" x14ac:dyDescent="0.25">
      <c r="A1443">
        <v>485</v>
      </c>
      <c r="B1443" t="s">
        <v>1613</v>
      </c>
      <c r="C1443" t="s">
        <v>3048</v>
      </c>
      <c r="D1443" t="s">
        <v>4483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26871942619.512001</v>
      </c>
      <c r="J1443" t="s">
        <v>205</v>
      </c>
      <c r="K1443">
        <v>59012274.457007296</v>
      </c>
      <c r="L1443">
        <v>1</v>
      </c>
      <c r="M1443" t="s">
        <v>4536</v>
      </c>
      <c r="O1443" t="s">
        <v>206</v>
      </c>
      <c r="Q1443" t="s">
        <v>207</v>
      </c>
      <c r="R1443" t="s">
        <v>207</v>
      </c>
      <c r="S1443" t="s">
        <v>207</v>
      </c>
      <c r="T1443" t="s">
        <v>207</v>
      </c>
      <c r="U1443" t="s">
        <v>207</v>
      </c>
      <c r="V1443" t="s">
        <v>207</v>
      </c>
      <c r="W1443" t="s">
        <v>207</v>
      </c>
      <c r="X1443" t="s">
        <v>207</v>
      </c>
      <c r="AL1443">
        <v>1</v>
      </c>
      <c r="AO1443" t="s">
        <v>4568</v>
      </c>
      <c r="AQ1443">
        <v>0</v>
      </c>
      <c r="AR1443">
        <v>0</v>
      </c>
      <c r="AW1443">
        <v>6010</v>
      </c>
      <c r="AX1443">
        <v>2.4350000000000001</v>
      </c>
      <c r="AY1443" t="s">
        <v>210</v>
      </c>
      <c r="BA1443">
        <v>26871942619.512001</v>
      </c>
      <c r="BB1443" t="s">
        <v>4572</v>
      </c>
      <c r="BC1443" t="s">
        <v>4582</v>
      </c>
    </row>
    <row r="1444" spans="1:55" x14ac:dyDescent="0.25">
      <c r="A1444">
        <v>552</v>
      </c>
      <c r="B1444" t="s">
        <v>1614</v>
      </c>
      <c r="C1444" t="s">
        <v>3049</v>
      </c>
      <c r="D1444" t="s">
        <v>4484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22867601787.969002</v>
      </c>
      <c r="J1444" t="s">
        <v>205</v>
      </c>
      <c r="K1444">
        <v>33160617.8657353</v>
      </c>
      <c r="L1444">
        <v>1</v>
      </c>
      <c r="M1444" t="s">
        <v>4536</v>
      </c>
      <c r="O1444" t="s">
        <v>206</v>
      </c>
      <c r="Q1444" t="s">
        <v>207</v>
      </c>
      <c r="R1444" t="s">
        <v>207</v>
      </c>
      <c r="S1444" t="s">
        <v>207</v>
      </c>
      <c r="T1444" t="s">
        <v>207</v>
      </c>
      <c r="U1444" t="s">
        <v>207</v>
      </c>
      <c r="V1444" t="s">
        <v>207</v>
      </c>
      <c r="W1444" t="s">
        <v>207</v>
      </c>
      <c r="X1444" t="s">
        <v>207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210</v>
      </c>
      <c r="BA1444">
        <v>22867601787.969002</v>
      </c>
      <c r="BB1444" t="s">
        <v>4572</v>
      </c>
      <c r="BC1444" t="s">
        <v>4536</v>
      </c>
    </row>
    <row r="1445" spans="1:55" x14ac:dyDescent="0.25">
      <c r="A1445">
        <v>259</v>
      </c>
      <c r="B1445" t="s">
        <v>1615</v>
      </c>
      <c r="C1445" t="s">
        <v>3050</v>
      </c>
      <c r="D1445" t="s">
        <v>4485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202</v>
      </c>
      <c r="K1445">
        <v>903670762.72305799</v>
      </c>
      <c r="L1445">
        <v>1</v>
      </c>
      <c r="M1445" t="s">
        <v>4536</v>
      </c>
      <c r="O1445" t="s">
        <v>207</v>
      </c>
      <c r="Q1445" t="s">
        <v>207</v>
      </c>
      <c r="R1445" t="s">
        <v>207</v>
      </c>
      <c r="S1445" t="s">
        <v>207</v>
      </c>
      <c r="T1445" t="s">
        <v>207</v>
      </c>
      <c r="U1445" t="s">
        <v>207</v>
      </c>
      <c r="V1445" t="s">
        <v>207</v>
      </c>
      <c r="W1445" t="s">
        <v>207</v>
      </c>
      <c r="X1445" t="s">
        <v>207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208</v>
      </c>
      <c r="BA1445">
        <v>52479648000</v>
      </c>
      <c r="BB1445" t="s">
        <v>4572</v>
      </c>
      <c r="BC1445" t="s">
        <v>4536</v>
      </c>
    </row>
    <row r="1446" spans="1:55" x14ac:dyDescent="0.25">
      <c r="A1446">
        <v>1124</v>
      </c>
      <c r="B1446" t="s">
        <v>1616</v>
      </c>
      <c r="C1446" t="s">
        <v>3051</v>
      </c>
      <c r="D1446" t="s">
        <v>4486</v>
      </c>
      <c r="E1446" t="s">
        <v>94</v>
      </c>
      <c r="F1446">
        <v>529105500</v>
      </c>
      <c r="G1446">
        <v>8.6890239999999999</v>
      </c>
      <c r="H1446" t="s">
        <v>102</v>
      </c>
      <c r="I1446">
        <v>4597410388.0319996</v>
      </c>
      <c r="J1446" t="s">
        <v>205</v>
      </c>
      <c r="K1446">
        <v>13058205.263222599</v>
      </c>
      <c r="L1446">
        <v>0.95</v>
      </c>
      <c r="M1446" t="s">
        <v>4536</v>
      </c>
      <c r="O1446" t="s">
        <v>207</v>
      </c>
      <c r="Q1446" t="s">
        <v>207</v>
      </c>
      <c r="R1446" t="s">
        <v>207</v>
      </c>
      <c r="S1446" t="s">
        <v>207</v>
      </c>
      <c r="T1446" t="s">
        <v>207</v>
      </c>
      <c r="U1446" t="s">
        <v>207</v>
      </c>
      <c r="V1446" t="s">
        <v>207</v>
      </c>
      <c r="W1446" t="s">
        <v>207</v>
      </c>
      <c r="X1446" t="s">
        <v>207</v>
      </c>
      <c r="AK1446">
        <v>0</v>
      </c>
      <c r="AL1446">
        <v>0.5</v>
      </c>
      <c r="AM1446">
        <v>0</v>
      </c>
      <c r="AO1446" t="s">
        <v>4568</v>
      </c>
      <c r="AQ1446">
        <v>0</v>
      </c>
      <c r="AR1446">
        <v>0</v>
      </c>
      <c r="AW1446">
        <v>5010</v>
      </c>
      <c r="AX1446">
        <v>2.5489999999999999</v>
      </c>
      <c r="AY1446" t="s">
        <v>210</v>
      </c>
      <c r="BA1446">
        <v>4367539868.6303997</v>
      </c>
      <c r="BB1446" t="s">
        <v>4572</v>
      </c>
      <c r="BC1446" t="s">
        <v>4582</v>
      </c>
    </row>
    <row r="1447" spans="1:55" x14ac:dyDescent="0.25">
      <c r="A1447">
        <v>844</v>
      </c>
      <c r="B1447" t="s">
        <v>1617</v>
      </c>
      <c r="C1447" t="s">
        <v>3052</v>
      </c>
      <c r="D1447" t="s">
        <v>4487</v>
      </c>
      <c r="E1447" t="s">
        <v>91</v>
      </c>
      <c r="F1447">
        <v>1078802400</v>
      </c>
      <c r="G1447">
        <v>9.1105959999999993</v>
      </c>
      <c r="H1447" t="s">
        <v>100</v>
      </c>
      <c r="I1447">
        <v>9828532830.2304001</v>
      </c>
      <c r="J1447" t="s">
        <v>204</v>
      </c>
      <c r="K1447">
        <v>20881891.102371901</v>
      </c>
      <c r="L1447">
        <v>0.95</v>
      </c>
      <c r="O1447" t="s">
        <v>207</v>
      </c>
      <c r="Q1447" t="s">
        <v>207</v>
      </c>
      <c r="R1447" t="s">
        <v>207</v>
      </c>
      <c r="S1447" t="s">
        <v>207</v>
      </c>
      <c r="T1447" t="s">
        <v>207</v>
      </c>
      <c r="U1447" t="s">
        <v>207</v>
      </c>
      <c r="V1447" t="s">
        <v>207</v>
      </c>
      <c r="W1447" t="s">
        <v>207</v>
      </c>
      <c r="X1447" t="s">
        <v>207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209</v>
      </c>
      <c r="BA1447">
        <v>9337106188.7188797</v>
      </c>
      <c r="BB1447" t="s">
        <v>211</v>
      </c>
    </row>
    <row r="1448" spans="1:55" x14ac:dyDescent="0.25">
      <c r="A1448">
        <v>649</v>
      </c>
      <c r="B1448" t="s">
        <v>1618</v>
      </c>
      <c r="C1448" t="s">
        <v>3053</v>
      </c>
      <c r="D1448" t="s">
        <v>4488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22159253858.400002</v>
      </c>
      <c r="J1448" t="s">
        <v>202</v>
      </c>
      <c r="K1448">
        <v>38294248.495109998</v>
      </c>
      <c r="L1448">
        <v>0.85</v>
      </c>
      <c r="M1448" t="s">
        <v>4536</v>
      </c>
      <c r="O1448" t="s">
        <v>207</v>
      </c>
      <c r="Q1448" t="s">
        <v>207</v>
      </c>
      <c r="R1448" t="s">
        <v>207</v>
      </c>
      <c r="S1448" t="s">
        <v>207</v>
      </c>
      <c r="T1448" t="s">
        <v>207</v>
      </c>
      <c r="U1448" t="s">
        <v>207</v>
      </c>
      <c r="V1448" t="s">
        <v>207</v>
      </c>
      <c r="W1448" t="s">
        <v>207</v>
      </c>
      <c r="X1448" t="s">
        <v>207</v>
      </c>
      <c r="AK1448">
        <v>0</v>
      </c>
      <c r="AL1448">
        <v>0.05</v>
      </c>
      <c r="AM1448">
        <v>0</v>
      </c>
      <c r="AO1448" t="s">
        <v>4568</v>
      </c>
      <c r="AQ1448">
        <v>0</v>
      </c>
      <c r="AR1448">
        <v>0</v>
      </c>
      <c r="AW1448">
        <v>5010</v>
      </c>
      <c r="AX1448">
        <v>2.6970000000000001</v>
      </c>
      <c r="AY1448" t="s">
        <v>208</v>
      </c>
      <c r="BA1448">
        <v>18835365779.639999</v>
      </c>
      <c r="BB1448" t="s">
        <v>4572</v>
      </c>
      <c r="BC1448" t="s">
        <v>4582</v>
      </c>
    </row>
    <row r="1449" spans="1:55" x14ac:dyDescent="0.25">
      <c r="A1449">
        <v>808</v>
      </c>
      <c r="B1449" t="s">
        <v>1619</v>
      </c>
      <c r="C1449" t="s">
        <v>3054</v>
      </c>
      <c r="D1449" t="s">
        <v>4489</v>
      </c>
      <c r="E1449" t="s">
        <v>4518</v>
      </c>
      <c r="F1449">
        <v>4107040000</v>
      </c>
      <c r="G1449">
        <v>3.2009889999999999</v>
      </c>
      <c r="H1449" t="s">
        <v>4529</v>
      </c>
      <c r="I1449">
        <v>13146589862.559999</v>
      </c>
      <c r="J1449" t="s">
        <v>205</v>
      </c>
      <c r="K1449">
        <v>118348070.167116</v>
      </c>
      <c r="L1449">
        <v>0.85</v>
      </c>
      <c r="M1449" t="s">
        <v>4536</v>
      </c>
      <c r="O1449" t="s">
        <v>207</v>
      </c>
      <c r="Q1449" t="s">
        <v>207</v>
      </c>
      <c r="R1449" t="s">
        <v>207</v>
      </c>
      <c r="S1449" t="s">
        <v>207</v>
      </c>
      <c r="T1449" t="s">
        <v>207</v>
      </c>
      <c r="U1449" t="s">
        <v>207</v>
      </c>
      <c r="V1449" t="s">
        <v>207</v>
      </c>
      <c r="W1449" t="s">
        <v>207</v>
      </c>
      <c r="X1449" t="s">
        <v>207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210</v>
      </c>
      <c r="BA1449">
        <v>11174601383.176001</v>
      </c>
      <c r="BB1449" t="s">
        <v>4572</v>
      </c>
      <c r="BC1449" t="s">
        <v>4536</v>
      </c>
    </row>
    <row r="1450" spans="1:55" x14ac:dyDescent="0.25">
      <c r="A1450">
        <v>365</v>
      </c>
      <c r="B1450" t="s">
        <v>1620</v>
      </c>
      <c r="C1450" t="s">
        <v>3055</v>
      </c>
      <c r="D1450" t="s">
        <v>4490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202</v>
      </c>
      <c r="K1450">
        <v>218068633.33728099</v>
      </c>
      <c r="L1450">
        <v>1</v>
      </c>
      <c r="M1450" t="s">
        <v>4536</v>
      </c>
      <c r="O1450" t="s">
        <v>207</v>
      </c>
      <c r="Q1450" t="s">
        <v>207</v>
      </c>
      <c r="R1450" t="s">
        <v>207</v>
      </c>
      <c r="S1450" t="s">
        <v>207</v>
      </c>
      <c r="T1450" t="s">
        <v>207</v>
      </c>
      <c r="U1450" t="s">
        <v>207</v>
      </c>
      <c r="V1450" t="s">
        <v>207</v>
      </c>
      <c r="W1450" t="s">
        <v>207</v>
      </c>
      <c r="X1450" t="s">
        <v>207</v>
      </c>
      <c r="AK1450">
        <v>0.15720000000000001</v>
      </c>
      <c r="AL1450">
        <v>0.58899999999999997</v>
      </c>
      <c r="AM1450">
        <v>0.4022</v>
      </c>
      <c r="AN1450" t="s">
        <v>4567</v>
      </c>
      <c r="AO1450" t="s">
        <v>4568</v>
      </c>
      <c r="AP1450" t="s">
        <v>4569</v>
      </c>
      <c r="AQ1450">
        <v>0</v>
      </c>
      <c r="AR1450">
        <v>0</v>
      </c>
      <c r="AW1450">
        <v>6510</v>
      </c>
      <c r="AX1450">
        <v>2.23</v>
      </c>
      <c r="AY1450" t="s">
        <v>208</v>
      </c>
      <c r="BA1450">
        <v>38414603110.147202</v>
      </c>
      <c r="BB1450" t="s">
        <v>4572</v>
      </c>
      <c r="BC1450" t="s">
        <v>4576</v>
      </c>
    </row>
    <row r="1451" spans="1:55" x14ac:dyDescent="0.25">
      <c r="A1451">
        <v>728</v>
      </c>
      <c r="B1451" t="s">
        <v>1621</v>
      </c>
      <c r="C1451" t="s">
        <v>3056</v>
      </c>
      <c r="D1451" t="s">
        <v>4491</v>
      </c>
      <c r="E1451" t="s">
        <v>94</v>
      </c>
      <c r="F1451">
        <v>153077040</v>
      </c>
      <c r="G1451">
        <v>110.98779999999999</v>
      </c>
      <c r="H1451" t="s">
        <v>102</v>
      </c>
      <c r="I1451">
        <v>16989683900.112</v>
      </c>
      <c r="J1451" t="s">
        <v>205</v>
      </c>
      <c r="K1451">
        <v>33509364.116275601</v>
      </c>
      <c r="L1451">
        <v>0.95</v>
      </c>
      <c r="M1451" t="s">
        <v>4536</v>
      </c>
      <c r="O1451" t="s">
        <v>207</v>
      </c>
      <c r="Q1451" t="s">
        <v>207</v>
      </c>
      <c r="R1451" t="s">
        <v>207</v>
      </c>
      <c r="S1451" t="s">
        <v>207</v>
      </c>
      <c r="T1451" t="s">
        <v>207</v>
      </c>
      <c r="U1451" t="s">
        <v>207</v>
      </c>
      <c r="V1451" t="s">
        <v>207</v>
      </c>
      <c r="W1451" t="s">
        <v>207</v>
      </c>
      <c r="X1451" t="s">
        <v>207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210</v>
      </c>
      <c r="AZ1451" t="s">
        <v>4571</v>
      </c>
      <c r="BA1451">
        <v>16140199705.1064</v>
      </c>
      <c r="BB1451" t="s">
        <v>4572</v>
      </c>
      <c r="BC1451" t="s">
        <v>4577</v>
      </c>
    </row>
    <row r="1452" spans="1:55" x14ac:dyDescent="0.25">
      <c r="A1452">
        <v>115</v>
      </c>
      <c r="B1452" t="s">
        <v>1622</v>
      </c>
      <c r="C1452" t="s">
        <v>3057</v>
      </c>
      <c r="D1452" t="s">
        <v>4492</v>
      </c>
      <c r="E1452" t="s">
        <v>4518</v>
      </c>
      <c r="F1452">
        <v>20590620000</v>
      </c>
      <c r="G1452">
        <v>6.3650440000000001</v>
      </c>
      <c r="H1452" t="s">
        <v>4529</v>
      </c>
      <c r="I1452">
        <v>131060202287.28</v>
      </c>
      <c r="J1452" t="s">
        <v>205</v>
      </c>
      <c r="K1452">
        <v>814646545.79971802</v>
      </c>
      <c r="L1452">
        <v>0.8</v>
      </c>
      <c r="M1452" t="s">
        <v>4536</v>
      </c>
      <c r="O1452" t="s">
        <v>207</v>
      </c>
      <c r="Q1452" t="s">
        <v>207</v>
      </c>
      <c r="R1452" t="s">
        <v>207</v>
      </c>
      <c r="S1452" t="s">
        <v>207</v>
      </c>
      <c r="T1452" t="s">
        <v>207</v>
      </c>
      <c r="U1452" t="s">
        <v>207</v>
      </c>
      <c r="V1452" t="s">
        <v>207</v>
      </c>
      <c r="W1452" t="s">
        <v>207</v>
      </c>
      <c r="X1452" t="s">
        <v>207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210</v>
      </c>
      <c r="BA1452">
        <v>104848161829.82401</v>
      </c>
      <c r="BB1452" t="s">
        <v>4572</v>
      </c>
      <c r="BC1452" t="s">
        <v>4536</v>
      </c>
    </row>
    <row r="1453" spans="1:55" x14ac:dyDescent="0.25">
      <c r="A1453">
        <v>458</v>
      </c>
      <c r="B1453" t="s">
        <v>1623</v>
      </c>
      <c r="C1453" t="s">
        <v>3058</v>
      </c>
      <c r="D1453" t="s">
        <v>4493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202</v>
      </c>
      <c r="K1453">
        <v>163353724.017537</v>
      </c>
      <c r="L1453">
        <v>1</v>
      </c>
      <c r="O1453" t="s">
        <v>207</v>
      </c>
      <c r="Q1453" t="s">
        <v>207</v>
      </c>
      <c r="R1453" t="s">
        <v>207</v>
      </c>
      <c r="S1453" t="s">
        <v>207</v>
      </c>
      <c r="T1453" t="s">
        <v>207</v>
      </c>
      <c r="U1453" t="s">
        <v>207</v>
      </c>
      <c r="V1453" t="s">
        <v>207</v>
      </c>
      <c r="W1453" t="s">
        <v>207</v>
      </c>
      <c r="X1453" t="s">
        <v>207</v>
      </c>
      <c r="AK1453">
        <v>0</v>
      </c>
      <c r="AL1453">
        <v>0.05</v>
      </c>
      <c r="AM1453">
        <v>0</v>
      </c>
      <c r="AO1453" t="s">
        <v>4568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208</v>
      </c>
      <c r="BA1453">
        <v>29590227159.540001</v>
      </c>
      <c r="BB1453" t="s">
        <v>4572</v>
      </c>
      <c r="BC1453" t="s">
        <v>4568</v>
      </c>
    </row>
    <row r="1454" spans="1:55" x14ac:dyDescent="0.25">
      <c r="A1454">
        <v>1020</v>
      </c>
      <c r="B1454" t="s">
        <v>1624</v>
      </c>
      <c r="C1454" t="s">
        <v>3059</v>
      </c>
      <c r="D1454" t="s">
        <v>4494</v>
      </c>
      <c r="E1454" t="s">
        <v>93</v>
      </c>
      <c r="F1454">
        <v>342090850</v>
      </c>
      <c r="G1454">
        <v>18.798970000000001</v>
      </c>
      <c r="H1454" t="s">
        <v>101</v>
      </c>
      <c r="I1454">
        <v>6430955626.4245005</v>
      </c>
      <c r="J1454" t="s">
        <v>205</v>
      </c>
      <c r="K1454">
        <v>22078849.138990201</v>
      </c>
      <c r="L1454">
        <v>0.9</v>
      </c>
      <c r="M1454" t="s">
        <v>4536</v>
      </c>
      <c r="O1454" t="s">
        <v>207</v>
      </c>
      <c r="Q1454" t="s">
        <v>207</v>
      </c>
      <c r="R1454" t="s">
        <v>207</v>
      </c>
      <c r="S1454" t="s">
        <v>207</v>
      </c>
      <c r="T1454" t="s">
        <v>207</v>
      </c>
      <c r="U1454" t="s">
        <v>207</v>
      </c>
      <c r="V1454" t="s">
        <v>207</v>
      </c>
      <c r="W1454" t="s">
        <v>207</v>
      </c>
      <c r="X1454" t="s">
        <v>207</v>
      </c>
      <c r="AG1454" t="s">
        <v>4546</v>
      </c>
      <c r="AH1454" t="s">
        <v>4563</v>
      </c>
      <c r="AI1454" t="s">
        <v>4565</v>
      </c>
      <c r="AJ1454" t="s">
        <v>4566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210</v>
      </c>
      <c r="BA1454">
        <v>5787860063.7820501</v>
      </c>
      <c r="BB1454" t="s">
        <v>4572</v>
      </c>
      <c r="BC1454" t="s">
        <v>4578</v>
      </c>
    </row>
    <row r="1455" spans="1:55" x14ac:dyDescent="0.25">
      <c r="A1455">
        <v>1438</v>
      </c>
      <c r="B1455" t="s">
        <v>1625</v>
      </c>
      <c r="C1455" t="s">
        <v>3060</v>
      </c>
      <c r="D1455" t="s">
        <v>4495</v>
      </c>
      <c r="E1455" t="s">
        <v>93</v>
      </c>
      <c r="F1455">
        <v>234767610</v>
      </c>
      <c r="G1455">
        <v>10.641769999999999</v>
      </c>
      <c r="H1455" t="s">
        <v>101</v>
      </c>
      <c r="I1455">
        <v>2498342909.0696998</v>
      </c>
      <c r="J1455" t="s">
        <v>205</v>
      </c>
      <c r="K1455">
        <v>5263933.2939287899</v>
      </c>
      <c r="L1455">
        <v>0.9</v>
      </c>
      <c r="M1455" t="s">
        <v>4536</v>
      </c>
      <c r="N1455" t="s">
        <v>4537</v>
      </c>
      <c r="O1455" t="s">
        <v>207</v>
      </c>
      <c r="Q1455" t="s">
        <v>207</v>
      </c>
      <c r="R1455" t="s">
        <v>207</v>
      </c>
      <c r="S1455" t="s">
        <v>207</v>
      </c>
      <c r="T1455" t="s">
        <v>207</v>
      </c>
      <c r="U1455" t="s">
        <v>207</v>
      </c>
      <c r="V1455" t="s">
        <v>207</v>
      </c>
      <c r="W1455" t="s">
        <v>207</v>
      </c>
      <c r="X1455" t="s">
        <v>207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210</v>
      </c>
      <c r="AZ1455" t="s">
        <v>4571</v>
      </c>
      <c r="BA1455">
        <v>2248508618.1627302</v>
      </c>
      <c r="BB1455" t="s">
        <v>4572</v>
      </c>
      <c r="BC1455" t="s">
        <v>4584</v>
      </c>
    </row>
    <row r="1456" spans="1:55" x14ac:dyDescent="0.25">
      <c r="A1456">
        <v>1254</v>
      </c>
      <c r="B1456" t="s">
        <v>1626</v>
      </c>
      <c r="C1456" t="s">
        <v>3061</v>
      </c>
      <c r="D1456" t="s">
        <v>4496</v>
      </c>
      <c r="E1456" t="s">
        <v>93</v>
      </c>
      <c r="F1456">
        <v>531000000</v>
      </c>
      <c r="G1456">
        <v>6.9644750000000002</v>
      </c>
      <c r="H1456" t="s">
        <v>101</v>
      </c>
      <c r="I1456">
        <v>3698136225</v>
      </c>
      <c r="J1456" t="s">
        <v>205</v>
      </c>
      <c r="K1456">
        <v>10047899.669128399</v>
      </c>
      <c r="L1456">
        <v>0.9</v>
      </c>
      <c r="M1456" t="s">
        <v>4536</v>
      </c>
      <c r="O1456" t="s">
        <v>207</v>
      </c>
      <c r="Q1456" t="s">
        <v>207</v>
      </c>
      <c r="R1456" t="s">
        <v>207</v>
      </c>
      <c r="S1456" t="s">
        <v>207</v>
      </c>
      <c r="T1456" t="s">
        <v>207</v>
      </c>
      <c r="U1456" t="s">
        <v>207</v>
      </c>
      <c r="V1456" t="s">
        <v>207</v>
      </c>
      <c r="W1456" t="s">
        <v>207</v>
      </c>
      <c r="X1456" t="s">
        <v>207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210</v>
      </c>
      <c r="BA1456">
        <v>3328322602.5</v>
      </c>
      <c r="BB1456" t="s">
        <v>4572</v>
      </c>
      <c r="BC1456" t="s">
        <v>4536</v>
      </c>
    </row>
    <row r="1457" spans="1:55" x14ac:dyDescent="0.25">
      <c r="A1457">
        <v>892</v>
      </c>
      <c r="B1457" t="s">
        <v>1627</v>
      </c>
      <c r="C1457" t="s">
        <v>3062</v>
      </c>
      <c r="D1457" t="s">
        <v>4497</v>
      </c>
      <c r="E1457" t="s">
        <v>93</v>
      </c>
      <c r="F1457">
        <v>1026354100</v>
      </c>
      <c r="G1457">
        <v>7.9173739999999997</v>
      </c>
      <c r="H1457" t="s">
        <v>101</v>
      </c>
      <c r="I1457">
        <v>8126029266.1334</v>
      </c>
      <c r="J1457" t="s">
        <v>205</v>
      </c>
      <c r="K1457">
        <v>37021126.082664803</v>
      </c>
      <c r="L1457">
        <v>1</v>
      </c>
      <c r="O1457" t="s">
        <v>207</v>
      </c>
      <c r="Q1457" t="s">
        <v>207</v>
      </c>
      <c r="R1457" t="s">
        <v>207</v>
      </c>
      <c r="S1457" t="s">
        <v>207</v>
      </c>
      <c r="T1457" t="s">
        <v>207</v>
      </c>
      <c r="U1457" t="s">
        <v>207</v>
      </c>
      <c r="V1457" t="s">
        <v>207</v>
      </c>
      <c r="W1457" t="s">
        <v>207</v>
      </c>
      <c r="X1457" t="s">
        <v>207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210</v>
      </c>
      <c r="BA1457">
        <v>8126029266.1334</v>
      </c>
      <c r="BB1457" t="s">
        <v>211</v>
      </c>
    </row>
    <row r="1458" spans="1:55" x14ac:dyDescent="0.25">
      <c r="A1458">
        <v>1172</v>
      </c>
      <c r="B1458" t="s">
        <v>1628</v>
      </c>
      <c r="C1458" t="s">
        <v>3063</v>
      </c>
      <c r="D1458" t="s">
        <v>4498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4580991248.9250002</v>
      </c>
      <c r="J1458" t="s">
        <v>205</v>
      </c>
      <c r="K1458">
        <v>20142380.401037499</v>
      </c>
      <c r="L1458">
        <v>0.85</v>
      </c>
      <c r="M1458" t="s">
        <v>4536</v>
      </c>
      <c r="O1458" t="s">
        <v>207</v>
      </c>
      <c r="Q1458" t="s">
        <v>207</v>
      </c>
      <c r="R1458" t="s">
        <v>207</v>
      </c>
      <c r="S1458" t="s">
        <v>207</v>
      </c>
      <c r="T1458" t="s">
        <v>207</v>
      </c>
      <c r="U1458" t="s">
        <v>207</v>
      </c>
      <c r="V1458" t="s">
        <v>207</v>
      </c>
      <c r="W1458" t="s">
        <v>207</v>
      </c>
      <c r="X1458" t="s">
        <v>207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210</v>
      </c>
      <c r="AZ1458" t="s">
        <v>4571</v>
      </c>
      <c r="BA1458">
        <v>3893842561.5862498</v>
      </c>
      <c r="BB1458" t="s">
        <v>4572</v>
      </c>
      <c r="BC1458" t="s">
        <v>4577</v>
      </c>
    </row>
    <row r="1459" spans="1:55" x14ac:dyDescent="0.25">
      <c r="A1459">
        <v>1407</v>
      </c>
      <c r="B1459" t="s">
        <v>1629</v>
      </c>
      <c r="C1459" t="s">
        <v>3064</v>
      </c>
      <c r="D1459" t="s">
        <v>4499</v>
      </c>
      <c r="E1459" t="s">
        <v>93</v>
      </c>
      <c r="F1459">
        <v>65000000</v>
      </c>
      <c r="G1459">
        <v>50.663519999999998</v>
      </c>
      <c r="H1459" t="s">
        <v>101</v>
      </c>
      <c r="I1459">
        <v>3293128800</v>
      </c>
      <c r="J1459" t="s">
        <v>205</v>
      </c>
      <c r="K1459">
        <v>9066001.9439329393</v>
      </c>
      <c r="L1459">
        <v>0.75</v>
      </c>
      <c r="M1459" t="s">
        <v>4536</v>
      </c>
      <c r="N1459" t="s">
        <v>4537</v>
      </c>
      <c r="O1459" t="s">
        <v>207</v>
      </c>
      <c r="Q1459" t="s">
        <v>207</v>
      </c>
      <c r="R1459" t="s">
        <v>207</v>
      </c>
      <c r="S1459" t="s">
        <v>207</v>
      </c>
      <c r="T1459" t="s">
        <v>207</v>
      </c>
      <c r="U1459" t="s">
        <v>207</v>
      </c>
      <c r="V1459" t="s">
        <v>207</v>
      </c>
      <c r="W1459" t="s">
        <v>207</v>
      </c>
      <c r="X1459" t="s">
        <v>207</v>
      </c>
      <c r="AG1459" t="s">
        <v>4546</v>
      </c>
      <c r="AH1459" t="s">
        <v>4564</v>
      </c>
      <c r="AI1459" t="s">
        <v>4565</v>
      </c>
      <c r="AJ1459" t="s">
        <v>4566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210</v>
      </c>
      <c r="AZ1459" t="s">
        <v>4571</v>
      </c>
      <c r="BA1459">
        <v>2469846600</v>
      </c>
      <c r="BB1459" t="s">
        <v>4572</v>
      </c>
      <c r="BC1459" t="s">
        <v>4626</v>
      </c>
    </row>
    <row r="1460" spans="1:55" x14ac:dyDescent="0.25">
      <c r="A1460">
        <v>1367</v>
      </c>
      <c r="B1460" t="s">
        <v>1630</v>
      </c>
      <c r="C1460" t="s">
        <v>3065</v>
      </c>
      <c r="D1460" t="s">
        <v>4500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205</v>
      </c>
      <c r="K1460">
        <v>11465780.8496176</v>
      </c>
      <c r="L1460">
        <v>0.7</v>
      </c>
      <c r="M1460" t="s">
        <v>4536</v>
      </c>
      <c r="O1460" t="s">
        <v>207</v>
      </c>
      <c r="Q1460" t="s">
        <v>207</v>
      </c>
      <c r="R1460" t="s">
        <v>207</v>
      </c>
      <c r="S1460" t="s">
        <v>207</v>
      </c>
      <c r="T1460" t="s">
        <v>207</v>
      </c>
      <c r="U1460" t="s">
        <v>207</v>
      </c>
      <c r="V1460" t="s">
        <v>207</v>
      </c>
      <c r="W1460" t="s">
        <v>207</v>
      </c>
      <c r="X1460" t="s">
        <v>207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210</v>
      </c>
      <c r="BA1460">
        <v>2714355262.3274498</v>
      </c>
      <c r="BB1460" t="s">
        <v>4572</v>
      </c>
      <c r="BC1460" t="s">
        <v>4536</v>
      </c>
    </row>
    <row r="1461" spans="1:55" x14ac:dyDescent="0.25">
      <c r="A1461">
        <v>1103</v>
      </c>
      <c r="B1461" t="s">
        <v>1631</v>
      </c>
      <c r="C1461" t="s">
        <v>3066</v>
      </c>
      <c r="D1461" t="s">
        <v>4501</v>
      </c>
      <c r="E1461" t="s">
        <v>4522</v>
      </c>
      <c r="F1461">
        <v>254725627</v>
      </c>
      <c r="G1461">
        <v>27.561669999999999</v>
      </c>
      <c r="H1461" t="s">
        <v>4531</v>
      </c>
      <c r="I1461">
        <v>7020663671.9170895</v>
      </c>
      <c r="J1461" t="s">
        <v>204</v>
      </c>
      <c r="K1461">
        <v>16854533.268218201</v>
      </c>
      <c r="L1461">
        <v>0.65</v>
      </c>
      <c r="O1461" t="s">
        <v>207</v>
      </c>
      <c r="Q1461" t="s">
        <v>207</v>
      </c>
      <c r="R1461" t="s">
        <v>207</v>
      </c>
      <c r="S1461" t="s">
        <v>207</v>
      </c>
      <c r="T1461" t="s">
        <v>207</v>
      </c>
      <c r="U1461" t="s">
        <v>207</v>
      </c>
      <c r="V1461" t="s">
        <v>207</v>
      </c>
      <c r="W1461" t="s">
        <v>207</v>
      </c>
      <c r="X1461" t="s">
        <v>207</v>
      </c>
      <c r="AG1461" t="s">
        <v>4546</v>
      </c>
      <c r="AH1461" t="s">
        <v>4564</v>
      </c>
      <c r="AI1461" t="s">
        <v>4565</v>
      </c>
      <c r="AJ1461" t="s">
        <v>4566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209</v>
      </c>
      <c r="BA1461">
        <v>4563431386.7461081</v>
      </c>
      <c r="BB1461" t="s">
        <v>4572</v>
      </c>
      <c r="BC1461" t="s">
        <v>4581</v>
      </c>
    </row>
    <row r="1462" spans="1:55" x14ac:dyDescent="0.25">
      <c r="A1462">
        <v>921</v>
      </c>
      <c r="B1462" t="s">
        <v>1632</v>
      </c>
      <c r="C1462" t="s">
        <v>3067</v>
      </c>
      <c r="D1462" t="s">
        <v>4502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7523242996.4200001</v>
      </c>
      <c r="J1462" t="s">
        <v>205</v>
      </c>
      <c r="K1462">
        <v>51545445.288789101</v>
      </c>
      <c r="L1462">
        <v>1</v>
      </c>
      <c r="M1462" t="s">
        <v>4536</v>
      </c>
      <c r="O1462" t="s">
        <v>207</v>
      </c>
      <c r="Q1462" t="s">
        <v>207</v>
      </c>
      <c r="R1462" t="s">
        <v>207</v>
      </c>
      <c r="S1462" t="s">
        <v>207</v>
      </c>
      <c r="T1462" t="s">
        <v>207</v>
      </c>
      <c r="U1462" t="s">
        <v>207</v>
      </c>
      <c r="V1462" t="s">
        <v>207</v>
      </c>
      <c r="W1462" t="s">
        <v>207</v>
      </c>
      <c r="X1462" t="s">
        <v>207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210</v>
      </c>
      <c r="BA1462">
        <v>7523242996.4200001</v>
      </c>
      <c r="BB1462" t="s">
        <v>4572</v>
      </c>
      <c r="BC1462" t="s">
        <v>4536</v>
      </c>
    </row>
    <row r="1463" spans="1:55" x14ac:dyDescent="0.25">
      <c r="A1463">
        <v>1096</v>
      </c>
      <c r="B1463" t="s">
        <v>1633</v>
      </c>
      <c r="C1463" t="s">
        <v>3068</v>
      </c>
      <c r="D1463" t="s">
        <v>4503</v>
      </c>
      <c r="E1463" t="s">
        <v>93</v>
      </c>
      <c r="F1463">
        <v>268624500</v>
      </c>
      <c r="G1463">
        <v>18.316120000000002</v>
      </c>
      <c r="H1463" t="s">
        <v>101</v>
      </c>
      <c r="I1463">
        <v>4920158576.9400005</v>
      </c>
      <c r="J1463" t="s">
        <v>205</v>
      </c>
      <c r="K1463">
        <v>18612332.568672299</v>
      </c>
      <c r="L1463">
        <v>0.95</v>
      </c>
      <c r="M1463" t="s">
        <v>4536</v>
      </c>
      <c r="O1463" t="s">
        <v>207</v>
      </c>
      <c r="Q1463" t="s">
        <v>207</v>
      </c>
      <c r="R1463" t="s">
        <v>207</v>
      </c>
      <c r="S1463" t="s">
        <v>207</v>
      </c>
      <c r="T1463" t="s">
        <v>207</v>
      </c>
      <c r="U1463" t="s">
        <v>207</v>
      </c>
      <c r="V1463" t="s">
        <v>207</v>
      </c>
      <c r="W1463" t="s">
        <v>207</v>
      </c>
      <c r="X1463" t="s">
        <v>207</v>
      </c>
      <c r="AK1463">
        <v>0</v>
      </c>
      <c r="AL1463">
        <v>0.32</v>
      </c>
      <c r="AM1463">
        <v>0</v>
      </c>
      <c r="AO1463" t="s">
        <v>4568</v>
      </c>
      <c r="AQ1463">
        <v>0</v>
      </c>
      <c r="AR1463">
        <v>0</v>
      </c>
      <c r="AW1463">
        <v>5020</v>
      </c>
      <c r="AX1463">
        <v>2.226</v>
      </c>
      <c r="AY1463" t="s">
        <v>210</v>
      </c>
      <c r="BA1463">
        <v>4674150648.0930004</v>
      </c>
      <c r="BB1463" t="s">
        <v>4572</v>
      </c>
      <c r="BC1463" t="s">
        <v>4582</v>
      </c>
    </row>
    <row r="1464" spans="1:55" x14ac:dyDescent="0.25">
      <c r="A1464">
        <v>1259</v>
      </c>
      <c r="B1464" t="s">
        <v>1634</v>
      </c>
      <c r="C1464" t="s">
        <v>3069</v>
      </c>
      <c r="D1464" t="s">
        <v>4504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3678001281.5156002</v>
      </c>
      <c r="J1464" t="s">
        <v>205</v>
      </c>
      <c r="K1464">
        <v>14666082.875325801</v>
      </c>
      <c r="L1464">
        <v>0.9</v>
      </c>
      <c r="M1464" t="s">
        <v>4536</v>
      </c>
      <c r="O1464" t="s">
        <v>207</v>
      </c>
      <c r="Q1464" t="s">
        <v>207</v>
      </c>
      <c r="R1464" t="s">
        <v>207</v>
      </c>
      <c r="S1464" t="s">
        <v>207</v>
      </c>
      <c r="T1464" t="s">
        <v>207</v>
      </c>
      <c r="U1464" t="s">
        <v>207</v>
      </c>
      <c r="V1464" t="s">
        <v>207</v>
      </c>
      <c r="W1464" t="s">
        <v>207</v>
      </c>
      <c r="X1464" t="s">
        <v>207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210</v>
      </c>
      <c r="BA1464">
        <v>3310201153.3640399</v>
      </c>
      <c r="BB1464" t="s">
        <v>4572</v>
      </c>
      <c r="BC1464" t="s">
        <v>4536</v>
      </c>
    </row>
    <row r="1465" spans="1:55" x14ac:dyDescent="0.25">
      <c r="A1465">
        <v>700</v>
      </c>
      <c r="B1465" t="s">
        <v>1635</v>
      </c>
      <c r="C1465" t="s">
        <v>3070</v>
      </c>
      <c r="D1465" t="s">
        <v>4505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202</v>
      </c>
      <c r="K1465">
        <v>105433520.490826</v>
      </c>
      <c r="L1465">
        <v>1</v>
      </c>
      <c r="M1465" t="s">
        <v>4536</v>
      </c>
      <c r="O1465" t="s">
        <v>207</v>
      </c>
      <c r="Q1465" t="s">
        <v>207</v>
      </c>
      <c r="R1465" t="s">
        <v>207</v>
      </c>
      <c r="S1465" t="s">
        <v>207</v>
      </c>
      <c r="T1465" t="s">
        <v>207</v>
      </c>
      <c r="U1465" t="s">
        <v>207</v>
      </c>
      <c r="V1465" t="s">
        <v>207</v>
      </c>
      <c r="W1465" t="s">
        <v>207</v>
      </c>
      <c r="X1465" t="s">
        <v>207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208</v>
      </c>
      <c r="BA1465">
        <v>16959533322.613199</v>
      </c>
      <c r="BB1465" t="s">
        <v>4572</v>
      </c>
      <c r="BC1465" t="s">
        <v>4536</v>
      </c>
    </row>
    <row r="1466" spans="1:55" x14ac:dyDescent="0.25">
      <c r="A1466">
        <v>351</v>
      </c>
      <c r="B1466" t="s">
        <v>1636</v>
      </c>
      <c r="C1466" t="s">
        <v>3071</v>
      </c>
      <c r="D1466" t="s">
        <v>4506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202</v>
      </c>
      <c r="K1466">
        <v>251562007.948989</v>
      </c>
      <c r="L1466">
        <v>1</v>
      </c>
      <c r="M1466" t="s">
        <v>4536</v>
      </c>
      <c r="O1466" t="s">
        <v>207</v>
      </c>
      <c r="Q1466" t="s">
        <v>207</v>
      </c>
      <c r="R1466" t="s">
        <v>207</v>
      </c>
      <c r="S1466" t="s">
        <v>207</v>
      </c>
      <c r="T1466" t="s">
        <v>207</v>
      </c>
      <c r="U1466" t="s">
        <v>207</v>
      </c>
      <c r="V1466" t="s">
        <v>207</v>
      </c>
      <c r="W1466" t="s">
        <v>207</v>
      </c>
      <c r="X1466" t="s">
        <v>207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208</v>
      </c>
      <c r="AZ1466" t="s">
        <v>4571</v>
      </c>
      <c r="BA1466">
        <v>39709617833.452003</v>
      </c>
      <c r="BB1466" t="s">
        <v>4572</v>
      </c>
      <c r="BC1466" t="s">
        <v>4577</v>
      </c>
    </row>
    <row r="1467" spans="1:55" x14ac:dyDescent="0.25">
      <c r="A1467">
        <v>867</v>
      </c>
      <c r="B1467" t="s">
        <v>1637</v>
      </c>
      <c r="C1467" t="s">
        <v>3072</v>
      </c>
      <c r="D1467" t="s">
        <v>4507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203</v>
      </c>
      <c r="K1467">
        <v>33253485.885327902</v>
      </c>
      <c r="L1467">
        <v>0.9</v>
      </c>
      <c r="M1467" t="s">
        <v>4536</v>
      </c>
      <c r="O1467" t="s">
        <v>207</v>
      </c>
      <c r="Q1467" t="s">
        <v>207</v>
      </c>
      <c r="R1467" t="s">
        <v>207</v>
      </c>
      <c r="S1467" t="s">
        <v>207</v>
      </c>
      <c r="T1467" t="s">
        <v>207</v>
      </c>
      <c r="U1467" t="s">
        <v>207</v>
      </c>
      <c r="V1467" t="s">
        <v>207</v>
      </c>
      <c r="W1467" t="s">
        <v>207</v>
      </c>
      <c r="X1467" t="s">
        <v>207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209</v>
      </c>
      <c r="BA1467">
        <v>8785850920.9200001</v>
      </c>
      <c r="BB1467" t="s">
        <v>4572</v>
      </c>
      <c r="BC1467" t="s">
        <v>4536</v>
      </c>
    </row>
    <row r="1468" spans="1:55" x14ac:dyDescent="0.25">
      <c r="A1468">
        <v>999</v>
      </c>
      <c r="B1468" t="s">
        <v>1638</v>
      </c>
      <c r="C1468" t="s">
        <v>3073</v>
      </c>
      <c r="D1468" t="s">
        <v>4508</v>
      </c>
      <c r="E1468" t="s">
        <v>4523</v>
      </c>
      <c r="F1468">
        <v>71023870</v>
      </c>
      <c r="G1468">
        <v>95.707660000000004</v>
      </c>
      <c r="H1468" t="s">
        <v>4532</v>
      </c>
      <c r="I1468">
        <v>6797528401.8442001</v>
      </c>
      <c r="J1468" t="s">
        <v>204</v>
      </c>
      <c r="K1468">
        <v>18585941.2435234</v>
      </c>
      <c r="L1468">
        <v>0.9</v>
      </c>
      <c r="M1468" t="s">
        <v>4536</v>
      </c>
      <c r="O1468" t="s">
        <v>207</v>
      </c>
      <c r="Q1468" t="s">
        <v>207</v>
      </c>
      <c r="R1468" t="s">
        <v>207</v>
      </c>
      <c r="S1468" t="s">
        <v>207</v>
      </c>
      <c r="T1468" t="s">
        <v>207</v>
      </c>
      <c r="U1468" t="s">
        <v>207</v>
      </c>
      <c r="V1468" t="s">
        <v>207</v>
      </c>
      <c r="W1468" t="s">
        <v>207</v>
      </c>
      <c r="X1468" t="s">
        <v>207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209</v>
      </c>
      <c r="AZ1468" t="s">
        <v>4571</v>
      </c>
      <c r="BA1468">
        <v>6117775561.6597815</v>
      </c>
      <c r="BB1468" t="s">
        <v>4572</v>
      </c>
      <c r="BC1468" t="s">
        <v>4577</v>
      </c>
    </row>
    <row r="1469" spans="1:55" x14ac:dyDescent="0.25">
      <c r="A1469">
        <v>1093</v>
      </c>
      <c r="B1469" t="s">
        <v>1639</v>
      </c>
      <c r="C1469" t="s">
        <v>3074</v>
      </c>
      <c r="D1469" t="s">
        <v>4509</v>
      </c>
      <c r="E1469" t="s">
        <v>93</v>
      </c>
      <c r="F1469">
        <v>160733230</v>
      </c>
      <c r="G1469">
        <v>49.160629999999998</v>
      </c>
      <c r="H1469" t="s">
        <v>101</v>
      </c>
      <c r="I1469">
        <v>7901746848.7349005</v>
      </c>
      <c r="J1469" t="s">
        <v>205</v>
      </c>
      <c r="K1469">
        <v>21879794.5936157</v>
      </c>
      <c r="L1469">
        <v>0.6</v>
      </c>
      <c r="M1469" t="s">
        <v>4536</v>
      </c>
      <c r="O1469" t="s">
        <v>207</v>
      </c>
      <c r="Q1469" t="s">
        <v>207</v>
      </c>
      <c r="R1469" t="s">
        <v>207</v>
      </c>
      <c r="S1469" t="s">
        <v>207</v>
      </c>
      <c r="T1469" t="s">
        <v>207</v>
      </c>
      <c r="U1469" t="s">
        <v>207</v>
      </c>
      <c r="V1469" t="s">
        <v>207</v>
      </c>
      <c r="W1469" t="s">
        <v>207</v>
      </c>
      <c r="X1469" t="s">
        <v>207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210</v>
      </c>
      <c r="AZ1469" t="s">
        <v>4571</v>
      </c>
      <c r="BA1469">
        <v>4741048109.2409391</v>
      </c>
      <c r="BB1469" t="s">
        <v>4572</v>
      </c>
      <c r="BC1469" t="s">
        <v>4577</v>
      </c>
    </row>
    <row r="1470" spans="1:55" x14ac:dyDescent="0.25">
      <c r="A1470">
        <v>621</v>
      </c>
      <c r="B1470" t="s">
        <v>1640</v>
      </c>
      <c r="C1470" t="s">
        <v>3075</v>
      </c>
      <c r="D1470" t="s">
        <v>4510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202</v>
      </c>
      <c r="K1470">
        <v>175876347.16743699</v>
      </c>
      <c r="L1470">
        <v>1</v>
      </c>
      <c r="O1470" t="s">
        <v>207</v>
      </c>
      <c r="Q1470" t="s">
        <v>207</v>
      </c>
      <c r="R1470" t="s">
        <v>207</v>
      </c>
      <c r="S1470" t="s">
        <v>207</v>
      </c>
      <c r="T1470" t="s">
        <v>207</v>
      </c>
      <c r="U1470" t="s">
        <v>207</v>
      </c>
      <c r="V1470" t="s">
        <v>207</v>
      </c>
      <c r="W1470" t="s">
        <v>207</v>
      </c>
      <c r="X1470" t="s">
        <v>207</v>
      </c>
      <c r="AG1470" t="s">
        <v>4546</v>
      </c>
      <c r="AH1470" t="s">
        <v>4562</v>
      </c>
      <c r="AI1470" t="s">
        <v>4565</v>
      </c>
      <c r="AJ1470" t="s">
        <v>4566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208</v>
      </c>
      <c r="AZ1470" t="s">
        <v>4571</v>
      </c>
      <c r="BA1470">
        <v>19960683942.216</v>
      </c>
      <c r="BB1470" t="s">
        <v>4572</v>
      </c>
      <c r="BC1470" t="s">
        <v>4598</v>
      </c>
    </row>
    <row r="1471" spans="1:55" x14ac:dyDescent="0.25">
      <c r="A1471">
        <v>190</v>
      </c>
      <c r="B1471" t="s">
        <v>1641</v>
      </c>
      <c r="C1471" t="s">
        <v>3076</v>
      </c>
      <c r="D1471" t="s">
        <v>4511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202</v>
      </c>
      <c r="K1471">
        <v>469818781.58566803</v>
      </c>
      <c r="L1471">
        <v>1</v>
      </c>
      <c r="M1471" t="s">
        <v>4536</v>
      </c>
      <c r="O1471" t="s">
        <v>207</v>
      </c>
      <c r="Q1471" t="s">
        <v>207</v>
      </c>
      <c r="R1471" t="s">
        <v>207</v>
      </c>
      <c r="S1471" t="s">
        <v>207</v>
      </c>
      <c r="T1471" t="s">
        <v>207</v>
      </c>
      <c r="U1471" t="s">
        <v>207</v>
      </c>
      <c r="V1471" t="s">
        <v>207</v>
      </c>
      <c r="W1471" t="s">
        <v>207</v>
      </c>
      <c r="X1471" t="s">
        <v>207</v>
      </c>
      <c r="AG1471" t="s">
        <v>4546</v>
      </c>
      <c r="AH1471" t="s">
        <v>4562</v>
      </c>
      <c r="AI1471" t="s">
        <v>4565</v>
      </c>
      <c r="AJ1471" t="s">
        <v>4566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208</v>
      </c>
      <c r="BA1471">
        <v>68725672482.223999</v>
      </c>
      <c r="BB1471" t="s">
        <v>4572</v>
      </c>
      <c r="BC1471" t="s">
        <v>4578</v>
      </c>
    </row>
    <row r="1472" spans="1:55" x14ac:dyDescent="0.25">
      <c r="A1472">
        <v>601</v>
      </c>
      <c r="B1472" t="s">
        <v>1642</v>
      </c>
      <c r="C1472" t="s">
        <v>3077</v>
      </c>
      <c r="D1472" t="s">
        <v>4512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202</v>
      </c>
      <c r="K1472">
        <v>241041407.49605599</v>
      </c>
      <c r="L1472">
        <v>1</v>
      </c>
      <c r="M1472" t="s">
        <v>4536</v>
      </c>
      <c r="O1472" t="s">
        <v>207</v>
      </c>
      <c r="Q1472" t="s">
        <v>207</v>
      </c>
      <c r="R1472" t="s">
        <v>207</v>
      </c>
      <c r="S1472" t="s">
        <v>207</v>
      </c>
      <c r="T1472" t="s">
        <v>207</v>
      </c>
      <c r="U1472" t="s">
        <v>207</v>
      </c>
      <c r="V1472" t="s">
        <v>207</v>
      </c>
      <c r="W1472" t="s">
        <v>207</v>
      </c>
      <c r="X1472" t="s">
        <v>207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208</v>
      </c>
      <c r="BA1472">
        <v>20682216671.960999</v>
      </c>
      <c r="BB1472" t="s">
        <v>4572</v>
      </c>
      <c r="BC1472" t="s">
        <v>4536</v>
      </c>
    </row>
    <row r="1473" spans="1:55" x14ac:dyDescent="0.25">
      <c r="A1473">
        <v>1101</v>
      </c>
      <c r="B1473" t="s">
        <v>1643</v>
      </c>
      <c r="C1473" t="s">
        <v>3078</v>
      </c>
      <c r="D1473" t="s">
        <v>4513</v>
      </c>
      <c r="E1473" t="s">
        <v>93</v>
      </c>
      <c r="F1473">
        <v>300474180</v>
      </c>
      <c r="G1473">
        <v>30.492760000000001</v>
      </c>
      <c r="H1473" t="s">
        <v>101</v>
      </c>
      <c r="I1473">
        <v>9162287056.9368</v>
      </c>
      <c r="J1473" t="s">
        <v>205</v>
      </c>
      <c r="K1473">
        <v>32756288.627512299</v>
      </c>
      <c r="L1473">
        <v>0.5</v>
      </c>
      <c r="M1473" t="s">
        <v>4536</v>
      </c>
      <c r="O1473" t="s">
        <v>207</v>
      </c>
      <c r="Q1473" t="s">
        <v>207</v>
      </c>
      <c r="R1473" t="s">
        <v>207</v>
      </c>
      <c r="S1473" t="s">
        <v>207</v>
      </c>
      <c r="T1473" t="s">
        <v>207</v>
      </c>
      <c r="U1473" t="s">
        <v>207</v>
      </c>
      <c r="V1473" t="s">
        <v>207</v>
      </c>
      <c r="W1473" t="s">
        <v>207</v>
      </c>
      <c r="X1473" t="s">
        <v>207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210</v>
      </c>
      <c r="BA1473">
        <v>4581143528.4684</v>
      </c>
      <c r="BB1473" t="s">
        <v>4572</v>
      </c>
      <c r="BC1473" t="s">
        <v>4536</v>
      </c>
    </row>
    <row r="1474" spans="1:55" x14ac:dyDescent="0.25">
      <c r="A1474">
        <v>687</v>
      </c>
      <c r="B1474" t="s">
        <v>1644</v>
      </c>
      <c r="C1474" t="s">
        <v>3079</v>
      </c>
      <c r="D1474" t="s">
        <v>4514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202</v>
      </c>
      <c r="K1474">
        <v>349707443.11430001</v>
      </c>
      <c r="L1474">
        <v>0.6</v>
      </c>
      <c r="M1474" t="s">
        <v>4536</v>
      </c>
      <c r="O1474" t="s">
        <v>207</v>
      </c>
      <c r="Q1474" t="s">
        <v>207</v>
      </c>
      <c r="R1474" t="s">
        <v>207</v>
      </c>
      <c r="S1474" t="s">
        <v>207</v>
      </c>
      <c r="T1474" t="s">
        <v>207</v>
      </c>
      <c r="U1474" t="s">
        <v>207</v>
      </c>
      <c r="V1474" t="s">
        <v>207</v>
      </c>
      <c r="W1474" t="s">
        <v>207</v>
      </c>
      <c r="X1474" t="s">
        <v>207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208</v>
      </c>
      <c r="AZ1474" t="s">
        <v>4571</v>
      </c>
      <c r="BA1474">
        <v>17484519083.628601</v>
      </c>
      <c r="BB1474" t="s">
        <v>4572</v>
      </c>
      <c r="BC1474" t="s">
        <v>4577</v>
      </c>
    </row>
    <row r="1475" spans="1:55" x14ac:dyDescent="0.25">
      <c r="A1475">
        <v>881</v>
      </c>
      <c r="B1475" t="s">
        <v>1645</v>
      </c>
      <c r="C1475" t="s">
        <v>3080</v>
      </c>
      <c r="D1475" t="s">
        <v>4515</v>
      </c>
      <c r="E1475" t="s">
        <v>4518</v>
      </c>
      <c r="F1475">
        <v>604239200</v>
      </c>
      <c r="G1475">
        <v>19.94462</v>
      </c>
      <c r="H1475" t="s">
        <v>4529</v>
      </c>
      <c r="I1475">
        <v>12051321233.104</v>
      </c>
      <c r="J1475" t="s">
        <v>205</v>
      </c>
      <c r="K1475">
        <v>26505309.5125807</v>
      </c>
      <c r="L1475">
        <v>0.7</v>
      </c>
      <c r="M1475" t="s">
        <v>4536</v>
      </c>
      <c r="O1475" t="s">
        <v>207</v>
      </c>
      <c r="Q1475" t="s">
        <v>207</v>
      </c>
      <c r="R1475" t="s">
        <v>207</v>
      </c>
      <c r="S1475" t="s">
        <v>207</v>
      </c>
      <c r="T1475" t="s">
        <v>207</v>
      </c>
      <c r="U1475" t="s">
        <v>207</v>
      </c>
      <c r="V1475" t="s">
        <v>207</v>
      </c>
      <c r="W1475" t="s">
        <v>207</v>
      </c>
      <c r="X1475" t="s">
        <v>207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210</v>
      </c>
      <c r="BA1475">
        <v>8435924863.1727991</v>
      </c>
      <c r="BB1475" t="s">
        <v>4572</v>
      </c>
      <c r="BC1475" t="s">
        <v>4536</v>
      </c>
    </row>
    <row r="1476" spans="1:55" x14ac:dyDescent="0.25">
      <c r="A1476">
        <v>133</v>
      </c>
      <c r="B1476" t="s">
        <v>1646</v>
      </c>
      <c r="C1476" t="s">
        <v>3081</v>
      </c>
      <c r="D1476" t="s">
        <v>4516</v>
      </c>
      <c r="E1476" t="s">
        <v>95</v>
      </c>
      <c r="F1476">
        <v>146355760</v>
      </c>
      <c r="G1476">
        <v>614.58010000000002</v>
      </c>
      <c r="H1476" t="s">
        <v>103</v>
      </c>
      <c r="I1476">
        <v>89947337616.376007</v>
      </c>
      <c r="J1476" t="s">
        <v>204</v>
      </c>
      <c r="K1476">
        <v>167672036.70820701</v>
      </c>
      <c r="L1476">
        <v>1</v>
      </c>
      <c r="M1476" t="s">
        <v>4536</v>
      </c>
      <c r="O1476" t="s">
        <v>207</v>
      </c>
      <c r="Q1476" t="s">
        <v>207</v>
      </c>
      <c r="R1476" t="s">
        <v>207</v>
      </c>
      <c r="S1476" t="s">
        <v>207</v>
      </c>
      <c r="T1476" t="s">
        <v>207</v>
      </c>
      <c r="U1476" t="s">
        <v>207</v>
      </c>
      <c r="V1476" t="s">
        <v>207</v>
      </c>
      <c r="W1476" t="s">
        <v>207</v>
      </c>
      <c r="X1476" t="s">
        <v>207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209</v>
      </c>
      <c r="BA1476">
        <v>89947337616.376007</v>
      </c>
      <c r="BB1476" t="s">
        <v>4572</v>
      </c>
      <c r="BC1476" t="s">
        <v>4536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2025-04-02T12:35:34Z</dcterms:created>
  <dcterms:modified xsi:type="dcterms:W3CDTF">2025-04-02T13:20:26Z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2025-04-02T13:02:48Z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f59d6fb2-362a-4c64-a022-0fa95780ba07</vt:lpwstr>
  </property>
  <property fmtid="{D5CDD505-2E9C-101B-9397-08002B2CF9AE}" pid="8" name="MSIP_Label_ac0b9ce6-6e99-42a1-af95-429494370cbc_ContentBits">
    <vt:lpwstr>2</vt:lpwstr>
  </property>
</Properties>
</file>