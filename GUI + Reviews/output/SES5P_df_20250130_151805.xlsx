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AE3EC86C6BC8BF22A47A2CAC7F9D312AF8307D49" xr6:coauthVersionLast="47" xr6:coauthVersionMax="47" xr10:uidLastSave="{E25C5144-636F-4561-9B38-E05CC245BABF}"/>
  <bookViews>
    <workbookView xWindow="-29115" yWindow="-16005" windowWidth="29040" windowHeight="15840" activeTab="2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<sst xmlns="http://schemas.openxmlformats.org/spreadsheetml/2006/main" count="856" uniqueCount="270">
  <si>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</si>
  <si>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</si>
  <si>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</si>
  <si>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</si>
  <si>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</si>
  <si>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</si>
  <si>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</si>
  <si>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</si>
  <si>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</si>
  <si>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</si>
  <si>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</si>
  <si>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</si>
  <si>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</si>
  <si>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</si>
  <si>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</si>
  <si>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</si>
  <si>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</si>
  <si>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</si>
  <si>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</si>
  <si>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</si>
  <si>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</si>
  <si>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</si>
  <si>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</si>
  <si>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</si>
  <si>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</si>
  <si>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</si>
  <si>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</si>
  <si>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</si>
  <si>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</si>
  <si>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</si>
  <si>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</si>
  <si>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</si>
  <si>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</si>
  <si>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</si>
  <si>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</si>
  <si>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</si>
  <si>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</si>
  <si>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</si>
  <si>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</si>
  <si>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</si>
  <si>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</si>
  <si>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</si>
  <si>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</si>
  <si>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</si>
  <si>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</si>
  <si>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</si>
  <si>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</si>
  <si>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</si>
  <si>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</si>
  <si>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</si>
  <si>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</si>
  <si>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</si>
  <si>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</si>
  <si>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</si>
  <si>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</si>
  <si>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</si>
  <si>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</si>
  <si>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</si>
  <si>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</si>
  <si>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</si>
  <si>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</si>
  <si>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</si>
  <si>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</si>
  <si>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</si>
  <si>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</si>
  <si>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</si>
  <si>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</si>
  <si>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</si>
  <si>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</si>
  <si>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</si>
  <si>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</si>
  <si>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</si>
  <si>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</si>
  <si>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</si>
  <si>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</si>
  <si>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</si>
  <si>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</si>
  <si>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</si>
  <si>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</si>
  <si>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</si>
  <si>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</si>
  <si>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</si>
  <si>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</si>
  <si>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</si>
  <si>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</si>
  <si>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</si>
  <si>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</si>
  <si>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</si>
  <si>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</si>
  <si>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</si>
  <si>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</si>
  <si>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</si>
  <si>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</si>
  <si>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</si>
  <si>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</si>
  <si>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</si>
  <si>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</si>
  <si>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</si>
  <si>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</si>
  <si>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</si>
  <si>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</si>
  <si>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</si>
  <si>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</si>
  <si>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</si>
  <si>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</si>
  <si>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</si>
  <si>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</si>
  <si>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</si>
  <si>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</si>
  <si>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</si>
  <si>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</si>
  <si>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</si>
  <si>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</si>
  <si>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</si>
  <si>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</si>
  <si>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</si>
  <si>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</si>
  <si>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</si>
  <si>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</si>
  <si>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TELEKOM AUSTRIA AG</t>
  </si>
  <si>
    <t>AT0000720008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</si>
  <si>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</si>
  <si>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</si>
  <si>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</si>
  <si>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</si>
  <si>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</si>
  <si>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</si>
  <si>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</si>
  <si>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</si>
  <si>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</si>
  <si>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</si>
  <si>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</si>
  <si>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</si>
  <si>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</si>
  <si>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</si>
  <si>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</si>
  <si>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</si>
  <si>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</si>
  <si>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</si>
  <si>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</si>
  <si>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</si>
  <si>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</si>
  <si>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</si>
  <si>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</si>
  <si>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</si>
  <si>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</si>
  <si>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</si>
  <si>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</si>
  <si>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</si>
  <si>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</si>
  <si>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AGN-NL</t>
  </si>
  <si>
    <t>AGS-BE</t>
  </si>
  <si>
    <t>ALV-DE</t>
  </si>
  <si>
    <t>ASRNL-NL</t>
  </si>
  <si>
    <t>CS-FR</t>
  </si>
  <si>
    <t>CLNX-ES</t>
  </si>
  <si>
    <t>DTE-DE</t>
  </si>
  <si>
    <t>EOAN-DE</t>
  </si>
  <si>
    <t>EDP-PT</t>
  </si>
  <si>
    <t>EDPR-PT</t>
  </si>
  <si>
    <t>ELISA-FI</t>
  </si>
  <si>
    <t>ELE-ES</t>
  </si>
  <si>
    <t>ENEL-IT</t>
  </si>
  <si>
    <t>ENGI-FR</t>
  </si>
  <si>
    <t>ENI-IT</t>
  </si>
  <si>
    <t>FORTUM-FI</t>
  </si>
  <si>
    <t>FNTN-DE</t>
  </si>
  <si>
    <t>GALP-PT</t>
  </si>
  <si>
    <t>G-IT</t>
  </si>
  <si>
    <t>GTT-FR</t>
  </si>
  <si>
    <t>HNR1-DE</t>
  </si>
  <si>
    <t>IBE-ES</t>
  </si>
  <si>
    <t>INW-IT</t>
  </si>
  <si>
    <t>KPN-NL</t>
  </si>
  <si>
    <t>MUV2-DE</t>
  </si>
  <si>
    <t>NTGY-ES</t>
  </si>
  <si>
    <t>NESTE-FI</t>
  </si>
  <si>
    <t>NN-NL</t>
  </si>
  <si>
    <t>NOKIA-FI</t>
  </si>
  <si>
    <t>OMV-AT</t>
  </si>
  <si>
    <t>ORA-FR</t>
  </si>
  <si>
    <t>PST-IT</t>
  </si>
  <si>
    <t>RED-ES</t>
  </si>
  <si>
    <t>REP-ES</t>
  </si>
  <si>
    <t>RWE-DE</t>
  </si>
  <si>
    <t>SPM-IT</t>
  </si>
  <si>
    <t>SAMPO-FI</t>
  </si>
  <si>
    <t>SCR-FR</t>
  </si>
  <si>
    <t>SHELL-NL</t>
  </si>
  <si>
    <t>ENR-DE</t>
  </si>
  <si>
    <t>SRG-IT</t>
  </si>
  <si>
    <t>TLX-DE</t>
  </si>
  <si>
    <t>TEF-ES</t>
  </si>
  <si>
    <t>TEN-IT</t>
  </si>
  <si>
    <t>TRN-IT</t>
  </si>
  <si>
    <t>TTE-FR</t>
  </si>
  <si>
    <t>UNI-IT</t>
  </si>
  <si>
    <t>VIE-FR</t>
  </si>
  <si>
    <t>VER-AT</t>
  </si>
  <si>
    <t>A2.MI</t>
  </si>
  <si>
    <t>AEGN.AS</t>
  </si>
  <si>
    <t>AGES.BR</t>
  </si>
  <si>
    <t>ALVG.DE</t>
  </si>
  <si>
    <t>ASRNL.AS</t>
  </si>
  <si>
    <t>AXAF.PA</t>
  </si>
  <si>
    <t>CLNX.MC</t>
  </si>
  <si>
    <t>DTEGn.DE</t>
  </si>
  <si>
    <t>EONGn.DE</t>
  </si>
  <si>
    <t>EDP.LS</t>
  </si>
  <si>
    <t>EDPR.LS</t>
  </si>
  <si>
    <t>ELISA.HE</t>
  </si>
  <si>
    <t>ELE.MC</t>
  </si>
  <si>
    <t>ENEI.MI</t>
  </si>
  <si>
    <t>ENGIE.PA</t>
  </si>
  <si>
    <t>ENI.MI</t>
  </si>
  <si>
    <t>FORTUM.HE</t>
  </si>
  <si>
    <t>FNTGn.DE</t>
  </si>
  <si>
    <t>GALP.LS</t>
  </si>
  <si>
    <t>GASI.MI</t>
  </si>
  <si>
    <t>GTT.PA</t>
  </si>
  <si>
    <t>HNRGn.DE</t>
  </si>
  <si>
    <t>IBE.MC</t>
  </si>
  <si>
    <t>INWT.MI</t>
  </si>
  <si>
    <t>KPN.AS</t>
  </si>
  <si>
    <t>MUVGn.DE</t>
  </si>
  <si>
    <t>NTGY.MC</t>
  </si>
  <si>
    <t>NESTE.HE</t>
  </si>
  <si>
    <t>NN.AS</t>
  </si>
  <si>
    <t>NOKIA.HE</t>
  </si>
  <si>
    <t>OMVV.VI</t>
  </si>
  <si>
    <t>ORAN.PA</t>
  </si>
  <si>
    <t>PST.MI</t>
  </si>
  <si>
    <t>REDE.MC</t>
  </si>
  <si>
    <t>REP.MC</t>
  </si>
  <si>
    <t>RWEG.DE</t>
  </si>
  <si>
    <t>SPMI.MI</t>
  </si>
  <si>
    <t>SAMPO.HE</t>
  </si>
  <si>
    <t>SCOR.PA</t>
  </si>
  <si>
    <t>SHEL.AS</t>
  </si>
  <si>
    <t>ENR1n.DE</t>
  </si>
  <si>
    <t>SRG.MI</t>
  </si>
  <si>
    <t>TLXGn.DE</t>
  </si>
  <si>
    <t>TEF.MC</t>
  </si>
  <si>
    <t>TENR.MI</t>
  </si>
  <si>
    <t>TRN.MI</t>
  </si>
  <si>
    <t>TTEF.PA</t>
  </si>
  <si>
    <t>UNPI.MI</t>
  </si>
  <si>
    <t>VIE.PA</t>
  </si>
  <si>
    <t>VERB.VI</t>
  </si>
  <si>
    <t>65101015</t>
  </si>
  <si>
    <t>30301010</t>
  </si>
  <si>
    <t>30302010</t>
  </si>
  <si>
    <t>15102015</t>
  </si>
  <si>
    <t>65102000</t>
  </si>
  <si>
    <t>65101010</t>
  </si>
  <si>
    <t>60101000</t>
  </si>
  <si>
    <t>60101030</t>
  </si>
  <si>
    <t>30302020</t>
  </si>
  <si>
    <t>65102020</t>
  </si>
  <si>
    <t>60101020</t>
  </si>
  <si>
    <t>15101010</t>
  </si>
  <si>
    <t>30302025</t>
  </si>
  <si>
    <t>60102020</t>
  </si>
  <si>
    <t>60101035</t>
  </si>
  <si>
    <t>65102030</t>
  </si>
  <si>
    <t>6510</t>
  </si>
  <si>
    <t>3030</t>
  </si>
  <si>
    <t>1510</t>
  </si>
  <si>
    <t>6010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</si>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</sst>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selection activeCell="I48" sqref="I4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  <c r="I2" t="b">
        <f>ISNUMBER(MATCH(B2,$J$2:$J$51,0))</f>
        <v>1</v>
      </c>
      <c r="J2" t="s">
        <v>106</v>
      </c>
      <c r="K2" t="b">
        <f>ISNUMBER(MATCH(J2,$B$2:$B$51,0))</f>
        <v>1</v>
      </c>
    </row>
    <row r="3" spans="1:11" x14ac:dyDescent="0.25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  <c r="I3" t="b">
        <f t="shared" ref="I3:I51" si="0">ISNUMBER(MATCH(B3,$J$2:$J$51,0))</f>
        <v>1</v>
      </c>
      <c r="J3" t="s">
        <v>107</v>
      </c>
      <c r="K3" t="b">
        <f t="shared" ref="K3:K51" si="1">ISNUMBER(MATCH(J3,$B$2:$B$51,0))</f>
        <v>1</v>
      </c>
    </row>
    <row r="4" spans="1:11" x14ac:dyDescent="0.25">
      <c r="A4" t="s">
        <v>10</v>
      </c>
      <c r="B4" t="s">
        <v>60</v>
      </c>
      <c r="C4" t="s">
        <v>110</v>
      </c>
      <c r="D4">
        <v>187971187</v>
      </c>
      <c r="E4">
        <v>0.85000000000000009</v>
      </c>
      <c r="F4">
        <v>1</v>
      </c>
      <c r="G4" t="s">
        <v>117</v>
      </c>
      <c r="H4" t="s">
        <v>118</v>
      </c>
      <c r="I4" t="b">
        <f t="shared" si="0"/>
        <v>1</v>
      </c>
      <c r="J4" t="s">
        <v>105</v>
      </c>
      <c r="K4" t="b">
        <f t="shared" si="1"/>
        <v>1</v>
      </c>
    </row>
    <row r="5" spans="1:11" x14ac:dyDescent="0.25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  <c r="I5" t="b">
        <f t="shared" si="0"/>
        <v>1</v>
      </c>
      <c r="J5" t="s">
        <v>104</v>
      </c>
      <c r="K5" t="b">
        <f t="shared" si="1"/>
        <v>1</v>
      </c>
    </row>
    <row r="6" spans="1:11" x14ac:dyDescent="0.25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  <c r="I6" t="b">
        <f t="shared" si="0"/>
        <v>1</v>
      </c>
      <c r="J6" t="s">
        <v>103</v>
      </c>
      <c r="K6" t="b">
        <f t="shared" si="1"/>
        <v>1</v>
      </c>
    </row>
    <row r="7" spans="1:11" x14ac:dyDescent="0.25">
      <c r="A7" t="s">
        <v>13</v>
      </c>
      <c r="B7" t="s">
        <v>63</v>
      </c>
      <c r="C7" t="s">
        <v>112</v>
      </c>
      <c r="D7">
        <v>2201287926</v>
      </c>
      <c r="E7">
        <v>0.85000000000000009</v>
      </c>
      <c r="F7">
        <v>1</v>
      </c>
      <c r="G7" t="s">
        <v>117</v>
      </c>
      <c r="H7" t="s">
        <v>118</v>
      </c>
      <c r="I7" t="b">
        <f t="shared" si="0"/>
        <v>1</v>
      </c>
      <c r="J7" t="s">
        <v>100</v>
      </c>
      <c r="K7" t="b">
        <f t="shared" si="1"/>
        <v>1</v>
      </c>
    </row>
    <row r="8" spans="1:11" x14ac:dyDescent="0.25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  <c r="I8" t="b">
        <f t="shared" si="0"/>
        <v>1</v>
      </c>
      <c r="J8" t="s">
        <v>102</v>
      </c>
      <c r="K8" t="b">
        <f t="shared" si="1"/>
        <v>1</v>
      </c>
    </row>
    <row r="9" spans="1:11" x14ac:dyDescent="0.25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  <c r="I9" t="b">
        <f t="shared" si="0"/>
        <v>1</v>
      </c>
      <c r="J9" t="s">
        <v>120</v>
      </c>
      <c r="K9" t="b">
        <f t="shared" si="1"/>
        <v>0</v>
      </c>
    </row>
    <row r="10" spans="1:11" x14ac:dyDescent="0.25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  <c r="I10" t="b">
        <f t="shared" si="0"/>
        <v>1</v>
      </c>
      <c r="J10" t="s">
        <v>101</v>
      </c>
      <c r="K10" t="b">
        <f t="shared" si="1"/>
        <v>1</v>
      </c>
    </row>
    <row r="11" spans="1:11" x14ac:dyDescent="0.25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  <c r="I11" t="b">
        <f t="shared" si="0"/>
        <v>1</v>
      </c>
      <c r="J11" t="s">
        <v>99</v>
      </c>
      <c r="K11" t="b">
        <f t="shared" si="1"/>
        <v>1</v>
      </c>
    </row>
    <row r="12" spans="1:11" x14ac:dyDescent="0.25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  <c r="I12" t="b">
        <f t="shared" si="0"/>
        <v>1</v>
      </c>
      <c r="J12" t="s">
        <v>97</v>
      </c>
      <c r="K12" t="b">
        <f t="shared" si="1"/>
        <v>1</v>
      </c>
    </row>
    <row r="13" spans="1:11" x14ac:dyDescent="0.25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  <c r="I13" t="b">
        <f t="shared" si="0"/>
        <v>1</v>
      </c>
      <c r="J13" t="s">
        <v>96</v>
      </c>
      <c r="K13" t="b">
        <f t="shared" si="1"/>
        <v>1</v>
      </c>
    </row>
    <row r="14" spans="1:11" x14ac:dyDescent="0.25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  <c r="I14" t="b">
        <f t="shared" si="0"/>
        <v>1</v>
      </c>
      <c r="J14" t="s">
        <v>95</v>
      </c>
      <c r="K14" t="b">
        <f t="shared" si="1"/>
        <v>1</v>
      </c>
    </row>
    <row r="15" spans="1:11" x14ac:dyDescent="0.25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  <c r="I15" t="b">
        <f t="shared" si="0"/>
        <v>1</v>
      </c>
      <c r="J15" t="s">
        <v>93</v>
      </c>
      <c r="K15" t="b">
        <f t="shared" si="1"/>
        <v>1</v>
      </c>
    </row>
    <row r="16" spans="1:11" x14ac:dyDescent="0.25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  <c r="I16" t="b">
        <f t="shared" si="0"/>
        <v>1</v>
      </c>
      <c r="J16" t="s">
        <v>92</v>
      </c>
      <c r="K16" t="b">
        <f t="shared" si="1"/>
        <v>1</v>
      </c>
    </row>
    <row r="17" spans="1:11" x14ac:dyDescent="0.25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  <c r="I17" t="b">
        <f t="shared" si="0"/>
        <v>1</v>
      </c>
      <c r="J17" t="s">
        <v>91</v>
      </c>
      <c r="K17" t="b">
        <f t="shared" si="1"/>
        <v>1</v>
      </c>
    </row>
    <row r="18" spans="1:11" x14ac:dyDescent="0.25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  <c r="I18" t="b">
        <f t="shared" si="0"/>
        <v>1</v>
      </c>
      <c r="J18" t="s">
        <v>90</v>
      </c>
      <c r="K18" t="b">
        <f t="shared" si="1"/>
        <v>1</v>
      </c>
    </row>
    <row r="19" spans="1:11" x14ac:dyDescent="0.25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  <c r="I19" t="b">
        <f t="shared" si="0"/>
        <v>1</v>
      </c>
      <c r="J19" t="s">
        <v>89</v>
      </c>
      <c r="K19" t="b">
        <f t="shared" si="1"/>
        <v>1</v>
      </c>
    </row>
    <row r="20" spans="1:11" x14ac:dyDescent="0.25">
      <c r="A20" t="s">
        <v>26</v>
      </c>
      <c r="B20" t="s">
        <v>76</v>
      </c>
      <c r="C20" t="s">
        <v>114</v>
      </c>
      <c r="D20">
        <v>695415645</v>
      </c>
      <c r="E20">
        <v>0.60000000000000009</v>
      </c>
      <c r="F20">
        <v>1</v>
      </c>
      <c r="G20" t="s">
        <v>117</v>
      </c>
      <c r="H20" t="s">
        <v>118</v>
      </c>
      <c r="I20" t="b">
        <f t="shared" si="0"/>
        <v>1</v>
      </c>
      <c r="J20" t="s">
        <v>88</v>
      </c>
      <c r="K20" t="b">
        <f t="shared" si="1"/>
        <v>1</v>
      </c>
    </row>
    <row r="21" spans="1:11" x14ac:dyDescent="0.25">
      <c r="A21" t="s">
        <v>27</v>
      </c>
      <c r="B21" t="s">
        <v>77</v>
      </c>
      <c r="C21" t="s">
        <v>108</v>
      </c>
      <c r="D21">
        <v>1569420004</v>
      </c>
      <c r="E21">
        <v>0.70000000000000007</v>
      </c>
      <c r="F21">
        <v>1</v>
      </c>
      <c r="G21" t="s">
        <v>117</v>
      </c>
      <c r="H21" t="s">
        <v>118</v>
      </c>
      <c r="I21" t="b">
        <f t="shared" si="0"/>
        <v>1</v>
      </c>
      <c r="J21" t="s">
        <v>84</v>
      </c>
      <c r="K21" t="b">
        <f t="shared" si="1"/>
        <v>1</v>
      </c>
    </row>
    <row r="22" spans="1:11" x14ac:dyDescent="0.25">
      <c r="A22" t="s">
        <v>28</v>
      </c>
      <c r="B22" t="s">
        <v>78</v>
      </c>
      <c r="C22" t="s">
        <v>112</v>
      </c>
      <c r="D22">
        <v>37117772</v>
      </c>
      <c r="E22">
        <v>0.95000000000000007</v>
      </c>
      <c r="F22">
        <v>1</v>
      </c>
      <c r="G22" t="s">
        <v>117</v>
      </c>
      <c r="H22" t="s">
        <v>118</v>
      </c>
      <c r="I22" t="b">
        <f t="shared" si="0"/>
        <v>1</v>
      </c>
      <c r="J22" t="s">
        <v>87</v>
      </c>
      <c r="K22" t="b">
        <f t="shared" si="1"/>
        <v>1</v>
      </c>
    </row>
    <row r="23" spans="1:11" x14ac:dyDescent="0.25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  <c r="I23" t="b">
        <f t="shared" si="0"/>
        <v>1</v>
      </c>
      <c r="J23" t="s">
        <v>86</v>
      </c>
      <c r="K23" t="b">
        <f t="shared" si="1"/>
        <v>1</v>
      </c>
    </row>
    <row r="24" spans="1:11" x14ac:dyDescent="0.25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  <c r="I24" t="b">
        <f t="shared" si="0"/>
        <v>1</v>
      </c>
      <c r="J24" t="s">
        <v>85</v>
      </c>
      <c r="K24" t="b">
        <f t="shared" si="1"/>
        <v>1</v>
      </c>
    </row>
    <row r="25" spans="1:11" x14ac:dyDescent="0.25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  <c r="I25" t="b">
        <f t="shared" si="0"/>
        <v>1</v>
      </c>
      <c r="J25" t="s">
        <v>83</v>
      </c>
      <c r="K25" t="b">
        <f t="shared" si="1"/>
        <v>1</v>
      </c>
    </row>
    <row r="26" spans="1:11" x14ac:dyDescent="0.25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  <c r="I26" t="b">
        <f t="shared" si="0"/>
        <v>1</v>
      </c>
      <c r="J26" t="s">
        <v>82</v>
      </c>
      <c r="K26" t="b">
        <f t="shared" si="1"/>
        <v>1</v>
      </c>
    </row>
    <row r="27" spans="1:11" x14ac:dyDescent="0.25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  <c r="I27" t="b">
        <f t="shared" si="0"/>
        <v>1</v>
      </c>
      <c r="J27" t="s">
        <v>81</v>
      </c>
      <c r="K27" t="b">
        <f t="shared" si="1"/>
        <v>1</v>
      </c>
    </row>
    <row r="28" spans="1:11" x14ac:dyDescent="0.25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  <c r="I28" t="b">
        <f t="shared" si="0"/>
        <v>1</v>
      </c>
      <c r="J28" t="s">
        <v>80</v>
      </c>
      <c r="K28" t="b">
        <f t="shared" si="1"/>
        <v>1</v>
      </c>
    </row>
    <row r="29" spans="1:11" x14ac:dyDescent="0.25">
      <c r="A29" t="s">
        <v>35</v>
      </c>
      <c r="B29" t="s">
        <v>85</v>
      </c>
      <c r="C29" t="s">
        <v>115</v>
      </c>
      <c r="D29">
        <v>769211060</v>
      </c>
      <c r="E29">
        <v>0.55000000000000004</v>
      </c>
      <c r="F29">
        <v>1</v>
      </c>
      <c r="G29" t="s">
        <v>117</v>
      </c>
      <c r="H29" t="s">
        <v>118</v>
      </c>
      <c r="I29" t="b">
        <f t="shared" si="0"/>
        <v>1</v>
      </c>
      <c r="J29" t="s">
        <v>79</v>
      </c>
      <c r="K29" t="b">
        <f t="shared" si="1"/>
        <v>1</v>
      </c>
    </row>
    <row r="30" spans="1:11" x14ac:dyDescent="0.25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  <c r="I30" t="b">
        <f t="shared" si="0"/>
        <v>1</v>
      </c>
      <c r="J30" t="s">
        <v>78</v>
      </c>
      <c r="K30" t="b">
        <f t="shared" si="1"/>
        <v>1</v>
      </c>
    </row>
    <row r="31" spans="1:11" x14ac:dyDescent="0.25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  <c r="I31" t="b">
        <f t="shared" si="0"/>
        <v>1</v>
      </c>
      <c r="J31" t="s">
        <v>77</v>
      </c>
      <c r="K31" t="b">
        <f t="shared" si="1"/>
        <v>1</v>
      </c>
    </row>
    <row r="32" spans="1:11" x14ac:dyDescent="0.25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  <c r="I32" t="b">
        <f t="shared" si="0"/>
        <v>1</v>
      </c>
      <c r="J32" t="s">
        <v>76</v>
      </c>
      <c r="K32" t="b">
        <f t="shared" si="1"/>
        <v>1</v>
      </c>
    </row>
    <row r="33" spans="1:11" x14ac:dyDescent="0.25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  <c r="I33" t="b">
        <f t="shared" si="0"/>
        <v>1</v>
      </c>
      <c r="J33" t="s">
        <v>74</v>
      </c>
      <c r="K33" t="b">
        <f t="shared" si="1"/>
        <v>1</v>
      </c>
    </row>
    <row r="34" spans="1:11" x14ac:dyDescent="0.25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  <c r="I34" t="b">
        <f t="shared" si="0"/>
        <v>1</v>
      </c>
      <c r="J34" t="s">
        <v>75</v>
      </c>
      <c r="K34" t="b">
        <f t="shared" si="1"/>
        <v>1</v>
      </c>
    </row>
    <row r="35" spans="1:11" x14ac:dyDescent="0.25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  <c r="I35" t="b">
        <f t="shared" si="0"/>
        <v>1</v>
      </c>
      <c r="J35" t="s">
        <v>66</v>
      </c>
      <c r="K35" t="b">
        <f t="shared" si="1"/>
        <v>1</v>
      </c>
    </row>
    <row r="36" spans="1:11" x14ac:dyDescent="0.25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  <c r="I36" t="b">
        <f t="shared" si="0"/>
        <v>1</v>
      </c>
      <c r="J36" t="s">
        <v>98</v>
      </c>
      <c r="K36" t="b">
        <f t="shared" si="1"/>
        <v>1</v>
      </c>
    </row>
    <row r="37" spans="1:11" x14ac:dyDescent="0.25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  <c r="I37" t="b">
        <f t="shared" si="0"/>
        <v>1</v>
      </c>
      <c r="J37" t="s">
        <v>73</v>
      </c>
      <c r="K37" t="b">
        <f t="shared" si="1"/>
        <v>1</v>
      </c>
    </row>
    <row r="38" spans="1:11" x14ac:dyDescent="0.25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  <c r="I38" t="b">
        <f t="shared" si="0"/>
        <v>0</v>
      </c>
      <c r="J38" t="s">
        <v>72</v>
      </c>
      <c r="K38" t="b">
        <f t="shared" si="1"/>
        <v>1</v>
      </c>
    </row>
    <row r="39" spans="1:11" x14ac:dyDescent="0.25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  <c r="I39" t="b">
        <f t="shared" si="0"/>
        <v>1</v>
      </c>
      <c r="J39" t="s">
        <v>71</v>
      </c>
      <c r="K39" t="b">
        <f t="shared" si="1"/>
        <v>1</v>
      </c>
    </row>
    <row r="40" spans="1:11" x14ac:dyDescent="0.25">
      <c r="A40" t="s">
        <v>46</v>
      </c>
      <c r="B40" t="s">
        <v>96</v>
      </c>
      <c r="C40" t="s">
        <v>112</v>
      </c>
      <c r="D40">
        <v>179362195</v>
      </c>
      <c r="E40">
        <v>0.85000000000000009</v>
      </c>
      <c r="F40">
        <v>1</v>
      </c>
      <c r="G40" t="s">
        <v>117</v>
      </c>
      <c r="H40" t="s">
        <v>118</v>
      </c>
      <c r="I40" t="b">
        <f t="shared" si="0"/>
        <v>1</v>
      </c>
      <c r="J40" t="s">
        <v>69</v>
      </c>
      <c r="K40" t="b">
        <f t="shared" si="1"/>
        <v>1</v>
      </c>
    </row>
    <row r="41" spans="1:11" x14ac:dyDescent="0.25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  <c r="I41" t="b">
        <f t="shared" si="0"/>
        <v>1</v>
      </c>
      <c r="J41" t="s">
        <v>70</v>
      </c>
      <c r="K41" t="b">
        <f t="shared" si="1"/>
        <v>1</v>
      </c>
    </row>
    <row r="42" spans="1:11" x14ac:dyDescent="0.25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  <c r="I42" t="b">
        <f t="shared" si="0"/>
        <v>1</v>
      </c>
      <c r="J42" t="s">
        <v>68</v>
      </c>
      <c r="K42" t="b">
        <f t="shared" si="1"/>
        <v>1</v>
      </c>
    </row>
    <row r="43" spans="1:11" x14ac:dyDescent="0.25">
      <c r="A43" t="s">
        <v>49</v>
      </c>
      <c r="B43" t="s">
        <v>99</v>
      </c>
      <c r="C43" t="s">
        <v>108</v>
      </c>
      <c r="D43">
        <v>3360857809</v>
      </c>
      <c r="E43">
        <v>0.60000000000000009</v>
      </c>
      <c r="F43">
        <v>1</v>
      </c>
      <c r="G43" t="s">
        <v>117</v>
      </c>
      <c r="H43" t="s">
        <v>118</v>
      </c>
      <c r="I43" t="b">
        <f t="shared" si="0"/>
        <v>1</v>
      </c>
      <c r="J43" t="s">
        <v>67</v>
      </c>
      <c r="K43" t="b">
        <f t="shared" si="1"/>
        <v>1</v>
      </c>
    </row>
    <row r="44" spans="1:11" x14ac:dyDescent="0.25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  <c r="I44" t="b">
        <f t="shared" si="0"/>
        <v>1</v>
      </c>
      <c r="J44" t="s">
        <v>65</v>
      </c>
      <c r="K44" t="b">
        <f t="shared" si="1"/>
        <v>1</v>
      </c>
    </row>
    <row r="45" spans="1:11" x14ac:dyDescent="0.25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  <c r="I45" t="b">
        <f t="shared" si="0"/>
        <v>1</v>
      </c>
      <c r="J45" t="s">
        <v>64</v>
      </c>
      <c r="K45" t="b">
        <f t="shared" si="1"/>
        <v>1</v>
      </c>
    </row>
    <row r="46" spans="1:11" x14ac:dyDescent="0.25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  <c r="I46" t="b">
        <f t="shared" si="0"/>
        <v>1</v>
      </c>
      <c r="J46" t="s">
        <v>58</v>
      </c>
      <c r="K46" t="b">
        <f t="shared" si="1"/>
        <v>1</v>
      </c>
    </row>
    <row r="47" spans="1:11" x14ac:dyDescent="0.25">
      <c r="A47" t="s">
        <v>53</v>
      </c>
      <c r="B47" t="s">
        <v>103</v>
      </c>
      <c r="C47" t="s">
        <v>108</v>
      </c>
      <c r="D47">
        <v>2009992000</v>
      </c>
      <c r="E47">
        <v>0.70000000000000007</v>
      </c>
      <c r="F47">
        <v>1</v>
      </c>
      <c r="G47" t="s">
        <v>117</v>
      </c>
      <c r="H47" t="s">
        <v>118</v>
      </c>
      <c r="I47" t="b">
        <f t="shared" si="0"/>
        <v>1</v>
      </c>
      <c r="J47" t="s">
        <v>63</v>
      </c>
      <c r="K47" t="b">
        <f t="shared" si="1"/>
        <v>1</v>
      </c>
    </row>
    <row r="48" spans="1:11" x14ac:dyDescent="0.25">
      <c r="A48" t="s">
        <v>54</v>
      </c>
      <c r="B48" t="s">
        <v>104</v>
      </c>
      <c r="C48" t="s">
        <v>112</v>
      </c>
      <c r="D48">
        <v>2397679661</v>
      </c>
      <c r="E48">
        <v>0.95000000000000007</v>
      </c>
      <c r="F48">
        <v>1</v>
      </c>
      <c r="G48" t="s">
        <v>117</v>
      </c>
      <c r="H48" t="s">
        <v>118</v>
      </c>
      <c r="I48" t="b">
        <f t="shared" si="0"/>
        <v>1</v>
      </c>
      <c r="J48" t="s">
        <v>62</v>
      </c>
      <c r="K48" t="b">
        <f t="shared" si="1"/>
        <v>1</v>
      </c>
    </row>
    <row r="49" spans="1:11" x14ac:dyDescent="0.25">
      <c r="A49" t="s">
        <v>55</v>
      </c>
      <c r="B49" t="s">
        <v>105</v>
      </c>
      <c r="C49" t="s">
        <v>108</v>
      </c>
      <c r="D49">
        <v>717473508</v>
      </c>
      <c r="E49">
        <v>0.55000000000000004</v>
      </c>
      <c r="F49">
        <v>1</v>
      </c>
      <c r="G49" t="s">
        <v>117</v>
      </c>
      <c r="H49" t="s">
        <v>118</v>
      </c>
      <c r="I49" t="b">
        <f t="shared" si="0"/>
        <v>1</v>
      </c>
      <c r="J49" t="s">
        <v>61</v>
      </c>
      <c r="K49" t="b">
        <f t="shared" si="1"/>
        <v>1</v>
      </c>
    </row>
    <row r="50" spans="1:11" x14ac:dyDescent="0.25">
      <c r="A50" t="s">
        <v>56</v>
      </c>
      <c r="B50" t="s">
        <v>106</v>
      </c>
      <c r="C50" t="s">
        <v>112</v>
      </c>
      <c r="D50">
        <v>740652608</v>
      </c>
      <c r="E50">
        <v>0.95000000000000007</v>
      </c>
      <c r="F50">
        <v>1</v>
      </c>
      <c r="G50" t="s">
        <v>117</v>
      </c>
      <c r="H50" t="s">
        <v>118</v>
      </c>
      <c r="I50" t="b">
        <f t="shared" si="0"/>
        <v>1</v>
      </c>
      <c r="J50" t="s">
        <v>60</v>
      </c>
      <c r="K50" t="b">
        <f t="shared" si="1"/>
        <v>1</v>
      </c>
    </row>
    <row r="51" spans="1:11" x14ac:dyDescent="0.25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  <c r="I51" t="b">
        <f t="shared" si="0"/>
        <v>1</v>
      </c>
      <c r="J51" t="s">
        <v>59</v>
      </c>
      <c r="K51" t="b">
        <f t="shared" si="1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44</v>
      </c>
      <c r="B2" t="s">
        <v>94</v>
      </c>
      <c r="C2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119</v>
      </c>
      <c r="B2" t="s">
        <v>120</v>
      </c>
      <c r="C2" t="s">
        <v>116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51"/>
  <sheetViews>
    <sheetView workbookViewId="0"/>
  </sheetViews>
  <sheetFormatPr defaultRowHeight="15" x14ac:dyDescent="0.25"/>
  <sheetData>
    <row r="1" spans="1:35" x14ac:dyDescent="0.25">
      <c r="A1" s="1" t="s">
        <v>121</v>
      </c>
      <c r="B1" s="1" t="s">
        <v>122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4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146</v>
      </c>
      <c r="AF1" s="1" t="s">
        <v>147</v>
      </c>
      <c r="AG1" s="1" t="s">
        <v>6</v>
      </c>
      <c r="AH1" s="1" t="s">
        <v>5</v>
      </c>
      <c r="AI1" s="1" t="s">
        <v>148</v>
      </c>
    </row>
    <row r="2" spans="1:35" x14ac:dyDescent="0.25">
      <c r="A2">
        <v>1</v>
      </c>
      <c r="B2" t="s">
        <v>149</v>
      </c>
      <c r="C2" t="s">
        <v>8</v>
      </c>
      <c r="D2" t="s">
        <v>58</v>
      </c>
      <c r="E2" t="s">
        <v>108</v>
      </c>
      <c r="F2">
        <v>3132905277</v>
      </c>
      <c r="G2">
        <v>2.1150000000000002</v>
      </c>
      <c r="H2" t="s">
        <v>118</v>
      </c>
      <c r="I2">
        <v>20633398.3426961</v>
      </c>
      <c r="J2">
        <v>17495868.370066699</v>
      </c>
      <c r="M2">
        <v>17859467.307893101</v>
      </c>
      <c r="N2">
        <v>20.890464999999999</v>
      </c>
      <c r="O2">
        <v>19.912980999999998</v>
      </c>
      <c r="P2">
        <v>16879025.558702499</v>
      </c>
      <c r="Q2">
        <v>21.868656000000001</v>
      </c>
      <c r="R2">
        <v>16484635.4117349</v>
      </c>
      <c r="S2">
        <v>17995752.7413163</v>
      </c>
      <c r="T2">
        <v>0.5</v>
      </c>
      <c r="U2" t="s">
        <v>199</v>
      </c>
      <c r="V2">
        <v>1</v>
      </c>
      <c r="W2">
        <v>2.181</v>
      </c>
      <c r="X2">
        <v>2.1150000000000002</v>
      </c>
      <c r="Y2" t="s">
        <v>249</v>
      </c>
      <c r="Z2">
        <v>65101015</v>
      </c>
      <c r="AA2" t="s">
        <v>265</v>
      </c>
      <c r="AB2" t="s">
        <v>265</v>
      </c>
      <c r="AC2">
        <v>3313047330.4274998</v>
      </c>
      <c r="AD2" t="b">
        <v>1</v>
      </c>
      <c r="AE2">
        <v>48</v>
      </c>
      <c r="AF2" t="b">
        <v>1</v>
      </c>
      <c r="AG2" t="s">
        <v>117</v>
      </c>
      <c r="AH2">
        <v>1</v>
      </c>
      <c r="AI2" t="b">
        <v>0</v>
      </c>
    </row>
    <row r="3" spans="1:35" x14ac:dyDescent="0.25">
      <c r="A3">
        <v>13</v>
      </c>
      <c r="B3" t="s">
        <v>150</v>
      </c>
      <c r="C3" t="s">
        <v>9</v>
      </c>
      <c r="D3" t="s">
        <v>59</v>
      </c>
      <c r="E3" t="s">
        <v>109</v>
      </c>
      <c r="F3">
        <v>1687766194</v>
      </c>
      <c r="G3">
        <v>5.96</v>
      </c>
      <c r="H3" t="s">
        <v>118</v>
      </c>
      <c r="I3">
        <v>30341149.188136701</v>
      </c>
      <c r="J3">
        <v>27428525.4502667</v>
      </c>
      <c r="M3">
        <v>26929086.3166136</v>
      </c>
      <c r="N3">
        <v>22.542921</v>
      </c>
      <c r="O3">
        <v>23.373472</v>
      </c>
      <c r="P3">
        <v>25368323.088890001</v>
      </c>
      <c r="Q3">
        <v>21.634602000000001</v>
      </c>
      <c r="R3">
        <v>25822614.584621198</v>
      </c>
      <c r="S3">
        <v>28264184.246167101</v>
      </c>
      <c r="T3">
        <v>0.75</v>
      </c>
      <c r="U3" t="s">
        <v>200</v>
      </c>
      <c r="V3">
        <v>1</v>
      </c>
      <c r="W3">
        <v>5.8639999999999999</v>
      </c>
      <c r="X3">
        <v>5.96</v>
      </c>
      <c r="Y3" t="s">
        <v>250</v>
      </c>
      <c r="Z3">
        <v>30301010</v>
      </c>
      <c r="AA3" t="s">
        <v>266</v>
      </c>
      <c r="AB3" t="s">
        <v>266</v>
      </c>
      <c r="AC3">
        <v>7544314887.1800003</v>
      </c>
      <c r="AD3" t="b">
        <v>1</v>
      </c>
      <c r="AE3">
        <v>30</v>
      </c>
      <c r="AF3" t="b">
        <v>1</v>
      </c>
      <c r="AG3" t="s">
        <v>117</v>
      </c>
      <c r="AH3">
        <v>1</v>
      </c>
      <c r="AI3" t="b">
        <v>0</v>
      </c>
    </row>
    <row r="4" spans="1:35" x14ac:dyDescent="0.25">
      <c r="A4">
        <v>15</v>
      </c>
      <c r="B4" t="s">
        <v>151</v>
      </c>
      <c r="C4" t="s">
        <v>10</v>
      </c>
      <c r="D4" t="s">
        <v>60</v>
      </c>
      <c r="E4" t="s">
        <v>110</v>
      </c>
      <c r="F4">
        <v>187971187</v>
      </c>
      <c r="G4">
        <v>48.66</v>
      </c>
      <c r="H4" t="s">
        <v>118</v>
      </c>
      <c r="I4">
        <v>14015662.722734399</v>
      </c>
      <c r="J4">
        <v>13327024.0806667</v>
      </c>
      <c r="M4">
        <v>13103646.143106099</v>
      </c>
      <c r="N4">
        <v>17.016047</v>
      </c>
      <c r="O4">
        <v>16.391539999999999</v>
      </c>
      <c r="P4">
        <v>11969012.1928</v>
      </c>
      <c r="Q4">
        <v>17.214843999999999</v>
      </c>
      <c r="R4">
        <v>13124535.097727301</v>
      </c>
      <c r="S4">
        <v>14349530.3253379</v>
      </c>
      <c r="T4">
        <v>0.85000000000000009</v>
      </c>
      <c r="U4" t="s">
        <v>201</v>
      </c>
      <c r="V4">
        <v>1</v>
      </c>
      <c r="W4">
        <v>46.92</v>
      </c>
      <c r="X4">
        <v>48.66</v>
      </c>
      <c r="Y4" t="s">
        <v>250</v>
      </c>
      <c r="Z4">
        <v>30301010</v>
      </c>
      <c r="AA4" t="s">
        <v>266</v>
      </c>
      <c r="AB4" t="s">
        <v>266</v>
      </c>
      <c r="AC4">
        <v>7774676265.507</v>
      </c>
      <c r="AD4" t="b">
        <v>1</v>
      </c>
      <c r="AE4">
        <v>29</v>
      </c>
      <c r="AF4" t="b">
        <v>1</v>
      </c>
      <c r="AG4" t="s">
        <v>117</v>
      </c>
      <c r="AH4">
        <v>1</v>
      </c>
      <c r="AI4" t="b">
        <v>0</v>
      </c>
    </row>
    <row r="5" spans="1:35" x14ac:dyDescent="0.25">
      <c r="A5">
        <v>22</v>
      </c>
      <c r="B5" t="s">
        <v>152</v>
      </c>
      <c r="C5" t="s">
        <v>11</v>
      </c>
      <c r="D5" t="s">
        <v>61</v>
      </c>
      <c r="E5" t="s">
        <v>111</v>
      </c>
      <c r="F5">
        <v>391719000</v>
      </c>
      <c r="G5">
        <v>291.39999999999998</v>
      </c>
      <c r="H5" t="s">
        <v>118</v>
      </c>
      <c r="I5">
        <v>179079205.58125001</v>
      </c>
      <c r="J5">
        <v>178870095.05333301</v>
      </c>
      <c r="M5">
        <v>164422555.01590899</v>
      </c>
      <c r="N5">
        <v>14.864856</v>
      </c>
      <c r="O5">
        <v>14.346833</v>
      </c>
      <c r="P5">
        <v>158169370.30899999</v>
      </c>
      <c r="Q5">
        <v>15.328404000000001</v>
      </c>
      <c r="R5">
        <v>169541271.69999999</v>
      </c>
      <c r="S5">
        <v>185224700.13461801</v>
      </c>
      <c r="T5">
        <v>1</v>
      </c>
      <c r="U5" t="s">
        <v>202</v>
      </c>
      <c r="V5">
        <v>1</v>
      </c>
      <c r="W5">
        <v>296</v>
      </c>
      <c r="X5">
        <v>291.39999999999998</v>
      </c>
      <c r="Y5" t="s">
        <v>251</v>
      </c>
      <c r="Z5">
        <v>30302010</v>
      </c>
      <c r="AA5" t="s">
        <v>266</v>
      </c>
      <c r="AB5" t="s">
        <v>266</v>
      </c>
      <c r="AC5">
        <v>114146916600</v>
      </c>
      <c r="AD5" t="b">
        <v>1</v>
      </c>
      <c r="AE5">
        <v>3</v>
      </c>
      <c r="AF5" t="b">
        <v>1</v>
      </c>
      <c r="AG5" t="s">
        <v>117</v>
      </c>
      <c r="AH5">
        <v>1</v>
      </c>
      <c r="AI5" t="b">
        <v>0</v>
      </c>
    </row>
    <row r="6" spans="1:35" x14ac:dyDescent="0.25">
      <c r="A6">
        <v>36</v>
      </c>
      <c r="B6" t="s">
        <v>153</v>
      </c>
      <c r="C6" t="s">
        <v>12</v>
      </c>
      <c r="D6" t="s">
        <v>62</v>
      </c>
      <c r="E6" t="s">
        <v>109</v>
      </c>
      <c r="F6">
        <v>211326978</v>
      </c>
      <c r="G6">
        <v>45.13</v>
      </c>
      <c r="H6" t="s">
        <v>118</v>
      </c>
      <c r="I6">
        <v>19878173.054785099</v>
      </c>
      <c r="J6">
        <v>18421805.059999999</v>
      </c>
      <c r="M6">
        <v>17865130.481666699</v>
      </c>
      <c r="N6">
        <v>21.781887000000001</v>
      </c>
      <c r="O6">
        <v>20.416826</v>
      </c>
      <c r="P6">
        <v>15658985.132099999</v>
      </c>
      <c r="Q6">
        <v>20.219201999999999</v>
      </c>
      <c r="R6">
        <v>15837750.474621199</v>
      </c>
      <c r="S6">
        <v>17293629.228745598</v>
      </c>
      <c r="T6">
        <v>0.65</v>
      </c>
      <c r="U6" t="s">
        <v>203</v>
      </c>
      <c r="V6">
        <v>1</v>
      </c>
      <c r="W6">
        <v>45.78</v>
      </c>
      <c r="X6">
        <v>45.13</v>
      </c>
      <c r="Y6" t="s">
        <v>251</v>
      </c>
      <c r="Z6">
        <v>30302010</v>
      </c>
      <c r="AA6" t="s">
        <v>266</v>
      </c>
      <c r="AB6" t="s">
        <v>266</v>
      </c>
      <c r="AC6">
        <v>6199171236.1410007</v>
      </c>
      <c r="AD6" t="b">
        <v>1</v>
      </c>
      <c r="AE6">
        <v>36</v>
      </c>
      <c r="AF6" t="b">
        <v>1</v>
      </c>
      <c r="AG6" t="s">
        <v>117</v>
      </c>
      <c r="AH6">
        <v>1</v>
      </c>
      <c r="AI6" t="b">
        <v>0</v>
      </c>
    </row>
    <row r="7" spans="1:35" x14ac:dyDescent="0.25">
      <c r="A7">
        <v>37</v>
      </c>
      <c r="B7" t="s">
        <v>154</v>
      </c>
      <c r="C7" t="s">
        <v>13</v>
      </c>
      <c r="D7" t="s">
        <v>63</v>
      </c>
      <c r="E7" t="s">
        <v>112</v>
      </c>
      <c r="F7">
        <v>2201287926</v>
      </c>
      <c r="G7">
        <v>34.08</v>
      </c>
      <c r="H7" t="s">
        <v>118</v>
      </c>
      <c r="I7">
        <v>113176277.075352</v>
      </c>
      <c r="J7">
        <v>117326966.161667</v>
      </c>
      <c r="M7">
        <v>121440978.66435599</v>
      </c>
      <c r="N7">
        <v>18.62041</v>
      </c>
      <c r="O7">
        <v>15.218030000000001</v>
      </c>
      <c r="P7">
        <v>111700308.99770001</v>
      </c>
      <c r="Q7">
        <v>18.769821</v>
      </c>
      <c r="R7">
        <v>123346360.814924</v>
      </c>
      <c r="S7">
        <v>134832803.773397</v>
      </c>
      <c r="T7">
        <v>0.85000000000000009</v>
      </c>
      <c r="U7" t="s">
        <v>204</v>
      </c>
      <c r="V7">
        <v>1</v>
      </c>
      <c r="W7">
        <v>33.840000000000003</v>
      </c>
      <c r="X7">
        <v>34.08</v>
      </c>
      <c r="Y7" t="s">
        <v>251</v>
      </c>
      <c r="Z7">
        <v>30302010</v>
      </c>
      <c r="AA7" t="s">
        <v>266</v>
      </c>
      <c r="AB7" t="s">
        <v>266</v>
      </c>
      <c r="AC7">
        <v>63766908640.367996</v>
      </c>
      <c r="AD7" t="b">
        <v>1</v>
      </c>
      <c r="AE7">
        <v>7</v>
      </c>
      <c r="AF7" t="b">
        <v>1</v>
      </c>
      <c r="AG7" t="s">
        <v>117</v>
      </c>
      <c r="AH7">
        <v>1</v>
      </c>
      <c r="AI7" t="b">
        <v>0</v>
      </c>
    </row>
    <row r="8" spans="1:35" x14ac:dyDescent="0.25">
      <c r="A8">
        <v>74</v>
      </c>
      <c r="B8" t="s">
        <v>155</v>
      </c>
      <c r="C8" t="s">
        <v>14</v>
      </c>
      <c r="D8" t="s">
        <v>64</v>
      </c>
      <c r="E8" t="s">
        <v>113</v>
      </c>
      <c r="F8">
        <v>706475400</v>
      </c>
      <c r="G8">
        <v>32.54</v>
      </c>
      <c r="H8" t="s">
        <v>118</v>
      </c>
      <c r="I8">
        <v>42599181.301931597</v>
      </c>
      <c r="J8">
        <v>49630896.515626602</v>
      </c>
      <c r="M8">
        <v>43877831.649578802</v>
      </c>
      <c r="N8">
        <v>24.491174999999998</v>
      </c>
      <c r="O8">
        <v>24.513731</v>
      </c>
      <c r="P8">
        <v>38826353.340294003</v>
      </c>
      <c r="Q8">
        <v>25.547165</v>
      </c>
      <c r="R8">
        <v>39011209.158637904</v>
      </c>
      <c r="S8">
        <v>42546974.317009903</v>
      </c>
      <c r="T8">
        <v>0.85</v>
      </c>
      <c r="U8" t="s">
        <v>205</v>
      </c>
      <c r="V8">
        <v>1</v>
      </c>
      <c r="W8">
        <v>28.95</v>
      </c>
      <c r="X8">
        <v>32.54</v>
      </c>
      <c r="Y8" t="s">
        <v>252</v>
      </c>
      <c r="Z8">
        <v>15102015</v>
      </c>
      <c r="AA8" t="s">
        <v>267</v>
      </c>
      <c r="AB8" t="s">
        <v>267</v>
      </c>
      <c r="AC8">
        <v>19540403088.599998</v>
      </c>
      <c r="AD8" t="b">
        <v>1</v>
      </c>
      <c r="AE8">
        <v>18</v>
      </c>
      <c r="AF8" t="b">
        <v>1</v>
      </c>
      <c r="AG8" t="s">
        <v>117</v>
      </c>
      <c r="AH8">
        <v>1</v>
      </c>
      <c r="AI8" t="b">
        <v>0</v>
      </c>
    </row>
    <row r="9" spans="1:35" x14ac:dyDescent="0.25">
      <c r="A9">
        <v>92</v>
      </c>
      <c r="B9" t="s">
        <v>156</v>
      </c>
      <c r="C9" t="s">
        <v>15</v>
      </c>
      <c r="D9" t="s">
        <v>65</v>
      </c>
      <c r="E9" t="s">
        <v>111</v>
      </c>
      <c r="F9">
        <v>4986458500</v>
      </c>
      <c r="G9">
        <v>29.4</v>
      </c>
      <c r="H9" t="s">
        <v>118</v>
      </c>
      <c r="I9">
        <v>156188590.813164</v>
      </c>
      <c r="J9">
        <v>171826370.12733299</v>
      </c>
      <c r="M9">
        <v>159819352.91098499</v>
      </c>
      <c r="N9">
        <v>12.873411000000001</v>
      </c>
      <c r="O9">
        <v>13.18153</v>
      </c>
      <c r="P9">
        <v>154654854.42719999</v>
      </c>
      <c r="Q9">
        <v>14.850149999999999</v>
      </c>
      <c r="R9">
        <v>158686739.47075799</v>
      </c>
      <c r="S9">
        <v>173321651.11172599</v>
      </c>
      <c r="T9">
        <v>0.75</v>
      </c>
      <c r="U9" t="s">
        <v>206</v>
      </c>
      <c r="V9">
        <v>1</v>
      </c>
      <c r="W9">
        <v>29.44</v>
      </c>
      <c r="X9">
        <v>29.4</v>
      </c>
      <c r="Y9" t="s">
        <v>252</v>
      </c>
      <c r="Z9">
        <v>15102015</v>
      </c>
      <c r="AA9" t="s">
        <v>267</v>
      </c>
      <c r="AB9" t="s">
        <v>267</v>
      </c>
      <c r="AC9">
        <v>109951409925</v>
      </c>
      <c r="AD9" t="b">
        <v>1</v>
      </c>
      <c r="AE9">
        <v>4</v>
      </c>
      <c r="AF9" t="b">
        <v>1</v>
      </c>
      <c r="AG9" t="s">
        <v>117</v>
      </c>
      <c r="AH9">
        <v>1</v>
      </c>
      <c r="AI9" t="b">
        <v>0</v>
      </c>
    </row>
    <row r="10" spans="1:35" x14ac:dyDescent="0.25">
      <c r="A10">
        <v>96</v>
      </c>
      <c r="B10" t="s">
        <v>157</v>
      </c>
      <c r="C10" t="s">
        <v>16</v>
      </c>
      <c r="D10" t="s">
        <v>66</v>
      </c>
      <c r="E10" t="s">
        <v>111</v>
      </c>
      <c r="F10">
        <v>2641318800</v>
      </c>
      <c r="G10">
        <v>12.035</v>
      </c>
      <c r="H10" t="s">
        <v>118</v>
      </c>
      <c r="I10">
        <v>59236562.1667578</v>
      </c>
      <c r="J10">
        <v>75145818.555333301</v>
      </c>
      <c r="M10">
        <v>57703287.038447</v>
      </c>
      <c r="N10">
        <v>18.050688000000001</v>
      </c>
      <c r="O10">
        <v>19.209468999999999</v>
      </c>
      <c r="P10">
        <v>56220179.242550001</v>
      </c>
      <c r="Q10">
        <v>20.047111999999998</v>
      </c>
      <c r="R10">
        <v>58391562.0583333</v>
      </c>
      <c r="S10">
        <v>63663869.866672501</v>
      </c>
      <c r="T10">
        <v>0.85</v>
      </c>
      <c r="U10" t="s">
        <v>207</v>
      </c>
      <c r="V10">
        <v>1</v>
      </c>
      <c r="W10">
        <v>10.555</v>
      </c>
      <c r="X10">
        <v>12.035</v>
      </c>
      <c r="Y10" t="s">
        <v>253</v>
      </c>
      <c r="Z10">
        <v>65102000</v>
      </c>
      <c r="AA10" t="s">
        <v>265</v>
      </c>
      <c r="AB10" t="s">
        <v>265</v>
      </c>
      <c r="AC10">
        <v>27020030994.299999</v>
      </c>
      <c r="AD10" t="b">
        <v>1</v>
      </c>
      <c r="AE10">
        <v>13</v>
      </c>
      <c r="AF10" t="b">
        <v>1</v>
      </c>
      <c r="AG10" t="s">
        <v>117</v>
      </c>
      <c r="AH10">
        <v>1</v>
      </c>
      <c r="AI10" t="b">
        <v>0</v>
      </c>
    </row>
    <row r="11" spans="1:35" x14ac:dyDescent="0.25">
      <c r="A11">
        <v>98</v>
      </c>
      <c r="B11" t="s">
        <v>158</v>
      </c>
      <c r="C11" t="s">
        <v>17</v>
      </c>
      <c r="D11" t="s">
        <v>67</v>
      </c>
      <c r="E11" t="s">
        <v>114</v>
      </c>
      <c r="F11">
        <v>4184021624</v>
      </c>
      <c r="G11">
        <v>3.4809999999999999</v>
      </c>
      <c r="H11" t="s">
        <v>118</v>
      </c>
      <c r="I11">
        <v>29272549.983800799</v>
      </c>
      <c r="J11">
        <v>29215493.8215</v>
      </c>
      <c r="M11">
        <v>26707269.211829599</v>
      </c>
      <c r="N11">
        <v>23.745899999999999</v>
      </c>
      <c r="O11">
        <v>24.731173999999999</v>
      </c>
      <c r="P11">
        <v>26164546.702259999</v>
      </c>
      <c r="Q11">
        <v>25.420584000000002</v>
      </c>
      <c r="R11">
        <v>26967328.562356099</v>
      </c>
      <c r="S11">
        <v>29478545.541033302</v>
      </c>
      <c r="T11">
        <v>0.65</v>
      </c>
      <c r="U11" t="s">
        <v>208</v>
      </c>
      <c r="V11">
        <v>1.02495</v>
      </c>
      <c r="W11">
        <v>2.9740000000000002</v>
      </c>
      <c r="X11">
        <v>3.4809999999999999</v>
      </c>
      <c r="Y11" t="s">
        <v>254</v>
      </c>
      <c r="Z11">
        <v>65101010</v>
      </c>
      <c r="AA11" t="s">
        <v>265</v>
      </c>
      <c r="AB11" t="s">
        <v>265</v>
      </c>
      <c r="AC11">
        <v>9466976527.5436001</v>
      </c>
      <c r="AD11" t="b">
        <v>1</v>
      </c>
      <c r="AE11">
        <v>26</v>
      </c>
      <c r="AF11" t="b">
        <v>1</v>
      </c>
      <c r="AG11" t="s">
        <v>117</v>
      </c>
      <c r="AH11">
        <v>1</v>
      </c>
      <c r="AI11" t="b">
        <v>0</v>
      </c>
    </row>
    <row r="12" spans="1:35" x14ac:dyDescent="0.25">
      <c r="A12">
        <v>99</v>
      </c>
      <c r="B12" t="s">
        <v>159</v>
      </c>
      <c r="C12" t="s">
        <v>18</v>
      </c>
      <c r="D12" t="s">
        <v>68</v>
      </c>
      <c r="E12" t="s">
        <v>114</v>
      </c>
      <c r="F12">
        <v>1039855871</v>
      </c>
      <c r="G12">
        <v>10.94</v>
      </c>
      <c r="H12" t="s">
        <v>118</v>
      </c>
      <c r="I12">
        <v>12595218.7561133</v>
      </c>
      <c r="J12">
        <v>15423330.4463333</v>
      </c>
      <c r="M12">
        <v>11661632.362651501</v>
      </c>
      <c r="N12">
        <v>33.737479999999998</v>
      </c>
      <c r="O12">
        <v>35.598033999999998</v>
      </c>
      <c r="P12">
        <v>11597290.3906</v>
      </c>
      <c r="Q12">
        <v>33.800395999999999</v>
      </c>
      <c r="R12">
        <v>12572570.543181799</v>
      </c>
      <c r="S12">
        <v>13709865.1933748</v>
      </c>
      <c r="T12">
        <v>0.3</v>
      </c>
      <c r="U12" t="s">
        <v>209</v>
      </c>
      <c r="V12">
        <v>1</v>
      </c>
      <c r="W12">
        <v>9.01</v>
      </c>
      <c r="X12">
        <v>10.94</v>
      </c>
      <c r="Y12" t="s">
        <v>254</v>
      </c>
      <c r="Z12">
        <v>65101010</v>
      </c>
      <c r="AA12" t="s">
        <v>265</v>
      </c>
      <c r="AB12" t="s">
        <v>265</v>
      </c>
      <c r="AC12">
        <v>3412806968.6220012</v>
      </c>
      <c r="AD12" t="b">
        <v>1</v>
      </c>
      <c r="AE12">
        <v>46</v>
      </c>
      <c r="AF12" t="b">
        <v>1</v>
      </c>
      <c r="AG12" t="s">
        <v>117</v>
      </c>
      <c r="AH12">
        <v>1</v>
      </c>
      <c r="AI12" t="b">
        <v>0</v>
      </c>
    </row>
    <row r="13" spans="1:35" x14ac:dyDescent="0.25">
      <c r="A13">
        <v>103</v>
      </c>
      <c r="B13" t="s">
        <v>160</v>
      </c>
      <c r="C13" t="s">
        <v>19</v>
      </c>
      <c r="D13" t="s">
        <v>69</v>
      </c>
      <c r="E13" t="s">
        <v>115</v>
      </c>
      <c r="F13">
        <v>167335070</v>
      </c>
      <c r="G13">
        <v>43.62</v>
      </c>
      <c r="H13" t="s">
        <v>118</v>
      </c>
      <c r="I13">
        <v>12018163.318379501</v>
      </c>
      <c r="J13">
        <v>8131247.0206666701</v>
      </c>
      <c r="M13">
        <v>10900930.9485496</v>
      </c>
      <c r="N13">
        <v>18.196079999999998</v>
      </c>
      <c r="O13">
        <v>18.735686999999999</v>
      </c>
      <c r="P13">
        <v>10215326.764699999</v>
      </c>
      <c r="Q13">
        <v>18.374549999999999</v>
      </c>
      <c r="R13">
        <v>10667477.421060599</v>
      </c>
      <c r="S13">
        <v>11672646.863170801</v>
      </c>
      <c r="T13">
        <v>0.9</v>
      </c>
      <c r="U13" t="s">
        <v>210</v>
      </c>
      <c r="V13">
        <v>1</v>
      </c>
      <c r="W13">
        <v>41.26</v>
      </c>
      <c r="X13">
        <v>43.62</v>
      </c>
      <c r="Y13" t="s">
        <v>252</v>
      </c>
      <c r="Z13">
        <v>15102015</v>
      </c>
      <c r="AA13" t="s">
        <v>267</v>
      </c>
      <c r="AB13" t="s">
        <v>267</v>
      </c>
      <c r="AC13">
        <v>6569240178.0599995</v>
      </c>
      <c r="AD13" t="b">
        <v>1</v>
      </c>
      <c r="AE13">
        <v>33</v>
      </c>
      <c r="AF13" t="b">
        <v>1</v>
      </c>
      <c r="AG13" t="s">
        <v>117</v>
      </c>
      <c r="AH13">
        <v>1</v>
      </c>
      <c r="AI13" t="b">
        <v>0</v>
      </c>
    </row>
    <row r="14" spans="1:35" x14ac:dyDescent="0.25">
      <c r="A14">
        <v>105</v>
      </c>
      <c r="B14" t="s">
        <v>161</v>
      </c>
      <c r="C14" t="s">
        <v>20</v>
      </c>
      <c r="D14" t="s">
        <v>70</v>
      </c>
      <c r="E14" t="s">
        <v>113</v>
      </c>
      <c r="F14">
        <v>1058752100</v>
      </c>
      <c r="G14">
        <v>20.27</v>
      </c>
      <c r="H14" t="s">
        <v>118</v>
      </c>
      <c r="I14">
        <v>24601920.0435449</v>
      </c>
      <c r="J14">
        <v>23384878.996833298</v>
      </c>
      <c r="M14">
        <v>21787658.551628798</v>
      </c>
      <c r="N14">
        <v>20.367470000000001</v>
      </c>
      <c r="O14">
        <v>18.770916</v>
      </c>
      <c r="P14">
        <v>19409981.894025002</v>
      </c>
      <c r="Q14">
        <v>19.69735</v>
      </c>
      <c r="R14">
        <v>21157845.135643899</v>
      </c>
      <c r="S14">
        <v>23083269.182289299</v>
      </c>
      <c r="T14">
        <v>0.3</v>
      </c>
      <c r="U14" t="s">
        <v>211</v>
      </c>
      <c r="V14">
        <v>1.02495</v>
      </c>
      <c r="W14">
        <v>20.63</v>
      </c>
      <c r="X14">
        <v>20.27</v>
      </c>
      <c r="Y14" t="s">
        <v>249</v>
      </c>
      <c r="Z14">
        <v>65101015</v>
      </c>
      <c r="AA14" t="s">
        <v>265</v>
      </c>
      <c r="AB14" t="s">
        <v>265</v>
      </c>
      <c r="AC14">
        <v>6438271520.0999994</v>
      </c>
      <c r="AD14" t="b">
        <v>1</v>
      </c>
      <c r="AE14">
        <v>34</v>
      </c>
      <c r="AF14" t="b">
        <v>1</v>
      </c>
      <c r="AG14" t="s">
        <v>117</v>
      </c>
      <c r="AH14">
        <v>1</v>
      </c>
      <c r="AI14" t="b">
        <v>0</v>
      </c>
    </row>
    <row r="15" spans="1:35" x14ac:dyDescent="0.25">
      <c r="A15">
        <v>106</v>
      </c>
      <c r="B15" t="s">
        <v>162</v>
      </c>
      <c r="C15" t="s">
        <v>21</v>
      </c>
      <c r="D15" t="s">
        <v>71</v>
      </c>
      <c r="E15" t="s">
        <v>108</v>
      </c>
      <c r="F15">
        <v>10166679946</v>
      </c>
      <c r="G15">
        <v>6.7229999999999999</v>
      </c>
      <c r="H15" t="s">
        <v>118</v>
      </c>
      <c r="I15">
        <v>150706515.23363701</v>
      </c>
      <c r="J15">
        <v>159618606.674867</v>
      </c>
      <c r="M15">
        <v>144796219.64748499</v>
      </c>
      <c r="N15">
        <v>17.011126999999998</v>
      </c>
      <c r="O15">
        <v>16.5076</v>
      </c>
      <c r="P15">
        <v>143865688.11478999</v>
      </c>
      <c r="Q15">
        <v>17.588163000000002</v>
      </c>
      <c r="R15">
        <v>150025019.483114</v>
      </c>
      <c r="S15">
        <v>163861005.52659199</v>
      </c>
      <c r="T15">
        <v>0.75</v>
      </c>
      <c r="U15" t="s">
        <v>212</v>
      </c>
      <c r="V15">
        <v>1.02495</v>
      </c>
      <c r="W15">
        <v>6.97</v>
      </c>
      <c r="X15">
        <v>6.7229999999999999</v>
      </c>
      <c r="Y15" t="s">
        <v>249</v>
      </c>
      <c r="Z15">
        <v>65101015</v>
      </c>
      <c r="AA15" t="s">
        <v>265</v>
      </c>
      <c r="AB15" t="s">
        <v>265</v>
      </c>
      <c r="AC15">
        <v>51262941957.718498</v>
      </c>
      <c r="AD15" t="b">
        <v>1</v>
      </c>
      <c r="AE15">
        <v>8</v>
      </c>
      <c r="AF15" t="b">
        <v>1</v>
      </c>
      <c r="AG15" t="s">
        <v>117</v>
      </c>
      <c r="AH15">
        <v>1</v>
      </c>
      <c r="AI15" t="b">
        <v>0</v>
      </c>
    </row>
    <row r="16" spans="1:35" x14ac:dyDescent="0.25">
      <c r="A16">
        <v>107</v>
      </c>
      <c r="B16" t="s">
        <v>163</v>
      </c>
      <c r="C16" t="s">
        <v>22</v>
      </c>
      <c r="D16" t="s">
        <v>72</v>
      </c>
      <c r="E16" t="s">
        <v>112</v>
      </c>
      <c r="F16">
        <v>2435285011</v>
      </c>
      <c r="G16">
        <v>15.39</v>
      </c>
      <c r="H16" t="s">
        <v>118</v>
      </c>
      <c r="I16">
        <v>82238504.517478496</v>
      </c>
      <c r="J16">
        <v>79464185.546333402</v>
      </c>
      <c r="M16">
        <v>86905140.209261298</v>
      </c>
      <c r="N16">
        <v>15.820655</v>
      </c>
      <c r="O16">
        <v>11.948684999999999</v>
      </c>
      <c r="P16">
        <v>79901349.975575</v>
      </c>
      <c r="Q16">
        <v>16.373947000000001</v>
      </c>
      <c r="R16">
        <v>78662581.116742402</v>
      </c>
      <c r="S16">
        <v>85987913.823349893</v>
      </c>
      <c r="T16">
        <v>0.75</v>
      </c>
      <c r="U16" t="s">
        <v>213</v>
      </c>
      <c r="V16">
        <v>1.02495</v>
      </c>
      <c r="W16">
        <v>15.64</v>
      </c>
      <c r="X16">
        <v>15.39</v>
      </c>
      <c r="Y16" t="s">
        <v>253</v>
      </c>
      <c r="Z16">
        <v>65102000</v>
      </c>
      <c r="AA16" t="s">
        <v>265</v>
      </c>
      <c r="AB16" t="s">
        <v>265</v>
      </c>
      <c r="AC16">
        <v>28109277239.467499</v>
      </c>
      <c r="AD16" t="b">
        <v>1</v>
      </c>
      <c r="AE16">
        <v>12</v>
      </c>
      <c r="AF16" t="b">
        <v>1</v>
      </c>
      <c r="AG16" t="s">
        <v>117</v>
      </c>
      <c r="AH16">
        <v>1</v>
      </c>
      <c r="AI16" t="b">
        <v>0</v>
      </c>
    </row>
    <row r="17" spans="1:35" x14ac:dyDescent="0.25">
      <c r="A17">
        <v>108</v>
      </c>
      <c r="B17" t="s">
        <v>164</v>
      </c>
      <c r="C17" t="s">
        <v>23</v>
      </c>
      <c r="D17" t="s">
        <v>73</v>
      </c>
      <c r="E17" t="s">
        <v>108</v>
      </c>
      <c r="F17">
        <v>3284490525</v>
      </c>
      <c r="G17">
        <v>13.916</v>
      </c>
      <c r="H17" t="s">
        <v>118</v>
      </c>
      <c r="I17">
        <v>149779918.25817299</v>
      </c>
      <c r="J17">
        <v>148227929.047133</v>
      </c>
      <c r="M17">
        <v>149500968.45838901</v>
      </c>
      <c r="N17">
        <v>18.276751999999998</v>
      </c>
      <c r="O17">
        <v>18.463135000000001</v>
      </c>
      <c r="P17">
        <v>152320843.07688999</v>
      </c>
      <c r="Q17">
        <v>18.613422</v>
      </c>
      <c r="R17">
        <v>162645286.06452999</v>
      </c>
      <c r="S17">
        <v>177800845.86776</v>
      </c>
      <c r="T17">
        <v>0.65</v>
      </c>
      <c r="U17" t="s">
        <v>214</v>
      </c>
      <c r="V17">
        <v>1.02495</v>
      </c>
      <c r="W17">
        <v>13.744</v>
      </c>
      <c r="X17">
        <v>13.916</v>
      </c>
      <c r="Y17" t="s">
        <v>255</v>
      </c>
      <c r="Z17">
        <v>60101000</v>
      </c>
      <c r="AA17" t="s">
        <v>268</v>
      </c>
      <c r="AB17" t="s">
        <v>268</v>
      </c>
      <c r="AC17">
        <v>29709530594.834999</v>
      </c>
      <c r="AD17" t="b">
        <v>1</v>
      </c>
      <c r="AE17">
        <v>10</v>
      </c>
      <c r="AF17" t="b">
        <v>1</v>
      </c>
      <c r="AG17" t="s">
        <v>117</v>
      </c>
      <c r="AH17">
        <v>1</v>
      </c>
      <c r="AI17" t="b">
        <v>0</v>
      </c>
    </row>
    <row r="18" spans="1:35" x14ac:dyDescent="0.25">
      <c r="A18">
        <v>121</v>
      </c>
      <c r="B18" t="s">
        <v>165</v>
      </c>
      <c r="C18" t="s">
        <v>24</v>
      </c>
      <c r="D18" t="s">
        <v>74</v>
      </c>
      <c r="E18" t="s">
        <v>115</v>
      </c>
      <c r="F18">
        <v>897264470</v>
      </c>
      <c r="G18">
        <v>14.225</v>
      </c>
      <c r="H18" t="s">
        <v>118</v>
      </c>
      <c r="I18">
        <v>22682246.5456127</v>
      </c>
      <c r="J18">
        <v>18213101.465999998</v>
      </c>
      <c r="M18">
        <v>19092797.879465599</v>
      </c>
      <c r="N18">
        <v>23.436589999999999</v>
      </c>
      <c r="O18">
        <v>23.756353000000001</v>
      </c>
      <c r="P18">
        <v>18280512.377099998</v>
      </c>
      <c r="Q18">
        <v>24.190284999999999</v>
      </c>
      <c r="R18">
        <v>18645558.001969699</v>
      </c>
      <c r="S18">
        <v>20371783.705455799</v>
      </c>
      <c r="T18">
        <v>0.5</v>
      </c>
      <c r="U18" t="s">
        <v>215</v>
      </c>
      <c r="V18">
        <v>1</v>
      </c>
      <c r="W18">
        <v>13.35</v>
      </c>
      <c r="X18">
        <v>14.225</v>
      </c>
      <c r="Y18" t="s">
        <v>249</v>
      </c>
      <c r="Z18">
        <v>65101015</v>
      </c>
      <c r="AA18" t="s">
        <v>265</v>
      </c>
      <c r="AB18" t="s">
        <v>265</v>
      </c>
      <c r="AC18">
        <v>6381793542.875</v>
      </c>
      <c r="AD18" t="b">
        <v>1</v>
      </c>
      <c r="AE18">
        <v>35</v>
      </c>
      <c r="AF18" t="b">
        <v>1</v>
      </c>
      <c r="AG18" t="s">
        <v>117</v>
      </c>
      <c r="AH18">
        <v>1</v>
      </c>
      <c r="AI18" t="b">
        <v>0</v>
      </c>
    </row>
    <row r="19" spans="1:35" x14ac:dyDescent="0.25">
      <c r="A19">
        <v>122</v>
      </c>
      <c r="B19" t="s">
        <v>166</v>
      </c>
      <c r="C19" t="s">
        <v>25</v>
      </c>
      <c r="D19" t="s">
        <v>75</v>
      </c>
      <c r="E19" t="s">
        <v>111</v>
      </c>
      <c r="F19">
        <v>118900600</v>
      </c>
      <c r="G19">
        <v>28.72</v>
      </c>
      <c r="H19" t="s">
        <v>118</v>
      </c>
      <c r="I19">
        <v>7314968.8420312498</v>
      </c>
      <c r="J19">
        <v>8350488.9373333296</v>
      </c>
      <c r="M19">
        <v>6438801.3689393904</v>
      </c>
      <c r="N19">
        <v>17.539601999999999</v>
      </c>
      <c r="O19">
        <v>17.285124</v>
      </c>
      <c r="P19">
        <v>6064934.1272</v>
      </c>
      <c r="Q19">
        <v>18.930831999999999</v>
      </c>
      <c r="R19">
        <v>6225033.2760606101</v>
      </c>
      <c r="S19">
        <v>6792728.8548934897</v>
      </c>
      <c r="T19">
        <v>1</v>
      </c>
      <c r="U19" t="s">
        <v>216</v>
      </c>
      <c r="V19">
        <v>1</v>
      </c>
      <c r="W19">
        <v>28.06</v>
      </c>
      <c r="X19">
        <v>28.72</v>
      </c>
      <c r="Y19" t="s">
        <v>252</v>
      </c>
      <c r="Z19">
        <v>15102015</v>
      </c>
      <c r="AA19" t="s">
        <v>267</v>
      </c>
      <c r="AB19" t="s">
        <v>267</v>
      </c>
      <c r="AC19">
        <v>3414825232</v>
      </c>
      <c r="AD19" t="b">
        <v>1</v>
      </c>
      <c r="AE19">
        <v>45</v>
      </c>
      <c r="AF19" t="b">
        <v>1</v>
      </c>
      <c r="AG19" t="s">
        <v>117</v>
      </c>
      <c r="AH19">
        <v>1</v>
      </c>
      <c r="AI19" t="b">
        <v>0</v>
      </c>
    </row>
    <row r="20" spans="1:35" x14ac:dyDescent="0.25">
      <c r="A20">
        <v>126</v>
      </c>
      <c r="B20" t="s">
        <v>167</v>
      </c>
      <c r="C20" t="s">
        <v>26</v>
      </c>
      <c r="D20" t="s">
        <v>76</v>
      </c>
      <c r="E20" t="s">
        <v>114</v>
      </c>
      <c r="F20">
        <v>695415645</v>
      </c>
      <c r="G20">
        <v>15.9</v>
      </c>
      <c r="H20" t="s">
        <v>118</v>
      </c>
      <c r="I20">
        <v>23589552.915820301</v>
      </c>
      <c r="J20">
        <v>14967972.2236667</v>
      </c>
      <c r="M20">
        <v>21696521.6934659</v>
      </c>
      <c r="N20">
        <v>20.529769999999999</v>
      </c>
      <c r="O20">
        <v>21.549821999999999</v>
      </c>
      <c r="P20">
        <v>21068755.445999999</v>
      </c>
      <c r="Q20">
        <v>32.625183</v>
      </c>
      <c r="R20">
        <v>22055425.876628801</v>
      </c>
      <c r="S20">
        <v>24197495.219905499</v>
      </c>
      <c r="T20">
        <v>0.60000000000000009</v>
      </c>
      <c r="U20" t="s">
        <v>217</v>
      </c>
      <c r="V20">
        <v>1</v>
      </c>
      <c r="W20">
        <v>16.184999999999999</v>
      </c>
      <c r="X20">
        <v>15.9</v>
      </c>
      <c r="Y20" t="s">
        <v>255</v>
      </c>
      <c r="Z20">
        <v>60101000</v>
      </c>
      <c r="AA20" t="s">
        <v>268</v>
      </c>
      <c r="AB20" t="s">
        <v>268</v>
      </c>
      <c r="AC20">
        <v>6634265253.3000011</v>
      </c>
      <c r="AD20" t="b">
        <v>1</v>
      </c>
      <c r="AE20">
        <v>32</v>
      </c>
      <c r="AF20" t="b">
        <v>1</v>
      </c>
      <c r="AG20" t="s">
        <v>117</v>
      </c>
      <c r="AH20">
        <v>1</v>
      </c>
      <c r="AI20" t="b">
        <v>0</v>
      </c>
    </row>
    <row r="21" spans="1:35" x14ac:dyDescent="0.25">
      <c r="A21">
        <v>130</v>
      </c>
      <c r="B21" t="s">
        <v>168</v>
      </c>
      <c r="C21" t="s">
        <v>27</v>
      </c>
      <c r="D21" t="s">
        <v>77</v>
      </c>
      <c r="E21" t="s">
        <v>108</v>
      </c>
      <c r="F21">
        <v>1569420004</v>
      </c>
      <c r="G21">
        <v>27.01</v>
      </c>
      <c r="H21" t="s">
        <v>118</v>
      </c>
      <c r="I21">
        <v>71335785.214901894</v>
      </c>
      <c r="J21">
        <v>82501488.327999994</v>
      </c>
      <c r="M21">
        <v>72553901.717328295</v>
      </c>
      <c r="N21">
        <v>18.466904</v>
      </c>
      <c r="O21">
        <v>18.538247999999999</v>
      </c>
      <c r="P21">
        <v>71948745.980199993</v>
      </c>
      <c r="Q21">
        <v>17.782145</v>
      </c>
      <c r="R21">
        <v>76807810.0743182</v>
      </c>
      <c r="S21">
        <v>83947033.938458398</v>
      </c>
      <c r="T21">
        <v>0.70000000000000007</v>
      </c>
      <c r="U21" t="s">
        <v>218</v>
      </c>
      <c r="V21">
        <v>1.02495</v>
      </c>
      <c r="W21">
        <v>28.38</v>
      </c>
      <c r="X21">
        <v>27.01</v>
      </c>
      <c r="Y21" t="s">
        <v>251</v>
      </c>
      <c r="Z21">
        <v>30302010</v>
      </c>
      <c r="AA21" t="s">
        <v>266</v>
      </c>
      <c r="AB21" t="s">
        <v>266</v>
      </c>
      <c r="AC21">
        <v>29673024015.62801</v>
      </c>
      <c r="AD21" t="b">
        <v>1</v>
      </c>
      <c r="AE21">
        <v>11</v>
      </c>
      <c r="AF21" t="b">
        <v>1</v>
      </c>
      <c r="AG21" t="s">
        <v>117</v>
      </c>
      <c r="AH21">
        <v>1</v>
      </c>
      <c r="AI21" t="b">
        <v>0</v>
      </c>
    </row>
    <row r="22" spans="1:35" x14ac:dyDescent="0.25">
      <c r="A22">
        <v>135</v>
      </c>
      <c r="B22" t="s">
        <v>169</v>
      </c>
      <c r="C22" t="s">
        <v>28</v>
      </c>
      <c r="D22" t="s">
        <v>78</v>
      </c>
      <c r="E22" t="s">
        <v>112</v>
      </c>
      <c r="F22">
        <v>37117772</v>
      </c>
      <c r="G22">
        <v>141.1</v>
      </c>
      <c r="H22" t="s">
        <v>118</v>
      </c>
      <c r="I22">
        <v>11442999.190429701</v>
      </c>
      <c r="J22">
        <v>12457542.48</v>
      </c>
      <c r="M22">
        <v>11087226.8981061</v>
      </c>
      <c r="N22">
        <v>25.350128000000002</v>
      </c>
      <c r="O22">
        <v>23.231085</v>
      </c>
      <c r="P22">
        <v>11217690.713500001</v>
      </c>
      <c r="Q22">
        <v>24.500510999999999</v>
      </c>
      <c r="R22">
        <v>12195546.261363599</v>
      </c>
      <c r="S22">
        <v>13318818.0236541</v>
      </c>
      <c r="T22">
        <v>0.95000000000000007</v>
      </c>
      <c r="U22" t="s">
        <v>219</v>
      </c>
      <c r="V22">
        <v>1</v>
      </c>
      <c r="W22">
        <v>140.1</v>
      </c>
      <c r="X22">
        <v>141.1</v>
      </c>
      <c r="Y22" t="s">
        <v>256</v>
      </c>
      <c r="Z22">
        <v>60101030</v>
      </c>
      <c r="AA22" t="s">
        <v>268</v>
      </c>
      <c r="AB22" t="s">
        <v>268</v>
      </c>
      <c r="AC22">
        <v>4975451747.7400007</v>
      </c>
      <c r="AD22" t="b">
        <v>1</v>
      </c>
      <c r="AE22">
        <v>42</v>
      </c>
      <c r="AF22" t="b">
        <v>1</v>
      </c>
      <c r="AG22" t="s">
        <v>117</v>
      </c>
      <c r="AH22">
        <v>1</v>
      </c>
      <c r="AI22" t="b">
        <v>0</v>
      </c>
    </row>
    <row r="23" spans="1:35" x14ac:dyDescent="0.25">
      <c r="A23">
        <v>137</v>
      </c>
      <c r="B23" t="s">
        <v>170</v>
      </c>
      <c r="C23" t="s">
        <v>29</v>
      </c>
      <c r="D23" t="s">
        <v>79</v>
      </c>
      <c r="E23" t="s">
        <v>111</v>
      </c>
      <c r="F23">
        <v>120597140</v>
      </c>
      <c r="G23">
        <v>247.1</v>
      </c>
      <c r="H23" t="s">
        <v>118</v>
      </c>
      <c r="I23">
        <v>24404117.2027344</v>
      </c>
      <c r="J23">
        <v>25728236.666666701</v>
      </c>
      <c r="M23">
        <v>23132387.953787901</v>
      </c>
      <c r="N23">
        <v>21.201264999999999</v>
      </c>
      <c r="O23">
        <v>21.422308000000001</v>
      </c>
      <c r="P23">
        <v>22626985.210000001</v>
      </c>
      <c r="Q23">
        <v>21.389505</v>
      </c>
      <c r="R23">
        <v>22805371.131818201</v>
      </c>
      <c r="S23">
        <v>24883095.949255601</v>
      </c>
      <c r="T23">
        <v>0.5</v>
      </c>
      <c r="U23" t="s">
        <v>220</v>
      </c>
      <c r="V23">
        <v>1</v>
      </c>
      <c r="W23">
        <v>250.9</v>
      </c>
      <c r="X23">
        <v>247.1</v>
      </c>
      <c r="Y23" t="s">
        <v>257</v>
      </c>
      <c r="Z23">
        <v>30302020</v>
      </c>
      <c r="AA23" t="s">
        <v>266</v>
      </c>
      <c r="AB23" t="s">
        <v>266</v>
      </c>
      <c r="AC23">
        <v>14899776647</v>
      </c>
      <c r="AD23" t="b">
        <v>1</v>
      </c>
      <c r="AE23">
        <v>21</v>
      </c>
      <c r="AF23" t="b">
        <v>1</v>
      </c>
      <c r="AG23" t="s">
        <v>117</v>
      </c>
      <c r="AH23">
        <v>1</v>
      </c>
      <c r="AI23" t="b">
        <v>0</v>
      </c>
    </row>
    <row r="24" spans="1:35" x14ac:dyDescent="0.25">
      <c r="A24">
        <v>147</v>
      </c>
      <c r="B24" t="s">
        <v>171</v>
      </c>
      <c r="C24" t="s">
        <v>30</v>
      </c>
      <c r="D24" t="s">
        <v>80</v>
      </c>
      <c r="E24" t="s">
        <v>113</v>
      </c>
      <c r="F24">
        <v>6364251000</v>
      </c>
      <c r="G24">
        <v>13.585000000000001</v>
      </c>
      <c r="H24" t="s">
        <v>118</v>
      </c>
      <c r="I24">
        <v>132740601.30317301</v>
      </c>
      <c r="J24">
        <v>120414755.56880701</v>
      </c>
      <c r="M24">
        <v>133054993.08374199</v>
      </c>
      <c r="N24">
        <v>17.221312999999999</v>
      </c>
      <c r="O24">
        <v>16.797284999999999</v>
      </c>
      <c r="P24">
        <v>126396921.932659</v>
      </c>
      <c r="Q24">
        <v>16.499469999999999</v>
      </c>
      <c r="R24">
        <v>125951387.511986</v>
      </c>
      <c r="S24">
        <v>137770794.125985</v>
      </c>
      <c r="T24">
        <v>0.9</v>
      </c>
      <c r="U24" t="s">
        <v>221</v>
      </c>
      <c r="V24">
        <v>1.02495</v>
      </c>
      <c r="W24">
        <v>13.18</v>
      </c>
      <c r="X24">
        <v>13.585000000000001</v>
      </c>
      <c r="Y24" t="s">
        <v>249</v>
      </c>
      <c r="Z24">
        <v>65101015</v>
      </c>
      <c r="AA24" t="s">
        <v>265</v>
      </c>
      <c r="AB24" t="s">
        <v>265</v>
      </c>
      <c r="AC24">
        <v>77812514851.5</v>
      </c>
      <c r="AD24" t="b">
        <v>1</v>
      </c>
      <c r="AE24">
        <v>5</v>
      </c>
      <c r="AF24" t="b">
        <v>1</v>
      </c>
      <c r="AG24" t="s">
        <v>117</v>
      </c>
      <c r="AH24">
        <v>1</v>
      </c>
      <c r="AI24" t="b">
        <v>0</v>
      </c>
    </row>
    <row r="25" spans="1:35" x14ac:dyDescent="0.25">
      <c r="A25">
        <v>156</v>
      </c>
      <c r="B25" t="s">
        <v>172</v>
      </c>
      <c r="C25" t="s">
        <v>31</v>
      </c>
      <c r="D25" t="s">
        <v>81</v>
      </c>
      <c r="E25" t="s">
        <v>108</v>
      </c>
      <c r="F25">
        <v>931890010</v>
      </c>
      <c r="G25">
        <v>9.625</v>
      </c>
      <c r="H25" t="s">
        <v>118</v>
      </c>
      <c r="I25">
        <v>11978827.429313701</v>
      </c>
      <c r="J25">
        <v>12800462.4066667</v>
      </c>
      <c r="M25">
        <v>12472601.6697328</v>
      </c>
      <c r="N25">
        <v>17.309926999999998</v>
      </c>
      <c r="O25">
        <v>17.310827</v>
      </c>
      <c r="P25">
        <v>11638688.8665</v>
      </c>
      <c r="Q25">
        <v>17.572030999999999</v>
      </c>
      <c r="R25">
        <v>11533644.3693182</v>
      </c>
      <c r="S25">
        <v>12604570.3729914</v>
      </c>
      <c r="T25">
        <v>0.35</v>
      </c>
      <c r="U25" t="s">
        <v>222</v>
      </c>
      <c r="V25">
        <v>1</v>
      </c>
      <c r="W25">
        <v>9.6349999999999998</v>
      </c>
      <c r="X25">
        <v>9.625</v>
      </c>
      <c r="Y25" t="s">
        <v>252</v>
      </c>
      <c r="Z25">
        <v>15102015</v>
      </c>
      <c r="AA25" t="s">
        <v>267</v>
      </c>
      <c r="AB25" t="s">
        <v>267</v>
      </c>
      <c r="AC25">
        <v>3139304471.1875</v>
      </c>
      <c r="AD25" t="b">
        <v>1</v>
      </c>
      <c r="AE25">
        <v>49</v>
      </c>
      <c r="AF25" t="b">
        <v>1</v>
      </c>
      <c r="AG25" t="s">
        <v>117</v>
      </c>
      <c r="AH25">
        <v>1</v>
      </c>
      <c r="AI25" t="b">
        <v>0</v>
      </c>
    </row>
    <row r="26" spans="1:35" x14ac:dyDescent="0.25">
      <c r="A26">
        <v>174</v>
      </c>
      <c r="B26" t="s">
        <v>173</v>
      </c>
      <c r="C26" t="s">
        <v>32</v>
      </c>
      <c r="D26" t="s">
        <v>82</v>
      </c>
      <c r="E26" t="s">
        <v>109</v>
      </c>
      <c r="F26">
        <v>3888930422</v>
      </c>
      <c r="G26">
        <v>3.62</v>
      </c>
      <c r="H26" t="s">
        <v>118</v>
      </c>
      <c r="I26">
        <v>36207871.784691401</v>
      </c>
      <c r="J26">
        <v>25297970.554166701</v>
      </c>
      <c r="M26">
        <v>31675559.5914924</v>
      </c>
      <c r="N26">
        <v>13.337615</v>
      </c>
      <c r="O26">
        <v>13.85886</v>
      </c>
      <c r="P26">
        <v>28298301.762835</v>
      </c>
      <c r="Q26">
        <v>12.811899</v>
      </c>
      <c r="R26">
        <v>28375563.9456136</v>
      </c>
      <c r="S26">
        <v>31028679.099725701</v>
      </c>
      <c r="T26">
        <v>1</v>
      </c>
      <c r="U26" t="s">
        <v>223</v>
      </c>
      <c r="V26">
        <v>1</v>
      </c>
      <c r="W26">
        <v>3.5179999999999998</v>
      </c>
      <c r="X26">
        <v>3.62</v>
      </c>
      <c r="Y26" t="s">
        <v>252</v>
      </c>
      <c r="Z26">
        <v>15102015</v>
      </c>
      <c r="AA26" t="s">
        <v>267</v>
      </c>
      <c r="AB26" t="s">
        <v>267</v>
      </c>
      <c r="AC26">
        <v>14077928127.639999</v>
      </c>
      <c r="AD26" t="b">
        <v>1</v>
      </c>
      <c r="AE26">
        <v>22</v>
      </c>
      <c r="AF26" t="b">
        <v>1</v>
      </c>
      <c r="AG26" t="s">
        <v>117</v>
      </c>
      <c r="AH26">
        <v>1</v>
      </c>
      <c r="AI26" t="b">
        <v>0</v>
      </c>
    </row>
    <row r="27" spans="1:35" x14ac:dyDescent="0.25">
      <c r="A27">
        <v>191</v>
      </c>
      <c r="B27" t="s">
        <v>174</v>
      </c>
      <c r="C27" t="s">
        <v>33</v>
      </c>
      <c r="D27" t="s">
        <v>83</v>
      </c>
      <c r="E27" t="s">
        <v>111</v>
      </c>
      <c r="F27">
        <v>133760280</v>
      </c>
      <c r="G27">
        <v>485.9</v>
      </c>
      <c r="H27" t="s">
        <v>118</v>
      </c>
      <c r="I27">
        <v>111459398.869922</v>
      </c>
      <c r="J27">
        <v>117576138.45999999</v>
      </c>
      <c r="M27">
        <v>109994534.70757601</v>
      </c>
      <c r="N27">
        <v>19.313082000000001</v>
      </c>
      <c r="O27">
        <v>19.784410000000001</v>
      </c>
      <c r="P27">
        <v>106268584.65800001</v>
      </c>
      <c r="Q27">
        <v>20.841408000000001</v>
      </c>
      <c r="R27">
        <v>114163932.228788</v>
      </c>
      <c r="S27">
        <v>124718002.63677201</v>
      </c>
      <c r="T27">
        <v>1</v>
      </c>
      <c r="U27" t="s">
        <v>224</v>
      </c>
      <c r="V27">
        <v>1</v>
      </c>
      <c r="W27">
        <v>484.5</v>
      </c>
      <c r="X27">
        <v>485.9</v>
      </c>
      <c r="Y27" t="s">
        <v>257</v>
      </c>
      <c r="Z27">
        <v>30302020</v>
      </c>
      <c r="AA27" t="s">
        <v>266</v>
      </c>
      <c r="AB27" t="s">
        <v>266</v>
      </c>
      <c r="AC27">
        <v>64994120052</v>
      </c>
      <c r="AD27" t="b">
        <v>1</v>
      </c>
      <c r="AE27">
        <v>6</v>
      </c>
      <c r="AF27" t="b">
        <v>1</v>
      </c>
      <c r="AG27" t="s">
        <v>117</v>
      </c>
      <c r="AH27">
        <v>1</v>
      </c>
      <c r="AI27" t="b">
        <v>0</v>
      </c>
    </row>
    <row r="28" spans="1:35" x14ac:dyDescent="0.25">
      <c r="A28">
        <v>192</v>
      </c>
      <c r="B28" t="s">
        <v>175</v>
      </c>
      <c r="C28" t="s">
        <v>34</v>
      </c>
      <c r="D28" t="s">
        <v>84</v>
      </c>
      <c r="E28" t="s">
        <v>113</v>
      </c>
      <c r="F28">
        <v>969613830</v>
      </c>
      <c r="G28">
        <v>22.8</v>
      </c>
      <c r="H28" t="s">
        <v>118</v>
      </c>
      <c r="I28">
        <v>15083210.019804699</v>
      </c>
      <c r="J28">
        <v>7225060.96</v>
      </c>
      <c r="M28">
        <v>11909629.3881818</v>
      </c>
      <c r="N28">
        <v>27.704180000000001</v>
      </c>
      <c r="O28">
        <v>16.438089999999999</v>
      </c>
      <c r="P28">
        <v>9537534.4149999991</v>
      </c>
      <c r="Q28">
        <v>26.419740000000001</v>
      </c>
      <c r="R28">
        <v>7770569.6013636403</v>
      </c>
      <c r="S28">
        <v>8499086.9608565997</v>
      </c>
      <c r="T28">
        <v>0.15</v>
      </c>
      <c r="U28" t="s">
        <v>225</v>
      </c>
      <c r="V28">
        <v>1</v>
      </c>
      <c r="W28">
        <v>23.06</v>
      </c>
      <c r="X28">
        <v>22.8</v>
      </c>
      <c r="Y28" t="s">
        <v>258</v>
      </c>
      <c r="Z28">
        <v>65102020</v>
      </c>
      <c r="AA28" t="s">
        <v>265</v>
      </c>
      <c r="AB28" t="s">
        <v>265</v>
      </c>
      <c r="AC28">
        <v>3316079298.5999999</v>
      </c>
      <c r="AD28" t="b">
        <v>1</v>
      </c>
      <c r="AE28">
        <v>47</v>
      </c>
      <c r="AF28" t="b">
        <v>1</v>
      </c>
      <c r="AG28" t="s">
        <v>117</v>
      </c>
      <c r="AH28">
        <v>1</v>
      </c>
      <c r="AI28" t="b">
        <v>0</v>
      </c>
    </row>
    <row r="29" spans="1:35" x14ac:dyDescent="0.25">
      <c r="A29">
        <v>195</v>
      </c>
      <c r="B29" t="s">
        <v>176</v>
      </c>
      <c r="C29" t="s">
        <v>35</v>
      </c>
      <c r="D29" t="s">
        <v>85</v>
      </c>
      <c r="E29" t="s">
        <v>115</v>
      </c>
      <c r="F29">
        <v>769211060</v>
      </c>
      <c r="G29">
        <v>14.275</v>
      </c>
      <c r="H29" t="s">
        <v>118</v>
      </c>
      <c r="I29">
        <v>34438124.6279447</v>
      </c>
      <c r="J29">
        <v>30777461.283333302</v>
      </c>
      <c r="M29">
        <v>32706918.2544275</v>
      </c>
      <c r="N29">
        <v>40.638280000000002</v>
      </c>
      <c r="O29">
        <v>43.213524</v>
      </c>
      <c r="P29">
        <v>31998341.072000001</v>
      </c>
      <c r="Q29">
        <v>44.639175000000002</v>
      </c>
      <c r="R29">
        <v>32522508.951969702</v>
      </c>
      <c r="S29">
        <v>35559072.51929</v>
      </c>
      <c r="T29">
        <v>0.55000000000000004</v>
      </c>
      <c r="U29" t="s">
        <v>226</v>
      </c>
      <c r="V29">
        <v>1</v>
      </c>
      <c r="W29">
        <v>12.29</v>
      </c>
      <c r="X29">
        <v>14.275</v>
      </c>
      <c r="Y29" t="s">
        <v>259</v>
      </c>
      <c r="Z29">
        <v>60101020</v>
      </c>
      <c r="AA29" t="s">
        <v>268</v>
      </c>
      <c r="AB29" t="s">
        <v>268</v>
      </c>
      <c r="AC29">
        <v>6039268334.8250008</v>
      </c>
      <c r="AD29" t="b">
        <v>1</v>
      </c>
      <c r="AE29">
        <v>37</v>
      </c>
      <c r="AF29" t="b">
        <v>1</v>
      </c>
      <c r="AG29" t="s">
        <v>117</v>
      </c>
      <c r="AH29">
        <v>1</v>
      </c>
      <c r="AI29" t="b">
        <v>0</v>
      </c>
    </row>
    <row r="30" spans="1:35" x14ac:dyDescent="0.25">
      <c r="A30">
        <v>198</v>
      </c>
      <c r="B30" t="s">
        <v>177</v>
      </c>
      <c r="C30" t="s">
        <v>36</v>
      </c>
      <c r="D30" t="s">
        <v>86</v>
      </c>
      <c r="E30" t="s">
        <v>109</v>
      </c>
      <c r="F30">
        <v>285000000</v>
      </c>
      <c r="G30">
        <v>44.64</v>
      </c>
      <c r="H30" t="s">
        <v>118</v>
      </c>
      <c r="I30">
        <v>32229410.232070301</v>
      </c>
      <c r="J30">
        <v>27337931.921333399</v>
      </c>
      <c r="M30">
        <v>30435516.768447001</v>
      </c>
      <c r="N30">
        <v>15.369418</v>
      </c>
      <c r="O30">
        <v>16.022673000000001</v>
      </c>
      <c r="P30">
        <v>28944929.208250001</v>
      </c>
      <c r="Q30">
        <v>15.676809</v>
      </c>
      <c r="R30">
        <v>26257394.206136402</v>
      </c>
      <c r="S30">
        <v>28691335.46948</v>
      </c>
      <c r="T30">
        <v>0.9</v>
      </c>
      <c r="U30" t="s">
        <v>227</v>
      </c>
      <c r="V30">
        <v>1</v>
      </c>
      <c r="W30">
        <v>41.41</v>
      </c>
      <c r="X30">
        <v>44.64</v>
      </c>
      <c r="Y30" t="s">
        <v>250</v>
      </c>
      <c r="Z30">
        <v>30301010</v>
      </c>
      <c r="AA30" t="s">
        <v>266</v>
      </c>
      <c r="AB30" t="s">
        <v>266</v>
      </c>
      <c r="AC30">
        <v>11450160000</v>
      </c>
      <c r="AD30" t="b">
        <v>1</v>
      </c>
      <c r="AE30">
        <v>24</v>
      </c>
      <c r="AF30" t="b">
        <v>1</v>
      </c>
      <c r="AG30" t="s">
        <v>117</v>
      </c>
      <c r="AH30">
        <v>1</v>
      </c>
      <c r="AI30" t="b">
        <v>0</v>
      </c>
    </row>
    <row r="31" spans="1:35" x14ac:dyDescent="0.25">
      <c r="A31">
        <v>199</v>
      </c>
      <c r="B31" t="s">
        <v>178</v>
      </c>
      <c r="C31" t="s">
        <v>37</v>
      </c>
      <c r="D31" t="s">
        <v>87</v>
      </c>
      <c r="E31" t="s">
        <v>115</v>
      </c>
      <c r="F31">
        <v>5613496600</v>
      </c>
      <c r="G31">
        <v>4.0110000000000001</v>
      </c>
      <c r="H31" t="s">
        <v>118</v>
      </c>
      <c r="I31">
        <v>47018339.819130398</v>
      </c>
      <c r="J31">
        <v>51230294.105333298</v>
      </c>
      <c r="M31">
        <v>46349454.121603101</v>
      </c>
      <c r="N31">
        <v>27.329988</v>
      </c>
      <c r="O31">
        <v>28.651312000000001</v>
      </c>
      <c r="P31">
        <v>48092828.5889</v>
      </c>
      <c r="Q31">
        <v>26.568860999999998</v>
      </c>
      <c r="R31">
        <v>50744691.277575798</v>
      </c>
      <c r="S31">
        <v>55319756.909101397</v>
      </c>
      <c r="T31">
        <v>0.95</v>
      </c>
      <c r="U31" t="s">
        <v>228</v>
      </c>
      <c r="V31">
        <v>1</v>
      </c>
      <c r="W31">
        <v>4.4115000000000002</v>
      </c>
      <c r="X31">
        <v>4.0110000000000001</v>
      </c>
      <c r="Y31" t="s">
        <v>260</v>
      </c>
      <c r="Z31">
        <v>15101010</v>
      </c>
      <c r="AA31" t="s">
        <v>267</v>
      </c>
      <c r="AB31" t="s">
        <v>267</v>
      </c>
      <c r="AC31">
        <v>21389948119.470001</v>
      </c>
      <c r="AD31" t="b">
        <v>1</v>
      </c>
      <c r="AE31">
        <v>14</v>
      </c>
      <c r="AF31" t="b">
        <v>1</v>
      </c>
      <c r="AG31" t="s">
        <v>117</v>
      </c>
      <c r="AH31">
        <v>1</v>
      </c>
      <c r="AI31" t="b">
        <v>0</v>
      </c>
    </row>
    <row r="32" spans="1:35" x14ac:dyDescent="0.25">
      <c r="A32">
        <v>202</v>
      </c>
      <c r="B32" t="s">
        <v>179</v>
      </c>
      <c r="C32" t="s">
        <v>38</v>
      </c>
      <c r="D32" t="s">
        <v>88</v>
      </c>
      <c r="E32" t="s">
        <v>116</v>
      </c>
      <c r="F32">
        <v>327272740</v>
      </c>
      <c r="G32">
        <v>38.86</v>
      </c>
      <c r="H32" t="s">
        <v>118</v>
      </c>
      <c r="I32">
        <v>15369912.8678516</v>
      </c>
      <c r="J32">
        <v>10195197.2706667</v>
      </c>
      <c r="M32">
        <v>14215611.781363601</v>
      </c>
      <c r="N32">
        <v>22.8154</v>
      </c>
      <c r="O32">
        <v>18.946825</v>
      </c>
      <c r="P32">
        <v>12954141.4068</v>
      </c>
      <c r="Q32">
        <v>22.094742</v>
      </c>
      <c r="R32">
        <v>12915399.484545499</v>
      </c>
      <c r="S32">
        <v>14153716.787738301</v>
      </c>
      <c r="T32">
        <v>0.45</v>
      </c>
      <c r="U32" t="s">
        <v>229</v>
      </c>
      <c r="V32">
        <v>1</v>
      </c>
      <c r="W32">
        <v>38.880000000000003</v>
      </c>
      <c r="X32">
        <v>38.86</v>
      </c>
      <c r="Y32" t="s">
        <v>255</v>
      </c>
      <c r="Z32">
        <v>60101000</v>
      </c>
      <c r="AA32" t="s">
        <v>268</v>
      </c>
      <c r="AB32" t="s">
        <v>268</v>
      </c>
      <c r="AC32">
        <v>5723018404.3800001</v>
      </c>
      <c r="AD32" t="b">
        <v>1</v>
      </c>
      <c r="AE32">
        <v>39</v>
      </c>
      <c r="AF32" t="b">
        <v>1</v>
      </c>
      <c r="AG32" t="s">
        <v>117</v>
      </c>
      <c r="AH32">
        <v>1</v>
      </c>
      <c r="AI32" t="b">
        <v>0</v>
      </c>
    </row>
    <row r="33" spans="1:35" x14ac:dyDescent="0.25">
      <c r="A33">
        <v>203</v>
      </c>
      <c r="B33" t="s">
        <v>180</v>
      </c>
      <c r="C33" t="s">
        <v>39</v>
      </c>
      <c r="D33" t="s">
        <v>89</v>
      </c>
      <c r="E33" t="s">
        <v>112</v>
      </c>
      <c r="F33">
        <v>2660056599</v>
      </c>
      <c r="G33">
        <v>10.02</v>
      </c>
      <c r="H33" t="s">
        <v>118</v>
      </c>
      <c r="I33">
        <v>60504849.438579999</v>
      </c>
      <c r="J33">
        <v>60096768.3479333</v>
      </c>
      <c r="M33">
        <v>64880319.651230998</v>
      </c>
      <c r="N33">
        <v>16.999949000000001</v>
      </c>
      <c r="O33">
        <v>14.899252000000001</v>
      </c>
      <c r="P33">
        <v>60795095.715405002</v>
      </c>
      <c r="Q33">
        <v>16.310154000000001</v>
      </c>
      <c r="R33">
        <v>63467477.086553</v>
      </c>
      <c r="S33">
        <v>69375371.6573174</v>
      </c>
      <c r="T33">
        <v>0.65</v>
      </c>
      <c r="U33" t="s">
        <v>230</v>
      </c>
      <c r="V33">
        <v>1</v>
      </c>
      <c r="W33">
        <v>9.7119999999999997</v>
      </c>
      <c r="X33">
        <v>10.02</v>
      </c>
      <c r="Y33" t="s">
        <v>252</v>
      </c>
      <c r="Z33">
        <v>15102015</v>
      </c>
      <c r="AA33" t="s">
        <v>267</v>
      </c>
      <c r="AB33" t="s">
        <v>267</v>
      </c>
      <c r="AC33">
        <v>17324948629.286999</v>
      </c>
      <c r="AD33" t="b">
        <v>1</v>
      </c>
      <c r="AE33">
        <v>20</v>
      </c>
      <c r="AF33" t="b">
        <v>1</v>
      </c>
      <c r="AG33" t="s">
        <v>117</v>
      </c>
      <c r="AH33">
        <v>1</v>
      </c>
      <c r="AI33" t="b">
        <v>0</v>
      </c>
    </row>
    <row r="34" spans="1:35" x14ac:dyDescent="0.25">
      <c r="A34">
        <v>209</v>
      </c>
      <c r="B34" t="s">
        <v>181</v>
      </c>
      <c r="C34" t="s">
        <v>40</v>
      </c>
      <c r="D34" t="s">
        <v>90</v>
      </c>
      <c r="E34" t="s">
        <v>108</v>
      </c>
      <c r="F34">
        <v>1306110000</v>
      </c>
      <c r="G34">
        <v>13.09</v>
      </c>
      <c r="H34" t="s">
        <v>118</v>
      </c>
      <c r="I34">
        <v>25079957.391109802</v>
      </c>
      <c r="J34">
        <v>26559751.452</v>
      </c>
      <c r="M34">
        <v>25777381.815171801</v>
      </c>
      <c r="N34">
        <v>18.985158999999999</v>
      </c>
      <c r="O34">
        <v>17.871338000000002</v>
      </c>
      <c r="P34">
        <v>22189270.8673</v>
      </c>
      <c r="Q34">
        <v>18.284298</v>
      </c>
      <c r="R34">
        <v>23033275.4448485</v>
      </c>
      <c r="S34">
        <v>25136213.670123499</v>
      </c>
      <c r="T34">
        <v>0.35</v>
      </c>
      <c r="U34" t="s">
        <v>231</v>
      </c>
      <c r="V34">
        <v>1.02495</v>
      </c>
      <c r="W34">
        <v>13.935</v>
      </c>
      <c r="X34">
        <v>13.09</v>
      </c>
      <c r="Y34" t="s">
        <v>250</v>
      </c>
      <c r="Z34">
        <v>30301010</v>
      </c>
      <c r="AA34" t="s">
        <v>266</v>
      </c>
      <c r="AB34" t="s">
        <v>266</v>
      </c>
      <c r="AC34">
        <v>5983942965.000001</v>
      </c>
      <c r="AD34" t="b">
        <v>1</v>
      </c>
      <c r="AE34">
        <v>38</v>
      </c>
      <c r="AF34" t="b">
        <v>1</v>
      </c>
      <c r="AG34" t="s">
        <v>117</v>
      </c>
      <c r="AH34">
        <v>1</v>
      </c>
      <c r="AI34" t="b">
        <v>0</v>
      </c>
    </row>
    <row r="35" spans="1:35" x14ac:dyDescent="0.25">
      <c r="A35">
        <v>221</v>
      </c>
      <c r="B35" t="s">
        <v>182</v>
      </c>
      <c r="C35" t="s">
        <v>41</v>
      </c>
      <c r="D35" t="s">
        <v>91</v>
      </c>
      <c r="E35" t="s">
        <v>113</v>
      </c>
      <c r="F35">
        <v>541080000</v>
      </c>
      <c r="G35">
        <v>17.04</v>
      </c>
      <c r="H35" t="s">
        <v>118</v>
      </c>
      <c r="I35">
        <v>18060099.543739099</v>
      </c>
      <c r="J35">
        <v>15297649.7993333</v>
      </c>
      <c r="M35">
        <v>18543238.353712101</v>
      </c>
      <c r="N35">
        <v>18.307507000000001</v>
      </c>
      <c r="O35">
        <v>18.247199999999999</v>
      </c>
      <c r="P35">
        <v>15238271.811899999</v>
      </c>
      <c r="Q35">
        <v>17.379225000000002</v>
      </c>
      <c r="R35">
        <v>15424134.305757601</v>
      </c>
      <c r="S35">
        <v>16843122.4570898</v>
      </c>
      <c r="T35">
        <v>0.75</v>
      </c>
      <c r="U35" t="s">
        <v>232</v>
      </c>
      <c r="V35">
        <v>1.02495</v>
      </c>
      <c r="W35">
        <v>15.98</v>
      </c>
      <c r="X35">
        <v>17.04</v>
      </c>
      <c r="Y35" t="s">
        <v>249</v>
      </c>
      <c r="Z35">
        <v>65101015</v>
      </c>
      <c r="AA35" t="s">
        <v>265</v>
      </c>
      <c r="AB35" t="s">
        <v>265</v>
      </c>
      <c r="AC35">
        <v>6915002400</v>
      </c>
      <c r="AD35" t="b">
        <v>1</v>
      </c>
      <c r="AE35">
        <v>31</v>
      </c>
      <c r="AF35" t="b">
        <v>1</v>
      </c>
      <c r="AG35" t="s">
        <v>117</v>
      </c>
      <c r="AH35">
        <v>1</v>
      </c>
      <c r="AI35" t="b">
        <v>0</v>
      </c>
    </row>
    <row r="36" spans="1:35" x14ac:dyDescent="0.25">
      <c r="A36">
        <v>225</v>
      </c>
      <c r="B36" t="s">
        <v>183</v>
      </c>
      <c r="C36" t="s">
        <v>42</v>
      </c>
      <c r="D36" t="s">
        <v>92</v>
      </c>
      <c r="E36" t="s">
        <v>113</v>
      </c>
      <c r="F36">
        <v>1177396000</v>
      </c>
      <c r="G36">
        <v>11.855</v>
      </c>
      <c r="H36" t="s">
        <v>118</v>
      </c>
      <c r="I36">
        <v>65642661.134474203</v>
      </c>
      <c r="J36">
        <v>45180058.769373298</v>
      </c>
      <c r="M36">
        <v>55821322.522697702</v>
      </c>
      <c r="N36">
        <v>18.166395000000001</v>
      </c>
      <c r="O36">
        <v>18.404478000000001</v>
      </c>
      <c r="P36">
        <v>52546186.046611004</v>
      </c>
      <c r="Q36">
        <v>18.659582</v>
      </c>
      <c r="R36">
        <v>52125225.659759097</v>
      </c>
      <c r="S36">
        <v>57034664.4397102</v>
      </c>
      <c r="T36">
        <v>1</v>
      </c>
      <c r="U36" t="s">
        <v>233</v>
      </c>
      <c r="V36">
        <v>1</v>
      </c>
      <c r="W36">
        <v>11.695</v>
      </c>
      <c r="X36">
        <v>11.855</v>
      </c>
      <c r="Y36" t="s">
        <v>255</v>
      </c>
      <c r="Z36">
        <v>60101000</v>
      </c>
      <c r="AA36" t="s">
        <v>268</v>
      </c>
      <c r="AB36" t="s">
        <v>268</v>
      </c>
      <c r="AC36">
        <v>13958029580</v>
      </c>
      <c r="AD36" t="b">
        <v>1</v>
      </c>
      <c r="AE36">
        <v>23</v>
      </c>
      <c r="AF36" t="b">
        <v>1</v>
      </c>
      <c r="AG36" t="s">
        <v>117</v>
      </c>
      <c r="AH36">
        <v>1</v>
      </c>
      <c r="AI36" t="b">
        <v>0</v>
      </c>
    </row>
    <row r="37" spans="1:35" x14ac:dyDescent="0.25">
      <c r="A37">
        <v>229</v>
      </c>
      <c r="B37" t="s">
        <v>184</v>
      </c>
      <c r="C37" t="s">
        <v>43</v>
      </c>
      <c r="D37" t="s">
        <v>93</v>
      </c>
      <c r="E37" t="s">
        <v>111</v>
      </c>
      <c r="F37">
        <v>743841200</v>
      </c>
      <c r="G37">
        <v>31.01</v>
      </c>
      <c r="H37" t="s">
        <v>118</v>
      </c>
      <c r="I37">
        <v>76583666.847343802</v>
      </c>
      <c r="J37">
        <v>103795092.94</v>
      </c>
      <c r="M37">
        <v>66404242.117045499</v>
      </c>
      <c r="N37">
        <v>26.718170000000001</v>
      </c>
      <c r="O37">
        <v>28.005628999999999</v>
      </c>
      <c r="P37">
        <v>66904312.219899997</v>
      </c>
      <c r="Q37">
        <v>26.206783000000001</v>
      </c>
      <c r="R37">
        <v>67803245.086818099</v>
      </c>
      <c r="S37">
        <v>73879159.375304103</v>
      </c>
      <c r="T37">
        <v>0.9</v>
      </c>
      <c r="U37" t="s">
        <v>234</v>
      </c>
      <c r="V37">
        <v>1</v>
      </c>
      <c r="W37">
        <v>28.14</v>
      </c>
      <c r="X37">
        <v>31.01</v>
      </c>
      <c r="Y37" t="s">
        <v>253</v>
      </c>
      <c r="Z37">
        <v>65102000</v>
      </c>
      <c r="AA37" t="s">
        <v>265</v>
      </c>
      <c r="AB37" t="s">
        <v>265</v>
      </c>
      <c r="AC37">
        <v>20759864050.799999</v>
      </c>
      <c r="AD37" t="b">
        <v>1</v>
      </c>
      <c r="AE37">
        <v>16</v>
      </c>
      <c r="AF37" t="b">
        <v>1</v>
      </c>
      <c r="AG37" t="s">
        <v>117</v>
      </c>
      <c r="AH37">
        <v>1</v>
      </c>
      <c r="AI37" t="b">
        <v>0</v>
      </c>
    </row>
    <row r="38" spans="1:35" x14ac:dyDescent="0.25">
      <c r="A38">
        <v>234</v>
      </c>
      <c r="B38" t="s">
        <v>185</v>
      </c>
      <c r="C38" t="s">
        <v>44</v>
      </c>
      <c r="D38" t="s">
        <v>94</v>
      </c>
      <c r="E38" t="s">
        <v>108</v>
      </c>
      <c r="F38">
        <v>1995557732</v>
      </c>
      <c r="G38">
        <v>2.403</v>
      </c>
      <c r="H38" t="s">
        <v>118</v>
      </c>
      <c r="I38">
        <v>72318731.718572393</v>
      </c>
      <c r="J38">
        <v>82883394.293666795</v>
      </c>
      <c r="M38">
        <v>66924804.826927498</v>
      </c>
      <c r="N38">
        <v>35.502006999999999</v>
      </c>
      <c r="O38">
        <v>35.855232000000001</v>
      </c>
      <c r="P38">
        <v>66139741.34956</v>
      </c>
      <c r="Q38">
        <v>35.383445999999999</v>
      </c>
      <c r="R38">
        <v>71052960.535545498</v>
      </c>
      <c r="S38">
        <v>77406540.566741601</v>
      </c>
      <c r="T38">
        <v>0.65</v>
      </c>
      <c r="U38" t="s">
        <v>235</v>
      </c>
      <c r="V38">
        <v>1</v>
      </c>
      <c r="W38">
        <v>2.73</v>
      </c>
      <c r="X38">
        <v>2.403</v>
      </c>
      <c r="Y38" t="s">
        <v>256</v>
      </c>
      <c r="Z38">
        <v>60101030</v>
      </c>
      <c r="AA38" t="s">
        <v>268</v>
      </c>
      <c r="AB38" t="s">
        <v>268</v>
      </c>
      <c r="AC38">
        <v>3116961399.4973998</v>
      </c>
      <c r="AD38" t="b">
        <v>1</v>
      </c>
      <c r="AE38">
        <v>50</v>
      </c>
      <c r="AF38" t="b">
        <v>1</v>
      </c>
      <c r="AG38" t="s">
        <v>117</v>
      </c>
      <c r="AH38">
        <v>1</v>
      </c>
      <c r="AI38" t="b">
        <v>1</v>
      </c>
    </row>
    <row r="39" spans="1:35" x14ac:dyDescent="0.25">
      <c r="A39">
        <v>235</v>
      </c>
      <c r="B39" t="s">
        <v>186</v>
      </c>
      <c r="C39" t="s">
        <v>45</v>
      </c>
      <c r="D39" t="s">
        <v>95</v>
      </c>
      <c r="E39" t="s">
        <v>115</v>
      </c>
      <c r="F39">
        <v>549795500</v>
      </c>
      <c r="G39">
        <v>39.89</v>
      </c>
      <c r="H39" t="s">
        <v>118</v>
      </c>
      <c r="I39">
        <v>28435816.9085375</v>
      </c>
      <c r="J39">
        <v>25036139.963333301</v>
      </c>
      <c r="M39">
        <v>30217834.265343498</v>
      </c>
      <c r="N39">
        <v>15.678038000000001</v>
      </c>
      <c r="O39">
        <v>15.696362499999999</v>
      </c>
      <c r="P39">
        <v>27677493.828000002</v>
      </c>
      <c r="Q39">
        <v>16.215094000000001</v>
      </c>
      <c r="R39">
        <v>29753916.3143939</v>
      </c>
      <c r="S39">
        <v>32617747.334075399</v>
      </c>
      <c r="T39">
        <v>0.95</v>
      </c>
      <c r="U39" t="s">
        <v>236</v>
      </c>
      <c r="V39">
        <v>1</v>
      </c>
      <c r="W39">
        <v>38.869999999999997</v>
      </c>
      <c r="X39">
        <v>39.89</v>
      </c>
      <c r="Y39" t="s">
        <v>261</v>
      </c>
      <c r="Z39">
        <v>30302025</v>
      </c>
      <c r="AA39" t="s">
        <v>266</v>
      </c>
      <c r="AB39" t="s">
        <v>266</v>
      </c>
      <c r="AC39">
        <v>20834775370.25</v>
      </c>
      <c r="AD39" t="b">
        <v>1</v>
      </c>
      <c r="AE39">
        <v>15</v>
      </c>
      <c r="AF39" t="b">
        <v>1</v>
      </c>
      <c r="AG39" t="s">
        <v>117</v>
      </c>
      <c r="AH39">
        <v>1</v>
      </c>
      <c r="AI39" t="b">
        <v>0</v>
      </c>
    </row>
    <row r="40" spans="1:35" x14ac:dyDescent="0.25">
      <c r="A40">
        <v>243</v>
      </c>
      <c r="B40" t="s">
        <v>187</v>
      </c>
      <c r="C40" t="s">
        <v>46</v>
      </c>
      <c r="D40" t="s">
        <v>96</v>
      </c>
      <c r="E40" t="s">
        <v>112</v>
      </c>
      <c r="F40">
        <v>179362195</v>
      </c>
      <c r="G40">
        <v>23.44</v>
      </c>
      <c r="H40" t="s">
        <v>118</v>
      </c>
      <c r="I40">
        <v>12608199.402753901</v>
      </c>
      <c r="J40">
        <v>15570828.206</v>
      </c>
      <c r="M40">
        <v>14131758.5997348</v>
      </c>
      <c r="N40">
        <v>49.064224000000003</v>
      </c>
      <c r="O40">
        <v>53.344349999999999</v>
      </c>
      <c r="P40">
        <v>14800061.551349999</v>
      </c>
      <c r="Q40">
        <v>45.603589999999997</v>
      </c>
      <c r="R40">
        <v>12390257.0525</v>
      </c>
      <c r="S40">
        <v>13505270.677384101</v>
      </c>
      <c r="T40">
        <v>0.85000000000000009</v>
      </c>
      <c r="U40" t="s">
        <v>237</v>
      </c>
      <c r="V40">
        <v>1</v>
      </c>
      <c r="W40">
        <v>24.2</v>
      </c>
      <c r="X40">
        <v>23.44</v>
      </c>
      <c r="Y40" t="s">
        <v>257</v>
      </c>
      <c r="Z40">
        <v>30302020</v>
      </c>
      <c r="AA40" t="s">
        <v>266</v>
      </c>
      <c r="AB40" t="s">
        <v>266</v>
      </c>
      <c r="AC40">
        <v>3573612373.1800008</v>
      </c>
      <c r="AD40" t="b">
        <v>1</v>
      </c>
      <c r="AE40">
        <v>44</v>
      </c>
      <c r="AF40" t="b">
        <v>1</v>
      </c>
      <c r="AG40" t="s">
        <v>117</v>
      </c>
      <c r="AH40">
        <v>1</v>
      </c>
      <c r="AI40" t="b">
        <v>0</v>
      </c>
    </row>
    <row r="41" spans="1:35" x14ac:dyDescent="0.25">
      <c r="A41">
        <v>245</v>
      </c>
      <c r="B41" t="s">
        <v>188</v>
      </c>
      <c r="C41" t="s">
        <v>47</v>
      </c>
      <c r="D41" t="s">
        <v>97</v>
      </c>
      <c r="E41" t="s">
        <v>109</v>
      </c>
      <c r="F41">
        <v>6524109049</v>
      </c>
      <c r="G41">
        <v>31.61</v>
      </c>
      <c r="H41" t="s">
        <v>118</v>
      </c>
      <c r="I41">
        <v>194601877.72104499</v>
      </c>
      <c r="J41">
        <v>191530162.33633301</v>
      </c>
      <c r="M41">
        <v>175730730.414848</v>
      </c>
      <c r="N41">
        <v>18.341664999999999</v>
      </c>
      <c r="O41">
        <v>19.497263</v>
      </c>
      <c r="P41">
        <v>181153050.7168</v>
      </c>
      <c r="Q41">
        <v>17.552197</v>
      </c>
      <c r="R41">
        <v>188323008.85723501</v>
      </c>
      <c r="S41">
        <v>205797195.984512</v>
      </c>
      <c r="T41">
        <v>1</v>
      </c>
      <c r="U41" t="s">
        <v>238</v>
      </c>
      <c r="V41">
        <v>1</v>
      </c>
      <c r="W41">
        <v>31.62</v>
      </c>
      <c r="X41">
        <v>31.61</v>
      </c>
      <c r="Y41" t="s">
        <v>255</v>
      </c>
      <c r="Z41">
        <v>60101000</v>
      </c>
      <c r="AA41" t="s">
        <v>268</v>
      </c>
      <c r="AB41" t="s">
        <v>268</v>
      </c>
      <c r="AC41">
        <v>206227087038.89001</v>
      </c>
      <c r="AD41" t="b">
        <v>1</v>
      </c>
      <c r="AE41">
        <v>1</v>
      </c>
      <c r="AF41" t="b">
        <v>1</v>
      </c>
      <c r="AG41" t="s">
        <v>117</v>
      </c>
      <c r="AH41">
        <v>1</v>
      </c>
      <c r="AI41" t="b">
        <v>0</v>
      </c>
    </row>
    <row r="42" spans="1:35" x14ac:dyDescent="0.25">
      <c r="A42">
        <v>247</v>
      </c>
      <c r="B42" t="s">
        <v>189</v>
      </c>
      <c r="C42" t="s">
        <v>48</v>
      </c>
      <c r="D42" t="s">
        <v>98</v>
      </c>
      <c r="E42" t="s">
        <v>111</v>
      </c>
      <c r="F42">
        <v>799309700</v>
      </c>
      <c r="G42">
        <v>48.35</v>
      </c>
      <c r="H42" t="s">
        <v>118</v>
      </c>
      <c r="I42">
        <v>80040686.137636602</v>
      </c>
      <c r="J42">
        <v>167068407.41600001</v>
      </c>
      <c r="M42">
        <v>98011823.277272701</v>
      </c>
      <c r="N42">
        <v>48.585265999999997</v>
      </c>
      <c r="O42">
        <v>49.891846000000001</v>
      </c>
      <c r="P42">
        <v>100510734.9182</v>
      </c>
      <c r="Q42">
        <v>47.933959999999999</v>
      </c>
      <c r="R42">
        <v>117127593.341212</v>
      </c>
      <c r="S42">
        <v>127571268.465</v>
      </c>
      <c r="T42">
        <v>0.85</v>
      </c>
      <c r="U42" t="s">
        <v>239</v>
      </c>
      <c r="V42">
        <v>1</v>
      </c>
      <c r="W42">
        <v>49.5</v>
      </c>
      <c r="X42">
        <v>48.35</v>
      </c>
      <c r="Y42" t="s">
        <v>262</v>
      </c>
      <c r="Z42">
        <v>60102020</v>
      </c>
      <c r="AA42" t="s">
        <v>268</v>
      </c>
      <c r="AB42" t="s">
        <v>268</v>
      </c>
      <c r="AC42">
        <v>32849630395.75</v>
      </c>
      <c r="AD42" t="b">
        <v>1</v>
      </c>
      <c r="AE42">
        <v>9</v>
      </c>
      <c r="AF42" t="b">
        <v>1</v>
      </c>
      <c r="AG42" t="s">
        <v>117</v>
      </c>
      <c r="AH42">
        <v>1</v>
      </c>
      <c r="AI42" t="b">
        <v>0</v>
      </c>
    </row>
    <row r="43" spans="1:35" x14ac:dyDescent="0.25">
      <c r="A43">
        <v>250</v>
      </c>
      <c r="B43" t="s">
        <v>190</v>
      </c>
      <c r="C43" t="s">
        <v>49</v>
      </c>
      <c r="D43" t="s">
        <v>99</v>
      </c>
      <c r="E43" t="s">
        <v>108</v>
      </c>
      <c r="F43">
        <v>3360857809</v>
      </c>
      <c r="G43">
        <v>4.3949999999999996</v>
      </c>
      <c r="H43" t="s">
        <v>118</v>
      </c>
      <c r="I43">
        <v>31601478.954651002</v>
      </c>
      <c r="J43">
        <v>32369545.9397</v>
      </c>
      <c r="M43">
        <v>30350339.5871794</v>
      </c>
      <c r="N43">
        <v>17.308745999999999</v>
      </c>
      <c r="O43">
        <v>16.118328000000002</v>
      </c>
      <c r="P43">
        <v>26771289.561154999</v>
      </c>
      <c r="Q43">
        <v>17.695630999999999</v>
      </c>
      <c r="R43">
        <v>25337934.532219701</v>
      </c>
      <c r="S43">
        <v>27610462.845769599</v>
      </c>
      <c r="T43">
        <v>0.60000000000000009</v>
      </c>
      <c r="U43" t="s">
        <v>240</v>
      </c>
      <c r="V43">
        <v>1.02495</v>
      </c>
      <c r="W43">
        <v>4.3019999999999996</v>
      </c>
      <c r="X43">
        <v>4.3949999999999996</v>
      </c>
      <c r="Y43" t="s">
        <v>263</v>
      </c>
      <c r="Z43">
        <v>60101035</v>
      </c>
      <c r="AA43" t="s">
        <v>268</v>
      </c>
      <c r="AB43" t="s">
        <v>268</v>
      </c>
      <c r="AC43">
        <v>8862582042.3330002</v>
      </c>
      <c r="AD43" t="b">
        <v>1</v>
      </c>
      <c r="AE43">
        <v>27</v>
      </c>
      <c r="AF43" t="b">
        <v>1</v>
      </c>
      <c r="AG43" t="s">
        <v>117</v>
      </c>
      <c r="AH43">
        <v>1</v>
      </c>
      <c r="AI43" t="b">
        <v>0</v>
      </c>
    </row>
    <row r="44" spans="1:35" x14ac:dyDescent="0.25">
      <c r="A44">
        <v>263</v>
      </c>
      <c r="B44" t="s">
        <v>191</v>
      </c>
      <c r="C44" t="s">
        <v>50</v>
      </c>
      <c r="D44" t="s">
        <v>100</v>
      </c>
      <c r="E44" t="s">
        <v>111</v>
      </c>
      <c r="F44">
        <v>258229000</v>
      </c>
      <c r="G44">
        <v>79.75</v>
      </c>
      <c r="H44" t="s">
        <v>118</v>
      </c>
      <c r="I44">
        <v>7545966.5050781304</v>
      </c>
      <c r="J44">
        <v>7515259.4266666695</v>
      </c>
      <c r="M44">
        <v>6591367.0352272699</v>
      </c>
      <c r="N44">
        <v>24.440256000000002</v>
      </c>
      <c r="O44">
        <v>25.210304000000001</v>
      </c>
      <c r="P44">
        <v>6343208.1500000004</v>
      </c>
      <c r="Q44">
        <v>23.890395999999999</v>
      </c>
      <c r="R44">
        <v>6375823.4492424298</v>
      </c>
      <c r="S44">
        <v>6959929.5717823198</v>
      </c>
      <c r="T44">
        <v>0.25</v>
      </c>
      <c r="U44" t="s">
        <v>241</v>
      </c>
      <c r="V44">
        <v>1</v>
      </c>
      <c r="W44">
        <v>82.65</v>
      </c>
      <c r="X44">
        <v>79.75</v>
      </c>
      <c r="Y44" t="s">
        <v>257</v>
      </c>
      <c r="Z44">
        <v>30302020</v>
      </c>
      <c r="AA44" t="s">
        <v>266</v>
      </c>
      <c r="AB44" t="s">
        <v>266</v>
      </c>
      <c r="AC44">
        <v>5148440687.5</v>
      </c>
      <c r="AD44" t="b">
        <v>1</v>
      </c>
      <c r="AE44">
        <v>41</v>
      </c>
      <c r="AF44" t="b">
        <v>1</v>
      </c>
      <c r="AG44" t="s">
        <v>117</v>
      </c>
      <c r="AH44">
        <v>1</v>
      </c>
      <c r="AI44" t="b">
        <v>0</v>
      </c>
    </row>
    <row r="45" spans="1:35" x14ac:dyDescent="0.25">
      <c r="A45">
        <v>266</v>
      </c>
      <c r="B45" t="s">
        <v>192</v>
      </c>
      <c r="C45" t="s">
        <v>51</v>
      </c>
      <c r="D45" t="s">
        <v>101</v>
      </c>
      <c r="E45" t="s">
        <v>113</v>
      </c>
      <c r="F45">
        <v>5670161600</v>
      </c>
      <c r="G45">
        <v>4.3</v>
      </c>
      <c r="H45" t="s">
        <v>118</v>
      </c>
      <c r="I45">
        <v>64089680.3498758</v>
      </c>
      <c r="J45">
        <v>61656885.038013302</v>
      </c>
      <c r="M45">
        <v>55681316.696703002</v>
      </c>
      <c r="N45">
        <v>16.400158000000001</v>
      </c>
      <c r="O45">
        <v>14.810789</v>
      </c>
      <c r="P45">
        <v>44401655.631885998</v>
      </c>
      <c r="Q45">
        <v>15.984899</v>
      </c>
      <c r="R45">
        <v>49848640.969521202</v>
      </c>
      <c r="S45">
        <v>54421296.512830503</v>
      </c>
      <c r="T45">
        <v>0.8</v>
      </c>
      <c r="U45" t="s">
        <v>242</v>
      </c>
      <c r="V45">
        <v>1</v>
      </c>
      <c r="W45">
        <v>3.9</v>
      </c>
      <c r="X45">
        <v>4.3</v>
      </c>
      <c r="Y45" t="s">
        <v>252</v>
      </c>
      <c r="Z45">
        <v>15102015</v>
      </c>
      <c r="AA45" t="s">
        <v>267</v>
      </c>
      <c r="AB45" t="s">
        <v>267</v>
      </c>
      <c r="AC45">
        <v>19505355904</v>
      </c>
      <c r="AD45" t="b">
        <v>1</v>
      </c>
      <c r="AE45">
        <v>19</v>
      </c>
      <c r="AF45" t="b">
        <v>1</v>
      </c>
      <c r="AG45" t="s">
        <v>117</v>
      </c>
      <c r="AH45">
        <v>1</v>
      </c>
      <c r="AI45" t="b">
        <v>0</v>
      </c>
    </row>
    <row r="46" spans="1:35" x14ac:dyDescent="0.25">
      <c r="A46">
        <v>269</v>
      </c>
      <c r="B46" t="s">
        <v>193</v>
      </c>
      <c r="C46" t="s">
        <v>52</v>
      </c>
      <c r="D46" t="s">
        <v>102</v>
      </c>
      <c r="E46" t="s">
        <v>108</v>
      </c>
      <c r="F46">
        <v>1162757528</v>
      </c>
      <c r="G46">
        <v>17.87</v>
      </c>
      <c r="H46" t="s">
        <v>118</v>
      </c>
      <c r="I46">
        <v>40582159.844931401</v>
      </c>
      <c r="J46">
        <v>58350508.461833201</v>
      </c>
      <c r="M46">
        <v>40064015.757919803</v>
      </c>
      <c r="N46">
        <v>27.261759000000001</v>
      </c>
      <c r="O46">
        <v>28.822199000000001</v>
      </c>
      <c r="P46">
        <v>39276649.701125003</v>
      </c>
      <c r="Q46">
        <v>26.147568</v>
      </c>
      <c r="R46">
        <v>40928438.649431802</v>
      </c>
      <c r="S46">
        <v>44641520.687523797</v>
      </c>
      <c r="T46">
        <v>0.4</v>
      </c>
      <c r="U46" t="s">
        <v>243</v>
      </c>
      <c r="V46">
        <v>1</v>
      </c>
      <c r="W46">
        <v>18.885000000000002</v>
      </c>
      <c r="X46">
        <v>17.87</v>
      </c>
      <c r="Y46" t="s">
        <v>256</v>
      </c>
      <c r="Z46">
        <v>60101030</v>
      </c>
      <c r="AA46" t="s">
        <v>268</v>
      </c>
      <c r="AB46" t="s">
        <v>268</v>
      </c>
      <c r="AC46">
        <v>8311390810.144001</v>
      </c>
      <c r="AD46" t="b">
        <v>1</v>
      </c>
      <c r="AE46">
        <v>28</v>
      </c>
      <c r="AF46" t="b">
        <v>1</v>
      </c>
      <c r="AG46" t="s">
        <v>117</v>
      </c>
      <c r="AH46">
        <v>1</v>
      </c>
      <c r="AI46" t="b">
        <v>0</v>
      </c>
    </row>
    <row r="47" spans="1:35" x14ac:dyDescent="0.25">
      <c r="A47">
        <v>270</v>
      </c>
      <c r="B47" t="s">
        <v>194</v>
      </c>
      <c r="C47" t="s">
        <v>53</v>
      </c>
      <c r="D47" t="s">
        <v>103</v>
      </c>
      <c r="E47" t="s">
        <v>108</v>
      </c>
      <c r="F47">
        <v>2009992000</v>
      </c>
      <c r="G47">
        <v>7.97</v>
      </c>
      <c r="H47" t="s">
        <v>118</v>
      </c>
      <c r="I47">
        <v>29899281.927737299</v>
      </c>
      <c r="J47">
        <v>29540501.272333302</v>
      </c>
      <c r="M47">
        <v>29264978.9941145</v>
      </c>
      <c r="N47">
        <v>16.031103000000002</v>
      </c>
      <c r="O47">
        <v>15.877281</v>
      </c>
      <c r="P47">
        <v>25905766.030730002</v>
      </c>
      <c r="Q47">
        <v>17.163730000000001</v>
      </c>
      <c r="R47">
        <v>25474437.9882879</v>
      </c>
      <c r="S47">
        <v>27819254.729478098</v>
      </c>
      <c r="T47">
        <v>0.70000000000000007</v>
      </c>
      <c r="U47" t="s">
        <v>244</v>
      </c>
      <c r="V47">
        <v>1.02495</v>
      </c>
      <c r="W47">
        <v>7.6139999999999999</v>
      </c>
      <c r="X47">
        <v>7.97</v>
      </c>
      <c r="Y47" t="s">
        <v>249</v>
      </c>
      <c r="Z47">
        <v>65101015</v>
      </c>
      <c r="AA47" t="s">
        <v>265</v>
      </c>
      <c r="AB47" t="s">
        <v>265</v>
      </c>
      <c r="AC47">
        <v>11213745368</v>
      </c>
      <c r="AD47" t="b">
        <v>1</v>
      </c>
      <c r="AE47">
        <v>25</v>
      </c>
      <c r="AF47" t="b">
        <v>1</v>
      </c>
      <c r="AG47" t="s">
        <v>117</v>
      </c>
      <c r="AH47">
        <v>1</v>
      </c>
      <c r="AI47" t="b">
        <v>0</v>
      </c>
    </row>
    <row r="48" spans="1:35" x14ac:dyDescent="0.25">
      <c r="A48">
        <v>272</v>
      </c>
      <c r="B48" t="s">
        <v>195</v>
      </c>
      <c r="C48" t="s">
        <v>54</v>
      </c>
      <c r="D48" t="s">
        <v>104</v>
      </c>
      <c r="E48" t="s">
        <v>112</v>
      </c>
      <c r="F48">
        <v>2397679661</v>
      </c>
      <c r="G48">
        <v>57.09</v>
      </c>
      <c r="H48" t="s">
        <v>118</v>
      </c>
      <c r="I48">
        <v>223641432.39564499</v>
      </c>
      <c r="J48">
        <v>220111887.48033401</v>
      </c>
      <c r="M48">
        <v>214291488.457993</v>
      </c>
      <c r="N48">
        <v>20.934874000000001</v>
      </c>
      <c r="O48">
        <v>20.722836999999998</v>
      </c>
      <c r="P48">
        <v>207054495.1584</v>
      </c>
      <c r="Q48">
        <v>20.437311000000001</v>
      </c>
      <c r="R48">
        <v>221251793.37303099</v>
      </c>
      <c r="S48">
        <v>241829578.73255301</v>
      </c>
      <c r="T48">
        <v>0.95000000000000007</v>
      </c>
      <c r="U48" t="s">
        <v>245</v>
      </c>
      <c r="V48">
        <v>1</v>
      </c>
      <c r="W48">
        <v>55.25</v>
      </c>
      <c r="X48">
        <v>57.09</v>
      </c>
      <c r="Y48" t="s">
        <v>255</v>
      </c>
      <c r="Z48">
        <v>60101000</v>
      </c>
      <c r="AA48" t="s">
        <v>268</v>
      </c>
      <c r="AB48" t="s">
        <v>268</v>
      </c>
      <c r="AC48">
        <v>130039355254.1655</v>
      </c>
      <c r="AD48" t="b">
        <v>1</v>
      </c>
      <c r="AE48">
        <v>2</v>
      </c>
      <c r="AF48" t="b">
        <v>1</v>
      </c>
      <c r="AG48" t="s">
        <v>117</v>
      </c>
      <c r="AH48">
        <v>1</v>
      </c>
      <c r="AI48" t="b">
        <v>0</v>
      </c>
    </row>
    <row r="49" spans="1:35" x14ac:dyDescent="0.25">
      <c r="A49">
        <v>280</v>
      </c>
      <c r="B49" t="s">
        <v>196</v>
      </c>
      <c r="C49" t="s">
        <v>55</v>
      </c>
      <c r="D49" t="s">
        <v>105</v>
      </c>
      <c r="E49" t="s">
        <v>108</v>
      </c>
      <c r="F49">
        <v>717473508</v>
      </c>
      <c r="G49">
        <v>11.78</v>
      </c>
      <c r="H49" t="s">
        <v>118</v>
      </c>
      <c r="I49">
        <v>17109941.477311801</v>
      </c>
      <c r="J49">
        <v>26793791.5446667</v>
      </c>
      <c r="M49">
        <v>19423077.7019656</v>
      </c>
      <c r="N49">
        <v>27.531932999999999</v>
      </c>
      <c r="O49">
        <v>27.918292999999998</v>
      </c>
      <c r="P49">
        <v>19695402.201675002</v>
      </c>
      <c r="Q49">
        <v>25.152044</v>
      </c>
      <c r="R49">
        <v>22677210.126515198</v>
      </c>
      <c r="S49">
        <v>24717320.196981099</v>
      </c>
      <c r="T49">
        <v>0.55000000000000004</v>
      </c>
      <c r="U49" t="s">
        <v>246</v>
      </c>
      <c r="V49">
        <v>1</v>
      </c>
      <c r="W49">
        <v>12.12</v>
      </c>
      <c r="X49">
        <v>11.78</v>
      </c>
      <c r="Y49" t="s">
        <v>251</v>
      </c>
      <c r="Z49">
        <v>30302010</v>
      </c>
      <c r="AA49" t="s">
        <v>266</v>
      </c>
      <c r="AB49" t="s">
        <v>266</v>
      </c>
      <c r="AC49">
        <v>4648510858.3319998</v>
      </c>
      <c r="AD49" t="b">
        <v>1</v>
      </c>
      <c r="AE49">
        <v>43</v>
      </c>
      <c r="AF49" t="b">
        <v>1</v>
      </c>
      <c r="AG49" t="s">
        <v>117</v>
      </c>
      <c r="AH49">
        <v>1</v>
      </c>
      <c r="AI49" t="b">
        <v>0</v>
      </c>
    </row>
    <row r="50" spans="1:35" x14ac:dyDescent="0.25">
      <c r="A50">
        <v>285</v>
      </c>
      <c r="B50" t="s">
        <v>197</v>
      </c>
      <c r="C50" t="s">
        <v>56</v>
      </c>
      <c r="D50" t="s">
        <v>106</v>
      </c>
      <c r="E50" t="s">
        <v>112</v>
      </c>
      <c r="F50">
        <v>740652608</v>
      </c>
      <c r="G50">
        <v>27.84</v>
      </c>
      <c r="H50" t="s">
        <v>118</v>
      </c>
      <c r="I50">
        <v>49290546.585546903</v>
      </c>
      <c r="J50">
        <v>52056264.213</v>
      </c>
      <c r="M50">
        <v>51400295.032045402</v>
      </c>
      <c r="N50">
        <v>19.514213999999999</v>
      </c>
      <c r="O50">
        <v>16.922830000000001</v>
      </c>
      <c r="P50">
        <v>46278191.854400001</v>
      </c>
      <c r="Q50">
        <v>19.186304</v>
      </c>
      <c r="R50">
        <v>47548904.5043182</v>
      </c>
      <c r="S50">
        <v>51856968.640871502</v>
      </c>
      <c r="T50">
        <v>0.95000000000000007</v>
      </c>
      <c r="U50" t="s">
        <v>247</v>
      </c>
      <c r="V50">
        <v>1.02495</v>
      </c>
      <c r="W50">
        <v>26.47</v>
      </c>
      <c r="X50">
        <v>27.84</v>
      </c>
      <c r="Y50" t="s">
        <v>264</v>
      </c>
      <c r="Z50">
        <v>65102030</v>
      </c>
      <c r="AA50" t="s">
        <v>265</v>
      </c>
      <c r="AB50" t="s">
        <v>265</v>
      </c>
      <c r="AC50">
        <v>19588780176.383999</v>
      </c>
      <c r="AD50" t="b">
        <v>1</v>
      </c>
      <c r="AE50">
        <v>17</v>
      </c>
      <c r="AF50" t="b">
        <v>1</v>
      </c>
      <c r="AG50" t="s">
        <v>117</v>
      </c>
      <c r="AH50">
        <v>1</v>
      </c>
      <c r="AI50" t="b">
        <v>0</v>
      </c>
    </row>
    <row r="51" spans="1:35" x14ac:dyDescent="0.25">
      <c r="A51">
        <v>286</v>
      </c>
      <c r="B51" t="s">
        <v>198</v>
      </c>
      <c r="C51" t="s">
        <v>57</v>
      </c>
      <c r="D51" t="s">
        <v>107</v>
      </c>
      <c r="E51" t="s">
        <v>116</v>
      </c>
      <c r="F51">
        <v>170233670</v>
      </c>
      <c r="G51">
        <v>75.75</v>
      </c>
      <c r="H51" t="s">
        <v>118</v>
      </c>
      <c r="I51">
        <v>9655437.4208984394</v>
      </c>
      <c r="J51">
        <v>7862746.3399999999</v>
      </c>
      <c r="M51">
        <v>8087804.0670454605</v>
      </c>
      <c r="N51">
        <v>24.182538999999998</v>
      </c>
      <c r="O51">
        <v>24.365694000000001</v>
      </c>
      <c r="P51">
        <v>7293334.6234999998</v>
      </c>
      <c r="Q51">
        <v>26.448238</v>
      </c>
      <c r="R51">
        <v>7572116.2151515204</v>
      </c>
      <c r="S51">
        <v>8275589.7268179702</v>
      </c>
      <c r="T51">
        <v>0.4</v>
      </c>
      <c r="U51" t="s">
        <v>248</v>
      </c>
      <c r="V51">
        <v>1</v>
      </c>
      <c r="W51">
        <v>69.099999999999994</v>
      </c>
      <c r="X51">
        <v>75.75</v>
      </c>
      <c r="Y51" t="s">
        <v>254</v>
      </c>
      <c r="Z51">
        <v>65101010</v>
      </c>
      <c r="AA51" t="s">
        <v>265</v>
      </c>
      <c r="AB51" t="s">
        <v>265</v>
      </c>
      <c r="AC51">
        <v>5158080201</v>
      </c>
      <c r="AD51" t="b">
        <v>1</v>
      </c>
      <c r="AE51">
        <v>40</v>
      </c>
      <c r="AF51" t="b">
        <v>1</v>
      </c>
      <c r="AG51" t="s">
        <v>117</v>
      </c>
      <c r="AH51">
        <v>1</v>
      </c>
      <c r="AI5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269</v>
      </c>
    </row>
    <row r="2" spans="1:1" x14ac:dyDescent="0.25">
      <c r="A2">
        <v>1222029187639.3811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2025-01-30T14:18:05Z</dcterms:created>
  <dcterms:modified xsi:type="dcterms:W3CDTF">2025-01-30T14:18:56Z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2025-01-30T14:18:53Z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2beebab9-c30a-4620-9d5c-ea8a03812f9c</vt:lpwstr>
  </property>
  <property fmtid="{D5CDD505-2E9C-101B-9397-08002B2CF9AE}" pid="8" name="MSIP_Label_ac0b9ce6-6e99-42a1-af95-429494370cbc_ContentBits">
    <vt:lpwstr>2</vt:lpwstr>
  </property>
</Properties>
</file>