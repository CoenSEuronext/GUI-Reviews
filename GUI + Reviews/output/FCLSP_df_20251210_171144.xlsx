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26" documentId="11_F6716E0C0E7754A09545BF5A9B96063B5C944745" xr6:coauthVersionLast="47" xr6:coauthVersionMax="47" xr10:uidLastSave="{06F9DDA9-517A-41E9-A1B8-79568CDEDF2F}"/>
  <bookViews>
    <workbookView xWindow="-120" yWindow="-120" windowWidth="29040" windowHeight="15720" activeTab="5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6" l="1"/>
  <c r="BG60" i="6"/>
  <c r="BH60" i="6" s="1"/>
  <c r="BG59" i="6"/>
  <c r="BH59" i="6" s="1"/>
  <c r="BG58" i="6"/>
  <c r="BH58" i="6" s="1"/>
  <c r="BG57" i="6"/>
  <c r="BH57" i="6" s="1"/>
  <c r="BG56" i="6"/>
  <c r="BH56" i="6" s="1"/>
  <c r="BG55" i="6"/>
  <c r="BH55" i="6" s="1"/>
  <c r="BG54" i="6"/>
  <c r="BH54" i="6" s="1"/>
  <c r="BG53" i="6"/>
  <c r="BH53" i="6" s="1"/>
  <c r="BG52" i="6"/>
  <c r="BH52" i="6" s="1"/>
  <c r="BG51" i="6"/>
  <c r="BH51" i="6" s="1"/>
  <c r="BG50" i="6"/>
  <c r="BH50" i="6" s="1"/>
  <c r="BG49" i="6"/>
  <c r="BH49" i="6" s="1"/>
  <c r="BG48" i="6"/>
  <c r="BH48" i="6" s="1"/>
  <c r="BG47" i="6"/>
  <c r="BH47" i="6" s="1"/>
  <c r="BG46" i="6"/>
  <c r="BH46" i="6" s="1"/>
  <c r="BG45" i="6"/>
  <c r="BH45" i="6" s="1"/>
  <c r="BG44" i="6"/>
  <c r="BH44" i="6" s="1"/>
  <c r="BG43" i="6"/>
  <c r="BH43" i="6" s="1"/>
  <c r="BG42" i="6"/>
  <c r="BH42" i="6" s="1"/>
  <c r="BG41" i="6"/>
  <c r="BH41" i="6" s="1"/>
  <c r="BG40" i="6"/>
  <c r="BH40" i="6" s="1"/>
  <c r="BG39" i="6"/>
  <c r="BH39" i="6" s="1"/>
  <c r="BG38" i="6"/>
  <c r="BH38" i="6" s="1"/>
  <c r="BG37" i="6"/>
  <c r="BH37" i="6" s="1"/>
  <c r="BG36" i="6"/>
  <c r="BH36" i="6" s="1"/>
  <c r="BG35" i="6"/>
  <c r="BH35" i="6" s="1"/>
  <c r="BG34" i="6"/>
  <c r="BH34" i="6" s="1"/>
  <c r="BG33" i="6"/>
  <c r="BH33" i="6" s="1"/>
  <c r="BG32" i="6"/>
  <c r="BH32" i="6" s="1"/>
  <c r="BG31" i="6"/>
  <c r="BH31" i="6" s="1"/>
  <c r="BG30" i="6"/>
  <c r="BH30" i="6" s="1"/>
  <c r="BG29" i="6"/>
  <c r="BH29" i="6" s="1"/>
  <c r="BG28" i="6"/>
  <c r="BH28" i="6" s="1"/>
  <c r="BG27" i="6"/>
  <c r="BH27" i="6" s="1"/>
  <c r="BG26" i="6"/>
  <c r="BH26" i="6" s="1"/>
  <c r="BG25" i="6"/>
  <c r="BH25" i="6" s="1"/>
  <c r="BG24" i="6"/>
  <c r="BH24" i="6" s="1"/>
  <c r="BG23" i="6"/>
  <c r="BH23" i="6" s="1"/>
  <c r="BG22" i="6"/>
  <c r="BH22" i="6" s="1"/>
  <c r="BG21" i="6"/>
  <c r="BH21" i="6" s="1"/>
  <c r="BG20" i="6"/>
  <c r="BH20" i="6" s="1"/>
  <c r="BG19" i="6"/>
  <c r="BH19" i="6" s="1"/>
  <c r="BG18" i="6"/>
  <c r="BH18" i="6" s="1"/>
  <c r="BG17" i="6"/>
  <c r="BH17" i="6" s="1"/>
  <c r="BG16" i="6"/>
  <c r="BH16" i="6" s="1"/>
  <c r="BG15" i="6"/>
  <c r="BH15" i="6" s="1"/>
  <c r="BG14" i="6"/>
  <c r="BH14" i="6" s="1"/>
  <c r="BG13" i="6"/>
  <c r="BH13" i="6" s="1"/>
  <c r="BG12" i="6"/>
  <c r="BH12" i="6" s="1"/>
  <c r="BG11" i="6"/>
  <c r="BH11" i="6" s="1"/>
  <c r="BG10" i="6"/>
  <c r="BH10" i="6" s="1"/>
  <c r="BG9" i="6"/>
  <c r="BH9" i="6" s="1"/>
  <c r="BG8" i="6"/>
  <c r="BH8" i="6" s="1"/>
  <c r="BG7" i="6"/>
  <c r="BH7" i="6" s="1"/>
  <c r="BG6" i="6"/>
  <c r="BH6" i="6" s="1"/>
  <c r="BG5" i="6"/>
  <c r="BH5" i="6" s="1"/>
  <c r="BG4" i="6"/>
  <c r="BH4" i="6" s="1"/>
  <c r="BG3" i="6"/>
  <c r="BH3" i="6" s="1"/>
  <c r="BG2" i="6"/>
  <c r="BH2" i="6" s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<sst xmlns="http://schemas.openxmlformats.org/spreadsheetml/2006/main" count="4551" uniqueCount="464">
  <si>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</si>
  <si>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</si>
  <si>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</si>
  <si>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</si>
  <si>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</si>
  <si>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</si>
  <si>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</si>
  <si>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</si>
  <si>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ADP</t>
  </si>
  <si>
    <t>AIR FRANCE -KLM</t>
  </si>
  <si>
    <t>AIRBUS</t>
  </si>
  <si>
    <t>ALTEN</t>
  </si>
  <si>
    <t>AMUNDI</t>
  </si>
  <si>
    <t>APERAM</t>
  </si>
  <si>
    <t>ATOS</t>
  </si>
  <si>
    <t>AXA</t>
  </si>
  <si>
    <t>AYVENS</t>
  </si>
  <si>
    <t>BIC</t>
  </si>
  <si>
    <t>BIOMERIEUX</t>
  </si>
  <si>
    <t>BNP PARIBAS ACT.A</t>
  </si>
  <si>
    <t>CAPGEMINI</t>
  </si>
  <si>
    <t>CARREFOUR</t>
  </si>
  <si>
    <t>COFACE</t>
  </si>
  <si>
    <t>DANONE</t>
  </si>
  <si>
    <t>DASSAULT SYSTEMES</t>
  </si>
  <si>
    <t>EURONEXT</t>
  </si>
  <si>
    <t>FORVIA</t>
  </si>
  <si>
    <t>GTT</t>
  </si>
  <si>
    <t>ICADE</t>
  </si>
  <si>
    <t>INTERPARFUMS</t>
  </si>
  <si>
    <t>IPSEN</t>
  </si>
  <si>
    <t>L'OREAL</t>
  </si>
  <si>
    <t>MERCIALYS</t>
  </si>
  <si>
    <t>MERSEN</t>
  </si>
  <si>
    <t>NEXANS</t>
  </si>
  <si>
    <t>OPMOBILITY</t>
  </si>
  <si>
    <t>ORANGE</t>
  </si>
  <si>
    <t>PERNOD RICARD</t>
  </si>
  <si>
    <t>PUBLICIS GROUPE SA</t>
  </si>
  <si>
    <t>REMY COINTREAU</t>
  </si>
  <si>
    <t>RENAULT</t>
  </si>
  <si>
    <t>REXEL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</si>
  <si>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</si>
  <si>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</si>
  <si>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</si>
  <si>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</si>
  <si>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</si>
  <si>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</si>
  <si>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</si>
  <si>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</si>
  <si>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</si>
  <si>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</si>
  <si>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SOITEC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</si>
  <si>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</si>
  <si>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</si>
  <si>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</si>
  <si>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</si>
  <si>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</si>
  <si>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</si>
  <si>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</si>
  <si>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UNIBAIL-RODAMCO-WE</t>
  </si>
  <si>
    <t>VALEO</t>
  </si>
  <si>
    <t>VEOLIA ENVIRON.</t>
  </si>
  <si>
    <t>VICAT</t>
  </si>
  <si>
    <t>VINCI</t>
  </si>
  <si>
    <t>VIVENDI SE</t>
  </si>
  <si>
    <t>WORLDLINE</t>
  </si>
  <si>
    <t>FR0010340141</t>
  </si>
  <si>
    <t>FR001400J770</t>
  </si>
  <si>
    <t>NL0000235190</t>
  </si>
  <si>
    <t>FR0000071946</t>
  </si>
  <si>
    <t>FR0004125920</t>
  </si>
  <si>
    <t>LU0569974404</t>
  </si>
  <si>
    <t>FR001400X2S4</t>
  </si>
  <si>
    <t>FR0000120628</t>
  </si>
  <si>
    <t>FR0013258662</t>
  </si>
  <si>
    <t>FR0000120966</t>
  </si>
  <si>
    <t>FR0013280286</t>
  </si>
  <si>
    <t>FR0000131104</t>
  </si>
  <si>
    <t>FR0000125338</t>
  </si>
  <si>
    <t>FR0000120172</t>
  </si>
  <si>
    <t>FR0010667147</t>
  </si>
  <si>
    <t>FR0000120644</t>
  </si>
  <si>
    <t>FR0014003TT8</t>
  </si>
  <si>
    <t>NL0006294274</t>
  </si>
  <si>
    <t>FR0000121147</t>
  </si>
  <si>
    <t>FR0011726835</t>
  </si>
  <si>
    <t>FR0000035081</t>
  </si>
  <si>
    <t>FR0004024222</t>
  </si>
  <si>
    <t>FR0010259150</t>
  </si>
  <si>
    <t>FR0000120321</t>
  </si>
  <si>
    <t>FR0010241638</t>
  </si>
  <si>
    <t>FR0000039620</t>
  </si>
  <si>
    <t>FR0000044448</t>
  </si>
  <si>
    <t>FR0000124570</t>
  </si>
  <si>
    <t>FR0000133308</t>
  </si>
  <si>
    <t>FR0000120693</t>
  </si>
  <si>
    <t>FR0000130577</t>
  </si>
  <si>
    <t>FR0000130395</t>
  </si>
  <si>
    <t>FR0000131906</t>
  </si>
  <si>
    <t>FR0010451203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</si>
  <si>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</si>
  <si>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</si>
  <si>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</si>
  <si>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</si>
  <si>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</si>
  <si>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</si>
  <si>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</si>
  <si>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</si>
  <si>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</si>
  <si>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</si>
  <si>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FR0013227113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</si>
  <si>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</si>
  <si>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</si>
  <si>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</si>
  <si>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</si>
  <si>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</si>
  <si>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</si>
  <si>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</si>
  <si>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FR0013326246</t>
  </si>
  <si>
    <t>FR0013176526</t>
  </si>
  <si>
    <t>FR0000124141</t>
  </si>
  <si>
    <t>FR0000031775</t>
  </si>
  <si>
    <t>FR0000125486</t>
  </si>
  <si>
    <t>FR0000127771</t>
  </si>
  <si>
    <t>FR0011981968</t>
  </si>
  <si>
    <t>XPAR</t>
  </si>
  <si>
    <t>XAMS</t>
  </si>
  <si>
    <t>XBRU</t>
  </si>
  <si>
    <t>22-Sep-25</t>
  </si>
  <si>
    <t>EUR</t>
  </si>
  <si>
    <t>ISIN code</t>
  </si>
  <si>
    <t>ELIOR GROUP</t>
  </si>
  <si>
    <t>ESSO</t>
  </si>
  <si>
    <t>FR0011950732</t>
  </si>
  <si>
    <t>FR0000120669</t>
  </si>
  <si>
    <t>ISIN</t>
  </si>
  <si>
    <t>NOSH</t>
  </si>
  <si>
    <t>Free Float SBF</t>
  </si>
  <si>
    <t>Capping</t>
  </si>
  <si>
    <t>#Symbol</t>
  </si>
  <si>
    <t>FX/Index Ccy</t>
  </si>
  <si>
    <t>Close Prc_EOD</t>
  </si>
  <si>
    <t>Close Prc_CO</t>
  </si>
  <si>
    <t>Price MR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</si>
  <si>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</si>
  <si>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</si>
  <si>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</si>
  <si>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</si>
  <si>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</si>
  <si>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</si>
  <si>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</si>
  <si>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</si>
  <si>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</si>
  <si>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</si>
  <si>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</si>
  <si>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</si>
  <si>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</si>
  <si>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</si>
  <si>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</si>
  <si>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Oil Sands - Production Maximum Percentage of Revenues (%)</t>
  </si>
  <si>
    <t>Tobacco - Production Maximum Percentage of Revenues (%)</t>
  </si>
  <si>
    <t>Trust Metric Numeric</t>
  </si>
  <si>
    <t>Coal Mining Numeric</t>
  </si>
  <si>
    <t>Thermal Power Numeric</t>
  </si>
  <si>
    <t>Oil Sands Numeric</t>
  </si>
  <si>
    <t>Tobacco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</si>
  <si>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</si>
  <si>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</si>
  <si>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</si>
  <si>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</si>
  <si>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</si>
  <si>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</si>
  <si>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</si>
  <si>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</si>
  <si>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</si>
  <si>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</si>
  <si>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</si>
  <si>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</si>
  <si>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</si>
  <si>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</si>
  <si>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</si>
  <si>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exclusion_15_CarbonBudget</t>
  </si>
  <si>
    <t>exclusion_16_TobaccoProduction</t>
  </si>
  <si>
    <t>Exclusion Summary</t>
  </si>
  <si>
    <t>Excluded</t>
  </si>
  <si>
    <t>ABIVAX</t>
  </si>
  <si>
    <t>ACCOR</t>
  </si>
  <si>
    <t>AIR LIQUIDE</t>
  </si>
  <si>
    <t>ALSTOM</t>
  </si>
  <si>
    <t>ARCELORMITTAL SA</t>
  </si>
  <si>
    <t>ARGAN</t>
  </si>
  <si>
    <t>ARKEMA</t>
  </si>
  <si>
    <t>BOLLORE</t>
  </si>
  <si>
    <t>BOUYGUES</t>
  </si>
  <si>
    <t>BUREAU VERITAS</t>
  </si>
  <si>
    <t>CARMILA</t>
  </si>
  <si>
    <t>CLARIANE</t>
  </si>
  <si>
    <t>COVIVIO</t>
  </si>
  <si>
    <t>CREDIT AGRICOLE</t>
  </si>
  <si>
    <t>DASSAULT AVIATION</t>
  </si>
  <si>
    <t>DERICHEBOURG</t>
  </si>
  <si>
    <t>EDENRED</t>
  </si>
  <si>
    <t>EIFFAGE</t>
  </si>
  <si>
    <t>ELIS</t>
  </si>
  <si>
    <t>EMEIS</t>
  </si>
  <si>
    <t>ENGIE</t>
  </si>
  <si>
    <t>ERAMET</t>
  </si>
  <si>
    <t>ESSILORLUXOTTICA</t>
  </si>
  <si>
    <t>EURAZEO</t>
  </si>
  <si>
    <t>EUROFINS SCIENT.</t>
  </si>
  <si>
    <t>EUTELSAT COMMUNIC.</t>
  </si>
  <si>
    <t>EXAIL TECHNOLOGIES</t>
  </si>
  <si>
    <t>EXOSENS</t>
  </si>
  <si>
    <t>FDJ UNITED</t>
  </si>
  <si>
    <t>GECINA</t>
  </si>
  <si>
    <t>GETLINK SE</t>
  </si>
  <si>
    <t>HERMES INTL</t>
  </si>
  <si>
    <t>ID LOGISTICS GROUP</t>
  </si>
  <si>
    <t>IMERYS</t>
  </si>
  <si>
    <t>IPSOS</t>
  </si>
  <si>
    <t>JCDECAUX</t>
  </si>
  <si>
    <t>KERING</t>
  </si>
  <si>
    <t>KLEPIERRE</t>
  </si>
  <si>
    <t>LEGRAND</t>
  </si>
  <si>
    <t>LVMH</t>
  </si>
  <si>
    <t>MEDINCELL</t>
  </si>
  <si>
    <t>METROPOLE TV</t>
  </si>
  <si>
    <t>MICHELIN</t>
  </si>
  <si>
    <t>NEXITY</t>
  </si>
  <si>
    <t>PLANISWARE</t>
  </si>
  <si>
    <t>PLUXEE</t>
  </si>
  <si>
    <t>ROBERTET</t>
  </si>
  <si>
    <t>SES</t>
  </si>
  <si>
    <t>TF1</t>
  </si>
  <si>
    <t>THALES</t>
  </si>
  <si>
    <t>TOTALENERGIES</t>
  </si>
  <si>
    <t>TRIGANO</t>
  </si>
  <si>
    <t>UBISOFT ENTERTAIN</t>
  </si>
  <si>
    <t>VALLOUREC</t>
  </si>
  <si>
    <t>VALNEVA</t>
  </si>
  <si>
    <t>VERALLIA</t>
  </si>
  <si>
    <t>VIRBAC</t>
  </si>
  <si>
    <t>VIRIDIEN</t>
  </si>
  <si>
    <t>VusionGroup</t>
  </si>
  <si>
    <t>WENDEL</t>
  </si>
  <si>
    <t>FR0012333284</t>
  </si>
  <si>
    <t>FR0000120404</t>
  </si>
  <si>
    <t>FR0000120073</t>
  </si>
  <si>
    <t>FR0010220475</t>
  </si>
  <si>
    <t>LU1598757687</t>
  </si>
  <si>
    <t>FR0010481960</t>
  </si>
  <si>
    <t>FR0010313833</t>
  </si>
  <si>
    <t>FR0000039299</t>
  </si>
  <si>
    <t>FR0000120503</t>
  </si>
  <si>
    <t>FR0006174348</t>
  </si>
  <si>
    <t>FR0010828137</t>
  </si>
  <si>
    <t>FR0010386334</t>
  </si>
  <si>
    <t>FR0000064578</t>
  </si>
  <si>
    <t>FR0000045072</t>
  </si>
  <si>
    <t>FR0014004L86</t>
  </si>
  <si>
    <t>FR0000053381</t>
  </si>
  <si>
    <t>FR0010908533</t>
  </si>
  <si>
    <t>FR0000130452</t>
  </si>
  <si>
    <t>FR0012435121</t>
  </si>
  <si>
    <t>FR001400NLM4</t>
  </si>
  <si>
    <t>FR0010208488</t>
  </si>
  <si>
    <t>FR0000131757</t>
  </si>
  <si>
    <t>FR0000121667</t>
  </si>
  <si>
    <t>FR0000121121</t>
  </si>
  <si>
    <t>FR0014000MR3</t>
  </si>
  <si>
    <t>FR0010221234</t>
  </si>
  <si>
    <t>FR0000062671</t>
  </si>
  <si>
    <t>FR001400Q9V2</t>
  </si>
  <si>
    <t>FR0013451333</t>
  </si>
  <si>
    <t>FR0010040865</t>
  </si>
  <si>
    <t>FR0010533075</t>
  </si>
  <si>
    <t>FR0000052292</t>
  </si>
  <si>
    <t>FR0010929125</t>
  </si>
  <si>
    <t>FR0000120859</t>
  </si>
  <si>
    <t>FR0000073298</t>
  </si>
  <si>
    <t>FR0000077919</t>
  </si>
  <si>
    <t>FR0000121485</t>
  </si>
  <si>
    <t>FR0000121964</t>
  </si>
  <si>
    <t>FR0010307819</t>
  </si>
  <si>
    <t>FR0000121014</t>
  </si>
  <si>
    <t>FR0004065605</t>
  </si>
  <si>
    <t>FR0000053225</t>
  </si>
  <si>
    <t>FR001400AJ45</t>
  </si>
  <si>
    <t>FR0010112524</t>
  </si>
  <si>
    <t>FR001400PFU4</t>
  </si>
  <si>
    <t>NL0015001W49</t>
  </si>
  <si>
    <t>FR0000039091</t>
  </si>
  <si>
    <t>LU0088087324</t>
  </si>
  <si>
    <t>FR0000054900</t>
  </si>
  <si>
    <t>FR0000121329</t>
  </si>
  <si>
    <t>FR0000120271</t>
  </si>
  <si>
    <t>FR0005691656</t>
  </si>
  <si>
    <t>FR0000054470</t>
  </si>
  <si>
    <t>FR0013506730</t>
  </si>
  <si>
    <t>FR0004056851</t>
  </si>
  <si>
    <t>FR0013447729</t>
  </si>
  <si>
    <t>FR0000031577</t>
  </si>
  <si>
    <t>FR001400PVN6</t>
  </si>
  <si>
    <t>FR0010282822</t>
  </si>
  <si>
    <t>FR0000121204</t>
  </si>
  <si>
    <t>ABVX.PA</t>
  </si>
  <si>
    <t>ACCP.PA</t>
  </si>
  <si>
    <t>ADP.PA</t>
  </si>
  <si>
    <t>AIRF.PA</t>
  </si>
  <si>
    <t>AIRP.PA</t>
  </si>
  <si>
    <t>AIR.PA</t>
  </si>
  <si>
    <t>ALSO.PA</t>
  </si>
  <si>
    <t>LTEN.PA</t>
  </si>
  <si>
    <t>AMUN.PA</t>
  </si>
  <si>
    <t>APAM.AS</t>
  </si>
  <si>
    <t>MT.AS</t>
  </si>
  <si>
    <t>ARGAN.PA</t>
  </si>
  <si>
    <t>AKE.PA</t>
  </si>
  <si>
    <t>ATOS.PA</t>
  </si>
  <si>
    <t>AXAF.PA</t>
  </si>
  <si>
    <t>AYV.PA</t>
  </si>
  <si>
    <t>BICP.PA</t>
  </si>
  <si>
    <t>BIOX.PA</t>
  </si>
  <si>
    <t>BNPP.PA</t>
  </si>
  <si>
    <t>BOLL.PA</t>
  </si>
  <si>
    <t>BOUY.PA</t>
  </si>
  <si>
    <t>BVI.PA</t>
  </si>
  <si>
    <t>CAPP.PA</t>
  </si>
  <si>
    <t>CARM.PA</t>
  </si>
  <si>
    <t>CARR.PA</t>
  </si>
  <si>
    <t>CLARI.PA</t>
  </si>
  <si>
    <t>COFA.PA</t>
  </si>
  <si>
    <t>CVO.PA</t>
  </si>
  <si>
    <t>CAGR.PA</t>
  </si>
  <si>
    <t>DANO.PA</t>
  </si>
  <si>
    <t>AM.PA</t>
  </si>
  <si>
    <t>DAST.PA</t>
  </si>
  <si>
    <t>DBG.PA</t>
  </si>
  <si>
    <t>EDEN.PA</t>
  </si>
  <si>
    <t>FOUG.PA</t>
  </si>
  <si>
    <t>ELIS.PA</t>
  </si>
  <si>
    <t>EMEIS.PA</t>
  </si>
  <si>
    <t>ENGIE.PA</t>
  </si>
  <si>
    <t>ERMT.PA</t>
  </si>
  <si>
    <t>ESLX.PA</t>
  </si>
  <si>
    <t>EURA.PA</t>
  </si>
  <si>
    <t>EUFI.PA</t>
  </si>
  <si>
    <t>ENX.PA</t>
  </si>
  <si>
    <t>ETL.PA</t>
  </si>
  <si>
    <t>EXA.PA</t>
  </si>
  <si>
    <t>EXENS.PA</t>
  </si>
  <si>
    <t>FDJU.PA</t>
  </si>
  <si>
    <t>FRVIA.PA</t>
  </si>
  <si>
    <t>GFCP.PA</t>
  </si>
  <si>
    <t>GETP.PA</t>
  </si>
  <si>
    <t>GTT.PA</t>
  </si>
  <si>
    <t>HRMS.PA</t>
  </si>
  <si>
    <t>ICAD.PA</t>
  </si>
  <si>
    <t>IDLA.PA</t>
  </si>
  <si>
    <t>IMTP.PA</t>
  </si>
  <si>
    <t>IPAR.PA</t>
  </si>
  <si>
    <t>IPN.PA</t>
  </si>
  <si>
    <t>ISOS.PA</t>
  </si>
  <si>
    <t>JCDX.PA</t>
  </si>
  <si>
    <t>PRTP.PA</t>
  </si>
  <si>
    <t>LOIM.PA</t>
  </si>
  <si>
    <t>LEGD.PA</t>
  </si>
  <si>
    <t>OREP.PA</t>
  </si>
  <si>
    <t>LVMH.PA</t>
  </si>
  <si>
    <t>MERY.PA</t>
  </si>
  <si>
    <t>CBLP.PA</t>
  </si>
  <si>
    <t>MMTP.PA</t>
  </si>
  <si>
    <t>MICP.PA</t>
  </si>
  <si>
    <t>NEXS.PA</t>
  </si>
  <si>
    <t>NEXI.PA</t>
  </si>
  <si>
    <t>OPM.PA</t>
  </si>
  <si>
    <t>ORAN.PA</t>
  </si>
  <si>
    <t>PERP.PA</t>
  </si>
  <si>
    <t>PLNW.PA</t>
  </si>
  <si>
    <t>PLX.PA</t>
  </si>
  <si>
    <t>PUBP.PA</t>
  </si>
  <si>
    <t>RCOP.PA</t>
  </si>
  <si>
    <t>RENA.PA</t>
  </si>
  <si>
    <t>RXL.PA</t>
  </si>
  <si>
    <t>ROBF.PA</t>
  </si>
  <si>
    <t>RUBF.PA</t>
  </si>
  <si>
    <t>SEBF.PA</t>
  </si>
  <si>
    <t>SAF.PA</t>
  </si>
  <si>
    <t>SGOB.PA</t>
  </si>
  <si>
    <t>SASY.PA</t>
  </si>
  <si>
    <t>STDM.PA</t>
  </si>
  <si>
    <t>SCHN.PA</t>
  </si>
  <si>
    <t>SCOR.PA</t>
  </si>
  <si>
    <t>SESFd.PA</t>
  </si>
  <si>
    <t>SOGN.PA</t>
  </si>
  <si>
    <t>EXHO.PA</t>
  </si>
  <si>
    <t>SOIT.PA</t>
  </si>
  <si>
    <t>SOLB.BR</t>
  </si>
  <si>
    <t>SOPR.PA</t>
  </si>
  <si>
    <t>SPIE.PA</t>
  </si>
  <si>
    <t>STLAM.MI</t>
  </si>
  <si>
    <t>STMPA.PA</t>
  </si>
  <si>
    <t>TE.PA</t>
  </si>
  <si>
    <t>TEPRF.PA</t>
  </si>
  <si>
    <t>TFFP.PA</t>
  </si>
  <si>
    <t>TCFP.PA</t>
  </si>
  <si>
    <t>TTEF.PA</t>
  </si>
  <si>
    <t>TRIA.PA</t>
  </si>
  <si>
    <t>UBIP.PA</t>
  </si>
  <si>
    <t>URW.PA</t>
  </si>
  <si>
    <t>VLOF.PA</t>
  </si>
  <si>
    <t>VLLP.PA</t>
  </si>
  <si>
    <t>VLS.PA</t>
  </si>
  <si>
    <t>VIE.PA</t>
  </si>
  <si>
    <t>VRLA.PA</t>
  </si>
  <si>
    <t>VCTP.PA</t>
  </si>
  <si>
    <t>SGEF.PA</t>
  </si>
  <si>
    <t>VIRB.PA</t>
  </si>
  <si>
    <t>VIRI.PA</t>
  </si>
  <si>
    <t>VIV.PA</t>
  </si>
  <si>
    <t>VU.PA</t>
  </si>
  <si>
    <t>MWDP.PA</t>
  </si>
  <si>
    <t>WLN.PA</t>
  </si>
  <si>
    <t>Not Applicable</t>
  </si>
  <si>
    <t>Not Collected</t>
  </si>
  <si>
    <t>Green</t>
  </si>
  <si>
    <t>Amber</t>
  </si>
  <si>
    <t>Not Disclosed</t>
  </si>
  <si>
    <t>Services</t>
  </si>
  <si>
    <t>Production</t>
  </si>
  <si>
    <t>exclude_TrustMetric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</si>
  <si>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</si>
  <si>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</si>
  <si>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</si>
  <si>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</si>
  <si>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</si>
  <si>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</si>
  <si>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</si>
  <si>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</si>
  <si>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exclude_ThermalPower</t>
  </si>
  <si>
    <t>exclude_ShaleOilGas</t>
  </si>
  <si>
    <t>exclude_CarbonBudget</t>
  </si>
  <si>
    <t>CarbonBudget</t>
  </si>
  <si>
    <t>Included</t>
  </si>
  <si>
    <t>TrustMetric</t>
  </si>
  <si>
    <t>IncendiaryWeapons</t>
  </si>
  <si>
    <t>ThermalPower</t>
  </si>
  <si>
    <t>TrustMetric; APMines; BiologicalWeapons; ChemicalWeapons; ClusterMunitions; DepletedUranium; IncendiaryWeapons; NuclearWeaponsNonNPT; WhitePhosphorus; CarbonBudget</t>
  </si>
  <si>
    <t>ShaleOilGas</t>
  </si>
  <si>
    <t>Yes</t>
  </si>
  <si>
    <t>No</t>
  </si>
  <si>
    <t>FFMC_MR</t>
  </si>
  <si>
    <t>Selection Carbon Budget Rank</t>
  </si>
  <si>
    <t>FFMC Rank</t>
  </si>
  <si>
    <t>Symbol</t>
  </si>
  <si>
    <t>FFMC</t>
  </si>
  <si>
    <t>Initial Weight</t>
  </si>
  <si>
    <t>Current Weight</t>
  </si>
  <si>
    <t>Is Capped</t>
  </si>
  <si>
    <t>Unrounded NOSH</t>
  </si>
  <si>
    <t>Rounded NOSH</t>
  </si>
  <si>
    <t>Currency (Local)</t>
  </si>
  <si>
    <t>STLAM.PA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</si>
</sst>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09\77)%20Euronext%20France%20Climate%20Screened\202509%20FCLSP.xlsm" TargetMode="External"/><Relationship Id="rId1" Type="http://schemas.openxmlformats.org/officeDocument/2006/relationships/externalLinkPath" Target="file:///V:\PM-Indices-IndexOperations\Review%20Files\202509\77)%20Euronext%20France%20Climate%20Screened\202509%20FCLSP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 sheet"/>
      <sheetName val="Universe input"/>
      <sheetName val="Free Float"/>
      <sheetName val="Master Report"/>
      <sheetName val="Oekom Trust&amp;Carbon Score"/>
      <sheetName val="EOD AD stock"/>
      <sheetName val="EOD AD index"/>
      <sheetName val="Consolidated"/>
      <sheetName val="Ranking"/>
      <sheetName val="FCLSP1"/>
      <sheetName val="FCLSP"/>
      <sheetName val="FCLSP+"/>
      <sheetName val="FCLSP-"/>
      <sheetName val="Extra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0">
          <cell r="C10" t="str">
            <v>FR0010340141</v>
          </cell>
          <cell r="M10">
            <v>3360702043.9200006</v>
          </cell>
        </row>
        <row r="11">
          <cell r="C11" t="str">
            <v>FR001400J770</v>
          </cell>
          <cell r="M11">
            <v>1764631055.2695003</v>
          </cell>
        </row>
        <row r="12">
          <cell r="C12" t="str">
            <v>NL0000235190</v>
          </cell>
          <cell r="M12">
            <v>114635526093.26999</v>
          </cell>
        </row>
        <row r="13">
          <cell r="C13" t="str">
            <v>FR0000071946</v>
          </cell>
          <cell r="M13">
            <v>1961983922.7450004</v>
          </cell>
        </row>
        <row r="14">
          <cell r="C14" t="str">
            <v>FR0004125920</v>
          </cell>
          <cell r="M14">
            <v>3882424051.8000007</v>
          </cell>
        </row>
        <row r="15">
          <cell r="C15" t="str">
            <v>LU0569974404</v>
          </cell>
          <cell r="M15">
            <v>1175051455.9200003</v>
          </cell>
        </row>
        <row r="16">
          <cell r="C16" t="str">
            <v>FR001400X2S4</v>
          </cell>
          <cell r="M16">
            <v>873746524.79999995</v>
          </cell>
        </row>
        <row r="17">
          <cell r="C17" t="str">
            <v>FR0000120628</v>
          </cell>
          <cell r="M17">
            <v>73166679094.64502</v>
          </cell>
        </row>
        <row r="18">
          <cell r="C18" t="str">
            <v>FR0013258662</v>
          </cell>
          <cell r="M18">
            <v>2896533197.4740005</v>
          </cell>
        </row>
        <row r="19">
          <cell r="C19" t="str">
            <v>FR0000120966</v>
          </cell>
          <cell r="M19">
            <v>890692866.80000007</v>
          </cell>
        </row>
        <row r="20">
          <cell r="C20" t="str">
            <v>FR0013280286</v>
          </cell>
          <cell r="M20">
            <v>5368864939.2000008</v>
          </cell>
        </row>
        <row r="21">
          <cell r="C21" t="str">
            <v>FR0000131104</v>
          </cell>
          <cell r="M21">
            <v>85049966781.916519</v>
          </cell>
        </row>
        <row r="22">
          <cell r="C22" t="str">
            <v>FR0000125338</v>
          </cell>
          <cell r="M22">
            <v>17921660360.567501</v>
          </cell>
        </row>
        <row r="23">
          <cell r="C23" t="str">
            <v>FR0000120172</v>
          </cell>
          <cell r="M23">
            <v>7535445550.6260004</v>
          </cell>
        </row>
        <row r="24">
          <cell r="C24" t="str">
            <v>FR0010667147</v>
          </cell>
          <cell r="M24">
            <v>1514037573.0480001</v>
          </cell>
        </row>
        <row r="25">
          <cell r="C25" t="str">
            <v>FR0000120644</v>
          </cell>
          <cell r="M25">
            <v>48083283087.377998</v>
          </cell>
        </row>
        <row r="26">
          <cell r="C26" t="str">
            <v>FR0014003TT8</v>
          </cell>
          <cell r="M26">
            <v>18411281032.32</v>
          </cell>
        </row>
        <row r="27">
          <cell r="C27" t="str">
            <v>FR0011950732</v>
          </cell>
          <cell r="M27">
            <v>320058102.958</v>
          </cell>
        </row>
        <row r="28">
          <cell r="C28" t="str">
            <v>NL0006294274</v>
          </cell>
          <cell r="M28">
            <v>10387800614.400002</v>
          </cell>
        </row>
        <row r="29">
          <cell r="C29" t="str">
            <v>FR0000121147</v>
          </cell>
          <cell r="M29">
            <v>1868751849.5450001</v>
          </cell>
        </row>
        <row r="30">
          <cell r="C30" t="str">
            <v>FR0011726835</v>
          </cell>
          <cell r="M30">
            <v>5823778426.8000002</v>
          </cell>
        </row>
        <row r="31">
          <cell r="C31" t="str">
            <v>FR0000035081</v>
          </cell>
          <cell r="M31">
            <v>640980054.36000001</v>
          </cell>
        </row>
        <row r="32">
          <cell r="C32" t="str">
            <v>FR0004024222</v>
          </cell>
          <cell r="M32">
            <v>728934653.39400017</v>
          </cell>
        </row>
        <row r="33">
          <cell r="C33" t="str">
            <v>FR0010259150</v>
          </cell>
          <cell r="M33">
            <v>3915814654.7199998</v>
          </cell>
        </row>
        <row r="34">
          <cell r="C34" t="str">
            <v>FR0000120321</v>
          </cell>
          <cell r="M34">
            <v>90542193264.247513</v>
          </cell>
        </row>
        <row r="35">
          <cell r="C35" t="str">
            <v>FR0010241638</v>
          </cell>
          <cell r="M35">
            <v>1013974210.8000001</v>
          </cell>
        </row>
        <row r="36">
          <cell r="C36" t="str">
            <v>FR0000039620</v>
          </cell>
          <cell r="M36">
            <v>496058008.28000003</v>
          </cell>
        </row>
        <row r="37">
          <cell r="C37" t="str">
            <v>FR0000044448</v>
          </cell>
          <cell r="M37">
            <v>4685940726.4800005</v>
          </cell>
        </row>
        <row r="38">
          <cell r="C38" t="str">
            <v>FR0000124570</v>
          </cell>
          <cell r="M38">
            <v>748915195.60000002</v>
          </cell>
        </row>
        <row r="39">
          <cell r="C39" t="str">
            <v>FR0000133308</v>
          </cell>
          <cell r="M39">
            <v>23635932910.414501</v>
          </cell>
        </row>
        <row r="40">
          <cell r="C40" t="str">
            <v>FR0000120693</v>
          </cell>
          <cell r="M40">
            <v>18005966062.320004</v>
          </cell>
        </row>
        <row r="41">
          <cell r="C41" t="str">
            <v>FR0000130577</v>
          </cell>
          <cell r="M41">
            <v>19994507056.920002</v>
          </cell>
        </row>
        <row r="42">
          <cell r="C42" t="str">
            <v>FR0000130395</v>
          </cell>
          <cell r="M42">
            <v>1082534679.414</v>
          </cell>
        </row>
        <row r="43">
          <cell r="C43" t="str">
            <v>FR0000131906</v>
          </cell>
          <cell r="M43">
            <v>6721915376.4619999</v>
          </cell>
        </row>
        <row r="44">
          <cell r="C44" t="str">
            <v>FR0010451203</v>
          </cell>
          <cell r="M44">
            <v>6282011773.6424999</v>
          </cell>
        </row>
        <row r="45">
          <cell r="C45" t="str">
            <v>FR0013269123</v>
          </cell>
          <cell r="M45">
            <v>2543526509.9840002</v>
          </cell>
        </row>
        <row r="46">
          <cell r="C46" t="str">
            <v>FR0000121709</v>
          </cell>
          <cell r="M46">
            <v>1813972100.6000001</v>
          </cell>
        </row>
        <row r="47">
          <cell r="C47" t="str">
            <v>FR0000073272</v>
          </cell>
          <cell r="M47">
            <v>102192888962.01001</v>
          </cell>
        </row>
        <row r="48">
          <cell r="C48" t="str">
            <v>FR0000125007</v>
          </cell>
          <cell r="M48">
            <v>41879429365.283997</v>
          </cell>
        </row>
        <row r="49">
          <cell r="C49" t="str">
            <v>FR0000120578</v>
          </cell>
          <cell r="M49">
            <v>91934971139.754013</v>
          </cell>
        </row>
        <row r="50">
          <cell r="C50" t="str">
            <v>FR0013154002</v>
          </cell>
          <cell r="M50">
            <v>5118605998.9500017</v>
          </cell>
        </row>
        <row r="51">
          <cell r="C51" t="str">
            <v>FR0000121972</v>
          </cell>
          <cell r="M51">
            <v>132103342996.8</v>
          </cell>
        </row>
        <row r="52">
          <cell r="C52" t="str">
            <v>FR0010411983</v>
          </cell>
          <cell r="M52">
            <v>4244462478.4800005</v>
          </cell>
        </row>
        <row r="53">
          <cell r="C53" t="str">
            <v>FR0000130809</v>
          </cell>
          <cell r="M53">
            <v>40110151824.467995</v>
          </cell>
        </row>
        <row r="54">
          <cell r="C54" t="str">
            <v>FR0000121220</v>
          </cell>
          <cell r="M54">
            <v>4229374796.3775005</v>
          </cell>
        </row>
        <row r="55">
          <cell r="C55" t="str">
            <v>FR0013227113</v>
          </cell>
          <cell r="M55">
            <v>799540307.2650001</v>
          </cell>
        </row>
        <row r="56">
          <cell r="C56" t="str">
            <v>BE0003470755</v>
          </cell>
          <cell r="M56">
            <v>1889788149.1840003</v>
          </cell>
        </row>
        <row r="57">
          <cell r="C57" t="str">
            <v>FR0000050809</v>
          </cell>
          <cell r="M57">
            <v>2301342512</v>
          </cell>
        </row>
        <row r="58">
          <cell r="C58" t="str">
            <v>FR0012757854</v>
          </cell>
          <cell r="M58">
            <v>7206319986.2639999</v>
          </cell>
        </row>
        <row r="59">
          <cell r="C59" t="str">
            <v>NL00150001Q9</v>
          </cell>
          <cell r="M59">
            <v>16511963442.250502</v>
          </cell>
        </row>
        <row r="60">
          <cell r="C60" t="str">
            <v>NL0000226223</v>
          </cell>
          <cell r="M60">
            <v>14582333283.840002</v>
          </cell>
        </row>
        <row r="61">
          <cell r="C61" t="str">
            <v>NL0014559478</v>
          </cell>
          <cell r="M61">
            <v>5530631841.54</v>
          </cell>
        </row>
        <row r="62">
          <cell r="C62" t="str">
            <v>FR0000051807</v>
          </cell>
          <cell r="M62">
            <v>3592581648.73</v>
          </cell>
        </row>
        <row r="63">
          <cell r="C63" t="str">
            <v>FR0013326246</v>
          </cell>
          <cell r="M63">
            <v>10855944880.422001</v>
          </cell>
        </row>
        <row r="64">
          <cell r="C64" t="str">
            <v>FR0013176526</v>
          </cell>
          <cell r="M64">
            <v>2320593418.9439998</v>
          </cell>
        </row>
        <row r="65">
          <cell r="C65" t="str">
            <v>FR0000124141</v>
          </cell>
          <cell r="M65">
            <v>19185418421.441998</v>
          </cell>
        </row>
        <row r="66">
          <cell r="C66" t="str">
            <v>FR0000031775</v>
          </cell>
          <cell r="M66">
            <v>944471500.00000012</v>
          </cell>
        </row>
        <row r="67">
          <cell r="C67" t="str">
            <v>FR0000125486</v>
          </cell>
          <cell r="M67">
            <v>61821762581.205002</v>
          </cell>
        </row>
        <row r="68">
          <cell r="C68" t="str">
            <v>FR0000127771</v>
          </cell>
          <cell r="M68">
            <v>2188061056.5625</v>
          </cell>
        </row>
        <row r="69">
          <cell r="C69" t="str">
            <v>FR0011981968</v>
          </cell>
          <cell r="M69">
            <v>558707009.91824996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"/>
  <sheetViews>
    <sheetView workbookViewId="0">
      <selection activeCell="G9" sqref="G9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67</v>
      </c>
      <c r="C2" t="s">
        <v>126</v>
      </c>
      <c r="D2">
        <v>98960602</v>
      </c>
      <c r="E2">
        <v>0.3</v>
      </c>
      <c r="F2">
        <v>1.015779925231165</v>
      </c>
      <c r="G2" t="s">
        <v>129</v>
      </c>
      <c r="H2" t="s">
        <v>130</v>
      </c>
      <c r="I2">
        <f>F2/MAX($F$2:$F$60)</f>
        <v>1</v>
      </c>
    </row>
    <row r="3" spans="1:9" x14ac:dyDescent="0.25">
      <c r="A3" t="s">
        <v>9</v>
      </c>
      <c r="B3" t="s">
        <v>68</v>
      </c>
      <c r="C3" t="s">
        <v>126</v>
      </c>
      <c r="D3">
        <v>262769869</v>
      </c>
      <c r="E3">
        <v>0.55000000000000004</v>
      </c>
      <c r="F3">
        <v>1.015779925231165</v>
      </c>
      <c r="G3" t="s">
        <v>129</v>
      </c>
      <c r="H3" t="s">
        <v>130</v>
      </c>
      <c r="I3">
        <f t="shared" ref="I3:I60" si="0">F3/MAX($F$2:$F$60)</f>
        <v>1</v>
      </c>
    </row>
    <row r="4" spans="1:9" x14ac:dyDescent="0.25">
      <c r="A4" t="s">
        <v>10</v>
      </c>
      <c r="B4" t="s">
        <v>69</v>
      </c>
      <c r="C4" t="s">
        <v>126</v>
      </c>
      <c r="D4">
        <v>792283683</v>
      </c>
      <c r="E4">
        <v>0.75</v>
      </c>
      <c r="F4">
        <v>1.013227407496043</v>
      </c>
      <c r="G4" t="s">
        <v>129</v>
      </c>
      <c r="H4" t="s">
        <v>130</v>
      </c>
      <c r="I4">
        <f t="shared" si="0"/>
        <v>0.99748713508534725</v>
      </c>
    </row>
    <row r="5" spans="1:9" x14ac:dyDescent="0.25">
      <c r="A5" t="s">
        <v>11</v>
      </c>
      <c r="B5" t="s">
        <v>70</v>
      </c>
      <c r="C5" t="s">
        <v>126</v>
      </c>
      <c r="D5">
        <v>35266866</v>
      </c>
      <c r="E5">
        <v>0.85000000000000009</v>
      </c>
      <c r="F5">
        <v>1.015779925231165</v>
      </c>
      <c r="G5" t="s">
        <v>129</v>
      </c>
      <c r="H5" t="s">
        <v>130</v>
      </c>
      <c r="I5">
        <f t="shared" si="0"/>
        <v>1</v>
      </c>
    </row>
    <row r="6" spans="1:9" x14ac:dyDescent="0.25">
      <c r="A6" t="s">
        <v>12</v>
      </c>
      <c r="B6" t="s">
        <v>71</v>
      </c>
      <c r="C6" t="s">
        <v>126</v>
      </c>
      <c r="D6">
        <v>205419262</v>
      </c>
      <c r="E6">
        <v>0.3</v>
      </c>
      <c r="F6">
        <v>1.015779925231165</v>
      </c>
      <c r="G6" t="s">
        <v>129</v>
      </c>
      <c r="H6" t="s">
        <v>130</v>
      </c>
      <c r="I6">
        <f t="shared" si="0"/>
        <v>1</v>
      </c>
    </row>
    <row r="7" spans="1:9" x14ac:dyDescent="0.25">
      <c r="A7" t="s">
        <v>13</v>
      </c>
      <c r="B7" t="s">
        <v>72</v>
      </c>
      <c r="C7" t="s">
        <v>127</v>
      </c>
      <c r="D7">
        <v>73184570</v>
      </c>
      <c r="E7">
        <v>0.60000000000000009</v>
      </c>
      <c r="F7">
        <v>1.015779925231165</v>
      </c>
      <c r="G7" t="s">
        <v>129</v>
      </c>
      <c r="H7" t="s">
        <v>130</v>
      </c>
      <c r="I7">
        <f t="shared" si="0"/>
        <v>1</v>
      </c>
    </row>
    <row r="8" spans="1:9" x14ac:dyDescent="0.25">
      <c r="A8" t="s">
        <v>14</v>
      </c>
      <c r="B8" t="s">
        <v>73</v>
      </c>
      <c r="C8" t="s">
        <v>126</v>
      </c>
      <c r="D8">
        <v>19035872</v>
      </c>
      <c r="E8">
        <v>1</v>
      </c>
      <c r="F8">
        <v>1.015779925231165</v>
      </c>
      <c r="G8" t="s">
        <v>129</v>
      </c>
      <c r="H8" t="s">
        <v>130</v>
      </c>
      <c r="I8">
        <f t="shared" si="0"/>
        <v>1</v>
      </c>
    </row>
    <row r="9" spans="1:9" x14ac:dyDescent="0.25">
      <c r="A9" t="s">
        <v>15</v>
      </c>
      <c r="B9" t="s">
        <v>74</v>
      </c>
      <c r="C9" t="s">
        <v>126</v>
      </c>
      <c r="D9">
        <v>2168222821</v>
      </c>
      <c r="E9">
        <v>0.85000000000000009</v>
      </c>
      <c r="F9">
        <v>1.015779925231165</v>
      </c>
      <c r="G9" t="s">
        <v>129</v>
      </c>
      <c r="H9" t="s">
        <v>130</v>
      </c>
      <c r="I9">
        <f t="shared" si="0"/>
        <v>1</v>
      </c>
    </row>
    <row r="10" spans="1:9" x14ac:dyDescent="0.25">
      <c r="A10" t="s">
        <v>16</v>
      </c>
      <c r="B10" t="s">
        <v>75</v>
      </c>
      <c r="C10" t="s">
        <v>126</v>
      </c>
      <c r="D10">
        <v>816960428</v>
      </c>
      <c r="E10">
        <v>0.35</v>
      </c>
      <c r="F10">
        <v>1.015779925231165</v>
      </c>
      <c r="G10" t="s">
        <v>129</v>
      </c>
      <c r="H10" t="s">
        <v>130</v>
      </c>
      <c r="I10">
        <f t="shared" si="0"/>
        <v>1</v>
      </c>
    </row>
    <row r="11" spans="1:9" x14ac:dyDescent="0.25">
      <c r="A11" t="s">
        <v>17</v>
      </c>
      <c r="B11" t="s">
        <v>76</v>
      </c>
      <c r="C11" t="s">
        <v>126</v>
      </c>
      <c r="D11">
        <v>41621162</v>
      </c>
      <c r="E11">
        <v>0.4</v>
      </c>
      <c r="F11">
        <v>1.015779925231165</v>
      </c>
      <c r="G11" t="s">
        <v>129</v>
      </c>
      <c r="H11" t="s">
        <v>130</v>
      </c>
      <c r="I11">
        <f t="shared" si="0"/>
        <v>1</v>
      </c>
    </row>
    <row r="12" spans="1:9" x14ac:dyDescent="0.25">
      <c r="A12" t="s">
        <v>18</v>
      </c>
      <c r="B12" t="s">
        <v>77</v>
      </c>
      <c r="C12" t="s">
        <v>126</v>
      </c>
      <c r="D12">
        <v>118361220</v>
      </c>
      <c r="E12">
        <v>0.4</v>
      </c>
      <c r="F12">
        <v>1.015779925231165</v>
      </c>
      <c r="G12" t="s">
        <v>129</v>
      </c>
      <c r="H12" t="s">
        <v>130</v>
      </c>
      <c r="I12">
        <f t="shared" si="0"/>
        <v>1</v>
      </c>
    </row>
    <row r="13" spans="1:9" x14ac:dyDescent="0.25">
      <c r="A13" t="s">
        <v>19</v>
      </c>
      <c r="B13" t="s">
        <v>78</v>
      </c>
      <c r="C13" t="s">
        <v>126</v>
      </c>
      <c r="D13">
        <v>1130810671</v>
      </c>
      <c r="E13">
        <v>0.95000000000000007</v>
      </c>
      <c r="F13">
        <v>1.015779925231165</v>
      </c>
      <c r="G13" t="s">
        <v>129</v>
      </c>
      <c r="H13" t="s">
        <v>130</v>
      </c>
      <c r="I13">
        <f t="shared" si="0"/>
        <v>1</v>
      </c>
    </row>
    <row r="14" spans="1:9" x14ac:dyDescent="0.25">
      <c r="A14" t="s">
        <v>20</v>
      </c>
      <c r="B14" t="s">
        <v>79</v>
      </c>
      <c r="C14" t="s">
        <v>126</v>
      </c>
      <c r="D14">
        <v>171347471</v>
      </c>
      <c r="E14">
        <v>0.85000000000000009</v>
      </c>
      <c r="F14">
        <v>1.015779925231165</v>
      </c>
      <c r="G14" t="s">
        <v>129</v>
      </c>
      <c r="H14" t="s">
        <v>130</v>
      </c>
      <c r="I14">
        <f t="shared" si="0"/>
        <v>1</v>
      </c>
    </row>
    <row r="15" spans="1:9" x14ac:dyDescent="0.25">
      <c r="A15" t="s">
        <v>21</v>
      </c>
      <c r="B15" t="s">
        <v>80</v>
      </c>
      <c r="C15" t="s">
        <v>126</v>
      </c>
      <c r="D15">
        <v>736314789</v>
      </c>
      <c r="E15">
        <v>0.85000000000000009</v>
      </c>
      <c r="F15">
        <v>1.015779925231165</v>
      </c>
      <c r="G15" t="s">
        <v>129</v>
      </c>
      <c r="H15" t="s">
        <v>130</v>
      </c>
      <c r="I15">
        <f t="shared" si="0"/>
        <v>1</v>
      </c>
    </row>
    <row r="16" spans="1:9" x14ac:dyDescent="0.25">
      <c r="A16" t="s">
        <v>22</v>
      </c>
      <c r="B16" t="s">
        <v>81</v>
      </c>
      <c r="C16" t="s">
        <v>126</v>
      </c>
      <c r="D16">
        <v>150179792</v>
      </c>
      <c r="E16">
        <v>0.65</v>
      </c>
      <c r="F16">
        <v>1.015779925231165</v>
      </c>
      <c r="G16" t="s">
        <v>129</v>
      </c>
      <c r="H16" t="s">
        <v>130</v>
      </c>
      <c r="I16">
        <f t="shared" si="0"/>
        <v>1</v>
      </c>
    </row>
    <row r="17" spans="1:9" x14ac:dyDescent="0.25">
      <c r="A17" t="s">
        <v>23</v>
      </c>
      <c r="B17" t="s">
        <v>82</v>
      </c>
      <c r="C17" t="s">
        <v>126</v>
      </c>
      <c r="D17">
        <v>681394483</v>
      </c>
      <c r="E17">
        <v>0.95000000000000007</v>
      </c>
      <c r="F17">
        <v>1.015779925231165</v>
      </c>
      <c r="G17" t="s">
        <v>129</v>
      </c>
      <c r="H17" t="s">
        <v>130</v>
      </c>
      <c r="I17">
        <f t="shared" si="0"/>
        <v>1</v>
      </c>
    </row>
    <row r="18" spans="1:9" x14ac:dyDescent="0.25">
      <c r="A18" t="s">
        <v>24</v>
      </c>
      <c r="B18" t="s">
        <v>83</v>
      </c>
      <c r="C18" t="s">
        <v>126</v>
      </c>
      <c r="D18">
        <v>1344379776</v>
      </c>
      <c r="E18">
        <v>0.5</v>
      </c>
      <c r="F18">
        <v>1.015779925231165</v>
      </c>
      <c r="G18" t="s">
        <v>129</v>
      </c>
      <c r="H18" t="s">
        <v>130</v>
      </c>
      <c r="I18">
        <f t="shared" si="0"/>
        <v>1</v>
      </c>
    </row>
    <row r="19" spans="1:9" x14ac:dyDescent="0.25">
      <c r="A19" t="s">
        <v>25</v>
      </c>
      <c r="B19" t="s">
        <v>84</v>
      </c>
      <c r="C19" t="s">
        <v>126</v>
      </c>
      <c r="D19">
        <v>101542528</v>
      </c>
      <c r="E19">
        <v>0.75</v>
      </c>
      <c r="F19">
        <v>1.015779925231165</v>
      </c>
      <c r="G19" t="s">
        <v>129</v>
      </c>
      <c r="H19" t="s">
        <v>130</v>
      </c>
      <c r="I19">
        <f t="shared" si="0"/>
        <v>1</v>
      </c>
    </row>
    <row r="20" spans="1:9" x14ac:dyDescent="0.25">
      <c r="A20" t="s">
        <v>26</v>
      </c>
      <c r="B20" t="s">
        <v>85</v>
      </c>
      <c r="C20" t="s">
        <v>126</v>
      </c>
      <c r="D20">
        <v>197089340</v>
      </c>
      <c r="E20">
        <v>0.85000000000000009</v>
      </c>
      <c r="F20">
        <v>1.015779925231165</v>
      </c>
      <c r="G20" t="s">
        <v>129</v>
      </c>
      <c r="H20" t="s">
        <v>130</v>
      </c>
      <c r="I20">
        <f t="shared" si="0"/>
        <v>1</v>
      </c>
    </row>
    <row r="21" spans="1:9" x14ac:dyDescent="0.25">
      <c r="A21" t="s">
        <v>27</v>
      </c>
      <c r="B21" t="s">
        <v>86</v>
      </c>
      <c r="C21" t="s">
        <v>126</v>
      </c>
      <c r="D21">
        <v>37117772</v>
      </c>
      <c r="E21">
        <v>1</v>
      </c>
      <c r="F21">
        <v>1.015779925231165</v>
      </c>
      <c r="G21" t="s">
        <v>129</v>
      </c>
      <c r="H21" t="s">
        <v>130</v>
      </c>
      <c r="I21">
        <f t="shared" si="0"/>
        <v>1</v>
      </c>
    </row>
    <row r="22" spans="1:9" x14ac:dyDescent="0.25">
      <c r="A22" t="s">
        <v>28</v>
      </c>
      <c r="B22" t="s">
        <v>87</v>
      </c>
      <c r="C22" t="s">
        <v>126</v>
      </c>
      <c r="D22">
        <v>76234545</v>
      </c>
      <c r="E22">
        <v>0.4</v>
      </c>
      <c r="F22">
        <v>1.015779925231165</v>
      </c>
      <c r="G22" t="s">
        <v>129</v>
      </c>
      <c r="H22" t="s">
        <v>130</v>
      </c>
      <c r="I22">
        <f t="shared" si="0"/>
        <v>1</v>
      </c>
    </row>
    <row r="23" spans="1:9" x14ac:dyDescent="0.25">
      <c r="A23" t="s">
        <v>29</v>
      </c>
      <c r="B23" t="s">
        <v>88</v>
      </c>
      <c r="C23" t="s">
        <v>126</v>
      </c>
      <c r="D23">
        <v>83727849</v>
      </c>
      <c r="E23">
        <v>0.3</v>
      </c>
      <c r="F23">
        <v>1.015779925231165</v>
      </c>
      <c r="G23" t="s">
        <v>129</v>
      </c>
      <c r="H23" t="s">
        <v>130</v>
      </c>
      <c r="I23">
        <f t="shared" si="0"/>
        <v>1</v>
      </c>
    </row>
    <row r="24" spans="1:9" x14ac:dyDescent="0.25">
      <c r="A24" t="s">
        <v>30</v>
      </c>
      <c r="B24" t="s">
        <v>89</v>
      </c>
      <c r="C24" t="s">
        <v>126</v>
      </c>
      <c r="D24">
        <v>83814526</v>
      </c>
      <c r="E24">
        <v>0.4</v>
      </c>
      <c r="F24">
        <v>1.015779925231165</v>
      </c>
      <c r="G24" t="s">
        <v>129</v>
      </c>
      <c r="H24" t="s">
        <v>130</v>
      </c>
      <c r="I24">
        <f t="shared" si="0"/>
        <v>1</v>
      </c>
    </row>
    <row r="25" spans="1:9" x14ac:dyDescent="0.25">
      <c r="A25" t="s">
        <v>31</v>
      </c>
      <c r="B25" t="s">
        <v>90</v>
      </c>
      <c r="C25" t="s">
        <v>126</v>
      </c>
      <c r="D25">
        <v>533204913</v>
      </c>
      <c r="E25">
        <v>0.45</v>
      </c>
      <c r="F25">
        <v>1.015779925231165</v>
      </c>
      <c r="G25" t="s">
        <v>129</v>
      </c>
      <c r="H25" t="s">
        <v>130</v>
      </c>
      <c r="I25">
        <f t="shared" si="0"/>
        <v>1</v>
      </c>
    </row>
    <row r="26" spans="1:9" x14ac:dyDescent="0.25">
      <c r="A26" t="s">
        <v>32</v>
      </c>
      <c r="B26" t="s">
        <v>91</v>
      </c>
      <c r="C26" t="s">
        <v>126</v>
      </c>
      <c r="D26">
        <v>93886501</v>
      </c>
      <c r="E26">
        <v>1</v>
      </c>
      <c r="F26">
        <v>1.015779925231165</v>
      </c>
      <c r="G26" t="s">
        <v>129</v>
      </c>
      <c r="H26" t="s">
        <v>130</v>
      </c>
      <c r="I26">
        <f t="shared" si="0"/>
        <v>1</v>
      </c>
    </row>
    <row r="27" spans="1:9" x14ac:dyDescent="0.25">
      <c r="A27" t="s">
        <v>33</v>
      </c>
      <c r="B27" t="s">
        <v>92</v>
      </c>
      <c r="C27" t="s">
        <v>126</v>
      </c>
      <c r="D27">
        <v>24418312</v>
      </c>
      <c r="E27">
        <v>0.85000000000000009</v>
      </c>
      <c r="F27">
        <v>1.015779925231165</v>
      </c>
      <c r="G27" t="s">
        <v>129</v>
      </c>
      <c r="H27" t="s">
        <v>130</v>
      </c>
      <c r="I27">
        <f t="shared" si="0"/>
        <v>1</v>
      </c>
    </row>
    <row r="28" spans="1:9" x14ac:dyDescent="0.25">
      <c r="A28" t="s">
        <v>34</v>
      </c>
      <c r="B28" t="s">
        <v>93</v>
      </c>
      <c r="C28" t="s">
        <v>126</v>
      </c>
      <c r="D28">
        <v>43744779</v>
      </c>
      <c r="E28">
        <v>0.8</v>
      </c>
      <c r="F28">
        <v>1.015779925231165</v>
      </c>
      <c r="G28" t="s">
        <v>129</v>
      </c>
      <c r="H28" t="s">
        <v>130</v>
      </c>
      <c r="I28">
        <f t="shared" si="0"/>
        <v>1</v>
      </c>
    </row>
    <row r="29" spans="1:9" x14ac:dyDescent="0.25">
      <c r="A29" t="s">
        <v>35</v>
      </c>
      <c r="B29" t="s">
        <v>94</v>
      </c>
      <c r="C29" t="s">
        <v>126</v>
      </c>
      <c r="D29">
        <v>144022153</v>
      </c>
      <c r="E29">
        <v>0.4</v>
      </c>
      <c r="F29">
        <v>1.015779925231165</v>
      </c>
      <c r="G29" t="s">
        <v>129</v>
      </c>
      <c r="H29" t="s">
        <v>130</v>
      </c>
      <c r="I29">
        <f t="shared" si="0"/>
        <v>1</v>
      </c>
    </row>
    <row r="30" spans="1:9" x14ac:dyDescent="0.25">
      <c r="A30" t="s">
        <v>36</v>
      </c>
      <c r="B30" t="s">
        <v>95</v>
      </c>
      <c r="C30" t="s">
        <v>126</v>
      </c>
      <c r="D30">
        <v>2660056599</v>
      </c>
      <c r="E30">
        <v>0.65</v>
      </c>
      <c r="F30">
        <v>1.015779925231165</v>
      </c>
      <c r="G30" t="s">
        <v>129</v>
      </c>
      <c r="H30" t="s">
        <v>130</v>
      </c>
      <c r="I30">
        <f t="shared" si="0"/>
        <v>1</v>
      </c>
    </row>
    <row r="31" spans="1:9" x14ac:dyDescent="0.25">
      <c r="A31" t="s">
        <v>37</v>
      </c>
      <c r="B31" t="s">
        <v>96</v>
      </c>
      <c r="C31" t="s">
        <v>126</v>
      </c>
      <c r="D31">
        <v>252269195</v>
      </c>
      <c r="E31">
        <v>0.8</v>
      </c>
      <c r="F31">
        <v>1.015779925231165</v>
      </c>
      <c r="G31" t="s">
        <v>129</v>
      </c>
      <c r="H31" t="s">
        <v>130</v>
      </c>
      <c r="I31">
        <f t="shared" si="0"/>
        <v>1</v>
      </c>
    </row>
    <row r="32" spans="1:9" x14ac:dyDescent="0.25">
      <c r="A32" t="s">
        <v>38</v>
      </c>
      <c r="B32" t="s">
        <v>97</v>
      </c>
      <c r="C32" t="s">
        <v>126</v>
      </c>
      <c r="D32">
        <v>254311860</v>
      </c>
      <c r="E32">
        <v>0.95000000000000007</v>
      </c>
      <c r="F32">
        <v>1.015779925231165</v>
      </c>
      <c r="G32" t="s">
        <v>129</v>
      </c>
      <c r="H32" t="s">
        <v>130</v>
      </c>
      <c r="I32">
        <f t="shared" si="0"/>
        <v>1</v>
      </c>
    </row>
    <row r="33" spans="1:9" x14ac:dyDescent="0.25">
      <c r="A33" t="s">
        <v>39</v>
      </c>
      <c r="B33" t="s">
        <v>98</v>
      </c>
      <c r="C33" t="s">
        <v>126</v>
      </c>
      <c r="D33">
        <v>52160291</v>
      </c>
      <c r="E33">
        <v>0.45</v>
      </c>
      <c r="F33">
        <v>1.015779925231165</v>
      </c>
      <c r="G33" t="s">
        <v>129</v>
      </c>
      <c r="H33" t="s">
        <v>130</v>
      </c>
      <c r="I33">
        <f t="shared" si="0"/>
        <v>1</v>
      </c>
    </row>
    <row r="34" spans="1:9" x14ac:dyDescent="0.25">
      <c r="A34" t="s">
        <v>40</v>
      </c>
      <c r="B34" t="s">
        <v>99</v>
      </c>
      <c r="C34" t="s">
        <v>126</v>
      </c>
      <c r="D34">
        <v>295722284</v>
      </c>
      <c r="E34">
        <v>0.65</v>
      </c>
      <c r="F34">
        <v>1.015779925231165</v>
      </c>
      <c r="G34" t="s">
        <v>129</v>
      </c>
      <c r="H34" t="s">
        <v>130</v>
      </c>
      <c r="I34">
        <f t="shared" si="0"/>
        <v>1</v>
      </c>
    </row>
    <row r="35" spans="1:9" x14ac:dyDescent="0.25">
      <c r="A35" t="s">
        <v>41</v>
      </c>
      <c r="B35" t="s">
        <v>100</v>
      </c>
      <c r="C35" t="s">
        <v>126</v>
      </c>
      <c r="D35">
        <v>299036619</v>
      </c>
      <c r="E35">
        <v>0.75</v>
      </c>
      <c r="F35">
        <v>1.015779925231165</v>
      </c>
      <c r="G35" t="s">
        <v>129</v>
      </c>
      <c r="H35" t="s">
        <v>130</v>
      </c>
      <c r="I35">
        <f t="shared" si="0"/>
        <v>1</v>
      </c>
    </row>
    <row r="36" spans="1:9" x14ac:dyDescent="0.25">
      <c r="A36" t="s">
        <v>42</v>
      </c>
      <c r="B36" t="s">
        <v>101</v>
      </c>
      <c r="C36" t="s">
        <v>126</v>
      </c>
      <c r="D36">
        <v>103361773</v>
      </c>
      <c r="E36">
        <v>0.8</v>
      </c>
      <c r="F36">
        <v>1.015779925231165</v>
      </c>
      <c r="G36" t="s">
        <v>129</v>
      </c>
      <c r="H36" t="s">
        <v>130</v>
      </c>
      <c r="I36">
        <f t="shared" si="0"/>
        <v>1</v>
      </c>
    </row>
    <row r="37" spans="1:9" x14ac:dyDescent="0.25">
      <c r="A37" t="s">
        <v>43</v>
      </c>
      <c r="B37" t="s">
        <v>102</v>
      </c>
      <c r="C37" t="s">
        <v>126</v>
      </c>
      <c r="D37">
        <v>55337770</v>
      </c>
      <c r="E37">
        <v>0.55000000000000004</v>
      </c>
      <c r="F37">
        <v>1.015779925231165</v>
      </c>
      <c r="G37" t="s">
        <v>129</v>
      </c>
      <c r="H37" t="s">
        <v>130</v>
      </c>
      <c r="I37">
        <f t="shared" si="0"/>
        <v>1</v>
      </c>
    </row>
    <row r="38" spans="1:9" x14ac:dyDescent="0.25">
      <c r="A38" t="s">
        <v>44</v>
      </c>
      <c r="B38" t="s">
        <v>103</v>
      </c>
      <c r="C38" t="s">
        <v>126</v>
      </c>
      <c r="D38">
        <v>423632587</v>
      </c>
      <c r="E38">
        <v>0.85000000000000009</v>
      </c>
      <c r="F38">
        <v>1.015779925231165</v>
      </c>
      <c r="G38" t="s">
        <v>129</v>
      </c>
      <c r="H38" t="s">
        <v>130</v>
      </c>
      <c r="I38">
        <f t="shared" si="0"/>
        <v>1</v>
      </c>
    </row>
    <row r="39" spans="1:9" x14ac:dyDescent="0.25">
      <c r="A39" t="s">
        <v>45</v>
      </c>
      <c r="B39" t="s">
        <v>104</v>
      </c>
      <c r="C39" t="s">
        <v>126</v>
      </c>
      <c r="D39">
        <v>499063699</v>
      </c>
      <c r="E39">
        <v>0.9</v>
      </c>
      <c r="F39">
        <v>1.015779925231165</v>
      </c>
      <c r="G39" t="s">
        <v>129</v>
      </c>
      <c r="H39" t="s">
        <v>130</v>
      </c>
      <c r="I39">
        <f t="shared" si="0"/>
        <v>1</v>
      </c>
    </row>
    <row r="40" spans="1:9" x14ac:dyDescent="0.25">
      <c r="A40" t="s">
        <v>46</v>
      </c>
      <c r="B40" t="s">
        <v>105</v>
      </c>
      <c r="C40" t="s">
        <v>126</v>
      </c>
      <c r="D40">
        <v>1227468973</v>
      </c>
      <c r="E40">
        <v>0.95000000000000007</v>
      </c>
      <c r="F40">
        <v>1.015779925231165</v>
      </c>
      <c r="G40" t="s">
        <v>129</v>
      </c>
      <c r="H40" t="s">
        <v>130</v>
      </c>
      <c r="I40">
        <f t="shared" si="0"/>
        <v>1</v>
      </c>
    </row>
    <row r="41" spans="1:9" x14ac:dyDescent="0.25">
      <c r="A41" t="s">
        <v>47</v>
      </c>
      <c r="B41" t="s">
        <v>106</v>
      </c>
      <c r="C41" t="s">
        <v>126</v>
      </c>
      <c r="D41">
        <v>97330405</v>
      </c>
      <c r="E41">
        <v>0.3</v>
      </c>
      <c r="F41">
        <v>1.015779925231165</v>
      </c>
      <c r="G41" t="s">
        <v>129</v>
      </c>
      <c r="H41" t="s">
        <v>130</v>
      </c>
      <c r="I41">
        <f t="shared" si="0"/>
        <v>1</v>
      </c>
    </row>
    <row r="42" spans="1:9" x14ac:dyDescent="0.25">
      <c r="A42" t="s">
        <v>48</v>
      </c>
      <c r="B42" t="s">
        <v>107</v>
      </c>
      <c r="C42" t="s">
        <v>126</v>
      </c>
      <c r="D42">
        <v>577122512</v>
      </c>
      <c r="E42">
        <v>1</v>
      </c>
      <c r="F42">
        <v>0.87924994383558108</v>
      </c>
      <c r="G42" t="s">
        <v>129</v>
      </c>
      <c r="H42" t="s">
        <v>130</v>
      </c>
      <c r="I42">
        <f t="shared" si="0"/>
        <v>0.86559098284550828</v>
      </c>
    </row>
    <row r="43" spans="1:9" x14ac:dyDescent="0.25">
      <c r="A43" t="s">
        <v>49</v>
      </c>
      <c r="B43" t="s">
        <v>108</v>
      </c>
      <c r="C43" t="s">
        <v>126</v>
      </c>
      <c r="D43">
        <v>179363695</v>
      </c>
      <c r="E43">
        <v>0.85000000000000009</v>
      </c>
      <c r="F43">
        <v>1.015779925231165</v>
      </c>
      <c r="G43" t="s">
        <v>129</v>
      </c>
      <c r="H43" t="s">
        <v>130</v>
      </c>
      <c r="I43">
        <f t="shared" si="0"/>
        <v>1</v>
      </c>
    </row>
    <row r="44" spans="1:9" x14ac:dyDescent="0.25">
      <c r="A44" t="s">
        <v>50</v>
      </c>
      <c r="B44" t="s">
        <v>109</v>
      </c>
      <c r="C44" t="s">
        <v>126</v>
      </c>
      <c r="D44">
        <v>785180327</v>
      </c>
      <c r="E44">
        <v>0.9</v>
      </c>
      <c r="F44">
        <v>1.015779925231165</v>
      </c>
      <c r="G44" t="s">
        <v>129</v>
      </c>
      <c r="H44" t="s">
        <v>130</v>
      </c>
      <c r="I44">
        <f t="shared" si="0"/>
        <v>1</v>
      </c>
    </row>
    <row r="45" spans="1:9" x14ac:dyDescent="0.25">
      <c r="A45" t="s">
        <v>51</v>
      </c>
      <c r="B45" t="s">
        <v>110</v>
      </c>
      <c r="C45" t="s">
        <v>126</v>
      </c>
      <c r="D45">
        <v>147454887</v>
      </c>
      <c r="E45">
        <v>0.55000000000000004</v>
      </c>
      <c r="F45">
        <v>1.015779925231165</v>
      </c>
      <c r="G45" t="s">
        <v>129</v>
      </c>
      <c r="H45" t="s">
        <v>130</v>
      </c>
      <c r="I45">
        <f t="shared" si="0"/>
        <v>1</v>
      </c>
    </row>
    <row r="46" spans="1:9" x14ac:dyDescent="0.25">
      <c r="A46" t="s">
        <v>52</v>
      </c>
      <c r="B46" t="s">
        <v>111</v>
      </c>
      <c r="C46" t="s">
        <v>126</v>
      </c>
      <c r="D46">
        <v>35772015</v>
      </c>
      <c r="E46">
        <v>0.70000000000000007</v>
      </c>
      <c r="F46">
        <v>1.015779925231165</v>
      </c>
      <c r="G46" t="s">
        <v>129</v>
      </c>
      <c r="H46" t="s">
        <v>130</v>
      </c>
      <c r="I46">
        <f t="shared" si="0"/>
        <v>1</v>
      </c>
    </row>
    <row r="47" spans="1:9" x14ac:dyDescent="0.25">
      <c r="A47" t="s">
        <v>53</v>
      </c>
      <c r="B47" t="s">
        <v>112</v>
      </c>
      <c r="C47" t="s">
        <v>128</v>
      </c>
      <c r="D47">
        <v>105876416</v>
      </c>
      <c r="E47">
        <v>0.65</v>
      </c>
      <c r="F47">
        <v>1.015779925231165</v>
      </c>
      <c r="G47" t="s">
        <v>129</v>
      </c>
      <c r="H47" t="s">
        <v>130</v>
      </c>
      <c r="I47">
        <f t="shared" si="0"/>
        <v>1</v>
      </c>
    </row>
    <row r="48" spans="1:9" x14ac:dyDescent="0.25">
      <c r="A48" t="s">
        <v>54</v>
      </c>
      <c r="B48" t="s">
        <v>113</v>
      </c>
      <c r="C48" t="s">
        <v>126</v>
      </c>
      <c r="D48">
        <v>20547701</v>
      </c>
      <c r="E48">
        <v>0.70000000000000007</v>
      </c>
      <c r="F48">
        <v>1.015779925231165</v>
      </c>
      <c r="G48" t="s">
        <v>129</v>
      </c>
      <c r="H48" t="s">
        <v>130</v>
      </c>
      <c r="I48">
        <f t="shared" si="0"/>
        <v>1</v>
      </c>
    </row>
    <row r="49" spans="1:9" x14ac:dyDescent="0.25">
      <c r="A49" t="s">
        <v>55</v>
      </c>
      <c r="B49" t="s">
        <v>114</v>
      </c>
      <c r="C49" t="s">
        <v>126</v>
      </c>
      <c r="D49">
        <v>168073514</v>
      </c>
      <c r="E49">
        <v>0.9</v>
      </c>
      <c r="F49">
        <v>1.015779925231165</v>
      </c>
      <c r="G49" t="s">
        <v>129</v>
      </c>
      <c r="H49" t="s">
        <v>130</v>
      </c>
      <c r="I49">
        <f t="shared" si="0"/>
        <v>1</v>
      </c>
    </row>
    <row r="50" spans="1:9" x14ac:dyDescent="0.25">
      <c r="A50" t="s">
        <v>56</v>
      </c>
      <c r="B50" t="s">
        <v>115</v>
      </c>
      <c r="C50" t="s">
        <v>126</v>
      </c>
      <c r="D50">
        <v>2896073567</v>
      </c>
      <c r="E50">
        <v>0.70000000000000007</v>
      </c>
      <c r="F50">
        <v>1.015779925231165</v>
      </c>
      <c r="G50" t="s">
        <v>129</v>
      </c>
      <c r="H50" t="s">
        <v>130</v>
      </c>
      <c r="I50">
        <f t="shared" si="0"/>
        <v>1</v>
      </c>
    </row>
    <row r="51" spans="1:9" x14ac:dyDescent="0.25">
      <c r="A51" t="s">
        <v>57</v>
      </c>
      <c r="B51" t="s">
        <v>116</v>
      </c>
      <c r="C51" t="s">
        <v>126</v>
      </c>
      <c r="D51">
        <v>911281920</v>
      </c>
      <c r="E51">
        <v>0.70000000000000007</v>
      </c>
      <c r="F51">
        <v>1.015779925231165</v>
      </c>
      <c r="G51" t="s">
        <v>129</v>
      </c>
      <c r="H51" t="s">
        <v>130</v>
      </c>
      <c r="I51">
        <f t="shared" si="0"/>
        <v>1</v>
      </c>
    </row>
    <row r="52" spans="1:9" x14ac:dyDescent="0.25">
      <c r="A52" t="s">
        <v>58</v>
      </c>
      <c r="B52" t="s">
        <v>117</v>
      </c>
      <c r="C52" t="s">
        <v>126</v>
      </c>
      <c r="D52">
        <v>178378708</v>
      </c>
      <c r="E52">
        <v>0.75</v>
      </c>
      <c r="F52">
        <v>1.015779925231165</v>
      </c>
      <c r="G52" t="s">
        <v>129</v>
      </c>
      <c r="H52" t="s">
        <v>130</v>
      </c>
      <c r="I52">
        <f t="shared" si="0"/>
        <v>1</v>
      </c>
    </row>
    <row r="53" spans="1:9" x14ac:dyDescent="0.25">
      <c r="A53" t="s">
        <v>59</v>
      </c>
      <c r="B53" t="s">
        <v>118</v>
      </c>
      <c r="C53" t="s">
        <v>126</v>
      </c>
      <c r="D53">
        <v>59874365</v>
      </c>
      <c r="E53">
        <v>0.95000000000000007</v>
      </c>
      <c r="F53">
        <v>1.015779925231165</v>
      </c>
      <c r="G53" t="s">
        <v>129</v>
      </c>
      <c r="H53" t="s">
        <v>130</v>
      </c>
      <c r="I53">
        <f t="shared" si="0"/>
        <v>1</v>
      </c>
    </row>
    <row r="54" spans="1:9" x14ac:dyDescent="0.25">
      <c r="A54" t="s">
        <v>60</v>
      </c>
      <c r="B54" t="s">
        <v>119</v>
      </c>
      <c r="C54" t="s">
        <v>126</v>
      </c>
      <c r="D54">
        <v>143244727</v>
      </c>
      <c r="E54">
        <v>0.85000000000000009</v>
      </c>
      <c r="F54">
        <v>1.015779925231165</v>
      </c>
      <c r="G54" t="s">
        <v>129</v>
      </c>
      <c r="H54" t="s">
        <v>130</v>
      </c>
      <c r="I54">
        <f t="shared" si="0"/>
        <v>1</v>
      </c>
    </row>
    <row r="55" spans="1:9" x14ac:dyDescent="0.25">
      <c r="A55" t="s">
        <v>61</v>
      </c>
      <c r="B55" t="s">
        <v>120</v>
      </c>
      <c r="C55" t="s">
        <v>126</v>
      </c>
      <c r="D55">
        <v>244633504</v>
      </c>
      <c r="E55">
        <v>0.9</v>
      </c>
      <c r="F55">
        <v>1.015779925231165</v>
      </c>
      <c r="G55" t="s">
        <v>129</v>
      </c>
      <c r="H55" t="s">
        <v>130</v>
      </c>
      <c r="I55">
        <f t="shared" si="0"/>
        <v>1</v>
      </c>
    </row>
    <row r="56" spans="1:9" x14ac:dyDescent="0.25">
      <c r="A56" t="s">
        <v>62</v>
      </c>
      <c r="B56" t="s">
        <v>121</v>
      </c>
      <c r="C56" t="s">
        <v>126</v>
      </c>
      <c r="D56">
        <v>741723437</v>
      </c>
      <c r="E56">
        <v>0.9</v>
      </c>
      <c r="F56">
        <v>1.015779925231165</v>
      </c>
      <c r="G56" t="s">
        <v>129</v>
      </c>
      <c r="H56" t="s">
        <v>130</v>
      </c>
      <c r="I56">
        <f t="shared" si="0"/>
        <v>1</v>
      </c>
    </row>
    <row r="57" spans="1:9" x14ac:dyDescent="0.25">
      <c r="A57" t="s">
        <v>63</v>
      </c>
      <c r="B57" t="s">
        <v>122</v>
      </c>
      <c r="C57" t="s">
        <v>126</v>
      </c>
      <c r="D57">
        <v>44900000</v>
      </c>
      <c r="E57">
        <v>0.35</v>
      </c>
      <c r="F57">
        <v>1.015779925231165</v>
      </c>
      <c r="G57" t="s">
        <v>129</v>
      </c>
      <c r="H57" t="s">
        <v>130</v>
      </c>
      <c r="I57">
        <f t="shared" si="0"/>
        <v>1</v>
      </c>
    </row>
    <row r="58" spans="1:9" x14ac:dyDescent="0.25">
      <c r="A58" t="s">
        <v>64</v>
      </c>
      <c r="B58" t="s">
        <v>123</v>
      </c>
      <c r="C58" t="s">
        <v>126</v>
      </c>
      <c r="D58">
        <v>582866757</v>
      </c>
      <c r="E58">
        <v>0.9</v>
      </c>
      <c r="F58">
        <v>1.015779925231165</v>
      </c>
      <c r="G58" t="s">
        <v>129</v>
      </c>
      <c r="H58" t="s">
        <v>130</v>
      </c>
      <c r="I58">
        <f t="shared" si="0"/>
        <v>1</v>
      </c>
    </row>
    <row r="59" spans="1:9" x14ac:dyDescent="0.25">
      <c r="A59" t="s">
        <v>65</v>
      </c>
      <c r="B59" t="s">
        <v>124</v>
      </c>
      <c r="C59" t="s">
        <v>126</v>
      </c>
      <c r="D59">
        <v>1029918125</v>
      </c>
      <c r="E59">
        <v>0.70000000000000007</v>
      </c>
      <c r="F59">
        <v>1.015779925231165</v>
      </c>
      <c r="G59" t="s">
        <v>129</v>
      </c>
      <c r="H59" t="s">
        <v>130</v>
      </c>
      <c r="I59">
        <f t="shared" si="0"/>
        <v>1</v>
      </c>
    </row>
    <row r="60" spans="1:9" x14ac:dyDescent="0.25">
      <c r="A60" t="s">
        <v>66</v>
      </c>
      <c r="B60" t="s">
        <v>125</v>
      </c>
      <c r="C60" t="s">
        <v>126</v>
      </c>
      <c r="D60">
        <v>283571633</v>
      </c>
      <c r="E60">
        <v>0.75</v>
      </c>
      <c r="F60">
        <v>1.015779925231165</v>
      </c>
      <c r="G60" t="s">
        <v>129</v>
      </c>
      <c r="H60" t="s">
        <v>130</v>
      </c>
      <c r="I60">
        <f t="shared" si="0"/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62</v>
      </c>
      <c r="B2" t="s">
        <v>121</v>
      </c>
      <c r="C2" t="s">
        <v>126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131</v>
      </c>
      <c r="C1" s="1" t="s">
        <v>2</v>
      </c>
    </row>
    <row r="2" spans="1:3" x14ac:dyDescent="0.25">
      <c r="A2" t="s">
        <v>132</v>
      </c>
      <c r="B2" t="s">
        <v>134</v>
      </c>
      <c r="C2" t="s">
        <v>126</v>
      </c>
    </row>
    <row r="3" spans="1:3" x14ac:dyDescent="0.25">
      <c r="A3" t="s">
        <v>133</v>
      </c>
      <c r="B3" t="s">
        <v>135</v>
      </c>
      <c r="C3" t="s">
        <v>126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A121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4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184</v>
      </c>
      <c r="BA1" s="1" t="s">
        <v>185</v>
      </c>
    </row>
    <row r="2" spans="1:53" x14ac:dyDescent="0.25">
      <c r="A2" t="s">
        <v>186</v>
      </c>
      <c r="B2" t="s">
        <v>246</v>
      </c>
      <c r="C2" t="s">
        <v>126</v>
      </c>
      <c r="D2">
        <v>75573508</v>
      </c>
      <c r="E2">
        <v>0.6</v>
      </c>
      <c r="F2">
        <v>1</v>
      </c>
      <c r="G2" t="s">
        <v>306</v>
      </c>
      <c r="H2">
        <v>1</v>
      </c>
      <c r="I2">
        <v>68.599999999999994</v>
      </c>
      <c r="J2">
        <v>66.5</v>
      </c>
      <c r="K2">
        <v>0.6</v>
      </c>
      <c r="L2">
        <v>66.5</v>
      </c>
      <c r="M2">
        <v>5.0999999999999996</v>
      </c>
      <c r="N2">
        <v>42.4</v>
      </c>
      <c r="O2" t="s">
        <v>424</v>
      </c>
      <c r="P2" t="s">
        <v>426</v>
      </c>
      <c r="Q2" t="s">
        <v>426</v>
      </c>
      <c r="R2" t="s">
        <v>426</v>
      </c>
      <c r="S2" t="s">
        <v>426</v>
      </c>
      <c r="T2" t="s">
        <v>426</v>
      </c>
      <c r="U2" t="s">
        <v>426</v>
      </c>
      <c r="V2" t="s">
        <v>426</v>
      </c>
      <c r="W2" t="s">
        <v>426</v>
      </c>
      <c r="X2" t="s">
        <v>426</v>
      </c>
      <c r="Y2">
        <v>0</v>
      </c>
      <c r="Z2">
        <v>0</v>
      </c>
      <c r="AB2">
        <v>0</v>
      </c>
      <c r="AC2">
        <v>0</v>
      </c>
      <c r="AE2">
        <v>0</v>
      </c>
      <c r="AF2">
        <v>0</v>
      </c>
      <c r="AG2">
        <v>0</v>
      </c>
      <c r="AH2">
        <v>0</v>
      </c>
      <c r="AI2">
        <v>113</v>
      </c>
      <c r="AX2" t="s">
        <v>442</v>
      </c>
      <c r="AZ2" t="s">
        <v>443</v>
      </c>
      <c r="BA2" t="s">
        <v>450</v>
      </c>
    </row>
    <row r="3" spans="1:53" x14ac:dyDescent="0.25">
      <c r="A3" t="s">
        <v>187</v>
      </c>
      <c r="B3" t="s">
        <v>247</v>
      </c>
      <c r="C3" t="s">
        <v>126</v>
      </c>
      <c r="D3">
        <v>244966893</v>
      </c>
      <c r="E3">
        <v>0.85000000000000009</v>
      </c>
      <c r="F3">
        <v>1</v>
      </c>
      <c r="G3" t="s">
        <v>307</v>
      </c>
      <c r="H3">
        <v>1</v>
      </c>
      <c r="I3">
        <v>40.9</v>
      </c>
      <c r="J3">
        <v>44.76</v>
      </c>
      <c r="K3">
        <v>0.85000000000000009</v>
      </c>
      <c r="L3">
        <v>44.76</v>
      </c>
      <c r="M3">
        <v>5.3</v>
      </c>
      <c r="N3">
        <v>63.31</v>
      </c>
      <c r="O3">
        <v>0.92</v>
      </c>
      <c r="P3" t="s">
        <v>426</v>
      </c>
      <c r="Q3" t="s">
        <v>426</v>
      </c>
      <c r="R3" t="s">
        <v>426</v>
      </c>
      <c r="S3" t="s">
        <v>426</v>
      </c>
      <c r="T3" t="s">
        <v>426</v>
      </c>
      <c r="U3" t="s">
        <v>426</v>
      </c>
      <c r="V3" t="s">
        <v>426</v>
      </c>
      <c r="W3" t="s">
        <v>426</v>
      </c>
      <c r="X3" t="s">
        <v>426</v>
      </c>
      <c r="Y3">
        <v>0</v>
      </c>
      <c r="Z3">
        <v>0</v>
      </c>
      <c r="AB3">
        <v>0</v>
      </c>
      <c r="AC3">
        <v>0</v>
      </c>
      <c r="AD3">
        <v>0.92</v>
      </c>
      <c r="AE3">
        <v>0</v>
      </c>
      <c r="AF3">
        <v>0</v>
      </c>
      <c r="AG3">
        <v>0</v>
      </c>
      <c r="AH3">
        <v>0</v>
      </c>
      <c r="AI3">
        <v>114</v>
      </c>
      <c r="AX3" t="s">
        <v>442</v>
      </c>
      <c r="AZ3" t="s">
        <v>443</v>
      </c>
      <c r="BA3" t="s">
        <v>450</v>
      </c>
    </row>
    <row r="4" spans="1:53" x14ac:dyDescent="0.25">
      <c r="A4" t="s">
        <v>8</v>
      </c>
      <c r="B4" t="s">
        <v>67</v>
      </c>
      <c r="C4" t="s">
        <v>126</v>
      </c>
      <c r="D4">
        <v>98960602</v>
      </c>
      <c r="E4">
        <v>0.3</v>
      </c>
      <c r="F4">
        <v>1</v>
      </c>
      <c r="G4" t="s">
        <v>308</v>
      </c>
      <c r="H4">
        <v>1</v>
      </c>
      <c r="I4">
        <v>113.2</v>
      </c>
      <c r="J4">
        <v>123.4</v>
      </c>
      <c r="K4">
        <v>0.3</v>
      </c>
      <c r="L4">
        <v>123.4</v>
      </c>
      <c r="M4">
        <v>1.21</v>
      </c>
      <c r="N4">
        <v>50.84</v>
      </c>
      <c r="O4">
        <v>0.88</v>
      </c>
      <c r="P4" t="s">
        <v>426</v>
      </c>
      <c r="Q4" t="s">
        <v>426</v>
      </c>
      <c r="R4" t="s">
        <v>426</v>
      </c>
      <c r="S4" t="s">
        <v>426</v>
      </c>
      <c r="T4" t="s">
        <v>426</v>
      </c>
      <c r="U4" t="s">
        <v>426</v>
      </c>
      <c r="V4" t="s">
        <v>426</v>
      </c>
      <c r="W4" t="s">
        <v>426</v>
      </c>
      <c r="X4" t="s">
        <v>426</v>
      </c>
      <c r="Y4">
        <v>0</v>
      </c>
      <c r="Z4">
        <v>0</v>
      </c>
      <c r="AB4">
        <v>0</v>
      </c>
      <c r="AC4">
        <v>0</v>
      </c>
      <c r="AD4">
        <v>0.88</v>
      </c>
      <c r="AE4">
        <v>0</v>
      </c>
      <c r="AF4">
        <v>0</v>
      </c>
      <c r="AG4">
        <v>0</v>
      </c>
      <c r="AH4">
        <v>0</v>
      </c>
      <c r="AI4">
        <v>53</v>
      </c>
      <c r="AZ4" t="s">
        <v>444</v>
      </c>
      <c r="BA4" t="s">
        <v>451</v>
      </c>
    </row>
    <row r="5" spans="1:53" x14ac:dyDescent="0.25">
      <c r="A5" t="s">
        <v>9</v>
      </c>
      <c r="B5" t="s">
        <v>68</v>
      </c>
      <c r="C5" t="s">
        <v>126</v>
      </c>
      <c r="D5">
        <v>262769869</v>
      </c>
      <c r="E5">
        <v>0.55000000000000004</v>
      </c>
      <c r="F5">
        <v>1</v>
      </c>
      <c r="G5" t="s">
        <v>309</v>
      </c>
      <c r="H5">
        <v>1</v>
      </c>
      <c r="I5">
        <v>12.21</v>
      </c>
      <c r="J5">
        <v>14.93</v>
      </c>
      <c r="K5">
        <v>0.55000000000000004</v>
      </c>
      <c r="L5">
        <v>14.93</v>
      </c>
      <c r="M5">
        <v>0.37</v>
      </c>
      <c r="N5">
        <v>50.8</v>
      </c>
      <c r="O5">
        <v>0.98</v>
      </c>
      <c r="P5" t="s">
        <v>426</v>
      </c>
      <c r="Q5" t="s">
        <v>426</v>
      </c>
      <c r="R5" t="s">
        <v>426</v>
      </c>
      <c r="S5" t="s">
        <v>426</v>
      </c>
      <c r="T5" t="s">
        <v>426</v>
      </c>
      <c r="U5" t="s">
        <v>426</v>
      </c>
      <c r="V5" t="s">
        <v>426</v>
      </c>
      <c r="W5" t="s">
        <v>426</v>
      </c>
      <c r="X5" t="s">
        <v>426</v>
      </c>
      <c r="Y5">
        <v>0</v>
      </c>
      <c r="Z5">
        <v>0</v>
      </c>
      <c r="AB5">
        <v>0</v>
      </c>
      <c r="AC5">
        <v>0</v>
      </c>
      <c r="AD5">
        <v>0.98</v>
      </c>
      <c r="AE5">
        <v>0</v>
      </c>
      <c r="AF5">
        <v>0</v>
      </c>
      <c r="AG5">
        <v>0</v>
      </c>
      <c r="AH5">
        <v>0</v>
      </c>
      <c r="AI5">
        <v>8</v>
      </c>
      <c r="AZ5" t="s">
        <v>444</v>
      </c>
      <c r="BA5" t="s">
        <v>451</v>
      </c>
    </row>
    <row r="6" spans="1:53" x14ac:dyDescent="0.25">
      <c r="A6" t="s">
        <v>188</v>
      </c>
      <c r="B6" t="s">
        <v>248</v>
      </c>
      <c r="C6" t="s">
        <v>126</v>
      </c>
      <c r="D6">
        <v>578479509</v>
      </c>
      <c r="E6">
        <v>1</v>
      </c>
      <c r="F6">
        <v>1</v>
      </c>
      <c r="G6" t="s">
        <v>310</v>
      </c>
      <c r="H6">
        <v>1</v>
      </c>
      <c r="I6">
        <v>174.48</v>
      </c>
      <c r="J6">
        <v>183.12</v>
      </c>
      <c r="K6">
        <v>1</v>
      </c>
      <c r="L6">
        <v>183.12</v>
      </c>
      <c r="M6">
        <v>1.65</v>
      </c>
      <c r="N6">
        <v>53.78</v>
      </c>
      <c r="O6">
        <v>0.99</v>
      </c>
      <c r="P6" t="s">
        <v>426</v>
      </c>
      <c r="Q6" t="s">
        <v>426</v>
      </c>
      <c r="R6" t="s">
        <v>426</v>
      </c>
      <c r="S6" t="s">
        <v>426</v>
      </c>
      <c r="T6" t="s">
        <v>426</v>
      </c>
      <c r="U6" t="s">
        <v>426</v>
      </c>
      <c r="V6" t="s">
        <v>426</v>
      </c>
      <c r="W6" t="s">
        <v>426</v>
      </c>
      <c r="X6" t="s">
        <v>426</v>
      </c>
      <c r="Y6">
        <v>0</v>
      </c>
      <c r="Z6">
        <v>2.4E-2</v>
      </c>
      <c r="AA6" t="s">
        <v>429</v>
      </c>
      <c r="AB6">
        <v>0</v>
      </c>
      <c r="AC6">
        <v>0</v>
      </c>
      <c r="AD6">
        <v>0.99</v>
      </c>
      <c r="AE6">
        <v>0</v>
      </c>
      <c r="AF6">
        <v>2.4E-2</v>
      </c>
      <c r="AG6">
        <v>0</v>
      </c>
      <c r="AH6">
        <v>0</v>
      </c>
      <c r="AI6">
        <v>70</v>
      </c>
      <c r="AZ6" t="s">
        <v>444</v>
      </c>
      <c r="BA6" t="s">
        <v>451</v>
      </c>
    </row>
    <row r="7" spans="1:53" x14ac:dyDescent="0.25">
      <c r="A7" t="s">
        <v>10</v>
      </c>
      <c r="B7" t="s">
        <v>69</v>
      </c>
      <c r="C7" t="s">
        <v>126</v>
      </c>
      <c r="D7">
        <v>792283683</v>
      </c>
      <c r="E7">
        <v>0.75</v>
      </c>
      <c r="F7">
        <v>1</v>
      </c>
      <c r="G7" t="s">
        <v>311</v>
      </c>
      <c r="H7">
        <v>1</v>
      </c>
      <c r="I7">
        <v>192.92</v>
      </c>
      <c r="J7">
        <v>180.72</v>
      </c>
      <c r="K7">
        <v>0.75</v>
      </c>
      <c r="L7">
        <v>180.72</v>
      </c>
      <c r="M7">
        <v>1.1000000000000001</v>
      </c>
      <c r="N7">
        <v>52.61</v>
      </c>
      <c r="O7">
        <v>0.96</v>
      </c>
      <c r="P7" t="s">
        <v>426</v>
      </c>
      <c r="Q7" t="s">
        <v>426</v>
      </c>
      <c r="R7" t="s">
        <v>426</v>
      </c>
      <c r="S7" t="s">
        <v>426</v>
      </c>
      <c r="T7" t="s">
        <v>426</v>
      </c>
      <c r="U7" t="s">
        <v>426</v>
      </c>
      <c r="V7" t="s">
        <v>426</v>
      </c>
      <c r="W7" t="s">
        <v>426</v>
      </c>
      <c r="X7" t="s">
        <v>426</v>
      </c>
      <c r="Y7">
        <v>0</v>
      </c>
      <c r="Z7">
        <v>0</v>
      </c>
      <c r="AB7">
        <v>0</v>
      </c>
      <c r="AC7">
        <v>0</v>
      </c>
      <c r="AD7">
        <v>0.96</v>
      </c>
      <c r="AE7">
        <v>0</v>
      </c>
      <c r="AF7">
        <v>0</v>
      </c>
      <c r="AG7">
        <v>0</v>
      </c>
      <c r="AH7">
        <v>0</v>
      </c>
      <c r="AI7">
        <v>50</v>
      </c>
      <c r="AZ7" t="s">
        <v>444</v>
      </c>
      <c r="BA7" t="s">
        <v>451</v>
      </c>
    </row>
    <row r="8" spans="1:53" x14ac:dyDescent="0.25">
      <c r="A8" t="s">
        <v>189</v>
      </c>
      <c r="B8" t="s">
        <v>249</v>
      </c>
      <c r="C8" t="s">
        <v>126</v>
      </c>
      <c r="D8">
        <v>462029966</v>
      </c>
      <c r="E8">
        <v>0.75</v>
      </c>
      <c r="F8">
        <v>1</v>
      </c>
      <c r="G8" t="s">
        <v>312</v>
      </c>
      <c r="H8">
        <v>1</v>
      </c>
      <c r="I8">
        <v>21.01</v>
      </c>
      <c r="J8">
        <v>21.89</v>
      </c>
      <c r="K8">
        <v>0.75</v>
      </c>
      <c r="L8">
        <v>21.89</v>
      </c>
      <c r="M8">
        <v>2.4500000000000002</v>
      </c>
      <c r="N8">
        <v>66.27</v>
      </c>
      <c r="O8">
        <v>0.92</v>
      </c>
      <c r="P8" t="s">
        <v>426</v>
      </c>
      <c r="Q8" t="s">
        <v>426</v>
      </c>
      <c r="R8" t="s">
        <v>426</v>
      </c>
      <c r="S8" t="s">
        <v>426</v>
      </c>
      <c r="T8" t="s">
        <v>426</v>
      </c>
      <c r="U8" t="s">
        <v>426</v>
      </c>
      <c r="V8" t="s">
        <v>426</v>
      </c>
      <c r="W8" t="s">
        <v>426</v>
      </c>
      <c r="X8" t="s">
        <v>426</v>
      </c>
      <c r="Y8">
        <v>0</v>
      </c>
      <c r="Z8">
        <v>0</v>
      </c>
      <c r="AB8">
        <v>0</v>
      </c>
      <c r="AC8">
        <v>0</v>
      </c>
      <c r="AD8">
        <v>0.92</v>
      </c>
      <c r="AE8">
        <v>0</v>
      </c>
      <c r="AF8">
        <v>0</v>
      </c>
      <c r="AG8">
        <v>0</v>
      </c>
      <c r="AH8">
        <v>0</v>
      </c>
      <c r="AI8">
        <v>94</v>
      </c>
      <c r="AZ8" t="s">
        <v>444</v>
      </c>
      <c r="BA8" t="s">
        <v>451</v>
      </c>
    </row>
    <row r="9" spans="1:53" x14ac:dyDescent="0.25">
      <c r="A9" t="s">
        <v>11</v>
      </c>
      <c r="B9" t="s">
        <v>70</v>
      </c>
      <c r="C9" t="s">
        <v>126</v>
      </c>
      <c r="D9">
        <v>35266866</v>
      </c>
      <c r="E9">
        <v>0.85000000000000009</v>
      </c>
      <c r="F9">
        <v>1</v>
      </c>
      <c r="G9" t="s">
        <v>313</v>
      </c>
      <c r="H9">
        <v>1</v>
      </c>
      <c r="I9">
        <v>65.45</v>
      </c>
      <c r="J9">
        <v>69.400000000000006</v>
      </c>
      <c r="K9">
        <v>0.85000000000000009</v>
      </c>
      <c r="L9">
        <v>69.400000000000006</v>
      </c>
      <c r="M9">
        <v>0.94</v>
      </c>
      <c r="N9">
        <v>57.71</v>
      </c>
      <c r="O9">
        <v>0.79</v>
      </c>
      <c r="P9" t="s">
        <v>426</v>
      </c>
      <c r="Q9" t="s">
        <v>426</v>
      </c>
      <c r="R9" t="s">
        <v>426</v>
      </c>
      <c r="S9" t="s">
        <v>426</v>
      </c>
      <c r="T9" t="s">
        <v>426</v>
      </c>
      <c r="U9" t="s">
        <v>426</v>
      </c>
      <c r="V9" t="s">
        <v>426</v>
      </c>
      <c r="W9" t="s">
        <v>426</v>
      </c>
      <c r="X9" t="s">
        <v>426</v>
      </c>
      <c r="Y9">
        <v>0</v>
      </c>
      <c r="Z9">
        <v>0</v>
      </c>
      <c r="AB9">
        <v>0</v>
      </c>
      <c r="AC9">
        <v>0</v>
      </c>
      <c r="AD9">
        <v>0.79</v>
      </c>
      <c r="AE9">
        <v>0</v>
      </c>
      <c r="AF9">
        <v>0</v>
      </c>
      <c r="AG9">
        <v>0</v>
      </c>
      <c r="AH9">
        <v>0</v>
      </c>
      <c r="AI9">
        <v>41</v>
      </c>
      <c r="AZ9" t="s">
        <v>444</v>
      </c>
      <c r="BA9" t="s">
        <v>451</v>
      </c>
    </row>
    <row r="10" spans="1:53" x14ac:dyDescent="0.25">
      <c r="A10" t="s">
        <v>12</v>
      </c>
      <c r="B10" t="s">
        <v>71</v>
      </c>
      <c r="C10" t="s">
        <v>126</v>
      </c>
      <c r="D10">
        <v>205419262</v>
      </c>
      <c r="E10">
        <v>0.3</v>
      </c>
      <c r="F10">
        <v>1</v>
      </c>
      <c r="G10" t="s">
        <v>314</v>
      </c>
      <c r="H10">
        <v>1</v>
      </c>
      <c r="I10">
        <v>63</v>
      </c>
      <c r="J10">
        <v>66.400000000000006</v>
      </c>
      <c r="K10">
        <v>0.3</v>
      </c>
      <c r="L10">
        <v>66.400000000000006</v>
      </c>
      <c r="M10">
        <v>0.51</v>
      </c>
      <c r="N10">
        <v>68.260000000000005</v>
      </c>
      <c r="O10">
        <v>0.64</v>
      </c>
      <c r="P10" t="s">
        <v>426</v>
      </c>
      <c r="Q10" t="s">
        <v>426</v>
      </c>
      <c r="R10" t="s">
        <v>426</v>
      </c>
      <c r="S10" t="s">
        <v>426</v>
      </c>
      <c r="T10" t="s">
        <v>426</v>
      </c>
      <c r="U10" t="s">
        <v>426</v>
      </c>
      <c r="V10" t="s">
        <v>426</v>
      </c>
      <c r="W10" t="s">
        <v>426</v>
      </c>
      <c r="X10" t="s">
        <v>426</v>
      </c>
      <c r="Y10">
        <v>0</v>
      </c>
      <c r="Z10">
        <v>0</v>
      </c>
      <c r="AB10">
        <v>0</v>
      </c>
      <c r="AC10">
        <v>0</v>
      </c>
      <c r="AD10">
        <v>0.64</v>
      </c>
      <c r="AE10">
        <v>0</v>
      </c>
      <c r="AF10">
        <v>0</v>
      </c>
      <c r="AG10">
        <v>0</v>
      </c>
      <c r="AH10">
        <v>0</v>
      </c>
      <c r="AI10">
        <v>20</v>
      </c>
      <c r="AZ10" t="s">
        <v>444</v>
      </c>
      <c r="BA10" t="s">
        <v>451</v>
      </c>
    </row>
    <row r="11" spans="1:53" x14ac:dyDescent="0.25">
      <c r="A11" t="s">
        <v>13</v>
      </c>
      <c r="B11" t="s">
        <v>72</v>
      </c>
      <c r="C11" t="s">
        <v>127</v>
      </c>
      <c r="D11">
        <v>73184570</v>
      </c>
      <c r="E11">
        <v>0.60000000000000009</v>
      </c>
      <c r="F11">
        <v>1</v>
      </c>
      <c r="G11" t="s">
        <v>315</v>
      </c>
      <c r="H11">
        <v>1</v>
      </c>
      <c r="I11">
        <v>26.76</v>
      </c>
      <c r="J11">
        <v>26.48</v>
      </c>
      <c r="K11">
        <v>0.60000000000000009</v>
      </c>
      <c r="L11">
        <v>26.48</v>
      </c>
      <c r="M11">
        <v>0.78</v>
      </c>
      <c r="N11">
        <v>55.47</v>
      </c>
      <c r="O11">
        <v>0.9</v>
      </c>
      <c r="P11" t="s">
        <v>426</v>
      </c>
      <c r="Q11" t="s">
        <v>426</v>
      </c>
      <c r="R11" t="s">
        <v>426</v>
      </c>
      <c r="S11" t="s">
        <v>426</v>
      </c>
      <c r="T11" t="s">
        <v>426</v>
      </c>
      <c r="U11" t="s">
        <v>426</v>
      </c>
      <c r="V11" t="s">
        <v>426</v>
      </c>
      <c r="W11" t="s">
        <v>426</v>
      </c>
      <c r="X11" t="s">
        <v>426</v>
      </c>
      <c r="Y11">
        <v>0</v>
      </c>
      <c r="Z11">
        <v>0</v>
      </c>
      <c r="AB11">
        <v>0</v>
      </c>
      <c r="AC11">
        <v>0</v>
      </c>
      <c r="AD11">
        <v>0.9</v>
      </c>
      <c r="AE11">
        <v>0</v>
      </c>
      <c r="AF11">
        <v>0</v>
      </c>
      <c r="AG11">
        <v>0</v>
      </c>
      <c r="AH11">
        <v>0</v>
      </c>
      <c r="AI11">
        <v>33</v>
      </c>
      <c r="AZ11" t="s">
        <v>444</v>
      </c>
      <c r="BA11" t="s">
        <v>451</v>
      </c>
    </row>
    <row r="12" spans="1:53" x14ac:dyDescent="0.25">
      <c r="A12" t="s">
        <v>190</v>
      </c>
      <c r="B12" t="s">
        <v>250</v>
      </c>
      <c r="C12" t="s">
        <v>127</v>
      </c>
      <c r="D12">
        <v>852809772</v>
      </c>
      <c r="E12">
        <v>0.5</v>
      </c>
      <c r="F12">
        <v>1</v>
      </c>
      <c r="G12" t="s">
        <v>316</v>
      </c>
      <c r="H12">
        <v>1</v>
      </c>
      <c r="I12">
        <v>29.4</v>
      </c>
      <c r="J12">
        <v>29.16</v>
      </c>
      <c r="K12">
        <v>0.5</v>
      </c>
      <c r="L12">
        <v>29.16</v>
      </c>
      <c r="M12">
        <v>3.83</v>
      </c>
      <c r="N12">
        <v>46.22</v>
      </c>
      <c r="O12">
        <v>0.97</v>
      </c>
      <c r="P12" t="s">
        <v>426</v>
      </c>
      <c r="Q12" t="s">
        <v>426</v>
      </c>
      <c r="R12" t="s">
        <v>426</v>
      </c>
      <c r="S12" t="s">
        <v>426</v>
      </c>
      <c r="T12" t="s">
        <v>426</v>
      </c>
      <c r="U12" t="s">
        <v>426</v>
      </c>
      <c r="V12" t="s">
        <v>426</v>
      </c>
      <c r="W12" t="s">
        <v>426</v>
      </c>
      <c r="X12" t="s">
        <v>426</v>
      </c>
      <c r="Y12">
        <v>0</v>
      </c>
      <c r="Z12">
        <v>3.8999999999999998E-3</v>
      </c>
      <c r="AB12">
        <v>0</v>
      </c>
      <c r="AC12">
        <v>0</v>
      </c>
      <c r="AD12">
        <v>0.97</v>
      </c>
      <c r="AE12">
        <v>0</v>
      </c>
      <c r="AF12">
        <v>3.8999999999999998E-3</v>
      </c>
      <c r="AG12">
        <v>0</v>
      </c>
      <c r="AH12">
        <v>0</v>
      </c>
      <c r="AI12">
        <v>110</v>
      </c>
      <c r="AX12" t="s">
        <v>442</v>
      </c>
      <c r="AZ12" t="s">
        <v>443</v>
      </c>
      <c r="BA12" t="s">
        <v>450</v>
      </c>
    </row>
    <row r="13" spans="1:53" x14ac:dyDescent="0.25">
      <c r="A13" t="s">
        <v>191</v>
      </c>
      <c r="B13" t="s">
        <v>251</v>
      </c>
      <c r="C13" t="s">
        <v>126</v>
      </c>
      <c r="D13">
        <v>25737689</v>
      </c>
      <c r="E13">
        <v>0.5</v>
      </c>
      <c r="F13">
        <v>1</v>
      </c>
      <c r="G13" t="s">
        <v>317</v>
      </c>
      <c r="H13">
        <v>1</v>
      </c>
      <c r="I13">
        <v>64.900000000000006</v>
      </c>
      <c r="J13">
        <v>68.8</v>
      </c>
      <c r="K13">
        <v>0.5</v>
      </c>
      <c r="L13">
        <v>68.8</v>
      </c>
      <c r="M13">
        <v>1.58</v>
      </c>
      <c r="N13">
        <v>53.98</v>
      </c>
      <c r="O13">
        <v>0.56999999999999995</v>
      </c>
      <c r="P13" t="s">
        <v>426</v>
      </c>
      <c r="Q13" t="s">
        <v>426</v>
      </c>
      <c r="R13" t="s">
        <v>426</v>
      </c>
      <c r="S13" t="s">
        <v>426</v>
      </c>
      <c r="T13" t="s">
        <v>426</v>
      </c>
      <c r="U13" t="s">
        <v>426</v>
      </c>
      <c r="V13" t="s">
        <v>426</v>
      </c>
      <c r="W13" t="s">
        <v>426</v>
      </c>
      <c r="X13" t="s">
        <v>426</v>
      </c>
      <c r="Y13">
        <v>0</v>
      </c>
      <c r="Z13">
        <v>0</v>
      </c>
      <c r="AB13">
        <v>0</v>
      </c>
      <c r="AC13">
        <v>0</v>
      </c>
      <c r="AD13">
        <v>0.56999999999999995</v>
      </c>
      <c r="AE13">
        <v>0</v>
      </c>
      <c r="AF13">
        <v>0</v>
      </c>
      <c r="AG13">
        <v>0</v>
      </c>
      <c r="AH13">
        <v>0</v>
      </c>
      <c r="AI13">
        <v>68</v>
      </c>
      <c r="AJ13" t="s">
        <v>431</v>
      </c>
      <c r="AZ13" t="s">
        <v>445</v>
      </c>
      <c r="BA13" t="s">
        <v>450</v>
      </c>
    </row>
    <row r="14" spans="1:53" x14ac:dyDescent="0.25">
      <c r="A14" t="s">
        <v>192</v>
      </c>
      <c r="B14" t="s">
        <v>252</v>
      </c>
      <c r="C14" t="s">
        <v>126</v>
      </c>
      <c r="D14">
        <v>76060831</v>
      </c>
      <c r="E14">
        <v>0.75</v>
      </c>
      <c r="F14">
        <v>1</v>
      </c>
      <c r="G14" t="s">
        <v>318</v>
      </c>
      <c r="H14">
        <v>1</v>
      </c>
      <c r="I14">
        <v>58.7</v>
      </c>
      <c r="J14">
        <v>64.2</v>
      </c>
      <c r="K14">
        <v>0.75</v>
      </c>
      <c r="L14">
        <v>64.2</v>
      </c>
      <c r="M14">
        <v>1.73</v>
      </c>
      <c r="N14">
        <v>56.24</v>
      </c>
      <c r="O14">
        <v>0.94</v>
      </c>
      <c r="P14" t="s">
        <v>426</v>
      </c>
      <c r="Q14" t="s">
        <v>426</v>
      </c>
      <c r="R14" t="s">
        <v>426</v>
      </c>
      <c r="S14" t="s">
        <v>426</v>
      </c>
      <c r="T14" t="s">
        <v>426</v>
      </c>
      <c r="U14" t="s">
        <v>426</v>
      </c>
      <c r="V14" t="s">
        <v>426</v>
      </c>
      <c r="W14" t="s">
        <v>426</v>
      </c>
      <c r="X14" t="s">
        <v>426</v>
      </c>
      <c r="Y14">
        <v>0</v>
      </c>
      <c r="Z14">
        <v>0</v>
      </c>
      <c r="AB14">
        <v>0</v>
      </c>
      <c r="AC14">
        <v>0</v>
      </c>
      <c r="AD14">
        <v>0.94</v>
      </c>
      <c r="AE14">
        <v>0</v>
      </c>
      <c r="AF14">
        <v>0</v>
      </c>
      <c r="AG14">
        <v>0</v>
      </c>
      <c r="AH14">
        <v>0</v>
      </c>
      <c r="AI14">
        <v>74</v>
      </c>
      <c r="AZ14" t="s">
        <v>444</v>
      </c>
      <c r="BA14" t="s">
        <v>451</v>
      </c>
    </row>
    <row r="15" spans="1:53" x14ac:dyDescent="0.25">
      <c r="A15" t="s">
        <v>14</v>
      </c>
      <c r="B15" t="s">
        <v>73</v>
      </c>
      <c r="C15" t="s">
        <v>126</v>
      </c>
      <c r="D15">
        <v>19035872</v>
      </c>
      <c r="E15">
        <v>1</v>
      </c>
      <c r="F15">
        <v>1</v>
      </c>
      <c r="G15" t="s">
        <v>319</v>
      </c>
      <c r="H15">
        <v>1</v>
      </c>
      <c r="I15">
        <v>45.9</v>
      </c>
      <c r="J15">
        <v>43.96</v>
      </c>
      <c r="K15">
        <v>1</v>
      </c>
      <c r="L15">
        <v>43.96</v>
      </c>
      <c r="M15">
        <v>0.33</v>
      </c>
      <c r="N15">
        <v>64.5</v>
      </c>
      <c r="O15">
        <v>0.87</v>
      </c>
      <c r="P15" t="s">
        <v>426</v>
      </c>
      <c r="Q15" t="s">
        <v>426</v>
      </c>
      <c r="R15" t="s">
        <v>426</v>
      </c>
      <c r="S15" t="s">
        <v>426</v>
      </c>
      <c r="T15" t="s">
        <v>426</v>
      </c>
      <c r="U15" t="s">
        <v>426</v>
      </c>
      <c r="V15" t="s">
        <v>426</v>
      </c>
      <c r="W15" t="s">
        <v>426</v>
      </c>
      <c r="X15" t="s">
        <v>426</v>
      </c>
      <c r="Y15">
        <v>0</v>
      </c>
      <c r="Z15">
        <v>0</v>
      </c>
      <c r="AB15">
        <v>0</v>
      </c>
      <c r="AC15">
        <v>0</v>
      </c>
      <c r="AD15">
        <v>0.87</v>
      </c>
      <c r="AE15">
        <v>0</v>
      </c>
      <c r="AF15">
        <v>0</v>
      </c>
      <c r="AG15">
        <v>0</v>
      </c>
      <c r="AH15">
        <v>0</v>
      </c>
      <c r="AI15">
        <v>5</v>
      </c>
      <c r="AZ15" t="s">
        <v>444</v>
      </c>
      <c r="BA15" t="s">
        <v>451</v>
      </c>
    </row>
    <row r="16" spans="1:53" x14ac:dyDescent="0.25">
      <c r="A16" t="s">
        <v>15</v>
      </c>
      <c r="B16" t="s">
        <v>74</v>
      </c>
      <c r="C16" t="s">
        <v>126</v>
      </c>
      <c r="D16">
        <v>2168222821</v>
      </c>
      <c r="E16">
        <v>0.85000000000000009</v>
      </c>
      <c r="F16">
        <v>1</v>
      </c>
      <c r="G16" t="s">
        <v>320</v>
      </c>
      <c r="H16">
        <v>1</v>
      </c>
      <c r="I16">
        <v>39.700000000000003</v>
      </c>
      <c r="J16">
        <v>42.59</v>
      </c>
      <c r="K16">
        <v>0.85000000000000009</v>
      </c>
      <c r="L16">
        <v>42.59</v>
      </c>
      <c r="M16">
        <v>0.28999999999999998</v>
      </c>
      <c r="N16">
        <v>59.15</v>
      </c>
      <c r="O16">
        <v>0.96</v>
      </c>
      <c r="P16" t="s">
        <v>426</v>
      </c>
      <c r="Q16" t="s">
        <v>426</v>
      </c>
      <c r="R16" t="s">
        <v>426</v>
      </c>
      <c r="S16" t="s">
        <v>426</v>
      </c>
      <c r="T16" t="s">
        <v>426</v>
      </c>
      <c r="U16" t="s">
        <v>426</v>
      </c>
      <c r="V16" t="s">
        <v>426</v>
      </c>
      <c r="W16" t="s">
        <v>426</v>
      </c>
      <c r="X16" t="s">
        <v>426</v>
      </c>
      <c r="Y16">
        <v>0</v>
      </c>
      <c r="Z16">
        <v>0</v>
      </c>
      <c r="AB16">
        <v>0</v>
      </c>
      <c r="AC16">
        <v>0</v>
      </c>
      <c r="AD16">
        <v>0.96</v>
      </c>
      <c r="AE16">
        <v>0</v>
      </c>
      <c r="AF16">
        <v>0</v>
      </c>
      <c r="AG16">
        <v>0</v>
      </c>
      <c r="AH16">
        <v>0</v>
      </c>
      <c r="AI16">
        <v>4</v>
      </c>
      <c r="AZ16" t="s">
        <v>444</v>
      </c>
      <c r="BA16" t="s">
        <v>451</v>
      </c>
    </row>
    <row r="17" spans="1:53" x14ac:dyDescent="0.25">
      <c r="A17" t="s">
        <v>16</v>
      </c>
      <c r="B17" t="s">
        <v>75</v>
      </c>
      <c r="C17" t="s">
        <v>126</v>
      </c>
      <c r="D17">
        <v>816960428</v>
      </c>
      <c r="E17">
        <v>0.35</v>
      </c>
      <c r="F17">
        <v>1</v>
      </c>
      <c r="G17" t="s">
        <v>321</v>
      </c>
      <c r="H17">
        <v>1</v>
      </c>
      <c r="I17">
        <v>10.130000000000001</v>
      </c>
      <c r="J17">
        <v>10.08</v>
      </c>
      <c r="K17">
        <v>0.35</v>
      </c>
      <c r="L17">
        <v>10.08</v>
      </c>
      <c r="M17">
        <v>0.38</v>
      </c>
      <c r="N17">
        <v>52.9</v>
      </c>
      <c r="O17">
        <v>0.83</v>
      </c>
      <c r="P17" t="s">
        <v>426</v>
      </c>
      <c r="Q17" t="s">
        <v>426</v>
      </c>
      <c r="R17" t="s">
        <v>426</v>
      </c>
      <c r="S17" t="s">
        <v>426</v>
      </c>
      <c r="T17" t="s">
        <v>426</v>
      </c>
      <c r="U17" t="s">
        <v>426</v>
      </c>
      <c r="V17" t="s">
        <v>426</v>
      </c>
      <c r="W17" t="s">
        <v>426</v>
      </c>
      <c r="X17" t="s">
        <v>426</v>
      </c>
      <c r="Y17">
        <v>0</v>
      </c>
      <c r="Z17">
        <v>0</v>
      </c>
      <c r="AB17">
        <v>0</v>
      </c>
      <c r="AC17">
        <v>0</v>
      </c>
      <c r="AD17">
        <v>0.83</v>
      </c>
      <c r="AE17">
        <v>0</v>
      </c>
      <c r="AF17">
        <v>0</v>
      </c>
      <c r="AG17">
        <v>0</v>
      </c>
      <c r="AH17">
        <v>0</v>
      </c>
      <c r="AI17">
        <v>9</v>
      </c>
      <c r="AZ17" t="s">
        <v>444</v>
      </c>
      <c r="BA17" t="s">
        <v>451</v>
      </c>
    </row>
    <row r="18" spans="1:53" x14ac:dyDescent="0.25">
      <c r="A18" t="s">
        <v>17</v>
      </c>
      <c r="B18" t="s">
        <v>76</v>
      </c>
      <c r="C18" t="s">
        <v>126</v>
      </c>
      <c r="D18">
        <v>41621162</v>
      </c>
      <c r="E18">
        <v>0.4</v>
      </c>
      <c r="F18">
        <v>1</v>
      </c>
      <c r="G18" t="s">
        <v>322</v>
      </c>
      <c r="H18">
        <v>1</v>
      </c>
      <c r="I18">
        <v>53.5</v>
      </c>
      <c r="J18">
        <v>54.9</v>
      </c>
      <c r="K18">
        <v>0.4</v>
      </c>
      <c r="L18">
        <v>54.9</v>
      </c>
      <c r="M18">
        <v>0.85</v>
      </c>
      <c r="N18">
        <v>53.35</v>
      </c>
      <c r="O18">
        <v>0.89</v>
      </c>
      <c r="P18" t="s">
        <v>426</v>
      </c>
      <c r="Q18" t="s">
        <v>426</v>
      </c>
      <c r="R18" t="s">
        <v>426</v>
      </c>
      <c r="S18" t="s">
        <v>426</v>
      </c>
      <c r="T18" t="s">
        <v>426</v>
      </c>
      <c r="U18" t="s">
        <v>426</v>
      </c>
      <c r="V18" t="s">
        <v>426</v>
      </c>
      <c r="W18" t="s">
        <v>426</v>
      </c>
      <c r="X18" t="s">
        <v>426</v>
      </c>
      <c r="Y18">
        <v>0</v>
      </c>
      <c r="Z18">
        <v>0</v>
      </c>
      <c r="AB18">
        <v>0</v>
      </c>
      <c r="AC18">
        <v>0</v>
      </c>
      <c r="AD18">
        <v>0.89</v>
      </c>
      <c r="AE18">
        <v>0</v>
      </c>
      <c r="AF18">
        <v>0</v>
      </c>
      <c r="AG18">
        <v>0</v>
      </c>
      <c r="AH18">
        <v>0</v>
      </c>
      <c r="AI18">
        <v>38</v>
      </c>
      <c r="AZ18" t="s">
        <v>444</v>
      </c>
      <c r="BA18" t="s">
        <v>451</v>
      </c>
    </row>
    <row r="19" spans="1:53" x14ac:dyDescent="0.25">
      <c r="A19" t="s">
        <v>18</v>
      </c>
      <c r="B19" t="s">
        <v>77</v>
      </c>
      <c r="C19" t="s">
        <v>126</v>
      </c>
      <c r="D19">
        <v>118361220</v>
      </c>
      <c r="E19">
        <v>0.4</v>
      </c>
      <c r="F19">
        <v>1</v>
      </c>
      <c r="G19" t="s">
        <v>323</v>
      </c>
      <c r="H19">
        <v>1</v>
      </c>
      <c r="I19">
        <v>113.4</v>
      </c>
      <c r="J19">
        <v>127.4</v>
      </c>
      <c r="K19">
        <v>0.4</v>
      </c>
      <c r="L19">
        <v>127.4</v>
      </c>
      <c r="M19">
        <v>0.86</v>
      </c>
      <c r="N19">
        <v>63.2</v>
      </c>
      <c r="O19">
        <v>0.93</v>
      </c>
      <c r="P19" t="s">
        <v>426</v>
      </c>
      <c r="Q19" t="s">
        <v>426</v>
      </c>
      <c r="R19" t="s">
        <v>426</v>
      </c>
      <c r="S19" t="s">
        <v>426</v>
      </c>
      <c r="T19" t="s">
        <v>426</v>
      </c>
      <c r="U19" t="s">
        <v>426</v>
      </c>
      <c r="V19" t="s">
        <v>426</v>
      </c>
      <c r="W19" t="s">
        <v>426</v>
      </c>
      <c r="X19" t="s">
        <v>426</v>
      </c>
      <c r="Y19">
        <v>0</v>
      </c>
      <c r="Z19">
        <v>0</v>
      </c>
      <c r="AB19">
        <v>0</v>
      </c>
      <c r="AC19">
        <v>0</v>
      </c>
      <c r="AD19">
        <v>0.93</v>
      </c>
      <c r="AE19">
        <v>0</v>
      </c>
      <c r="AF19">
        <v>0</v>
      </c>
      <c r="AG19">
        <v>0</v>
      </c>
      <c r="AH19">
        <v>0</v>
      </c>
      <c r="AI19">
        <v>39</v>
      </c>
      <c r="AZ19" t="s">
        <v>444</v>
      </c>
      <c r="BA19" t="s">
        <v>451</v>
      </c>
    </row>
    <row r="20" spans="1:53" x14ac:dyDescent="0.25">
      <c r="A20" t="s">
        <v>19</v>
      </c>
      <c r="B20" t="s">
        <v>78</v>
      </c>
      <c r="C20" t="s">
        <v>126</v>
      </c>
      <c r="D20">
        <v>1130810671</v>
      </c>
      <c r="E20">
        <v>0.95000000000000007</v>
      </c>
      <c r="F20">
        <v>1</v>
      </c>
      <c r="G20" t="s">
        <v>324</v>
      </c>
      <c r="H20">
        <v>1</v>
      </c>
      <c r="I20">
        <v>79.17</v>
      </c>
      <c r="J20">
        <v>83.38</v>
      </c>
      <c r="K20">
        <v>0.95000000000000007</v>
      </c>
      <c r="L20">
        <v>83.38</v>
      </c>
      <c r="M20">
        <v>0.43</v>
      </c>
      <c r="N20">
        <v>60.16</v>
      </c>
      <c r="O20">
        <v>0.87</v>
      </c>
      <c r="P20" t="s">
        <v>426</v>
      </c>
      <c r="Q20" t="s">
        <v>426</v>
      </c>
      <c r="R20" t="s">
        <v>426</v>
      </c>
      <c r="S20" t="s">
        <v>426</v>
      </c>
      <c r="T20" t="s">
        <v>426</v>
      </c>
      <c r="U20" t="s">
        <v>426</v>
      </c>
      <c r="V20" t="s">
        <v>426</v>
      </c>
      <c r="W20" t="s">
        <v>426</v>
      </c>
      <c r="X20" t="s">
        <v>426</v>
      </c>
      <c r="Y20">
        <v>0</v>
      </c>
      <c r="Z20">
        <v>0</v>
      </c>
      <c r="AB20">
        <v>0</v>
      </c>
      <c r="AC20">
        <v>0</v>
      </c>
      <c r="AD20">
        <v>0.87</v>
      </c>
      <c r="AE20">
        <v>0</v>
      </c>
      <c r="AF20">
        <v>0</v>
      </c>
      <c r="AG20">
        <v>0</v>
      </c>
      <c r="AH20">
        <v>0</v>
      </c>
      <c r="AI20">
        <v>13</v>
      </c>
      <c r="AZ20" t="s">
        <v>444</v>
      </c>
      <c r="BA20" t="s">
        <v>451</v>
      </c>
    </row>
    <row r="21" spans="1:53" x14ac:dyDescent="0.25">
      <c r="A21" t="s">
        <v>193</v>
      </c>
      <c r="B21" t="s">
        <v>253</v>
      </c>
      <c r="C21" t="s">
        <v>126</v>
      </c>
      <c r="D21">
        <v>2812303983</v>
      </c>
      <c r="E21">
        <v>0.2</v>
      </c>
      <c r="F21">
        <v>1</v>
      </c>
      <c r="G21" t="s">
        <v>325</v>
      </c>
      <c r="H21">
        <v>1</v>
      </c>
      <c r="I21">
        <v>4.8659999999999997</v>
      </c>
      <c r="J21">
        <v>5.0999999999999996</v>
      </c>
      <c r="K21">
        <v>0.2</v>
      </c>
      <c r="L21">
        <v>5.0999999999999996</v>
      </c>
      <c r="M21">
        <v>2.59</v>
      </c>
      <c r="N21">
        <v>44.03</v>
      </c>
      <c r="O21">
        <v>0.75</v>
      </c>
      <c r="P21" t="s">
        <v>427</v>
      </c>
      <c r="Q21" t="s">
        <v>426</v>
      </c>
      <c r="R21" t="s">
        <v>426</v>
      </c>
      <c r="S21" t="s">
        <v>426</v>
      </c>
      <c r="T21" t="s">
        <v>426</v>
      </c>
      <c r="U21" t="s">
        <v>426</v>
      </c>
      <c r="V21" t="s">
        <v>426</v>
      </c>
      <c r="W21" t="s">
        <v>426</v>
      </c>
      <c r="X21" t="s">
        <v>426</v>
      </c>
      <c r="Y21">
        <v>0</v>
      </c>
      <c r="Z21">
        <v>0</v>
      </c>
      <c r="AB21">
        <v>0</v>
      </c>
      <c r="AC21">
        <v>0</v>
      </c>
      <c r="AD21">
        <v>0.75</v>
      </c>
      <c r="AE21">
        <v>0</v>
      </c>
      <c r="AF21">
        <v>0</v>
      </c>
      <c r="AG21">
        <v>0</v>
      </c>
      <c r="AH21">
        <v>0</v>
      </c>
      <c r="AI21">
        <v>100</v>
      </c>
      <c r="AX21" t="s">
        <v>442</v>
      </c>
      <c r="AZ21" t="s">
        <v>443</v>
      </c>
      <c r="BA21" t="s">
        <v>450</v>
      </c>
    </row>
    <row r="22" spans="1:53" x14ac:dyDescent="0.25">
      <c r="A22" t="s">
        <v>194</v>
      </c>
      <c r="B22" t="s">
        <v>254</v>
      </c>
      <c r="C22" t="s">
        <v>126</v>
      </c>
      <c r="D22">
        <v>383229919</v>
      </c>
      <c r="E22">
        <v>0.5</v>
      </c>
      <c r="F22">
        <v>1</v>
      </c>
      <c r="G22" t="s">
        <v>326</v>
      </c>
      <c r="H22">
        <v>1</v>
      </c>
      <c r="I22">
        <v>37.380000000000003</v>
      </c>
      <c r="J22">
        <v>38.71</v>
      </c>
      <c r="K22">
        <v>0.5</v>
      </c>
      <c r="L22">
        <v>38.71</v>
      </c>
      <c r="M22">
        <v>3.18</v>
      </c>
      <c r="N22">
        <v>54.31</v>
      </c>
      <c r="O22">
        <v>0.97</v>
      </c>
      <c r="P22" t="s">
        <v>426</v>
      </c>
      <c r="Q22" t="s">
        <v>426</v>
      </c>
      <c r="R22" t="s">
        <v>426</v>
      </c>
      <c r="S22" t="s">
        <v>426</v>
      </c>
      <c r="T22" t="s">
        <v>426</v>
      </c>
      <c r="U22" t="s">
        <v>426</v>
      </c>
      <c r="V22" t="s">
        <v>426</v>
      </c>
      <c r="W22" t="s">
        <v>426</v>
      </c>
      <c r="X22" t="s">
        <v>426</v>
      </c>
      <c r="Y22">
        <v>0</v>
      </c>
      <c r="Z22">
        <v>0</v>
      </c>
      <c r="AB22">
        <v>0</v>
      </c>
      <c r="AC22">
        <v>0</v>
      </c>
      <c r="AD22">
        <v>0.97</v>
      </c>
      <c r="AE22">
        <v>0</v>
      </c>
      <c r="AF22">
        <v>0</v>
      </c>
      <c r="AG22">
        <v>0</v>
      </c>
      <c r="AH22">
        <v>0</v>
      </c>
      <c r="AI22">
        <v>107</v>
      </c>
      <c r="AX22" t="s">
        <v>442</v>
      </c>
      <c r="AZ22" t="s">
        <v>443</v>
      </c>
      <c r="BA22" t="s">
        <v>450</v>
      </c>
    </row>
    <row r="23" spans="1:53" x14ac:dyDescent="0.25">
      <c r="A23" t="s">
        <v>195</v>
      </c>
      <c r="B23" t="s">
        <v>255</v>
      </c>
      <c r="C23" t="s">
        <v>126</v>
      </c>
      <c r="D23">
        <v>453871520</v>
      </c>
      <c r="E23">
        <v>0.75</v>
      </c>
      <c r="F23">
        <v>1</v>
      </c>
      <c r="G23" t="s">
        <v>327</v>
      </c>
      <c r="H23">
        <v>1</v>
      </c>
      <c r="I23">
        <v>26</v>
      </c>
      <c r="J23">
        <v>27.22</v>
      </c>
      <c r="K23">
        <v>0.75</v>
      </c>
      <c r="L23">
        <v>27.22</v>
      </c>
      <c r="M23">
        <v>1.62</v>
      </c>
      <c r="N23">
        <v>67.72</v>
      </c>
      <c r="O23">
        <v>0.92</v>
      </c>
      <c r="P23" t="s">
        <v>426</v>
      </c>
      <c r="Q23" t="s">
        <v>426</v>
      </c>
      <c r="R23" t="s">
        <v>426</v>
      </c>
      <c r="S23" t="s">
        <v>426</v>
      </c>
      <c r="T23" t="s">
        <v>426</v>
      </c>
      <c r="U23" t="s">
        <v>426</v>
      </c>
      <c r="V23" t="s">
        <v>426</v>
      </c>
      <c r="W23" t="s">
        <v>426</v>
      </c>
      <c r="X23" t="s">
        <v>426</v>
      </c>
      <c r="Y23">
        <v>0</v>
      </c>
      <c r="Z23">
        <v>0</v>
      </c>
      <c r="AB23">
        <v>0</v>
      </c>
      <c r="AC23">
        <v>0</v>
      </c>
      <c r="AD23">
        <v>0.92</v>
      </c>
      <c r="AE23">
        <v>0</v>
      </c>
      <c r="AF23">
        <v>0</v>
      </c>
      <c r="AG23">
        <v>0</v>
      </c>
      <c r="AH23">
        <v>0</v>
      </c>
      <c r="AI23">
        <v>69</v>
      </c>
      <c r="AZ23" t="s">
        <v>444</v>
      </c>
      <c r="BA23" t="s">
        <v>451</v>
      </c>
    </row>
    <row r="24" spans="1:53" x14ac:dyDescent="0.25">
      <c r="A24" t="s">
        <v>20</v>
      </c>
      <c r="B24" t="s">
        <v>79</v>
      </c>
      <c r="C24" t="s">
        <v>126</v>
      </c>
      <c r="D24">
        <v>171347471</v>
      </c>
      <c r="E24">
        <v>0.85000000000000009</v>
      </c>
      <c r="F24">
        <v>1</v>
      </c>
      <c r="G24" t="s">
        <v>328</v>
      </c>
      <c r="H24">
        <v>1</v>
      </c>
      <c r="I24">
        <v>123.05</v>
      </c>
      <c r="J24">
        <v>126.6</v>
      </c>
      <c r="K24">
        <v>0.85000000000000009</v>
      </c>
      <c r="L24">
        <v>126.6</v>
      </c>
      <c r="M24">
        <v>1.1100000000000001</v>
      </c>
      <c r="N24">
        <v>71.39</v>
      </c>
      <c r="O24">
        <v>0.89</v>
      </c>
      <c r="P24" t="s">
        <v>426</v>
      </c>
      <c r="Q24" t="s">
        <v>426</v>
      </c>
      <c r="R24" t="s">
        <v>426</v>
      </c>
      <c r="S24" t="s">
        <v>426</v>
      </c>
      <c r="T24" t="s">
        <v>426</v>
      </c>
      <c r="U24" t="s">
        <v>426</v>
      </c>
      <c r="V24" t="s">
        <v>426</v>
      </c>
      <c r="W24" t="s">
        <v>426</v>
      </c>
      <c r="X24" t="s">
        <v>426</v>
      </c>
      <c r="Y24">
        <v>0</v>
      </c>
      <c r="Z24">
        <v>0</v>
      </c>
      <c r="AB24">
        <v>0</v>
      </c>
      <c r="AC24">
        <v>0</v>
      </c>
      <c r="AD24">
        <v>0.89</v>
      </c>
      <c r="AE24">
        <v>0</v>
      </c>
      <c r="AF24">
        <v>0</v>
      </c>
      <c r="AG24">
        <v>0</v>
      </c>
      <c r="AH24">
        <v>0</v>
      </c>
      <c r="AI24">
        <v>52</v>
      </c>
      <c r="AZ24" t="s">
        <v>444</v>
      </c>
      <c r="BA24" t="s">
        <v>451</v>
      </c>
    </row>
    <row r="25" spans="1:53" x14ac:dyDescent="0.25">
      <c r="A25" t="s">
        <v>196</v>
      </c>
      <c r="B25" t="s">
        <v>256</v>
      </c>
      <c r="C25" t="s">
        <v>126</v>
      </c>
      <c r="D25">
        <v>140948872</v>
      </c>
      <c r="E25">
        <v>0.45</v>
      </c>
      <c r="F25">
        <v>1</v>
      </c>
      <c r="G25" t="s">
        <v>329</v>
      </c>
      <c r="H25">
        <v>1</v>
      </c>
      <c r="I25">
        <v>17.12</v>
      </c>
      <c r="J25">
        <v>17.96</v>
      </c>
      <c r="K25">
        <v>0.45</v>
      </c>
      <c r="L25">
        <v>17.96</v>
      </c>
      <c r="M25">
        <v>6.76</v>
      </c>
      <c r="N25">
        <v>61.1</v>
      </c>
      <c r="O25">
        <v>0.87</v>
      </c>
      <c r="P25" t="s">
        <v>426</v>
      </c>
      <c r="Q25" t="s">
        <v>426</v>
      </c>
      <c r="R25" t="s">
        <v>426</v>
      </c>
      <c r="S25" t="s">
        <v>426</v>
      </c>
      <c r="T25" t="s">
        <v>426</v>
      </c>
      <c r="U25" t="s">
        <v>426</v>
      </c>
      <c r="V25" t="s">
        <v>426</v>
      </c>
      <c r="W25" t="s">
        <v>426</v>
      </c>
      <c r="X25" t="s">
        <v>426</v>
      </c>
      <c r="Y25">
        <v>0</v>
      </c>
      <c r="Z25">
        <v>0</v>
      </c>
      <c r="AB25">
        <v>0</v>
      </c>
      <c r="AC25">
        <v>0</v>
      </c>
      <c r="AD25">
        <v>0.87</v>
      </c>
      <c r="AE25">
        <v>0</v>
      </c>
      <c r="AF25">
        <v>0</v>
      </c>
      <c r="AG25">
        <v>0</v>
      </c>
      <c r="AH25">
        <v>0</v>
      </c>
      <c r="AI25">
        <v>117</v>
      </c>
      <c r="AX25" t="s">
        <v>442</v>
      </c>
      <c r="AZ25" t="s">
        <v>443</v>
      </c>
      <c r="BA25" t="s">
        <v>450</v>
      </c>
    </row>
    <row r="26" spans="1:53" x14ac:dyDescent="0.25">
      <c r="A26" t="s">
        <v>21</v>
      </c>
      <c r="B26" t="s">
        <v>80</v>
      </c>
      <c r="C26" t="s">
        <v>126</v>
      </c>
      <c r="D26">
        <v>736314789</v>
      </c>
      <c r="E26">
        <v>0.85000000000000009</v>
      </c>
      <c r="F26">
        <v>1</v>
      </c>
      <c r="G26" t="s">
        <v>330</v>
      </c>
      <c r="H26">
        <v>1</v>
      </c>
      <c r="I26">
        <v>12.04</v>
      </c>
      <c r="J26">
        <v>13.065</v>
      </c>
      <c r="K26">
        <v>0.85000000000000009</v>
      </c>
      <c r="L26">
        <v>13.065</v>
      </c>
      <c r="M26">
        <v>0.44</v>
      </c>
      <c r="N26">
        <v>55.67</v>
      </c>
      <c r="O26">
        <v>0.99</v>
      </c>
      <c r="P26" t="s">
        <v>427</v>
      </c>
      <c r="Q26" t="s">
        <v>426</v>
      </c>
      <c r="R26" t="s">
        <v>426</v>
      </c>
      <c r="S26" t="s">
        <v>426</v>
      </c>
      <c r="T26" t="s">
        <v>426</v>
      </c>
      <c r="U26" t="s">
        <v>426</v>
      </c>
      <c r="V26" t="s">
        <v>426</v>
      </c>
      <c r="W26" t="s">
        <v>426</v>
      </c>
      <c r="X26" t="s">
        <v>426</v>
      </c>
      <c r="Y26">
        <v>0</v>
      </c>
      <c r="Z26">
        <v>0</v>
      </c>
      <c r="AB26">
        <v>0</v>
      </c>
      <c r="AC26">
        <v>0</v>
      </c>
      <c r="AD26">
        <v>0.99</v>
      </c>
      <c r="AE26">
        <v>0</v>
      </c>
      <c r="AF26">
        <v>0</v>
      </c>
      <c r="AG26">
        <v>0</v>
      </c>
      <c r="AH26">
        <v>0</v>
      </c>
      <c r="AI26">
        <v>14</v>
      </c>
      <c r="AZ26" t="s">
        <v>444</v>
      </c>
      <c r="BA26" t="s">
        <v>451</v>
      </c>
    </row>
    <row r="27" spans="1:53" x14ac:dyDescent="0.25">
      <c r="A27" t="s">
        <v>197</v>
      </c>
      <c r="B27" t="s">
        <v>257</v>
      </c>
      <c r="C27" t="s">
        <v>126</v>
      </c>
      <c r="D27">
        <v>356754459</v>
      </c>
      <c r="E27">
        <v>0.55000000000000004</v>
      </c>
      <c r="F27">
        <v>1</v>
      </c>
      <c r="G27" t="s">
        <v>331</v>
      </c>
      <c r="H27">
        <v>1</v>
      </c>
      <c r="I27">
        <v>4.3</v>
      </c>
      <c r="J27">
        <v>4.8520000000000003</v>
      </c>
      <c r="K27">
        <v>0.55000000000000004</v>
      </c>
      <c r="L27">
        <v>4.8520000000000003</v>
      </c>
      <c r="M27">
        <v>6.68</v>
      </c>
      <c r="N27">
        <v>61.21</v>
      </c>
      <c r="O27" t="s">
        <v>424</v>
      </c>
      <c r="P27" t="s">
        <v>427</v>
      </c>
      <c r="Q27" t="s">
        <v>426</v>
      </c>
      <c r="R27" t="s">
        <v>426</v>
      </c>
      <c r="S27" t="s">
        <v>426</v>
      </c>
      <c r="T27" t="s">
        <v>426</v>
      </c>
      <c r="U27" t="s">
        <v>426</v>
      </c>
      <c r="V27" t="s">
        <v>426</v>
      </c>
      <c r="W27" t="s">
        <v>426</v>
      </c>
      <c r="X27" t="s">
        <v>426</v>
      </c>
      <c r="Y27">
        <v>0</v>
      </c>
      <c r="Z27">
        <v>0</v>
      </c>
      <c r="AB27">
        <v>0</v>
      </c>
      <c r="AC27">
        <v>0</v>
      </c>
      <c r="AE27">
        <v>0</v>
      </c>
      <c r="AF27">
        <v>0</v>
      </c>
      <c r="AG27">
        <v>0</v>
      </c>
      <c r="AH27">
        <v>0</v>
      </c>
      <c r="AI27">
        <v>116</v>
      </c>
      <c r="AX27" t="s">
        <v>442</v>
      </c>
      <c r="AZ27" t="s">
        <v>443</v>
      </c>
      <c r="BA27" t="s">
        <v>450</v>
      </c>
    </row>
    <row r="28" spans="1:53" x14ac:dyDescent="0.25">
      <c r="A28" t="s">
        <v>22</v>
      </c>
      <c r="B28" t="s">
        <v>81</v>
      </c>
      <c r="C28" t="s">
        <v>126</v>
      </c>
      <c r="D28">
        <v>150179792</v>
      </c>
      <c r="E28">
        <v>0.65</v>
      </c>
      <c r="F28">
        <v>1</v>
      </c>
      <c r="G28" t="s">
        <v>332</v>
      </c>
      <c r="H28">
        <v>1</v>
      </c>
      <c r="I28">
        <v>15.51</v>
      </c>
      <c r="J28">
        <v>16.78</v>
      </c>
      <c r="K28">
        <v>0.65</v>
      </c>
      <c r="L28">
        <v>16.78</v>
      </c>
      <c r="M28">
        <v>0.73</v>
      </c>
      <c r="N28">
        <v>51.8</v>
      </c>
      <c r="O28">
        <v>0.81</v>
      </c>
      <c r="P28" t="s">
        <v>426</v>
      </c>
      <c r="Q28" t="s">
        <v>426</v>
      </c>
      <c r="R28" t="s">
        <v>426</v>
      </c>
      <c r="S28" t="s">
        <v>426</v>
      </c>
      <c r="T28" t="s">
        <v>426</v>
      </c>
      <c r="U28" t="s">
        <v>426</v>
      </c>
      <c r="V28" t="s">
        <v>426</v>
      </c>
      <c r="W28" t="s">
        <v>426</v>
      </c>
      <c r="X28" t="s">
        <v>426</v>
      </c>
      <c r="Y28">
        <v>0</v>
      </c>
      <c r="Z28">
        <v>0</v>
      </c>
      <c r="AB28">
        <v>0</v>
      </c>
      <c r="AC28">
        <v>0</v>
      </c>
      <c r="AD28">
        <v>0.81</v>
      </c>
      <c r="AE28">
        <v>0</v>
      </c>
      <c r="AF28">
        <v>0</v>
      </c>
      <c r="AG28">
        <v>0</v>
      </c>
      <c r="AH28">
        <v>0</v>
      </c>
      <c r="AI28">
        <v>29</v>
      </c>
      <c r="AZ28" t="s">
        <v>444</v>
      </c>
      <c r="BA28" t="s">
        <v>451</v>
      </c>
    </row>
    <row r="29" spans="1:53" x14ac:dyDescent="0.25">
      <c r="A29" t="s">
        <v>198</v>
      </c>
      <c r="B29" t="s">
        <v>258</v>
      </c>
      <c r="C29" t="s">
        <v>126</v>
      </c>
      <c r="D29">
        <v>111623468</v>
      </c>
      <c r="E29">
        <v>0.5</v>
      </c>
      <c r="F29">
        <v>1</v>
      </c>
      <c r="G29" t="s">
        <v>333</v>
      </c>
      <c r="H29">
        <v>1</v>
      </c>
      <c r="I29">
        <v>56.5</v>
      </c>
      <c r="J29">
        <v>59.3</v>
      </c>
      <c r="K29">
        <v>0.5</v>
      </c>
      <c r="L29">
        <v>59.3</v>
      </c>
      <c r="M29">
        <v>0.49</v>
      </c>
      <c r="N29">
        <v>66.97</v>
      </c>
      <c r="O29">
        <v>0.53</v>
      </c>
      <c r="P29" t="s">
        <v>426</v>
      </c>
      <c r="Q29" t="s">
        <v>426</v>
      </c>
      <c r="R29" t="s">
        <v>426</v>
      </c>
      <c r="S29" t="s">
        <v>426</v>
      </c>
      <c r="T29" t="s">
        <v>426</v>
      </c>
      <c r="U29" t="s">
        <v>426</v>
      </c>
      <c r="V29" t="s">
        <v>426</v>
      </c>
      <c r="W29" t="s">
        <v>426</v>
      </c>
      <c r="X29" t="s">
        <v>426</v>
      </c>
      <c r="Y29">
        <v>0</v>
      </c>
      <c r="Z29">
        <v>0</v>
      </c>
      <c r="AB29">
        <v>0</v>
      </c>
      <c r="AC29">
        <v>0</v>
      </c>
      <c r="AD29">
        <v>0.53</v>
      </c>
      <c r="AE29">
        <v>0</v>
      </c>
      <c r="AF29">
        <v>0</v>
      </c>
      <c r="AG29">
        <v>0</v>
      </c>
      <c r="AH29">
        <v>0</v>
      </c>
      <c r="AI29">
        <v>17</v>
      </c>
      <c r="AJ29" t="s">
        <v>431</v>
      </c>
      <c r="AZ29" t="s">
        <v>445</v>
      </c>
      <c r="BA29" t="s">
        <v>450</v>
      </c>
    </row>
    <row r="30" spans="1:53" x14ac:dyDescent="0.25">
      <c r="A30" t="s">
        <v>199</v>
      </c>
      <c r="B30" t="s">
        <v>259</v>
      </c>
      <c r="C30" t="s">
        <v>126</v>
      </c>
      <c r="D30">
        <v>3025902350</v>
      </c>
      <c r="E30">
        <v>0.3</v>
      </c>
      <c r="F30">
        <v>1</v>
      </c>
      <c r="G30" t="s">
        <v>334</v>
      </c>
      <c r="H30">
        <v>1</v>
      </c>
      <c r="I30">
        <v>16.45</v>
      </c>
      <c r="J30">
        <v>17.055</v>
      </c>
      <c r="K30">
        <v>0.3</v>
      </c>
      <c r="L30">
        <v>17.055</v>
      </c>
      <c r="M30">
        <v>9.25</v>
      </c>
      <c r="N30">
        <v>60.89</v>
      </c>
      <c r="O30">
        <v>0.85</v>
      </c>
      <c r="P30" t="s">
        <v>426</v>
      </c>
      <c r="Q30" t="s">
        <v>426</v>
      </c>
      <c r="R30" t="s">
        <v>426</v>
      </c>
      <c r="S30" t="s">
        <v>426</v>
      </c>
      <c r="T30" t="s">
        <v>426</v>
      </c>
      <c r="U30" t="s">
        <v>426</v>
      </c>
      <c r="V30" t="s">
        <v>426</v>
      </c>
      <c r="W30" t="s">
        <v>426</v>
      </c>
      <c r="X30" t="s">
        <v>426</v>
      </c>
      <c r="Y30">
        <v>0</v>
      </c>
      <c r="Z30">
        <v>0</v>
      </c>
      <c r="AB30">
        <v>0</v>
      </c>
      <c r="AC30">
        <v>0</v>
      </c>
      <c r="AD30">
        <v>0.85</v>
      </c>
      <c r="AE30">
        <v>0</v>
      </c>
      <c r="AF30">
        <v>0</v>
      </c>
      <c r="AG30">
        <v>0</v>
      </c>
      <c r="AH30">
        <v>0</v>
      </c>
      <c r="AI30">
        <v>118</v>
      </c>
      <c r="AX30" t="s">
        <v>442</v>
      </c>
      <c r="AZ30" t="s">
        <v>443</v>
      </c>
      <c r="BA30" t="s">
        <v>450</v>
      </c>
    </row>
    <row r="31" spans="1:53" x14ac:dyDescent="0.25">
      <c r="A31" t="s">
        <v>23</v>
      </c>
      <c r="B31" t="s">
        <v>82</v>
      </c>
      <c r="C31" t="s">
        <v>126</v>
      </c>
      <c r="D31">
        <v>681394483</v>
      </c>
      <c r="E31">
        <v>0.95000000000000007</v>
      </c>
      <c r="F31">
        <v>1</v>
      </c>
      <c r="G31" t="s">
        <v>335</v>
      </c>
      <c r="H31">
        <v>1</v>
      </c>
      <c r="I31">
        <v>74.28</v>
      </c>
      <c r="J31">
        <v>73.239999999999995</v>
      </c>
      <c r="K31">
        <v>0.95000000000000007</v>
      </c>
      <c r="L31">
        <v>73.239999999999995</v>
      </c>
      <c r="M31">
        <v>0.97</v>
      </c>
      <c r="N31">
        <v>65.34</v>
      </c>
      <c r="O31">
        <v>0.96</v>
      </c>
      <c r="P31" t="s">
        <v>426</v>
      </c>
      <c r="Q31" t="s">
        <v>426</v>
      </c>
      <c r="R31" t="s">
        <v>426</v>
      </c>
      <c r="S31" t="s">
        <v>426</v>
      </c>
      <c r="T31" t="s">
        <v>426</v>
      </c>
      <c r="U31" t="s">
        <v>426</v>
      </c>
      <c r="V31" t="s">
        <v>426</v>
      </c>
      <c r="W31" t="s">
        <v>426</v>
      </c>
      <c r="X31" t="s">
        <v>426</v>
      </c>
      <c r="Y31">
        <v>0</v>
      </c>
      <c r="Z31">
        <v>0</v>
      </c>
      <c r="AB31">
        <v>0</v>
      </c>
      <c r="AC31">
        <v>0</v>
      </c>
      <c r="AD31">
        <v>0.96</v>
      </c>
      <c r="AE31">
        <v>0</v>
      </c>
      <c r="AF31">
        <v>0</v>
      </c>
      <c r="AG31">
        <v>0</v>
      </c>
      <c r="AH31">
        <v>0</v>
      </c>
      <c r="AI31">
        <v>42</v>
      </c>
      <c r="AZ31" t="s">
        <v>444</v>
      </c>
      <c r="BA31" t="s">
        <v>451</v>
      </c>
    </row>
    <row r="32" spans="1:53" x14ac:dyDescent="0.25">
      <c r="A32" t="s">
        <v>200</v>
      </c>
      <c r="B32" t="s">
        <v>260</v>
      </c>
      <c r="C32" t="s">
        <v>126</v>
      </c>
      <c r="D32">
        <v>78397034</v>
      </c>
      <c r="E32">
        <v>0.25</v>
      </c>
      <c r="F32">
        <v>1</v>
      </c>
      <c r="G32" t="s">
        <v>336</v>
      </c>
      <c r="H32">
        <v>1</v>
      </c>
      <c r="I32">
        <v>299.60000000000002</v>
      </c>
      <c r="J32">
        <v>273.60000000000002</v>
      </c>
      <c r="K32">
        <v>0.25</v>
      </c>
      <c r="L32">
        <v>273.60000000000002</v>
      </c>
      <c r="M32">
        <v>0.86</v>
      </c>
      <c r="N32">
        <v>38.74</v>
      </c>
      <c r="O32">
        <v>0.94</v>
      </c>
      <c r="P32" t="s">
        <v>427</v>
      </c>
      <c r="Q32" t="s">
        <v>426</v>
      </c>
      <c r="R32" t="s">
        <v>426</v>
      </c>
      <c r="S32" t="s">
        <v>426</v>
      </c>
      <c r="T32" t="s">
        <v>426</v>
      </c>
      <c r="U32" t="s">
        <v>426</v>
      </c>
      <c r="V32" t="s">
        <v>425</v>
      </c>
      <c r="W32" t="s">
        <v>427</v>
      </c>
      <c r="X32" t="s">
        <v>426</v>
      </c>
      <c r="Y32">
        <v>0</v>
      </c>
      <c r="Z32">
        <v>0</v>
      </c>
      <c r="AB32">
        <v>0</v>
      </c>
      <c r="AC32">
        <v>0</v>
      </c>
      <c r="AD32">
        <v>0.94</v>
      </c>
      <c r="AE32">
        <v>0</v>
      </c>
      <c r="AF32">
        <v>0</v>
      </c>
      <c r="AG32">
        <v>0</v>
      </c>
      <c r="AH32">
        <v>0</v>
      </c>
      <c r="AI32">
        <v>39</v>
      </c>
      <c r="AQ32" t="s">
        <v>437</v>
      </c>
      <c r="AZ32" t="s">
        <v>446</v>
      </c>
      <c r="BA32" t="s">
        <v>450</v>
      </c>
    </row>
    <row r="33" spans="1:53" x14ac:dyDescent="0.25">
      <c r="A33" t="s">
        <v>24</v>
      </c>
      <c r="B33" t="s">
        <v>83</v>
      </c>
      <c r="C33" t="s">
        <v>126</v>
      </c>
      <c r="D33">
        <v>1344379776</v>
      </c>
      <c r="E33">
        <v>0.5</v>
      </c>
      <c r="F33">
        <v>1</v>
      </c>
      <c r="G33" t="s">
        <v>337</v>
      </c>
      <c r="H33">
        <v>1</v>
      </c>
      <c r="I33">
        <v>27.39</v>
      </c>
      <c r="J33">
        <v>27.13</v>
      </c>
      <c r="K33">
        <v>0.5</v>
      </c>
      <c r="L33">
        <v>27.13</v>
      </c>
      <c r="M33">
        <v>0.48</v>
      </c>
      <c r="N33">
        <v>70.36</v>
      </c>
      <c r="O33">
        <v>0.94</v>
      </c>
      <c r="P33" t="s">
        <v>426</v>
      </c>
      <c r="Q33" t="s">
        <v>426</v>
      </c>
      <c r="R33" t="s">
        <v>426</v>
      </c>
      <c r="S33" t="s">
        <v>426</v>
      </c>
      <c r="T33" t="s">
        <v>426</v>
      </c>
      <c r="U33" t="s">
        <v>426</v>
      </c>
      <c r="V33" t="s">
        <v>426</v>
      </c>
      <c r="W33" t="s">
        <v>426</v>
      </c>
      <c r="X33" t="s">
        <v>426</v>
      </c>
      <c r="Y33">
        <v>0</v>
      </c>
      <c r="Z33">
        <v>0</v>
      </c>
      <c r="AB33">
        <v>0</v>
      </c>
      <c r="AC33">
        <v>0</v>
      </c>
      <c r="AD33">
        <v>0.94</v>
      </c>
      <c r="AE33">
        <v>0</v>
      </c>
      <c r="AF33">
        <v>0</v>
      </c>
      <c r="AG33">
        <v>0</v>
      </c>
      <c r="AH33">
        <v>0</v>
      </c>
      <c r="AI33">
        <v>16</v>
      </c>
      <c r="AZ33" t="s">
        <v>444</v>
      </c>
      <c r="BA33" t="s">
        <v>451</v>
      </c>
    </row>
    <row r="34" spans="1:53" x14ac:dyDescent="0.25">
      <c r="A34" t="s">
        <v>201</v>
      </c>
      <c r="B34" t="s">
        <v>261</v>
      </c>
      <c r="C34" t="s">
        <v>126</v>
      </c>
      <c r="D34">
        <v>159397489</v>
      </c>
      <c r="E34">
        <v>0.60000000000000009</v>
      </c>
      <c r="F34">
        <v>1</v>
      </c>
      <c r="G34" t="s">
        <v>338</v>
      </c>
      <c r="H34">
        <v>1</v>
      </c>
      <c r="I34">
        <v>5.1449999999999996</v>
      </c>
      <c r="J34">
        <v>6.2249999999999996</v>
      </c>
      <c r="K34">
        <v>0.60000000000000009</v>
      </c>
      <c r="L34">
        <v>6.2249999999999996</v>
      </c>
      <c r="M34">
        <v>3.16</v>
      </c>
      <c r="N34">
        <v>60.97</v>
      </c>
      <c r="AI34">
        <v>106</v>
      </c>
      <c r="AX34" t="s">
        <v>442</v>
      </c>
      <c r="AZ34" t="s">
        <v>443</v>
      </c>
      <c r="BA34" t="s">
        <v>450</v>
      </c>
    </row>
    <row r="35" spans="1:53" x14ac:dyDescent="0.25">
      <c r="A35" t="s">
        <v>202</v>
      </c>
      <c r="B35" t="s">
        <v>262</v>
      </c>
      <c r="C35" t="s">
        <v>126</v>
      </c>
      <c r="D35">
        <v>239891064</v>
      </c>
      <c r="E35">
        <v>1</v>
      </c>
      <c r="F35">
        <v>1</v>
      </c>
      <c r="G35" t="s">
        <v>339</v>
      </c>
      <c r="H35">
        <v>1</v>
      </c>
      <c r="I35">
        <v>20.079999999999998</v>
      </c>
      <c r="J35">
        <v>26.73</v>
      </c>
      <c r="K35">
        <v>1</v>
      </c>
      <c r="L35">
        <v>26.73</v>
      </c>
      <c r="M35">
        <v>1.79</v>
      </c>
      <c r="N35">
        <v>65.77</v>
      </c>
      <c r="O35">
        <v>0.97</v>
      </c>
      <c r="P35" t="s">
        <v>426</v>
      </c>
      <c r="Q35" t="s">
        <v>426</v>
      </c>
      <c r="R35" t="s">
        <v>426</v>
      </c>
      <c r="S35" t="s">
        <v>426</v>
      </c>
      <c r="T35" t="s">
        <v>426</v>
      </c>
      <c r="U35" t="s">
        <v>426</v>
      </c>
      <c r="V35" t="s">
        <v>426</v>
      </c>
      <c r="W35" t="s">
        <v>426</v>
      </c>
      <c r="X35" t="s">
        <v>426</v>
      </c>
      <c r="Y35">
        <v>0</v>
      </c>
      <c r="Z35">
        <v>0</v>
      </c>
      <c r="AB35">
        <v>0</v>
      </c>
      <c r="AC35">
        <v>0</v>
      </c>
      <c r="AD35">
        <v>0.97</v>
      </c>
      <c r="AE35">
        <v>0</v>
      </c>
      <c r="AF35">
        <v>0</v>
      </c>
      <c r="AG35">
        <v>0</v>
      </c>
      <c r="AH35">
        <v>0</v>
      </c>
      <c r="AI35">
        <v>76</v>
      </c>
      <c r="AZ35" t="s">
        <v>444</v>
      </c>
      <c r="BA35" t="s">
        <v>451</v>
      </c>
    </row>
    <row r="36" spans="1:53" x14ac:dyDescent="0.25">
      <c r="A36" t="s">
        <v>203</v>
      </c>
      <c r="B36" t="s">
        <v>263</v>
      </c>
      <c r="C36" t="s">
        <v>126</v>
      </c>
      <c r="D36">
        <v>98000000</v>
      </c>
      <c r="E36">
        <v>0.70000000000000007</v>
      </c>
      <c r="F36">
        <v>1</v>
      </c>
      <c r="G36" t="s">
        <v>340</v>
      </c>
      <c r="H36">
        <v>1</v>
      </c>
      <c r="I36">
        <v>110.85</v>
      </c>
      <c r="J36">
        <v>125.9</v>
      </c>
      <c r="K36">
        <v>0.70000000000000007</v>
      </c>
      <c r="L36">
        <v>125.9</v>
      </c>
      <c r="M36">
        <v>1.7</v>
      </c>
      <c r="N36">
        <v>48.04</v>
      </c>
      <c r="O36">
        <v>0.94</v>
      </c>
      <c r="P36" t="s">
        <v>426</v>
      </c>
      <c r="Q36" t="s">
        <v>426</v>
      </c>
      <c r="R36" t="s">
        <v>426</v>
      </c>
      <c r="S36" t="s">
        <v>426</v>
      </c>
      <c r="T36" t="s">
        <v>426</v>
      </c>
      <c r="U36" t="s">
        <v>426</v>
      </c>
      <c r="V36" t="s">
        <v>426</v>
      </c>
      <c r="W36" t="s">
        <v>426</v>
      </c>
      <c r="X36" t="s">
        <v>426</v>
      </c>
      <c r="Y36">
        <v>0</v>
      </c>
      <c r="Z36">
        <v>0</v>
      </c>
      <c r="AB36">
        <v>0</v>
      </c>
      <c r="AC36">
        <v>0</v>
      </c>
      <c r="AD36">
        <v>0.94</v>
      </c>
      <c r="AE36">
        <v>0</v>
      </c>
      <c r="AF36">
        <v>0</v>
      </c>
      <c r="AG36">
        <v>0</v>
      </c>
      <c r="AH36">
        <v>0</v>
      </c>
      <c r="AI36">
        <v>73</v>
      </c>
      <c r="AZ36" t="s">
        <v>444</v>
      </c>
      <c r="BA36" t="s">
        <v>451</v>
      </c>
    </row>
    <row r="37" spans="1:53" x14ac:dyDescent="0.25">
      <c r="A37" t="s">
        <v>132</v>
      </c>
      <c r="B37" t="s">
        <v>134</v>
      </c>
      <c r="C37" t="s">
        <v>126</v>
      </c>
      <c r="D37">
        <v>253611809</v>
      </c>
      <c r="E37">
        <v>0.5</v>
      </c>
      <c r="F37">
        <v>1</v>
      </c>
      <c r="K37">
        <v>0.5</v>
      </c>
      <c r="L37">
        <v>2.722</v>
      </c>
      <c r="M37">
        <v>1.47</v>
      </c>
      <c r="N37">
        <v>35.64</v>
      </c>
      <c r="AI37">
        <v>64</v>
      </c>
      <c r="AZ37" t="s">
        <v>444</v>
      </c>
      <c r="BA37" t="s">
        <v>451</v>
      </c>
    </row>
    <row r="38" spans="1:53" x14ac:dyDescent="0.25">
      <c r="A38" t="s">
        <v>204</v>
      </c>
      <c r="B38" t="s">
        <v>264</v>
      </c>
      <c r="C38" t="s">
        <v>126</v>
      </c>
      <c r="D38">
        <v>236664445</v>
      </c>
      <c r="E38">
        <v>0.75</v>
      </c>
      <c r="F38">
        <v>1</v>
      </c>
      <c r="G38" t="s">
        <v>341</v>
      </c>
      <c r="H38">
        <v>1</v>
      </c>
      <c r="I38">
        <v>23.46</v>
      </c>
      <c r="J38">
        <v>25.52</v>
      </c>
      <c r="K38">
        <v>0.75</v>
      </c>
      <c r="L38">
        <v>25.52</v>
      </c>
      <c r="M38">
        <v>2.2400000000000002</v>
      </c>
      <c r="N38">
        <v>55.2</v>
      </c>
      <c r="O38">
        <v>0.93</v>
      </c>
      <c r="P38" t="s">
        <v>426</v>
      </c>
      <c r="Q38" t="s">
        <v>426</v>
      </c>
      <c r="R38" t="s">
        <v>426</v>
      </c>
      <c r="S38" t="s">
        <v>426</v>
      </c>
      <c r="T38" t="s">
        <v>426</v>
      </c>
      <c r="U38" t="s">
        <v>426</v>
      </c>
      <c r="V38" t="s">
        <v>426</v>
      </c>
      <c r="W38" t="s">
        <v>426</v>
      </c>
      <c r="X38" t="s">
        <v>426</v>
      </c>
      <c r="Y38">
        <v>0</v>
      </c>
      <c r="Z38">
        <v>0</v>
      </c>
      <c r="AB38">
        <v>0</v>
      </c>
      <c r="AC38">
        <v>0</v>
      </c>
      <c r="AD38">
        <v>0.93</v>
      </c>
      <c r="AE38">
        <v>0</v>
      </c>
      <c r="AF38">
        <v>0</v>
      </c>
      <c r="AG38">
        <v>0</v>
      </c>
      <c r="AH38">
        <v>0</v>
      </c>
      <c r="AI38">
        <v>88</v>
      </c>
      <c r="AZ38" t="s">
        <v>444</v>
      </c>
      <c r="BA38" t="s">
        <v>451</v>
      </c>
    </row>
    <row r="39" spans="1:53" x14ac:dyDescent="0.25">
      <c r="A39" t="s">
        <v>205</v>
      </c>
      <c r="B39" t="s">
        <v>265</v>
      </c>
      <c r="C39" t="s">
        <v>126</v>
      </c>
      <c r="D39">
        <v>161440050</v>
      </c>
      <c r="E39">
        <v>0.5</v>
      </c>
      <c r="F39">
        <v>1</v>
      </c>
      <c r="G39" t="s">
        <v>342</v>
      </c>
      <c r="H39">
        <v>1</v>
      </c>
      <c r="I39">
        <v>12.06</v>
      </c>
      <c r="J39">
        <v>14.97</v>
      </c>
      <c r="K39">
        <v>0.5</v>
      </c>
      <c r="L39">
        <v>14.97</v>
      </c>
      <c r="M39">
        <v>2.62</v>
      </c>
      <c r="N39">
        <v>61</v>
      </c>
      <c r="O39">
        <v>0.86</v>
      </c>
      <c r="P39" t="s">
        <v>426</v>
      </c>
      <c r="Q39" t="s">
        <v>426</v>
      </c>
      <c r="R39" t="s">
        <v>426</v>
      </c>
      <c r="S39" t="s">
        <v>426</v>
      </c>
      <c r="T39" t="s">
        <v>426</v>
      </c>
      <c r="U39" t="s">
        <v>426</v>
      </c>
      <c r="V39" t="s">
        <v>426</v>
      </c>
      <c r="W39" t="s">
        <v>426</v>
      </c>
      <c r="X39" t="s">
        <v>426</v>
      </c>
      <c r="Y39">
        <v>0</v>
      </c>
      <c r="Z39">
        <v>0</v>
      </c>
      <c r="AB39">
        <v>0</v>
      </c>
      <c r="AC39">
        <v>0</v>
      </c>
      <c r="AD39">
        <v>0.86</v>
      </c>
      <c r="AE39">
        <v>0</v>
      </c>
      <c r="AF39">
        <v>0</v>
      </c>
      <c r="AG39">
        <v>0</v>
      </c>
      <c r="AH39">
        <v>0</v>
      </c>
      <c r="AI39">
        <v>101</v>
      </c>
      <c r="AX39" t="s">
        <v>442</v>
      </c>
      <c r="AZ39" t="s">
        <v>443</v>
      </c>
      <c r="BA39" t="s">
        <v>450</v>
      </c>
    </row>
    <row r="40" spans="1:53" x14ac:dyDescent="0.25">
      <c r="A40" t="s">
        <v>206</v>
      </c>
      <c r="B40" t="s">
        <v>266</v>
      </c>
      <c r="C40" t="s">
        <v>126</v>
      </c>
      <c r="D40">
        <v>2435285011</v>
      </c>
      <c r="E40">
        <v>0.75</v>
      </c>
      <c r="F40">
        <v>1</v>
      </c>
      <c r="G40" t="s">
        <v>343</v>
      </c>
      <c r="H40">
        <v>1</v>
      </c>
      <c r="I40">
        <v>18.04</v>
      </c>
      <c r="J40">
        <v>18.77</v>
      </c>
      <c r="K40">
        <v>0.75</v>
      </c>
      <c r="L40">
        <v>18.77</v>
      </c>
      <c r="M40">
        <v>0.98</v>
      </c>
      <c r="N40">
        <v>54.76</v>
      </c>
      <c r="O40">
        <v>0.79</v>
      </c>
      <c r="P40" t="s">
        <v>427</v>
      </c>
      <c r="Q40" t="s">
        <v>426</v>
      </c>
      <c r="R40" t="s">
        <v>426</v>
      </c>
      <c r="S40" t="s">
        <v>426</v>
      </c>
      <c r="T40" t="s">
        <v>426</v>
      </c>
      <c r="U40" t="s">
        <v>426</v>
      </c>
      <c r="V40" t="s">
        <v>426</v>
      </c>
      <c r="W40" t="s">
        <v>426</v>
      </c>
      <c r="X40" t="s">
        <v>426</v>
      </c>
      <c r="Y40">
        <v>0</v>
      </c>
      <c r="Z40">
        <v>0.20300000000000001</v>
      </c>
      <c r="AB40">
        <v>0</v>
      </c>
      <c r="AC40">
        <v>0</v>
      </c>
      <c r="AD40">
        <v>0.79</v>
      </c>
      <c r="AE40">
        <v>0</v>
      </c>
      <c r="AF40">
        <v>0.20300000000000001</v>
      </c>
      <c r="AG40">
        <v>0</v>
      </c>
      <c r="AH40">
        <v>0</v>
      </c>
      <c r="AI40">
        <v>44</v>
      </c>
      <c r="AU40" t="s">
        <v>440</v>
      </c>
      <c r="AZ40" t="s">
        <v>447</v>
      </c>
      <c r="BA40" t="s">
        <v>450</v>
      </c>
    </row>
    <row r="41" spans="1:53" x14ac:dyDescent="0.25">
      <c r="A41" t="s">
        <v>207</v>
      </c>
      <c r="B41" t="s">
        <v>267</v>
      </c>
      <c r="C41" t="s">
        <v>126</v>
      </c>
      <c r="D41">
        <v>28755047</v>
      </c>
      <c r="E41">
        <v>0.35</v>
      </c>
      <c r="F41">
        <v>1</v>
      </c>
      <c r="G41" t="s">
        <v>344</v>
      </c>
      <c r="H41">
        <v>1</v>
      </c>
      <c r="I41">
        <v>51.5</v>
      </c>
      <c r="J41">
        <v>52.05</v>
      </c>
      <c r="K41">
        <v>0.35</v>
      </c>
      <c r="L41">
        <v>52.05</v>
      </c>
      <c r="M41">
        <v>2.72</v>
      </c>
      <c r="N41">
        <v>49.55</v>
      </c>
      <c r="AI41">
        <v>103</v>
      </c>
      <c r="AX41" t="s">
        <v>442</v>
      </c>
      <c r="AZ41" t="s">
        <v>443</v>
      </c>
      <c r="BA41" t="s">
        <v>450</v>
      </c>
    </row>
    <row r="42" spans="1:53" x14ac:dyDescent="0.25">
      <c r="A42" t="s">
        <v>208</v>
      </c>
      <c r="B42" t="s">
        <v>268</v>
      </c>
      <c r="C42" t="s">
        <v>126</v>
      </c>
      <c r="D42">
        <v>463145529</v>
      </c>
      <c r="E42">
        <v>0.70000000000000007</v>
      </c>
      <c r="F42">
        <v>1</v>
      </c>
      <c r="G42" t="s">
        <v>345</v>
      </c>
      <c r="H42">
        <v>1</v>
      </c>
      <c r="I42">
        <v>270.60000000000002</v>
      </c>
      <c r="J42">
        <v>272</v>
      </c>
      <c r="K42">
        <v>0.70000000000000007</v>
      </c>
      <c r="L42">
        <v>272</v>
      </c>
      <c r="M42">
        <v>3.77</v>
      </c>
      <c r="N42">
        <v>55.06</v>
      </c>
      <c r="O42">
        <v>0.91</v>
      </c>
      <c r="P42" t="s">
        <v>426</v>
      </c>
      <c r="Q42" t="s">
        <v>426</v>
      </c>
      <c r="R42" t="s">
        <v>426</v>
      </c>
      <c r="S42" t="s">
        <v>426</v>
      </c>
      <c r="T42" t="s">
        <v>426</v>
      </c>
      <c r="U42" t="s">
        <v>426</v>
      </c>
      <c r="V42" t="s">
        <v>426</v>
      </c>
      <c r="W42" t="s">
        <v>426</v>
      </c>
      <c r="X42" t="s">
        <v>426</v>
      </c>
      <c r="Y42">
        <v>0</v>
      </c>
      <c r="Z42">
        <v>0</v>
      </c>
      <c r="AB42">
        <v>0</v>
      </c>
      <c r="AC42">
        <v>0</v>
      </c>
      <c r="AD42">
        <v>0.91</v>
      </c>
      <c r="AE42">
        <v>0</v>
      </c>
      <c r="AF42">
        <v>0</v>
      </c>
      <c r="AG42">
        <v>0</v>
      </c>
      <c r="AH42">
        <v>0</v>
      </c>
      <c r="AI42">
        <v>109</v>
      </c>
      <c r="AX42" t="s">
        <v>442</v>
      </c>
      <c r="AZ42" t="s">
        <v>443</v>
      </c>
      <c r="BA42" t="s">
        <v>450</v>
      </c>
    </row>
    <row r="43" spans="1:53" x14ac:dyDescent="0.25">
      <c r="A43" t="s">
        <v>209</v>
      </c>
      <c r="B43" t="s">
        <v>269</v>
      </c>
      <c r="C43" t="s">
        <v>126</v>
      </c>
      <c r="D43">
        <v>73085760</v>
      </c>
      <c r="E43">
        <v>0.70000000000000007</v>
      </c>
      <c r="F43">
        <v>1</v>
      </c>
      <c r="G43" t="s">
        <v>346</v>
      </c>
      <c r="H43">
        <v>1</v>
      </c>
      <c r="I43">
        <v>53.4</v>
      </c>
      <c r="J43">
        <v>57.35</v>
      </c>
      <c r="K43">
        <v>0.70000000000000007</v>
      </c>
      <c r="L43">
        <v>57.35</v>
      </c>
      <c r="M43">
        <v>2.63</v>
      </c>
      <c r="N43">
        <v>65.72</v>
      </c>
      <c r="O43">
        <v>0.76</v>
      </c>
      <c r="P43" t="s">
        <v>426</v>
      </c>
      <c r="Q43" t="s">
        <v>426</v>
      </c>
      <c r="R43" t="s">
        <v>426</v>
      </c>
      <c r="S43" t="s">
        <v>426</v>
      </c>
      <c r="T43" t="s">
        <v>426</v>
      </c>
      <c r="U43" t="s">
        <v>426</v>
      </c>
      <c r="V43" t="s">
        <v>426</v>
      </c>
      <c r="W43" t="s">
        <v>426</v>
      </c>
      <c r="X43" t="s">
        <v>426</v>
      </c>
      <c r="Y43">
        <v>0</v>
      </c>
      <c r="Z43">
        <v>0</v>
      </c>
      <c r="AB43">
        <v>0</v>
      </c>
      <c r="AC43">
        <v>0</v>
      </c>
      <c r="AD43">
        <v>0.76</v>
      </c>
      <c r="AE43">
        <v>0</v>
      </c>
      <c r="AF43">
        <v>0</v>
      </c>
      <c r="AG43">
        <v>0</v>
      </c>
      <c r="AH43">
        <v>0</v>
      </c>
      <c r="AI43">
        <v>102</v>
      </c>
      <c r="AX43" t="s">
        <v>442</v>
      </c>
      <c r="AZ43" t="s">
        <v>443</v>
      </c>
      <c r="BA43" t="s">
        <v>450</v>
      </c>
    </row>
    <row r="44" spans="1:53" x14ac:dyDescent="0.25">
      <c r="A44" t="s">
        <v>210</v>
      </c>
      <c r="B44" t="s">
        <v>270</v>
      </c>
      <c r="C44" t="s">
        <v>126</v>
      </c>
      <c r="D44">
        <v>182163000</v>
      </c>
      <c r="E44">
        <v>0.65</v>
      </c>
      <c r="F44">
        <v>1</v>
      </c>
      <c r="G44" t="s">
        <v>347</v>
      </c>
      <c r="H44">
        <v>1</v>
      </c>
      <c r="I44">
        <v>62.64</v>
      </c>
      <c r="J44">
        <v>68.36</v>
      </c>
      <c r="K44">
        <v>0.65</v>
      </c>
      <c r="L44">
        <v>68.36</v>
      </c>
      <c r="M44">
        <v>2.46</v>
      </c>
      <c r="N44">
        <v>58.08</v>
      </c>
      <c r="O44">
        <v>0.72</v>
      </c>
      <c r="P44" t="s">
        <v>426</v>
      </c>
      <c r="Q44" t="s">
        <v>426</v>
      </c>
      <c r="R44" t="s">
        <v>426</v>
      </c>
      <c r="S44" t="s">
        <v>426</v>
      </c>
      <c r="T44" t="s">
        <v>426</v>
      </c>
      <c r="U44" t="s">
        <v>426</v>
      </c>
      <c r="V44" t="s">
        <v>426</v>
      </c>
      <c r="W44" t="s">
        <v>426</v>
      </c>
      <c r="X44" t="s">
        <v>426</v>
      </c>
      <c r="Y44">
        <v>0</v>
      </c>
      <c r="Z44">
        <v>0</v>
      </c>
      <c r="AB44">
        <v>0</v>
      </c>
      <c r="AC44">
        <v>0</v>
      </c>
      <c r="AD44">
        <v>0.72</v>
      </c>
      <c r="AE44">
        <v>0</v>
      </c>
      <c r="AF44">
        <v>0</v>
      </c>
      <c r="AG44">
        <v>0</v>
      </c>
      <c r="AH44">
        <v>0</v>
      </c>
      <c r="AI44">
        <v>95</v>
      </c>
      <c r="AZ44" t="s">
        <v>444</v>
      </c>
      <c r="BA44" t="s">
        <v>451</v>
      </c>
    </row>
    <row r="45" spans="1:53" x14ac:dyDescent="0.25">
      <c r="A45" t="s">
        <v>25</v>
      </c>
      <c r="B45" t="s">
        <v>84</v>
      </c>
      <c r="C45" t="s">
        <v>126</v>
      </c>
      <c r="D45">
        <v>101542528</v>
      </c>
      <c r="E45">
        <v>0.75</v>
      </c>
      <c r="F45">
        <v>1</v>
      </c>
      <c r="G45" t="s">
        <v>348</v>
      </c>
      <c r="H45">
        <v>1</v>
      </c>
      <c r="I45">
        <v>136.4</v>
      </c>
      <c r="J45">
        <v>143</v>
      </c>
      <c r="K45">
        <v>0.75</v>
      </c>
      <c r="L45">
        <v>143</v>
      </c>
      <c r="M45">
        <v>0.66</v>
      </c>
      <c r="N45">
        <v>57.54</v>
      </c>
      <c r="O45">
        <v>0.79</v>
      </c>
      <c r="P45" t="s">
        <v>426</v>
      </c>
      <c r="Q45" t="s">
        <v>426</v>
      </c>
      <c r="R45" t="s">
        <v>426</v>
      </c>
      <c r="S45" t="s">
        <v>426</v>
      </c>
      <c r="T45" t="s">
        <v>426</v>
      </c>
      <c r="U45" t="s">
        <v>426</v>
      </c>
      <c r="V45" t="s">
        <v>426</v>
      </c>
      <c r="W45" t="s">
        <v>426</v>
      </c>
      <c r="X45" t="s">
        <v>426</v>
      </c>
      <c r="Y45">
        <v>0</v>
      </c>
      <c r="Z45">
        <v>0</v>
      </c>
      <c r="AB45">
        <v>0</v>
      </c>
      <c r="AC45">
        <v>0</v>
      </c>
      <c r="AD45">
        <v>0.79</v>
      </c>
      <c r="AE45">
        <v>0</v>
      </c>
      <c r="AF45">
        <v>0</v>
      </c>
      <c r="AG45">
        <v>0</v>
      </c>
      <c r="AH45">
        <v>0</v>
      </c>
      <c r="AI45">
        <v>28</v>
      </c>
      <c r="AZ45" t="s">
        <v>444</v>
      </c>
      <c r="BA45" t="s">
        <v>451</v>
      </c>
    </row>
    <row r="46" spans="1:53" x14ac:dyDescent="0.25">
      <c r="A46" t="s">
        <v>211</v>
      </c>
      <c r="B46" t="s">
        <v>271</v>
      </c>
      <c r="C46" t="s">
        <v>126</v>
      </c>
      <c r="D46">
        <v>475178378</v>
      </c>
      <c r="E46">
        <v>0.2</v>
      </c>
      <c r="F46">
        <v>1</v>
      </c>
      <c r="G46" t="s">
        <v>349</v>
      </c>
      <c r="H46">
        <v>1</v>
      </c>
      <c r="I46">
        <v>3.2050000000000001</v>
      </c>
      <c r="J46">
        <v>3.2549999999999999</v>
      </c>
      <c r="K46">
        <v>0.2</v>
      </c>
      <c r="L46">
        <v>3.2549999999999999</v>
      </c>
      <c r="M46">
        <v>1.88</v>
      </c>
      <c r="N46">
        <v>46.07</v>
      </c>
      <c r="O46">
        <v>0.72</v>
      </c>
      <c r="P46" t="s">
        <v>426</v>
      </c>
      <c r="Q46" t="s">
        <v>426</v>
      </c>
      <c r="R46" t="s">
        <v>426</v>
      </c>
      <c r="S46" t="s">
        <v>426</v>
      </c>
      <c r="T46" t="s">
        <v>426</v>
      </c>
      <c r="U46" t="s">
        <v>426</v>
      </c>
      <c r="V46" t="s">
        <v>426</v>
      </c>
      <c r="W46" t="s">
        <v>426</v>
      </c>
      <c r="X46" t="s">
        <v>426</v>
      </c>
      <c r="Y46">
        <v>0</v>
      </c>
      <c r="Z46">
        <v>0</v>
      </c>
      <c r="AB46">
        <v>0</v>
      </c>
      <c r="AC46">
        <v>0</v>
      </c>
      <c r="AD46">
        <v>0.72</v>
      </c>
      <c r="AE46">
        <v>0</v>
      </c>
      <c r="AF46">
        <v>0</v>
      </c>
      <c r="AG46">
        <v>0</v>
      </c>
      <c r="AH46">
        <v>0</v>
      </c>
      <c r="AI46">
        <v>77</v>
      </c>
      <c r="AZ46" t="s">
        <v>444</v>
      </c>
      <c r="BA46" t="s">
        <v>451</v>
      </c>
    </row>
    <row r="47" spans="1:53" x14ac:dyDescent="0.25">
      <c r="A47" t="s">
        <v>212</v>
      </c>
      <c r="B47" t="s">
        <v>272</v>
      </c>
      <c r="C47" t="s">
        <v>126</v>
      </c>
      <c r="D47">
        <v>17424747</v>
      </c>
      <c r="E47">
        <v>0.55000000000000004</v>
      </c>
      <c r="F47">
        <v>1</v>
      </c>
      <c r="G47" t="s">
        <v>350</v>
      </c>
      <c r="H47">
        <v>1</v>
      </c>
      <c r="I47">
        <v>106.8</v>
      </c>
      <c r="J47">
        <v>115.4</v>
      </c>
      <c r="K47">
        <v>0.55000000000000004</v>
      </c>
      <c r="L47">
        <v>115.4</v>
      </c>
      <c r="M47">
        <v>2.15</v>
      </c>
      <c r="N47">
        <v>24.68</v>
      </c>
      <c r="O47">
        <v>0.72</v>
      </c>
      <c r="P47" t="s">
        <v>426</v>
      </c>
      <c r="Q47" t="s">
        <v>426</v>
      </c>
      <c r="R47" t="s">
        <v>426</v>
      </c>
      <c r="S47" t="s">
        <v>426</v>
      </c>
      <c r="T47" t="s">
        <v>426</v>
      </c>
      <c r="U47" t="s">
        <v>426</v>
      </c>
      <c r="V47" t="s">
        <v>426</v>
      </c>
      <c r="W47" t="s">
        <v>426</v>
      </c>
      <c r="X47" t="s">
        <v>426</v>
      </c>
      <c r="Y47">
        <v>0</v>
      </c>
      <c r="Z47">
        <v>0</v>
      </c>
      <c r="AB47">
        <v>0</v>
      </c>
      <c r="AC47">
        <v>0</v>
      </c>
      <c r="AD47">
        <v>0.72</v>
      </c>
      <c r="AE47">
        <v>0</v>
      </c>
      <c r="AF47">
        <v>0</v>
      </c>
      <c r="AG47">
        <v>0</v>
      </c>
      <c r="AH47">
        <v>0</v>
      </c>
      <c r="AI47">
        <v>86</v>
      </c>
      <c r="AZ47" t="s">
        <v>444</v>
      </c>
      <c r="BA47" t="s">
        <v>451</v>
      </c>
    </row>
    <row r="48" spans="1:53" x14ac:dyDescent="0.25">
      <c r="A48" t="s">
        <v>213</v>
      </c>
      <c r="B48" t="s">
        <v>273</v>
      </c>
      <c r="C48" t="s">
        <v>126</v>
      </c>
      <c r="D48">
        <v>50782552</v>
      </c>
      <c r="E48">
        <v>0.55000000000000004</v>
      </c>
      <c r="F48">
        <v>1</v>
      </c>
      <c r="G48" t="s">
        <v>351</v>
      </c>
      <c r="H48">
        <v>1</v>
      </c>
      <c r="I48">
        <v>43.9</v>
      </c>
      <c r="J48">
        <v>40.1</v>
      </c>
      <c r="K48">
        <v>0.55000000000000004</v>
      </c>
      <c r="L48">
        <v>40.1</v>
      </c>
      <c r="O48" t="s">
        <v>425</v>
      </c>
      <c r="P48" t="s">
        <v>426</v>
      </c>
      <c r="Q48" t="s">
        <v>425</v>
      </c>
      <c r="R48" t="s">
        <v>425</v>
      </c>
      <c r="S48" t="s">
        <v>425</v>
      </c>
      <c r="T48" t="s">
        <v>425</v>
      </c>
      <c r="U48" t="s">
        <v>425</v>
      </c>
      <c r="V48" t="s">
        <v>425</v>
      </c>
      <c r="W48" t="s">
        <v>425</v>
      </c>
      <c r="X48" t="s">
        <v>425</v>
      </c>
      <c r="Y48">
        <v>0</v>
      </c>
      <c r="Z48">
        <v>0</v>
      </c>
      <c r="AB48">
        <v>0</v>
      </c>
      <c r="AC48">
        <v>0</v>
      </c>
      <c r="AE48">
        <v>0</v>
      </c>
      <c r="AF48">
        <v>0</v>
      </c>
      <c r="AG48">
        <v>0</v>
      </c>
      <c r="AH48">
        <v>0</v>
      </c>
      <c r="AI48">
        <v>120</v>
      </c>
      <c r="AJ48" t="s">
        <v>431</v>
      </c>
      <c r="AL48" t="s">
        <v>432</v>
      </c>
      <c r="AM48" t="s">
        <v>433</v>
      </c>
      <c r="AN48" t="s">
        <v>434</v>
      </c>
      <c r="AO48" t="s">
        <v>435</v>
      </c>
      <c r="AP48" t="s">
        <v>436</v>
      </c>
      <c r="AQ48" t="s">
        <v>437</v>
      </c>
      <c r="AR48" t="s">
        <v>438</v>
      </c>
      <c r="AS48" t="s">
        <v>439</v>
      </c>
      <c r="AX48" t="s">
        <v>442</v>
      </c>
      <c r="AZ48" t="s">
        <v>448</v>
      </c>
      <c r="BA48" t="s">
        <v>450</v>
      </c>
    </row>
    <row r="49" spans="1:53" x14ac:dyDescent="0.25">
      <c r="A49" t="s">
        <v>214</v>
      </c>
      <c r="B49" t="s">
        <v>274</v>
      </c>
      <c r="C49" t="s">
        <v>126</v>
      </c>
      <c r="D49">
        <v>185270000</v>
      </c>
      <c r="E49">
        <v>0.65</v>
      </c>
      <c r="F49">
        <v>1</v>
      </c>
      <c r="G49" t="s">
        <v>352</v>
      </c>
      <c r="H49">
        <v>1</v>
      </c>
      <c r="I49">
        <v>28.86</v>
      </c>
      <c r="J49">
        <v>28.5</v>
      </c>
      <c r="K49">
        <v>0.65</v>
      </c>
      <c r="L49">
        <v>28.5</v>
      </c>
      <c r="M49">
        <v>3.19</v>
      </c>
      <c r="N49">
        <v>54.41</v>
      </c>
      <c r="O49" t="s">
        <v>424</v>
      </c>
      <c r="P49" t="s">
        <v>426</v>
      </c>
      <c r="Q49" t="s">
        <v>426</v>
      </c>
      <c r="R49" t="s">
        <v>426</v>
      </c>
      <c r="S49" t="s">
        <v>426</v>
      </c>
      <c r="T49" t="s">
        <v>426</v>
      </c>
      <c r="U49" t="s">
        <v>426</v>
      </c>
      <c r="V49" t="s">
        <v>426</v>
      </c>
      <c r="W49" t="s">
        <v>426</v>
      </c>
      <c r="X49" t="s">
        <v>426</v>
      </c>
      <c r="Y49">
        <v>0</v>
      </c>
      <c r="Z49">
        <v>0</v>
      </c>
      <c r="AB49">
        <v>0</v>
      </c>
      <c r="AC49">
        <v>0</v>
      </c>
      <c r="AE49">
        <v>0</v>
      </c>
      <c r="AF49">
        <v>0</v>
      </c>
      <c r="AG49">
        <v>0</v>
      </c>
      <c r="AH49">
        <v>0</v>
      </c>
      <c r="AI49">
        <v>108</v>
      </c>
      <c r="AX49" t="s">
        <v>442</v>
      </c>
      <c r="AZ49" t="s">
        <v>443</v>
      </c>
      <c r="BA49" t="s">
        <v>450</v>
      </c>
    </row>
    <row r="50" spans="1:53" x14ac:dyDescent="0.25">
      <c r="A50" t="s">
        <v>26</v>
      </c>
      <c r="B50" t="s">
        <v>85</v>
      </c>
      <c r="C50" t="s">
        <v>126</v>
      </c>
      <c r="D50">
        <v>197089340</v>
      </c>
      <c r="E50">
        <v>0.85000000000000009</v>
      </c>
      <c r="F50">
        <v>1</v>
      </c>
      <c r="G50" t="s">
        <v>353</v>
      </c>
      <c r="H50">
        <v>1</v>
      </c>
      <c r="I50">
        <v>11.154999999999999</v>
      </c>
      <c r="J50">
        <v>11.865</v>
      </c>
      <c r="K50">
        <v>0.85000000000000009</v>
      </c>
      <c r="L50">
        <v>11.865</v>
      </c>
      <c r="M50">
        <v>0.52</v>
      </c>
      <c r="N50">
        <v>55.42</v>
      </c>
      <c r="O50">
        <v>0.96</v>
      </c>
      <c r="P50" t="s">
        <v>426</v>
      </c>
      <c r="Q50" t="s">
        <v>426</v>
      </c>
      <c r="R50" t="s">
        <v>426</v>
      </c>
      <c r="S50" t="s">
        <v>426</v>
      </c>
      <c r="T50" t="s">
        <v>426</v>
      </c>
      <c r="U50" t="s">
        <v>426</v>
      </c>
      <c r="V50" t="s">
        <v>426</v>
      </c>
      <c r="W50" t="s">
        <v>426</v>
      </c>
      <c r="X50" t="s">
        <v>426</v>
      </c>
      <c r="Y50">
        <v>0</v>
      </c>
      <c r="Z50">
        <v>0</v>
      </c>
      <c r="AB50">
        <v>0</v>
      </c>
      <c r="AC50">
        <v>0</v>
      </c>
      <c r="AD50">
        <v>0.96</v>
      </c>
      <c r="AE50">
        <v>0</v>
      </c>
      <c r="AF50">
        <v>0</v>
      </c>
      <c r="AG50">
        <v>0</v>
      </c>
      <c r="AH50">
        <v>0</v>
      </c>
      <c r="AI50">
        <v>21</v>
      </c>
      <c r="AZ50" t="s">
        <v>444</v>
      </c>
      <c r="BA50" t="s">
        <v>451</v>
      </c>
    </row>
    <row r="51" spans="1:53" x14ac:dyDescent="0.25">
      <c r="A51" t="s">
        <v>215</v>
      </c>
      <c r="B51" t="s">
        <v>275</v>
      </c>
      <c r="C51" t="s">
        <v>126</v>
      </c>
      <c r="D51">
        <v>76738691</v>
      </c>
      <c r="E51">
        <v>0.60000000000000009</v>
      </c>
      <c r="F51">
        <v>1</v>
      </c>
      <c r="G51" t="s">
        <v>354</v>
      </c>
      <c r="H51">
        <v>1</v>
      </c>
      <c r="I51">
        <v>84.6</v>
      </c>
      <c r="J51">
        <v>87.65</v>
      </c>
      <c r="K51">
        <v>0.60000000000000009</v>
      </c>
      <c r="L51">
        <v>87.65</v>
      </c>
      <c r="M51">
        <v>1.77</v>
      </c>
      <c r="N51">
        <v>67.84</v>
      </c>
      <c r="O51">
        <v>0.92</v>
      </c>
      <c r="P51" t="s">
        <v>426</v>
      </c>
      <c r="Q51" t="s">
        <v>426</v>
      </c>
      <c r="R51" t="s">
        <v>426</v>
      </c>
      <c r="S51" t="s">
        <v>426</v>
      </c>
      <c r="T51" t="s">
        <v>426</v>
      </c>
      <c r="U51" t="s">
        <v>426</v>
      </c>
      <c r="V51" t="s">
        <v>426</v>
      </c>
      <c r="W51" t="s">
        <v>426</v>
      </c>
      <c r="X51" t="s">
        <v>426</v>
      </c>
      <c r="Y51">
        <v>0</v>
      </c>
      <c r="Z51">
        <v>0</v>
      </c>
      <c r="AB51">
        <v>0</v>
      </c>
      <c r="AC51">
        <v>0</v>
      </c>
      <c r="AD51">
        <v>0.92</v>
      </c>
      <c r="AE51">
        <v>0</v>
      </c>
      <c r="AF51">
        <v>0</v>
      </c>
      <c r="AG51">
        <v>0</v>
      </c>
      <c r="AH51">
        <v>0</v>
      </c>
      <c r="AI51">
        <v>75</v>
      </c>
      <c r="AZ51" t="s">
        <v>444</v>
      </c>
      <c r="BA51" t="s">
        <v>451</v>
      </c>
    </row>
    <row r="52" spans="1:53" x14ac:dyDescent="0.25">
      <c r="A52" t="s">
        <v>216</v>
      </c>
      <c r="B52" t="s">
        <v>276</v>
      </c>
      <c r="C52" t="s">
        <v>126</v>
      </c>
      <c r="D52">
        <v>550000000</v>
      </c>
      <c r="E52">
        <v>0.55000000000000004</v>
      </c>
      <c r="F52">
        <v>1</v>
      </c>
      <c r="G52" t="s">
        <v>355</v>
      </c>
      <c r="H52">
        <v>1</v>
      </c>
      <c r="I52">
        <v>15.65</v>
      </c>
      <c r="J52">
        <v>17.05</v>
      </c>
      <c r="K52">
        <v>0.55000000000000004</v>
      </c>
      <c r="L52">
        <v>17.05</v>
      </c>
      <c r="M52">
        <v>1.68</v>
      </c>
      <c r="N52">
        <v>62.09</v>
      </c>
      <c r="O52">
        <v>0.86</v>
      </c>
      <c r="P52" t="s">
        <v>426</v>
      </c>
      <c r="Q52" t="s">
        <v>426</v>
      </c>
      <c r="R52" t="s">
        <v>426</v>
      </c>
      <c r="S52" t="s">
        <v>426</v>
      </c>
      <c r="T52" t="s">
        <v>426</v>
      </c>
      <c r="U52" t="s">
        <v>426</v>
      </c>
      <c r="V52" t="s">
        <v>426</v>
      </c>
      <c r="W52" t="s">
        <v>426</v>
      </c>
      <c r="X52" t="s">
        <v>426</v>
      </c>
      <c r="Y52">
        <v>0</v>
      </c>
      <c r="Z52">
        <v>0</v>
      </c>
      <c r="AB52">
        <v>0</v>
      </c>
      <c r="AC52">
        <v>0</v>
      </c>
      <c r="AD52">
        <v>0.86</v>
      </c>
      <c r="AE52">
        <v>0</v>
      </c>
      <c r="AF52">
        <v>0</v>
      </c>
      <c r="AG52">
        <v>0</v>
      </c>
      <c r="AH52">
        <v>0</v>
      </c>
      <c r="AI52">
        <v>72</v>
      </c>
      <c r="AZ52" t="s">
        <v>444</v>
      </c>
      <c r="BA52" t="s">
        <v>451</v>
      </c>
    </row>
    <row r="53" spans="1:53" x14ac:dyDescent="0.25">
      <c r="A53" t="s">
        <v>27</v>
      </c>
      <c r="B53" t="s">
        <v>86</v>
      </c>
      <c r="C53" t="s">
        <v>126</v>
      </c>
      <c r="D53">
        <v>37117772</v>
      </c>
      <c r="E53">
        <v>1</v>
      </c>
      <c r="F53">
        <v>1</v>
      </c>
      <c r="G53" t="s">
        <v>356</v>
      </c>
      <c r="H53">
        <v>1</v>
      </c>
      <c r="I53">
        <v>156.9</v>
      </c>
      <c r="J53">
        <v>158.5</v>
      </c>
      <c r="K53">
        <v>1</v>
      </c>
      <c r="L53">
        <v>158.5</v>
      </c>
      <c r="M53">
        <v>1.01</v>
      </c>
      <c r="N53">
        <v>51.6</v>
      </c>
      <c r="O53">
        <v>0.93</v>
      </c>
      <c r="P53" t="s">
        <v>426</v>
      </c>
      <c r="Q53" t="s">
        <v>426</v>
      </c>
      <c r="R53" t="s">
        <v>426</v>
      </c>
      <c r="S53" t="s">
        <v>426</v>
      </c>
      <c r="T53" t="s">
        <v>426</v>
      </c>
      <c r="U53" t="s">
        <v>426</v>
      </c>
      <c r="V53" t="s">
        <v>426</v>
      </c>
      <c r="W53" t="s">
        <v>426</v>
      </c>
      <c r="X53" t="s">
        <v>426</v>
      </c>
      <c r="Y53">
        <v>0</v>
      </c>
      <c r="Z53">
        <v>0</v>
      </c>
      <c r="AB53">
        <v>0</v>
      </c>
      <c r="AC53">
        <v>0</v>
      </c>
      <c r="AD53">
        <v>0.93</v>
      </c>
      <c r="AE53">
        <v>0</v>
      </c>
      <c r="AF53">
        <v>0</v>
      </c>
      <c r="AG53">
        <v>0</v>
      </c>
      <c r="AH53">
        <v>0</v>
      </c>
      <c r="AI53">
        <v>45</v>
      </c>
      <c r="AZ53" t="s">
        <v>444</v>
      </c>
      <c r="BA53" t="s">
        <v>451</v>
      </c>
    </row>
    <row r="54" spans="1:53" x14ac:dyDescent="0.25">
      <c r="A54" t="s">
        <v>217</v>
      </c>
      <c r="B54" t="s">
        <v>277</v>
      </c>
      <c r="C54" t="s">
        <v>126</v>
      </c>
      <c r="D54">
        <v>105569412</v>
      </c>
      <c r="E54">
        <v>0.3</v>
      </c>
      <c r="F54">
        <v>1</v>
      </c>
      <c r="G54" t="s">
        <v>357</v>
      </c>
      <c r="H54">
        <v>1</v>
      </c>
      <c r="I54">
        <v>2119</v>
      </c>
      <c r="J54">
        <v>2095</v>
      </c>
      <c r="K54">
        <v>0.3</v>
      </c>
      <c r="L54">
        <v>2095</v>
      </c>
      <c r="M54">
        <v>1.67</v>
      </c>
      <c r="N54">
        <v>60.29</v>
      </c>
      <c r="O54">
        <v>0.93</v>
      </c>
      <c r="P54" t="s">
        <v>426</v>
      </c>
      <c r="Q54" t="s">
        <v>426</v>
      </c>
      <c r="R54" t="s">
        <v>426</v>
      </c>
      <c r="S54" t="s">
        <v>426</v>
      </c>
      <c r="T54" t="s">
        <v>426</v>
      </c>
      <c r="U54" t="s">
        <v>426</v>
      </c>
      <c r="V54" t="s">
        <v>426</v>
      </c>
      <c r="W54" t="s">
        <v>426</v>
      </c>
      <c r="X54" t="s">
        <v>426</v>
      </c>
      <c r="Y54">
        <v>0</v>
      </c>
      <c r="Z54">
        <v>0</v>
      </c>
      <c r="AB54">
        <v>0</v>
      </c>
      <c r="AC54">
        <v>0</v>
      </c>
      <c r="AD54">
        <v>0.93</v>
      </c>
      <c r="AE54">
        <v>0</v>
      </c>
      <c r="AF54">
        <v>0</v>
      </c>
      <c r="AG54">
        <v>0</v>
      </c>
      <c r="AH54">
        <v>0</v>
      </c>
      <c r="AI54">
        <v>71</v>
      </c>
      <c r="AZ54" t="s">
        <v>444</v>
      </c>
      <c r="BA54" t="s">
        <v>451</v>
      </c>
    </row>
    <row r="55" spans="1:53" x14ac:dyDescent="0.25">
      <c r="A55" t="s">
        <v>28</v>
      </c>
      <c r="B55" t="s">
        <v>87</v>
      </c>
      <c r="C55" t="s">
        <v>126</v>
      </c>
      <c r="D55">
        <v>76234545</v>
      </c>
      <c r="E55">
        <v>0.4</v>
      </c>
      <c r="F55">
        <v>1</v>
      </c>
      <c r="G55" t="s">
        <v>358</v>
      </c>
      <c r="H55">
        <v>1</v>
      </c>
      <c r="I55">
        <v>21.02</v>
      </c>
      <c r="J55">
        <v>22.56</v>
      </c>
      <c r="K55">
        <v>0.4</v>
      </c>
      <c r="L55">
        <v>22.56</v>
      </c>
      <c r="M55">
        <v>1.23</v>
      </c>
      <c r="N55">
        <v>63.24</v>
      </c>
      <c r="AI55">
        <v>55</v>
      </c>
      <c r="AZ55" t="s">
        <v>444</v>
      </c>
      <c r="BA55" t="s">
        <v>451</v>
      </c>
    </row>
    <row r="56" spans="1:53" x14ac:dyDescent="0.25">
      <c r="A56" t="s">
        <v>218</v>
      </c>
      <c r="B56" t="s">
        <v>278</v>
      </c>
      <c r="C56" t="s">
        <v>126</v>
      </c>
      <c r="D56">
        <v>6548328</v>
      </c>
      <c r="E56">
        <v>0.45</v>
      </c>
      <c r="F56">
        <v>1</v>
      </c>
      <c r="G56" t="s">
        <v>359</v>
      </c>
      <c r="H56">
        <v>1</v>
      </c>
      <c r="I56">
        <v>411.5</v>
      </c>
      <c r="J56">
        <v>438</v>
      </c>
      <c r="K56">
        <v>0.45</v>
      </c>
      <c r="L56">
        <v>438</v>
      </c>
      <c r="M56">
        <v>2.33</v>
      </c>
      <c r="N56">
        <v>39.14</v>
      </c>
      <c r="O56">
        <v>0.92</v>
      </c>
      <c r="P56" t="s">
        <v>426</v>
      </c>
      <c r="Q56" t="s">
        <v>426</v>
      </c>
      <c r="R56" t="s">
        <v>426</v>
      </c>
      <c r="S56" t="s">
        <v>426</v>
      </c>
      <c r="T56" t="s">
        <v>426</v>
      </c>
      <c r="U56" t="s">
        <v>426</v>
      </c>
      <c r="V56" t="s">
        <v>426</v>
      </c>
      <c r="W56" t="s">
        <v>426</v>
      </c>
      <c r="X56" t="s">
        <v>426</v>
      </c>
      <c r="Y56">
        <v>0</v>
      </c>
      <c r="Z56">
        <v>0</v>
      </c>
      <c r="AB56">
        <v>0</v>
      </c>
      <c r="AC56">
        <v>0</v>
      </c>
      <c r="AD56">
        <v>0.92</v>
      </c>
      <c r="AE56">
        <v>0</v>
      </c>
      <c r="AF56">
        <v>0</v>
      </c>
      <c r="AG56">
        <v>0</v>
      </c>
      <c r="AH56">
        <v>0</v>
      </c>
      <c r="AI56">
        <v>90</v>
      </c>
      <c r="AZ56" t="s">
        <v>444</v>
      </c>
      <c r="BA56" t="s">
        <v>451</v>
      </c>
    </row>
    <row r="57" spans="1:53" x14ac:dyDescent="0.25">
      <c r="A57" t="s">
        <v>219</v>
      </c>
      <c r="B57" t="s">
        <v>279</v>
      </c>
      <c r="C57" t="s">
        <v>126</v>
      </c>
      <c r="D57">
        <v>84940955</v>
      </c>
      <c r="E57">
        <v>0.4</v>
      </c>
      <c r="F57">
        <v>1</v>
      </c>
      <c r="G57" t="s">
        <v>360</v>
      </c>
      <c r="H57">
        <v>1</v>
      </c>
      <c r="I57">
        <v>22.48</v>
      </c>
      <c r="J57">
        <v>22.58</v>
      </c>
      <c r="K57">
        <v>0.4</v>
      </c>
      <c r="L57">
        <v>22.58</v>
      </c>
      <c r="M57">
        <v>2.36</v>
      </c>
      <c r="N57">
        <v>52.84</v>
      </c>
      <c r="AI57">
        <v>92</v>
      </c>
      <c r="AZ57" t="s">
        <v>444</v>
      </c>
      <c r="BA57" t="s">
        <v>451</v>
      </c>
    </row>
    <row r="58" spans="1:53" x14ac:dyDescent="0.25">
      <c r="A58" t="s">
        <v>29</v>
      </c>
      <c r="B58" t="s">
        <v>88</v>
      </c>
      <c r="C58" t="s">
        <v>126</v>
      </c>
      <c r="D58">
        <v>83727849</v>
      </c>
      <c r="E58">
        <v>0.3</v>
      </c>
      <c r="F58">
        <v>1</v>
      </c>
      <c r="G58" t="s">
        <v>361</v>
      </c>
      <c r="H58">
        <v>1</v>
      </c>
      <c r="I58">
        <v>29.02</v>
      </c>
      <c r="J58">
        <v>32.74</v>
      </c>
      <c r="K58">
        <v>0.3</v>
      </c>
      <c r="L58">
        <v>32.74</v>
      </c>
      <c r="M58">
        <v>1.07</v>
      </c>
      <c r="N58">
        <v>43.76</v>
      </c>
      <c r="O58" t="s">
        <v>424</v>
      </c>
      <c r="P58" t="s">
        <v>426</v>
      </c>
      <c r="Q58" t="s">
        <v>426</v>
      </c>
      <c r="R58" t="s">
        <v>426</v>
      </c>
      <c r="S58" t="s">
        <v>426</v>
      </c>
      <c r="T58" t="s">
        <v>426</v>
      </c>
      <c r="U58" t="s">
        <v>426</v>
      </c>
      <c r="V58" t="s">
        <v>426</v>
      </c>
      <c r="W58" t="s">
        <v>426</v>
      </c>
      <c r="X58" t="s">
        <v>426</v>
      </c>
      <c r="Y58">
        <v>0</v>
      </c>
      <c r="Z58">
        <v>0</v>
      </c>
      <c r="AB58">
        <v>0</v>
      </c>
      <c r="AC58">
        <v>0</v>
      </c>
      <c r="AE58">
        <v>0</v>
      </c>
      <c r="AF58">
        <v>0</v>
      </c>
      <c r="AG58">
        <v>0</v>
      </c>
      <c r="AH58">
        <v>0</v>
      </c>
      <c r="AI58">
        <v>49</v>
      </c>
      <c r="AZ58" t="s">
        <v>444</v>
      </c>
      <c r="BA58" t="s">
        <v>451</v>
      </c>
    </row>
    <row r="59" spans="1:53" x14ac:dyDescent="0.25">
      <c r="A59" t="s">
        <v>30</v>
      </c>
      <c r="B59" t="s">
        <v>89</v>
      </c>
      <c r="C59" t="s">
        <v>126</v>
      </c>
      <c r="D59">
        <v>83814526</v>
      </c>
      <c r="E59">
        <v>0.4</v>
      </c>
      <c r="F59">
        <v>1</v>
      </c>
      <c r="G59" t="s">
        <v>362</v>
      </c>
      <c r="H59">
        <v>1</v>
      </c>
      <c r="I59">
        <v>116.8</v>
      </c>
      <c r="J59">
        <v>116.7</v>
      </c>
      <c r="K59">
        <v>0.4</v>
      </c>
      <c r="L59">
        <v>116.7</v>
      </c>
      <c r="M59">
        <v>1.02</v>
      </c>
      <c r="N59">
        <v>58.02</v>
      </c>
      <c r="O59">
        <v>0.96</v>
      </c>
      <c r="P59" t="s">
        <v>426</v>
      </c>
      <c r="Q59" t="s">
        <v>426</v>
      </c>
      <c r="R59" t="s">
        <v>426</v>
      </c>
      <c r="S59" t="s">
        <v>426</v>
      </c>
      <c r="T59" t="s">
        <v>426</v>
      </c>
      <c r="U59" t="s">
        <v>426</v>
      </c>
      <c r="V59" t="s">
        <v>426</v>
      </c>
      <c r="W59" t="s">
        <v>426</v>
      </c>
      <c r="X59" t="s">
        <v>426</v>
      </c>
      <c r="Y59">
        <v>0</v>
      </c>
      <c r="Z59">
        <v>0</v>
      </c>
      <c r="AB59">
        <v>0</v>
      </c>
      <c r="AC59">
        <v>0</v>
      </c>
      <c r="AD59">
        <v>0.96</v>
      </c>
      <c r="AE59">
        <v>0</v>
      </c>
      <c r="AF59">
        <v>0</v>
      </c>
      <c r="AG59">
        <v>0</v>
      </c>
      <c r="AH59">
        <v>0</v>
      </c>
      <c r="AI59">
        <v>46</v>
      </c>
      <c r="AZ59" t="s">
        <v>444</v>
      </c>
      <c r="BA59" t="s">
        <v>451</v>
      </c>
    </row>
    <row r="60" spans="1:53" x14ac:dyDescent="0.25">
      <c r="A60" t="s">
        <v>220</v>
      </c>
      <c r="B60" t="s">
        <v>280</v>
      </c>
      <c r="C60" t="s">
        <v>126</v>
      </c>
      <c r="D60">
        <v>43203225</v>
      </c>
      <c r="E60">
        <v>0.8</v>
      </c>
      <c r="F60">
        <v>1</v>
      </c>
      <c r="G60" t="s">
        <v>363</v>
      </c>
      <c r="H60">
        <v>1</v>
      </c>
      <c r="I60">
        <v>37.32</v>
      </c>
      <c r="J60">
        <v>39</v>
      </c>
      <c r="K60">
        <v>0.8</v>
      </c>
      <c r="L60">
        <v>39</v>
      </c>
      <c r="M60">
        <v>4.1500000000000004</v>
      </c>
      <c r="N60">
        <v>54.47</v>
      </c>
      <c r="O60">
        <v>0.96</v>
      </c>
      <c r="P60" t="s">
        <v>426</v>
      </c>
      <c r="Q60" t="s">
        <v>426</v>
      </c>
      <c r="R60" t="s">
        <v>426</v>
      </c>
      <c r="S60" t="s">
        <v>426</v>
      </c>
      <c r="T60" t="s">
        <v>426</v>
      </c>
      <c r="U60" t="s">
        <v>426</v>
      </c>
      <c r="V60" t="s">
        <v>426</v>
      </c>
      <c r="W60" t="s">
        <v>426</v>
      </c>
      <c r="X60" t="s">
        <v>426</v>
      </c>
      <c r="Y60">
        <v>0</v>
      </c>
      <c r="Z60">
        <v>0</v>
      </c>
      <c r="AB60">
        <v>0</v>
      </c>
      <c r="AC60">
        <v>0</v>
      </c>
      <c r="AD60">
        <v>0.96</v>
      </c>
      <c r="AE60">
        <v>0</v>
      </c>
      <c r="AF60">
        <v>0</v>
      </c>
      <c r="AG60">
        <v>0</v>
      </c>
      <c r="AH60">
        <v>0</v>
      </c>
      <c r="AI60">
        <v>111</v>
      </c>
      <c r="AX60" t="s">
        <v>442</v>
      </c>
      <c r="AZ60" t="s">
        <v>443</v>
      </c>
      <c r="BA60" t="s">
        <v>450</v>
      </c>
    </row>
    <row r="61" spans="1:53" x14ac:dyDescent="0.25">
      <c r="A61" t="s">
        <v>221</v>
      </c>
      <c r="B61" t="s">
        <v>281</v>
      </c>
      <c r="C61" t="s">
        <v>126</v>
      </c>
      <c r="D61">
        <v>214128663</v>
      </c>
      <c r="E61">
        <v>0.3</v>
      </c>
      <c r="F61">
        <v>1</v>
      </c>
      <c r="G61" t="s">
        <v>364</v>
      </c>
      <c r="H61">
        <v>1</v>
      </c>
      <c r="I61">
        <v>15.51</v>
      </c>
      <c r="J61">
        <v>15.08</v>
      </c>
      <c r="K61">
        <v>0.3</v>
      </c>
      <c r="L61">
        <v>15.08</v>
      </c>
      <c r="M61">
        <v>2.46</v>
      </c>
      <c r="N61">
        <v>68.34</v>
      </c>
      <c r="O61">
        <v>0.92</v>
      </c>
      <c r="P61" t="s">
        <v>426</v>
      </c>
      <c r="Q61" t="s">
        <v>426</v>
      </c>
      <c r="R61" t="s">
        <v>426</v>
      </c>
      <c r="S61" t="s">
        <v>426</v>
      </c>
      <c r="T61" t="s">
        <v>426</v>
      </c>
      <c r="U61" t="s">
        <v>426</v>
      </c>
      <c r="V61" t="s">
        <v>426</v>
      </c>
      <c r="W61" t="s">
        <v>426</v>
      </c>
      <c r="X61" t="s">
        <v>426</v>
      </c>
      <c r="Y61">
        <v>0</v>
      </c>
      <c r="Z61">
        <v>0</v>
      </c>
      <c r="AB61">
        <v>0</v>
      </c>
      <c r="AC61">
        <v>0</v>
      </c>
      <c r="AD61">
        <v>0.92</v>
      </c>
      <c r="AE61">
        <v>0</v>
      </c>
      <c r="AF61">
        <v>0</v>
      </c>
      <c r="AG61">
        <v>0</v>
      </c>
      <c r="AH61">
        <v>0</v>
      </c>
      <c r="AI61">
        <v>95</v>
      </c>
      <c r="AZ61" t="s">
        <v>444</v>
      </c>
      <c r="BA61" t="s">
        <v>451</v>
      </c>
    </row>
    <row r="62" spans="1:53" x14ac:dyDescent="0.25">
      <c r="A62" t="s">
        <v>222</v>
      </c>
      <c r="B62" t="s">
        <v>282</v>
      </c>
      <c r="C62" t="s">
        <v>126</v>
      </c>
      <c r="D62">
        <v>123420778</v>
      </c>
      <c r="E62">
        <v>0.60000000000000009</v>
      </c>
      <c r="F62">
        <v>1</v>
      </c>
      <c r="G62" t="s">
        <v>365</v>
      </c>
      <c r="H62">
        <v>1</v>
      </c>
      <c r="I62">
        <v>263.3</v>
      </c>
      <c r="J62">
        <v>223.8</v>
      </c>
      <c r="K62">
        <v>0.60000000000000009</v>
      </c>
      <c r="L62">
        <v>223.8</v>
      </c>
      <c r="M62">
        <v>1.56</v>
      </c>
      <c r="N62">
        <v>66.239999999999995</v>
      </c>
      <c r="O62">
        <v>0.9</v>
      </c>
      <c r="P62" t="s">
        <v>426</v>
      </c>
      <c r="Q62" t="s">
        <v>426</v>
      </c>
      <c r="R62" t="s">
        <v>426</v>
      </c>
      <c r="S62" t="s">
        <v>426</v>
      </c>
      <c r="T62" t="s">
        <v>426</v>
      </c>
      <c r="U62" t="s">
        <v>426</v>
      </c>
      <c r="V62" t="s">
        <v>426</v>
      </c>
      <c r="W62" t="s">
        <v>426</v>
      </c>
      <c r="X62" t="s">
        <v>426</v>
      </c>
      <c r="Y62">
        <v>0</v>
      </c>
      <c r="Z62">
        <v>0</v>
      </c>
      <c r="AB62">
        <v>0</v>
      </c>
      <c r="AC62">
        <v>0</v>
      </c>
      <c r="AD62">
        <v>0.9</v>
      </c>
      <c r="AE62">
        <v>0</v>
      </c>
      <c r="AF62">
        <v>0</v>
      </c>
      <c r="AG62">
        <v>0</v>
      </c>
      <c r="AH62">
        <v>0</v>
      </c>
      <c r="AI62">
        <v>67</v>
      </c>
      <c r="AZ62" t="s">
        <v>444</v>
      </c>
      <c r="BA62" t="s">
        <v>451</v>
      </c>
    </row>
    <row r="63" spans="1:53" x14ac:dyDescent="0.25">
      <c r="A63" t="s">
        <v>223</v>
      </c>
      <c r="B63" t="s">
        <v>283</v>
      </c>
      <c r="C63" t="s">
        <v>126</v>
      </c>
      <c r="D63">
        <v>286861172</v>
      </c>
      <c r="E63">
        <v>0.75</v>
      </c>
      <c r="F63">
        <v>1</v>
      </c>
      <c r="G63" t="s">
        <v>366</v>
      </c>
      <c r="H63">
        <v>1</v>
      </c>
      <c r="I63">
        <v>32.799999999999997</v>
      </c>
      <c r="J63">
        <v>35.380000000000003</v>
      </c>
      <c r="K63">
        <v>0.75</v>
      </c>
      <c r="L63">
        <v>35.380000000000003</v>
      </c>
      <c r="M63">
        <v>11.03</v>
      </c>
      <c r="N63">
        <v>68.33</v>
      </c>
      <c r="O63">
        <v>0.92</v>
      </c>
      <c r="P63" t="s">
        <v>426</v>
      </c>
      <c r="Q63" t="s">
        <v>426</v>
      </c>
      <c r="R63" t="s">
        <v>426</v>
      </c>
      <c r="S63" t="s">
        <v>426</v>
      </c>
      <c r="T63" t="s">
        <v>426</v>
      </c>
      <c r="U63" t="s">
        <v>426</v>
      </c>
      <c r="V63" t="s">
        <v>426</v>
      </c>
      <c r="W63" t="s">
        <v>426</v>
      </c>
      <c r="X63" t="s">
        <v>426</v>
      </c>
      <c r="Y63">
        <v>0</v>
      </c>
      <c r="Z63">
        <v>0</v>
      </c>
      <c r="AB63">
        <v>0</v>
      </c>
      <c r="AC63">
        <v>0</v>
      </c>
      <c r="AD63">
        <v>0.92</v>
      </c>
      <c r="AE63">
        <v>0</v>
      </c>
      <c r="AF63">
        <v>0</v>
      </c>
      <c r="AG63">
        <v>0</v>
      </c>
      <c r="AH63">
        <v>0</v>
      </c>
      <c r="AI63">
        <v>119</v>
      </c>
      <c r="AX63" t="s">
        <v>442</v>
      </c>
      <c r="AZ63" t="s">
        <v>443</v>
      </c>
      <c r="BA63" t="s">
        <v>450</v>
      </c>
    </row>
    <row r="64" spans="1:53" x14ac:dyDescent="0.25">
      <c r="A64" t="s">
        <v>224</v>
      </c>
      <c r="B64" t="s">
        <v>284</v>
      </c>
      <c r="C64" t="s">
        <v>126</v>
      </c>
      <c r="D64">
        <v>262245733</v>
      </c>
      <c r="E64">
        <v>1</v>
      </c>
      <c r="F64">
        <v>1</v>
      </c>
      <c r="G64" t="s">
        <v>367</v>
      </c>
      <c r="H64">
        <v>1</v>
      </c>
      <c r="I64">
        <v>137.65</v>
      </c>
      <c r="J64">
        <v>132.1</v>
      </c>
      <c r="K64">
        <v>1</v>
      </c>
      <c r="L64">
        <v>132.1</v>
      </c>
      <c r="M64">
        <v>1.98</v>
      </c>
      <c r="N64">
        <v>58.9</v>
      </c>
      <c r="O64">
        <v>0.99</v>
      </c>
      <c r="P64" t="s">
        <v>426</v>
      </c>
      <c r="Q64" t="s">
        <v>426</v>
      </c>
      <c r="R64" t="s">
        <v>426</v>
      </c>
      <c r="S64" t="s">
        <v>426</v>
      </c>
      <c r="T64" t="s">
        <v>426</v>
      </c>
      <c r="U64" t="s">
        <v>426</v>
      </c>
      <c r="V64" t="s">
        <v>426</v>
      </c>
      <c r="W64" t="s">
        <v>426</v>
      </c>
      <c r="X64" t="s">
        <v>426</v>
      </c>
      <c r="Y64">
        <v>0</v>
      </c>
      <c r="Z64">
        <v>0</v>
      </c>
      <c r="AB64">
        <v>0</v>
      </c>
      <c r="AC64">
        <v>0</v>
      </c>
      <c r="AD64">
        <v>0.99</v>
      </c>
      <c r="AE64">
        <v>0</v>
      </c>
      <c r="AF64">
        <v>0</v>
      </c>
      <c r="AG64">
        <v>0</v>
      </c>
      <c r="AH64">
        <v>0</v>
      </c>
      <c r="AI64">
        <v>82</v>
      </c>
      <c r="AZ64" t="s">
        <v>444</v>
      </c>
      <c r="BA64" t="s">
        <v>451</v>
      </c>
    </row>
    <row r="65" spans="1:53" x14ac:dyDescent="0.25">
      <c r="A65" t="s">
        <v>31</v>
      </c>
      <c r="B65" t="s">
        <v>90</v>
      </c>
      <c r="C65" t="s">
        <v>126</v>
      </c>
      <c r="D65">
        <v>533204913</v>
      </c>
      <c r="E65">
        <v>0.45</v>
      </c>
      <c r="F65">
        <v>1</v>
      </c>
      <c r="G65" t="s">
        <v>368</v>
      </c>
      <c r="H65">
        <v>1</v>
      </c>
      <c r="I65">
        <v>377.35</v>
      </c>
      <c r="J65">
        <v>399</v>
      </c>
      <c r="K65">
        <v>0.45</v>
      </c>
      <c r="L65">
        <v>399</v>
      </c>
      <c r="M65">
        <v>0.54</v>
      </c>
      <c r="N65">
        <v>62.15</v>
      </c>
      <c r="O65">
        <v>0.87</v>
      </c>
      <c r="P65" t="s">
        <v>426</v>
      </c>
      <c r="Q65" t="s">
        <v>426</v>
      </c>
      <c r="R65" t="s">
        <v>426</v>
      </c>
      <c r="S65" t="s">
        <v>426</v>
      </c>
      <c r="T65" t="s">
        <v>426</v>
      </c>
      <c r="U65" t="s">
        <v>426</v>
      </c>
      <c r="V65" t="s">
        <v>426</v>
      </c>
      <c r="W65" t="s">
        <v>426</v>
      </c>
      <c r="X65" t="s">
        <v>426</v>
      </c>
      <c r="Y65">
        <v>0</v>
      </c>
      <c r="Z65">
        <v>0</v>
      </c>
      <c r="AB65">
        <v>0</v>
      </c>
      <c r="AC65">
        <v>0</v>
      </c>
      <c r="AD65">
        <v>0.87</v>
      </c>
      <c r="AE65">
        <v>0</v>
      </c>
      <c r="AF65">
        <v>0</v>
      </c>
      <c r="AG65">
        <v>0</v>
      </c>
      <c r="AH65">
        <v>0</v>
      </c>
      <c r="AI65">
        <v>23</v>
      </c>
      <c r="AZ65" t="s">
        <v>444</v>
      </c>
      <c r="BA65" t="s">
        <v>451</v>
      </c>
    </row>
    <row r="66" spans="1:53" x14ac:dyDescent="0.25">
      <c r="A66" t="s">
        <v>225</v>
      </c>
      <c r="B66" t="s">
        <v>285</v>
      </c>
      <c r="C66" t="s">
        <v>126</v>
      </c>
      <c r="D66">
        <v>500141700</v>
      </c>
      <c r="E66">
        <v>0.5</v>
      </c>
      <c r="F66">
        <v>1</v>
      </c>
      <c r="G66" t="s">
        <v>369</v>
      </c>
      <c r="H66">
        <v>1</v>
      </c>
      <c r="I66">
        <v>507.7</v>
      </c>
      <c r="J66">
        <v>495.1</v>
      </c>
      <c r="K66">
        <v>0.5</v>
      </c>
      <c r="L66">
        <v>495.1</v>
      </c>
      <c r="M66">
        <v>3.08</v>
      </c>
      <c r="N66">
        <v>53.26</v>
      </c>
      <c r="O66">
        <v>0.95</v>
      </c>
      <c r="P66" t="s">
        <v>426</v>
      </c>
      <c r="Q66" t="s">
        <v>426</v>
      </c>
      <c r="R66" t="s">
        <v>426</v>
      </c>
      <c r="S66" t="s">
        <v>426</v>
      </c>
      <c r="T66" t="s">
        <v>426</v>
      </c>
      <c r="U66" t="s">
        <v>426</v>
      </c>
      <c r="V66" t="s">
        <v>426</v>
      </c>
      <c r="W66" t="s">
        <v>426</v>
      </c>
      <c r="X66" t="s">
        <v>426</v>
      </c>
      <c r="Y66">
        <v>0</v>
      </c>
      <c r="Z66">
        <v>0</v>
      </c>
      <c r="AB66">
        <v>0</v>
      </c>
      <c r="AC66">
        <v>0</v>
      </c>
      <c r="AD66">
        <v>0.95</v>
      </c>
      <c r="AE66">
        <v>0</v>
      </c>
      <c r="AF66">
        <v>0</v>
      </c>
      <c r="AG66">
        <v>0</v>
      </c>
      <c r="AH66">
        <v>0</v>
      </c>
      <c r="AI66">
        <v>105</v>
      </c>
      <c r="AX66" t="s">
        <v>442</v>
      </c>
      <c r="AZ66" t="s">
        <v>443</v>
      </c>
      <c r="BA66" t="s">
        <v>450</v>
      </c>
    </row>
    <row r="67" spans="1:53" x14ac:dyDescent="0.25">
      <c r="A67" t="s">
        <v>226</v>
      </c>
      <c r="B67" t="s">
        <v>286</v>
      </c>
      <c r="C67" t="s">
        <v>126</v>
      </c>
      <c r="D67">
        <v>33083675</v>
      </c>
      <c r="E67">
        <v>0.85000000000000009</v>
      </c>
      <c r="F67">
        <v>1</v>
      </c>
      <c r="K67">
        <v>0.85000000000000009</v>
      </c>
      <c r="L67">
        <v>17.91</v>
      </c>
      <c r="M67">
        <v>2.2799999999999998</v>
      </c>
      <c r="N67">
        <v>56.81</v>
      </c>
      <c r="AI67">
        <v>89</v>
      </c>
      <c r="AZ67" t="s">
        <v>444</v>
      </c>
      <c r="BA67" t="s">
        <v>451</v>
      </c>
    </row>
    <row r="68" spans="1:53" x14ac:dyDescent="0.25">
      <c r="A68" t="s">
        <v>32</v>
      </c>
      <c r="B68" t="s">
        <v>91</v>
      </c>
      <c r="C68" t="s">
        <v>126</v>
      </c>
      <c r="D68">
        <v>93886501</v>
      </c>
      <c r="E68">
        <v>1</v>
      </c>
      <c r="F68">
        <v>1</v>
      </c>
      <c r="G68" t="s">
        <v>370</v>
      </c>
      <c r="H68">
        <v>1</v>
      </c>
      <c r="I68">
        <v>10.8</v>
      </c>
      <c r="J68">
        <v>11.5</v>
      </c>
      <c r="K68">
        <v>1</v>
      </c>
      <c r="L68">
        <v>11.5</v>
      </c>
      <c r="M68">
        <v>0.46</v>
      </c>
      <c r="N68">
        <v>71.709999999999994</v>
      </c>
      <c r="O68">
        <v>0.78</v>
      </c>
      <c r="P68" t="s">
        <v>426</v>
      </c>
      <c r="Q68" t="s">
        <v>426</v>
      </c>
      <c r="R68" t="s">
        <v>426</v>
      </c>
      <c r="S68" t="s">
        <v>426</v>
      </c>
      <c r="T68" t="s">
        <v>426</v>
      </c>
      <c r="U68" t="s">
        <v>426</v>
      </c>
      <c r="V68" t="s">
        <v>426</v>
      </c>
      <c r="W68" t="s">
        <v>426</v>
      </c>
      <c r="X68" t="s">
        <v>426</v>
      </c>
      <c r="Y68">
        <v>0</v>
      </c>
      <c r="Z68">
        <v>0</v>
      </c>
      <c r="AB68">
        <v>0</v>
      </c>
      <c r="AC68">
        <v>0</v>
      </c>
      <c r="AD68">
        <v>0.78</v>
      </c>
      <c r="AE68">
        <v>0</v>
      </c>
      <c r="AF68">
        <v>0</v>
      </c>
      <c r="AG68">
        <v>0</v>
      </c>
      <c r="AH68">
        <v>0</v>
      </c>
      <c r="AI68">
        <v>15</v>
      </c>
      <c r="AZ68" t="s">
        <v>444</v>
      </c>
      <c r="BA68" t="s">
        <v>451</v>
      </c>
    </row>
    <row r="69" spans="1:53" x14ac:dyDescent="0.25">
      <c r="A69" t="s">
        <v>33</v>
      </c>
      <c r="B69" t="s">
        <v>92</v>
      </c>
      <c r="C69" t="s">
        <v>126</v>
      </c>
      <c r="D69">
        <v>24418312</v>
      </c>
      <c r="E69">
        <v>0.85000000000000009</v>
      </c>
      <c r="F69">
        <v>1</v>
      </c>
      <c r="G69" t="s">
        <v>371</v>
      </c>
      <c r="H69">
        <v>1</v>
      </c>
      <c r="I69">
        <v>23.9</v>
      </c>
      <c r="J69">
        <v>25.35</v>
      </c>
      <c r="K69">
        <v>0.85000000000000009</v>
      </c>
      <c r="L69">
        <v>25.35</v>
      </c>
      <c r="M69">
        <v>0.23</v>
      </c>
      <c r="N69">
        <v>42.63</v>
      </c>
      <c r="AI69">
        <v>3</v>
      </c>
      <c r="AZ69" t="s">
        <v>444</v>
      </c>
      <c r="BA69" t="s">
        <v>451</v>
      </c>
    </row>
    <row r="70" spans="1:53" x14ac:dyDescent="0.25">
      <c r="A70" t="s">
        <v>227</v>
      </c>
      <c r="B70" t="s">
        <v>287</v>
      </c>
      <c r="C70" t="s">
        <v>126</v>
      </c>
      <c r="D70">
        <v>126414248</v>
      </c>
      <c r="E70">
        <v>0.4</v>
      </c>
      <c r="F70">
        <v>1</v>
      </c>
      <c r="G70" t="s">
        <v>372</v>
      </c>
      <c r="H70">
        <v>1</v>
      </c>
      <c r="I70">
        <v>13.28</v>
      </c>
      <c r="J70">
        <v>13.5</v>
      </c>
      <c r="K70">
        <v>0.4</v>
      </c>
      <c r="L70">
        <v>13.5</v>
      </c>
      <c r="M70">
        <v>1.99</v>
      </c>
      <c r="N70">
        <v>40.19</v>
      </c>
      <c r="AI70">
        <v>83</v>
      </c>
      <c r="AZ70" t="s">
        <v>444</v>
      </c>
      <c r="BA70" t="s">
        <v>451</v>
      </c>
    </row>
    <row r="71" spans="1:53" x14ac:dyDescent="0.25">
      <c r="A71" t="s">
        <v>228</v>
      </c>
      <c r="B71" t="s">
        <v>288</v>
      </c>
      <c r="C71" t="s">
        <v>126</v>
      </c>
      <c r="D71">
        <v>705748786</v>
      </c>
      <c r="E71">
        <v>1</v>
      </c>
      <c r="F71">
        <v>1</v>
      </c>
      <c r="G71" t="s">
        <v>373</v>
      </c>
      <c r="H71">
        <v>1</v>
      </c>
      <c r="I71">
        <v>31.19</v>
      </c>
      <c r="J71">
        <v>32.549999999999997</v>
      </c>
      <c r="K71">
        <v>1</v>
      </c>
      <c r="L71">
        <v>32.549999999999997</v>
      </c>
      <c r="M71">
        <v>0.52</v>
      </c>
      <c r="N71">
        <v>63.7</v>
      </c>
      <c r="O71">
        <v>0.97</v>
      </c>
      <c r="P71" t="s">
        <v>426</v>
      </c>
      <c r="Q71" t="s">
        <v>426</v>
      </c>
      <c r="R71" t="s">
        <v>426</v>
      </c>
      <c r="S71" t="s">
        <v>426</v>
      </c>
      <c r="T71" t="s">
        <v>426</v>
      </c>
      <c r="U71" t="s">
        <v>426</v>
      </c>
      <c r="V71" t="s">
        <v>426</v>
      </c>
      <c r="W71" t="s">
        <v>426</v>
      </c>
      <c r="X71" t="s">
        <v>426</v>
      </c>
      <c r="Y71">
        <v>0</v>
      </c>
      <c r="Z71" t="s">
        <v>428</v>
      </c>
      <c r="AA71" t="s">
        <v>429</v>
      </c>
      <c r="AB71">
        <v>0</v>
      </c>
      <c r="AC71">
        <v>0</v>
      </c>
      <c r="AD71">
        <v>0.97</v>
      </c>
      <c r="AE71">
        <v>0</v>
      </c>
      <c r="AG71">
        <v>0</v>
      </c>
      <c r="AH71">
        <v>0</v>
      </c>
      <c r="AI71">
        <v>21</v>
      </c>
      <c r="AU71" t="s">
        <v>440</v>
      </c>
      <c r="AZ71" t="s">
        <v>447</v>
      </c>
      <c r="BA71" t="s">
        <v>450</v>
      </c>
    </row>
    <row r="72" spans="1:53" x14ac:dyDescent="0.25">
      <c r="A72" t="s">
        <v>34</v>
      </c>
      <c r="B72" t="s">
        <v>93</v>
      </c>
      <c r="C72" t="s">
        <v>126</v>
      </c>
      <c r="D72">
        <v>43744779</v>
      </c>
      <c r="E72">
        <v>0.8</v>
      </c>
      <c r="F72">
        <v>1</v>
      </c>
      <c r="G72" t="s">
        <v>374</v>
      </c>
      <c r="H72">
        <v>1</v>
      </c>
      <c r="I72">
        <v>133.9</v>
      </c>
      <c r="J72">
        <v>137</v>
      </c>
      <c r="K72">
        <v>0.8</v>
      </c>
      <c r="L72">
        <v>137</v>
      </c>
      <c r="M72">
        <v>0.2</v>
      </c>
      <c r="N72">
        <v>62.12</v>
      </c>
      <c r="O72">
        <v>0.97</v>
      </c>
      <c r="P72" t="s">
        <v>426</v>
      </c>
      <c r="Q72" t="s">
        <v>426</v>
      </c>
      <c r="R72" t="s">
        <v>426</v>
      </c>
      <c r="S72" t="s">
        <v>426</v>
      </c>
      <c r="T72" t="s">
        <v>426</v>
      </c>
      <c r="U72" t="s">
        <v>426</v>
      </c>
      <c r="V72" t="s">
        <v>426</v>
      </c>
      <c r="W72" t="s">
        <v>426</v>
      </c>
      <c r="X72" t="s">
        <v>426</v>
      </c>
      <c r="Y72">
        <v>0</v>
      </c>
      <c r="Z72">
        <v>0</v>
      </c>
      <c r="AB72">
        <v>0</v>
      </c>
      <c r="AC72">
        <v>0</v>
      </c>
      <c r="AD72">
        <v>0.97</v>
      </c>
      <c r="AE72">
        <v>0</v>
      </c>
      <c r="AF72">
        <v>0</v>
      </c>
      <c r="AG72">
        <v>0</v>
      </c>
      <c r="AH72">
        <v>0</v>
      </c>
      <c r="AI72">
        <v>2</v>
      </c>
      <c r="AZ72" t="s">
        <v>444</v>
      </c>
      <c r="BA72" t="s">
        <v>451</v>
      </c>
    </row>
    <row r="73" spans="1:53" x14ac:dyDescent="0.25">
      <c r="A73" t="s">
        <v>229</v>
      </c>
      <c r="B73" t="s">
        <v>289</v>
      </c>
      <c r="C73" t="s">
        <v>126</v>
      </c>
      <c r="D73">
        <v>56129724</v>
      </c>
      <c r="E73">
        <v>0.70000000000000007</v>
      </c>
      <c r="F73">
        <v>1</v>
      </c>
      <c r="G73" t="s">
        <v>375</v>
      </c>
      <c r="H73">
        <v>1</v>
      </c>
      <c r="I73">
        <v>9.875</v>
      </c>
      <c r="J73">
        <v>11.1</v>
      </c>
      <c r="K73">
        <v>0.70000000000000007</v>
      </c>
      <c r="L73">
        <v>11.1</v>
      </c>
      <c r="M73">
        <v>6.52</v>
      </c>
      <c r="N73">
        <v>49.85</v>
      </c>
      <c r="AI73">
        <v>115</v>
      </c>
      <c r="AX73" t="s">
        <v>442</v>
      </c>
      <c r="AZ73" t="s">
        <v>443</v>
      </c>
      <c r="BA73" t="s">
        <v>450</v>
      </c>
    </row>
    <row r="74" spans="1:53" x14ac:dyDescent="0.25">
      <c r="A74" t="s">
        <v>35</v>
      </c>
      <c r="B74" t="s">
        <v>94</v>
      </c>
      <c r="C74" t="s">
        <v>126</v>
      </c>
      <c r="D74">
        <v>144022153</v>
      </c>
      <c r="E74">
        <v>0.4</v>
      </c>
      <c r="F74">
        <v>1</v>
      </c>
      <c r="G74" t="s">
        <v>376</v>
      </c>
      <c r="H74">
        <v>1</v>
      </c>
      <c r="I74">
        <v>13</v>
      </c>
      <c r="J74">
        <v>14.1</v>
      </c>
      <c r="K74">
        <v>0.4</v>
      </c>
      <c r="L74">
        <v>14.1</v>
      </c>
      <c r="M74">
        <v>0.39</v>
      </c>
      <c r="N74">
        <v>55.34</v>
      </c>
      <c r="O74">
        <v>0.94</v>
      </c>
      <c r="P74" t="s">
        <v>426</v>
      </c>
      <c r="Q74" t="s">
        <v>426</v>
      </c>
      <c r="R74" t="s">
        <v>426</v>
      </c>
      <c r="S74" t="s">
        <v>426</v>
      </c>
      <c r="T74" t="s">
        <v>426</v>
      </c>
      <c r="U74" t="s">
        <v>426</v>
      </c>
      <c r="V74" t="s">
        <v>426</v>
      </c>
      <c r="W74" t="s">
        <v>426</v>
      </c>
      <c r="X74" t="s">
        <v>426</v>
      </c>
      <c r="Y74">
        <v>0</v>
      </c>
      <c r="Z74">
        <v>0</v>
      </c>
      <c r="AB74">
        <v>0</v>
      </c>
      <c r="AC74">
        <v>0</v>
      </c>
      <c r="AD74">
        <v>0.94</v>
      </c>
      <c r="AE74">
        <v>0</v>
      </c>
      <c r="AF74">
        <v>0</v>
      </c>
      <c r="AG74">
        <v>0</v>
      </c>
      <c r="AH74">
        <v>0</v>
      </c>
      <c r="AI74">
        <v>10</v>
      </c>
      <c r="AZ74" t="s">
        <v>444</v>
      </c>
      <c r="BA74" t="s">
        <v>451</v>
      </c>
    </row>
    <row r="75" spans="1:53" x14ac:dyDescent="0.25">
      <c r="A75" t="s">
        <v>36</v>
      </c>
      <c r="B75" t="s">
        <v>95</v>
      </c>
      <c r="C75" t="s">
        <v>126</v>
      </c>
      <c r="D75">
        <v>2660056599</v>
      </c>
      <c r="E75">
        <v>0.65</v>
      </c>
      <c r="F75">
        <v>1</v>
      </c>
      <c r="G75" t="s">
        <v>377</v>
      </c>
      <c r="H75">
        <v>1</v>
      </c>
      <c r="I75">
        <v>13.67</v>
      </c>
      <c r="J75">
        <v>14.48</v>
      </c>
      <c r="K75">
        <v>0.65</v>
      </c>
      <c r="L75">
        <v>14.48</v>
      </c>
      <c r="M75">
        <v>0.78</v>
      </c>
      <c r="N75">
        <v>64.17</v>
      </c>
      <c r="O75">
        <v>0.97</v>
      </c>
      <c r="P75" t="s">
        <v>426</v>
      </c>
      <c r="Q75" t="s">
        <v>426</v>
      </c>
      <c r="R75" t="s">
        <v>426</v>
      </c>
      <c r="S75" t="s">
        <v>426</v>
      </c>
      <c r="T75" t="s">
        <v>426</v>
      </c>
      <c r="U75" t="s">
        <v>426</v>
      </c>
      <c r="V75" t="s">
        <v>426</v>
      </c>
      <c r="W75" t="s">
        <v>426</v>
      </c>
      <c r="X75" t="s">
        <v>426</v>
      </c>
      <c r="Y75">
        <v>0</v>
      </c>
      <c r="Z75">
        <v>0</v>
      </c>
      <c r="AB75">
        <v>0</v>
      </c>
      <c r="AC75">
        <v>0</v>
      </c>
      <c r="AD75">
        <v>0.97</v>
      </c>
      <c r="AE75">
        <v>0</v>
      </c>
      <c r="AF75">
        <v>0</v>
      </c>
      <c r="AG75">
        <v>0</v>
      </c>
      <c r="AH75">
        <v>0</v>
      </c>
      <c r="AI75">
        <v>33</v>
      </c>
      <c r="AZ75" t="s">
        <v>444</v>
      </c>
      <c r="BA75" t="s">
        <v>451</v>
      </c>
    </row>
    <row r="76" spans="1:53" x14ac:dyDescent="0.25">
      <c r="A76" t="s">
        <v>37</v>
      </c>
      <c r="B76" t="s">
        <v>96</v>
      </c>
      <c r="C76" t="s">
        <v>126</v>
      </c>
      <c r="D76">
        <v>252269195</v>
      </c>
      <c r="E76">
        <v>0.8</v>
      </c>
      <c r="F76">
        <v>1</v>
      </c>
      <c r="G76" t="s">
        <v>378</v>
      </c>
      <c r="H76">
        <v>1</v>
      </c>
      <c r="I76">
        <v>89.22</v>
      </c>
      <c r="J76">
        <v>101.85</v>
      </c>
      <c r="K76">
        <v>0.8</v>
      </c>
      <c r="L76">
        <v>101.85</v>
      </c>
      <c r="M76">
        <v>1.37</v>
      </c>
      <c r="N76">
        <v>52.36</v>
      </c>
      <c r="O76">
        <v>0.98</v>
      </c>
      <c r="P76" t="s">
        <v>426</v>
      </c>
      <c r="Q76" t="s">
        <v>426</v>
      </c>
      <c r="R76" t="s">
        <v>426</v>
      </c>
      <c r="S76" t="s">
        <v>426</v>
      </c>
      <c r="T76" t="s">
        <v>426</v>
      </c>
      <c r="U76" t="s">
        <v>426</v>
      </c>
      <c r="V76" t="s">
        <v>426</v>
      </c>
      <c r="W76" t="s">
        <v>426</v>
      </c>
      <c r="X76" t="s">
        <v>426</v>
      </c>
      <c r="Y76">
        <v>0</v>
      </c>
      <c r="Z76">
        <v>0</v>
      </c>
      <c r="AB76">
        <v>0</v>
      </c>
      <c r="AC76">
        <v>0</v>
      </c>
      <c r="AD76">
        <v>0.98</v>
      </c>
      <c r="AE76">
        <v>0</v>
      </c>
      <c r="AF76">
        <v>0</v>
      </c>
      <c r="AG76">
        <v>0</v>
      </c>
      <c r="AH76">
        <v>0</v>
      </c>
      <c r="AI76">
        <v>59</v>
      </c>
      <c r="AZ76" t="s">
        <v>444</v>
      </c>
      <c r="BA76" t="s">
        <v>451</v>
      </c>
    </row>
    <row r="77" spans="1:53" x14ac:dyDescent="0.25">
      <c r="A77" t="s">
        <v>230</v>
      </c>
      <c r="B77" t="s">
        <v>290</v>
      </c>
      <c r="C77" t="s">
        <v>126</v>
      </c>
      <c r="D77">
        <v>70238894</v>
      </c>
      <c r="E77">
        <v>0.35</v>
      </c>
      <c r="F77">
        <v>1</v>
      </c>
      <c r="G77" t="s">
        <v>379</v>
      </c>
      <c r="H77">
        <v>1</v>
      </c>
      <c r="I77">
        <v>17.600000000000001</v>
      </c>
      <c r="J77">
        <v>18.2</v>
      </c>
      <c r="K77">
        <v>0.35</v>
      </c>
      <c r="L77">
        <v>18.2</v>
      </c>
      <c r="M77">
        <v>2.4900000000000002</v>
      </c>
      <c r="AI77">
        <v>97</v>
      </c>
      <c r="AX77" t="s">
        <v>442</v>
      </c>
      <c r="AZ77" t="s">
        <v>443</v>
      </c>
      <c r="BA77" t="s">
        <v>450</v>
      </c>
    </row>
    <row r="78" spans="1:53" x14ac:dyDescent="0.25">
      <c r="A78" t="s">
        <v>231</v>
      </c>
      <c r="B78" t="s">
        <v>291</v>
      </c>
      <c r="C78" t="s">
        <v>126</v>
      </c>
      <c r="D78">
        <v>147174692</v>
      </c>
      <c r="E78">
        <v>0.55000000000000004</v>
      </c>
      <c r="F78">
        <v>1</v>
      </c>
      <c r="G78" t="s">
        <v>380</v>
      </c>
      <c r="H78">
        <v>1</v>
      </c>
      <c r="I78">
        <v>14.59</v>
      </c>
      <c r="J78">
        <v>19.03</v>
      </c>
      <c r="K78">
        <v>0.55000000000000004</v>
      </c>
      <c r="L78">
        <v>19.03</v>
      </c>
      <c r="M78">
        <v>2.5299999999999998</v>
      </c>
      <c r="O78" t="s">
        <v>424</v>
      </c>
      <c r="P78" t="s">
        <v>426</v>
      </c>
      <c r="Q78" t="s">
        <v>426</v>
      </c>
      <c r="R78" t="s">
        <v>426</v>
      </c>
      <c r="S78" t="s">
        <v>426</v>
      </c>
      <c r="T78" t="s">
        <v>426</v>
      </c>
      <c r="U78" t="s">
        <v>426</v>
      </c>
      <c r="V78" t="s">
        <v>426</v>
      </c>
      <c r="W78" t="s">
        <v>426</v>
      </c>
      <c r="X78" t="s">
        <v>426</v>
      </c>
      <c r="Y78">
        <v>0</v>
      </c>
      <c r="Z78">
        <v>0</v>
      </c>
      <c r="AB78">
        <v>0</v>
      </c>
      <c r="AC78">
        <v>0</v>
      </c>
      <c r="AE78">
        <v>0</v>
      </c>
      <c r="AF78">
        <v>0</v>
      </c>
      <c r="AG78">
        <v>0</v>
      </c>
      <c r="AH78">
        <v>0</v>
      </c>
      <c r="AI78">
        <v>99</v>
      </c>
      <c r="AX78" t="s">
        <v>442</v>
      </c>
      <c r="AZ78" t="s">
        <v>443</v>
      </c>
      <c r="BA78" t="s">
        <v>450</v>
      </c>
    </row>
    <row r="79" spans="1:53" x14ac:dyDescent="0.25">
      <c r="A79" t="s">
        <v>38</v>
      </c>
      <c r="B79" t="s">
        <v>97</v>
      </c>
      <c r="C79" t="s">
        <v>126</v>
      </c>
      <c r="D79">
        <v>254311860</v>
      </c>
      <c r="E79">
        <v>0.95000000000000007</v>
      </c>
      <c r="F79">
        <v>1</v>
      </c>
      <c r="G79" t="s">
        <v>381</v>
      </c>
      <c r="H79">
        <v>1</v>
      </c>
      <c r="I79">
        <v>82.76</v>
      </c>
      <c r="J79">
        <v>80.739999999999995</v>
      </c>
      <c r="K79">
        <v>0.95000000000000007</v>
      </c>
      <c r="L79">
        <v>80.739999999999995</v>
      </c>
      <c r="M79">
        <v>0.97</v>
      </c>
      <c r="N79">
        <v>63.51</v>
      </c>
      <c r="O79">
        <v>0.95</v>
      </c>
      <c r="P79" t="s">
        <v>426</v>
      </c>
      <c r="Q79" t="s">
        <v>426</v>
      </c>
      <c r="R79" t="s">
        <v>426</v>
      </c>
      <c r="S79" t="s">
        <v>426</v>
      </c>
      <c r="T79" t="s">
        <v>426</v>
      </c>
      <c r="U79" t="s">
        <v>426</v>
      </c>
      <c r="V79" t="s">
        <v>426</v>
      </c>
      <c r="W79" t="s">
        <v>426</v>
      </c>
      <c r="X79" t="s">
        <v>426</v>
      </c>
      <c r="Y79">
        <v>0</v>
      </c>
      <c r="Z79">
        <v>0</v>
      </c>
      <c r="AB79">
        <v>0</v>
      </c>
      <c r="AC79">
        <v>0</v>
      </c>
      <c r="AD79">
        <v>0.95</v>
      </c>
      <c r="AE79">
        <v>0</v>
      </c>
      <c r="AF79">
        <v>0</v>
      </c>
      <c r="AG79">
        <v>0</v>
      </c>
      <c r="AH79">
        <v>0</v>
      </c>
      <c r="AI79">
        <v>42</v>
      </c>
      <c r="AZ79" t="s">
        <v>444</v>
      </c>
      <c r="BA79" t="s">
        <v>451</v>
      </c>
    </row>
    <row r="80" spans="1:53" x14ac:dyDescent="0.25">
      <c r="A80" t="s">
        <v>39</v>
      </c>
      <c r="B80" t="s">
        <v>98</v>
      </c>
      <c r="C80" t="s">
        <v>126</v>
      </c>
      <c r="D80">
        <v>52160291</v>
      </c>
      <c r="E80">
        <v>0.45</v>
      </c>
      <c r="F80">
        <v>1</v>
      </c>
      <c r="G80" t="s">
        <v>382</v>
      </c>
      <c r="H80">
        <v>1</v>
      </c>
      <c r="I80">
        <v>46.12</v>
      </c>
      <c r="J80">
        <v>56.3</v>
      </c>
      <c r="K80">
        <v>0.45</v>
      </c>
      <c r="L80">
        <v>56.3</v>
      </c>
      <c r="M80">
        <v>1.45</v>
      </c>
      <c r="N80">
        <v>36.83</v>
      </c>
      <c r="O80">
        <v>0.89</v>
      </c>
      <c r="P80" t="s">
        <v>426</v>
      </c>
      <c r="Q80" t="s">
        <v>426</v>
      </c>
      <c r="R80" t="s">
        <v>426</v>
      </c>
      <c r="S80" t="s">
        <v>426</v>
      </c>
      <c r="T80" t="s">
        <v>426</v>
      </c>
      <c r="U80" t="s">
        <v>426</v>
      </c>
      <c r="V80" t="s">
        <v>426</v>
      </c>
      <c r="W80" t="s">
        <v>426</v>
      </c>
      <c r="X80" t="s">
        <v>426</v>
      </c>
      <c r="Y80">
        <v>0</v>
      </c>
      <c r="Z80">
        <v>0</v>
      </c>
      <c r="AB80">
        <v>0</v>
      </c>
      <c r="AC80">
        <v>0</v>
      </c>
      <c r="AD80">
        <v>0.89</v>
      </c>
      <c r="AE80">
        <v>0</v>
      </c>
      <c r="AF80">
        <v>0</v>
      </c>
      <c r="AG80">
        <v>0</v>
      </c>
      <c r="AH80">
        <v>0</v>
      </c>
      <c r="AI80">
        <v>63</v>
      </c>
      <c r="AZ80" t="s">
        <v>444</v>
      </c>
      <c r="BA80" t="s">
        <v>451</v>
      </c>
    </row>
    <row r="81" spans="1:53" x14ac:dyDescent="0.25">
      <c r="A81" t="s">
        <v>40</v>
      </c>
      <c r="B81" t="s">
        <v>99</v>
      </c>
      <c r="C81" t="s">
        <v>126</v>
      </c>
      <c r="D81">
        <v>295722284</v>
      </c>
      <c r="E81">
        <v>0.65</v>
      </c>
      <c r="F81">
        <v>1</v>
      </c>
      <c r="G81" t="s">
        <v>383</v>
      </c>
      <c r="H81">
        <v>1</v>
      </c>
      <c r="I81">
        <v>34.97</v>
      </c>
      <c r="J81">
        <v>33.56</v>
      </c>
      <c r="K81">
        <v>0.65</v>
      </c>
      <c r="L81">
        <v>33.56</v>
      </c>
      <c r="M81">
        <v>1.1000000000000001</v>
      </c>
      <c r="N81">
        <v>55.29</v>
      </c>
      <c r="O81">
        <v>0.99</v>
      </c>
      <c r="P81" t="s">
        <v>427</v>
      </c>
      <c r="Q81" t="s">
        <v>426</v>
      </c>
      <c r="R81" t="s">
        <v>426</v>
      </c>
      <c r="S81" t="s">
        <v>426</v>
      </c>
      <c r="T81" t="s">
        <v>426</v>
      </c>
      <c r="U81" t="s">
        <v>426</v>
      </c>
      <c r="V81" t="s">
        <v>426</v>
      </c>
      <c r="W81" t="s">
        <v>426</v>
      </c>
      <c r="X81" t="s">
        <v>426</v>
      </c>
      <c r="Y81">
        <v>0</v>
      </c>
      <c r="Z81">
        <v>0</v>
      </c>
      <c r="AB81">
        <v>0</v>
      </c>
      <c r="AC81">
        <v>0</v>
      </c>
      <c r="AD81">
        <v>0.99</v>
      </c>
      <c r="AE81">
        <v>0</v>
      </c>
      <c r="AF81">
        <v>0</v>
      </c>
      <c r="AG81">
        <v>0</v>
      </c>
      <c r="AH81">
        <v>0</v>
      </c>
      <c r="AI81">
        <v>50</v>
      </c>
      <c r="AZ81" t="s">
        <v>444</v>
      </c>
      <c r="BA81" t="s">
        <v>451</v>
      </c>
    </row>
    <row r="82" spans="1:53" x14ac:dyDescent="0.25">
      <c r="A82" t="s">
        <v>41</v>
      </c>
      <c r="B82" t="s">
        <v>100</v>
      </c>
      <c r="C82" t="s">
        <v>126</v>
      </c>
      <c r="D82">
        <v>299036619</v>
      </c>
      <c r="E82">
        <v>0.75</v>
      </c>
      <c r="F82">
        <v>1</v>
      </c>
      <c r="G82" t="s">
        <v>384</v>
      </c>
      <c r="H82">
        <v>1</v>
      </c>
      <c r="I82">
        <v>28.01</v>
      </c>
      <c r="J82">
        <v>28.21</v>
      </c>
      <c r="K82">
        <v>0.75</v>
      </c>
      <c r="L82">
        <v>28.21</v>
      </c>
      <c r="M82">
        <v>0.34</v>
      </c>
      <c r="N82">
        <v>59.47</v>
      </c>
      <c r="O82">
        <v>0.98</v>
      </c>
      <c r="P82" t="s">
        <v>426</v>
      </c>
      <c r="Q82" t="s">
        <v>426</v>
      </c>
      <c r="R82" t="s">
        <v>426</v>
      </c>
      <c r="S82" t="s">
        <v>426</v>
      </c>
      <c r="T82" t="s">
        <v>426</v>
      </c>
      <c r="U82" t="s">
        <v>426</v>
      </c>
      <c r="V82" t="s">
        <v>426</v>
      </c>
      <c r="W82" t="s">
        <v>426</v>
      </c>
      <c r="X82" t="s">
        <v>426</v>
      </c>
      <c r="Y82">
        <v>0</v>
      </c>
      <c r="Z82">
        <v>0</v>
      </c>
      <c r="AB82">
        <v>0</v>
      </c>
      <c r="AC82">
        <v>0</v>
      </c>
      <c r="AD82">
        <v>0.98</v>
      </c>
      <c r="AE82">
        <v>0</v>
      </c>
      <c r="AF82">
        <v>0</v>
      </c>
      <c r="AG82">
        <v>0</v>
      </c>
      <c r="AH82">
        <v>0</v>
      </c>
      <c r="AI82">
        <v>7</v>
      </c>
      <c r="AZ82" t="s">
        <v>444</v>
      </c>
      <c r="BA82" t="s">
        <v>451</v>
      </c>
    </row>
    <row r="83" spans="1:53" x14ac:dyDescent="0.25">
      <c r="A83" t="s">
        <v>232</v>
      </c>
      <c r="B83" t="s">
        <v>292</v>
      </c>
      <c r="C83" t="s">
        <v>126</v>
      </c>
      <c r="D83">
        <v>2031498</v>
      </c>
      <c r="E83">
        <v>0.35</v>
      </c>
      <c r="F83">
        <v>1</v>
      </c>
      <c r="G83" t="s">
        <v>385</v>
      </c>
      <c r="H83">
        <v>1</v>
      </c>
      <c r="I83">
        <v>815</v>
      </c>
      <c r="K83">
        <v>0.35</v>
      </c>
      <c r="L83">
        <v>859</v>
      </c>
      <c r="M83">
        <v>1.88</v>
      </c>
      <c r="N83">
        <v>45.49</v>
      </c>
      <c r="O83">
        <v>0.91</v>
      </c>
      <c r="P83" t="s">
        <v>426</v>
      </c>
      <c r="Q83" t="s">
        <v>426</v>
      </c>
      <c r="R83" t="s">
        <v>426</v>
      </c>
      <c r="S83" t="s">
        <v>426</v>
      </c>
      <c r="T83" t="s">
        <v>426</v>
      </c>
      <c r="U83" t="s">
        <v>426</v>
      </c>
      <c r="V83" t="s">
        <v>426</v>
      </c>
      <c r="W83" t="s">
        <v>426</v>
      </c>
      <c r="X83" t="s">
        <v>426</v>
      </c>
      <c r="Y83">
        <v>0</v>
      </c>
      <c r="Z83">
        <v>0</v>
      </c>
      <c r="AB83">
        <v>0</v>
      </c>
      <c r="AC83">
        <v>0</v>
      </c>
      <c r="AD83">
        <v>0.91</v>
      </c>
      <c r="AE83">
        <v>0</v>
      </c>
      <c r="AF83">
        <v>0</v>
      </c>
      <c r="AG83">
        <v>0</v>
      </c>
      <c r="AH83">
        <v>0</v>
      </c>
      <c r="AI83">
        <v>77</v>
      </c>
      <c r="AZ83" t="s">
        <v>444</v>
      </c>
      <c r="BA83" t="s">
        <v>451</v>
      </c>
    </row>
    <row r="84" spans="1:53" x14ac:dyDescent="0.25">
      <c r="A84" t="s">
        <v>42</v>
      </c>
      <c r="B84" t="s">
        <v>101</v>
      </c>
      <c r="C84" t="s">
        <v>126</v>
      </c>
      <c r="D84">
        <v>103361773</v>
      </c>
      <c r="E84">
        <v>0.8</v>
      </c>
      <c r="F84">
        <v>1</v>
      </c>
      <c r="G84" t="s">
        <v>386</v>
      </c>
      <c r="H84">
        <v>1</v>
      </c>
      <c r="I84">
        <v>30.76</v>
      </c>
      <c r="J84">
        <v>29.18</v>
      </c>
      <c r="K84">
        <v>0.8</v>
      </c>
      <c r="L84">
        <v>29.18</v>
      </c>
      <c r="M84">
        <v>0.49</v>
      </c>
      <c r="N84">
        <v>39</v>
      </c>
      <c r="O84">
        <v>0.86</v>
      </c>
      <c r="P84" t="s">
        <v>426</v>
      </c>
      <c r="Q84" t="s">
        <v>426</v>
      </c>
      <c r="R84" t="s">
        <v>426</v>
      </c>
      <c r="S84" t="s">
        <v>426</v>
      </c>
      <c r="T84" t="s">
        <v>426</v>
      </c>
      <c r="U84" t="s">
        <v>426</v>
      </c>
      <c r="V84" t="s">
        <v>426</v>
      </c>
      <c r="W84" t="s">
        <v>426</v>
      </c>
      <c r="X84" t="s">
        <v>426</v>
      </c>
      <c r="Y84">
        <v>0</v>
      </c>
      <c r="Z84">
        <v>1.5E-3</v>
      </c>
      <c r="AB84">
        <v>0</v>
      </c>
      <c r="AC84">
        <v>0</v>
      </c>
      <c r="AD84">
        <v>0.86</v>
      </c>
      <c r="AE84">
        <v>0</v>
      </c>
      <c r="AF84">
        <v>1.5E-3</v>
      </c>
      <c r="AG84">
        <v>0</v>
      </c>
      <c r="AH84">
        <v>0</v>
      </c>
      <c r="AI84">
        <v>17</v>
      </c>
      <c r="AZ84" t="s">
        <v>444</v>
      </c>
      <c r="BA84" t="s">
        <v>451</v>
      </c>
    </row>
    <row r="85" spans="1:53" x14ac:dyDescent="0.25">
      <c r="A85" t="s">
        <v>43</v>
      </c>
      <c r="B85" t="s">
        <v>102</v>
      </c>
      <c r="C85" t="s">
        <v>126</v>
      </c>
      <c r="D85">
        <v>55337770</v>
      </c>
      <c r="E85">
        <v>0.55000000000000004</v>
      </c>
      <c r="F85">
        <v>1</v>
      </c>
      <c r="G85" t="s">
        <v>387</v>
      </c>
      <c r="H85">
        <v>1</v>
      </c>
      <c r="I85">
        <v>59.6</v>
      </c>
      <c r="J85">
        <v>68.05</v>
      </c>
      <c r="K85">
        <v>0.55000000000000004</v>
      </c>
      <c r="L85">
        <v>68.05</v>
      </c>
      <c r="M85">
        <v>1.36</v>
      </c>
      <c r="N85">
        <v>58.63</v>
      </c>
      <c r="O85">
        <v>0.86</v>
      </c>
      <c r="P85" t="s">
        <v>426</v>
      </c>
      <c r="Q85" t="s">
        <v>426</v>
      </c>
      <c r="R85" t="s">
        <v>426</v>
      </c>
      <c r="S85" t="s">
        <v>426</v>
      </c>
      <c r="T85" t="s">
        <v>426</v>
      </c>
      <c r="U85" t="s">
        <v>426</v>
      </c>
      <c r="V85" t="s">
        <v>426</v>
      </c>
      <c r="W85" t="s">
        <v>426</v>
      </c>
      <c r="X85" t="s">
        <v>426</v>
      </c>
      <c r="Y85">
        <v>0</v>
      </c>
      <c r="Z85">
        <v>0</v>
      </c>
      <c r="AB85">
        <v>0</v>
      </c>
      <c r="AC85">
        <v>0</v>
      </c>
      <c r="AD85">
        <v>0.86</v>
      </c>
      <c r="AE85">
        <v>0</v>
      </c>
      <c r="AF85">
        <v>0</v>
      </c>
      <c r="AG85">
        <v>0</v>
      </c>
      <c r="AH85">
        <v>0</v>
      </c>
      <c r="AI85">
        <v>58</v>
      </c>
      <c r="AZ85" t="s">
        <v>444</v>
      </c>
      <c r="BA85" t="s">
        <v>451</v>
      </c>
    </row>
    <row r="86" spans="1:53" x14ac:dyDescent="0.25">
      <c r="A86" t="s">
        <v>44</v>
      </c>
      <c r="B86" t="s">
        <v>103</v>
      </c>
      <c r="C86" t="s">
        <v>126</v>
      </c>
      <c r="D86">
        <v>423632587</v>
      </c>
      <c r="E86">
        <v>0.85000000000000009</v>
      </c>
      <c r="F86">
        <v>1</v>
      </c>
      <c r="G86" t="s">
        <v>388</v>
      </c>
      <c r="H86">
        <v>1</v>
      </c>
      <c r="I86">
        <v>283.8</v>
      </c>
      <c r="J86">
        <v>290.5</v>
      </c>
      <c r="K86">
        <v>0.85000000000000009</v>
      </c>
      <c r="L86">
        <v>290.5</v>
      </c>
      <c r="M86">
        <v>0.33</v>
      </c>
      <c r="N86">
        <v>47.91</v>
      </c>
      <c r="O86">
        <v>0.89</v>
      </c>
      <c r="P86" t="s">
        <v>426</v>
      </c>
      <c r="Q86" t="s">
        <v>426</v>
      </c>
      <c r="R86" t="s">
        <v>426</v>
      </c>
      <c r="S86" t="s">
        <v>426</v>
      </c>
      <c r="T86" t="s">
        <v>426</v>
      </c>
      <c r="U86" t="s">
        <v>426</v>
      </c>
      <c r="V86" t="s">
        <v>426</v>
      </c>
      <c r="W86" t="s">
        <v>426</v>
      </c>
      <c r="X86" t="s">
        <v>426</v>
      </c>
      <c r="Y86">
        <v>0</v>
      </c>
      <c r="Z86">
        <v>0</v>
      </c>
      <c r="AB86">
        <v>0</v>
      </c>
      <c r="AC86">
        <v>0</v>
      </c>
      <c r="AD86">
        <v>0.89</v>
      </c>
      <c r="AE86">
        <v>0</v>
      </c>
      <c r="AF86">
        <v>0</v>
      </c>
      <c r="AG86">
        <v>0</v>
      </c>
      <c r="AH86">
        <v>0</v>
      </c>
      <c r="AI86">
        <v>5</v>
      </c>
      <c r="AZ86" t="s">
        <v>444</v>
      </c>
      <c r="BA86" t="s">
        <v>451</v>
      </c>
    </row>
    <row r="87" spans="1:53" x14ac:dyDescent="0.25">
      <c r="A87" t="s">
        <v>45</v>
      </c>
      <c r="B87" t="s">
        <v>104</v>
      </c>
      <c r="C87" t="s">
        <v>126</v>
      </c>
      <c r="D87">
        <v>499063699</v>
      </c>
      <c r="E87">
        <v>0.9</v>
      </c>
      <c r="F87">
        <v>1</v>
      </c>
      <c r="G87" t="s">
        <v>389</v>
      </c>
      <c r="H87">
        <v>1</v>
      </c>
      <c r="I87">
        <v>93.24</v>
      </c>
      <c r="J87">
        <v>98.16</v>
      </c>
      <c r="K87">
        <v>0.9</v>
      </c>
      <c r="L87">
        <v>98.16</v>
      </c>
      <c r="M87">
        <v>0.62</v>
      </c>
      <c r="N87">
        <v>59.52</v>
      </c>
      <c r="O87">
        <v>0.99</v>
      </c>
      <c r="P87" t="s">
        <v>426</v>
      </c>
      <c r="Q87" t="s">
        <v>426</v>
      </c>
      <c r="R87" t="s">
        <v>426</v>
      </c>
      <c r="S87" t="s">
        <v>426</v>
      </c>
      <c r="T87" t="s">
        <v>426</v>
      </c>
      <c r="U87" t="s">
        <v>426</v>
      </c>
      <c r="V87" t="s">
        <v>426</v>
      </c>
      <c r="W87" t="s">
        <v>426</v>
      </c>
      <c r="X87" t="s">
        <v>426</v>
      </c>
      <c r="Y87">
        <v>0</v>
      </c>
      <c r="Z87">
        <v>0</v>
      </c>
      <c r="AA87" t="s">
        <v>429</v>
      </c>
      <c r="AB87">
        <v>0</v>
      </c>
      <c r="AC87">
        <v>0</v>
      </c>
      <c r="AD87">
        <v>0.99</v>
      </c>
      <c r="AE87">
        <v>0</v>
      </c>
      <c r="AF87">
        <v>0</v>
      </c>
      <c r="AG87">
        <v>0</v>
      </c>
      <c r="AH87">
        <v>0</v>
      </c>
      <c r="AI87">
        <v>27</v>
      </c>
      <c r="AZ87" t="s">
        <v>444</v>
      </c>
      <c r="BA87" t="s">
        <v>451</v>
      </c>
    </row>
    <row r="88" spans="1:53" x14ac:dyDescent="0.25">
      <c r="A88" t="s">
        <v>46</v>
      </c>
      <c r="B88" t="s">
        <v>105</v>
      </c>
      <c r="C88" t="s">
        <v>126</v>
      </c>
      <c r="D88">
        <v>1227468973</v>
      </c>
      <c r="E88">
        <v>0.95000000000000007</v>
      </c>
      <c r="F88">
        <v>1</v>
      </c>
      <c r="G88" t="s">
        <v>390</v>
      </c>
      <c r="H88">
        <v>1</v>
      </c>
      <c r="I88">
        <v>78.84</v>
      </c>
      <c r="J88">
        <v>87.34</v>
      </c>
      <c r="K88">
        <v>0.95000000000000007</v>
      </c>
      <c r="L88">
        <v>87.34</v>
      </c>
      <c r="M88">
        <v>0.39</v>
      </c>
      <c r="N88">
        <v>67.42</v>
      </c>
      <c r="O88">
        <v>1</v>
      </c>
      <c r="P88" t="s">
        <v>426</v>
      </c>
      <c r="Q88" t="s">
        <v>426</v>
      </c>
      <c r="R88" t="s">
        <v>426</v>
      </c>
      <c r="S88" t="s">
        <v>426</v>
      </c>
      <c r="T88" t="s">
        <v>426</v>
      </c>
      <c r="U88" t="s">
        <v>426</v>
      </c>
      <c r="V88" t="s">
        <v>426</v>
      </c>
      <c r="W88" t="s">
        <v>426</v>
      </c>
      <c r="X88" t="s">
        <v>426</v>
      </c>
      <c r="Y88">
        <v>0</v>
      </c>
      <c r="Z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10</v>
      </c>
      <c r="AZ88" t="s">
        <v>444</v>
      </c>
      <c r="BA88" t="s">
        <v>451</v>
      </c>
    </row>
    <row r="89" spans="1:53" x14ac:dyDescent="0.25">
      <c r="A89" t="s">
        <v>47</v>
      </c>
      <c r="B89" t="s">
        <v>106</v>
      </c>
      <c r="C89" t="s">
        <v>126</v>
      </c>
      <c r="D89">
        <v>97330405</v>
      </c>
      <c r="E89">
        <v>0.3</v>
      </c>
      <c r="F89">
        <v>1</v>
      </c>
      <c r="G89" t="s">
        <v>391</v>
      </c>
      <c r="H89">
        <v>1</v>
      </c>
      <c r="I89">
        <v>175.3</v>
      </c>
      <c r="J89">
        <v>177.85</v>
      </c>
      <c r="K89">
        <v>0.3</v>
      </c>
      <c r="L89">
        <v>177.85</v>
      </c>
      <c r="M89">
        <v>1.04</v>
      </c>
      <c r="N89">
        <v>55.88</v>
      </c>
      <c r="O89">
        <v>0.92</v>
      </c>
      <c r="P89" t="s">
        <v>426</v>
      </c>
      <c r="Q89" t="s">
        <v>426</v>
      </c>
      <c r="R89" t="s">
        <v>426</v>
      </c>
      <c r="S89" t="s">
        <v>426</v>
      </c>
      <c r="T89" t="s">
        <v>426</v>
      </c>
      <c r="U89" t="s">
        <v>426</v>
      </c>
      <c r="V89" t="s">
        <v>426</v>
      </c>
      <c r="W89" t="s">
        <v>426</v>
      </c>
      <c r="X89" t="s">
        <v>426</v>
      </c>
      <c r="Y89">
        <v>0</v>
      </c>
      <c r="Z89">
        <v>0</v>
      </c>
      <c r="AB89">
        <v>0</v>
      </c>
      <c r="AC89">
        <v>0</v>
      </c>
      <c r="AD89">
        <v>0.92</v>
      </c>
      <c r="AE89">
        <v>0</v>
      </c>
      <c r="AF89">
        <v>0</v>
      </c>
      <c r="AG89">
        <v>0</v>
      </c>
      <c r="AH89">
        <v>0</v>
      </c>
      <c r="AI89">
        <v>48</v>
      </c>
      <c r="AZ89" t="s">
        <v>444</v>
      </c>
      <c r="BA89" t="s">
        <v>451</v>
      </c>
    </row>
    <row r="90" spans="1:53" x14ac:dyDescent="0.25">
      <c r="A90" t="s">
        <v>48</v>
      </c>
      <c r="B90" t="s">
        <v>107</v>
      </c>
      <c r="C90" t="s">
        <v>126</v>
      </c>
      <c r="D90">
        <v>577122512</v>
      </c>
      <c r="E90">
        <v>1</v>
      </c>
      <c r="F90">
        <v>1</v>
      </c>
      <c r="G90" t="s">
        <v>392</v>
      </c>
      <c r="H90">
        <v>1</v>
      </c>
      <c r="I90">
        <v>228.9</v>
      </c>
      <c r="J90">
        <v>215.4</v>
      </c>
      <c r="K90">
        <v>1</v>
      </c>
      <c r="L90">
        <v>215.4</v>
      </c>
      <c r="M90">
        <v>1.22</v>
      </c>
      <c r="N90">
        <v>65.400000000000006</v>
      </c>
      <c r="O90">
        <v>0.99</v>
      </c>
      <c r="P90" t="s">
        <v>426</v>
      </c>
      <c r="Q90" t="s">
        <v>426</v>
      </c>
      <c r="R90" t="s">
        <v>426</v>
      </c>
      <c r="S90" t="s">
        <v>426</v>
      </c>
      <c r="T90" t="s">
        <v>426</v>
      </c>
      <c r="U90" t="s">
        <v>426</v>
      </c>
      <c r="V90" t="s">
        <v>426</v>
      </c>
      <c r="W90" t="s">
        <v>426</v>
      </c>
      <c r="X90" t="s">
        <v>426</v>
      </c>
      <c r="Y90">
        <v>0</v>
      </c>
      <c r="Z90">
        <v>0</v>
      </c>
      <c r="AB90">
        <v>0</v>
      </c>
      <c r="AC90">
        <v>0</v>
      </c>
      <c r="AD90">
        <v>0.99</v>
      </c>
      <c r="AE90">
        <v>0</v>
      </c>
      <c r="AF90">
        <v>0</v>
      </c>
      <c r="AG90">
        <v>0</v>
      </c>
      <c r="AH90">
        <v>0</v>
      </c>
      <c r="AI90">
        <v>54</v>
      </c>
      <c r="AZ90" t="s">
        <v>444</v>
      </c>
      <c r="BA90" t="s">
        <v>451</v>
      </c>
    </row>
    <row r="91" spans="1:53" x14ac:dyDescent="0.25">
      <c r="A91" t="s">
        <v>49</v>
      </c>
      <c r="B91" t="s">
        <v>108</v>
      </c>
      <c r="C91" t="s">
        <v>126</v>
      </c>
      <c r="D91">
        <v>179363695</v>
      </c>
      <c r="E91">
        <v>0.85000000000000009</v>
      </c>
      <c r="F91">
        <v>1</v>
      </c>
      <c r="G91" t="s">
        <v>393</v>
      </c>
      <c r="H91">
        <v>1</v>
      </c>
      <c r="I91">
        <v>27.84</v>
      </c>
      <c r="J91">
        <v>28.96</v>
      </c>
      <c r="K91">
        <v>0.85000000000000009</v>
      </c>
      <c r="L91">
        <v>28.96</v>
      </c>
      <c r="M91">
        <v>0.61</v>
      </c>
      <c r="N91">
        <v>56.08</v>
      </c>
      <c r="O91">
        <v>0.75</v>
      </c>
      <c r="P91" t="s">
        <v>426</v>
      </c>
      <c r="Q91" t="s">
        <v>426</v>
      </c>
      <c r="R91" t="s">
        <v>426</v>
      </c>
      <c r="S91" t="s">
        <v>426</v>
      </c>
      <c r="T91" t="s">
        <v>426</v>
      </c>
      <c r="U91" t="s">
        <v>426</v>
      </c>
      <c r="V91" t="s">
        <v>426</v>
      </c>
      <c r="W91" t="s">
        <v>426</v>
      </c>
      <c r="X91" t="s">
        <v>426</v>
      </c>
      <c r="Y91">
        <v>0</v>
      </c>
      <c r="Z91">
        <v>0</v>
      </c>
      <c r="AB91">
        <v>0</v>
      </c>
      <c r="AC91">
        <v>0</v>
      </c>
      <c r="AD91">
        <v>0.75</v>
      </c>
      <c r="AE91">
        <v>0</v>
      </c>
      <c r="AF91">
        <v>0</v>
      </c>
      <c r="AG91">
        <v>0</v>
      </c>
      <c r="AH91">
        <v>0</v>
      </c>
      <c r="AI91">
        <v>26</v>
      </c>
      <c r="AZ91" t="s">
        <v>444</v>
      </c>
      <c r="BA91" t="s">
        <v>451</v>
      </c>
    </row>
    <row r="92" spans="1:53" x14ac:dyDescent="0.25">
      <c r="A92" t="s">
        <v>233</v>
      </c>
      <c r="B92" t="s">
        <v>293</v>
      </c>
      <c r="C92" t="s">
        <v>126</v>
      </c>
      <c r="D92">
        <v>383457600</v>
      </c>
      <c r="E92">
        <v>0.95000000000000007</v>
      </c>
      <c r="F92">
        <v>1</v>
      </c>
      <c r="G92" t="s">
        <v>394</v>
      </c>
      <c r="H92">
        <v>1</v>
      </c>
      <c r="I92">
        <v>6.3</v>
      </c>
      <c r="J92">
        <v>5.9950000000000001</v>
      </c>
      <c r="K92">
        <v>0.95000000000000007</v>
      </c>
      <c r="L92">
        <v>5.9950000000000001</v>
      </c>
      <c r="M92">
        <v>1.89</v>
      </c>
      <c r="N92">
        <v>38.83</v>
      </c>
      <c r="O92">
        <v>0.7</v>
      </c>
      <c r="P92" t="s">
        <v>426</v>
      </c>
      <c r="Q92" t="s">
        <v>426</v>
      </c>
      <c r="R92" t="s">
        <v>426</v>
      </c>
      <c r="S92" t="s">
        <v>426</v>
      </c>
      <c r="T92" t="s">
        <v>426</v>
      </c>
      <c r="U92" t="s">
        <v>426</v>
      </c>
      <c r="V92" t="s">
        <v>426</v>
      </c>
      <c r="W92" t="s">
        <v>426</v>
      </c>
      <c r="X92" t="s">
        <v>426</v>
      </c>
      <c r="Y92">
        <v>0</v>
      </c>
      <c r="Z92">
        <v>0</v>
      </c>
      <c r="AB92">
        <v>0</v>
      </c>
      <c r="AC92">
        <v>0</v>
      </c>
      <c r="AD92">
        <v>0.7</v>
      </c>
      <c r="AE92">
        <v>0</v>
      </c>
      <c r="AF92">
        <v>0</v>
      </c>
      <c r="AG92">
        <v>0</v>
      </c>
      <c r="AH92">
        <v>0</v>
      </c>
      <c r="AI92">
        <v>79</v>
      </c>
      <c r="AZ92" t="s">
        <v>444</v>
      </c>
      <c r="BA92" t="s">
        <v>451</v>
      </c>
    </row>
    <row r="93" spans="1:53" x14ac:dyDescent="0.25">
      <c r="A93" t="s">
        <v>50</v>
      </c>
      <c r="B93" t="s">
        <v>109</v>
      </c>
      <c r="C93" t="s">
        <v>126</v>
      </c>
      <c r="D93">
        <v>785180327</v>
      </c>
      <c r="E93">
        <v>0.9</v>
      </c>
      <c r="F93">
        <v>1</v>
      </c>
      <c r="G93" t="s">
        <v>395</v>
      </c>
      <c r="H93">
        <v>1</v>
      </c>
      <c r="I93">
        <v>56.76</v>
      </c>
      <c r="J93">
        <v>57.84</v>
      </c>
      <c r="K93">
        <v>0.9</v>
      </c>
      <c r="L93">
        <v>57.84</v>
      </c>
      <c r="M93">
        <v>0.82</v>
      </c>
      <c r="N93">
        <v>56.73</v>
      </c>
      <c r="O93">
        <v>0.74</v>
      </c>
      <c r="P93" t="s">
        <v>426</v>
      </c>
      <c r="Q93" t="s">
        <v>426</v>
      </c>
      <c r="R93" t="s">
        <v>426</v>
      </c>
      <c r="S93" t="s">
        <v>426</v>
      </c>
      <c r="T93" t="s">
        <v>426</v>
      </c>
      <c r="U93" t="s">
        <v>426</v>
      </c>
      <c r="V93" t="s">
        <v>426</v>
      </c>
      <c r="W93" t="s">
        <v>426</v>
      </c>
      <c r="X93" t="s">
        <v>426</v>
      </c>
      <c r="Y93">
        <v>0</v>
      </c>
      <c r="Z93">
        <v>0</v>
      </c>
      <c r="AB93">
        <v>0</v>
      </c>
      <c r="AC93">
        <v>0</v>
      </c>
      <c r="AD93">
        <v>0.74</v>
      </c>
      <c r="AE93">
        <v>0</v>
      </c>
      <c r="AF93">
        <v>0</v>
      </c>
      <c r="AG93">
        <v>0</v>
      </c>
      <c r="AH93">
        <v>0</v>
      </c>
      <c r="AI93">
        <v>36</v>
      </c>
      <c r="AZ93" t="s">
        <v>444</v>
      </c>
      <c r="BA93" t="s">
        <v>451</v>
      </c>
    </row>
    <row r="94" spans="1:53" x14ac:dyDescent="0.25">
      <c r="A94" t="s">
        <v>51</v>
      </c>
      <c r="B94" t="s">
        <v>110</v>
      </c>
      <c r="C94" t="s">
        <v>126</v>
      </c>
      <c r="D94">
        <v>147454887</v>
      </c>
      <c r="E94">
        <v>0.55000000000000004</v>
      </c>
      <c r="F94">
        <v>1</v>
      </c>
      <c r="G94" t="s">
        <v>396</v>
      </c>
      <c r="H94">
        <v>1</v>
      </c>
      <c r="I94">
        <v>52.15</v>
      </c>
      <c r="J94">
        <v>53.9</v>
      </c>
      <c r="K94">
        <v>0.55000000000000004</v>
      </c>
      <c r="L94">
        <v>53.9</v>
      </c>
      <c r="M94">
        <v>0.4</v>
      </c>
      <c r="N94">
        <v>43.42</v>
      </c>
      <c r="O94">
        <v>0.92</v>
      </c>
      <c r="P94" t="s">
        <v>426</v>
      </c>
      <c r="Q94" t="s">
        <v>426</v>
      </c>
      <c r="R94" t="s">
        <v>426</v>
      </c>
      <c r="S94" t="s">
        <v>426</v>
      </c>
      <c r="T94" t="s">
        <v>426</v>
      </c>
      <c r="U94" t="s">
        <v>426</v>
      </c>
      <c r="V94" t="s">
        <v>426</v>
      </c>
      <c r="W94" t="s">
        <v>426</v>
      </c>
      <c r="X94" t="s">
        <v>426</v>
      </c>
      <c r="Y94">
        <v>0</v>
      </c>
      <c r="Z94">
        <v>0</v>
      </c>
      <c r="AB94">
        <v>0</v>
      </c>
      <c r="AC94">
        <v>0</v>
      </c>
      <c r="AD94">
        <v>0.92</v>
      </c>
      <c r="AE94">
        <v>0</v>
      </c>
      <c r="AF94">
        <v>0</v>
      </c>
      <c r="AG94">
        <v>0</v>
      </c>
      <c r="AH94">
        <v>0</v>
      </c>
      <c r="AI94">
        <v>12</v>
      </c>
      <c r="AZ94" t="s">
        <v>444</v>
      </c>
      <c r="BA94" t="s">
        <v>451</v>
      </c>
    </row>
    <row r="95" spans="1:53" x14ac:dyDescent="0.25">
      <c r="A95" t="s">
        <v>52</v>
      </c>
      <c r="B95" t="s">
        <v>111</v>
      </c>
      <c r="C95" t="s">
        <v>126</v>
      </c>
      <c r="D95">
        <v>35772015</v>
      </c>
      <c r="E95">
        <v>0.70000000000000007</v>
      </c>
      <c r="F95">
        <v>1</v>
      </c>
      <c r="G95" t="s">
        <v>397</v>
      </c>
      <c r="H95">
        <v>1</v>
      </c>
      <c r="I95">
        <v>31.93</v>
      </c>
      <c r="J95">
        <v>38.51</v>
      </c>
      <c r="K95">
        <v>0.70000000000000007</v>
      </c>
      <c r="L95">
        <v>38.51</v>
      </c>
      <c r="M95">
        <v>1.39</v>
      </c>
      <c r="N95">
        <v>47.77</v>
      </c>
      <c r="O95">
        <v>0.8</v>
      </c>
      <c r="P95" t="s">
        <v>426</v>
      </c>
      <c r="Q95" t="s">
        <v>426</v>
      </c>
      <c r="R95" t="s">
        <v>426</v>
      </c>
      <c r="S95" t="s">
        <v>426</v>
      </c>
      <c r="T95" t="s">
        <v>426</v>
      </c>
      <c r="U95" t="s">
        <v>426</v>
      </c>
      <c r="V95" t="s">
        <v>426</v>
      </c>
      <c r="W95" t="s">
        <v>426</v>
      </c>
      <c r="X95" t="s">
        <v>426</v>
      </c>
      <c r="Y95">
        <v>0</v>
      </c>
      <c r="Z95">
        <v>0</v>
      </c>
      <c r="AB95">
        <v>0</v>
      </c>
      <c r="AC95">
        <v>0</v>
      </c>
      <c r="AD95">
        <v>0.8</v>
      </c>
      <c r="AE95">
        <v>0</v>
      </c>
      <c r="AF95">
        <v>0</v>
      </c>
      <c r="AG95">
        <v>0</v>
      </c>
      <c r="AH95">
        <v>0</v>
      </c>
      <c r="AI95">
        <v>61</v>
      </c>
      <c r="AZ95" t="s">
        <v>444</v>
      </c>
      <c r="BA95" t="s">
        <v>451</v>
      </c>
    </row>
    <row r="96" spans="1:53" x14ac:dyDescent="0.25">
      <c r="A96" t="s">
        <v>53</v>
      </c>
      <c r="B96" t="s">
        <v>112</v>
      </c>
      <c r="C96" t="s">
        <v>128</v>
      </c>
      <c r="D96">
        <v>105876416</v>
      </c>
      <c r="E96">
        <v>0.65</v>
      </c>
      <c r="F96">
        <v>1</v>
      </c>
      <c r="G96" t="s">
        <v>398</v>
      </c>
      <c r="H96">
        <v>1</v>
      </c>
      <c r="I96">
        <v>27.46</v>
      </c>
      <c r="J96">
        <v>28.98</v>
      </c>
      <c r="K96">
        <v>0.65</v>
      </c>
      <c r="L96">
        <v>28.98</v>
      </c>
      <c r="M96">
        <v>1.28</v>
      </c>
      <c r="N96">
        <v>54.73</v>
      </c>
      <c r="O96">
        <v>0.97</v>
      </c>
      <c r="P96" t="s">
        <v>426</v>
      </c>
      <c r="Q96" t="s">
        <v>426</v>
      </c>
      <c r="R96" t="s">
        <v>426</v>
      </c>
      <c r="S96" t="s">
        <v>426</v>
      </c>
      <c r="T96" t="s">
        <v>426</v>
      </c>
      <c r="U96" t="s">
        <v>426</v>
      </c>
      <c r="V96" t="s">
        <v>426</v>
      </c>
      <c r="W96" t="s">
        <v>426</v>
      </c>
      <c r="X96" t="s">
        <v>426</v>
      </c>
      <c r="Y96">
        <v>0</v>
      </c>
      <c r="Z96">
        <v>9.5999999999999992E-3</v>
      </c>
      <c r="AA96" t="s">
        <v>429</v>
      </c>
      <c r="AB96">
        <v>0</v>
      </c>
      <c r="AC96">
        <v>0</v>
      </c>
      <c r="AD96">
        <v>0.97</v>
      </c>
      <c r="AE96">
        <v>0</v>
      </c>
      <c r="AF96">
        <v>9.5999999999999992E-3</v>
      </c>
      <c r="AG96">
        <v>0</v>
      </c>
      <c r="AH96">
        <v>0</v>
      </c>
      <c r="AI96">
        <v>56</v>
      </c>
      <c r="AZ96" t="s">
        <v>444</v>
      </c>
      <c r="BA96" t="s">
        <v>451</v>
      </c>
    </row>
    <row r="97" spans="1:53" x14ac:dyDescent="0.25">
      <c r="A97" t="s">
        <v>54</v>
      </c>
      <c r="B97" t="s">
        <v>113</v>
      </c>
      <c r="C97" t="s">
        <v>126</v>
      </c>
      <c r="D97">
        <v>20547701</v>
      </c>
      <c r="E97">
        <v>0.70000000000000007</v>
      </c>
      <c r="F97">
        <v>1</v>
      </c>
      <c r="G97" t="s">
        <v>399</v>
      </c>
      <c r="H97">
        <v>1</v>
      </c>
      <c r="I97">
        <v>160</v>
      </c>
      <c r="J97">
        <v>175</v>
      </c>
      <c r="K97">
        <v>0.70000000000000007</v>
      </c>
      <c r="L97">
        <v>175</v>
      </c>
      <c r="M97">
        <v>0.74</v>
      </c>
      <c r="N97">
        <v>69.400000000000006</v>
      </c>
      <c r="O97">
        <v>0.91</v>
      </c>
      <c r="P97" t="s">
        <v>426</v>
      </c>
      <c r="Q97" t="s">
        <v>426</v>
      </c>
      <c r="R97" t="s">
        <v>426</v>
      </c>
      <c r="S97" t="s">
        <v>426</v>
      </c>
      <c r="T97" t="s">
        <v>426</v>
      </c>
      <c r="U97" t="s">
        <v>426</v>
      </c>
      <c r="V97" t="s">
        <v>426</v>
      </c>
      <c r="W97" t="s">
        <v>426</v>
      </c>
      <c r="X97" t="s">
        <v>426</v>
      </c>
      <c r="Y97">
        <v>0</v>
      </c>
      <c r="Z97">
        <v>0</v>
      </c>
      <c r="AB97">
        <v>0</v>
      </c>
      <c r="AC97">
        <v>0</v>
      </c>
      <c r="AD97">
        <v>0.91</v>
      </c>
      <c r="AE97">
        <v>0</v>
      </c>
      <c r="AF97">
        <v>0</v>
      </c>
      <c r="AG97">
        <v>0</v>
      </c>
      <c r="AH97">
        <v>0</v>
      </c>
      <c r="AI97">
        <v>32</v>
      </c>
      <c r="AZ97" t="s">
        <v>444</v>
      </c>
      <c r="BA97" t="s">
        <v>451</v>
      </c>
    </row>
    <row r="98" spans="1:53" x14ac:dyDescent="0.25">
      <c r="A98" t="s">
        <v>55</v>
      </c>
      <c r="B98" t="s">
        <v>114</v>
      </c>
      <c r="C98" t="s">
        <v>126</v>
      </c>
      <c r="D98">
        <v>168073514</v>
      </c>
      <c r="E98">
        <v>0.9</v>
      </c>
      <c r="F98">
        <v>1</v>
      </c>
      <c r="G98" t="s">
        <v>400</v>
      </c>
      <c r="H98">
        <v>1</v>
      </c>
      <c r="I98">
        <v>47.64</v>
      </c>
      <c r="J98">
        <v>52.1</v>
      </c>
      <c r="K98">
        <v>0.9</v>
      </c>
      <c r="L98">
        <v>52.1</v>
      </c>
      <c r="M98">
        <v>1.02</v>
      </c>
      <c r="N98">
        <v>47.37</v>
      </c>
      <c r="O98">
        <v>0.89</v>
      </c>
      <c r="P98" t="s">
        <v>426</v>
      </c>
      <c r="Q98" t="s">
        <v>426</v>
      </c>
      <c r="R98" t="s">
        <v>426</v>
      </c>
      <c r="S98" t="s">
        <v>426</v>
      </c>
      <c r="T98" t="s">
        <v>426</v>
      </c>
      <c r="U98" t="s">
        <v>426</v>
      </c>
      <c r="V98" t="s">
        <v>426</v>
      </c>
      <c r="W98" t="s">
        <v>426</v>
      </c>
      <c r="X98" t="s">
        <v>426</v>
      </c>
      <c r="Y98">
        <v>0</v>
      </c>
      <c r="Z98">
        <v>0</v>
      </c>
      <c r="AB98">
        <v>0</v>
      </c>
      <c r="AC98">
        <v>0</v>
      </c>
      <c r="AD98">
        <v>0.89</v>
      </c>
      <c r="AE98">
        <v>0</v>
      </c>
      <c r="AF98">
        <v>0</v>
      </c>
      <c r="AG98">
        <v>0</v>
      </c>
      <c r="AH98">
        <v>0</v>
      </c>
      <c r="AI98">
        <v>46</v>
      </c>
      <c r="AZ98" t="s">
        <v>444</v>
      </c>
      <c r="BA98" t="s">
        <v>451</v>
      </c>
    </row>
    <row r="99" spans="1:53" x14ac:dyDescent="0.25">
      <c r="A99" t="s">
        <v>56</v>
      </c>
      <c r="B99" t="s">
        <v>115</v>
      </c>
      <c r="C99" t="s">
        <v>126</v>
      </c>
      <c r="D99">
        <v>2896073567</v>
      </c>
      <c r="E99">
        <v>0.70000000000000007</v>
      </c>
      <c r="F99">
        <v>1</v>
      </c>
      <c r="G99" t="s">
        <v>401</v>
      </c>
      <c r="H99">
        <v>1</v>
      </c>
      <c r="I99">
        <v>8.14</v>
      </c>
      <c r="J99">
        <v>8.6460000000000008</v>
      </c>
      <c r="K99">
        <v>0.70000000000000007</v>
      </c>
      <c r="L99">
        <v>8.6489999999999991</v>
      </c>
      <c r="M99">
        <v>0.56000000000000005</v>
      </c>
      <c r="N99">
        <v>53.7</v>
      </c>
      <c r="O99">
        <v>0.92</v>
      </c>
      <c r="P99" t="s">
        <v>427</v>
      </c>
      <c r="Q99" t="s">
        <v>426</v>
      </c>
      <c r="R99" t="s">
        <v>426</v>
      </c>
      <c r="S99" t="s">
        <v>426</v>
      </c>
      <c r="T99" t="s">
        <v>426</v>
      </c>
      <c r="U99" t="s">
        <v>426</v>
      </c>
      <c r="V99" t="s">
        <v>426</v>
      </c>
      <c r="W99" t="s">
        <v>426</v>
      </c>
      <c r="X99" t="s">
        <v>426</v>
      </c>
      <c r="Y99">
        <v>0</v>
      </c>
      <c r="Z99">
        <v>0</v>
      </c>
      <c r="AB99">
        <v>0</v>
      </c>
      <c r="AC99">
        <v>0</v>
      </c>
      <c r="AD99">
        <v>0.92</v>
      </c>
      <c r="AE99">
        <v>0</v>
      </c>
      <c r="AF99">
        <v>0</v>
      </c>
      <c r="AG99">
        <v>0</v>
      </c>
      <c r="AH99">
        <v>0</v>
      </c>
      <c r="AI99">
        <v>25</v>
      </c>
      <c r="AZ99" t="s">
        <v>444</v>
      </c>
      <c r="BA99" t="s">
        <v>451</v>
      </c>
    </row>
    <row r="100" spans="1:53" x14ac:dyDescent="0.25">
      <c r="A100" t="s">
        <v>57</v>
      </c>
      <c r="B100" t="s">
        <v>116</v>
      </c>
      <c r="C100" t="s">
        <v>126</v>
      </c>
      <c r="D100">
        <v>911281920</v>
      </c>
      <c r="E100">
        <v>0.70000000000000007</v>
      </c>
      <c r="F100">
        <v>1</v>
      </c>
      <c r="G100" t="s">
        <v>402</v>
      </c>
      <c r="H100">
        <v>1</v>
      </c>
      <c r="I100">
        <v>22.86</v>
      </c>
      <c r="J100">
        <v>23.434999999999999</v>
      </c>
      <c r="K100">
        <v>0.70000000000000007</v>
      </c>
      <c r="L100">
        <v>23.434999999999999</v>
      </c>
      <c r="M100">
        <v>0.73</v>
      </c>
      <c r="N100">
        <v>62.95</v>
      </c>
      <c r="O100">
        <v>0.97</v>
      </c>
      <c r="P100" t="s">
        <v>426</v>
      </c>
      <c r="Q100" t="s">
        <v>426</v>
      </c>
      <c r="R100" t="s">
        <v>426</v>
      </c>
      <c r="S100" t="s">
        <v>426</v>
      </c>
      <c r="T100" t="s">
        <v>426</v>
      </c>
      <c r="U100" t="s">
        <v>426</v>
      </c>
      <c r="V100" t="s">
        <v>426</v>
      </c>
      <c r="W100" t="s">
        <v>426</v>
      </c>
      <c r="X100" t="s">
        <v>426</v>
      </c>
      <c r="Y100">
        <v>0</v>
      </c>
      <c r="Z100">
        <v>0</v>
      </c>
      <c r="AB100">
        <v>0</v>
      </c>
      <c r="AC100">
        <v>0</v>
      </c>
      <c r="AD100">
        <v>0.97</v>
      </c>
      <c r="AE100">
        <v>0</v>
      </c>
      <c r="AF100">
        <v>0</v>
      </c>
      <c r="AG100">
        <v>0</v>
      </c>
      <c r="AH100">
        <v>0</v>
      </c>
      <c r="AI100">
        <v>29</v>
      </c>
      <c r="AZ100" t="s">
        <v>444</v>
      </c>
      <c r="BA100" t="s">
        <v>451</v>
      </c>
    </row>
    <row r="101" spans="1:53" x14ac:dyDescent="0.25">
      <c r="A101" t="s">
        <v>58</v>
      </c>
      <c r="B101" t="s">
        <v>117</v>
      </c>
      <c r="C101" t="s">
        <v>126</v>
      </c>
      <c r="D101">
        <v>178378708</v>
      </c>
      <c r="E101">
        <v>0.75</v>
      </c>
      <c r="F101">
        <v>1</v>
      </c>
      <c r="G101" t="s">
        <v>403</v>
      </c>
      <c r="H101">
        <v>1</v>
      </c>
      <c r="I101">
        <v>41.34</v>
      </c>
      <c r="J101">
        <v>41.12</v>
      </c>
      <c r="K101">
        <v>0.75</v>
      </c>
      <c r="L101">
        <v>41.12</v>
      </c>
      <c r="M101">
        <v>1.5</v>
      </c>
      <c r="N101">
        <v>50.65</v>
      </c>
      <c r="O101">
        <v>0.91</v>
      </c>
      <c r="P101" t="s">
        <v>426</v>
      </c>
      <c r="Q101" t="s">
        <v>426</v>
      </c>
      <c r="R101" t="s">
        <v>426</v>
      </c>
      <c r="S101" t="s">
        <v>426</v>
      </c>
      <c r="T101" t="s">
        <v>426</v>
      </c>
      <c r="U101" t="s">
        <v>426</v>
      </c>
      <c r="V101" t="s">
        <v>426</v>
      </c>
      <c r="W101" t="s">
        <v>426</v>
      </c>
      <c r="X101" t="s">
        <v>426</v>
      </c>
      <c r="Y101">
        <v>0</v>
      </c>
      <c r="Z101">
        <v>0</v>
      </c>
      <c r="AB101">
        <v>0</v>
      </c>
      <c r="AC101">
        <v>0</v>
      </c>
      <c r="AD101">
        <v>0.91</v>
      </c>
      <c r="AE101">
        <v>0</v>
      </c>
      <c r="AF101">
        <v>0</v>
      </c>
      <c r="AG101">
        <v>0</v>
      </c>
      <c r="AH101">
        <v>0</v>
      </c>
      <c r="AI101">
        <v>65</v>
      </c>
      <c r="AZ101" t="s">
        <v>444</v>
      </c>
      <c r="BA101" t="s">
        <v>451</v>
      </c>
    </row>
    <row r="102" spans="1:53" x14ac:dyDescent="0.25">
      <c r="A102" t="s">
        <v>59</v>
      </c>
      <c r="B102" t="s">
        <v>118</v>
      </c>
      <c r="C102" t="s">
        <v>126</v>
      </c>
      <c r="D102">
        <v>59874365</v>
      </c>
      <c r="E102">
        <v>0.95000000000000007</v>
      </c>
      <c r="F102">
        <v>1</v>
      </c>
      <c r="G102" t="s">
        <v>404</v>
      </c>
      <c r="H102">
        <v>1</v>
      </c>
      <c r="I102">
        <v>63.16</v>
      </c>
      <c r="J102">
        <v>72.239999999999995</v>
      </c>
      <c r="K102">
        <v>0.95000000000000007</v>
      </c>
      <c r="L102">
        <v>72.239999999999995</v>
      </c>
      <c r="M102">
        <v>1.29</v>
      </c>
      <c r="N102">
        <v>59.2</v>
      </c>
      <c r="O102">
        <v>0.92</v>
      </c>
      <c r="P102" t="s">
        <v>426</v>
      </c>
      <c r="Q102" t="s">
        <v>426</v>
      </c>
      <c r="R102" t="s">
        <v>426</v>
      </c>
      <c r="S102" t="s">
        <v>426</v>
      </c>
      <c r="T102" t="s">
        <v>426</v>
      </c>
      <c r="U102" t="s">
        <v>426</v>
      </c>
      <c r="V102" t="s">
        <v>426</v>
      </c>
      <c r="W102" t="s">
        <v>426</v>
      </c>
      <c r="X102" t="s">
        <v>426</v>
      </c>
      <c r="Y102">
        <v>0</v>
      </c>
      <c r="Z102">
        <v>0</v>
      </c>
      <c r="AB102">
        <v>0</v>
      </c>
      <c r="AC102">
        <v>0</v>
      </c>
      <c r="AD102">
        <v>0.92</v>
      </c>
      <c r="AE102">
        <v>0</v>
      </c>
      <c r="AF102">
        <v>0</v>
      </c>
      <c r="AG102">
        <v>0</v>
      </c>
      <c r="AH102">
        <v>0</v>
      </c>
      <c r="AI102">
        <v>57</v>
      </c>
      <c r="AZ102" t="s">
        <v>444</v>
      </c>
      <c r="BA102" t="s">
        <v>451</v>
      </c>
    </row>
    <row r="103" spans="1:53" x14ac:dyDescent="0.25">
      <c r="A103" t="s">
        <v>234</v>
      </c>
      <c r="B103" t="s">
        <v>294</v>
      </c>
      <c r="C103" t="s">
        <v>126</v>
      </c>
      <c r="D103">
        <v>211173467</v>
      </c>
      <c r="E103">
        <v>0.45</v>
      </c>
      <c r="F103">
        <v>1</v>
      </c>
      <c r="G103" t="s">
        <v>405</v>
      </c>
      <c r="H103">
        <v>1</v>
      </c>
      <c r="I103">
        <v>8.8800000000000008</v>
      </c>
      <c r="J103">
        <v>8.5850000000000009</v>
      </c>
      <c r="K103">
        <v>0.45</v>
      </c>
      <c r="L103">
        <v>8.5850000000000009</v>
      </c>
      <c r="M103">
        <v>1.95</v>
      </c>
      <c r="N103">
        <v>52.89</v>
      </c>
      <c r="AI103">
        <v>81</v>
      </c>
      <c r="AZ103" t="s">
        <v>444</v>
      </c>
      <c r="BA103" t="s">
        <v>451</v>
      </c>
    </row>
    <row r="104" spans="1:53" x14ac:dyDescent="0.25">
      <c r="A104" t="s">
        <v>235</v>
      </c>
      <c r="B104" t="s">
        <v>295</v>
      </c>
      <c r="C104" t="s">
        <v>126</v>
      </c>
      <c r="D104">
        <v>205941913</v>
      </c>
      <c r="E104">
        <v>0.45</v>
      </c>
      <c r="F104">
        <v>1</v>
      </c>
      <c r="G104" t="s">
        <v>406</v>
      </c>
      <c r="H104">
        <v>1</v>
      </c>
      <c r="I104">
        <v>257.7</v>
      </c>
      <c r="J104">
        <v>232.3</v>
      </c>
      <c r="K104">
        <v>0.45</v>
      </c>
      <c r="L104">
        <v>232.3</v>
      </c>
      <c r="M104">
        <v>0.19</v>
      </c>
      <c r="N104">
        <v>52.57</v>
      </c>
      <c r="O104">
        <v>0.98</v>
      </c>
      <c r="P104" t="s">
        <v>426</v>
      </c>
      <c r="Q104" t="s">
        <v>426</v>
      </c>
      <c r="R104" t="s">
        <v>426</v>
      </c>
      <c r="S104" t="s">
        <v>426</v>
      </c>
      <c r="T104" t="s">
        <v>426</v>
      </c>
      <c r="U104" t="s">
        <v>426</v>
      </c>
      <c r="V104" t="s">
        <v>425</v>
      </c>
      <c r="W104" t="s">
        <v>426</v>
      </c>
      <c r="X104" t="s">
        <v>426</v>
      </c>
      <c r="Y104">
        <v>0</v>
      </c>
      <c r="Z104">
        <v>0</v>
      </c>
      <c r="AB104">
        <v>0</v>
      </c>
      <c r="AC104">
        <v>0</v>
      </c>
      <c r="AD104">
        <v>0.98</v>
      </c>
      <c r="AE104">
        <v>0</v>
      </c>
      <c r="AF104">
        <v>0</v>
      </c>
      <c r="AG104">
        <v>0</v>
      </c>
      <c r="AH104">
        <v>0</v>
      </c>
      <c r="AI104">
        <v>1</v>
      </c>
      <c r="AQ104" t="s">
        <v>437</v>
      </c>
      <c r="AZ104" t="s">
        <v>446</v>
      </c>
      <c r="BA104" t="s">
        <v>450</v>
      </c>
    </row>
    <row r="105" spans="1:53" x14ac:dyDescent="0.25">
      <c r="A105" t="s">
        <v>236</v>
      </c>
      <c r="B105" t="s">
        <v>296</v>
      </c>
      <c r="C105" t="s">
        <v>126</v>
      </c>
      <c r="D105">
        <v>2281206254</v>
      </c>
      <c r="E105">
        <v>0.9</v>
      </c>
      <c r="F105">
        <v>1</v>
      </c>
      <c r="G105" t="s">
        <v>407</v>
      </c>
      <c r="H105">
        <v>1</v>
      </c>
      <c r="I105">
        <v>52.43</v>
      </c>
      <c r="J105">
        <v>54.63</v>
      </c>
      <c r="K105">
        <v>0.9</v>
      </c>
      <c r="L105">
        <v>54.63</v>
      </c>
      <c r="M105">
        <v>1.37</v>
      </c>
      <c r="N105">
        <v>54.65</v>
      </c>
      <c r="O105">
        <v>1</v>
      </c>
      <c r="P105" t="s">
        <v>427</v>
      </c>
      <c r="Q105" t="s">
        <v>426</v>
      </c>
      <c r="R105" t="s">
        <v>426</v>
      </c>
      <c r="S105" t="s">
        <v>426</v>
      </c>
      <c r="T105" t="s">
        <v>426</v>
      </c>
      <c r="U105" t="s">
        <v>426</v>
      </c>
      <c r="V105" t="s">
        <v>426</v>
      </c>
      <c r="W105" t="s">
        <v>426</v>
      </c>
      <c r="X105" t="s">
        <v>426</v>
      </c>
      <c r="Y105">
        <v>0</v>
      </c>
      <c r="Z105">
        <v>3.7000000000000002E-3</v>
      </c>
      <c r="AA105" t="s">
        <v>430</v>
      </c>
      <c r="AB105">
        <v>0</v>
      </c>
      <c r="AC105">
        <v>0</v>
      </c>
      <c r="AD105">
        <v>1</v>
      </c>
      <c r="AE105">
        <v>0</v>
      </c>
      <c r="AF105">
        <v>3.7000000000000002E-3</v>
      </c>
      <c r="AG105">
        <v>0</v>
      </c>
      <c r="AH105">
        <v>0</v>
      </c>
      <c r="AI105">
        <v>59</v>
      </c>
      <c r="AW105" t="s">
        <v>441</v>
      </c>
      <c r="AZ105" t="s">
        <v>449</v>
      </c>
      <c r="BA105" t="s">
        <v>450</v>
      </c>
    </row>
    <row r="106" spans="1:53" x14ac:dyDescent="0.25">
      <c r="A106" t="s">
        <v>237</v>
      </c>
      <c r="B106" t="s">
        <v>297</v>
      </c>
      <c r="C106" t="s">
        <v>126</v>
      </c>
      <c r="D106">
        <v>19336269</v>
      </c>
      <c r="E106">
        <v>0.4</v>
      </c>
      <c r="F106">
        <v>1</v>
      </c>
      <c r="G106" t="s">
        <v>408</v>
      </c>
      <c r="H106">
        <v>1</v>
      </c>
      <c r="I106">
        <v>144.19999999999999</v>
      </c>
      <c r="J106">
        <v>161.30000000000001</v>
      </c>
      <c r="K106">
        <v>0.4</v>
      </c>
      <c r="L106">
        <v>161.30000000000001</v>
      </c>
      <c r="M106">
        <v>1.9</v>
      </c>
      <c r="N106">
        <v>28.42</v>
      </c>
      <c r="O106">
        <v>0.71</v>
      </c>
      <c r="P106" t="s">
        <v>426</v>
      </c>
      <c r="Q106" t="s">
        <v>426</v>
      </c>
      <c r="R106" t="s">
        <v>426</v>
      </c>
      <c r="S106" t="s">
        <v>426</v>
      </c>
      <c r="T106" t="s">
        <v>426</v>
      </c>
      <c r="U106" t="s">
        <v>426</v>
      </c>
      <c r="V106" t="s">
        <v>426</v>
      </c>
      <c r="W106" t="s">
        <v>426</v>
      </c>
      <c r="X106" t="s">
        <v>426</v>
      </c>
      <c r="Y106">
        <v>0</v>
      </c>
      <c r="Z106">
        <v>0</v>
      </c>
      <c r="AB106">
        <v>0</v>
      </c>
      <c r="AC106">
        <v>0</v>
      </c>
      <c r="AD106">
        <v>0.71</v>
      </c>
      <c r="AE106">
        <v>0</v>
      </c>
      <c r="AF106">
        <v>0</v>
      </c>
      <c r="AG106">
        <v>0</v>
      </c>
      <c r="AH106">
        <v>0</v>
      </c>
      <c r="AI106">
        <v>80</v>
      </c>
      <c r="AZ106" t="s">
        <v>444</v>
      </c>
      <c r="BA106" t="s">
        <v>451</v>
      </c>
    </row>
    <row r="107" spans="1:53" x14ac:dyDescent="0.25">
      <c r="A107" t="s">
        <v>238</v>
      </c>
      <c r="B107" t="s">
        <v>298</v>
      </c>
      <c r="C107" t="s">
        <v>126</v>
      </c>
      <c r="D107">
        <v>132598642</v>
      </c>
      <c r="E107">
        <v>0.75</v>
      </c>
      <c r="F107">
        <v>1</v>
      </c>
      <c r="G107" t="s">
        <v>409</v>
      </c>
      <c r="H107">
        <v>1</v>
      </c>
      <c r="I107">
        <v>8.36</v>
      </c>
      <c r="J107">
        <v>9.452</v>
      </c>
      <c r="K107">
        <v>0.75</v>
      </c>
      <c r="L107">
        <v>9.452</v>
      </c>
      <c r="M107">
        <v>2.33</v>
      </c>
      <c r="N107">
        <v>52.79</v>
      </c>
      <c r="O107">
        <v>0.84</v>
      </c>
      <c r="P107" t="s">
        <v>427</v>
      </c>
      <c r="Q107" t="s">
        <v>426</v>
      </c>
      <c r="R107" t="s">
        <v>426</v>
      </c>
      <c r="S107" t="s">
        <v>426</v>
      </c>
      <c r="T107" t="s">
        <v>426</v>
      </c>
      <c r="U107" t="s">
        <v>426</v>
      </c>
      <c r="V107" t="s">
        <v>426</v>
      </c>
      <c r="W107" t="s">
        <v>426</v>
      </c>
      <c r="X107" t="s">
        <v>426</v>
      </c>
      <c r="Y107">
        <v>0</v>
      </c>
      <c r="Z107">
        <v>0</v>
      </c>
      <c r="AB107">
        <v>0</v>
      </c>
      <c r="AC107">
        <v>0</v>
      </c>
      <c r="AD107">
        <v>0.84</v>
      </c>
      <c r="AE107">
        <v>0</v>
      </c>
      <c r="AF107">
        <v>0</v>
      </c>
      <c r="AG107">
        <v>0</v>
      </c>
      <c r="AH107">
        <v>0</v>
      </c>
      <c r="AI107">
        <v>90</v>
      </c>
      <c r="AZ107" t="s">
        <v>444</v>
      </c>
      <c r="BA107" t="s">
        <v>451</v>
      </c>
    </row>
    <row r="108" spans="1:53" x14ac:dyDescent="0.25">
      <c r="A108" t="s">
        <v>60</v>
      </c>
      <c r="B108" t="s">
        <v>119</v>
      </c>
      <c r="C108" t="s">
        <v>126</v>
      </c>
      <c r="D108">
        <v>143244727</v>
      </c>
      <c r="E108">
        <v>0.85000000000000009</v>
      </c>
      <c r="F108">
        <v>1</v>
      </c>
      <c r="G108" t="s">
        <v>410</v>
      </c>
      <c r="H108">
        <v>1</v>
      </c>
      <c r="I108">
        <v>89.16</v>
      </c>
      <c r="J108">
        <v>91.7</v>
      </c>
      <c r="K108">
        <v>0.85000000000000009</v>
      </c>
      <c r="L108">
        <v>91.7</v>
      </c>
      <c r="M108">
        <v>0.55000000000000004</v>
      </c>
      <c r="N108">
        <v>71.290000000000006</v>
      </c>
      <c r="O108">
        <v>0.92</v>
      </c>
      <c r="P108" t="s">
        <v>426</v>
      </c>
      <c r="Q108" t="s">
        <v>426</v>
      </c>
      <c r="R108" t="s">
        <v>426</v>
      </c>
      <c r="S108" t="s">
        <v>426</v>
      </c>
      <c r="T108" t="s">
        <v>426</v>
      </c>
      <c r="U108" t="s">
        <v>426</v>
      </c>
      <c r="V108" t="s">
        <v>426</v>
      </c>
      <c r="W108" t="s">
        <v>426</v>
      </c>
      <c r="X108" t="s">
        <v>426</v>
      </c>
      <c r="Y108">
        <v>0</v>
      </c>
      <c r="Z108">
        <v>0</v>
      </c>
      <c r="AB108">
        <v>0</v>
      </c>
      <c r="AC108">
        <v>0</v>
      </c>
      <c r="AD108">
        <v>0.92</v>
      </c>
      <c r="AE108">
        <v>0</v>
      </c>
      <c r="AF108">
        <v>0</v>
      </c>
      <c r="AG108">
        <v>0</v>
      </c>
      <c r="AH108">
        <v>0</v>
      </c>
      <c r="AI108">
        <v>24</v>
      </c>
      <c r="AZ108" t="s">
        <v>444</v>
      </c>
      <c r="BA108" t="s">
        <v>451</v>
      </c>
    </row>
    <row r="109" spans="1:53" x14ac:dyDescent="0.25">
      <c r="A109" t="s">
        <v>61</v>
      </c>
      <c r="B109" t="s">
        <v>120</v>
      </c>
      <c r="C109" t="s">
        <v>126</v>
      </c>
      <c r="D109">
        <v>244633504</v>
      </c>
      <c r="E109">
        <v>0.9</v>
      </c>
      <c r="F109">
        <v>1</v>
      </c>
      <c r="G109" t="s">
        <v>411</v>
      </c>
      <c r="H109">
        <v>1</v>
      </c>
      <c r="I109">
        <v>10.54</v>
      </c>
      <c r="J109">
        <v>10.855</v>
      </c>
      <c r="K109">
        <v>0.9</v>
      </c>
      <c r="L109">
        <v>10.855</v>
      </c>
      <c r="M109">
        <v>0.5</v>
      </c>
      <c r="N109">
        <v>62.52</v>
      </c>
      <c r="O109">
        <v>0.94</v>
      </c>
      <c r="P109" t="s">
        <v>426</v>
      </c>
      <c r="Q109" t="s">
        <v>426</v>
      </c>
      <c r="R109" t="s">
        <v>426</v>
      </c>
      <c r="S109" t="s">
        <v>426</v>
      </c>
      <c r="T109" t="s">
        <v>426</v>
      </c>
      <c r="U109" t="s">
        <v>426</v>
      </c>
      <c r="V109" t="s">
        <v>426</v>
      </c>
      <c r="W109" t="s">
        <v>426</v>
      </c>
      <c r="X109" t="s">
        <v>426</v>
      </c>
      <c r="Y109">
        <v>0</v>
      </c>
      <c r="Z109">
        <v>0</v>
      </c>
      <c r="AB109">
        <v>0</v>
      </c>
      <c r="AC109">
        <v>0</v>
      </c>
      <c r="AD109">
        <v>0.94</v>
      </c>
      <c r="AE109">
        <v>0</v>
      </c>
      <c r="AF109">
        <v>0</v>
      </c>
      <c r="AG109">
        <v>0</v>
      </c>
      <c r="AH109">
        <v>0</v>
      </c>
      <c r="AI109">
        <v>19</v>
      </c>
      <c r="AZ109" t="s">
        <v>444</v>
      </c>
      <c r="BA109" t="s">
        <v>451</v>
      </c>
    </row>
    <row r="110" spans="1:53" x14ac:dyDescent="0.25">
      <c r="A110" t="s">
        <v>239</v>
      </c>
      <c r="B110" t="s">
        <v>299</v>
      </c>
      <c r="C110" t="s">
        <v>126</v>
      </c>
      <c r="D110">
        <v>234359146</v>
      </c>
      <c r="E110">
        <v>0.70000000000000007</v>
      </c>
      <c r="F110">
        <v>1</v>
      </c>
      <c r="G110" t="s">
        <v>412</v>
      </c>
      <c r="H110">
        <v>1</v>
      </c>
      <c r="I110">
        <v>15.635</v>
      </c>
      <c r="J110">
        <v>15.885</v>
      </c>
      <c r="K110">
        <v>0.70000000000000007</v>
      </c>
      <c r="L110">
        <v>15.885</v>
      </c>
      <c r="M110">
        <v>4.97</v>
      </c>
      <c r="N110">
        <v>49.67</v>
      </c>
      <c r="O110">
        <v>0.95</v>
      </c>
      <c r="P110" t="s">
        <v>426</v>
      </c>
      <c r="Q110" t="s">
        <v>426</v>
      </c>
      <c r="R110" t="s">
        <v>426</v>
      </c>
      <c r="S110" t="s">
        <v>426</v>
      </c>
      <c r="T110" t="s">
        <v>426</v>
      </c>
      <c r="U110" t="s">
        <v>426</v>
      </c>
      <c r="V110" t="s">
        <v>426</v>
      </c>
      <c r="W110" t="s">
        <v>426</v>
      </c>
      <c r="X110" t="s">
        <v>426</v>
      </c>
      <c r="Y110">
        <v>0</v>
      </c>
      <c r="Z110">
        <v>0</v>
      </c>
      <c r="AA110" t="s">
        <v>429</v>
      </c>
      <c r="AB110">
        <v>0</v>
      </c>
      <c r="AC110">
        <v>0</v>
      </c>
      <c r="AD110">
        <v>0.95</v>
      </c>
      <c r="AE110">
        <v>0</v>
      </c>
      <c r="AF110">
        <v>0</v>
      </c>
      <c r="AG110">
        <v>0</v>
      </c>
      <c r="AH110">
        <v>0</v>
      </c>
      <c r="AI110">
        <v>112</v>
      </c>
      <c r="AX110" t="s">
        <v>442</v>
      </c>
      <c r="AZ110" t="s">
        <v>443</v>
      </c>
      <c r="BA110" t="s">
        <v>450</v>
      </c>
    </row>
    <row r="111" spans="1:53" x14ac:dyDescent="0.25">
      <c r="A111" t="s">
        <v>240</v>
      </c>
      <c r="B111" t="s">
        <v>300</v>
      </c>
      <c r="C111" t="s">
        <v>126</v>
      </c>
      <c r="D111">
        <v>170188190</v>
      </c>
      <c r="E111">
        <v>0.85000000000000009</v>
      </c>
      <c r="F111">
        <v>1</v>
      </c>
      <c r="G111" t="s">
        <v>413</v>
      </c>
      <c r="H111">
        <v>1</v>
      </c>
      <c r="I111">
        <v>3.78</v>
      </c>
      <c r="J111">
        <v>5.0449999999999999</v>
      </c>
      <c r="K111">
        <v>0.85000000000000009</v>
      </c>
      <c r="L111">
        <v>5.0449999999999999</v>
      </c>
      <c r="M111">
        <v>2.94</v>
      </c>
      <c r="N111">
        <v>45.7</v>
      </c>
      <c r="AI111">
        <v>104</v>
      </c>
      <c r="AX111" t="s">
        <v>442</v>
      </c>
      <c r="AZ111" t="s">
        <v>443</v>
      </c>
      <c r="BA111" t="s">
        <v>450</v>
      </c>
    </row>
    <row r="112" spans="1:53" x14ac:dyDescent="0.25">
      <c r="A112" t="s">
        <v>62</v>
      </c>
      <c r="B112" t="s">
        <v>121</v>
      </c>
      <c r="C112" t="s">
        <v>126</v>
      </c>
      <c r="D112">
        <v>741723437</v>
      </c>
      <c r="E112">
        <v>0.9</v>
      </c>
      <c r="F112">
        <v>1</v>
      </c>
      <c r="G112" t="s">
        <v>414</v>
      </c>
      <c r="H112">
        <v>1</v>
      </c>
      <c r="I112">
        <v>28.74</v>
      </c>
      <c r="J112">
        <v>30.37</v>
      </c>
      <c r="K112">
        <v>0.9</v>
      </c>
      <c r="L112">
        <v>30.37</v>
      </c>
      <c r="M112">
        <v>1.52</v>
      </c>
      <c r="N112">
        <v>59.97</v>
      </c>
      <c r="O112">
        <v>0.99</v>
      </c>
      <c r="P112" t="s">
        <v>426</v>
      </c>
      <c r="Q112" t="s">
        <v>426</v>
      </c>
      <c r="R112" t="s">
        <v>426</v>
      </c>
      <c r="S112" t="s">
        <v>426</v>
      </c>
      <c r="T112" t="s">
        <v>426</v>
      </c>
      <c r="U112" t="s">
        <v>426</v>
      </c>
      <c r="V112" t="s">
        <v>426</v>
      </c>
      <c r="W112" t="s">
        <v>426</v>
      </c>
      <c r="X112" t="s">
        <v>426</v>
      </c>
      <c r="Y112">
        <v>0</v>
      </c>
      <c r="Z112">
        <v>3.0200000000000001E-2</v>
      </c>
      <c r="AA112" t="s">
        <v>429</v>
      </c>
      <c r="AB112">
        <v>0</v>
      </c>
      <c r="AC112">
        <v>0</v>
      </c>
      <c r="AD112">
        <v>0.99</v>
      </c>
      <c r="AE112">
        <v>0</v>
      </c>
      <c r="AF112">
        <v>3.0200000000000001E-2</v>
      </c>
      <c r="AG112">
        <v>0</v>
      </c>
      <c r="AH112">
        <v>0</v>
      </c>
      <c r="AI112">
        <v>66</v>
      </c>
      <c r="AZ112" t="s">
        <v>444</v>
      </c>
      <c r="BA112" t="s">
        <v>451</v>
      </c>
    </row>
    <row r="113" spans="1:53" x14ac:dyDescent="0.25">
      <c r="A113" t="s">
        <v>241</v>
      </c>
      <c r="B113" t="s">
        <v>301</v>
      </c>
      <c r="C113" t="s">
        <v>126</v>
      </c>
      <c r="D113">
        <v>120805103</v>
      </c>
      <c r="E113">
        <v>0.2</v>
      </c>
      <c r="F113">
        <v>1</v>
      </c>
      <c r="G113" t="s">
        <v>415</v>
      </c>
      <c r="H113">
        <v>1</v>
      </c>
      <c r="I113">
        <v>23.5</v>
      </c>
      <c r="J113">
        <v>26.82</v>
      </c>
      <c r="K113">
        <v>0.2</v>
      </c>
      <c r="L113">
        <v>26.82</v>
      </c>
      <c r="M113">
        <v>2.04</v>
      </c>
      <c r="N113">
        <v>63.2</v>
      </c>
      <c r="O113">
        <v>0.93</v>
      </c>
      <c r="P113" t="s">
        <v>426</v>
      </c>
      <c r="Q113" t="s">
        <v>426</v>
      </c>
      <c r="R113" t="s">
        <v>426</v>
      </c>
      <c r="S113" t="s">
        <v>426</v>
      </c>
      <c r="T113" t="s">
        <v>426</v>
      </c>
      <c r="U113" t="s">
        <v>426</v>
      </c>
      <c r="V113" t="s">
        <v>426</v>
      </c>
      <c r="W113" t="s">
        <v>426</v>
      </c>
      <c r="X113" t="s">
        <v>426</v>
      </c>
      <c r="Y113">
        <v>0</v>
      </c>
      <c r="Z113">
        <v>0</v>
      </c>
      <c r="AB113">
        <v>0</v>
      </c>
      <c r="AC113">
        <v>0</v>
      </c>
      <c r="AD113">
        <v>0.93</v>
      </c>
      <c r="AE113">
        <v>0</v>
      </c>
      <c r="AF113">
        <v>0</v>
      </c>
      <c r="AG113">
        <v>0</v>
      </c>
      <c r="AH113">
        <v>0</v>
      </c>
      <c r="AI113">
        <v>84</v>
      </c>
      <c r="AZ113" t="s">
        <v>444</v>
      </c>
      <c r="BA113" t="s">
        <v>451</v>
      </c>
    </row>
    <row r="114" spans="1:53" x14ac:dyDescent="0.25">
      <c r="A114" t="s">
        <v>63</v>
      </c>
      <c r="B114" t="s">
        <v>122</v>
      </c>
      <c r="C114" t="s">
        <v>126</v>
      </c>
      <c r="D114">
        <v>44900000</v>
      </c>
      <c r="E114">
        <v>0.35</v>
      </c>
      <c r="F114">
        <v>1</v>
      </c>
      <c r="G114" t="s">
        <v>416</v>
      </c>
      <c r="H114">
        <v>1</v>
      </c>
      <c r="I114">
        <v>60.1</v>
      </c>
      <c r="J114">
        <v>60.9</v>
      </c>
      <c r="K114">
        <v>0.35</v>
      </c>
      <c r="L114">
        <v>60.9</v>
      </c>
      <c r="M114">
        <v>1.44</v>
      </c>
      <c r="N114">
        <v>43.9</v>
      </c>
      <c r="O114">
        <v>0.75</v>
      </c>
      <c r="P114" t="s">
        <v>426</v>
      </c>
      <c r="Q114" t="s">
        <v>426</v>
      </c>
      <c r="R114" t="s">
        <v>426</v>
      </c>
      <c r="S114" t="s">
        <v>426</v>
      </c>
      <c r="T114" t="s">
        <v>426</v>
      </c>
      <c r="U114" t="s">
        <v>426</v>
      </c>
      <c r="V114" t="s">
        <v>426</v>
      </c>
      <c r="W114" t="s">
        <v>426</v>
      </c>
      <c r="X114" t="s">
        <v>426</v>
      </c>
      <c r="Y114">
        <v>0</v>
      </c>
      <c r="Z114">
        <v>0</v>
      </c>
      <c r="AB114">
        <v>0</v>
      </c>
      <c r="AC114">
        <v>0</v>
      </c>
      <c r="AD114">
        <v>0.75</v>
      </c>
      <c r="AE114">
        <v>0</v>
      </c>
      <c r="AF114">
        <v>0</v>
      </c>
      <c r="AG114">
        <v>0</v>
      </c>
      <c r="AH114">
        <v>0</v>
      </c>
      <c r="AI114">
        <v>62</v>
      </c>
      <c r="AZ114" t="s">
        <v>444</v>
      </c>
      <c r="BA114" t="s">
        <v>451</v>
      </c>
    </row>
    <row r="115" spans="1:53" x14ac:dyDescent="0.25">
      <c r="A115" t="s">
        <v>64</v>
      </c>
      <c r="B115" t="s">
        <v>123</v>
      </c>
      <c r="C115" t="s">
        <v>126</v>
      </c>
      <c r="D115">
        <v>582866757</v>
      </c>
      <c r="E115">
        <v>0.9</v>
      </c>
      <c r="F115">
        <v>1</v>
      </c>
      <c r="G115" t="s">
        <v>417</v>
      </c>
      <c r="H115">
        <v>1</v>
      </c>
      <c r="I115">
        <v>117.85</v>
      </c>
      <c r="J115">
        <v>129</v>
      </c>
      <c r="K115">
        <v>0.9</v>
      </c>
      <c r="L115">
        <v>129</v>
      </c>
      <c r="M115">
        <v>0.73</v>
      </c>
      <c r="N115">
        <v>55.04</v>
      </c>
      <c r="O115">
        <v>0.99</v>
      </c>
      <c r="P115" t="s">
        <v>426</v>
      </c>
      <c r="Q115" t="s">
        <v>426</v>
      </c>
      <c r="R115" t="s">
        <v>426</v>
      </c>
      <c r="S115" t="s">
        <v>426</v>
      </c>
      <c r="T115" t="s">
        <v>426</v>
      </c>
      <c r="U115" t="s">
        <v>426</v>
      </c>
      <c r="V115" t="s">
        <v>426</v>
      </c>
      <c r="W115" t="s">
        <v>426</v>
      </c>
      <c r="X115" t="s">
        <v>426</v>
      </c>
      <c r="Y115">
        <v>0</v>
      </c>
      <c r="Z115">
        <v>0</v>
      </c>
      <c r="AB115">
        <v>0</v>
      </c>
      <c r="AC115">
        <v>0</v>
      </c>
      <c r="AD115">
        <v>0.99</v>
      </c>
      <c r="AE115">
        <v>0</v>
      </c>
      <c r="AF115">
        <v>0</v>
      </c>
      <c r="AG115">
        <v>0</v>
      </c>
      <c r="AH115">
        <v>0</v>
      </c>
      <c r="AI115">
        <v>29</v>
      </c>
      <c r="AZ115" t="s">
        <v>444</v>
      </c>
      <c r="BA115" t="s">
        <v>451</v>
      </c>
    </row>
    <row r="116" spans="1:53" x14ac:dyDescent="0.25">
      <c r="A116" t="s">
        <v>242</v>
      </c>
      <c r="B116" t="s">
        <v>302</v>
      </c>
      <c r="C116" t="s">
        <v>126</v>
      </c>
      <c r="D116">
        <v>8390660</v>
      </c>
      <c r="E116">
        <v>0.5</v>
      </c>
      <c r="F116">
        <v>1</v>
      </c>
      <c r="G116" t="s">
        <v>418</v>
      </c>
      <c r="H116">
        <v>1</v>
      </c>
      <c r="I116">
        <v>313.5</v>
      </c>
      <c r="J116">
        <v>341</v>
      </c>
      <c r="K116">
        <v>0.5</v>
      </c>
      <c r="L116">
        <v>341</v>
      </c>
      <c r="M116">
        <v>2.39</v>
      </c>
      <c r="N116">
        <v>34.5</v>
      </c>
      <c r="O116">
        <v>0.95</v>
      </c>
      <c r="P116" t="s">
        <v>426</v>
      </c>
      <c r="Q116" t="s">
        <v>426</v>
      </c>
      <c r="R116" t="s">
        <v>426</v>
      </c>
      <c r="S116" t="s">
        <v>426</v>
      </c>
      <c r="T116" t="s">
        <v>426</v>
      </c>
      <c r="U116" t="s">
        <v>426</v>
      </c>
      <c r="V116" t="s">
        <v>426</v>
      </c>
      <c r="W116" t="s">
        <v>426</v>
      </c>
      <c r="X116" t="s">
        <v>426</v>
      </c>
      <c r="Y116">
        <v>0</v>
      </c>
      <c r="Z116">
        <v>0</v>
      </c>
      <c r="AB116">
        <v>0</v>
      </c>
      <c r="AC116">
        <v>0</v>
      </c>
      <c r="AD116">
        <v>0.95</v>
      </c>
      <c r="AE116">
        <v>0</v>
      </c>
      <c r="AF116">
        <v>0</v>
      </c>
      <c r="AG116">
        <v>0</v>
      </c>
      <c r="AH116">
        <v>0</v>
      </c>
      <c r="AI116">
        <v>93</v>
      </c>
      <c r="AZ116" t="s">
        <v>444</v>
      </c>
      <c r="BA116" t="s">
        <v>451</v>
      </c>
    </row>
    <row r="117" spans="1:53" x14ac:dyDescent="0.25">
      <c r="A117" t="s">
        <v>243</v>
      </c>
      <c r="B117" t="s">
        <v>303</v>
      </c>
      <c r="C117" t="s">
        <v>126</v>
      </c>
      <c r="D117">
        <v>7180449</v>
      </c>
      <c r="E117">
        <v>1</v>
      </c>
      <c r="F117">
        <v>1</v>
      </c>
      <c r="G117" t="s">
        <v>419</v>
      </c>
      <c r="H117">
        <v>1</v>
      </c>
      <c r="I117">
        <v>60.05</v>
      </c>
      <c r="J117">
        <v>54.85</v>
      </c>
      <c r="K117">
        <v>1</v>
      </c>
      <c r="L117">
        <v>54.85</v>
      </c>
      <c r="M117">
        <v>2.5</v>
      </c>
      <c r="N117">
        <v>54.37</v>
      </c>
      <c r="AI117">
        <v>98</v>
      </c>
      <c r="AX117" t="s">
        <v>442</v>
      </c>
      <c r="AZ117" t="s">
        <v>443</v>
      </c>
      <c r="BA117" t="s">
        <v>450</v>
      </c>
    </row>
    <row r="118" spans="1:53" x14ac:dyDescent="0.25">
      <c r="A118" t="s">
        <v>65</v>
      </c>
      <c r="B118" t="s">
        <v>124</v>
      </c>
      <c r="C118" t="s">
        <v>126</v>
      </c>
      <c r="D118">
        <v>1029918125</v>
      </c>
      <c r="E118">
        <v>0.70000000000000007</v>
      </c>
      <c r="F118">
        <v>1</v>
      </c>
      <c r="G118" t="s">
        <v>420</v>
      </c>
      <c r="H118">
        <v>1</v>
      </c>
      <c r="I118">
        <v>3.0350000000000001</v>
      </c>
      <c r="J118">
        <v>3.1440000000000001</v>
      </c>
      <c r="K118">
        <v>0.70000000000000007</v>
      </c>
      <c r="L118">
        <v>3.1440000000000001</v>
      </c>
      <c r="M118">
        <v>0.78</v>
      </c>
      <c r="N118">
        <v>48.72</v>
      </c>
      <c r="O118">
        <v>0.91</v>
      </c>
      <c r="P118" t="s">
        <v>426</v>
      </c>
      <c r="Q118" t="s">
        <v>426</v>
      </c>
      <c r="R118" t="s">
        <v>426</v>
      </c>
      <c r="S118" t="s">
        <v>426</v>
      </c>
      <c r="T118" t="s">
        <v>426</v>
      </c>
      <c r="U118" t="s">
        <v>426</v>
      </c>
      <c r="V118" t="s">
        <v>426</v>
      </c>
      <c r="W118" t="s">
        <v>426</v>
      </c>
      <c r="X118" t="s">
        <v>426</v>
      </c>
      <c r="Y118">
        <v>0</v>
      </c>
      <c r="Z118">
        <v>0</v>
      </c>
      <c r="AB118">
        <v>0</v>
      </c>
      <c r="AC118">
        <v>0</v>
      </c>
      <c r="AD118">
        <v>0.91</v>
      </c>
      <c r="AE118">
        <v>0</v>
      </c>
      <c r="AF118">
        <v>0</v>
      </c>
      <c r="AG118">
        <v>0</v>
      </c>
      <c r="AH118">
        <v>0</v>
      </c>
      <c r="AI118">
        <v>33</v>
      </c>
      <c r="AZ118" t="s">
        <v>444</v>
      </c>
      <c r="BA118" t="s">
        <v>451</v>
      </c>
    </row>
    <row r="119" spans="1:53" x14ac:dyDescent="0.25">
      <c r="A119" t="s">
        <v>244</v>
      </c>
      <c r="B119" t="s">
        <v>304</v>
      </c>
      <c r="C119" t="s">
        <v>126</v>
      </c>
      <c r="D119">
        <v>16721708</v>
      </c>
      <c r="E119">
        <v>0.55000000000000004</v>
      </c>
      <c r="F119">
        <v>1</v>
      </c>
      <c r="G119" t="s">
        <v>421</v>
      </c>
      <c r="H119">
        <v>1</v>
      </c>
      <c r="I119">
        <v>241</v>
      </c>
      <c r="J119">
        <v>212.6</v>
      </c>
      <c r="K119">
        <v>0.55000000000000004</v>
      </c>
      <c r="L119">
        <v>212.6</v>
      </c>
      <c r="M119">
        <v>2.23</v>
      </c>
      <c r="N119">
        <v>48.95</v>
      </c>
      <c r="O119">
        <v>0.91</v>
      </c>
      <c r="P119" t="s">
        <v>426</v>
      </c>
      <c r="Q119" t="s">
        <v>426</v>
      </c>
      <c r="R119" t="s">
        <v>426</v>
      </c>
      <c r="S119" t="s">
        <v>426</v>
      </c>
      <c r="T119" t="s">
        <v>426</v>
      </c>
      <c r="U119" t="s">
        <v>426</v>
      </c>
      <c r="V119" t="s">
        <v>426</v>
      </c>
      <c r="W119" t="s">
        <v>426</v>
      </c>
      <c r="X119" t="s">
        <v>426</v>
      </c>
      <c r="Y119">
        <v>0</v>
      </c>
      <c r="Z119">
        <v>0</v>
      </c>
      <c r="AB119">
        <v>0</v>
      </c>
      <c r="AC119">
        <v>0</v>
      </c>
      <c r="AD119">
        <v>0.91</v>
      </c>
      <c r="AE119">
        <v>0</v>
      </c>
      <c r="AF119">
        <v>0</v>
      </c>
      <c r="AG119">
        <v>0</v>
      </c>
      <c r="AH119">
        <v>0</v>
      </c>
      <c r="AI119">
        <v>87</v>
      </c>
      <c r="AZ119" t="s">
        <v>444</v>
      </c>
      <c r="BA119" t="s">
        <v>451</v>
      </c>
    </row>
    <row r="120" spans="1:53" x14ac:dyDescent="0.25">
      <c r="A120" t="s">
        <v>245</v>
      </c>
      <c r="B120" t="s">
        <v>305</v>
      </c>
      <c r="C120" t="s">
        <v>126</v>
      </c>
      <c r="D120">
        <v>44512038</v>
      </c>
      <c r="E120">
        <v>0.65</v>
      </c>
      <c r="F120">
        <v>1</v>
      </c>
      <c r="G120" t="s">
        <v>422</v>
      </c>
      <c r="H120">
        <v>1</v>
      </c>
      <c r="I120">
        <v>79.5</v>
      </c>
      <c r="J120">
        <v>85.9</v>
      </c>
      <c r="K120">
        <v>0.65</v>
      </c>
      <c r="L120">
        <v>85.9</v>
      </c>
      <c r="M120">
        <v>2.14</v>
      </c>
      <c r="N120">
        <v>64.44</v>
      </c>
      <c r="O120">
        <v>0.89</v>
      </c>
      <c r="P120" t="s">
        <v>426</v>
      </c>
      <c r="Q120" t="s">
        <v>426</v>
      </c>
      <c r="R120" t="s">
        <v>426</v>
      </c>
      <c r="S120" t="s">
        <v>426</v>
      </c>
      <c r="T120" t="s">
        <v>426</v>
      </c>
      <c r="U120" t="s">
        <v>426</v>
      </c>
      <c r="V120" t="s">
        <v>426</v>
      </c>
      <c r="W120" t="s">
        <v>426</v>
      </c>
      <c r="X120" t="s">
        <v>426</v>
      </c>
      <c r="Y120">
        <v>0</v>
      </c>
      <c r="Z120">
        <v>0</v>
      </c>
      <c r="AB120">
        <v>0</v>
      </c>
      <c r="AC120">
        <v>0</v>
      </c>
      <c r="AD120">
        <v>0.89</v>
      </c>
      <c r="AE120">
        <v>0</v>
      </c>
      <c r="AF120">
        <v>0</v>
      </c>
      <c r="AG120">
        <v>0</v>
      </c>
      <c r="AH120">
        <v>0</v>
      </c>
      <c r="AI120">
        <v>85</v>
      </c>
      <c r="AZ120" t="s">
        <v>444</v>
      </c>
      <c r="BA120" t="s">
        <v>451</v>
      </c>
    </row>
    <row r="121" spans="1:53" x14ac:dyDescent="0.25">
      <c r="A121" t="s">
        <v>66</v>
      </c>
      <c r="B121" t="s">
        <v>125</v>
      </c>
      <c r="C121" t="s">
        <v>126</v>
      </c>
      <c r="D121">
        <v>283571633</v>
      </c>
      <c r="E121">
        <v>0.75</v>
      </c>
      <c r="F121">
        <v>1</v>
      </c>
      <c r="G121" t="s">
        <v>423</v>
      </c>
      <c r="H121">
        <v>1</v>
      </c>
      <c r="I121">
        <v>2.6269999999999998</v>
      </c>
      <c r="J121">
        <v>3.1040000000000001</v>
      </c>
      <c r="K121">
        <v>0.75</v>
      </c>
      <c r="L121">
        <v>3.1040000000000001</v>
      </c>
      <c r="M121">
        <v>0.82</v>
      </c>
      <c r="N121">
        <v>57.39</v>
      </c>
      <c r="O121">
        <v>0.85</v>
      </c>
      <c r="P121" t="s">
        <v>426</v>
      </c>
      <c r="Q121" t="s">
        <v>426</v>
      </c>
      <c r="R121" t="s">
        <v>426</v>
      </c>
      <c r="S121" t="s">
        <v>426</v>
      </c>
      <c r="T121" t="s">
        <v>426</v>
      </c>
      <c r="U121" t="s">
        <v>426</v>
      </c>
      <c r="V121" t="s">
        <v>426</v>
      </c>
      <c r="W121" t="s">
        <v>426</v>
      </c>
      <c r="X121" t="s">
        <v>426</v>
      </c>
      <c r="Y121">
        <v>0</v>
      </c>
      <c r="Z121">
        <v>0</v>
      </c>
      <c r="AB121">
        <v>0</v>
      </c>
      <c r="AC121">
        <v>0</v>
      </c>
      <c r="AD121">
        <v>0.85</v>
      </c>
      <c r="AE121">
        <v>0</v>
      </c>
      <c r="AF121">
        <v>0</v>
      </c>
      <c r="AG121">
        <v>0</v>
      </c>
      <c r="AH121">
        <v>0</v>
      </c>
      <c r="AI121">
        <v>36</v>
      </c>
      <c r="AZ121" t="s">
        <v>444</v>
      </c>
      <c r="BA121" t="s">
        <v>451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D90"/>
  <sheetViews>
    <sheetView workbookViewId="0"/>
  </sheetViews>
  <sheetFormatPr defaultRowHeight="15" x14ac:dyDescent="0.25"/>
  <sheetData>
    <row r="1" spans="1:56" x14ac:dyDescent="0.25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4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184</v>
      </c>
      <c r="BA1" s="1" t="s">
        <v>185</v>
      </c>
      <c r="BB1" s="1" t="s">
        <v>452</v>
      </c>
      <c r="BC1" s="1" t="s">
        <v>453</v>
      </c>
      <c r="BD1" s="1" t="s">
        <v>454</v>
      </c>
    </row>
    <row r="2" spans="1:56" x14ac:dyDescent="0.25">
      <c r="A2" t="s">
        <v>34</v>
      </c>
      <c r="B2" t="s">
        <v>93</v>
      </c>
      <c r="C2" t="s">
        <v>126</v>
      </c>
      <c r="D2">
        <v>43744779</v>
      </c>
      <c r="E2">
        <v>0.8</v>
      </c>
      <c r="F2">
        <v>1</v>
      </c>
      <c r="G2" t="s">
        <v>374</v>
      </c>
      <c r="H2">
        <v>1</v>
      </c>
      <c r="I2">
        <v>133.9</v>
      </c>
      <c r="J2">
        <v>137</v>
      </c>
      <c r="K2">
        <v>0.8</v>
      </c>
      <c r="L2">
        <v>137</v>
      </c>
      <c r="M2">
        <v>0.2</v>
      </c>
      <c r="N2">
        <v>62.12</v>
      </c>
      <c r="O2">
        <v>0.97</v>
      </c>
      <c r="P2" t="s">
        <v>426</v>
      </c>
      <c r="Q2" t="s">
        <v>426</v>
      </c>
      <c r="R2" t="s">
        <v>426</v>
      </c>
      <c r="S2" t="s">
        <v>426</v>
      </c>
      <c r="T2" t="s">
        <v>426</v>
      </c>
      <c r="U2" t="s">
        <v>426</v>
      </c>
      <c r="V2" t="s">
        <v>426</v>
      </c>
      <c r="W2" t="s">
        <v>426</v>
      </c>
      <c r="X2" t="s">
        <v>426</v>
      </c>
      <c r="Y2">
        <v>0</v>
      </c>
      <c r="Z2">
        <v>0</v>
      </c>
      <c r="AB2">
        <v>0</v>
      </c>
      <c r="AC2">
        <v>0</v>
      </c>
      <c r="AD2">
        <v>0.97</v>
      </c>
      <c r="AE2">
        <v>0</v>
      </c>
      <c r="AF2">
        <v>0</v>
      </c>
      <c r="AG2">
        <v>0</v>
      </c>
      <c r="AH2">
        <v>0</v>
      </c>
      <c r="AI2">
        <v>2</v>
      </c>
      <c r="AZ2" t="s">
        <v>444</v>
      </c>
      <c r="BA2" t="s">
        <v>451</v>
      </c>
      <c r="BB2">
        <v>4794427778.4000006</v>
      </c>
      <c r="BC2">
        <v>1</v>
      </c>
      <c r="BD2">
        <v>40</v>
      </c>
    </row>
    <row r="3" spans="1:56" x14ac:dyDescent="0.25">
      <c r="A3" t="s">
        <v>33</v>
      </c>
      <c r="B3" t="s">
        <v>92</v>
      </c>
      <c r="C3" t="s">
        <v>126</v>
      </c>
      <c r="D3">
        <v>24418312</v>
      </c>
      <c r="E3">
        <v>0.85000000000000009</v>
      </c>
      <c r="F3">
        <v>1</v>
      </c>
      <c r="G3" t="s">
        <v>371</v>
      </c>
      <c r="H3">
        <v>1</v>
      </c>
      <c r="I3">
        <v>23.9</v>
      </c>
      <c r="J3">
        <v>25.35</v>
      </c>
      <c r="K3">
        <v>0.85000000000000009</v>
      </c>
      <c r="L3">
        <v>25.35</v>
      </c>
      <c r="M3">
        <v>0.23</v>
      </c>
      <c r="N3">
        <v>42.63</v>
      </c>
      <c r="AI3">
        <v>3</v>
      </c>
      <c r="AZ3" t="s">
        <v>444</v>
      </c>
      <c r="BA3" t="s">
        <v>451</v>
      </c>
      <c r="BB3">
        <v>526153577.82000011</v>
      </c>
      <c r="BC3">
        <v>2</v>
      </c>
      <c r="BD3">
        <v>86</v>
      </c>
    </row>
    <row r="4" spans="1:56" x14ac:dyDescent="0.25">
      <c r="A4" t="s">
        <v>15</v>
      </c>
      <c r="B4" t="s">
        <v>74</v>
      </c>
      <c r="C4" t="s">
        <v>126</v>
      </c>
      <c r="D4">
        <v>2168222821</v>
      </c>
      <c r="E4">
        <v>0.85000000000000009</v>
      </c>
      <c r="F4">
        <v>1</v>
      </c>
      <c r="G4" t="s">
        <v>320</v>
      </c>
      <c r="H4">
        <v>1</v>
      </c>
      <c r="I4">
        <v>39.700000000000003</v>
      </c>
      <c r="J4">
        <v>42.59</v>
      </c>
      <c r="K4">
        <v>0.85000000000000009</v>
      </c>
      <c r="L4">
        <v>42.59</v>
      </c>
      <c r="M4">
        <v>0.28999999999999998</v>
      </c>
      <c r="N4">
        <v>59.15</v>
      </c>
      <c r="O4">
        <v>0.96</v>
      </c>
      <c r="P4" t="s">
        <v>426</v>
      </c>
      <c r="Q4" t="s">
        <v>426</v>
      </c>
      <c r="R4" t="s">
        <v>426</v>
      </c>
      <c r="S4" t="s">
        <v>426</v>
      </c>
      <c r="T4" t="s">
        <v>426</v>
      </c>
      <c r="U4" t="s">
        <v>426</v>
      </c>
      <c r="V4" t="s">
        <v>426</v>
      </c>
      <c r="W4" t="s">
        <v>426</v>
      </c>
      <c r="X4" t="s">
        <v>426</v>
      </c>
      <c r="Y4">
        <v>0</v>
      </c>
      <c r="Z4">
        <v>0</v>
      </c>
      <c r="AB4">
        <v>0</v>
      </c>
      <c r="AC4">
        <v>0</v>
      </c>
      <c r="AD4">
        <v>0.96</v>
      </c>
      <c r="AE4">
        <v>0</v>
      </c>
      <c r="AF4">
        <v>0</v>
      </c>
      <c r="AG4">
        <v>0</v>
      </c>
      <c r="AH4">
        <v>0</v>
      </c>
      <c r="AI4">
        <v>4</v>
      </c>
      <c r="AZ4" t="s">
        <v>444</v>
      </c>
      <c r="BA4" t="s">
        <v>451</v>
      </c>
      <c r="BB4">
        <v>78492918454.431519</v>
      </c>
      <c r="BC4">
        <v>3</v>
      </c>
      <c r="BD4">
        <v>8</v>
      </c>
    </row>
    <row r="5" spans="1:56" x14ac:dyDescent="0.25">
      <c r="A5" t="s">
        <v>44</v>
      </c>
      <c r="B5" t="s">
        <v>103</v>
      </c>
      <c r="C5" t="s">
        <v>126</v>
      </c>
      <c r="D5">
        <v>423632587</v>
      </c>
      <c r="E5">
        <v>0.85000000000000009</v>
      </c>
      <c r="F5">
        <v>1</v>
      </c>
      <c r="G5" t="s">
        <v>388</v>
      </c>
      <c r="H5">
        <v>1</v>
      </c>
      <c r="I5">
        <v>283.8</v>
      </c>
      <c r="J5">
        <v>290.5</v>
      </c>
      <c r="K5">
        <v>0.85000000000000009</v>
      </c>
      <c r="L5">
        <v>290.5</v>
      </c>
      <c r="M5">
        <v>0.33</v>
      </c>
      <c r="N5">
        <v>47.91</v>
      </c>
      <c r="O5">
        <v>0.89</v>
      </c>
      <c r="P5" t="s">
        <v>426</v>
      </c>
      <c r="Q5" t="s">
        <v>426</v>
      </c>
      <c r="R5" t="s">
        <v>426</v>
      </c>
      <c r="S5" t="s">
        <v>426</v>
      </c>
      <c r="T5" t="s">
        <v>426</v>
      </c>
      <c r="U5" t="s">
        <v>426</v>
      </c>
      <c r="V5" t="s">
        <v>426</v>
      </c>
      <c r="W5" t="s">
        <v>426</v>
      </c>
      <c r="X5" t="s">
        <v>426</v>
      </c>
      <c r="Y5">
        <v>0</v>
      </c>
      <c r="Z5">
        <v>0</v>
      </c>
      <c r="AB5">
        <v>0</v>
      </c>
      <c r="AC5">
        <v>0</v>
      </c>
      <c r="AD5">
        <v>0.89</v>
      </c>
      <c r="AE5">
        <v>0</v>
      </c>
      <c r="AF5">
        <v>0</v>
      </c>
      <c r="AG5">
        <v>0</v>
      </c>
      <c r="AH5">
        <v>0</v>
      </c>
      <c r="AI5">
        <v>5</v>
      </c>
      <c r="AZ5" t="s">
        <v>444</v>
      </c>
      <c r="BA5" t="s">
        <v>451</v>
      </c>
      <c r="BB5">
        <v>104605476544.97501</v>
      </c>
      <c r="BC5">
        <v>4</v>
      </c>
      <c r="BD5">
        <v>4</v>
      </c>
    </row>
    <row r="6" spans="1:56" x14ac:dyDescent="0.25">
      <c r="A6" t="s">
        <v>14</v>
      </c>
      <c r="B6" t="s">
        <v>73</v>
      </c>
      <c r="C6" t="s">
        <v>126</v>
      </c>
      <c r="D6">
        <v>19035872</v>
      </c>
      <c r="E6">
        <v>1</v>
      </c>
      <c r="F6">
        <v>1</v>
      </c>
      <c r="G6" t="s">
        <v>319</v>
      </c>
      <c r="H6">
        <v>1</v>
      </c>
      <c r="I6">
        <v>45.9</v>
      </c>
      <c r="J6">
        <v>43.96</v>
      </c>
      <c r="K6">
        <v>1</v>
      </c>
      <c r="L6">
        <v>43.96</v>
      </c>
      <c r="M6">
        <v>0.33</v>
      </c>
      <c r="N6">
        <v>64.5</v>
      </c>
      <c r="O6">
        <v>0.87</v>
      </c>
      <c r="P6" t="s">
        <v>426</v>
      </c>
      <c r="Q6" t="s">
        <v>426</v>
      </c>
      <c r="R6" t="s">
        <v>426</v>
      </c>
      <c r="S6" t="s">
        <v>426</v>
      </c>
      <c r="T6" t="s">
        <v>426</v>
      </c>
      <c r="U6" t="s">
        <v>426</v>
      </c>
      <c r="V6" t="s">
        <v>426</v>
      </c>
      <c r="W6" t="s">
        <v>426</v>
      </c>
      <c r="X6" t="s">
        <v>426</v>
      </c>
      <c r="Y6">
        <v>0</v>
      </c>
      <c r="Z6">
        <v>0</v>
      </c>
      <c r="AB6">
        <v>0</v>
      </c>
      <c r="AC6">
        <v>0</v>
      </c>
      <c r="AD6">
        <v>0.87</v>
      </c>
      <c r="AE6">
        <v>0</v>
      </c>
      <c r="AF6">
        <v>0</v>
      </c>
      <c r="AG6">
        <v>0</v>
      </c>
      <c r="AH6">
        <v>0</v>
      </c>
      <c r="AI6">
        <v>5</v>
      </c>
      <c r="AZ6" t="s">
        <v>444</v>
      </c>
      <c r="BA6" t="s">
        <v>451</v>
      </c>
      <c r="BB6">
        <v>836816933.12</v>
      </c>
      <c r="BC6">
        <v>4</v>
      </c>
      <c r="BD6">
        <v>76</v>
      </c>
    </row>
    <row r="7" spans="1:56" x14ac:dyDescent="0.25">
      <c r="A7" t="s">
        <v>41</v>
      </c>
      <c r="B7" t="s">
        <v>100</v>
      </c>
      <c r="C7" t="s">
        <v>126</v>
      </c>
      <c r="D7">
        <v>299036619</v>
      </c>
      <c r="E7">
        <v>0.75</v>
      </c>
      <c r="F7">
        <v>1</v>
      </c>
      <c r="G7" t="s">
        <v>384</v>
      </c>
      <c r="H7">
        <v>1</v>
      </c>
      <c r="I7">
        <v>28.01</v>
      </c>
      <c r="J7">
        <v>28.21</v>
      </c>
      <c r="K7">
        <v>0.75</v>
      </c>
      <c r="L7">
        <v>28.21</v>
      </c>
      <c r="M7">
        <v>0.34</v>
      </c>
      <c r="N7">
        <v>59.47</v>
      </c>
      <c r="O7">
        <v>0.98</v>
      </c>
      <c r="P7" t="s">
        <v>426</v>
      </c>
      <c r="Q7" t="s">
        <v>426</v>
      </c>
      <c r="R7" t="s">
        <v>426</v>
      </c>
      <c r="S7" t="s">
        <v>426</v>
      </c>
      <c r="T7" t="s">
        <v>426</v>
      </c>
      <c r="U7" t="s">
        <v>426</v>
      </c>
      <c r="V7" t="s">
        <v>426</v>
      </c>
      <c r="W7" t="s">
        <v>426</v>
      </c>
      <c r="X7" t="s">
        <v>426</v>
      </c>
      <c r="Y7">
        <v>0</v>
      </c>
      <c r="Z7">
        <v>0</v>
      </c>
      <c r="AB7">
        <v>0</v>
      </c>
      <c r="AC7">
        <v>0</v>
      </c>
      <c r="AD7">
        <v>0.98</v>
      </c>
      <c r="AE7">
        <v>0</v>
      </c>
      <c r="AF7">
        <v>0</v>
      </c>
      <c r="AG7">
        <v>0</v>
      </c>
      <c r="AH7">
        <v>0</v>
      </c>
      <c r="AI7">
        <v>7</v>
      </c>
      <c r="AZ7" t="s">
        <v>444</v>
      </c>
      <c r="BA7" t="s">
        <v>451</v>
      </c>
      <c r="BB7">
        <v>6326867266.4924994</v>
      </c>
      <c r="BC7">
        <v>6</v>
      </c>
      <c r="BD7">
        <v>34</v>
      </c>
    </row>
    <row r="8" spans="1:56" x14ac:dyDescent="0.25">
      <c r="A8" t="s">
        <v>9</v>
      </c>
      <c r="B8" t="s">
        <v>68</v>
      </c>
      <c r="C8" t="s">
        <v>126</v>
      </c>
      <c r="D8">
        <v>262769869</v>
      </c>
      <c r="E8">
        <v>0.55000000000000004</v>
      </c>
      <c r="F8">
        <v>1</v>
      </c>
      <c r="G8" t="s">
        <v>309</v>
      </c>
      <c r="H8">
        <v>1</v>
      </c>
      <c r="I8">
        <v>12.21</v>
      </c>
      <c r="J8">
        <v>14.93</v>
      </c>
      <c r="K8">
        <v>0.55000000000000004</v>
      </c>
      <c r="L8">
        <v>14.93</v>
      </c>
      <c r="M8">
        <v>0.37</v>
      </c>
      <c r="N8">
        <v>50.8</v>
      </c>
      <c r="O8">
        <v>0.98</v>
      </c>
      <c r="P8" t="s">
        <v>426</v>
      </c>
      <c r="Q8" t="s">
        <v>426</v>
      </c>
      <c r="R8" t="s">
        <v>426</v>
      </c>
      <c r="S8" t="s">
        <v>426</v>
      </c>
      <c r="T8" t="s">
        <v>426</v>
      </c>
      <c r="U8" t="s">
        <v>426</v>
      </c>
      <c r="V8" t="s">
        <v>426</v>
      </c>
      <c r="W8" t="s">
        <v>426</v>
      </c>
      <c r="X8" t="s">
        <v>426</v>
      </c>
      <c r="Y8">
        <v>0</v>
      </c>
      <c r="Z8">
        <v>0</v>
      </c>
      <c r="AB8">
        <v>0</v>
      </c>
      <c r="AC8">
        <v>0</v>
      </c>
      <c r="AD8">
        <v>0.98</v>
      </c>
      <c r="AE8">
        <v>0</v>
      </c>
      <c r="AF8">
        <v>0</v>
      </c>
      <c r="AG8">
        <v>0</v>
      </c>
      <c r="AH8">
        <v>0</v>
      </c>
      <c r="AI8">
        <v>8</v>
      </c>
      <c r="AZ8" t="s">
        <v>444</v>
      </c>
      <c r="BA8" t="s">
        <v>451</v>
      </c>
      <c r="BB8">
        <v>2157734779.2934999</v>
      </c>
      <c r="BC8">
        <v>7</v>
      </c>
      <c r="BD8">
        <v>57</v>
      </c>
    </row>
    <row r="9" spans="1:56" x14ac:dyDescent="0.25">
      <c r="A9" t="s">
        <v>16</v>
      </c>
      <c r="B9" t="s">
        <v>75</v>
      </c>
      <c r="C9" t="s">
        <v>126</v>
      </c>
      <c r="D9">
        <v>816960428</v>
      </c>
      <c r="E9">
        <v>0.35</v>
      </c>
      <c r="F9">
        <v>1</v>
      </c>
      <c r="G9" t="s">
        <v>321</v>
      </c>
      <c r="H9">
        <v>1</v>
      </c>
      <c r="I9">
        <v>10.130000000000001</v>
      </c>
      <c r="J9">
        <v>10.08</v>
      </c>
      <c r="K9">
        <v>0.35</v>
      </c>
      <c r="L9">
        <v>10.08</v>
      </c>
      <c r="M9">
        <v>0.38</v>
      </c>
      <c r="N9">
        <v>52.9</v>
      </c>
      <c r="O9">
        <v>0.83</v>
      </c>
      <c r="P9" t="s">
        <v>426</v>
      </c>
      <c r="Q9" t="s">
        <v>426</v>
      </c>
      <c r="R9" t="s">
        <v>426</v>
      </c>
      <c r="S9" t="s">
        <v>426</v>
      </c>
      <c r="T9" t="s">
        <v>426</v>
      </c>
      <c r="U9" t="s">
        <v>426</v>
      </c>
      <c r="V9" t="s">
        <v>426</v>
      </c>
      <c r="W9" t="s">
        <v>426</v>
      </c>
      <c r="X9" t="s">
        <v>426</v>
      </c>
      <c r="Y9">
        <v>0</v>
      </c>
      <c r="Z9">
        <v>0</v>
      </c>
      <c r="AB9">
        <v>0</v>
      </c>
      <c r="AC9">
        <v>0</v>
      </c>
      <c r="AD9">
        <v>0.83</v>
      </c>
      <c r="AE9">
        <v>0</v>
      </c>
      <c r="AF9">
        <v>0</v>
      </c>
      <c r="AG9">
        <v>0</v>
      </c>
      <c r="AH9">
        <v>0</v>
      </c>
      <c r="AI9">
        <v>9</v>
      </c>
      <c r="AZ9" t="s">
        <v>444</v>
      </c>
      <c r="BA9" t="s">
        <v>451</v>
      </c>
      <c r="BB9">
        <v>2882236389.9840002</v>
      </c>
      <c r="BC9">
        <v>8</v>
      </c>
      <c r="BD9">
        <v>50</v>
      </c>
    </row>
    <row r="10" spans="1:56" x14ac:dyDescent="0.25">
      <c r="A10" t="s">
        <v>46</v>
      </c>
      <c r="B10" t="s">
        <v>105</v>
      </c>
      <c r="C10" t="s">
        <v>126</v>
      </c>
      <c r="D10">
        <v>1227468973</v>
      </c>
      <c r="E10">
        <v>0.95000000000000007</v>
      </c>
      <c r="F10">
        <v>1</v>
      </c>
      <c r="G10" t="s">
        <v>390</v>
      </c>
      <c r="H10">
        <v>1</v>
      </c>
      <c r="I10">
        <v>78.84</v>
      </c>
      <c r="J10">
        <v>87.34</v>
      </c>
      <c r="K10">
        <v>0.95000000000000007</v>
      </c>
      <c r="L10">
        <v>87.34</v>
      </c>
      <c r="M10">
        <v>0.39</v>
      </c>
      <c r="N10">
        <v>67.42</v>
      </c>
      <c r="O10">
        <v>1</v>
      </c>
      <c r="P10" t="s">
        <v>426</v>
      </c>
      <c r="Q10" t="s">
        <v>426</v>
      </c>
      <c r="R10" t="s">
        <v>426</v>
      </c>
      <c r="S10" t="s">
        <v>426</v>
      </c>
      <c r="T10" t="s">
        <v>426</v>
      </c>
      <c r="U10" t="s">
        <v>426</v>
      </c>
      <c r="V10" t="s">
        <v>426</v>
      </c>
      <c r="W10" t="s">
        <v>426</v>
      </c>
      <c r="X10" t="s">
        <v>426</v>
      </c>
      <c r="Y10">
        <v>0</v>
      </c>
      <c r="Z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10</v>
      </c>
      <c r="AZ10" t="s">
        <v>444</v>
      </c>
      <c r="BA10" t="s">
        <v>451</v>
      </c>
      <c r="BB10">
        <v>101846783096.729</v>
      </c>
      <c r="BC10">
        <v>9</v>
      </c>
      <c r="BD10">
        <v>5</v>
      </c>
    </row>
    <row r="11" spans="1:56" x14ac:dyDescent="0.25">
      <c r="A11" t="s">
        <v>35</v>
      </c>
      <c r="B11" t="s">
        <v>94</v>
      </c>
      <c r="C11" t="s">
        <v>126</v>
      </c>
      <c r="D11">
        <v>144022153</v>
      </c>
      <c r="E11">
        <v>0.4</v>
      </c>
      <c r="F11">
        <v>1</v>
      </c>
      <c r="G11" t="s">
        <v>376</v>
      </c>
      <c r="H11">
        <v>1</v>
      </c>
      <c r="I11">
        <v>13</v>
      </c>
      <c r="J11">
        <v>14.1</v>
      </c>
      <c r="K11">
        <v>0.4</v>
      </c>
      <c r="L11">
        <v>14.1</v>
      </c>
      <c r="M11">
        <v>0.39</v>
      </c>
      <c r="N11">
        <v>55.34</v>
      </c>
      <c r="O11">
        <v>0.94</v>
      </c>
      <c r="P11" t="s">
        <v>426</v>
      </c>
      <c r="Q11" t="s">
        <v>426</v>
      </c>
      <c r="R11" t="s">
        <v>426</v>
      </c>
      <c r="S11" t="s">
        <v>426</v>
      </c>
      <c r="T11" t="s">
        <v>426</v>
      </c>
      <c r="U11" t="s">
        <v>426</v>
      </c>
      <c r="V11" t="s">
        <v>426</v>
      </c>
      <c r="W11" t="s">
        <v>426</v>
      </c>
      <c r="X11" t="s">
        <v>426</v>
      </c>
      <c r="Y11">
        <v>0</v>
      </c>
      <c r="Z11">
        <v>0</v>
      </c>
      <c r="AB11">
        <v>0</v>
      </c>
      <c r="AC11">
        <v>0</v>
      </c>
      <c r="AD11">
        <v>0.94</v>
      </c>
      <c r="AE11">
        <v>0</v>
      </c>
      <c r="AF11">
        <v>0</v>
      </c>
      <c r="AG11">
        <v>0</v>
      </c>
      <c r="AH11">
        <v>0</v>
      </c>
      <c r="AI11">
        <v>10</v>
      </c>
      <c r="AZ11" t="s">
        <v>444</v>
      </c>
      <c r="BA11" t="s">
        <v>451</v>
      </c>
      <c r="BB11">
        <v>812284942.92000008</v>
      </c>
      <c r="BC11">
        <v>9</v>
      </c>
      <c r="BD11">
        <v>79</v>
      </c>
    </row>
    <row r="12" spans="1:56" x14ac:dyDescent="0.25">
      <c r="A12" t="s">
        <v>51</v>
      </c>
      <c r="B12" t="s">
        <v>110</v>
      </c>
      <c r="C12" t="s">
        <v>126</v>
      </c>
      <c r="D12">
        <v>147454887</v>
      </c>
      <c r="E12">
        <v>0.55000000000000004</v>
      </c>
      <c r="F12">
        <v>1</v>
      </c>
      <c r="G12" t="s">
        <v>396</v>
      </c>
      <c r="H12">
        <v>1</v>
      </c>
      <c r="I12">
        <v>52.15</v>
      </c>
      <c r="J12">
        <v>53.9</v>
      </c>
      <c r="K12">
        <v>0.55000000000000004</v>
      </c>
      <c r="L12">
        <v>53.9</v>
      </c>
      <c r="M12">
        <v>0.4</v>
      </c>
      <c r="N12">
        <v>43.42</v>
      </c>
      <c r="O12">
        <v>0.92</v>
      </c>
      <c r="P12" t="s">
        <v>426</v>
      </c>
      <c r="Q12" t="s">
        <v>426</v>
      </c>
      <c r="R12" t="s">
        <v>426</v>
      </c>
      <c r="S12" t="s">
        <v>426</v>
      </c>
      <c r="T12" t="s">
        <v>426</v>
      </c>
      <c r="U12" t="s">
        <v>426</v>
      </c>
      <c r="V12" t="s">
        <v>426</v>
      </c>
      <c r="W12" t="s">
        <v>426</v>
      </c>
      <c r="X12" t="s">
        <v>426</v>
      </c>
      <c r="Y12">
        <v>0</v>
      </c>
      <c r="Z12">
        <v>0</v>
      </c>
      <c r="AB12">
        <v>0</v>
      </c>
      <c r="AC12">
        <v>0</v>
      </c>
      <c r="AD12">
        <v>0.92</v>
      </c>
      <c r="AE12">
        <v>0</v>
      </c>
      <c r="AF12">
        <v>0</v>
      </c>
      <c r="AG12">
        <v>0</v>
      </c>
      <c r="AH12">
        <v>0</v>
      </c>
      <c r="AI12">
        <v>12</v>
      </c>
      <c r="AZ12" t="s">
        <v>444</v>
      </c>
      <c r="BA12" t="s">
        <v>451</v>
      </c>
      <c r="BB12">
        <v>4371300125.1150007</v>
      </c>
      <c r="BC12">
        <v>11</v>
      </c>
      <c r="BD12">
        <v>43</v>
      </c>
    </row>
    <row r="13" spans="1:56" x14ac:dyDescent="0.25">
      <c r="A13" t="s">
        <v>19</v>
      </c>
      <c r="B13" t="s">
        <v>78</v>
      </c>
      <c r="C13" t="s">
        <v>126</v>
      </c>
      <c r="D13">
        <v>1130810671</v>
      </c>
      <c r="E13">
        <v>0.95000000000000007</v>
      </c>
      <c r="F13">
        <v>1</v>
      </c>
      <c r="G13" t="s">
        <v>324</v>
      </c>
      <c r="H13">
        <v>1</v>
      </c>
      <c r="I13">
        <v>79.17</v>
      </c>
      <c r="J13">
        <v>83.38</v>
      </c>
      <c r="K13">
        <v>0.95000000000000007</v>
      </c>
      <c r="L13">
        <v>83.38</v>
      </c>
      <c r="M13">
        <v>0.43</v>
      </c>
      <c r="N13">
        <v>60.16</v>
      </c>
      <c r="O13">
        <v>0.87</v>
      </c>
      <c r="P13" t="s">
        <v>426</v>
      </c>
      <c r="Q13" t="s">
        <v>426</v>
      </c>
      <c r="R13" t="s">
        <v>426</v>
      </c>
      <c r="S13" t="s">
        <v>426</v>
      </c>
      <c r="T13" t="s">
        <v>426</v>
      </c>
      <c r="U13" t="s">
        <v>426</v>
      </c>
      <c r="V13" t="s">
        <v>426</v>
      </c>
      <c r="W13" t="s">
        <v>426</v>
      </c>
      <c r="X13" t="s">
        <v>426</v>
      </c>
      <c r="Y13">
        <v>0</v>
      </c>
      <c r="Z13">
        <v>0</v>
      </c>
      <c r="AB13">
        <v>0</v>
      </c>
      <c r="AC13">
        <v>0</v>
      </c>
      <c r="AD13">
        <v>0.87</v>
      </c>
      <c r="AE13">
        <v>0</v>
      </c>
      <c r="AF13">
        <v>0</v>
      </c>
      <c r="AG13">
        <v>0</v>
      </c>
      <c r="AH13">
        <v>0</v>
      </c>
      <c r="AI13">
        <v>13</v>
      </c>
      <c r="AZ13" t="s">
        <v>444</v>
      </c>
      <c r="BA13" t="s">
        <v>451</v>
      </c>
      <c r="BB13">
        <v>89572644060.580994</v>
      </c>
      <c r="BC13">
        <v>12</v>
      </c>
      <c r="BD13">
        <v>7</v>
      </c>
    </row>
    <row r="14" spans="1:56" x14ac:dyDescent="0.25">
      <c r="A14" t="s">
        <v>21</v>
      </c>
      <c r="B14" t="s">
        <v>80</v>
      </c>
      <c r="C14" t="s">
        <v>126</v>
      </c>
      <c r="D14">
        <v>736314789</v>
      </c>
      <c r="E14">
        <v>0.85000000000000009</v>
      </c>
      <c r="F14">
        <v>1</v>
      </c>
      <c r="G14" t="s">
        <v>330</v>
      </c>
      <c r="H14">
        <v>1</v>
      </c>
      <c r="I14">
        <v>12.04</v>
      </c>
      <c r="J14">
        <v>13.065</v>
      </c>
      <c r="K14">
        <v>0.85000000000000009</v>
      </c>
      <c r="L14">
        <v>13.065</v>
      </c>
      <c r="M14">
        <v>0.44</v>
      </c>
      <c r="N14">
        <v>55.67</v>
      </c>
      <c r="O14">
        <v>0.99</v>
      </c>
      <c r="P14" t="s">
        <v>427</v>
      </c>
      <c r="Q14" t="s">
        <v>426</v>
      </c>
      <c r="R14" t="s">
        <v>426</v>
      </c>
      <c r="S14" t="s">
        <v>426</v>
      </c>
      <c r="T14" t="s">
        <v>426</v>
      </c>
      <c r="U14" t="s">
        <v>426</v>
      </c>
      <c r="V14" t="s">
        <v>426</v>
      </c>
      <c r="W14" t="s">
        <v>426</v>
      </c>
      <c r="X14" t="s">
        <v>426</v>
      </c>
      <c r="Y14">
        <v>0</v>
      </c>
      <c r="Z14">
        <v>0</v>
      </c>
      <c r="AB14">
        <v>0</v>
      </c>
      <c r="AC14">
        <v>0</v>
      </c>
      <c r="AD14">
        <v>0.99</v>
      </c>
      <c r="AE14">
        <v>0</v>
      </c>
      <c r="AF14">
        <v>0</v>
      </c>
      <c r="AG14">
        <v>0</v>
      </c>
      <c r="AH14">
        <v>0</v>
      </c>
      <c r="AI14">
        <v>14</v>
      </c>
      <c r="AZ14" t="s">
        <v>444</v>
      </c>
      <c r="BA14" t="s">
        <v>451</v>
      </c>
      <c r="BB14">
        <v>8176959810.5422516</v>
      </c>
      <c r="BC14">
        <v>13</v>
      </c>
      <c r="BD14">
        <v>28</v>
      </c>
    </row>
    <row r="15" spans="1:56" x14ac:dyDescent="0.25">
      <c r="A15" t="s">
        <v>32</v>
      </c>
      <c r="B15" t="s">
        <v>91</v>
      </c>
      <c r="C15" t="s">
        <v>126</v>
      </c>
      <c r="D15">
        <v>93886501</v>
      </c>
      <c r="E15">
        <v>1</v>
      </c>
      <c r="F15">
        <v>1</v>
      </c>
      <c r="G15" t="s">
        <v>370</v>
      </c>
      <c r="H15">
        <v>1</v>
      </c>
      <c r="I15">
        <v>10.8</v>
      </c>
      <c r="J15">
        <v>11.5</v>
      </c>
      <c r="K15">
        <v>1</v>
      </c>
      <c r="L15">
        <v>11.5</v>
      </c>
      <c r="M15">
        <v>0.46</v>
      </c>
      <c r="N15">
        <v>71.709999999999994</v>
      </c>
      <c r="O15">
        <v>0.78</v>
      </c>
      <c r="P15" t="s">
        <v>426</v>
      </c>
      <c r="Q15" t="s">
        <v>426</v>
      </c>
      <c r="R15" t="s">
        <v>426</v>
      </c>
      <c r="S15" t="s">
        <v>426</v>
      </c>
      <c r="T15" t="s">
        <v>426</v>
      </c>
      <c r="U15" t="s">
        <v>426</v>
      </c>
      <c r="V15" t="s">
        <v>426</v>
      </c>
      <c r="W15" t="s">
        <v>426</v>
      </c>
      <c r="X15" t="s">
        <v>426</v>
      </c>
      <c r="Y15">
        <v>0</v>
      </c>
      <c r="Z15">
        <v>0</v>
      </c>
      <c r="AB15">
        <v>0</v>
      </c>
      <c r="AC15">
        <v>0</v>
      </c>
      <c r="AD15">
        <v>0.78</v>
      </c>
      <c r="AE15">
        <v>0</v>
      </c>
      <c r="AF15">
        <v>0</v>
      </c>
      <c r="AG15">
        <v>0</v>
      </c>
      <c r="AH15">
        <v>0</v>
      </c>
      <c r="AI15">
        <v>15</v>
      </c>
      <c r="AZ15" t="s">
        <v>444</v>
      </c>
      <c r="BA15" t="s">
        <v>451</v>
      </c>
      <c r="BB15">
        <v>1079694761.5</v>
      </c>
      <c r="BC15">
        <v>14</v>
      </c>
      <c r="BD15">
        <v>70</v>
      </c>
    </row>
    <row r="16" spans="1:56" x14ac:dyDescent="0.25">
      <c r="A16" t="s">
        <v>24</v>
      </c>
      <c r="B16" t="s">
        <v>83</v>
      </c>
      <c r="C16" t="s">
        <v>126</v>
      </c>
      <c r="D16">
        <v>1344379776</v>
      </c>
      <c r="E16">
        <v>0.5</v>
      </c>
      <c r="F16">
        <v>1</v>
      </c>
      <c r="G16" t="s">
        <v>337</v>
      </c>
      <c r="H16">
        <v>1</v>
      </c>
      <c r="I16">
        <v>27.39</v>
      </c>
      <c r="J16">
        <v>27.13</v>
      </c>
      <c r="K16">
        <v>0.5</v>
      </c>
      <c r="L16">
        <v>27.13</v>
      </c>
      <c r="M16">
        <v>0.48</v>
      </c>
      <c r="N16">
        <v>70.36</v>
      </c>
      <c r="O16">
        <v>0.94</v>
      </c>
      <c r="P16" t="s">
        <v>426</v>
      </c>
      <c r="Q16" t="s">
        <v>426</v>
      </c>
      <c r="R16" t="s">
        <v>426</v>
      </c>
      <c r="S16" t="s">
        <v>426</v>
      </c>
      <c r="T16" t="s">
        <v>426</v>
      </c>
      <c r="U16" t="s">
        <v>426</v>
      </c>
      <c r="V16" t="s">
        <v>426</v>
      </c>
      <c r="W16" t="s">
        <v>426</v>
      </c>
      <c r="X16" t="s">
        <v>426</v>
      </c>
      <c r="Y16">
        <v>0</v>
      </c>
      <c r="Z16">
        <v>0</v>
      </c>
      <c r="AB16">
        <v>0</v>
      </c>
      <c r="AC16">
        <v>0</v>
      </c>
      <c r="AD16">
        <v>0.94</v>
      </c>
      <c r="AE16">
        <v>0</v>
      </c>
      <c r="AF16">
        <v>0</v>
      </c>
      <c r="AG16">
        <v>0</v>
      </c>
      <c r="AH16">
        <v>0</v>
      </c>
      <c r="AI16">
        <v>16</v>
      </c>
      <c r="AZ16" t="s">
        <v>444</v>
      </c>
      <c r="BA16" t="s">
        <v>451</v>
      </c>
      <c r="BB16">
        <v>18236511661.439999</v>
      </c>
      <c r="BC16">
        <v>15</v>
      </c>
      <c r="BD16">
        <v>20</v>
      </c>
    </row>
    <row r="17" spans="1:56" x14ac:dyDescent="0.25">
      <c r="A17" t="s">
        <v>42</v>
      </c>
      <c r="B17" t="s">
        <v>101</v>
      </c>
      <c r="C17" t="s">
        <v>126</v>
      </c>
      <c r="D17">
        <v>103361773</v>
      </c>
      <c r="E17">
        <v>0.8</v>
      </c>
      <c r="F17">
        <v>1</v>
      </c>
      <c r="G17" t="s">
        <v>386</v>
      </c>
      <c r="H17">
        <v>1</v>
      </c>
      <c r="I17">
        <v>30.76</v>
      </c>
      <c r="J17">
        <v>29.18</v>
      </c>
      <c r="K17">
        <v>0.8</v>
      </c>
      <c r="L17">
        <v>29.18</v>
      </c>
      <c r="M17">
        <v>0.49</v>
      </c>
      <c r="N17">
        <v>39</v>
      </c>
      <c r="O17">
        <v>0.86</v>
      </c>
      <c r="P17" t="s">
        <v>426</v>
      </c>
      <c r="Q17" t="s">
        <v>426</v>
      </c>
      <c r="R17" t="s">
        <v>426</v>
      </c>
      <c r="S17" t="s">
        <v>426</v>
      </c>
      <c r="T17" t="s">
        <v>426</v>
      </c>
      <c r="U17" t="s">
        <v>426</v>
      </c>
      <c r="V17" t="s">
        <v>426</v>
      </c>
      <c r="W17" t="s">
        <v>426</v>
      </c>
      <c r="X17" t="s">
        <v>426</v>
      </c>
      <c r="Y17">
        <v>0</v>
      </c>
      <c r="Z17">
        <v>1.5E-3</v>
      </c>
      <c r="AB17">
        <v>0</v>
      </c>
      <c r="AC17">
        <v>0</v>
      </c>
      <c r="AD17">
        <v>0.86</v>
      </c>
      <c r="AE17">
        <v>0</v>
      </c>
      <c r="AF17">
        <v>1.5E-3</v>
      </c>
      <c r="AG17">
        <v>0</v>
      </c>
      <c r="AH17">
        <v>0</v>
      </c>
      <c r="AI17">
        <v>17</v>
      </c>
      <c r="AZ17" t="s">
        <v>444</v>
      </c>
      <c r="BA17" t="s">
        <v>451</v>
      </c>
      <c r="BB17">
        <v>2412877228.9120002</v>
      </c>
      <c r="BC17">
        <v>16</v>
      </c>
      <c r="BD17">
        <v>53</v>
      </c>
    </row>
    <row r="18" spans="1:56" x14ac:dyDescent="0.25">
      <c r="A18" t="s">
        <v>61</v>
      </c>
      <c r="B18" t="s">
        <v>120</v>
      </c>
      <c r="C18" t="s">
        <v>126</v>
      </c>
      <c r="D18">
        <v>244633504</v>
      </c>
      <c r="E18">
        <v>0.9</v>
      </c>
      <c r="F18">
        <v>1</v>
      </c>
      <c r="G18" t="s">
        <v>411</v>
      </c>
      <c r="H18">
        <v>1</v>
      </c>
      <c r="I18">
        <v>10.54</v>
      </c>
      <c r="J18">
        <v>10.855</v>
      </c>
      <c r="K18">
        <v>0.9</v>
      </c>
      <c r="L18">
        <v>10.855</v>
      </c>
      <c r="M18">
        <v>0.5</v>
      </c>
      <c r="N18">
        <v>62.52</v>
      </c>
      <c r="O18">
        <v>0.94</v>
      </c>
      <c r="P18" t="s">
        <v>426</v>
      </c>
      <c r="Q18" t="s">
        <v>426</v>
      </c>
      <c r="R18" t="s">
        <v>426</v>
      </c>
      <c r="S18" t="s">
        <v>426</v>
      </c>
      <c r="T18" t="s">
        <v>426</v>
      </c>
      <c r="U18" t="s">
        <v>426</v>
      </c>
      <c r="V18" t="s">
        <v>426</v>
      </c>
      <c r="W18" t="s">
        <v>426</v>
      </c>
      <c r="X18" t="s">
        <v>426</v>
      </c>
      <c r="Y18">
        <v>0</v>
      </c>
      <c r="Z18">
        <v>0</v>
      </c>
      <c r="AB18">
        <v>0</v>
      </c>
      <c r="AC18">
        <v>0</v>
      </c>
      <c r="AD18">
        <v>0.94</v>
      </c>
      <c r="AE18">
        <v>0</v>
      </c>
      <c r="AF18">
        <v>0</v>
      </c>
      <c r="AG18">
        <v>0</v>
      </c>
      <c r="AH18">
        <v>0</v>
      </c>
      <c r="AI18">
        <v>19</v>
      </c>
      <c r="AZ18" t="s">
        <v>444</v>
      </c>
      <c r="BA18" t="s">
        <v>451</v>
      </c>
      <c r="BB18">
        <v>2389947017.3280001</v>
      </c>
      <c r="BC18">
        <v>17</v>
      </c>
      <c r="BD18">
        <v>54</v>
      </c>
    </row>
    <row r="19" spans="1:56" x14ac:dyDescent="0.25">
      <c r="A19" t="s">
        <v>12</v>
      </c>
      <c r="B19" t="s">
        <v>71</v>
      </c>
      <c r="C19" t="s">
        <v>126</v>
      </c>
      <c r="D19">
        <v>205419262</v>
      </c>
      <c r="E19">
        <v>0.3</v>
      </c>
      <c r="F19">
        <v>1</v>
      </c>
      <c r="G19" t="s">
        <v>314</v>
      </c>
      <c r="H19">
        <v>1</v>
      </c>
      <c r="I19">
        <v>63</v>
      </c>
      <c r="J19">
        <v>66.400000000000006</v>
      </c>
      <c r="K19">
        <v>0.3</v>
      </c>
      <c r="L19">
        <v>66.400000000000006</v>
      </c>
      <c r="M19">
        <v>0.51</v>
      </c>
      <c r="N19">
        <v>68.260000000000005</v>
      </c>
      <c r="O19">
        <v>0.64</v>
      </c>
      <c r="P19" t="s">
        <v>426</v>
      </c>
      <c r="Q19" t="s">
        <v>426</v>
      </c>
      <c r="R19" t="s">
        <v>426</v>
      </c>
      <c r="S19" t="s">
        <v>426</v>
      </c>
      <c r="T19" t="s">
        <v>426</v>
      </c>
      <c r="U19" t="s">
        <v>426</v>
      </c>
      <c r="V19" t="s">
        <v>426</v>
      </c>
      <c r="W19" t="s">
        <v>426</v>
      </c>
      <c r="X19" t="s">
        <v>426</v>
      </c>
      <c r="Y19">
        <v>0</v>
      </c>
      <c r="Z19">
        <v>0</v>
      </c>
      <c r="AB19">
        <v>0</v>
      </c>
      <c r="AC19">
        <v>0</v>
      </c>
      <c r="AD19">
        <v>0.64</v>
      </c>
      <c r="AE19">
        <v>0</v>
      </c>
      <c r="AF19">
        <v>0</v>
      </c>
      <c r="AG19">
        <v>0</v>
      </c>
      <c r="AH19">
        <v>0</v>
      </c>
      <c r="AI19">
        <v>20</v>
      </c>
      <c r="AZ19" t="s">
        <v>444</v>
      </c>
      <c r="BA19" t="s">
        <v>451</v>
      </c>
      <c r="BB19">
        <v>4091951699.0400009</v>
      </c>
      <c r="BC19">
        <v>18</v>
      </c>
      <c r="BD19">
        <v>45</v>
      </c>
    </row>
    <row r="20" spans="1:56" x14ac:dyDescent="0.25">
      <c r="A20" t="s">
        <v>26</v>
      </c>
      <c r="B20" t="s">
        <v>85</v>
      </c>
      <c r="C20" t="s">
        <v>126</v>
      </c>
      <c r="D20">
        <v>197089340</v>
      </c>
      <c r="E20">
        <v>0.85000000000000009</v>
      </c>
      <c r="F20">
        <v>1</v>
      </c>
      <c r="G20" t="s">
        <v>353</v>
      </c>
      <c r="H20">
        <v>1</v>
      </c>
      <c r="I20">
        <v>11.154999999999999</v>
      </c>
      <c r="J20">
        <v>11.865</v>
      </c>
      <c r="K20">
        <v>0.85000000000000009</v>
      </c>
      <c r="L20">
        <v>11.865</v>
      </c>
      <c r="M20">
        <v>0.52</v>
      </c>
      <c r="N20">
        <v>55.42</v>
      </c>
      <c r="O20">
        <v>0.96</v>
      </c>
      <c r="P20" t="s">
        <v>426</v>
      </c>
      <c r="Q20" t="s">
        <v>426</v>
      </c>
      <c r="R20" t="s">
        <v>426</v>
      </c>
      <c r="S20" t="s">
        <v>426</v>
      </c>
      <c r="T20" t="s">
        <v>426</v>
      </c>
      <c r="U20" t="s">
        <v>426</v>
      </c>
      <c r="V20" t="s">
        <v>426</v>
      </c>
      <c r="W20" t="s">
        <v>426</v>
      </c>
      <c r="X20" t="s">
        <v>426</v>
      </c>
      <c r="Y20">
        <v>0</v>
      </c>
      <c r="Z20">
        <v>0</v>
      </c>
      <c r="AB20">
        <v>0</v>
      </c>
      <c r="AC20">
        <v>0</v>
      </c>
      <c r="AD20">
        <v>0.96</v>
      </c>
      <c r="AE20">
        <v>0</v>
      </c>
      <c r="AF20">
        <v>0</v>
      </c>
      <c r="AG20">
        <v>0</v>
      </c>
      <c r="AH20">
        <v>0</v>
      </c>
      <c r="AI20">
        <v>21</v>
      </c>
      <c r="AZ20" t="s">
        <v>444</v>
      </c>
      <c r="BA20" t="s">
        <v>451</v>
      </c>
      <c r="BB20">
        <v>1987695266.2349999</v>
      </c>
      <c r="BC20">
        <v>19</v>
      </c>
      <c r="BD20">
        <v>61</v>
      </c>
    </row>
    <row r="21" spans="1:56" x14ac:dyDescent="0.25">
      <c r="A21" t="s">
        <v>31</v>
      </c>
      <c r="B21" t="s">
        <v>90</v>
      </c>
      <c r="C21" t="s">
        <v>126</v>
      </c>
      <c r="D21">
        <v>533204913</v>
      </c>
      <c r="E21">
        <v>0.45</v>
      </c>
      <c r="F21">
        <v>1</v>
      </c>
      <c r="G21" t="s">
        <v>368</v>
      </c>
      <c r="H21">
        <v>1</v>
      </c>
      <c r="I21">
        <v>377.35</v>
      </c>
      <c r="J21">
        <v>399</v>
      </c>
      <c r="K21">
        <v>0.45</v>
      </c>
      <c r="L21">
        <v>399</v>
      </c>
      <c r="M21">
        <v>0.54</v>
      </c>
      <c r="N21">
        <v>62.15</v>
      </c>
      <c r="O21">
        <v>0.87</v>
      </c>
      <c r="P21" t="s">
        <v>426</v>
      </c>
      <c r="Q21" t="s">
        <v>426</v>
      </c>
      <c r="R21" t="s">
        <v>426</v>
      </c>
      <c r="S21" t="s">
        <v>426</v>
      </c>
      <c r="T21" t="s">
        <v>426</v>
      </c>
      <c r="U21" t="s">
        <v>426</v>
      </c>
      <c r="V21" t="s">
        <v>426</v>
      </c>
      <c r="W21" t="s">
        <v>426</v>
      </c>
      <c r="X21" t="s">
        <v>426</v>
      </c>
      <c r="Y21">
        <v>0</v>
      </c>
      <c r="Z21">
        <v>0</v>
      </c>
      <c r="AB21">
        <v>0</v>
      </c>
      <c r="AC21">
        <v>0</v>
      </c>
      <c r="AD21">
        <v>0.87</v>
      </c>
      <c r="AE21">
        <v>0</v>
      </c>
      <c r="AF21">
        <v>0</v>
      </c>
      <c r="AG21">
        <v>0</v>
      </c>
      <c r="AH21">
        <v>0</v>
      </c>
      <c r="AI21">
        <v>23</v>
      </c>
      <c r="AZ21" t="s">
        <v>444</v>
      </c>
      <c r="BA21" t="s">
        <v>451</v>
      </c>
      <c r="BB21">
        <v>95736942129.150009</v>
      </c>
      <c r="BC21">
        <v>20</v>
      </c>
      <c r="BD21">
        <v>6</v>
      </c>
    </row>
    <row r="22" spans="1:56" x14ac:dyDescent="0.25">
      <c r="A22" t="s">
        <v>60</v>
      </c>
      <c r="B22" t="s">
        <v>119</v>
      </c>
      <c r="C22" t="s">
        <v>126</v>
      </c>
      <c r="D22">
        <v>143244727</v>
      </c>
      <c r="E22">
        <v>0.85000000000000009</v>
      </c>
      <c r="F22">
        <v>1</v>
      </c>
      <c r="G22" t="s">
        <v>410</v>
      </c>
      <c r="H22">
        <v>1</v>
      </c>
      <c r="I22">
        <v>89.16</v>
      </c>
      <c r="J22">
        <v>91.7</v>
      </c>
      <c r="K22">
        <v>0.85000000000000009</v>
      </c>
      <c r="L22">
        <v>91.7</v>
      </c>
      <c r="M22">
        <v>0.55000000000000004</v>
      </c>
      <c r="N22">
        <v>71.290000000000006</v>
      </c>
      <c r="O22">
        <v>0.92</v>
      </c>
      <c r="P22" t="s">
        <v>426</v>
      </c>
      <c r="Q22" t="s">
        <v>426</v>
      </c>
      <c r="R22" t="s">
        <v>426</v>
      </c>
      <c r="S22" t="s">
        <v>426</v>
      </c>
      <c r="T22" t="s">
        <v>426</v>
      </c>
      <c r="U22" t="s">
        <v>426</v>
      </c>
      <c r="V22" t="s">
        <v>426</v>
      </c>
      <c r="W22" t="s">
        <v>426</v>
      </c>
      <c r="X22" t="s">
        <v>426</v>
      </c>
      <c r="Y22">
        <v>0</v>
      </c>
      <c r="Z22">
        <v>0</v>
      </c>
      <c r="AB22">
        <v>0</v>
      </c>
      <c r="AC22">
        <v>0</v>
      </c>
      <c r="AD22">
        <v>0.92</v>
      </c>
      <c r="AE22">
        <v>0</v>
      </c>
      <c r="AF22">
        <v>0</v>
      </c>
      <c r="AG22">
        <v>0</v>
      </c>
      <c r="AH22">
        <v>0</v>
      </c>
      <c r="AI22">
        <v>24</v>
      </c>
      <c r="AZ22" t="s">
        <v>444</v>
      </c>
      <c r="BA22" t="s">
        <v>451</v>
      </c>
      <c r="BB22">
        <v>11165210246.014999</v>
      </c>
      <c r="BC22">
        <v>21</v>
      </c>
      <c r="BD22">
        <v>24</v>
      </c>
    </row>
    <row r="23" spans="1:56" x14ac:dyDescent="0.25">
      <c r="A23" t="s">
        <v>56</v>
      </c>
      <c r="B23" t="s">
        <v>115</v>
      </c>
      <c r="C23" t="s">
        <v>126</v>
      </c>
      <c r="D23">
        <v>2896073567</v>
      </c>
      <c r="E23">
        <v>0.70000000000000007</v>
      </c>
      <c r="F23">
        <v>1</v>
      </c>
      <c r="G23" t="s">
        <v>401</v>
      </c>
      <c r="H23">
        <v>1</v>
      </c>
      <c r="I23">
        <v>8.14</v>
      </c>
      <c r="J23">
        <v>8.6460000000000008</v>
      </c>
      <c r="K23">
        <v>0.70000000000000007</v>
      </c>
      <c r="L23">
        <v>8.6489999999999991</v>
      </c>
      <c r="M23">
        <v>0.56000000000000005</v>
      </c>
      <c r="N23">
        <v>53.7</v>
      </c>
      <c r="O23">
        <v>0.92</v>
      </c>
      <c r="P23" t="s">
        <v>427</v>
      </c>
      <c r="Q23" t="s">
        <v>426</v>
      </c>
      <c r="R23" t="s">
        <v>426</v>
      </c>
      <c r="S23" t="s">
        <v>426</v>
      </c>
      <c r="T23" t="s">
        <v>426</v>
      </c>
      <c r="U23" t="s">
        <v>426</v>
      </c>
      <c r="V23" t="s">
        <v>426</v>
      </c>
      <c r="W23" t="s">
        <v>426</v>
      </c>
      <c r="X23" t="s">
        <v>426</v>
      </c>
      <c r="Y23">
        <v>0</v>
      </c>
      <c r="Z23">
        <v>0</v>
      </c>
      <c r="AB23">
        <v>0</v>
      </c>
      <c r="AC23">
        <v>0</v>
      </c>
      <c r="AD23">
        <v>0.92</v>
      </c>
      <c r="AE23">
        <v>0</v>
      </c>
      <c r="AF23">
        <v>0</v>
      </c>
      <c r="AG23">
        <v>0</v>
      </c>
      <c r="AH23">
        <v>0</v>
      </c>
      <c r="AI23">
        <v>25</v>
      </c>
      <c r="AZ23" t="s">
        <v>444</v>
      </c>
      <c r="BA23" t="s">
        <v>451</v>
      </c>
      <c r="BB23">
        <v>17533698196.688099</v>
      </c>
      <c r="BC23">
        <v>22</v>
      </c>
      <c r="BD23">
        <v>21</v>
      </c>
    </row>
    <row r="24" spans="1:56" x14ac:dyDescent="0.25">
      <c r="A24" t="s">
        <v>49</v>
      </c>
      <c r="B24" t="s">
        <v>108</v>
      </c>
      <c r="C24" t="s">
        <v>126</v>
      </c>
      <c r="D24">
        <v>179363695</v>
      </c>
      <c r="E24">
        <v>0.85000000000000009</v>
      </c>
      <c r="F24">
        <v>1</v>
      </c>
      <c r="G24" t="s">
        <v>393</v>
      </c>
      <c r="H24">
        <v>1</v>
      </c>
      <c r="I24">
        <v>27.84</v>
      </c>
      <c r="J24">
        <v>28.96</v>
      </c>
      <c r="K24">
        <v>0.85000000000000009</v>
      </c>
      <c r="L24">
        <v>28.96</v>
      </c>
      <c r="M24">
        <v>0.61</v>
      </c>
      <c r="N24">
        <v>56.08</v>
      </c>
      <c r="O24">
        <v>0.75</v>
      </c>
      <c r="P24" t="s">
        <v>426</v>
      </c>
      <c r="Q24" t="s">
        <v>426</v>
      </c>
      <c r="R24" t="s">
        <v>426</v>
      </c>
      <c r="S24" t="s">
        <v>426</v>
      </c>
      <c r="T24" t="s">
        <v>426</v>
      </c>
      <c r="U24" t="s">
        <v>426</v>
      </c>
      <c r="V24" t="s">
        <v>426</v>
      </c>
      <c r="W24" t="s">
        <v>426</v>
      </c>
      <c r="X24" t="s">
        <v>426</v>
      </c>
      <c r="Y24">
        <v>0</v>
      </c>
      <c r="Z24">
        <v>0</v>
      </c>
      <c r="AB24">
        <v>0</v>
      </c>
      <c r="AC24">
        <v>0</v>
      </c>
      <c r="AD24">
        <v>0.75</v>
      </c>
      <c r="AE24">
        <v>0</v>
      </c>
      <c r="AF24">
        <v>0</v>
      </c>
      <c r="AG24">
        <v>0</v>
      </c>
      <c r="AH24">
        <v>0</v>
      </c>
      <c r="AI24">
        <v>26</v>
      </c>
      <c r="AZ24" t="s">
        <v>444</v>
      </c>
      <c r="BA24" t="s">
        <v>451</v>
      </c>
      <c r="BB24">
        <v>4415216716.1200008</v>
      </c>
      <c r="BC24">
        <v>23</v>
      </c>
      <c r="BD24">
        <v>42</v>
      </c>
    </row>
    <row r="25" spans="1:56" x14ac:dyDescent="0.25">
      <c r="A25" t="s">
        <v>45</v>
      </c>
      <c r="B25" t="s">
        <v>104</v>
      </c>
      <c r="C25" t="s">
        <v>126</v>
      </c>
      <c r="D25">
        <v>499063699</v>
      </c>
      <c r="E25">
        <v>0.9</v>
      </c>
      <c r="F25">
        <v>1</v>
      </c>
      <c r="G25" t="s">
        <v>389</v>
      </c>
      <c r="H25">
        <v>1</v>
      </c>
      <c r="I25">
        <v>93.24</v>
      </c>
      <c r="J25">
        <v>98.16</v>
      </c>
      <c r="K25">
        <v>0.9</v>
      </c>
      <c r="L25">
        <v>98.16</v>
      </c>
      <c r="M25">
        <v>0.62</v>
      </c>
      <c r="N25">
        <v>59.52</v>
      </c>
      <c r="O25">
        <v>0.99</v>
      </c>
      <c r="P25" t="s">
        <v>426</v>
      </c>
      <c r="Q25" t="s">
        <v>426</v>
      </c>
      <c r="R25" t="s">
        <v>426</v>
      </c>
      <c r="S25" t="s">
        <v>426</v>
      </c>
      <c r="T25" t="s">
        <v>426</v>
      </c>
      <c r="U25" t="s">
        <v>426</v>
      </c>
      <c r="V25" t="s">
        <v>426</v>
      </c>
      <c r="W25" t="s">
        <v>426</v>
      </c>
      <c r="X25" t="s">
        <v>426</v>
      </c>
      <c r="Y25">
        <v>0</v>
      </c>
      <c r="Z25">
        <v>0</v>
      </c>
      <c r="AA25" t="s">
        <v>429</v>
      </c>
      <c r="AB25">
        <v>0</v>
      </c>
      <c r="AC25">
        <v>0</v>
      </c>
      <c r="AD25">
        <v>0.99</v>
      </c>
      <c r="AE25">
        <v>0</v>
      </c>
      <c r="AF25">
        <v>0</v>
      </c>
      <c r="AG25">
        <v>0</v>
      </c>
      <c r="AH25">
        <v>0</v>
      </c>
      <c r="AI25">
        <v>27</v>
      </c>
      <c r="AZ25" t="s">
        <v>444</v>
      </c>
      <c r="BA25" t="s">
        <v>451</v>
      </c>
      <c r="BB25">
        <v>44089283424.455994</v>
      </c>
      <c r="BC25">
        <v>24</v>
      </c>
      <c r="BD25">
        <v>12</v>
      </c>
    </row>
    <row r="26" spans="1:56" x14ac:dyDescent="0.25">
      <c r="A26" t="s">
        <v>25</v>
      </c>
      <c r="B26" t="s">
        <v>84</v>
      </c>
      <c r="C26" t="s">
        <v>126</v>
      </c>
      <c r="D26">
        <v>101542528</v>
      </c>
      <c r="E26">
        <v>0.75</v>
      </c>
      <c r="F26">
        <v>1</v>
      </c>
      <c r="G26" t="s">
        <v>348</v>
      </c>
      <c r="H26">
        <v>1</v>
      </c>
      <c r="I26">
        <v>136.4</v>
      </c>
      <c r="J26">
        <v>143</v>
      </c>
      <c r="K26">
        <v>0.75</v>
      </c>
      <c r="L26">
        <v>143</v>
      </c>
      <c r="M26">
        <v>0.66</v>
      </c>
      <c r="N26">
        <v>57.54</v>
      </c>
      <c r="O26">
        <v>0.79</v>
      </c>
      <c r="P26" t="s">
        <v>426</v>
      </c>
      <c r="Q26" t="s">
        <v>426</v>
      </c>
      <c r="R26" t="s">
        <v>426</v>
      </c>
      <c r="S26" t="s">
        <v>426</v>
      </c>
      <c r="T26" t="s">
        <v>426</v>
      </c>
      <c r="U26" t="s">
        <v>426</v>
      </c>
      <c r="V26" t="s">
        <v>426</v>
      </c>
      <c r="W26" t="s">
        <v>426</v>
      </c>
      <c r="X26" t="s">
        <v>426</v>
      </c>
      <c r="Y26">
        <v>0</v>
      </c>
      <c r="Z26">
        <v>0</v>
      </c>
      <c r="AB26">
        <v>0</v>
      </c>
      <c r="AC26">
        <v>0</v>
      </c>
      <c r="AD26">
        <v>0.79</v>
      </c>
      <c r="AE26">
        <v>0</v>
      </c>
      <c r="AF26">
        <v>0</v>
      </c>
      <c r="AG26">
        <v>0</v>
      </c>
      <c r="AH26">
        <v>0</v>
      </c>
      <c r="AI26">
        <v>28</v>
      </c>
      <c r="AZ26" t="s">
        <v>444</v>
      </c>
      <c r="BA26" t="s">
        <v>451</v>
      </c>
      <c r="BB26">
        <v>10890436128</v>
      </c>
      <c r="BC26">
        <v>25</v>
      </c>
      <c r="BD26">
        <v>25</v>
      </c>
    </row>
    <row r="27" spans="1:56" x14ac:dyDescent="0.25">
      <c r="A27" t="s">
        <v>64</v>
      </c>
      <c r="B27" t="s">
        <v>123</v>
      </c>
      <c r="C27" t="s">
        <v>126</v>
      </c>
      <c r="D27">
        <v>582866757</v>
      </c>
      <c r="E27">
        <v>0.9</v>
      </c>
      <c r="F27">
        <v>1</v>
      </c>
      <c r="G27" t="s">
        <v>417</v>
      </c>
      <c r="H27">
        <v>1</v>
      </c>
      <c r="I27">
        <v>117.85</v>
      </c>
      <c r="J27">
        <v>129</v>
      </c>
      <c r="K27">
        <v>0.9</v>
      </c>
      <c r="L27">
        <v>129</v>
      </c>
      <c r="M27">
        <v>0.73</v>
      </c>
      <c r="N27">
        <v>55.04</v>
      </c>
      <c r="O27">
        <v>0.99</v>
      </c>
      <c r="P27" t="s">
        <v>426</v>
      </c>
      <c r="Q27" t="s">
        <v>426</v>
      </c>
      <c r="R27" t="s">
        <v>426</v>
      </c>
      <c r="S27" t="s">
        <v>426</v>
      </c>
      <c r="T27" t="s">
        <v>426</v>
      </c>
      <c r="U27" t="s">
        <v>426</v>
      </c>
      <c r="V27" t="s">
        <v>426</v>
      </c>
      <c r="W27" t="s">
        <v>426</v>
      </c>
      <c r="X27" t="s">
        <v>426</v>
      </c>
      <c r="Y27">
        <v>0</v>
      </c>
      <c r="Z27">
        <v>0</v>
      </c>
      <c r="AB27">
        <v>0</v>
      </c>
      <c r="AC27">
        <v>0</v>
      </c>
      <c r="AD27">
        <v>0.99</v>
      </c>
      <c r="AE27">
        <v>0</v>
      </c>
      <c r="AF27">
        <v>0</v>
      </c>
      <c r="AG27">
        <v>0</v>
      </c>
      <c r="AH27">
        <v>0</v>
      </c>
      <c r="AI27">
        <v>29</v>
      </c>
      <c r="AZ27" t="s">
        <v>444</v>
      </c>
      <c r="BA27" t="s">
        <v>451</v>
      </c>
      <c r="BB27">
        <v>67670830487.699997</v>
      </c>
      <c r="BC27">
        <v>26</v>
      </c>
      <c r="BD27">
        <v>9</v>
      </c>
    </row>
    <row r="28" spans="1:56" x14ac:dyDescent="0.25">
      <c r="A28" t="s">
        <v>57</v>
      </c>
      <c r="B28" t="s">
        <v>116</v>
      </c>
      <c r="C28" t="s">
        <v>126</v>
      </c>
      <c r="D28">
        <v>911281920</v>
      </c>
      <c r="E28">
        <v>0.70000000000000007</v>
      </c>
      <c r="F28">
        <v>1</v>
      </c>
      <c r="G28" t="s">
        <v>402</v>
      </c>
      <c r="H28">
        <v>1</v>
      </c>
      <c r="I28">
        <v>22.86</v>
      </c>
      <c r="J28">
        <v>23.434999999999999</v>
      </c>
      <c r="K28">
        <v>0.70000000000000007</v>
      </c>
      <c r="L28">
        <v>23.434999999999999</v>
      </c>
      <c r="M28">
        <v>0.73</v>
      </c>
      <c r="N28">
        <v>62.95</v>
      </c>
      <c r="O28">
        <v>0.97</v>
      </c>
      <c r="P28" t="s">
        <v>426</v>
      </c>
      <c r="Q28" t="s">
        <v>426</v>
      </c>
      <c r="R28" t="s">
        <v>426</v>
      </c>
      <c r="S28" t="s">
        <v>426</v>
      </c>
      <c r="T28" t="s">
        <v>426</v>
      </c>
      <c r="U28" t="s">
        <v>426</v>
      </c>
      <c r="V28" t="s">
        <v>426</v>
      </c>
      <c r="W28" t="s">
        <v>426</v>
      </c>
      <c r="X28" t="s">
        <v>426</v>
      </c>
      <c r="Y28">
        <v>0</v>
      </c>
      <c r="Z28">
        <v>0</v>
      </c>
      <c r="AB28">
        <v>0</v>
      </c>
      <c r="AC28">
        <v>0</v>
      </c>
      <c r="AD28">
        <v>0.97</v>
      </c>
      <c r="AE28">
        <v>0</v>
      </c>
      <c r="AF28">
        <v>0</v>
      </c>
      <c r="AG28">
        <v>0</v>
      </c>
      <c r="AH28">
        <v>0</v>
      </c>
      <c r="AI28">
        <v>29</v>
      </c>
      <c r="AZ28" t="s">
        <v>444</v>
      </c>
      <c r="BA28" t="s">
        <v>451</v>
      </c>
      <c r="BB28">
        <v>14949124256.639999</v>
      </c>
      <c r="BC28">
        <v>26</v>
      </c>
      <c r="BD28">
        <v>23</v>
      </c>
    </row>
    <row r="29" spans="1:56" x14ac:dyDescent="0.25">
      <c r="A29" t="s">
        <v>22</v>
      </c>
      <c r="B29" t="s">
        <v>81</v>
      </c>
      <c r="C29" t="s">
        <v>126</v>
      </c>
      <c r="D29">
        <v>150179792</v>
      </c>
      <c r="E29">
        <v>0.65</v>
      </c>
      <c r="F29">
        <v>1</v>
      </c>
      <c r="G29" t="s">
        <v>332</v>
      </c>
      <c r="H29">
        <v>1</v>
      </c>
      <c r="I29">
        <v>15.51</v>
      </c>
      <c r="J29">
        <v>16.78</v>
      </c>
      <c r="K29">
        <v>0.65</v>
      </c>
      <c r="L29">
        <v>16.78</v>
      </c>
      <c r="M29">
        <v>0.73</v>
      </c>
      <c r="N29">
        <v>51.8</v>
      </c>
      <c r="O29">
        <v>0.81</v>
      </c>
      <c r="P29" t="s">
        <v>426</v>
      </c>
      <c r="Q29" t="s">
        <v>426</v>
      </c>
      <c r="R29" t="s">
        <v>426</v>
      </c>
      <c r="S29" t="s">
        <v>426</v>
      </c>
      <c r="T29" t="s">
        <v>426</v>
      </c>
      <c r="U29" t="s">
        <v>426</v>
      </c>
      <c r="V29" t="s">
        <v>426</v>
      </c>
      <c r="W29" t="s">
        <v>426</v>
      </c>
      <c r="X29" t="s">
        <v>426</v>
      </c>
      <c r="Y29">
        <v>0</v>
      </c>
      <c r="Z29">
        <v>0</v>
      </c>
      <c r="AB29">
        <v>0</v>
      </c>
      <c r="AC29">
        <v>0</v>
      </c>
      <c r="AD29">
        <v>0.81</v>
      </c>
      <c r="AE29">
        <v>0</v>
      </c>
      <c r="AF29">
        <v>0</v>
      </c>
      <c r="AG29">
        <v>0</v>
      </c>
      <c r="AH29">
        <v>0</v>
      </c>
      <c r="AI29">
        <v>29</v>
      </c>
      <c r="AZ29" t="s">
        <v>444</v>
      </c>
      <c r="BA29" t="s">
        <v>451</v>
      </c>
      <c r="BB29">
        <v>1638010991.3440001</v>
      </c>
      <c r="BC29">
        <v>26</v>
      </c>
      <c r="BD29">
        <v>63</v>
      </c>
    </row>
    <row r="30" spans="1:56" x14ac:dyDescent="0.25">
      <c r="A30" t="s">
        <v>54</v>
      </c>
      <c r="B30" t="s">
        <v>113</v>
      </c>
      <c r="C30" t="s">
        <v>126</v>
      </c>
      <c r="D30">
        <v>20547701</v>
      </c>
      <c r="E30">
        <v>0.70000000000000007</v>
      </c>
      <c r="F30">
        <v>1</v>
      </c>
      <c r="G30" t="s">
        <v>399</v>
      </c>
      <c r="H30">
        <v>1</v>
      </c>
      <c r="I30">
        <v>160</v>
      </c>
      <c r="J30">
        <v>175</v>
      </c>
      <c r="K30">
        <v>0.70000000000000007</v>
      </c>
      <c r="L30">
        <v>175</v>
      </c>
      <c r="M30">
        <v>0.74</v>
      </c>
      <c r="N30">
        <v>69.400000000000006</v>
      </c>
      <c r="O30">
        <v>0.91</v>
      </c>
      <c r="P30" t="s">
        <v>426</v>
      </c>
      <c r="Q30" t="s">
        <v>426</v>
      </c>
      <c r="R30" t="s">
        <v>426</v>
      </c>
      <c r="S30" t="s">
        <v>426</v>
      </c>
      <c r="T30" t="s">
        <v>426</v>
      </c>
      <c r="U30" t="s">
        <v>426</v>
      </c>
      <c r="V30" t="s">
        <v>426</v>
      </c>
      <c r="W30" t="s">
        <v>426</v>
      </c>
      <c r="X30" t="s">
        <v>426</v>
      </c>
      <c r="Y30">
        <v>0</v>
      </c>
      <c r="Z30">
        <v>0</v>
      </c>
      <c r="AB30">
        <v>0</v>
      </c>
      <c r="AC30">
        <v>0</v>
      </c>
      <c r="AD30">
        <v>0.91</v>
      </c>
      <c r="AE30">
        <v>0</v>
      </c>
      <c r="AF30">
        <v>0</v>
      </c>
      <c r="AG30">
        <v>0</v>
      </c>
      <c r="AH30">
        <v>0</v>
      </c>
      <c r="AI30">
        <v>32</v>
      </c>
      <c r="AZ30" t="s">
        <v>444</v>
      </c>
      <c r="BA30" t="s">
        <v>451</v>
      </c>
      <c r="BB30">
        <v>2517093372.5</v>
      </c>
      <c r="BC30">
        <v>29</v>
      </c>
      <c r="BD30">
        <v>51</v>
      </c>
    </row>
    <row r="31" spans="1:56" x14ac:dyDescent="0.25">
      <c r="A31" t="s">
        <v>36</v>
      </c>
      <c r="B31" t="s">
        <v>95</v>
      </c>
      <c r="C31" t="s">
        <v>126</v>
      </c>
      <c r="D31">
        <v>2660056599</v>
      </c>
      <c r="E31">
        <v>0.65</v>
      </c>
      <c r="F31">
        <v>1</v>
      </c>
      <c r="G31" t="s">
        <v>377</v>
      </c>
      <c r="H31">
        <v>1</v>
      </c>
      <c r="I31">
        <v>13.67</v>
      </c>
      <c r="J31">
        <v>14.48</v>
      </c>
      <c r="K31">
        <v>0.65</v>
      </c>
      <c r="L31">
        <v>14.48</v>
      </c>
      <c r="M31">
        <v>0.78</v>
      </c>
      <c r="N31">
        <v>64.17</v>
      </c>
      <c r="O31">
        <v>0.97</v>
      </c>
      <c r="P31" t="s">
        <v>426</v>
      </c>
      <c r="Q31" t="s">
        <v>426</v>
      </c>
      <c r="R31" t="s">
        <v>426</v>
      </c>
      <c r="S31" t="s">
        <v>426</v>
      </c>
      <c r="T31" t="s">
        <v>426</v>
      </c>
      <c r="U31" t="s">
        <v>426</v>
      </c>
      <c r="V31" t="s">
        <v>426</v>
      </c>
      <c r="W31" t="s">
        <v>426</v>
      </c>
      <c r="X31" t="s">
        <v>426</v>
      </c>
      <c r="Y31">
        <v>0</v>
      </c>
      <c r="Z31">
        <v>0</v>
      </c>
      <c r="AB31">
        <v>0</v>
      </c>
      <c r="AC31">
        <v>0</v>
      </c>
      <c r="AD31">
        <v>0.97</v>
      </c>
      <c r="AE31">
        <v>0</v>
      </c>
      <c r="AF31">
        <v>0</v>
      </c>
      <c r="AG31">
        <v>0</v>
      </c>
      <c r="AH31">
        <v>0</v>
      </c>
      <c r="AI31">
        <v>33</v>
      </c>
      <c r="AZ31" t="s">
        <v>444</v>
      </c>
      <c r="BA31" t="s">
        <v>451</v>
      </c>
      <c r="BB31">
        <v>25036452709.787998</v>
      </c>
      <c r="BC31">
        <v>30</v>
      </c>
      <c r="BD31">
        <v>15</v>
      </c>
    </row>
    <row r="32" spans="1:56" x14ac:dyDescent="0.25">
      <c r="A32" t="s">
        <v>65</v>
      </c>
      <c r="B32" t="s">
        <v>124</v>
      </c>
      <c r="C32" t="s">
        <v>126</v>
      </c>
      <c r="D32">
        <v>1029918125</v>
      </c>
      <c r="E32">
        <v>0.70000000000000007</v>
      </c>
      <c r="F32">
        <v>1</v>
      </c>
      <c r="G32" t="s">
        <v>420</v>
      </c>
      <c r="H32">
        <v>1</v>
      </c>
      <c r="I32">
        <v>3.0350000000000001</v>
      </c>
      <c r="J32">
        <v>3.1440000000000001</v>
      </c>
      <c r="K32">
        <v>0.70000000000000007</v>
      </c>
      <c r="L32">
        <v>3.1440000000000001</v>
      </c>
      <c r="M32">
        <v>0.78</v>
      </c>
      <c r="N32">
        <v>48.72</v>
      </c>
      <c r="O32">
        <v>0.91</v>
      </c>
      <c r="P32" t="s">
        <v>426</v>
      </c>
      <c r="Q32" t="s">
        <v>426</v>
      </c>
      <c r="R32" t="s">
        <v>426</v>
      </c>
      <c r="S32" t="s">
        <v>426</v>
      </c>
      <c r="T32" t="s">
        <v>426</v>
      </c>
      <c r="U32" t="s">
        <v>426</v>
      </c>
      <c r="V32" t="s">
        <v>426</v>
      </c>
      <c r="W32" t="s">
        <v>426</v>
      </c>
      <c r="X32" t="s">
        <v>426</v>
      </c>
      <c r="Y32">
        <v>0</v>
      </c>
      <c r="Z32">
        <v>0</v>
      </c>
      <c r="AB32">
        <v>0</v>
      </c>
      <c r="AC32">
        <v>0</v>
      </c>
      <c r="AD32">
        <v>0.91</v>
      </c>
      <c r="AE32">
        <v>0</v>
      </c>
      <c r="AF32">
        <v>0</v>
      </c>
      <c r="AG32">
        <v>0</v>
      </c>
      <c r="AH32">
        <v>0</v>
      </c>
      <c r="AI32">
        <v>33</v>
      </c>
      <c r="AZ32" t="s">
        <v>444</v>
      </c>
      <c r="BA32" t="s">
        <v>451</v>
      </c>
      <c r="BB32">
        <v>2266643809.5</v>
      </c>
      <c r="BC32">
        <v>30</v>
      </c>
      <c r="BD32">
        <v>55</v>
      </c>
    </row>
    <row r="33" spans="1:56" x14ac:dyDescent="0.25">
      <c r="A33" t="s">
        <v>13</v>
      </c>
      <c r="B33" t="s">
        <v>72</v>
      </c>
      <c r="C33" t="s">
        <v>127</v>
      </c>
      <c r="D33">
        <v>73184570</v>
      </c>
      <c r="E33">
        <v>0.60000000000000009</v>
      </c>
      <c r="F33">
        <v>1</v>
      </c>
      <c r="G33" t="s">
        <v>315</v>
      </c>
      <c r="H33">
        <v>1</v>
      </c>
      <c r="I33">
        <v>26.76</v>
      </c>
      <c r="J33">
        <v>26.48</v>
      </c>
      <c r="K33">
        <v>0.60000000000000009</v>
      </c>
      <c r="L33">
        <v>26.48</v>
      </c>
      <c r="M33">
        <v>0.78</v>
      </c>
      <c r="N33">
        <v>55.47</v>
      </c>
      <c r="O33">
        <v>0.9</v>
      </c>
      <c r="P33" t="s">
        <v>426</v>
      </c>
      <c r="Q33" t="s">
        <v>426</v>
      </c>
      <c r="R33" t="s">
        <v>426</v>
      </c>
      <c r="S33" t="s">
        <v>426</v>
      </c>
      <c r="T33" t="s">
        <v>426</v>
      </c>
      <c r="U33" t="s">
        <v>426</v>
      </c>
      <c r="V33" t="s">
        <v>426</v>
      </c>
      <c r="W33" t="s">
        <v>426</v>
      </c>
      <c r="X33" t="s">
        <v>426</v>
      </c>
      <c r="Y33">
        <v>0</v>
      </c>
      <c r="Z33">
        <v>0</v>
      </c>
      <c r="AB33">
        <v>0</v>
      </c>
      <c r="AC33">
        <v>0</v>
      </c>
      <c r="AD33">
        <v>0.9</v>
      </c>
      <c r="AE33">
        <v>0</v>
      </c>
      <c r="AF33">
        <v>0</v>
      </c>
      <c r="AG33">
        <v>0</v>
      </c>
      <c r="AH33">
        <v>0</v>
      </c>
      <c r="AI33">
        <v>33</v>
      </c>
      <c r="AZ33" t="s">
        <v>444</v>
      </c>
      <c r="BA33" t="s">
        <v>451</v>
      </c>
      <c r="BB33">
        <v>1162756448.1600001</v>
      </c>
      <c r="BC33">
        <v>30</v>
      </c>
      <c r="BD33">
        <v>68</v>
      </c>
    </row>
    <row r="34" spans="1:56" x14ac:dyDescent="0.25">
      <c r="A34" t="s">
        <v>50</v>
      </c>
      <c r="B34" t="s">
        <v>109</v>
      </c>
      <c r="C34" t="s">
        <v>126</v>
      </c>
      <c r="D34">
        <v>785180327</v>
      </c>
      <c r="E34">
        <v>0.9</v>
      </c>
      <c r="F34">
        <v>1</v>
      </c>
      <c r="G34" t="s">
        <v>395</v>
      </c>
      <c r="H34">
        <v>1</v>
      </c>
      <c r="I34">
        <v>56.76</v>
      </c>
      <c r="J34">
        <v>57.84</v>
      </c>
      <c r="K34">
        <v>0.9</v>
      </c>
      <c r="L34">
        <v>57.84</v>
      </c>
      <c r="M34">
        <v>0.82</v>
      </c>
      <c r="N34">
        <v>56.73</v>
      </c>
      <c r="O34">
        <v>0.74</v>
      </c>
      <c r="P34" t="s">
        <v>426</v>
      </c>
      <c r="Q34" t="s">
        <v>426</v>
      </c>
      <c r="R34" t="s">
        <v>426</v>
      </c>
      <c r="S34" t="s">
        <v>426</v>
      </c>
      <c r="T34" t="s">
        <v>426</v>
      </c>
      <c r="U34" t="s">
        <v>426</v>
      </c>
      <c r="V34" t="s">
        <v>426</v>
      </c>
      <c r="W34" t="s">
        <v>426</v>
      </c>
      <c r="X34" t="s">
        <v>426</v>
      </c>
      <c r="Y34">
        <v>0</v>
      </c>
      <c r="Z34">
        <v>0</v>
      </c>
      <c r="AB34">
        <v>0</v>
      </c>
      <c r="AC34">
        <v>0</v>
      </c>
      <c r="AD34">
        <v>0.74</v>
      </c>
      <c r="AE34">
        <v>0</v>
      </c>
      <c r="AF34">
        <v>0</v>
      </c>
      <c r="AG34">
        <v>0</v>
      </c>
      <c r="AH34">
        <v>0</v>
      </c>
      <c r="AI34">
        <v>36</v>
      </c>
      <c r="AZ34" t="s">
        <v>444</v>
      </c>
      <c r="BA34" t="s">
        <v>451</v>
      </c>
      <c r="BB34">
        <v>40873347102.311996</v>
      </c>
      <c r="BC34">
        <v>33</v>
      </c>
      <c r="BD34">
        <v>13</v>
      </c>
    </row>
    <row r="35" spans="1:56" x14ac:dyDescent="0.25">
      <c r="A35" t="s">
        <v>66</v>
      </c>
      <c r="B35" t="s">
        <v>125</v>
      </c>
      <c r="C35" t="s">
        <v>126</v>
      </c>
      <c r="D35">
        <v>283571633</v>
      </c>
      <c r="E35">
        <v>0.75</v>
      </c>
      <c r="F35">
        <v>1</v>
      </c>
      <c r="G35" t="s">
        <v>423</v>
      </c>
      <c r="H35">
        <v>1</v>
      </c>
      <c r="I35">
        <v>2.6269999999999998</v>
      </c>
      <c r="J35">
        <v>3.1040000000000001</v>
      </c>
      <c r="K35">
        <v>0.75</v>
      </c>
      <c r="L35">
        <v>3.1040000000000001</v>
      </c>
      <c r="M35">
        <v>0.82</v>
      </c>
      <c r="N35">
        <v>57.39</v>
      </c>
      <c r="O35">
        <v>0.85</v>
      </c>
      <c r="P35" t="s">
        <v>426</v>
      </c>
      <c r="Q35" t="s">
        <v>426</v>
      </c>
      <c r="R35" t="s">
        <v>426</v>
      </c>
      <c r="S35" t="s">
        <v>426</v>
      </c>
      <c r="T35" t="s">
        <v>426</v>
      </c>
      <c r="U35" t="s">
        <v>426</v>
      </c>
      <c r="V35" t="s">
        <v>426</v>
      </c>
      <c r="W35" t="s">
        <v>426</v>
      </c>
      <c r="X35" t="s">
        <v>426</v>
      </c>
      <c r="Y35">
        <v>0</v>
      </c>
      <c r="Z35">
        <v>0</v>
      </c>
      <c r="AB35">
        <v>0</v>
      </c>
      <c r="AC35">
        <v>0</v>
      </c>
      <c r="AD35">
        <v>0.85</v>
      </c>
      <c r="AE35">
        <v>0</v>
      </c>
      <c r="AF35">
        <v>0</v>
      </c>
      <c r="AG35">
        <v>0</v>
      </c>
      <c r="AH35">
        <v>0</v>
      </c>
      <c r="AI35">
        <v>36</v>
      </c>
      <c r="AZ35" t="s">
        <v>444</v>
      </c>
      <c r="BA35" t="s">
        <v>451</v>
      </c>
      <c r="BB35">
        <v>660154761.62400007</v>
      </c>
      <c r="BC35">
        <v>33</v>
      </c>
      <c r="BD35">
        <v>83</v>
      </c>
    </row>
    <row r="36" spans="1:56" x14ac:dyDescent="0.25">
      <c r="A36" t="s">
        <v>17</v>
      </c>
      <c r="B36" t="s">
        <v>76</v>
      </c>
      <c r="C36" t="s">
        <v>126</v>
      </c>
      <c r="D36">
        <v>41621162</v>
      </c>
      <c r="E36">
        <v>0.4</v>
      </c>
      <c r="F36">
        <v>1</v>
      </c>
      <c r="G36" t="s">
        <v>322</v>
      </c>
      <c r="H36">
        <v>1</v>
      </c>
      <c r="I36">
        <v>53.5</v>
      </c>
      <c r="J36">
        <v>54.9</v>
      </c>
      <c r="K36">
        <v>0.4</v>
      </c>
      <c r="L36">
        <v>54.9</v>
      </c>
      <c r="M36">
        <v>0.85</v>
      </c>
      <c r="N36">
        <v>53.35</v>
      </c>
      <c r="O36">
        <v>0.89</v>
      </c>
      <c r="P36" t="s">
        <v>426</v>
      </c>
      <c r="Q36" t="s">
        <v>426</v>
      </c>
      <c r="R36" t="s">
        <v>426</v>
      </c>
      <c r="S36" t="s">
        <v>426</v>
      </c>
      <c r="T36" t="s">
        <v>426</v>
      </c>
      <c r="U36" t="s">
        <v>426</v>
      </c>
      <c r="V36" t="s">
        <v>426</v>
      </c>
      <c r="W36" t="s">
        <v>426</v>
      </c>
      <c r="X36" t="s">
        <v>426</v>
      </c>
      <c r="Y36">
        <v>0</v>
      </c>
      <c r="Z36">
        <v>0</v>
      </c>
      <c r="AB36">
        <v>0</v>
      </c>
      <c r="AC36">
        <v>0</v>
      </c>
      <c r="AD36">
        <v>0.89</v>
      </c>
      <c r="AE36">
        <v>0</v>
      </c>
      <c r="AF36">
        <v>0</v>
      </c>
      <c r="AG36">
        <v>0</v>
      </c>
      <c r="AH36">
        <v>0</v>
      </c>
      <c r="AI36">
        <v>38</v>
      </c>
      <c r="AZ36" t="s">
        <v>444</v>
      </c>
      <c r="BA36" t="s">
        <v>451</v>
      </c>
      <c r="BB36">
        <v>914000717.51999998</v>
      </c>
      <c r="BC36">
        <v>35</v>
      </c>
      <c r="BD36">
        <v>75</v>
      </c>
    </row>
    <row r="37" spans="1:56" x14ac:dyDescent="0.25">
      <c r="A37" t="s">
        <v>18</v>
      </c>
      <c r="B37" t="s">
        <v>77</v>
      </c>
      <c r="C37" t="s">
        <v>126</v>
      </c>
      <c r="D37">
        <v>118361220</v>
      </c>
      <c r="E37">
        <v>0.4</v>
      </c>
      <c r="F37">
        <v>1</v>
      </c>
      <c r="G37" t="s">
        <v>323</v>
      </c>
      <c r="H37">
        <v>1</v>
      </c>
      <c r="I37">
        <v>113.4</v>
      </c>
      <c r="J37">
        <v>127.4</v>
      </c>
      <c r="K37">
        <v>0.4</v>
      </c>
      <c r="L37">
        <v>127.4</v>
      </c>
      <c r="M37">
        <v>0.86</v>
      </c>
      <c r="N37">
        <v>63.2</v>
      </c>
      <c r="O37">
        <v>0.93</v>
      </c>
      <c r="P37" t="s">
        <v>426</v>
      </c>
      <c r="Q37" t="s">
        <v>426</v>
      </c>
      <c r="R37" t="s">
        <v>426</v>
      </c>
      <c r="S37" t="s">
        <v>426</v>
      </c>
      <c r="T37" t="s">
        <v>426</v>
      </c>
      <c r="U37" t="s">
        <v>426</v>
      </c>
      <c r="V37" t="s">
        <v>426</v>
      </c>
      <c r="W37" t="s">
        <v>426</v>
      </c>
      <c r="X37" t="s">
        <v>426</v>
      </c>
      <c r="Y37">
        <v>0</v>
      </c>
      <c r="Z37">
        <v>0</v>
      </c>
      <c r="AB37">
        <v>0</v>
      </c>
      <c r="AC37">
        <v>0</v>
      </c>
      <c r="AD37">
        <v>0.93</v>
      </c>
      <c r="AE37">
        <v>0</v>
      </c>
      <c r="AF37">
        <v>0</v>
      </c>
      <c r="AG37">
        <v>0</v>
      </c>
      <c r="AH37">
        <v>0</v>
      </c>
      <c r="AI37">
        <v>39</v>
      </c>
      <c r="AZ37" t="s">
        <v>444</v>
      </c>
      <c r="BA37" t="s">
        <v>451</v>
      </c>
      <c r="BB37">
        <v>6031687771.2000008</v>
      </c>
      <c r="BC37">
        <v>36</v>
      </c>
      <c r="BD37">
        <v>35</v>
      </c>
    </row>
    <row r="38" spans="1:56" x14ac:dyDescent="0.25">
      <c r="A38" t="s">
        <v>11</v>
      </c>
      <c r="B38" t="s">
        <v>70</v>
      </c>
      <c r="C38" t="s">
        <v>126</v>
      </c>
      <c r="D38">
        <v>35266866</v>
      </c>
      <c r="E38">
        <v>0.85000000000000009</v>
      </c>
      <c r="F38">
        <v>1</v>
      </c>
      <c r="G38" t="s">
        <v>313</v>
      </c>
      <c r="H38">
        <v>1</v>
      </c>
      <c r="I38">
        <v>65.45</v>
      </c>
      <c r="J38">
        <v>69.400000000000006</v>
      </c>
      <c r="K38">
        <v>0.85000000000000009</v>
      </c>
      <c r="L38">
        <v>69.400000000000006</v>
      </c>
      <c r="M38">
        <v>0.94</v>
      </c>
      <c r="N38">
        <v>57.71</v>
      </c>
      <c r="O38">
        <v>0.79</v>
      </c>
      <c r="P38" t="s">
        <v>426</v>
      </c>
      <c r="Q38" t="s">
        <v>426</v>
      </c>
      <c r="R38" t="s">
        <v>426</v>
      </c>
      <c r="S38" t="s">
        <v>426</v>
      </c>
      <c r="T38" t="s">
        <v>426</v>
      </c>
      <c r="U38" t="s">
        <v>426</v>
      </c>
      <c r="V38" t="s">
        <v>426</v>
      </c>
      <c r="W38" t="s">
        <v>426</v>
      </c>
      <c r="X38" t="s">
        <v>426</v>
      </c>
      <c r="Y38">
        <v>0</v>
      </c>
      <c r="Z38">
        <v>0</v>
      </c>
      <c r="AB38">
        <v>0</v>
      </c>
      <c r="AC38">
        <v>0</v>
      </c>
      <c r="AD38">
        <v>0.79</v>
      </c>
      <c r="AE38">
        <v>0</v>
      </c>
      <c r="AF38">
        <v>0</v>
      </c>
      <c r="AG38">
        <v>0</v>
      </c>
      <c r="AH38">
        <v>0</v>
      </c>
      <c r="AI38">
        <v>41</v>
      </c>
      <c r="AZ38" t="s">
        <v>444</v>
      </c>
      <c r="BA38" t="s">
        <v>451</v>
      </c>
      <c r="BB38">
        <v>2080392425.3399999</v>
      </c>
      <c r="BC38">
        <v>37</v>
      </c>
      <c r="BD38">
        <v>58</v>
      </c>
    </row>
    <row r="39" spans="1:56" x14ac:dyDescent="0.25">
      <c r="A39" t="s">
        <v>23</v>
      </c>
      <c r="B39" t="s">
        <v>82</v>
      </c>
      <c r="C39" t="s">
        <v>126</v>
      </c>
      <c r="D39">
        <v>681394483</v>
      </c>
      <c r="E39">
        <v>0.95000000000000007</v>
      </c>
      <c r="F39">
        <v>1</v>
      </c>
      <c r="G39" t="s">
        <v>335</v>
      </c>
      <c r="H39">
        <v>1</v>
      </c>
      <c r="I39">
        <v>74.28</v>
      </c>
      <c r="J39">
        <v>73.239999999999995</v>
      </c>
      <c r="K39">
        <v>0.95000000000000007</v>
      </c>
      <c r="L39">
        <v>73.239999999999995</v>
      </c>
      <c r="M39">
        <v>0.97</v>
      </c>
      <c r="N39">
        <v>65.34</v>
      </c>
      <c r="O39">
        <v>0.96</v>
      </c>
      <c r="P39" t="s">
        <v>426</v>
      </c>
      <c r="Q39" t="s">
        <v>426</v>
      </c>
      <c r="R39" t="s">
        <v>426</v>
      </c>
      <c r="S39" t="s">
        <v>426</v>
      </c>
      <c r="T39" t="s">
        <v>426</v>
      </c>
      <c r="U39" t="s">
        <v>426</v>
      </c>
      <c r="V39" t="s">
        <v>426</v>
      </c>
      <c r="W39" t="s">
        <v>426</v>
      </c>
      <c r="X39" t="s">
        <v>426</v>
      </c>
      <c r="Y39">
        <v>0</v>
      </c>
      <c r="Z39">
        <v>0</v>
      </c>
      <c r="AB39">
        <v>0</v>
      </c>
      <c r="AC39">
        <v>0</v>
      </c>
      <c r="AD39">
        <v>0.96</v>
      </c>
      <c r="AE39">
        <v>0</v>
      </c>
      <c r="AF39">
        <v>0</v>
      </c>
      <c r="AG39">
        <v>0</v>
      </c>
      <c r="AH39">
        <v>0</v>
      </c>
      <c r="AI39">
        <v>42</v>
      </c>
      <c r="AZ39" t="s">
        <v>444</v>
      </c>
      <c r="BA39" t="s">
        <v>451</v>
      </c>
      <c r="BB39">
        <v>47410065338.174004</v>
      </c>
      <c r="BC39">
        <v>38</v>
      </c>
      <c r="BD39">
        <v>11</v>
      </c>
    </row>
    <row r="40" spans="1:56" x14ac:dyDescent="0.25">
      <c r="A40" t="s">
        <v>38</v>
      </c>
      <c r="B40" t="s">
        <v>97</v>
      </c>
      <c r="C40" t="s">
        <v>126</v>
      </c>
      <c r="D40">
        <v>254311860</v>
      </c>
      <c r="E40">
        <v>0.95000000000000007</v>
      </c>
      <c r="F40">
        <v>1</v>
      </c>
      <c r="G40" t="s">
        <v>381</v>
      </c>
      <c r="H40">
        <v>1</v>
      </c>
      <c r="I40">
        <v>82.76</v>
      </c>
      <c r="J40">
        <v>80.739999999999995</v>
      </c>
      <c r="K40">
        <v>0.95000000000000007</v>
      </c>
      <c r="L40">
        <v>80.739999999999995</v>
      </c>
      <c r="M40">
        <v>0.97</v>
      </c>
      <c r="N40">
        <v>63.51</v>
      </c>
      <c r="O40">
        <v>0.95</v>
      </c>
      <c r="P40" t="s">
        <v>426</v>
      </c>
      <c r="Q40" t="s">
        <v>426</v>
      </c>
      <c r="R40" t="s">
        <v>426</v>
      </c>
      <c r="S40" t="s">
        <v>426</v>
      </c>
      <c r="T40" t="s">
        <v>426</v>
      </c>
      <c r="U40" t="s">
        <v>426</v>
      </c>
      <c r="V40" t="s">
        <v>426</v>
      </c>
      <c r="W40" t="s">
        <v>426</v>
      </c>
      <c r="X40" t="s">
        <v>426</v>
      </c>
      <c r="Y40">
        <v>0</v>
      </c>
      <c r="Z40">
        <v>0</v>
      </c>
      <c r="AB40">
        <v>0</v>
      </c>
      <c r="AC40">
        <v>0</v>
      </c>
      <c r="AD40">
        <v>0.95</v>
      </c>
      <c r="AE40">
        <v>0</v>
      </c>
      <c r="AF40">
        <v>0</v>
      </c>
      <c r="AG40">
        <v>0</v>
      </c>
      <c r="AH40">
        <v>0</v>
      </c>
      <c r="AI40">
        <v>42</v>
      </c>
      <c r="AZ40" t="s">
        <v>444</v>
      </c>
      <c r="BA40" t="s">
        <v>451</v>
      </c>
      <c r="BB40">
        <v>19506482597.580002</v>
      </c>
      <c r="BC40">
        <v>38</v>
      </c>
      <c r="BD40">
        <v>18</v>
      </c>
    </row>
    <row r="41" spans="1:56" x14ac:dyDescent="0.25">
      <c r="A41" t="s">
        <v>27</v>
      </c>
      <c r="B41" t="s">
        <v>86</v>
      </c>
      <c r="C41" t="s">
        <v>126</v>
      </c>
      <c r="D41">
        <v>37117772</v>
      </c>
      <c r="E41">
        <v>1</v>
      </c>
      <c r="F41">
        <v>1</v>
      </c>
      <c r="G41" t="s">
        <v>356</v>
      </c>
      <c r="H41">
        <v>1</v>
      </c>
      <c r="I41">
        <v>156.9</v>
      </c>
      <c r="J41">
        <v>158.5</v>
      </c>
      <c r="K41">
        <v>1</v>
      </c>
      <c r="L41">
        <v>158.5</v>
      </c>
      <c r="M41">
        <v>1.01</v>
      </c>
      <c r="N41">
        <v>51.6</v>
      </c>
      <c r="O41">
        <v>0.93</v>
      </c>
      <c r="P41" t="s">
        <v>426</v>
      </c>
      <c r="Q41" t="s">
        <v>426</v>
      </c>
      <c r="R41" t="s">
        <v>426</v>
      </c>
      <c r="S41" t="s">
        <v>426</v>
      </c>
      <c r="T41" t="s">
        <v>426</v>
      </c>
      <c r="U41" t="s">
        <v>426</v>
      </c>
      <c r="V41" t="s">
        <v>426</v>
      </c>
      <c r="W41" t="s">
        <v>426</v>
      </c>
      <c r="X41" t="s">
        <v>426</v>
      </c>
      <c r="Y41">
        <v>0</v>
      </c>
      <c r="Z41">
        <v>0</v>
      </c>
      <c r="AB41">
        <v>0</v>
      </c>
      <c r="AC41">
        <v>0</v>
      </c>
      <c r="AD41">
        <v>0.93</v>
      </c>
      <c r="AE41">
        <v>0</v>
      </c>
      <c r="AF41">
        <v>0</v>
      </c>
      <c r="AG41">
        <v>0</v>
      </c>
      <c r="AH41">
        <v>0</v>
      </c>
      <c r="AI41">
        <v>45</v>
      </c>
      <c r="AZ41" t="s">
        <v>444</v>
      </c>
      <c r="BA41" t="s">
        <v>451</v>
      </c>
      <c r="BB41">
        <v>5883166862</v>
      </c>
      <c r="BC41">
        <v>40</v>
      </c>
      <c r="BD41">
        <v>36</v>
      </c>
    </row>
    <row r="42" spans="1:56" x14ac:dyDescent="0.25">
      <c r="A42" t="s">
        <v>55</v>
      </c>
      <c r="B42" t="s">
        <v>114</v>
      </c>
      <c r="C42" t="s">
        <v>126</v>
      </c>
      <c r="D42">
        <v>168073514</v>
      </c>
      <c r="E42">
        <v>0.9</v>
      </c>
      <c r="F42">
        <v>1</v>
      </c>
      <c r="G42" t="s">
        <v>400</v>
      </c>
      <c r="H42">
        <v>1</v>
      </c>
      <c r="I42">
        <v>47.64</v>
      </c>
      <c r="J42">
        <v>52.1</v>
      </c>
      <c r="K42">
        <v>0.9</v>
      </c>
      <c r="L42">
        <v>52.1</v>
      </c>
      <c r="M42">
        <v>1.02</v>
      </c>
      <c r="N42">
        <v>47.37</v>
      </c>
      <c r="O42">
        <v>0.89</v>
      </c>
      <c r="P42" t="s">
        <v>426</v>
      </c>
      <c r="Q42" t="s">
        <v>426</v>
      </c>
      <c r="R42" t="s">
        <v>426</v>
      </c>
      <c r="S42" t="s">
        <v>426</v>
      </c>
      <c r="T42" t="s">
        <v>426</v>
      </c>
      <c r="U42" t="s">
        <v>426</v>
      </c>
      <c r="V42" t="s">
        <v>426</v>
      </c>
      <c r="W42" t="s">
        <v>426</v>
      </c>
      <c r="X42" t="s">
        <v>426</v>
      </c>
      <c r="Y42">
        <v>0</v>
      </c>
      <c r="Z42">
        <v>0</v>
      </c>
      <c r="AB42">
        <v>0</v>
      </c>
      <c r="AC42">
        <v>0</v>
      </c>
      <c r="AD42">
        <v>0.89</v>
      </c>
      <c r="AE42">
        <v>0</v>
      </c>
      <c r="AF42">
        <v>0</v>
      </c>
      <c r="AG42">
        <v>0</v>
      </c>
      <c r="AH42">
        <v>0</v>
      </c>
      <c r="AI42">
        <v>46</v>
      </c>
      <c r="AZ42" t="s">
        <v>444</v>
      </c>
      <c r="BA42" t="s">
        <v>451</v>
      </c>
      <c r="BB42">
        <v>7880967071.46</v>
      </c>
      <c r="BC42">
        <v>41</v>
      </c>
      <c r="BD42">
        <v>30</v>
      </c>
    </row>
    <row r="43" spans="1:56" x14ac:dyDescent="0.25">
      <c r="A43" t="s">
        <v>30</v>
      </c>
      <c r="B43" t="s">
        <v>89</v>
      </c>
      <c r="C43" t="s">
        <v>126</v>
      </c>
      <c r="D43">
        <v>83814526</v>
      </c>
      <c r="E43">
        <v>0.4</v>
      </c>
      <c r="F43">
        <v>1</v>
      </c>
      <c r="G43" t="s">
        <v>362</v>
      </c>
      <c r="H43">
        <v>1</v>
      </c>
      <c r="I43">
        <v>116.8</v>
      </c>
      <c r="J43">
        <v>116.7</v>
      </c>
      <c r="K43">
        <v>0.4</v>
      </c>
      <c r="L43">
        <v>116.7</v>
      </c>
      <c r="M43">
        <v>1.02</v>
      </c>
      <c r="N43">
        <v>58.02</v>
      </c>
      <c r="O43">
        <v>0.96</v>
      </c>
      <c r="P43" t="s">
        <v>426</v>
      </c>
      <c r="Q43" t="s">
        <v>426</v>
      </c>
      <c r="R43" t="s">
        <v>426</v>
      </c>
      <c r="S43" t="s">
        <v>426</v>
      </c>
      <c r="T43" t="s">
        <v>426</v>
      </c>
      <c r="U43" t="s">
        <v>426</v>
      </c>
      <c r="V43" t="s">
        <v>426</v>
      </c>
      <c r="W43" t="s">
        <v>426</v>
      </c>
      <c r="X43" t="s">
        <v>426</v>
      </c>
      <c r="Y43">
        <v>0</v>
      </c>
      <c r="Z43">
        <v>0</v>
      </c>
      <c r="AB43">
        <v>0</v>
      </c>
      <c r="AC43">
        <v>0</v>
      </c>
      <c r="AD43">
        <v>0.96</v>
      </c>
      <c r="AE43">
        <v>0</v>
      </c>
      <c r="AF43">
        <v>0</v>
      </c>
      <c r="AG43">
        <v>0</v>
      </c>
      <c r="AH43">
        <v>0</v>
      </c>
      <c r="AI43">
        <v>46</v>
      </c>
      <c r="AZ43" t="s">
        <v>444</v>
      </c>
      <c r="BA43" t="s">
        <v>451</v>
      </c>
      <c r="BB43">
        <v>3912462073.6800008</v>
      </c>
      <c r="BC43">
        <v>41</v>
      </c>
      <c r="BD43">
        <v>47</v>
      </c>
    </row>
    <row r="44" spans="1:56" x14ac:dyDescent="0.25">
      <c r="A44" t="s">
        <v>47</v>
      </c>
      <c r="B44" t="s">
        <v>106</v>
      </c>
      <c r="C44" t="s">
        <v>126</v>
      </c>
      <c r="D44">
        <v>97330405</v>
      </c>
      <c r="E44">
        <v>0.3</v>
      </c>
      <c r="F44">
        <v>1</v>
      </c>
      <c r="G44" t="s">
        <v>391</v>
      </c>
      <c r="H44">
        <v>1</v>
      </c>
      <c r="I44">
        <v>175.3</v>
      </c>
      <c r="J44">
        <v>177.85</v>
      </c>
      <c r="K44">
        <v>0.3</v>
      </c>
      <c r="L44">
        <v>177.85</v>
      </c>
      <c r="M44">
        <v>1.04</v>
      </c>
      <c r="N44">
        <v>55.88</v>
      </c>
      <c r="O44">
        <v>0.92</v>
      </c>
      <c r="P44" t="s">
        <v>426</v>
      </c>
      <c r="Q44" t="s">
        <v>426</v>
      </c>
      <c r="R44" t="s">
        <v>426</v>
      </c>
      <c r="S44" t="s">
        <v>426</v>
      </c>
      <c r="T44" t="s">
        <v>426</v>
      </c>
      <c r="U44" t="s">
        <v>426</v>
      </c>
      <c r="V44" t="s">
        <v>426</v>
      </c>
      <c r="W44" t="s">
        <v>426</v>
      </c>
      <c r="X44" t="s">
        <v>426</v>
      </c>
      <c r="Y44">
        <v>0</v>
      </c>
      <c r="Z44">
        <v>0</v>
      </c>
      <c r="AB44">
        <v>0</v>
      </c>
      <c r="AC44">
        <v>0</v>
      </c>
      <c r="AD44">
        <v>0.92</v>
      </c>
      <c r="AE44">
        <v>0</v>
      </c>
      <c r="AF44">
        <v>0</v>
      </c>
      <c r="AG44">
        <v>0</v>
      </c>
      <c r="AH44">
        <v>0</v>
      </c>
      <c r="AI44">
        <v>48</v>
      </c>
      <c r="AZ44" t="s">
        <v>444</v>
      </c>
      <c r="BA44" t="s">
        <v>451</v>
      </c>
      <c r="BB44">
        <v>5193063758.7750006</v>
      </c>
      <c r="BC44">
        <v>43</v>
      </c>
      <c r="BD44">
        <v>38</v>
      </c>
    </row>
    <row r="45" spans="1:56" x14ac:dyDescent="0.25">
      <c r="A45" t="s">
        <v>29</v>
      </c>
      <c r="B45" t="s">
        <v>88</v>
      </c>
      <c r="C45" t="s">
        <v>126</v>
      </c>
      <c r="D45">
        <v>83727849</v>
      </c>
      <c r="E45">
        <v>0.3</v>
      </c>
      <c r="F45">
        <v>1</v>
      </c>
      <c r="G45" t="s">
        <v>361</v>
      </c>
      <c r="H45">
        <v>1</v>
      </c>
      <c r="I45">
        <v>29.02</v>
      </c>
      <c r="J45">
        <v>32.74</v>
      </c>
      <c r="K45">
        <v>0.3</v>
      </c>
      <c r="L45">
        <v>32.74</v>
      </c>
      <c r="M45">
        <v>1.07</v>
      </c>
      <c r="N45">
        <v>43.76</v>
      </c>
      <c r="O45" t="s">
        <v>424</v>
      </c>
      <c r="P45" t="s">
        <v>426</v>
      </c>
      <c r="Q45" t="s">
        <v>426</v>
      </c>
      <c r="R45" t="s">
        <v>426</v>
      </c>
      <c r="S45" t="s">
        <v>426</v>
      </c>
      <c r="T45" t="s">
        <v>426</v>
      </c>
      <c r="U45" t="s">
        <v>426</v>
      </c>
      <c r="V45" t="s">
        <v>426</v>
      </c>
      <c r="W45" t="s">
        <v>426</v>
      </c>
      <c r="X45" t="s">
        <v>426</v>
      </c>
      <c r="Y45">
        <v>0</v>
      </c>
      <c r="Z45">
        <v>0</v>
      </c>
      <c r="AB45">
        <v>0</v>
      </c>
      <c r="AC45">
        <v>0</v>
      </c>
      <c r="AE45">
        <v>0</v>
      </c>
      <c r="AF45">
        <v>0</v>
      </c>
      <c r="AG45">
        <v>0</v>
      </c>
      <c r="AH45">
        <v>0</v>
      </c>
      <c r="AI45">
        <v>49</v>
      </c>
      <c r="AZ45" t="s">
        <v>444</v>
      </c>
      <c r="BA45" t="s">
        <v>451</v>
      </c>
      <c r="BB45">
        <v>822374932.87800026</v>
      </c>
      <c r="BC45">
        <v>44</v>
      </c>
      <c r="BD45">
        <v>77</v>
      </c>
    </row>
    <row r="46" spans="1:56" x14ac:dyDescent="0.25">
      <c r="A46" t="s">
        <v>10</v>
      </c>
      <c r="B46" t="s">
        <v>69</v>
      </c>
      <c r="C46" t="s">
        <v>126</v>
      </c>
      <c r="D46">
        <v>792283683</v>
      </c>
      <c r="E46">
        <v>0.75</v>
      </c>
      <c r="F46">
        <v>1</v>
      </c>
      <c r="G46" t="s">
        <v>311</v>
      </c>
      <c r="H46">
        <v>1</v>
      </c>
      <c r="I46">
        <v>192.92</v>
      </c>
      <c r="J46">
        <v>180.72</v>
      </c>
      <c r="K46">
        <v>0.75</v>
      </c>
      <c r="L46">
        <v>180.72</v>
      </c>
      <c r="M46">
        <v>1.1000000000000001</v>
      </c>
      <c r="N46">
        <v>52.61</v>
      </c>
      <c r="O46">
        <v>0.96</v>
      </c>
      <c r="P46" t="s">
        <v>426</v>
      </c>
      <c r="Q46" t="s">
        <v>426</v>
      </c>
      <c r="R46" t="s">
        <v>426</v>
      </c>
      <c r="S46" t="s">
        <v>426</v>
      </c>
      <c r="T46" t="s">
        <v>426</v>
      </c>
      <c r="U46" t="s">
        <v>426</v>
      </c>
      <c r="V46" t="s">
        <v>426</v>
      </c>
      <c r="W46" t="s">
        <v>426</v>
      </c>
      <c r="X46" t="s">
        <v>426</v>
      </c>
      <c r="Y46">
        <v>0</v>
      </c>
      <c r="Z46">
        <v>0</v>
      </c>
      <c r="AB46">
        <v>0</v>
      </c>
      <c r="AC46">
        <v>0</v>
      </c>
      <c r="AD46">
        <v>0.96</v>
      </c>
      <c r="AE46">
        <v>0</v>
      </c>
      <c r="AF46">
        <v>0</v>
      </c>
      <c r="AG46">
        <v>0</v>
      </c>
      <c r="AH46">
        <v>0</v>
      </c>
      <c r="AI46">
        <v>50</v>
      </c>
      <c r="AZ46" t="s">
        <v>444</v>
      </c>
      <c r="BA46" t="s">
        <v>451</v>
      </c>
      <c r="BB46">
        <v>107386130393.82001</v>
      </c>
      <c r="BC46">
        <v>45</v>
      </c>
      <c r="BD46">
        <v>2</v>
      </c>
    </row>
    <row r="47" spans="1:56" x14ac:dyDescent="0.25">
      <c r="A47" t="s">
        <v>40</v>
      </c>
      <c r="B47" t="s">
        <v>99</v>
      </c>
      <c r="C47" t="s">
        <v>126</v>
      </c>
      <c r="D47">
        <v>295722284</v>
      </c>
      <c r="E47">
        <v>0.65</v>
      </c>
      <c r="F47">
        <v>1</v>
      </c>
      <c r="G47" t="s">
        <v>383</v>
      </c>
      <c r="H47">
        <v>1</v>
      </c>
      <c r="I47">
        <v>34.97</v>
      </c>
      <c r="J47">
        <v>33.56</v>
      </c>
      <c r="K47">
        <v>0.65</v>
      </c>
      <c r="L47">
        <v>33.56</v>
      </c>
      <c r="M47">
        <v>1.1000000000000001</v>
      </c>
      <c r="N47">
        <v>55.29</v>
      </c>
      <c r="O47">
        <v>0.99</v>
      </c>
      <c r="P47" t="s">
        <v>427</v>
      </c>
      <c r="Q47" t="s">
        <v>426</v>
      </c>
      <c r="R47" t="s">
        <v>426</v>
      </c>
      <c r="S47" t="s">
        <v>426</v>
      </c>
      <c r="T47" t="s">
        <v>426</v>
      </c>
      <c r="U47" t="s">
        <v>426</v>
      </c>
      <c r="V47" t="s">
        <v>426</v>
      </c>
      <c r="W47" t="s">
        <v>426</v>
      </c>
      <c r="X47" t="s">
        <v>426</v>
      </c>
      <c r="Y47">
        <v>0</v>
      </c>
      <c r="Z47">
        <v>0</v>
      </c>
      <c r="AB47">
        <v>0</v>
      </c>
      <c r="AC47">
        <v>0</v>
      </c>
      <c r="AD47">
        <v>0.99</v>
      </c>
      <c r="AE47">
        <v>0</v>
      </c>
      <c r="AF47">
        <v>0</v>
      </c>
      <c r="AG47">
        <v>0</v>
      </c>
      <c r="AH47">
        <v>0</v>
      </c>
      <c r="AI47">
        <v>50</v>
      </c>
      <c r="AZ47" t="s">
        <v>444</v>
      </c>
      <c r="BA47" t="s">
        <v>451</v>
      </c>
      <c r="BB47">
        <v>6450885903.1760006</v>
      </c>
      <c r="BC47">
        <v>45</v>
      </c>
      <c r="BD47">
        <v>32</v>
      </c>
    </row>
    <row r="48" spans="1:56" x14ac:dyDescent="0.25">
      <c r="A48" t="s">
        <v>20</v>
      </c>
      <c r="B48" t="s">
        <v>79</v>
      </c>
      <c r="C48" t="s">
        <v>126</v>
      </c>
      <c r="D48">
        <v>171347471</v>
      </c>
      <c r="E48">
        <v>0.85000000000000009</v>
      </c>
      <c r="F48">
        <v>1</v>
      </c>
      <c r="G48" t="s">
        <v>328</v>
      </c>
      <c r="H48">
        <v>1</v>
      </c>
      <c r="I48">
        <v>123.05</v>
      </c>
      <c r="J48">
        <v>126.6</v>
      </c>
      <c r="K48">
        <v>0.85000000000000009</v>
      </c>
      <c r="L48">
        <v>126.6</v>
      </c>
      <c r="M48">
        <v>1.1100000000000001</v>
      </c>
      <c r="N48">
        <v>71.39</v>
      </c>
      <c r="O48">
        <v>0.89</v>
      </c>
      <c r="P48" t="s">
        <v>426</v>
      </c>
      <c r="Q48" t="s">
        <v>426</v>
      </c>
      <c r="R48" t="s">
        <v>426</v>
      </c>
      <c r="S48" t="s">
        <v>426</v>
      </c>
      <c r="T48" t="s">
        <v>426</v>
      </c>
      <c r="U48" t="s">
        <v>426</v>
      </c>
      <c r="V48" t="s">
        <v>426</v>
      </c>
      <c r="W48" t="s">
        <v>426</v>
      </c>
      <c r="X48" t="s">
        <v>426</v>
      </c>
      <c r="Y48">
        <v>0</v>
      </c>
      <c r="Z48">
        <v>0</v>
      </c>
      <c r="AB48">
        <v>0</v>
      </c>
      <c r="AC48">
        <v>0</v>
      </c>
      <c r="AD48">
        <v>0.89</v>
      </c>
      <c r="AE48">
        <v>0</v>
      </c>
      <c r="AF48">
        <v>0</v>
      </c>
      <c r="AG48">
        <v>0</v>
      </c>
      <c r="AH48">
        <v>0</v>
      </c>
      <c r="AI48">
        <v>52</v>
      </c>
      <c r="AZ48" t="s">
        <v>444</v>
      </c>
      <c r="BA48" t="s">
        <v>451</v>
      </c>
      <c r="BB48">
        <v>18438701354.310001</v>
      </c>
      <c r="BC48">
        <v>47</v>
      </c>
      <c r="BD48">
        <v>19</v>
      </c>
    </row>
    <row r="49" spans="1:56" x14ac:dyDescent="0.25">
      <c r="A49" t="s">
        <v>8</v>
      </c>
      <c r="B49" t="s">
        <v>67</v>
      </c>
      <c r="C49" t="s">
        <v>126</v>
      </c>
      <c r="D49">
        <v>98960602</v>
      </c>
      <c r="E49">
        <v>0.3</v>
      </c>
      <c r="F49">
        <v>1</v>
      </c>
      <c r="G49" t="s">
        <v>308</v>
      </c>
      <c r="H49">
        <v>1</v>
      </c>
      <c r="I49">
        <v>113.2</v>
      </c>
      <c r="J49">
        <v>123.4</v>
      </c>
      <c r="K49">
        <v>0.3</v>
      </c>
      <c r="L49">
        <v>123.4</v>
      </c>
      <c r="M49">
        <v>1.21</v>
      </c>
      <c r="N49">
        <v>50.84</v>
      </c>
      <c r="O49">
        <v>0.88</v>
      </c>
      <c r="P49" t="s">
        <v>426</v>
      </c>
      <c r="Q49" t="s">
        <v>426</v>
      </c>
      <c r="R49" t="s">
        <v>426</v>
      </c>
      <c r="S49" t="s">
        <v>426</v>
      </c>
      <c r="T49" t="s">
        <v>426</v>
      </c>
      <c r="U49" t="s">
        <v>426</v>
      </c>
      <c r="V49" t="s">
        <v>426</v>
      </c>
      <c r="W49" t="s">
        <v>426</v>
      </c>
      <c r="X49" t="s">
        <v>426</v>
      </c>
      <c r="Y49">
        <v>0</v>
      </c>
      <c r="Z49">
        <v>0</v>
      </c>
      <c r="AB49">
        <v>0</v>
      </c>
      <c r="AC49">
        <v>0</v>
      </c>
      <c r="AD49">
        <v>0.88</v>
      </c>
      <c r="AE49">
        <v>0</v>
      </c>
      <c r="AF49">
        <v>0</v>
      </c>
      <c r="AG49">
        <v>0</v>
      </c>
      <c r="AH49">
        <v>0</v>
      </c>
      <c r="AI49">
        <v>53</v>
      </c>
      <c r="AZ49" t="s">
        <v>444</v>
      </c>
      <c r="BA49" t="s">
        <v>451</v>
      </c>
      <c r="BB49">
        <v>3663521486.0400009</v>
      </c>
      <c r="BC49">
        <v>48</v>
      </c>
      <c r="BD49">
        <v>48</v>
      </c>
    </row>
    <row r="50" spans="1:56" x14ac:dyDescent="0.25">
      <c r="A50" t="s">
        <v>48</v>
      </c>
      <c r="B50" t="s">
        <v>107</v>
      </c>
      <c r="C50" t="s">
        <v>126</v>
      </c>
      <c r="D50">
        <v>577122512</v>
      </c>
      <c r="E50">
        <v>1</v>
      </c>
      <c r="F50">
        <v>1</v>
      </c>
      <c r="G50" t="s">
        <v>392</v>
      </c>
      <c r="H50">
        <v>1</v>
      </c>
      <c r="I50">
        <v>228.9</v>
      </c>
      <c r="J50">
        <v>215.4</v>
      </c>
      <c r="K50">
        <v>1</v>
      </c>
      <c r="L50">
        <v>215.4</v>
      </c>
      <c r="M50">
        <v>1.22</v>
      </c>
      <c r="N50">
        <v>65.400000000000006</v>
      </c>
      <c r="O50">
        <v>0.99</v>
      </c>
      <c r="P50" t="s">
        <v>426</v>
      </c>
      <c r="Q50" t="s">
        <v>426</v>
      </c>
      <c r="R50" t="s">
        <v>426</v>
      </c>
      <c r="S50" t="s">
        <v>426</v>
      </c>
      <c r="T50" t="s">
        <v>426</v>
      </c>
      <c r="U50" t="s">
        <v>426</v>
      </c>
      <c r="V50" t="s">
        <v>426</v>
      </c>
      <c r="W50" t="s">
        <v>426</v>
      </c>
      <c r="X50" t="s">
        <v>426</v>
      </c>
      <c r="Y50">
        <v>0</v>
      </c>
      <c r="Z50">
        <v>0</v>
      </c>
      <c r="AB50">
        <v>0</v>
      </c>
      <c r="AC50">
        <v>0</v>
      </c>
      <c r="AD50">
        <v>0.99</v>
      </c>
      <c r="AE50">
        <v>0</v>
      </c>
      <c r="AF50">
        <v>0</v>
      </c>
      <c r="AG50">
        <v>0</v>
      </c>
      <c r="AH50">
        <v>0</v>
      </c>
      <c r="AI50">
        <v>54</v>
      </c>
      <c r="AZ50" t="s">
        <v>444</v>
      </c>
      <c r="BA50" t="s">
        <v>451</v>
      </c>
      <c r="BB50">
        <v>124312189084.8</v>
      </c>
      <c r="BC50">
        <v>49</v>
      </c>
      <c r="BD50">
        <v>1</v>
      </c>
    </row>
    <row r="51" spans="1:56" x14ac:dyDescent="0.25">
      <c r="A51" t="s">
        <v>28</v>
      </c>
      <c r="B51" t="s">
        <v>87</v>
      </c>
      <c r="C51" t="s">
        <v>126</v>
      </c>
      <c r="D51">
        <v>76234545</v>
      </c>
      <c r="E51">
        <v>0.4</v>
      </c>
      <c r="F51">
        <v>1</v>
      </c>
      <c r="G51" t="s">
        <v>358</v>
      </c>
      <c r="H51">
        <v>1</v>
      </c>
      <c r="I51">
        <v>21.02</v>
      </c>
      <c r="J51">
        <v>22.56</v>
      </c>
      <c r="K51">
        <v>0.4</v>
      </c>
      <c r="L51">
        <v>22.56</v>
      </c>
      <c r="M51">
        <v>1.23</v>
      </c>
      <c r="N51">
        <v>63.24</v>
      </c>
      <c r="AI51">
        <v>55</v>
      </c>
      <c r="AZ51" t="s">
        <v>444</v>
      </c>
      <c r="BA51" t="s">
        <v>451</v>
      </c>
      <c r="BB51">
        <v>687940534.07999992</v>
      </c>
      <c r="BC51">
        <v>50</v>
      </c>
      <c r="BD51">
        <v>81</v>
      </c>
    </row>
    <row r="52" spans="1:56" x14ac:dyDescent="0.25">
      <c r="A52" t="s">
        <v>53</v>
      </c>
      <c r="B52" t="s">
        <v>112</v>
      </c>
      <c r="C52" t="s">
        <v>128</v>
      </c>
      <c r="D52">
        <v>105876416</v>
      </c>
      <c r="E52">
        <v>0.65</v>
      </c>
      <c r="F52">
        <v>1</v>
      </c>
      <c r="G52" t="s">
        <v>398</v>
      </c>
      <c r="H52">
        <v>1</v>
      </c>
      <c r="I52">
        <v>27.46</v>
      </c>
      <c r="J52">
        <v>28.98</v>
      </c>
      <c r="K52">
        <v>0.65</v>
      </c>
      <c r="L52">
        <v>28.98</v>
      </c>
      <c r="M52">
        <v>1.28</v>
      </c>
      <c r="N52">
        <v>54.73</v>
      </c>
      <c r="O52">
        <v>0.97</v>
      </c>
      <c r="P52" t="s">
        <v>426</v>
      </c>
      <c r="Q52" t="s">
        <v>426</v>
      </c>
      <c r="R52" t="s">
        <v>426</v>
      </c>
      <c r="S52" t="s">
        <v>426</v>
      </c>
      <c r="T52" t="s">
        <v>426</v>
      </c>
      <c r="U52" t="s">
        <v>426</v>
      </c>
      <c r="V52" t="s">
        <v>426</v>
      </c>
      <c r="W52" t="s">
        <v>426</v>
      </c>
      <c r="X52" t="s">
        <v>426</v>
      </c>
      <c r="Y52">
        <v>0</v>
      </c>
      <c r="Z52">
        <v>9.5999999999999992E-3</v>
      </c>
      <c r="AA52" t="s">
        <v>429</v>
      </c>
      <c r="AB52">
        <v>0</v>
      </c>
      <c r="AC52">
        <v>0</v>
      </c>
      <c r="AD52">
        <v>0.97</v>
      </c>
      <c r="AE52">
        <v>0</v>
      </c>
      <c r="AF52">
        <v>9.5999999999999992E-3</v>
      </c>
      <c r="AG52">
        <v>0</v>
      </c>
      <c r="AH52">
        <v>0</v>
      </c>
      <c r="AI52">
        <v>56</v>
      </c>
      <c r="AZ52" t="s">
        <v>444</v>
      </c>
      <c r="BA52" t="s">
        <v>451</v>
      </c>
      <c r="BB52">
        <v>1994394048.1919999</v>
      </c>
      <c r="BC52">
        <v>51</v>
      </c>
      <c r="BD52">
        <v>60</v>
      </c>
    </row>
    <row r="53" spans="1:56" x14ac:dyDescent="0.25">
      <c r="A53" t="s">
        <v>59</v>
      </c>
      <c r="B53" t="s">
        <v>118</v>
      </c>
      <c r="C53" t="s">
        <v>126</v>
      </c>
      <c r="D53">
        <v>59874365</v>
      </c>
      <c r="E53">
        <v>0.95000000000000007</v>
      </c>
      <c r="F53">
        <v>1</v>
      </c>
      <c r="G53" t="s">
        <v>404</v>
      </c>
      <c r="H53">
        <v>1</v>
      </c>
      <c r="I53">
        <v>63.16</v>
      </c>
      <c r="J53">
        <v>72.239999999999995</v>
      </c>
      <c r="K53">
        <v>0.95000000000000007</v>
      </c>
      <c r="L53">
        <v>72.239999999999995</v>
      </c>
      <c r="M53">
        <v>1.29</v>
      </c>
      <c r="N53">
        <v>59.2</v>
      </c>
      <c r="O53">
        <v>0.92</v>
      </c>
      <c r="P53" t="s">
        <v>426</v>
      </c>
      <c r="Q53" t="s">
        <v>426</v>
      </c>
      <c r="R53" t="s">
        <v>426</v>
      </c>
      <c r="S53" t="s">
        <v>426</v>
      </c>
      <c r="T53" t="s">
        <v>426</v>
      </c>
      <c r="U53" t="s">
        <v>426</v>
      </c>
      <c r="V53" t="s">
        <v>426</v>
      </c>
      <c r="W53" t="s">
        <v>426</v>
      </c>
      <c r="X53" t="s">
        <v>426</v>
      </c>
      <c r="Y53">
        <v>0</v>
      </c>
      <c r="Z53">
        <v>0</v>
      </c>
      <c r="AB53">
        <v>0</v>
      </c>
      <c r="AC53">
        <v>0</v>
      </c>
      <c r="AD53">
        <v>0.92</v>
      </c>
      <c r="AE53">
        <v>0</v>
      </c>
      <c r="AF53">
        <v>0</v>
      </c>
      <c r="AG53">
        <v>0</v>
      </c>
      <c r="AH53">
        <v>0</v>
      </c>
      <c r="AI53">
        <v>57</v>
      </c>
      <c r="AZ53" t="s">
        <v>444</v>
      </c>
      <c r="BA53" t="s">
        <v>451</v>
      </c>
      <c r="BB53">
        <v>4109057921.2199998</v>
      </c>
      <c r="BC53">
        <v>52</v>
      </c>
      <c r="BD53">
        <v>44</v>
      </c>
    </row>
    <row r="54" spans="1:56" x14ac:dyDescent="0.25">
      <c r="A54" t="s">
        <v>43</v>
      </c>
      <c r="B54" t="s">
        <v>102</v>
      </c>
      <c r="C54" t="s">
        <v>126</v>
      </c>
      <c r="D54">
        <v>55337770</v>
      </c>
      <c r="E54">
        <v>0.55000000000000004</v>
      </c>
      <c r="F54">
        <v>1</v>
      </c>
      <c r="G54" t="s">
        <v>387</v>
      </c>
      <c r="H54">
        <v>1</v>
      </c>
      <c r="I54">
        <v>59.6</v>
      </c>
      <c r="J54">
        <v>68.05</v>
      </c>
      <c r="K54">
        <v>0.55000000000000004</v>
      </c>
      <c r="L54">
        <v>68.05</v>
      </c>
      <c r="M54">
        <v>1.36</v>
      </c>
      <c r="N54">
        <v>58.63</v>
      </c>
      <c r="O54">
        <v>0.86</v>
      </c>
      <c r="P54" t="s">
        <v>426</v>
      </c>
      <c r="Q54" t="s">
        <v>426</v>
      </c>
      <c r="R54" t="s">
        <v>426</v>
      </c>
      <c r="S54" t="s">
        <v>426</v>
      </c>
      <c r="T54" t="s">
        <v>426</v>
      </c>
      <c r="U54" t="s">
        <v>426</v>
      </c>
      <c r="V54" t="s">
        <v>426</v>
      </c>
      <c r="W54" t="s">
        <v>426</v>
      </c>
      <c r="X54" t="s">
        <v>426</v>
      </c>
      <c r="Y54">
        <v>0</v>
      </c>
      <c r="Z54">
        <v>0</v>
      </c>
      <c r="AB54">
        <v>0</v>
      </c>
      <c r="AC54">
        <v>0</v>
      </c>
      <c r="AD54">
        <v>0.86</v>
      </c>
      <c r="AE54">
        <v>0</v>
      </c>
      <c r="AF54">
        <v>0</v>
      </c>
      <c r="AG54">
        <v>0</v>
      </c>
      <c r="AH54">
        <v>0</v>
      </c>
      <c r="AI54">
        <v>58</v>
      </c>
      <c r="AZ54" t="s">
        <v>444</v>
      </c>
      <c r="BA54" t="s">
        <v>451</v>
      </c>
      <c r="BB54">
        <v>2071154386.675</v>
      </c>
      <c r="BC54">
        <v>53</v>
      </c>
      <c r="BD54">
        <v>59</v>
      </c>
    </row>
    <row r="55" spans="1:56" x14ac:dyDescent="0.25">
      <c r="A55" t="s">
        <v>37</v>
      </c>
      <c r="B55" t="s">
        <v>96</v>
      </c>
      <c r="C55" t="s">
        <v>126</v>
      </c>
      <c r="D55">
        <v>252269195</v>
      </c>
      <c r="E55">
        <v>0.8</v>
      </c>
      <c r="F55">
        <v>1</v>
      </c>
      <c r="G55" t="s">
        <v>378</v>
      </c>
      <c r="H55">
        <v>1</v>
      </c>
      <c r="I55">
        <v>89.22</v>
      </c>
      <c r="J55">
        <v>101.85</v>
      </c>
      <c r="K55">
        <v>0.8</v>
      </c>
      <c r="L55">
        <v>101.85</v>
      </c>
      <c r="M55">
        <v>1.37</v>
      </c>
      <c r="N55">
        <v>52.36</v>
      </c>
      <c r="O55">
        <v>0.98</v>
      </c>
      <c r="P55" t="s">
        <v>426</v>
      </c>
      <c r="Q55" t="s">
        <v>426</v>
      </c>
      <c r="R55" t="s">
        <v>426</v>
      </c>
      <c r="S55" t="s">
        <v>426</v>
      </c>
      <c r="T55" t="s">
        <v>426</v>
      </c>
      <c r="U55" t="s">
        <v>426</v>
      </c>
      <c r="V55" t="s">
        <v>426</v>
      </c>
      <c r="W55" t="s">
        <v>426</v>
      </c>
      <c r="X55" t="s">
        <v>426</v>
      </c>
      <c r="Y55">
        <v>0</v>
      </c>
      <c r="Z55">
        <v>0</v>
      </c>
      <c r="AB55">
        <v>0</v>
      </c>
      <c r="AC55">
        <v>0</v>
      </c>
      <c r="AD55">
        <v>0.98</v>
      </c>
      <c r="AE55">
        <v>0</v>
      </c>
      <c r="AF55">
        <v>0</v>
      </c>
      <c r="AG55">
        <v>0</v>
      </c>
      <c r="AH55">
        <v>0</v>
      </c>
      <c r="AI55">
        <v>59</v>
      </c>
      <c r="AZ55" t="s">
        <v>444</v>
      </c>
      <c r="BA55" t="s">
        <v>451</v>
      </c>
      <c r="BB55">
        <v>20554894008.599998</v>
      </c>
      <c r="BC55">
        <v>54</v>
      </c>
      <c r="BD55">
        <v>16</v>
      </c>
    </row>
    <row r="56" spans="1:56" x14ac:dyDescent="0.25">
      <c r="A56" t="s">
        <v>52</v>
      </c>
      <c r="B56" t="s">
        <v>111</v>
      </c>
      <c r="C56" t="s">
        <v>126</v>
      </c>
      <c r="D56">
        <v>35772015</v>
      </c>
      <c r="E56">
        <v>0.70000000000000007</v>
      </c>
      <c r="F56">
        <v>1</v>
      </c>
      <c r="G56" t="s">
        <v>397</v>
      </c>
      <c r="H56">
        <v>1</v>
      </c>
      <c r="I56">
        <v>31.93</v>
      </c>
      <c r="J56">
        <v>38.51</v>
      </c>
      <c r="K56">
        <v>0.70000000000000007</v>
      </c>
      <c r="L56">
        <v>38.51</v>
      </c>
      <c r="M56">
        <v>1.39</v>
      </c>
      <c r="N56">
        <v>47.77</v>
      </c>
      <c r="O56">
        <v>0.8</v>
      </c>
      <c r="P56" t="s">
        <v>426</v>
      </c>
      <c r="Q56" t="s">
        <v>426</v>
      </c>
      <c r="R56" t="s">
        <v>426</v>
      </c>
      <c r="S56" t="s">
        <v>426</v>
      </c>
      <c r="T56" t="s">
        <v>426</v>
      </c>
      <c r="U56" t="s">
        <v>426</v>
      </c>
      <c r="V56" t="s">
        <v>426</v>
      </c>
      <c r="W56" t="s">
        <v>426</v>
      </c>
      <c r="X56" t="s">
        <v>426</v>
      </c>
      <c r="Y56">
        <v>0</v>
      </c>
      <c r="Z56">
        <v>0</v>
      </c>
      <c r="AB56">
        <v>0</v>
      </c>
      <c r="AC56">
        <v>0</v>
      </c>
      <c r="AD56">
        <v>0.8</v>
      </c>
      <c r="AE56">
        <v>0</v>
      </c>
      <c r="AF56">
        <v>0</v>
      </c>
      <c r="AG56">
        <v>0</v>
      </c>
      <c r="AH56">
        <v>0</v>
      </c>
      <c r="AI56">
        <v>61</v>
      </c>
      <c r="AZ56" t="s">
        <v>444</v>
      </c>
      <c r="BA56" t="s">
        <v>451</v>
      </c>
      <c r="BB56">
        <v>964306208.35500002</v>
      </c>
      <c r="BC56">
        <v>55</v>
      </c>
      <c r="BD56">
        <v>72</v>
      </c>
    </row>
    <row r="57" spans="1:56" x14ac:dyDescent="0.25">
      <c r="A57" t="s">
        <v>63</v>
      </c>
      <c r="B57" t="s">
        <v>122</v>
      </c>
      <c r="C57" t="s">
        <v>126</v>
      </c>
      <c r="D57">
        <v>44900000</v>
      </c>
      <c r="E57">
        <v>0.35</v>
      </c>
      <c r="F57">
        <v>1</v>
      </c>
      <c r="G57" t="s">
        <v>416</v>
      </c>
      <c r="H57">
        <v>1</v>
      </c>
      <c r="I57">
        <v>60.1</v>
      </c>
      <c r="J57">
        <v>60.9</v>
      </c>
      <c r="K57">
        <v>0.35</v>
      </c>
      <c r="L57">
        <v>60.9</v>
      </c>
      <c r="M57">
        <v>1.44</v>
      </c>
      <c r="N57">
        <v>43.9</v>
      </c>
      <c r="O57">
        <v>0.75</v>
      </c>
      <c r="P57" t="s">
        <v>426</v>
      </c>
      <c r="Q57" t="s">
        <v>426</v>
      </c>
      <c r="R57" t="s">
        <v>426</v>
      </c>
      <c r="S57" t="s">
        <v>426</v>
      </c>
      <c r="T57" t="s">
        <v>426</v>
      </c>
      <c r="U57" t="s">
        <v>426</v>
      </c>
      <c r="V57" t="s">
        <v>426</v>
      </c>
      <c r="W57" t="s">
        <v>426</v>
      </c>
      <c r="X57" t="s">
        <v>426</v>
      </c>
      <c r="Y57">
        <v>0</v>
      </c>
      <c r="Z57">
        <v>0</v>
      </c>
      <c r="AB57">
        <v>0</v>
      </c>
      <c r="AC57">
        <v>0</v>
      </c>
      <c r="AD57">
        <v>0.75</v>
      </c>
      <c r="AE57">
        <v>0</v>
      </c>
      <c r="AF57">
        <v>0</v>
      </c>
      <c r="AG57">
        <v>0</v>
      </c>
      <c r="AH57">
        <v>0</v>
      </c>
      <c r="AI57">
        <v>62</v>
      </c>
      <c r="AZ57" t="s">
        <v>444</v>
      </c>
      <c r="BA57" t="s">
        <v>451</v>
      </c>
      <c r="BB57">
        <v>957043500</v>
      </c>
      <c r="BC57">
        <v>56</v>
      </c>
      <c r="BD57">
        <v>73</v>
      </c>
    </row>
    <row r="58" spans="1:56" x14ac:dyDescent="0.25">
      <c r="A58" t="s">
        <v>39</v>
      </c>
      <c r="B58" t="s">
        <v>98</v>
      </c>
      <c r="C58" t="s">
        <v>126</v>
      </c>
      <c r="D58">
        <v>52160291</v>
      </c>
      <c r="E58">
        <v>0.45</v>
      </c>
      <c r="F58">
        <v>1</v>
      </c>
      <c r="G58" t="s">
        <v>382</v>
      </c>
      <c r="H58">
        <v>1</v>
      </c>
      <c r="I58">
        <v>46.12</v>
      </c>
      <c r="J58">
        <v>56.3</v>
      </c>
      <c r="K58">
        <v>0.45</v>
      </c>
      <c r="L58">
        <v>56.3</v>
      </c>
      <c r="M58">
        <v>1.45</v>
      </c>
      <c r="N58">
        <v>36.83</v>
      </c>
      <c r="O58">
        <v>0.89</v>
      </c>
      <c r="P58" t="s">
        <v>426</v>
      </c>
      <c r="Q58" t="s">
        <v>426</v>
      </c>
      <c r="R58" t="s">
        <v>426</v>
      </c>
      <c r="S58" t="s">
        <v>426</v>
      </c>
      <c r="T58" t="s">
        <v>426</v>
      </c>
      <c r="U58" t="s">
        <v>426</v>
      </c>
      <c r="V58" t="s">
        <v>426</v>
      </c>
      <c r="W58" t="s">
        <v>426</v>
      </c>
      <c r="X58" t="s">
        <v>426</v>
      </c>
      <c r="Y58">
        <v>0</v>
      </c>
      <c r="Z58">
        <v>0</v>
      </c>
      <c r="AB58">
        <v>0</v>
      </c>
      <c r="AC58">
        <v>0</v>
      </c>
      <c r="AD58">
        <v>0.89</v>
      </c>
      <c r="AE58">
        <v>0</v>
      </c>
      <c r="AF58">
        <v>0</v>
      </c>
      <c r="AG58">
        <v>0</v>
      </c>
      <c r="AH58">
        <v>0</v>
      </c>
      <c r="AI58">
        <v>63</v>
      </c>
      <c r="AZ58" t="s">
        <v>444</v>
      </c>
      <c r="BA58" t="s">
        <v>451</v>
      </c>
      <c r="BB58">
        <v>1321480972.4849999</v>
      </c>
      <c r="BC58">
        <v>57</v>
      </c>
      <c r="BD58">
        <v>65</v>
      </c>
    </row>
    <row r="59" spans="1:56" x14ac:dyDescent="0.25">
      <c r="A59" t="s">
        <v>132</v>
      </c>
      <c r="B59" t="s">
        <v>134</v>
      </c>
      <c r="C59" t="s">
        <v>126</v>
      </c>
      <c r="D59">
        <v>253611809</v>
      </c>
      <c r="E59">
        <v>0.5</v>
      </c>
      <c r="F59">
        <v>1</v>
      </c>
      <c r="K59">
        <v>0.5</v>
      </c>
      <c r="L59">
        <v>2.722</v>
      </c>
      <c r="M59">
        <v>1.47</v>
      </c>
      <c r="N59">
        <v>35.64</v>
      </c>
      <c r="AI59">
        <v>64</v>
      </c>
      <c r="AZ59" t="s">
        <v>444</v>
      </c>
      <c r="BA59" t="s">
        <v>451</v>
      </c>
      <c r="BB59">
        <v>345165672.04900002</v>
      </c>
      <c r="BC59">
        <v>58</v>
      </c>
      <c r="BD59">
        <v>88</v>
      </c>
    </row>
    <row r="60" spans="1:56" x14ac:dyDescent="0.25">
      <c r="A60" t="s">
        <v>58</v>
      </c>
      <c r="B60" t="s">
        <v>117</v>
      </c>
      <c r="C60" t="s">
        <v>126</v>
      </c>
      <c r="D60">
        <v>178378708</v>
      </c>
      <c r="E60">
        <v>0.75</v>
      </c>
      <c r="F60">
        <v>1</v>
      </c>
      <c r="G60" t="s">
        <v>403</v>
      </c>
      <c r="H60">
        <v>1</v>
      </c>
      <c r="I60">
        <v>41.34</v>
      </c>
      <c r="J60">
        <v>41.12</v>
      </c>
      <c r="K60">
        <v>0.75</v>
      </c>
      <c r="L60">
        <v>41.12</v>
      </c>
      <c r="M60">
        <v>1.5</v>
      </c>
      <c r="N60">
        <v>50.65</v>
      </c>
      <c r="O60">
        <v>0.91</v>
      </c>
      <c r="P60" t="s">
        <v>426</v>
      </c>
      <c r="Q60" t="s">
        <v>426</v>
      </c>
      <c r="R60" t="s">
        <v>426</v>
      </c>
      <c r="S60" t="s">
        <v>426</v>
      </c>
      <c r="T60" t="s">
        <v>426</v>
      </c>
      <c r="U60" t="s">
        <v>426</v>
      </c>
      <c r="V60" t="s">
        <v>426</v>
      </c>
      <c r="W60" t="s">
        <v>426</v>
      </c>
      <c r="X60" t="s">
        <v>426</v>
      </c>
      <c r="Y60">
        <v>0</v>
      </c>
      <c r="Z60">
        <v>0</v>
      </c>
      <c r="AB60">
        <v>0</v>
      </c>
      <c r="AC60">
        <v>0</v>
      </c>
      <c r="AD60">
        <v>0.91</v>
      </c>
      <c r="AE60">
        <v>0</v>
      </c>
      <c r="AF60">
        <v>0</v>
      </c>
      <c r="AG60">
        <v>0</v>
      </c>
      <c r="AH60">
        <v>0</v>
      </c>
      <c r="AI60">
        <v>65</v>
      </c>
      <c r="AZ60" t="s">
        <v>444</v>
      </c>
      <c r="BA60" t="s">
        <v>451</v>
      </c>
      <c r="BB60">
        <v>5501199354.7199993</v>
      </c>
      <c r="BC60">
        <v>59</v>
      </c>
      <c r="BD60">
        <v>37</v>
      </c>
    </row>
    <row r="61" spans="1:56" x14ac:dyDescent="0.25">
      <c r="A61" t="s">
        <v>62</v>
      </c>
      <c r="B61" t="s">
        <v>121</v>
      </c>
      <c r="C61" t="s">
        <v>126</v>
      </c>
      <c r="D61">
        <v>741723437</v>
      </c>
      <c r="E61">
        <v>0.9</v>
      </c>
      <c r="F61">
        <v>1</v>
      </c>
      <c r="G61" t="s">
        <v>414</v>
      </c>
      <c r="H61">
        <v>1</v>
      </c>
      <c r="I61">
        <v>28.74</v>
      </c>
      <c r="J61">
        <v>30.37</v>
      </c>
      <c r="K61">
        <v>0.9</v>
      </c>
      <c r="L61">
        <v>30.37</v>
      </c>
      <c r="M61">
        <v>1.52</v>
      </c>
      <c r="N61">
        <v>59.97</v>
      </c>
      <c r="O61">
        <v>0.99</v>
      </c>
      <c r="P61" t="s">
        <v>426</v>
      </c>
      <c r="Q61" t="s">
        <v>426</v>
      </c>
      <c r="R61" t="s">
        <v>426</v>
      </c>
      <c r="S61" t="s">
        <v>426</v>
      </c>
      <c r="T61" t="s">
        <v>426</v>
      </c>
      <c r="U61" t="s">
        <v>426</v>
      </c>
      <c r="V61" t="s">
        <v>426</v>
      </c>
      <c r="W61" t="s">
        <v>426</v>
      </c>
      <c r="X61" t="s">
        <v>426</v>
      </c>
      <c r="Y61">
        <v>0</v>
      </c>
      <c r="Z61">
        <v>3.0200000000000001E-2</v>
      </c>
      <c r="AA61" t="s">
        <v>429</v>
      </c>
      <c r="AB61">
        <v>0</v>
      </c>
      <c r="AC61">
        <v>0</v>
      </c>
      <c r="AD61">
        <v>0.99</v>
      </c>
      <c r="AE61">
        <v>0</v>
      </c>
      <c r="AF61">
        <v>3.0200000000000001E-2</v>
      </c>
      <c r="AG61">
        <v>0</v>
      </c>
      <c r="AH61">
        <v>0</v>
      </c>
      <c r="AI61">
        <v>66</v>
      </c>
      <c r="AZ61" t="s">
        <v>444</v>
      </c>
      <c r="BA61" t="s">
        <v>451</v>
      </c>
      <c r="BB61">
        <v>20273526703.521</v>
      </c>
      <c r="BC61">
        <v>60</v>
      </c>
      <c r="BD61">
        <v>17</v>
      </c>
    </row>
    <row r="62" spans="1:56" x14ac:dyDescent="0.25">
      <c r="A62" t="s">
        <v>222</v>
      </c>
      <c r="B62" t="s">
        <v>282</v>
      </c>
      <c r="C62" t="s">
        <v>126</v>
      </c>
      <c r="D62">
        <v>123420778</v>
      </c>
      <c r="E62">
        <v>0.60000000000000009</v>
      </c>
      <c r="F62">
        <v>1</v>
      </c>
      <c r="G62" t="s">
        <v>365</v>
      </c>
      <c r="H62">
        <v>1</v>
      </c>
      <c r="I62">
        <v>263.3</v>
      </c>
      <c r="J62">
        <v>223.8</v>
      </c>
      <c r="K62">
        <v>0.60000000000000009</v>
      </c>
      <c r="L62">
        <v>223.8</v>
      </c>
      <c r="M62">
        <v>1.56</v>
      </c>
      <c r="N62">
        <v>66.239999999999995</v>
      </c>
      <c r="O62">
        <v>0.9</v>
      </c>
      <c r="P62" t="s">
        <v>426</v>
      </c>
      <c r="Q62" t="s">
        <v>426</v>
      </c>
      <c r="R62" t="s">
        <v>426</v>
      </c>
      <c r="S62" t="s">
        <v>426</v>
      </c>
      <c r="T62" t="s">
        <v>426</v>
      </c>
      <c r="U62" t="s">
        <v>426</v>
      </c>
      <c r="V62" t="s">
        <v>426</v>
      </c>
      <c r="W62" t="s">
        <v>426</v>
      </c>
      <c r="X62" t="s">
        <v>426</v>
      </c>
      <c r="Y62">
        <v>0</v>
      </c>
      <c r="Z62">
        <v>0</v>
      </c>
      <c r="AB62">
        <v>0</v>
      </c>
      <c r="AC62">
        <v>0</v>
      </c>
      <c r="AD62">
        <v>0.9</v>
      </c>
      <c r="AE62">
        <v>0</v>
      </c>
      <c r="AF62">
        <v>0</v>
      </c>
      <c r="AG62">
        <v>0</v>
      </c>
      <c r="AH62">
        <v>0</v>
      </c>
      <c r="AI62">
        <v>67</v>
      </c>
      <c r="AZ62" t="s">
        <v>444</v>
      </c>
      <c r="BA62" t="s">
        <v>451</v>
      </c>
      <c r="BB62">
        <v>16572942069.84</v>
      </c>
      <c r="BC62">
        <v>61</v>
      </c>
      <c r="BD62">
        <v>22</v>
      </c>
    </row>
    <row r="63" spans="1:56" x14ac:dyDescent="0.25">
      <c r="A63" t="s">
        <v>195</v>
      </c>
      <c r="B63" t="s">
        <v>255</v>
      </c>
      <c r="C63" t="s">
        <v>126</v>
      </c>
      <c r="D63">
        <v>453871520</v>
      </c>
      <c r="E63">
        <v>0.75</v>
      </c>
      <c r="F63">
        <v>1</v>
      </c>
      <c r="G63" t="s">
        <v>327</v>
      </c>
      <c r="H63">
        <v>1</v>
      </c>
      <c r="I63">
        <v>26</v>
      </c>
      <c r="J63">
        <v>27.22</v>
      </c>
      <c r="K63">
        <v>0.75</v>
      </c>
      <c r="L63">
        <v>27.22</v>
      </c>
      <c r="M63">
        <v>1.62</v>
      </c>
      <c r="N63">
        <v>67.72</v>
      </c>
      <c r="O63">
        <v>0.92</v>
      </c>
      <c r="P63" t="s">
        <v>426</v>
      </c>
      <c r="Q63" t="s">
        <v>426</v>
      </c>
      <c r="R63" t="s">
        <v>426</v>
      </c>
      <c r="S63" t="s">
        <v>426</v>
      </c>
      <c r="T63" t="s">
        <v>426</v>
      </c>
      <c r="U63" t="s">
        <v>426</v>
      </c>
      <c r="V63" t="s">
        <v>426</v>
      </c>
      <c r="W63" t="s">
        <v>426</v>
      </c>
      <c r="X63" t="s">
        <v>426</v>
      </c>
      <c r="Y63">
        <v>0</v>
      </c>
      <c r="Z63">
        <v>0</v>
      </c>
      <c r="AB63">
        <v>0</v>
      </c>
      <c r="AC63">
        <v>0</v>
      </c>
      <c r="AD63">
        <v>0.92</v>
      </c>
      <c r="AE63">
        <v>0</v>
      </c>
      <c r="AF63">
        <v>0</v>
      </c>
      <c r="AG63">
        <v>0</v>
      </c>
      <c r="AH63">
        <v>0</v>
      </c>
      <c r="AI63">
        <v>69</v>
      </c>
      <c r="AZ63" t="s">
        <v>444</v>
      </c>
      <c r="BA63" t="s">
        <v>451</v>
      </c>
      <c r="BB63">
        <v>9265787080.7999992</v>
      </c>
      <c r="BC63">
        <v>62</v>
      </c>
      <c r="BD63">
        <v>26</v>
      </c>
    </row>
    <row r="64" spans="1:56" x14ac:dyDescent="0.25">
      <c r="A64" t="s">
        <v>188</v>
      </c>
      <c r="B64" t="s">
        <v>248</v>
      </c>
      <c r="C64" t="s">
        <v>126</v>
      </c>
      <c r="D64">
        <v>578479509</v>
      </c>
      <c r="E64">
        <v>1</v>
      </c>
      <c r="F64">
        <v>1</v>
      </c>
      <c r="G64" t="s">
        <v>310</v>
      </c>
      <c r="H64">
        <v>1</v>
      </c>
      <c r="I64">
        <v>174.48</v>
      </c>
      <c r="J64">
        <v>183.12</v>
      </c>
      <c r="K64">
        <v>1</v>
      </c>
      <c r="L64">
        <v>183.12</v>
      </c>
      <c r="M64">
        <v>1.65</v>
      </c>
      <c r="N64">
        <v>53.78</v>
      </c>
      <c r="O64">
        <v>0.99</v>
      </c>
      <c r="P64" t="s">
        <v>426</v>
      </c>
      <c r="Q64" t="s">
        <v>426</v>
      </c>
      <c r="R64" t="s">
        <v>426</v>
      </c>
      <c r="S64" t="s">
        <v>426</v>
      </c>
      <c r="T64" t="s">
        <v>426</v>
      </c>
      <c r="U64" t="s">
        <v>426</v>
      </c>
      <c r="V64" t="s">
        <v>426</v>
      </c>
      <c r="W64" t="s">
        <v>426</v>
      </c>
      <c r="X64" t="s">
        <v>426</v>
      </c>
      <c r="Y64">
        <v>0</v>
      </c>
      <c r="Z64">
        <v>2.4E-2</v>
      </c>
      <c r="AA64" t="s">
        <v>429</v>
      </c>
      <c r="AB64">
        <v>0</v>
      </c>
      <c r="AC64">
        <v>0</v>
      </c>
      <c r="AD64">
        <v>0.99</v>
      </c>
      <c r="AE64">
        <v>0</v>
      </c>
      <c r="AF64">
        <v>2.4E-2</v>
      </c>
      <c r="AG64">
        <v>0</v>
      </c>
      <c r="AH64">
        <v>0</v>
      </c>
      <c r="AI64">
        <v>70</v>
      </c>
      <c r="AZ64" t="s">
        <v>444</v>
      </c>
      <c r="BA64" t="s">
        <v>451</v>
      </c>
      <c r="BB64">
        <v>105931167688.08</v>
      </c>
      <c r="BC64">
        <v>63</v>
      </c>
      <c r="BD64">
        <v>3</v>
      </c>
    </row>
    <row r="65" spans="1:56" x14ac:dyDescent="0.25">
      <c r="A65" t="s">
        <v>217</v>
      </c>
      <c r="B65" t="s">
        <v>277</v>
      </c>
      <c r="C65" t="s">
        <v>126</v>
      </c>
      <c r="D65">
        <v>105569412</v>
      </c>
      <c r="E65">
        <v>0.3</v>
      </c>
      <c r="F65">
        <v>1</v>
      </c>
      <c r="G65" t="s">
        <v>357</v>
      </c>
      <c r="H65">
        <v>1</v>
      </c>
      <c r="I65">
        <v>2119</v>
      </c>
      <c r="J65">
        <v>2095</v>
      </c>
      <c r="K65">
        <v>0.3</v>
      </c>
      <c r="L65">
        <v>2095</v>
      </c>
      <c r="M65">
        <v>1.67</v>
      </c>
      <c r="N65">
        <v>60.29</v>
      </c>
      <c r="O65">
        <v>0.93</v>
      </c>
      <c r="P65" t="s">
        <v>426</v>
      </c>
      <c r="Q65" t="s">
        <v>426</v>
      </c>
      <c r="R65" t="s">
        <v>426</v>
      </c>
      <c r="S65" t="s">
        <v>426</v>
      </c>
      <c r="T65" t="s">
        <v>426</v>
      </c>
      <c r="U65" t="s">
        <v>426</v>
      </c>
      <c r="V65" t="s">
        <v>426</v>
      </c>
      <c r="W65" t="s">
        <v>426</v>
      </c>
      <c r="X65" t="s">
        <v>426</v>
      </c>
      <c r="Y65">
        <v>0</v>
      </c>
      <c r="Z65">
        <v>0</v>
      </c>
      <c r="AB65">
        <v>0</v>
      </c>
      <c r="AC65">
        <v>0</v>
      </c>
      <c r="AD65">
        <v>0.93</v>
      </c>
      <c r="AE65">
        <v>0</v>
      </c>
      <c r="AF65">
        <v>0</v>
      </c>
      <c r="AG65">
        <v>0</v>
      </c>
      <c r="AH65">
        <v>0</v>
      </c>
      <c r="AI65">
        <v>71</v>
      </c>
      <c r="AZ65" t="s">
        <v>444</v>
      </c>
      <c r="BA65" t="s">
        <v>451</v>
      </c>
      <c r="BB65">
        <v>66350375442.000023</v>
      </c>
      <c r="BC65">
        <v>64</v>
      </c>
      <c r="BD65">
        <v>10</v>
      </c>
    </row>
    <row r="66" spans="1:56" x14ac:dyDescent="0.25">
      <c r="A66" t="s">
        <v>216</v>
      </c>
      <c r="B66" t="s">
        <v>276</v>
      </c>
      <c r="C66" t="s">
        <v>126</v>
      </c>
      <c r="D66">
        <v>550000000</v>
      </c>
      <c r="E66">
        <v>0.55000000000000004</v>
      </c>
      <c r="F66">
        <v>1</v>
      </c>
      <c r="G66" t="s">
        <v>355</v>
      </c>
      <c r="H66">
        <v>1</v>
      </c>
      <c r="I66">
        <v>15.65</v>
      </c>
      <c r="J66">
        <v>17.05</v>
      </c>
      <c r="K66">
        <v>0.55000000000000004</v>
      </c>
      <c r="L66">
        <v>17.05</v>
      </c>
      <c r="M66">
        <v>1.68</v>
      </c>
      <c r="N66">
        <v>62.09</v>
      </c>
      <c r="O66">
        <v>0.86</v>
      </c>
      <c r="P66" t="s">
        <v>426</v>
      </c>
      <c r="Q66" t="s">
        <v>426</v>
      </c>
      <c r="R66" t="s">
        <v>426</v>
      </c>
      <c r="S66" t="s">
        <v>426</v>
      </c>
      <c r="T66" t="s">
        <v>426</v>
      </c>
      <c r="U66" t="s">
        <v>426</v>
      </c>
      <c r="V66" t="s">
        <v>426</v>
      </c>
      <c r="W66" t="s">
        <v>426</v>
      </c>
      <c r="X66" t="s">
        <v>426</v>
      </c>
      <c r="Y66">
        <v>0</v>
      </c>
      <c r="Z66">
        <v>0</v>
      </c>
      <c r="AB66">
        <v>0</v>
      </c>
      <c r="AC66">
        <v>0</v>
      </c>
      <c r="AD66">
        <v>0.86</v>
      </c>
      <c r="AE66">
        <v>0</v>
      </c>
      <c r="AF66">
        <v>0</v>
      </c>
      <c r="AG66">
        <v>0</v>
      </c>
      <c r="AH66">
        <v>0</v>
      </c>
      <c r="AI66">
        <v>72</v>
      </c>
      <c r="AZ66" t="s">
        <v>444</v>
      </c>
      <c r="BA66" t="s">
        <v>451</v>
      </c>
      <c r="BB66">
        <v>5157625000.000001</v>
      </c>
      <c r="BC66">
        <v>65</v>
      </c>
      <c r="BD66">
        <v>39</v>
      </c>
    </row>
    <row r="67" spans="1:56" x14ac:dyDescent="0.25">
      <c r="A67" t="s">
        <v>203</v>
      </c>
      <c r="B67" t="s">
        <v>263</v>
      </c>
      <c r="C67" t="s">
        <v>126</v>
      </c>
      <c r="D67">
        <v>98000000</v>
      </c>
      <c r="E67">
        <v>0.70000000000000007</v>
      </c>
      <c r="F67">
        <v>1</v>
      </c>
      <c r="G67" t="s">
        <v>340</v>
      </c>
      <c r="H67">
        <v>1</v>
      </c>
      <c r="I67">
        <v>110.85</v>
      </c>
      <c r="J67">
        <v>125.9</v>
      </c>
      <c r="K67">
        <v>0.70000000000000007</v>
      </c>
      <c r="L67">
        <v>125.9</v>
      </c>
      <c r="M67">
        <v>1.7</v>
      </c>
      <c r="N67">
        <v>48.04</v>
      </c>
      <c r="O67">
        <v>0.94</v>
      </c>
      <c r="P67" t="s">
        <v>426</v>
      </c>
      <c r="Q67" t="s">
        <v>426</v>
      </c>
      <c r="R67" t="s">
        <v>426</v>
      </c>
      <c r="S67" t="s">
        <v>426</v>
      </c>
      <c r="T67" t="s">
        <v>426</v>
      </c>
      <c r="U67" t="s">
        <v>426</v>
      </c>
      <c r="V67" t="s">
        <v>426</v>
      </c>
      <c r="W67" t="s">
        <v>426</v>
      </c>
      <c r="X67" t="s">
        <v>426</v>
      </c>
      <c r="Y67">
        <v>0</v>
      </c>
      <c r="Z67">
        <v>0</v>
      </c>
      <c r="AB67">
        <v>0</v>
      </c>
      <c r="AC67">
        <v>0</v>
      </c>
      <c r="AD67">
        <v>0.94</v>
      </c>
      <c r="AE67">
        <v>0</v>
      </c>
      <c r="AF67">
        <v>0</v>
      </c>
      <c r="AG67">
        <v>0</v>
      </c>
      <c r="AH67">
        <v>0</v>
      </c>
      <c r="AI67">
        <v>73</v>
      </c>
      <c r="AZ67" t="s">
        <v>444</v>
      </c>
      <c r="BA67" t="s">
        <v>451</v>
      </c>
      <c r="BB67">
        <v>8636740000</v>
      </c>
      <c r="BC67">
        <v>66</v>
      </c>
      <c r="BD67">
        <v>27</v>
      </c>
    </row>
    <row r="68" spans="1:56" x14ac:dyDescent="0.25">
      <c r="A68" t="s">
        <v>192</v>
      </c>
      <c r="B68" t="s">
        <v>252</v>
      </c>
      <c r="C68" t="s">
        <v>126</v>
      </c>
      <c r="D68">
        <v>76060831</v>
      </c>
      <c r="E68">
        <v>0.75</v>
      </c>
      <c r="F68">
        <v>1</v>
      </c>
      <c r="G68" t="s">
        <v>318</v>
      </c>
      <c r="H68">
        <v>1</v>
      </c>
      <c r="I68">
        <v>58.7</v>
      </c>
      <c r="J68">
        <v>64.2</v>
      </c>
      <c r="K68">
        <v>0.75</v>
      </c>
      <c r="L68">
        <v>64.2</v>
      </c>
      <c r="M68">
        <v>1.73</v>
      </c>
      <c r="N68">
        <v>56.24</v>
      </c>
      <c r="O68">
        <v>0.94</v>
      </c>
      <c r="P68" t="s">
        <v>426</v>
      </c>
      <c r="Q68" t="s">
        <v>426</v>
      </c>
      <c r="R68" t="s">
        <v>426</v>
      </c>
      <c r="S68" t="s">
        <v>426</v>
      </c>
      <c r="T68" t="s">
        <v>426</v>
      </c>
      <c r="U68" t="s">
        <v>426</v>
      </c>
      <c r="V68" t="s">
        <v>426</v>
      </c>
      <c r="W68" t="s">
        <v>426</v>
      </c>
      <c r="X68" t="s">
        <v>426</v>
      </c>
      <c r="Y68">
        <v>0</v>
      </c>
      <c r="Z68">
        <v>0</v>
      </c>
      <c r="AB68">
        <v>0</v>
      </c>
      <c r="AC68">
        <v>0</v>
      </c>
      <c r="AD68">
        <v>0.94</v>
      </c>
      <c r="AE68">
        <v>0</v>
      </c>
      <c r="AF68">
        <v>0</v>
      </c>
      <c r="AG68">
        <v>0</v>
      </c>
      <c r="AH68">
        <v>0</v>
      </c>
      <c r="AI68">
        <v>74</v>
      </c>
      <c r="AZ68" t="s">
        <v>444</v>
      </c>
      <c r="BA68" t="s">
        <v>451</v>
      </c>
      <c r="BB68">
        <v>3662329012.650001</v>
      </c>
      <c r="BC68">
        <v>67</v>
      </c>
      <c r="BD68">
        <v>49</v>
      </c>
    </row>
    <row r="69" spans="1:56" x14ac:dyDescent="0.25">
      <c r="A69" t="s">
        <v>215</v>
      </c>
      <c r="B69" t="s">
        <v>275</v>
      </c>
      <c r="C69" t="s">
        <v>126</v>
      </c>
      <c r="D69">
        <v>76738691</v>
      </c>
      <c r="E69">
        <v>0.60000000000000009</v>
      </c>
      <c r="F69">
        <v>1</v>
      </c>
      <c r="G69" t="s">
        <v>354</v>
      </c>
      <c r="H69">
        <v>1</v>
      </c>
      <c r="I69">
        <v>84.6</v>
      </c>
      <c r="J69">
        <v>87.65</v>
      </c>
      <c r="K69">
        <v>0.60000000000000009</v>
      </c>
      <c r="L69">
        <v>87.65</v>
      </c>
      <c r="M69">
        <v>1.77</v>
      </c>
      <c r="N69">
        <v>67.84</v>
      </c>
      <c r="O69">
        <v>0.92</v>
      </c>
      <c r="P69" t="s">
        <v>426</v>
      </c>
      <c r="Q69" t="s">
        <v>426</v>
      </c>
      <c r="R69" t="s">
        <v>426</v>
      </c>
      <c r="S69" t="s">
        <v>426</v>
      </c>
      <c r="T69" t="s">
        <v>426</v>
      </c>
      <c r="U69" t="s">
        <v>426</v>
      </c>
      <c r="V69" t="s">
        <v>426</v>
      </c>
      <c r="W69" t="s">
        <v>426</v>
      </c>
      <c r="X69" t="s">
        <v>426</v>
      </c>
      <c r="Y69">
        <v>0</v>
      </c>
      <c r="Z69">
        <v>0</v>
      </c>
      <c r="AB69">
        <v>0</v>
      </c>
      <c r="AC69">
        <v>0</v>
      </c>
      <c r="AD69">
        <v>0.92</v>
      </c>
      <c r="AE69">
        <v>0</v>
      </c>
      <c r="AF69">
        <v>0</v>
      </c>
      <c r="AG69">
        <v>0</v>
      </c>
      <c r="AH69">
        <v>0</v>
      </c>
      <c r="AI69">
        <v>75</v>
      </c>
      <c r="AZ69" t="s">
        <v>444</v>
      </c>
      <c r="BA69" t="s">
        <v>451</v>
      </c>
      <c r="BB69">
        <v>4035687759.690001</v>
      </c>
      <c r="BC69">
        <v>68</v>
      </c>
      <c r="BD69">
        <v>46</v>
      </c>
    </row>
    <row r="70" spans="1:56" x14ac:dyDescent="0.25">
      <c r="A70" t="s">
        <v>202</v>
      </c>
      <c r="B70" t="s">
        <v>262</v>
      </c>
      <c r="C70" t="s">
        <v>126</v>
      </c>
      <c r="D70">
        <v>239891064</v>
      </c>
      <c r="E70">
        <v>1</v>
      </c>
      <c r="F70">
        <v>1</v>
      </c>
      <c r="G70" t="s">
        <v>339</v>
      </c>
      <c r="H70">
        <v>1</v>
      </c>
      <c r="I70">
        <v>20.079999999999998</v>
      </c>
      <c r="J70">
        <v>26.73</v>
      </c>
      <c r="K70">
        <v>1</v>
      </c>
      <c r="L70">
        <v>26.73</v>
      </c>
      <c r="M70">
        <v>1.79</v>
      </c>
      <c r="N70">
        <v>65.77</v>
      </c>
      <c r="O70">
        <v>0.97</v>
      </c>
      <c r="P70" t="s">
        <v>426</v>
      </c>
      <c r="Q70" t="s">
        <v>426</v>
      </c>
      <c r="R70" t="s">
        <v>426</v>
      </c>
      <c r="S70" t="s">
        <v>426</v>
      </c>
      <c r="T70" t="s">
        <v>426</v>
      </c>
      <c r="U70" t="s">
        <v>426</v>
      </c>
      <c r="V70" t="s">
        <v>426</v>
      </c>
      <c r="W70" t="s">
        <v>426</v>
      </c>
      <c r="X70" t="s">
        <v>426</v>
      </c>
      <c r="Y70">
        <v>0</v>
      </c>
      <c r="Z70">
        <v>0</v>
      </c>
      <c r="AB70">
        <v>0</v>
      </c>
      <c r="AC70">
        <v>0</v>
      </c>
      <c r="AD70">
        <v>0.97</v>
      </c>
      <c r="AE70">
        <v>0</v>
      </c>
      <c r="AF70">
        <v>0</v>
      </c>
      <c r="AG70">
        <v>0</v>
      </c>
      <c r="AH70">
        <v>0</v>
      </c>
      <c r="AI70">
        <v>76</v>
      </c>
      <c r="AZ70" t="s">
        <v>444</v>
      </c>
      <c r="BA70" t="s">
        <v>451</v>
      </c>
      <c r="BB70">
        <v>6412288140.7200003</v>
      </c>
      <c r="BC70">
        <v>69</v>
      </c>
      <c r="BD70">
        <v>33</v>
      </c>
    </row>
    <row r="71" spans="1:56" x14ac:dyDescent="0.25">
      <c r="A71" t="s">
        <v>232</v>
      </c>
      <c r="B71" t="s">
        <v>292</v>
      </c>
      <c r="C71" t="s">
        <v>126</v>
      </c>
      <c r="D71">
        <v>2031498</v>
      </c>
      <c r="E71">
        <v>0.35</v>
      </c>
      <c r="F71">
        <v>1</v>
      </c>
      <c r="G71" t="s">
        <v>385</v>
      </c>
      <c r="H71">
        <v>1</v>
      </c>
      <c r="I71">
        <v>815</v>
      </c>
      <c r="K71">
        <v>0.35</v>
      </c>
      <c r="L71">
        <v>859</v>
      </c>
      <c r="M71">
        <v>1.88</v>
      </c>
      <c r="N71">
        <v>45.49</v>
      </c>
      <c r="O71">
        <v>0.91</v>
      </c>
      <c r="P71" t="s">
        <v>426</v>
      </c>
      <c r="Q71" t="s">
        <v>426</v>
      </c>
      <c r="R71" t="s">
        <v>426</v>
      </c>
      <c r="S71" t="s">
        <v>426</v>
      </c>
      <c r="T71" t="s">
        <v>426</v>
      </c>
      <c r="U71" t="s">
        <v>426</v>
      </c>
      <c r="V71" t="s">
        <v>426</v>
      </c>
      <c r="W71" t="s">
        <v>426</v>
      </c>
      <c r="X71" t="s">
        <v>426</v>
      </c>
      <c r="Y71">
        <v>0</v>
      </c>
      <c r="Z71">
        <v>0</v>
      </c>
      <c r="AB71">
        <v>0</v>
      </c>
      <c r="AC71">
        <v>0</v>
      </c>
      <c r="AD71">
        <v>0.91</v>
      </c>
      <c r="AE71">
        <v>0</v>
      </c>
      <c r="AF71">
        <v>0</v>
      </c>
      <c r="AG71">
        <v>0</v>
      </c>
      <c r="AH71">
        <v>0</v>
      </c>
      <c r="AI71">
        <v>77</v>
      </c>
      <c r="AZ71" t="s">
        <v>444</v>
      </c>
      <c r="BA71" t="s">
        <v>451</v>
      </c>
      <c r="BB71">
        <v>610769873.70000005</v>
      </c>
      <c r="BC71">
        <v>70</v>
      </c>
      <c r="BD71">
        <v>85</v>
      </c>
    </row>
    <row r="72" spans="1:56" x14ac:dyDescent="0.25">
      <c r="A72" t="s">
        <v>211</v>
      </c>
      <c r="B72" t="s">
        <v>271</v>
      </c>
      <c r="C72" t="s">
        <v>126</v>
      </c>
      <c r="D72">
        <v>475178378</v>
      </c>
      <c r="E72">
        <v>0.2</v>
      </c>
      <c r="F72">
        <v>1</v>
      </c>
      <c r="G72" t="s">
        <v>349</v>
      </c>
      <c r="H72">
        <v>1</v>
      </c>
      <c r="I72">
        <v>3.2050000000000001</v>
      </c>
      <c r="J72">
        <v>3.2549999999999999</v>
      </c>
      <c r="K72">
        <v>0.2</v>
      </c>
      <c r="L72">
        <v>3.2549999999999999</v>
      </c>
      <c r="M72">
        <v>1.88</v>
      </c>
      <c r="N72">
        <v>46.07</v>
      </c>
      <c r="O72">
        <v>0.72</v>
      </c>
      <c r="P72" t="s">
        <v>426</v>
      </c>
      <c r="Q72" t="s">
        <v>426</v>
      </c>
      <c r="R72" t="s">
        <v>426</v>
      </c>
      <c r="S72" t="s">
        <v>426</v>
      </c>
      <c r="T72" t="s">
        <v>426</v>
      </c>
      <c r="U72" t="s">
        <v>426</v>
      </c>
      <c r="V72" t="s">
        <v>426</v>
      </c>
      <c r="W72" t="s">
        <v>426</v>
      </c>
      <c r="X72" t="s">
        <v>426</v>
      </c>
      <c r="Y72">
        <v>0</v>
      </c>
      <c r="Z72">
        <v>0</v>
      </c>
      <c r="AB72">
        <v>0</v>
      </c>
      <c r="AC72">
        <v>0</v>
      </c>
      <c r="AD72">
        <v>0.72</v>
      </c>
      <c r="AE72">
        <v>0</v>
      </c>
      <c r="AF72">
        <v>0</v>
      </c>
      <c r="AG72">
        <v>0</v>
      </c>
      <c r="AH72">
        <v>0</v>
      </c>
      <c r="AI72">
        <v>77</v>
      </c>
      <c r="AZ72" t="s">
        <v>444</v>
      </c>
      <c r="BA72" t="s">
        <v>451</v>
      </c>
      <c r="BB72">
        <v>309341124.07800001</v>
      </c>
      <c r="BC72">
        <v>70</v>
      </c>
      <c r="BD72">
        <v>89</v>
      </c>
    </row>
    <row r="73" spans="1:56" x14ac:dyDescent="0.25">
      <c r="A73" t="s">
        <v>233</v>
      </c>
      <c r="B73" t="s">
        <v>293</v>
      </c>
      <c r="C73" t="s">
        <v>126</v>
      </c>
      <c r="D73">
        <v>383457600</v>
      </c>
      <c r="E73">
        <v>0.95000000000000007</v>
      </c>
      <c r="F73">
        <v>1</v>
      </c>
      <c r="G73" t="s">
        <v>394</v>
      </c>
      <c r="H73">
        <v>1</v>
      </c>
      <c r="I73">
        <v>6.3</v>
      </c>
      <c r="J73">
        <v>5.9950000000000001</v>
      </c>
      <c r="K73">
        <v>0.95000000000000007</v>
      </c>
      <c r="L73">
        <v>5.9950000000000001</v>
      </c>
      <c r="M73">
        <v>1.89</v>
      </c>
      <c r="N73">
        <v>38.83</v>
      </c>
      <c r="O73">
        <v>0.7</v>
      </c>
      <c r="P73" t="s">
        <v>426</v>
      </c>
      <c r="Q73" t="s">
        <v>426</v>
      </c>
      <c r="R73" t="s">
        <v>426</v>
      </c>
      <c r="S73" t="s">
        <v>426</v>
      </c>
      <c r="T73" t="s">
        <v>426</v>
      </c>
      <c r="U73" t="s">
        <v>426</v>
      </c>
      <c r="V73" t="s">
        <v>426</v>
      </c>
      <c r="W73" t="s">
        <v>426</v>
      </c>
      <c r="X73" t="s">
        <v>426</v>
      </c>
      <c r="Y73">
        <v>0</v>
      </c>
      <c r="Z73">
        <v>0</v>
      </c>
      <c r="AB73">
        <v>0</v>
      </c>
      <c r="AC73">
        <v>0</v>
      </c>
      <c r="AD73">
        <v>0.7</v>
      </c>
      <c r="AE73">
        <v>0</v>
      </c>
      <c r="AF73">
        <v>0</v>
      </c>
      <c r="AG73">
        <v>0</v>
      </c>
      <c r="AH73">
        <v>0</v>
      </c>
      <c r="AI73">
        <v>79</v>
      </c>
      <c r="AZ73" t="s">
        <v>444</v>
      </c>
      <c r="BA73" t="s">
        <v>451</v>
      </c>
      <c r="BB73">
        <v>2183886896.4000001</v>
      </c>
      <c r="BC73">
        <v>72</v>
      </c>
      <c r="BD73">
        <v>56</v>
      </c>
    </row>
    <row r="74" spans="1:56" x14ac:dyDescent="0.25">
      <c r="A74" t="s">
        <v>237</v>
      </c>
      <c r="B74" t="s">
        <v>297</v>
      </c>
      <c r="C74" t="s">
        <v>126</v>
      </c>
      <c r="D74">
        <v>19336269</v>
      </c>
      <c r="E74">
        <v>0.4</v>
      </c>
      <c r="F74">
        <v>1</v>
      </c>
      <c r="G74" t="s">
        <v>408</v>
      </c>
      <c r="H74">
        <v>1</v>
      </c>
      <c r="I74">
        <v>144.19999999999999</v>
      </c>
      <c r="J74">
        <v>161.30000000000001</v>
      </c>
      <c r="K74">
        <v>0.4</v>
      </c>
      <c r="L74">
        <v>161.30000000000001</v>
      </c>
      <c r="M74">
        <v>1.9</v>
      </c>
      <c r="N74">
        <v>28.42</v>
      </c>
      <c r="O74">
        <v>0.71</v>
      </c>
      <c r="P74" t="s">
        <v>426</v>
      </c>
      <c r="Q74" t="s">
        <v>426</v>
      </c>
      <c r="R74" t="s">
        <v>426</v>
      </c>
      <c r="S74" t="s">
        <v>426</v>
      </c>
      <c r="T74" t="s">
        <v>426</v>
      </c>
      <c r="U74" t="s">
        <v>426</v>
      </c>
      <c r="V74" t="s">
        <v>426</v>
      </c>
      <c r="W74" t="s">
        <v>426</v>
      </c>
      <c r="X74" t="s">
        <v>426</v>
      </c>
      <c r="Y74">
        <v>0</v>
      </c>
      <c r="Z74">
        <v>0</v>
      </c>
      <c r="AB74">
        <v>0</v>
      </c>
      <c r="AC74">
        <v>0</v>
      </c>
      <c r="AD74">
        <v>0.71</v>
      </c>
      <c r="AE74">
        <v>0</v>
      </c>
      <c r="AF74">
        <v>0</v>
      </c>
      <c r="AG74">
        <v>0</v>
      </c>
      <c r="AH74">
        <v>0</v>
      </c>
      <c r="AI74">
        <v>80</v>
      </c>
      <c r="AZ74" t="s">
        <v>444</v>
      </c>
      <c r="BA74" t="s">
        <v>451</v>
      </c>
      <c r="BB74">
        <v>1247576075.8800001</v>
      </c>
      <c r="BC74">
        <v>73</v>
      </c>
      <c r="BD74">
        <v>67</v>
      </c>
    </row>
    <row r="75" spans="1:56" x14ac:dyDescent="0.25">
      <c r="A75" t="s">
        <v>234</v>
      </c>
      <c r="B75" t="s">
        <v>294</v>
      </c>
      <c r="C75" t="s">
        <v>126</v>
      </c>
      <c r="D75">
        <v>211173467</v>
      </c>
      <c r="E75">
        <v>0.45</v>
      </c>
      <c r="F75">
        <v>1</v>
      </c>
      <c r="G75" t="s">
        <v>405</v>
      </c>
      <c r="H75">
        <v>1</v>
      </c>
      <c r="I75">
        <v>8.8800000000000008</v>
      </c>
      <c r="J75">
        <v>8.5850000000000009</v>
      </c>
      <c r="K75">
        <v>0.45</v>
      </c>
      <c r="L75">
        <v>8.5850000000000009</v>
      </c>
      <c r="M75">
        <v>1.95</v>
      </c>
      <c r="N75">
        <v>52.89</v>
      </c>
      <c r="AI75">
        <v>81</v>
      </c>
      <c r="AZ75" t="s">
        <v>444</v>
      </c>
      <c r="BA75" t="s">
        <v>451</v>
      </c>
      <c r="BB75">
        <v>815815896.38775003</v>
      </c>
      <c r="BC75">
        <v>74</v>
      </c>
      <c r="BD75">
        <v>78</v>
      </c>
    </row>
    <row r="76" spans="1:56" x14ac:dyDescent="0.25">
      <c r="A76" t="s">
        <v>224</v>
      </c>
      <c r="B76" t="s">
        <v>284</v>
      </c>
      <c r="C76" t="s">
        <v>126</v>
      </c>
      <c r="D76">
        <v>262245733</v>
      </c>
      <c r="E76">
        <v>1</v>
      </c>
      <c r="F76">
        <v>1</v>
      </c>
      <c r="G76" t="s">
        <v>367</v>
      </c>
      <c r="H76">
        <v>1</v>
      </c>
      <c r="I76">
        <v>137.65</v>
      </c>
      <c r="J76">
        <v>132.1</v>
      </c>
      <c r="K76">
        <v>1</v>
      </c>
      <c r="L76">
        <v>132.1</v>
      </c>
      <c r="M76">
        <v>1.98</v>
      </c>
      <c r="N76">
        <v>58.9</v>
      </c>
      <c r="O76">
        <v>0.99</v>
      </c>
      <c r="P76" t="s">
        <v>426</v>
      </c>
      <c r="Q76" t="s">
        <v>426</v>
      </c>
      <c r="R76" t="s">
        <v>426</v>
      </c>
      <c r="S76" t="s">
        <v>426</v>
      </c>
      <c r="T76" t="s">
        <v>426</v>
      </c>
      <c r="U76" t="s">
        <v>426</v>
      </c>
      <c r="V76" t="s">
        <v>426</v>
      </c>
      <c r="W76" t="s">
        <v>426</v>
      </c>
      <c r="X76" t="s">
        <v>426</v>
      </c>
      <c r="Y76">
        <v>0</v>
      </c>
      <c r="Z76">
        <v>0</v>
      </c>
      <c r="AB76">
        <v>0</v>
      </c>
      <c r="AC76">
        <v>0</v>
      </c>
      <c r="AD76">
        <v>0.99</v>
      </c>
      <c r="AE76">
        <v>0</v>
      </c>
      <c r="AF76">
        <v>0</v>
      </c>
      <c r="AG76">
        <v>0</v>
      </c>
      <c r="AH76">
        <v>0</v>
      </c>
      <c r="AI76">
        <v>82</v>
      </c>
      <c r="AZ76" t="s">
        <v>444</v>
      </c>
      <c r="BA76" t="s">
        <v>451</v>
      </c>
      <c r="BB76">
        <v>34642661329.300003</v>
      </c>
      <c r="BC76">
        <v>75</v>
      </c>
      <c r="BD76">
        <v>14</v>
      </c>
    </row>
    <row r="77" spans="1:56" x14ac:dyDescent="0.25">
      <c r="A77" t="s">
        <v>227</v>
      </c>
      <c r="B77" t="s">
        <v>287</v>
      </c>
      <c r="C77" t="s">
        <v>126</v>
      </c>
      <c r="D77">
        <v>126414248</v>
      </c>
      <c r="E77">
        <v>0.4</v>
      </c>
      <c r="F77">
        <v>1</v>
      </c>
      <c r="G77" t="s">
        <v>372</v>
      </c>
      <c r="H77">
        <v>1</v>
      </c>
      <c r="I77">
        <v>13.28</v>
      </c>
      <c r="J77">
        <v>13.5</v>
      </c>
      <c r="K77">
        <v>0.4</v>
      </c>
      <c r="L77">
        <v>13.5</v>
      </c>
      <c r="M77">
        <v>1.99</v>
      </c>
      <c r="N77">
        <v>40.19</v>
      </c>
      <c r="AI77">
        <v>83</v>
      </c>
      <c r="AZ77" t="s">
        <v>444</v>
      </c>
      <c r="BA77" t="s">
        <v>451</v>
      </c>
      <c r="BB77">
        <v>682636939.20000005</v>
      </c>
      <c r="BC77">
        <v>76</v>
      </c>
      <c r="BD77">
        <v>82</v>
      </c>
    </row>
    <row r="78" spans="1:56" x14ac:dyDescent="0.25">
      <c r="A78" t="s">
        <v>241</v>
      </c>
      <c r="B78" t="s">
        <v>301</v>
      </c>
      <c r="C78" t="s">
        <v>126</v>
      </c>
      <c r="D78">
        <v>120805103</v>
      </c>
      <c r="E78">
        <v>0.2</v>
      </c>
      <c r="F78">
        <v>1</v>
      </c>
      <c r="G78" t="s">
        <v>415</v>
      </c>
      <c r="H78">
        <v>1</v>
      </c>
      <c r="I78">
        <v>23.5</v>
      </c>
      <c r="J78">
        <v>26.82</v>
      </c>
      <c r="K78">
        <v>0.2</v>
      </c>
      <c r="L78">
        <v>26.82</v>
      </c>
      <c r="M78">
        <v>2.04</v>
      </c>
      <c r="N78">
        <v>63.2</v>
      </c>
      <c r="O78">
        <v>0.93</v>
      </c>
      <c r="P78" t="s">
        <v>426</v>
      </c>
      <c r="Q78" t="s">
        <v>426</v>
      </c>
      <c r="R78" t="s">
        <v>426</v>
      </c>
      <c r="S78" t="s">
        <v>426</v>
      </c>
      <c r="T78" t="s">
        <v>426</v>
      </c>
      <c r="U78" t="s">
        <v>426</v>
      </c>
      <c r="V78" t="s">
        <v>426</v>
      </c>
      <c r="W78" t="s">
        <v>426</v>
      </c>
      <c r="X78" t="s">
        <v>426</v>
      </c>
      <c r="Y78">
        <v>0</v>
      </c>
      <c r="Z78">
        <v>0</v>
      </c>
      <c r="AB78">
        <v>0</v>
      </c>
      <c r="AC78">
        <v>0</v>
      </c>
      <c r="AD78">
        <v>0.93</v>
      </c>
      <c r="AE78">
        <v>0</v>
      </c>
      <c r="AF78">
        <v>0</v>
      </c>
      <c r="AG78">
        <v>0</v>
      </c>
      <c r="AH78">
        <v>0</v>
      </c>
      <c r="AI78">
        <v>84</v>
      </c>
      <c r="AZ78" t="s">
        <v>444</v>
      </c>
      <c r="BA78" t="s">
        <v>451</v>
      </c>
      <c r="BB78">
        <v>647998572.4920001</v>
      </c>
      <c r="BC78">
        <v>77</v>
      </c>
      <c r="BD78">
        <v>84</v>
      </c>
    </row>
    <row r="79" spans="1:56" x14ac:dyDescent="0.25">
      <c r="A79" t="s">
        <v>245</v>
      </c>
      <c r="B79" t="s">
        <v>305</v>
      </c>
      <c r="C79" t="s">
        <v>126</v>
      </c>
      <c r="D79">
        <v>44512038</v>
      </c>
      <c r="E79">
        <v>0.65</v>
      </c>
      <c r="F79">
        <v>1</v>
      </c>
      <c r="G79" t="s">
        <v>422</v>
      </c>
      <c r="H79">
        <v>1</v>
      </c>
      <c r="I79">
        <v>79.5</v>
      </c>
      <c r="J79">
        <v>85.9</v>
      </c>
      <c r="K79">
        <v>0.65</v>
      </c>
      <c r="L79">
        <v>85.9</v>
      </c>
      <c r="M79">
        <v>2.14</v>
      </c>
      <c r="N79">
        <v>64.44</v>
      </c>
      <c r="O79">
        <v>0.89</v>
      </c>
      <c r="P79" t="s">
        <v>426</v>
      </c>
      <c r="Q79" t="s">
        <v>426</v>
      </c>
      <c r="R79" t="s">
        <v>426</v>
      </c>
      <c r="S79" t="s">
        <v>426</v>
      </c>
      <c r="T79" t="s">
        <v>426</v>
      </c>
      <c r="U79" t="s">
        <v>426</v>
      </c>
      <c r="V79" t="s">
        <v>426</v>
      </c>
      <c r="W79" t="s">
        <v>426</v>
      </c>
      <c r="X79" t="s">
        <v>426</v>
      </c>
      <c r="Y79">
        <v>0</v>
      </c>
      <c r="Z79">
        <v>0</v>
      </c>
      <c r="AB79">
        <v>0</v>
      </c>
      <c r="AC79">
        <v>0</v>
      </c>
      <c r="AD79">
        <v>0.89</v>
      </c>
      <c r="AE79">
        <v>0</v>
      </c>
      <c r="AF79">
        <v>0</v>
      </c>
      <c r="AG79">
        <v>0</v>
      </c>
      <c r="AH79">
        <v>0</v>
      </c>
      <c r="AI79">
        <v>85</v>
      </c>
      <c r="AZ79" t="s">
        <v>444</v>
      </c>
      <c r="BA79" t="s">
        <v>451</v>
      </c>
      <c r="BB79">
        <v>2485329641.73</v>
      </c>
      <c r="BC79">
        <v>78</v>
      </c>
      <c r="BD79">
        <v>52</v>
      </c>
    </row>
    <row r="80" spans="1:56" x14ac:dyDescent="0.25">
      <c r="A80" t="s">
        <v>212</v>
      </c>
      <c r="B80" t="s">
        <v>272</v>
      </c>
      <c r="C80" t="s">
        <v>126</v>
      </c>
      <c r="D80">
        <v>17424747</v>
      </c>
      <c r="E80">
        <v>0.55000000000000004</v>
      </c>
      <c r="F80">
        <v>1</v>
      </c>
      <c r="G80" t="s">
        <v>350</v>
      </c>
      <c r="H80">
        <v>1</v>
      </c>
      <c r="I80">
        <v>106.8</v>
      </c>
      <c r="J80">
        <v>115.4</v>
      </c>
      <c r="K80">
        <v>0.55000000000000004</v>
      </c>
      <c r="L80">
        <v>115.4</v>
      </c>
      <c r="M80">
        <v>2.15</v>
      </c>
      <c r="N80">
        <v>24.68</v>
      </c>
      <c r="O80">
        <v>0.72</v>
      </c>
      <c r="P80" t="s">
        <v>426</v>
      </c>
      <c r="Q80" t="s">
        <v>426</v>
      </c>
      <c r="R80" t="s">
        <v>426</v>
      </c>
      <c r="S80" t="s">
        <v>426</v>
      </c>
      <c r="T80" t="s">
        <v>426</v>
      </c>
      <c r="U80" t="s">
        <v>426</v>
      </c>
      <c r="V80" t="s">
        <v>426</v>
      </c>
      <c r="W80" t="s">
        <v>426</v>
      </c>
      <c r="X80" t="s">
        <v>426</v>
      </c>
      <c r="Y80">
        <v>0</v>
      </c>
      <c r="Z80">
        <v>0</v>
      </c>
      <c r="AB80">
        <v>0</v>
      </c>
      <c r="AC80">
        <v>0</v>
      </c>
      <c r="AD80">
        <v>0.72</v>
      </c>
      <c r="AE80">
        <v>0</v>
      </c>
      <c r="AF80">
        <v>0</v>
      </c>
      <c r="AG80">
        <v>0</v>
      </c>
      <c r="AH80">
        <v>0</v>
      </c>
      <c r="AI80">
        <v>86</v>
      </c>
      <c r="AZ80" t="s">
        <v>444</v>
      </c>
      <c r="BA80" t="s">
        <v>451</v>
      </c>
      <c r="BB80">
        <v>1105948692.0899999</v>
      </c>
      <c r="BC80">
        <v>79</v>
      </c>
      <c r="BD80">
        <v>69</v>
      </c>
    </row>
    <row r="81" spans="1:56" x14ac:dyDescent="0.25">
      <c r="A81" t="s">
        <v>244</v>
      </c>
      <c r="B81" t="s">
        <v>304</v>
      </c>
      <c r="C81" t="s">
        <v>126</v>
      </c>
      <c r="D81">
        <v>16721708</v>
      </c>
      <c r="E81">
        <v>0.55000000000000004</v>
      </c>
      <c r="F81">
        <v>1</v>
      </c>
      <c r="G81" t="s">
        <v>421</v>
      </c>
      <c r="H81">
        <v>1</v>
      </c>
      <c r="I81">
        <v>241</v>
      </c>
      <c r="J81">
        <v>212.6</v>
      </c>
      <c r="K81">
        <v>0.55000000000000004</v>
      </c>
      <c r="L81">
        <v>212.6</v>
      </c>
      <c r="M81">
        <v>2.23</v>
      </c>
      <c r="N81">
        <v>48.95</v>
      </c>
      <c r="O81">
        <v>0.91</v>
      </c>
      <c r="P81" t="s">
        <v>426</v>
      </c>
      <c r="Q81" t="s">
        <v>426</v>
      </c>
      <c r="R81" t="s">
        <v>426</v>
      </c>
      <c r="S81" t="s">
        <v>426</v>
      </c>
      <c r="T81" t="s">
        <v>426</v>
      </c>
      <c r="U81" t="s">
        <v>426</v>
      </c>
      <c r="V81" t="s">
        <v>426</v>
      </c>
      <c r="W81" t="s">
        <v>426</v>
      </c>
      <c r="X81" t="s">
        <v>426</v>
      </c>
      <c r="Y81">
        <v>0</v>
      </c>
      <c r="Z81">
        <v>0</v>
      </c>
      <c r="AB81">
        <v>0</v>
      </c>
      <c r="AC81">
        <v>0</v>
      </c>
      <c r="AD81">
        <v>0.91</v>
      </c>
      <c r="AE81">
        <v>0</v>
      </c>
      <c r="AF81">
        <v>0</v>
      </c>
      <c r="AG81">
        <v>0</v>
      </c>
      <c r="AH81">
        <v>0</v>
      </c>
      <c r="AI81">
        <v>87</v>
      </c>
      <c r="AZ81" t="s">
        <v>444</v>
      </c>
      <c r="BA81" t="s">
        <v>451</v>
      </c>
      <c r="BB81">
        <v>1955269316.4400001</v>
      </c>
      <c r="BC81">
        <v>80</v>
      </c>
      <c r="BD81">
        <v>62</v>
      </c>
    </row>
    <row r="82" spans="1:56" x14ac:dyDescent="0.25">
      <c r="A82" t="s">
        <v>204</v>
      </c>
      <c r="B82" t="s">
        <v>264</v>
      </c>
      <c r="C82" t="s">
        <v>126</v>
      </c>
      <c r="D82">
        <v>236664445</v>
      </c>
      <c r="E82">
        <v>0.75</v>
      </c>
      <c r="F82">
        <v>1</v>
      </c>
      <c r="G82" t="s">
        <v>341</v>
      </c>
      <c r="H82">
        <v>1</v>
      </c>
      <c r="I82">
        <v>23.46</v>
      </c>
      <c r="J82">
        <v>25.52</v>
      </c>
      <c r="K82">
        <v>0.75</v>
      </c>
      <c r="L82">
        <v>25.52</v>
      </c>
      <c r="M82">
        <v>2.2400000000000002</v>
      </c>
      <c r="N82">
        <v>55.2</v>
      </c>
      <c r="O82">
        <v>0.93</v>
      </c>
      <c r="P82" t="s">
        <v>426</v>
      </c>
      <c r="Q82" t="s">
        <v>426</v>
      </c>
      <c r="R82" t="s">
        <v>426</v>
      </c>
      <c r="S82" t="s">
        <v>426</v>
      </c>
      <c r="T82" t="s">
        <v>426</v>
      </c>
      <c r="U82" t="s">
        <v>426</v>
      </c>
      <c r="V82" t="s">
        <v>426</v>
      </c>
      <c r="W82" t="s">
        <v>426</v>
      </c>
      <c r="X82" t="s">
        <v>426</v>
      </c>
      <c r="Y82">
        <v>0</v>
      </c>
      <c r="Z82">
        <v>0</v>
      </c>
      <c r="AB82">
        <v>0</v>
      </c>
      <c r="AC82">
        <v>0</v>
      </c>
      <c r="AD82">
        <v>0.93</v>
      </c>
      <c r="AE82">
        <v>0</v>
      </c>
      <c r="AF82">
        <v>0</v>
      </c>
      <c r="AG82">
        <v>0</v>
      </c>
      <c r="AH82">
        <v>0</v>
      </c>
      <c r="AI82">
        <v>88</v>
      </c>
      <c r="AZ82" t="s">
        <v>444</v>
      </c>
      <c r="BA82" t="s">
        <v>451</v>
      </c>
      <c r="BB82">
        <v>4529757477.3000002</v>
      </c>
      <c r="BC82">
        <v>81</v>
      </c>
      <c r="BD82">
        <v>41</v>
      </c>
    </row>
    <row r="83" spans="1:56" x14ac:dyDescent="0.25">
      <c r="A83" t="s">
        <v>226</v>
      </c>
      <c r="B83" t="s">
        <v>286</v>
      </c>
      <c r="C83" t="s">
        <v>126</v>
      </c>
      <c r="D83">
        <v>33083675</v>
      </c>
      <c r="E83">
        <v>0.85000000000000009</v>
      </c>
      <c r="F83">
        <v>1</v>
      </c>
      <c r="K83">
        <v>0.85000000000000009</v>
      </c>
      <c r="L83">
        <v>17.91</v>
      </c>
      <c r="M83">
        <v>2.2799999999999998</v>
      </c>
      <c r="N83">
        <v>56.81</v>
      </c>
      <c r="AI83">
        <v>89</v>
      </c>
      <c r="AZ83" t="s">
        <v>444</v>
      </c>
      <c r="BA83" t="s">
        <v>451</v>
      </c>
      <c r="BB83">
        <v>503649326.36250007</v>
      </c>
      <c r="BC83">
        <v>82</v>
      </c>
      <c r="BD83">
        <v>87</v>
      </c>
    </row>
    <row r="84" spans="1:56" x14ac:dyDescent="0.25">
      <c r="A84" t="s">
        <v>218</v>
      </c>
      <c r="B84" t="s">
        <v>278</v>
      </c>
      <c r="C84" t="s">
        <v>126</v>
      </c>
      <c r="D84">
        <v>6548328</v>
      </c>
      <c r="E84">
        <v>0.45</v>
      </c>
      <c r="F84">
        <v>1</v>
      </c>
      <c r="G84" t="s">
        <v>359</v>
      </c>
      <c r="H84">
        <v>1</v>
      </c>
      <c r="I84">
        <v>411.5</v>
      </c>
      <c r="J84">
        <v>438</v>
      </c>
      <c r="K84">
        <v>0.45</v>
      </c>
      <c r="L84">
        <v>438</v>
      </c>
      <c r="M84">
        <v>2.33</v>
      </c>
      <c r="N84">
        <v>39.14</v>
      </c>
      <c r="O84">
        <v>0.92</v>
      </c>
      <c r="P84" t="s">
        <v>426</v>
      </c>
      <c r="Q84" t="s">
        <v>426</v>
      </c>
      <c r="R84" t="s">
        <v>426</v>
      </c>
      <c r="S84" t="s">
        <v>426</v>
      </c>
      <c r="T84" t="s">
        <v>426</v>
      </c>
      <c r="U84" t="s">
        <v>426</v>
      </c>
      <c r="V84" t="s">
        <v>426</v>
      </c>
      <c r="W84" t="s">
        <v>426</v>
      </c>
      <c r="X84" t="s">
        <v>426</v>
      </c>
      <c r="Y84">
        <v>0</v>
      </c>
      <c r="Z84">
        <v>0</v>
      </c>
      <c r="AB84">
        <v>0</v>
      </c>
      <c r="AC84">
        <v>0</v>
      </c>
      <c r="AD84">
        <v>0.92</v>
      </c>
      <c r="AE84">
        <v>0</v>
      </c>
      <c r="AF84">
        <v>0</v>
      </c>
      <c r="AG84">
        <v>0</v>
      </c>
      <c r="AH84">
        <v>0</v>
      </c>
      <c r="AI84">
        <v>90</v>
      </c>
      <c r="AZ84" t="s">
        <v>444</v>
      </c>
      <c r="BA84" t="s">
        <v>451</v>
      </c>
      <c r="BB84">
        <v>1290675448.8</v>
      </c>
      <c r="BC84">
        <v>83</v>
      </c>
      <c r="BD84">
        <v>66</v>
      </c>
    </row>
    <row r="85" spans="1:56" x14ac:dyDescent="0.25">
      <c r="A85" t="s">
        <v>238</v>
      </c>
      <c r="B85" t="s">
        <v>298</v>
      </c>
      <c r="C85" t="s">
        <v>126</v>
      </c>
      <c r="D85">
        <v>132598642</v>
      </c>
      <c r="E85">
        <v>0.75</v>
      </c>
      <c r="F85">
        <v>1</v>
      </c>
      <c r="G85" t="s">
        <v>409</v>
      </c>
      <c r="H85">
        <v>1</v>
      </c>
      <c r="I85">
        <v>8.36</v>
      </c>
      <c r="J85">
        <v>9.452</v>
      </c>
      <c r="K85">
        <v>0.75</v>
      </c>
      <c r="L85">
        <v>9.452</v>
      </c>
      <c r="M85">
        <v>2.33</v>
      </c>
      <c r="N85">
        <v>52.79</v>
      </c>
      <c r="O85">
        <v>0.84</v>
      </c>
      <c r="P85" t="s">
        <v>427</v>
      </c>
      <c r="Q85" t="s">
        <v>426</v>
      </c>
      <c r="R85" t="s">
        <v>426</v>
      </c>
      <c r="S85" t="s">
        <v>426</v>
      </c>
      <c r="T85" t="s">
        <v>426</v>
      </c>
      <c r="U85" t="s">
        <v>426</v>
      </c>
      <c r="V85" t="s">
        <v>426</v>
      </c>
      <c r="W85" t="s">
        <v>426</v>
      </c>
      <c r="X85" t="s">
        <v>426</v>
      </c>
      <c r="Y85">
        <v>0</v>
      </c>
      <c r="Z85">
        <v>0</v>
      </c>
      <c r="AB85">
        <v>0</v>
      </c>
      <c r="AC85">
        <v>0</v>
      </c>
      <c r="AD85">
        <v>0.84</v>
      </c>
      <c r="AE85">
        <v>0</v>
      </c>
      <c r="AF85">
        <v>0</v>
      </c>
      <c r="AG85">
        <v>0</v>
      </c>
      <c r="AH85">
        <v>0</v>
      </c>
      <c r="AI85">
        <v>90</v>
      </c>
      <c r="AZ85" t="s">
        <v>444</v>
      </c>
      <c r="BA85" t="s">
        <v>451</v>
      </c>
      <c r="BB85">
        <v>939991773.13800001</v>
      </c>
      <c r="BC85">
        <v>83</v>
      </c>
      <c r="BD85">
        <v>74</v>
      </c>
    </row>
    <row r="86" spans="1:56" x14ac:dyDescent="0.25">
      <c r="A86" t="s">
        <v>219</v>
      </c>
      <c r="B86" t="s">
        <v>279</v>
      </c>
      <c r="C86" t="s">
        <v>126</v>
      </c>
      <c r="D86">
        <v>84940955</v>
      </c>
      <c r="E86">
        <v>0.4</v>
      </c>
      <c r="F86">
        <v>1</v>
      </c>
      <c r="G86" t="s">
        <v>360</v>
      </c>
      <c r="H86">
        <v>1</v>
      </c>
      <c r="I86">
        <v>22.48</v>
      </c>
      <c r="J86">
        <v>22.58</v>
      </c>
      <c r="K86">
        <v>0.4</v>
      </c>
      <c r="L86">
        <v>22.58</v>
      </c>
      <c r="M86">
        <v>2.36</v>
      </c>
      <c r="N86">
        <v>52.84</v>
      </c>
      <c r="AI86">
        <v>92</v>
      </c>
      <c r="AZ86" t="s">
        <v>444</v>
      </c>
      <c r="BA86" t="s">
        <v>451</v>
      </c>
      <c r="BB86">
        <v>767186705.56000006</v>
      </c>
      <c r="BC86">
        <v>85</v>
      </c>
      <c r="BD86">
        <v>80</v>
      </c>
    </row>
    <row r="87" spans="1:56" x14ac:dyDescent="0.25">
      <c r="A87" t="s">
        <v>242</v>
      </c>
      <c r="B87" t="s">
        <v>302</v>
      </c>
      <c r="C87" t="s">
        <v>126</v>
      </c>
      <c r="D87">
        <v>8390660</v>
      </c>
      <c r="E87">
        <v>0.5</v>
      </c>
      <c r="F87">
        <v>1</v>
      </c>
      <c r="G87" t="s">
        <v>418</v>
      </c>
      <c r="H87">
        <v>1</v>
      </c>
      <c r="I87">
        <v>313.5</v>
      </c>
      <c r="J87">
        <v>341</v>
      </c>
      <c r="K87">
        <v>0.5</v>
      </c>
      <c r="L87">
        <v>341</v>
      </c>
      <c r="M87">
        <v>2.39</v>
      </c>
      <c r="N87">
        <v>34.5</v>
      </c>
      <c r="O87">
        <v>0.95</v>
      </c>
      <c r="P87" t="s">
        <v>426</v>
      </c>
      <c r="Q87" t="s">
        <v>426</v>
      </c>
      <c r="R87" t="s">
        <v>426</v>
      </c>
      <c r="S87" t="s">
        <v>426</v>
      </c>
      <c r="T87" t="s">
        <v>426</v>
      </c>
      <c r="U87" t="s">
        <v>426</v>
      </c>
      <c r="V87" t="s">
        <v>426</v>
      </c>
      <c r="W87" t="s">
        <v>426</v>
      </c>
      <c r="X87" t="s">
        <v>426</v>
      </c>
      <c r="Y87">
        <v>0</v>
      </c>
      <c r="Z87">
        <v>0</v>
      </c>
      <c r="AB87">
        <v>0</v>
      </c>
      <c r="AC87">
        <v>0</v>
      </c>
      <c r="AD87">
        <v>0.95</v>
      </c>
      <c r="AE87">
        <v>0</v>
      </c>
      <c r="AF87">
        <v>0</v>
      </c>
      <c r="AG87">
        <v>0</v>
      </c>
      <c r="AH87">
        <v>0</v>
      </c>
      <c r="AI87">
        <v>93</v>
      </c>
      <c r="AZ87" t="s">
        <v>444</v>
      </c>
      <c r="BA87" t="s">
        <v>451</v>
      </c>
      <c r="BB87">
        <v>1430607530</v>
      </c>
      <c r="BC87">
        <v>86</v>
      </c>
      <c r="BD87">
        <v>64</v>
      </c>
    </row>
    <row r="88" spans="1:56" x14ac:dyDescent="0.25">
      <c r="A88" t="s">
        <v>189</v>
      </c>
      <c r="B88" t="s">
        <v>249</v>
      </c>
      <c r="C88" t="s">
        <v>126</v>
      </c>
      <c r="D88">
        <v>462029966</v>
      </c>
      <c r="E88">
        <v>0.75</v>
      </c>
      <c r="F88">
        <v>1</v>
      </c>
      <c r="G88" t="s">
        <v>312</v>
      </c>
      <c r="H88">
        <v>1</v>
      </c>
      <c r="I88">
        <v>21.01</v>
      </c>
      <c r="J88">
        <v>21.89</v>
      </c>
      <c r="K88">
        <v>0.75</v>
      </c>
      <c r="L88">
        <v>21.89</v>
      </c>
      <c r="M88">
        <v>2.4500000000000002</v>
      </c>
      <c r="N88">
        <v>66.27</v>
      </c>
      <c r="O88">
        <v>0.92</v>
      </c>
      <c r="P88" t="s">
        <v>426</v>
      </c>
      <c r="Q88" t="s">
        <v>426</v>
      </c>
      <c r="R88" t="s">
        <v>426</v>
      </c>
      <c r="S88" t="s">
        <v>426</v>
      </c>
      <c r="T88" t="s">
        <v>426</v>
      </c>
      <c r="U88" t="s">
        <v>426</v>
      </c>
      <c r="V88" t="s">
        <v>426</v>
      </c>
      <c r="W88" t="s">
        <v>426</v>
      </c>
      <c r="X88" t="s">
        <v>426</v>
      </c>
      <c r="Y88">
        <v>0</v>
      </c>
      <c r="Z88">
        <v>0</v>
      </c>
      <c r="AB88">
        <v>0</v>
      </c>
      <c r="AC88">
        <v>0</v>
      </c>
      <c r="AD88">
        <v>0.92</v>
      </c>
      <c r="AE88">
        <v>0</v>
      </c>
      <c r="AF88">
        <v>0</v>
      </c>
      <c r="AG88">
        <v>0</v>
      </c>
      <c r="AH88">
        <v>0</v>
      </c>
      <c r="AI88">
        <v>94</v>
      </c>
      <c r="AZ88" t="s">
        <v>444</v>
      </c>
      <c r="BA88" t="s">
        <v>451</v>
      </c>
      <c r="BB88">
        <v>7585376966.8050003</v>
      </c>
      <c r="BC88">
        <v>87</v>
      </c>
      <c r="BD88">
        <v>31</v>
      </c>
    </row>
    <row r="89" spans="1:56" x14ac:dyDescent="0.25">
      <c r="A89" t="s">
        <v>210</v>
      </c>
      <c r="B89" t="s">
        <v>270</v>
      </c>
      <c r="C89" t="s">
        <v>126</v>
      </c>
      <c r="D89">
        <v>182163000</v>
      </c>
      <c r="E89">
        <v>0.65</v>
      </c>
      <c r="F89">
        <v>1</v>
      </c>
      <c r="G89" t="s">
        <v>347</v>
      </c>
      <c r="H89">
        <v>1</v>
      </c>
      <c r="I89">
        <v>62.64</v>
      </c>
      <c r="J89">
        <v>68.36</v>
      </c>
      <c r="K89">
        <v>0.65</v>
      </c>
      <c r="L89">
        <v>68.36</v>
      </c>
      <c r="M89">
        <v>2.46</v>
      </c>
      <c r="N89">
        <v>58.08</v>
      </c>
      <c r="O89">
        <v>0.72</v>
      </c>
      <c r="P89" t="s">
        <v>426</v>
      </c>
      <c r="Q89" t="s">
        <v>426</v>
      </c>
      <c r="R89" t="s">
        <v>426</v>
      </c>
      <c r="S89" t="s">
        <v>426</v>
      </c>
      <c r="T89" t="s">
        <v>426</v>
      </c>
      <c r="U89" t="s">
        <v>426</v>
      </c>
      <c r="V89" t="s">
        <v>426</v>
      </c>
      <c r="W89" t="s">
        <v>426</v>
      </c>
      <c r="X89" t="s">
        <v>426</v>
      </c>
      <c r="Y89">
        <v>0</v>
      </c>
      <c r="Z89">
        <v>0</v>
      </c>
      <c r="AB89">
        <v>0</v>
      </c>
      <c r="AC89">
        <v>0</v>
      </c>
      <c r="AD89">
        <v>0.72</v>
      </c>
      <c r="AE89">
        <v>0</v>
      </c>
      <c r="AF89">
        <v>0</v>
      </c>
      <c r="AG89">
        <v>0</v>
      </c>
      <c r="AH89">
        <v>0</v>
      </c>
      <c r="AI89">
        <v>95</v>
      </c>
      <c r="AZ89" t="s">
        <v>444</v>
      </c>
      <c r="BA89" t="s">
        <v>451</v>
      </c>
      <c r="BB89">
        <v>8094230742.000001</v>
      </c>
      <c r="BC89">
        <v>88</v>
      </c>
      <c r="BD89">
        <v>29</v>
      </c>
    </row>
    <row r="90" spans="1:56" x14ac:dyDescent="0.25">
      <c r="A90" t="s">
        <v>221</v>
      </c>
      <c r="B90" t="s">
        <v>281</v>
      </c>
      <c r="C90" t="s">
        <v>126</v>
      </c>
      <c r="D90">
        <v>214128663</v>
      </c>
      <c r="E90">
        <v>0.3</v>
      </c>
      <c r="F90">
        <v>1</v>
      </c>
      <c r="G90" t="s">
        <v>364</v>
      </c>
      <c r="H90">
        <v>1</v>
      </c>
      <c r="I90">
        <v>15.51</v>
      </c>
      <c r="J90">
        <v>15.08</v>
      </c>
      <c r="K90">
        <v>0.3</v>
      </c>
      <c r="L90">
        <v>15.08</v>
      </c>
      <c r="M90">
        <v>2.46</v>
      </c>
      <c r="N90">
        <v>68.34</v>
      </c>
      <c r="O90">
        <v>0.92</v>
      </c>
      <c r="P90" t="s">
        <v>426</v>
      </c>
      <c r="Q90" t="s">
        <v>426</v>
      </c>
      <c r="R90" t="s">
        <v>426</v>
      </c>
      <c r="S90" t="s">
        <v>426</v>
      </c>
      <c r="T90" t="s">
        <v>426</v>
      </c>
      <c r="U90" t="s">
        <v>426</v>
      </c>
      <c r="V90" t="s">
        <v>426</v>
      </c>
      <c r="W90" t="s">
        <v>426</v>
      </c>
      <c r="X90" t="s">
        <v>426</v>
      </c>
      <c r="Y90">
        <v>0</v>
      </c>
      <c r="Z90">
        <v>0</v>
      </c>
      <c r="AB90">
        <v>0</v>
      </c>
      <c r="AC90">
        <v>0</v>
      </c>
      <c r="AD90">
        <v>0.92</v>
      </c>
      <c r="AE90">
        <v>0</v>
      </c>
      <c r="AF90">
        <v>0</v>
      </c>
      <c r="AG90">
        <v>0</v>
      </c>
      <c r="AH90">
        <v>0</v>
      </c>
      <c r="AI90">
        <v>95</v>
      </c>
      <c r="AZ90" t="s">
        <v>444</v>
      </c>
      <c r="BA90" t="s">
        <v>451</v>
      </c>
      <c r="BB90">
        <v>968718071.41200018</v>
      </c>
      <c r="BC90">
        <v>88</v>
      </c>
      <c r="BD90">
        <v>71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P60"/>
  <sheetViews>
    <sheetView tabSelected="1" workbookViewId="0">
      <selection activeCell="H9" sqref="H9"/>
    </sheetView>
  </sheetViews>
  <sheetFormatPr defaultRowHeight="15" x14ac:dyDescent="0.25"/>
  <cols>
    <col min="1" max="1" width="22.28515625" bestFit="1" customWidth="1"/>
    <col min="2" max="2" width="13.85546875" bestFit="1" customWidth="1"/>
    <col min="3" max="3" width="6.140625" bestFit="1" customWidth="1"/>
    <col min="4" max="4" width="11" bestFit="1" customWidth="1"/>
    <col min="5" max="5" width="13.5703125" bestFit="1" customWidth="1"/>
    <col min="6" max="6" width="8.140625" bestFit="1" customWidth="1"/>
    <col min="7" max="7" width="10.140625" bestFit="1" customWidth="1"/>
    <col min="8" max="8" width="12.42578125" bestFit="1" customWidth="1"/>
    <col min="9" max="9" width="13.85546875" bestFit="1" customWidth="1"/>
    <col min="10" max="10" width="12.5703125" bestFit="1" customWidth="1"/>
    <col min="11" max="11" width="9.85546875" bestFit="1" customWidth="1"/>
    <col min="12" max="12" width="8.85546875" bestFit="1" customWidth="1"/>
    <col min="13" max="13" width="34" bestFit="1" customWidth="1"/>
    <col min="14" max="14" width="22" bestFit="1" customWidth="1"/>
    <col min="15" max="15" width="40.85546875" bestFit="1" customWidth="1"/>
    <col min="16" max="16" width="15.7109375" bestFit="1" customWidth="1"/>
    <col min="17" max="17" width="33.140625" bestFit="1" customWidth="1"/>
    <col min="18" max="18" width="31.140625" bestFit="1" customWidth="1"/>
    <col min="19" max="19" width="30.7109375" bestFit="1" customWidth="1"/>
    <col min="20" max="20" width="29.42578125" bestFit="1" customWidth="1"/>
    <col min="21" max="21" width="30.140625" bestFit="1" customWidth="1"/>
    <col min="22" max="22" width="31.85546875" bestFit="1" customWidth="1"/>
    <col min="23" max="23" width="41.140625" bestFit="1" customWidth="1"/>
    <col min="24" max="24" width="40.42578125" bestFit="1" customWidth="1"/>
    <col min="25" max="25" width="56.7109375" bestFit="1" customWidth="1"/>
    <col min="26" max="26" width="62.5703125" bestFit="1" customWidth="1"/>
    <col min="27" max="27" width="35.5703125" bestFit="1" customWidth="1"/>
    <col min="28" max="28" width="56.7109375" bestFit="1" customWidth="1"/>
    <col min="29" max="29" width="55.7109375" bestFit="1" customWidth="1"/>
    <col min="30" max="30" width="20" bestFit="1" customWidth="1"/>
    <col min="31" max="31" width="19.85546875" bestFit="1" customWidth="1"/>
    <col min="32" max="32" width="22.85546875" bestFit="1" customWidth="1"/>
    <col min="33" max="33" width="17.42578125" bestFit="1" customWidth="1"/>
    <col min="34" max="34" width="16.28515625" bestFit="1" customWidth="1"/>
    <col min="35" max="35" width="19" bestFit="1" customWidth="1"/>
    <col min="36" max="36" width="23.140625" bestFit="1" customWidth="1"/>
    <col min="37" max="37" width="26.7109375" bestFit="1" customWidth="1"/>
    <col min="38" max="38" width="20.7109375" bestFit="1" customWidth="1"/>
    <col min="39" max="39" width="30.140625" bestFit="1" customWidth="1"/>
    <col min="40" max="40" width="29.7109375" bestFit="1" customWidth="1"/>
    <col min="41" max="41" width="28.42578125" bestFit="1" customWidth="1"/>
    <col min="42" max="42" width="29" bestFit="1" customWidth="1"/>
    <col min="43" max="43" width="30.85546875" bestFit="1" customWidth="1"/>
    <col min="44" max="44" width="35.85546875" bestFit="1" customWidth="1"/>
    <col min="45" max="45" width="30.140625" bestFit="1" customWidth="1"/>
    <col min="46" max="46" width="24" bestFit="1" customWidth="1"/>
    <col min="47" max="47" width="27" bestFit="1" customWidth="1"/>
    <col min="48" max="48" width="21.5703125" bestFit="1" customWidth="1"/>
    <col min="49" max="49" width="24.5703125" bestFit="1" customWidth="1"/>
    <col min="50" max="50" width="26.5703125" bestFit="1" customWidth="1"/>
    <col min="51" max="51" width="31" bestFit="1" customWidth="1"/>
    <col min="52" max="52" width="18.28515625" bestFit="1" customWidth="1"/>
    <col min="53" max="53" width="9" bestFit="1" customWidth="1"/>
    <col min="54" max="54" width="12" bestFit="1" customWidth="1"/>
    <col min="55" max="55" width="28" bestFit="1" customWidth="1"/>
    <col min="56" max="56" width="10.7109375" bestFit="1" customWidth="1"/>
    <col min="57" max="57" width="10.140625" bestFit="1" customWidth="1"/>
    <col min="58" max="58" width="12" bestFit="1" customWidth="1"/>
    <col min="59" max="60" width="12" customWidth="1"/>
    <col min="61" max="61" width="13.28515625" bestFit="1" customWidth="1"/>
    <col min="62" max="62" width="14.85546875" bestFit="1" customWidth="1"/>
    <col min="63" max="63" width="14.140625" bestFit="1" customWidth="1"/>
    <col min="64" max="64" width="9.5703125" bestFit="1" customWidth="1"/>
    <col min="65" max="65" width="16.85546875" bestFit="1" customWidth="1"/>
    <col min="66" max="66" width="14.7109375" bestFit="1" customWidth="1"/>
    <col min="67" max="67" width="23.140625" bestFit="1" customWidth="1"/>
    <col min="68" max="68" width="15.28515625" bestFit="1" customWidth="1"/>
  </cols>
  <sheetData>
    <row r="1" spans="1:68" x14ac:dyDescent="0.25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4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184</v>
      </c>
      <c r="BA1" s="1" t="s">
        <v>185</v>
      </c>
      <c r="BB1" s="1" t="s">
        <v>452</v>
      </c>
      <c r="BC1" s="1" t="s">
        <v>453</v>
      </c>
      <c r="BD1" s="1" t="s">
        <v>454</v>
      </c>
      <c r="BE1" s="1" t="s">
        <v>455</v>
      </c>
      <c r="BF1" s="1" t="s">
        <v>456</v>
      </c>
      <c r="BG1" s="1"/>
      <c r="BH1" s="1"/>
      <c r="BI1" s="1" t="s">
        <v>457</v>
      </c>
      <c r="BJ1" s="1" t="s">
        <v>458</v>
      </c>
      <c r="BK1" s="1" t="s">
        <v>5</v>
      </c>
      <c r="BL1" s="1" t="s">
        <v>459</v>
      </c>
      <c r="BM1" s="1" t="s">
        <v>460</v>
      </c>
      <c r="BN1" s="1" t="s">
        <v>461</v>
      </c>
      <c r="BO1" s="1" t="s">
        <v>6</v>
      </c>
      <c r="BP1" s="1" t="s">
        <v>462</v>
      </c>
    </row>
    <row r="2" spans="1:68" x14ac:dyDescent="0.25">
      <c r="A2" t="s">
        <v>34</v>
      </c>
      <c r="B2" t="s">
        <v>93</v>
      </c>
      <c r="C2" t="s">
        <v>126</v>
      </c>
      <c r="D2">
        <v>43744779</v>
      </c>
      <c r="E2">
        <v>0.8</v>
      </c>
      <c r="F2">
        <v>1</v>
      </c>
      <c r="G2" t="s">
        <v>374</v>
      </c>
      <c r="H2">
        <v>1</v>
      </c>
      <c r="I2">
        <v>133.9</v>
      </c>
      <c r="J2">
        <v>137</v>
      </c>
      <c r="K2">
        <v>0.8</v>
      </c>
      <c r="L2">
        <v>137</v>
      </c>
      <c r="M2">
        <v>0.2</v>
      </c>
      <c r="N2">
        <v>62.12</v>
      </c>
      <c r="O2">
        <v>0.97</v>
      </c>
      <c r="P2" t="s">
        <v>426</v>
      </c>
      <c r="Q2" t="s">
        <v>426</v>
      </c>
      <c r="R2" t="s">
        <v>426</v>
      </c>
      <c r="S2" t="s">
        <v>426</v>
      </c>
      <c r="T2" t="s">
        <v>426</v>
      </c>
      <c r="U2" t="s">
        <v>426</v>
      </c>
      <c r="V2" t="s">
        <v>426</v>
      </c>
      <c r="W2" t="s">
        <v>426</v>
      </c>
      <c r="X2" t="s">
        <v>426</v>
      </c>
      <c r="Y2">
        <v>0</v>
      </c>
      <c r="Z2">
        <v>0</v>
      </c>
      <c r="AB2">
        <v>0</v>
      </c>
      <c r="AC2">
        <v>0</v>
      </c>
      <c r="AD2">
        <v>0.97</v>
      </c>
      <c r="AE2">
        <v>0</v>
      </c>
      <c r="AF2">
        <v>0</v>
      </c>
      <c r="AG2">
        <v>0</v>
      </c>
      <c r="AH2">
        <v>0</v>
      </c>
      <c r="AI2">
        <v>2</v>
      </c>
      <c r="AZ2" t="s">
        <v>444</v>
      </c>
      <c r="BA2" t="s">
        <v>451</v>
      </c>
      <c r="BB2">
        <v>4794427778.4000006</v>
      </c>
      <c r="BC2">
        <v>1</v>
      </c>
      <c r="BD2">
        <v>40</v>
      </c>
      <c r="BE2" t="s">
        <v>374</v>
      </c>
      <c r="BF2">
        <v>4685940726.4799995</v>
      </c>
      <c r="BG2">
        <f>_xlfn.XLOOKUP(B2,[1]FCLSP!$C$10:$C$69,[1]FCLSP!$M$10:$M$69)</f>
        <v>4685940726.4800005</v>
      </c>
      <c r="BH2" t="b">
        <f>BG2=BF2</f>
        <v>1</v>
      </c>
      <c r="BI2">
        <v>4.0343226971339659E-3</v>
      </c>
      <c r="BJ2">
        <v>4.0979840076531323E-3</v>
      </c>
      <c r="BK2">
        <v>1.015779925231165</v>
      </c>
      <c r="BL2" t="b">
        <v>0</v>
      </c>
      <c r="BM2">
        <v>33537624.25313976</v>
      </c>
      <c r="BN2">
        <v>33537624</v>
      </c>
      <c r="BO2" t="s">
        <v>129</v>
      </c>
      <c r="BP2" t="s">
        <v>130</v>
      </c>
    </row>
    <row r="3" spans="1:68" x14ac:dyDescent="0.25">
      <c r="A3" t="s">
        <v>33</v>
      </c>
      <c r="B3" t="s">
        <v>92</v>
      </c>
      <c r="C3" t="s">
        <v>126</v>
      </c>
      <c r="D3">
        <v>24418312</v>
      </c>
      <c r="E3">
        <v>0.85000000000000009</v>
      </c>
      <c r="F3">
        <v>1</v>
      </c>
      <c r="G3" t="s">
        <v>371</v>
      </c>
      <c r="H3">
        <v>1</v>
      </c>
      <c r="I3">
        <v>23.9</v>
      </c>
      <c r="J3">
        <v>25.35</v>
      </c>
      <c r="K3">
        <v>0.85000000000000009</v>
      </c>
      <c r="L3">
        <v>25.35</v>
      </c>
      <c r="M3">
        <v>0.23</v>
      </c>
      <c r="N3">
        <v>42.63</v>
      </c>
      <c r="AI3">
        <v>3</v>
      </c>
      <c r="AZ3" t="s">
        <v>444</v>
      </c>
      <c r="BA3" t="s">
        <v>451</v>
      </c>
      <c r="BB3">
        <v>526153577.82000011</v>
      </c>
      <c r="BC3">
        <v>2</v>
      </c>
      <c r="BD3">
        <v>86</v>
      </c>
      <c r="BE3" t="s">
        <v>371</v>
      </c>
      <c r="BF3">
        <v>496058008.27999997</v>
      </c>
      <c r="BG3">
        <f>_xlfn.XLOOKUP(B3,[1]FCLSP!$C$10:$C$69,[1]FCLSP!$M$10:$M$69)</f>
        <v>496058008.28000003</v>
      </c>
      <c r="BH3" t="b">
        <f t="shared" ref="BH3:BH60" si="0">BG3=BF3</f>
        <v>1</v>
      </c>
      <c r="BI3">
        <v>4.2707712254874903E-4</v>
      </c>
      <c r="BJ3">
        <v>4.3381636761050942E-4</v>
      </c>
      <c r="BK3">
        <v>1.015779925231165</v>
      </c>
      <c r="BL3" t="b">
        <v>0</v>
      </c>
      <c r="BM3">
        <v>19187154.498242021</v>
      </c>
      <c r="BN3">
        <v>19187154</v>
      </c>
      <c r="BO3" t="s">
        <v>129</v>
      </c>
      <c r="BP3" t="s">
        <v>130</v>
      </c>
    </row>
    <row r="4" spans="1:68" x14ac:dyDescent="0.25">
      <c r="A4" t="s">
        <v>15</v>
      </c>
      <c r="B4" t="s">
        <v>74</v>
      </c>
      <c r="C4" t="s">
        <v>126</v>
      </c>
      <c r="D4">
        <v>2168222821</v>
      </c>
      <c r="E4">
        <v>0.85000000000000009</v>
      </c>
      <c r="F4">
        <v>1</v>
      </c>
      <c r="G4" t="s">
        <v>320</v>
      </c>
      <c r="H4">
        <v>1</v>
      </c>
      <c r="I4">
        <v>39.700000000000003</v>
      </c>
      <c r="J4">
        <v>42.59</v>
      </c>
      <c r="K4">
        <v>0.85000000000000009</v>
      </c>
      <c r="L4">
        <v>42.59</v>
      </c>
      <c r="M4">
        <v>0.28999999999999998</v>
      </c>
      <c r="N4">
        <v>59.15</v>
      </c>
      <c r="O4">
        <v>0.96</v>
      </c>
      <c r="P4" t="s">
        <v>426</v>
      </c>
      <c r="Q4" t="s">
        <v>426</v>
      </c>
      <c r="R4" t="s">
        <v>426</v>
      </c>
      <c r="S4" t="s">
        <v>426</v>
      </c>
      <c r="T4" t="s">
        <v>426</v>
      </c>
      <c r="U4" t="s">
        <v>426</v>
      </c>
      <c r="V4" t="s">
        <v>426</v>
      </c>
      <c r="W4" t="s">
        <v>426</v>
      </c>
      <c r="X4" t="s">
        <v>426</v>
      </c>
      <c r="Y4">
        <v>0</v>
      </c>
      <c r="Z4">
        <v>0</v>
      </c>
      <c r="AB4">
        <v>0</v>
      </c>
      <c r="AC4">
        <v>0</v>
      </c>
      <c r="AD4">
        <v>0.96</v>
      </c>
      <c r="AE4">
        <v>0</v>
      </c>
      <c r="AF4">
        <v>0</v>
      </c>
      <c r="AG4">
        <v>0</v>
      </c>
      <c r="AH4">
        <v>0</v>
      </c>
      <c r="AI4">
        <v>4</v>
      </c>
      <c r="AZ4" t="s">
        <v>444</v>
      </c>
      <c r="BA4" t="s">
        <v>451</v>
      </c>
      <c r="BB4">
        <v>78492918454.431519</v>
      </c>
      <c r="BC4">
        <v>3</v>
      </c>
      <c r="BD4">
        <v>8</v>
      </c>
      <c r="BE4" t="s">
        <v>320</v>
      </c>
      <c r="BF4">
        <v>73166679094.645004</v>
      </c>
      <c r="BG4">
        <f>_xlfn.XLOOKUP(B4,[1]FCLSP!$C$10:$C$69,[1]FCLSP!$M$10:$M$69)</f>
        <v>73166679094.64502</v>
      </c>
      <c r="BH4" t="b">
        <f t="shared" si="0"/>
        <v>1</v>
      </c>
      <c r="BI4">
        <v>6.2992259478957674E-2</v>
      </c>
      <c r="BJ4">
        <v>6.3986272623677773E-2</v>
      </c>
      <c r="BK4">
        <v>1.015779925231165</v>
      </c>
      <c r="BL4" t="b">
        <v>0</v>
      </c>
      <c r="BM4">
        <v>1684464158.36218</v>
      </c>
      <c r="BN4">
        <v>1684464158</v>
      </c>
      <c r="BO4" t="s">
        <v>129</v>
      </c>
      <c r="BP4" t="s">
        <v>130</v>
      </c>
    </row>
    <row r="5" spans="1:68" x14ac:dyDescent="0.25">
      <c r="A5" t="s">
        <v>44</v>
      </c>
      <c r="B5" t="s">
        <v>103</v>
      </c>
      <c r="C5" t="s">
        <v>126</v>
      </c>
      <c r="D5">
        <v>423632587</v>
      </c>
      <c r="E5">
        <v>0.85000000000000009</v>
      </c>
      <c r="F5">
        <v>1</v>
      </c>
      <c r="G5" t="s">
        <v>388</v>
      </c>
      <c r="H5">
        <v>1</v>
      </c>
      <c r="I5">
        <v>283.8</v>
      </c>
      <c r="J5">
        <v>290.5</v>
      </c>
      <c r="K5">
        <v>0.85000000000000009</v>
      </c>
      <c r="L5">
        <v>290.5</v>
      </c>
      <c r="M5">
        <v>0.33</v>
      </c>
      <c r="N5">
        <v>47.91</v>
      </c>
      <c r="O5">
        <v>0.89</v>
      </c>
      <c r="P5" t="s">
        <v>426</v>
      </c>
      <c r="Q5" t="s">
        <v>426</v>
      </c>
      <c r="R5" t="s">
        <v>426</v>
      </c>
      <c r="S5" t="s">
        <v>426</v>
      </c>
      <c r="T5" t="s">
        <v>426</v>
      </c>
      <c r="U5" t="s">
        <v>426</v>
      </c>
      <c r="V5" t="s">
        <v>426</v>
      </c>
      <c r="W5" t="s">
        <v>426</v>
      </c>
      <c r="X5" t="s">
        <v>426</v>
      </c>
      <c r="Y5">
        <v>0</v>
      </c>
      <c r="Z5">
        <v>0</v>
      </c>
      <c r="AB5">
        <v>0</v>
      </c>
      <c r="AC5">
        <v>0</v>
      </c>
      <c r="AD5">
        <v>0.89</v>
      </c>
      <c r="AE5">
        <v>0</v>
      </c>
      <c r="AF5">
        <v>0</v>
      </c>
      <c r="AG5">
        <v>0</v>
      </c>
      <c r="AH5">
        <v>0</v>
      </c>
      <c r="AI5">
        <v>5</v>
      </c>
      <c r="AZ5" t="s">
        <v>444</v>
      </c>
      <c r="BA5" t="s">
        <v>451</v>
      </c>
      <c r="BB5">
        <v>104605476544.97501</v>
      </c>
      <c r="BC5">
        <v>4</v>
      </c>
      <c r="BD5">
        <v>4</v>
      </c>
      <c r="BE5" t="s">
        <v>388</v>
      </c>
      <c r="BF5">
        <v>102192888962.00999</v>
      </c>
      <c r="BG5">
        <f>_xlfn.XLOOKUP(B5,[1]FCLSP!$C$10:$C$69,[1]FCLSP!$M$10:$M$69)</f>
        <v>102192888962.01001</v>
      </c>
      <c r="BH5" t="b">
        <f t="shared" si="0"/>
        <v>1</v>
      </c>
      <c r="BI5">
        <v>8.7982139657755615E-2</v>
      </c>
      <c r="BJ5">
        <v>8.9370491243232916E-2</v>
      </c>
      <c r="BK5">
        <v>1.015779925231165</v>
      </c>
      <c r="BL5" t="b">
        <v>0</v>
      </c>
      <c r="BM5">
        <v>344929716.1466006</v>
      </c>
      <c r="BN5">
        <v>344929716</v>
      </c>
      <c r="BO5" t="s">
        <v>129</v>
      </c>
      <c r="BP5" t="s">
        <v>130</v>
      </c>
    </row>
    <row r="6" spans="1:68" x14ac:dyDescent="0.25">
      <c r="A6" t="s">
        <v>14</v>
      </c>
      <c r="B6" t="s">
        <v>73</v>
      </c>
      <c r="C6" t="s">
        <v>126</v>
      </c>
      <c r="D6">
        <v>19035872</v>
      </c>
      <c r="E6">
        <v>1</v>
      </c>
      <c r="F6">
        <v>1</v>
      </c>
      <c r="G6" t="s">
        <v>319</v>
      </c>
      <c r="H6">
        <v>1</v>
      </c>
      <c r="I6">
        <v>45.9</v>
      </c>
      <c r="J6">
        <v>43.96</v>
      </c>
      <c r="K6">
        <v>1</v>
      </c>
      <c r="L6">
        <v>43.96</v>
      </c>
      <c r="M6">
        <v>0.33</v>
      </c>
      <c r="N6">
        <v>64.5</v>
      </c>
      <c r="O6">
        <v>0.87</v>
      </c>
      <c r="P6" t="s">
        <v>426</v>
      </c>
      <c r="Q6" t="s">
        <v>426</v>
      </c>
      <c r="R6" t="s">
        <v>426</v>
      </c>
      <c r="S6" t="s">
        <v>426</v>
      </c>
      <c r="T6" t="s">
        <v>426</v>
      </c>
      <c r="U6" t="s">
        <v>426</v>
      </c>
      <c r="V6" t="s">
        <v>426</v>
      </c>
      <c r="W6" t="s">
        <v>426</v>
      </c>
      <c r="X6" t="s">
        <v>426</v>
      </c>
      <c r="Y6">
        <v>0</v>
      </c>
      <c r="Z6">
        <v>0</v>
      </c>
      <c r="AB6">
        <v>0</v>
      </c>
      <c r="AC6">
        <v>0</v>
      </c>
      <c r="AD6">
        <v>0.87</v>
      </c>
      <c r="AE6">
        <v>0</v>
      </c>
      <c r="AF6">
        <v>0</v>
      </c>
      <c r="AG6">
        <v>0</v>
      </c>
      <c r="AH6">
        <v>0</v>
      </c>
      <c r="AI6">
        <v>5</v>
      </c>
      <c r="AZ6" t="s">
        <v>444</v>
      </c>
      <c r="BA6" t="s">
        <v>451</v>
      </c>
      <c r="BB6">
        <v>836816933.12</v>
      </c>
      <c r="BC6">
        <v>4</v>
      </c>
      <c r="BD6">
        <v>76</v>
      </c>
      <c r="BE6" t="s">
        <v>319</v>
      </c>
      <c r="BF6">
        <v>873746524.79999995</v>
      </c>
      <c r="BG6">
        <f>_xlfn.XLOOKUP(B6,[1]FCLSP!$C$10:$C$69,[1]FCLSP!$M$10:$M$69)</f>
        <v>873746524.79999995</v>
      </c>
      <c r="BH6" t="b">
        <f t="shared" si="0"/>
        <v>1</v>
      </c>
      <c r="BI6">
        <v>7.522449903437997E-4</v>
      </c>
      <c r="BJ6">
        <v>7.6411536004694343E-4</v>
      </c>
      <c r="BK6">
        <v>1.015779925231165</v>
      </c>
      <c r="BL6" t="b">
        <v>0</v>
      </c>
      <c r="BM6">
        <v>19488743.904100109</v>
      </c>
      <c r="BN6">
        <v>19488744</v>
      </c>
      <c r="BO6" t="s">
        <v>129</v>
      </c>
      <c r="BP6" t="s">
        <v>130</v>
      </c>
    </row>
    <row r="7" spans="1:68" x14ac:dyDescent="0.25">
      <c r="A7" t="s">
        <v>41</v>
      </c>
      <c r="B7" t="s">
        <v>100</v>
      </c>
      <c r="C7" t="s">
        <v>126</v>
      </c>
      <c r="D7">
        <v>299036619</v>
      </c>
      <c r="E7">
        <v>0.75</v>
      </c>
      <c r="F7">
        <v>1</v>
      </c>
      <c r="G7" t="s">
        <v>384</v>
      </c>
      <c r="H7">
        <v>1</v>
      </c>
      <c r="I7">
        <v>28.01</v>
      </c>
      <c r="J7">
        <v>28.21</v>
      </c>
      <c r="K7">
        <v>0.75</v>
      </c>
      <c r="L7">
        <v>28.21</v>
      </c>
      <c r="M7">
        <v>0.34</v>
      </c>
      <c r="N7">
        <v>59.47</v>
      </c>
      <c r="O7">
        <v>0.98</v>
      </c>
      <c r="P7" t="s">
        <v>426</v>
      </c>
      <c r="Q7" t="s">
        <v>426</v>
      </c>
      <c r="R7" t="s">
        <v>426</v>
      </c>
      <c r="S7" t="s">
        <v>426</v>
      </c>
      <c r="T7" t="s">
        <v>426</v>
      </c>
      <c r="U7" t="s">
        <v>426</v>
      </c>
      <c r="V7" t="s">
        <v>426</v>
      </c>
      <c r="W7" t="s">
        <v>426</v>
      </c>
      <c r="X7" t="s">
        <v>426</v>
      </c>
      <c r="Y7">
        <v>0</v>
      </c>
      <c r="Z7">
        <v>0</v>
      </c>
      <c r="AB7">
        <v>0</v>
      </c>
      <c r="AC7">
        <v>0</v>
      </c>
      <c r="AD7">
        <v>0.98</v>
      </c>
      <c r="AE7">
        <v>0</v>
      </c>
      <c r="AF7">
        <v>0</v>
      </c>
      <c r="AG7">
        <v>0</v>
      </c>
      <c r="AH7">
        <v>0</v>
      </c>
      <c r="AI7">
        <v>7</v>
      </c>
      <c r="AZ7" t="s">
        <v>444</v>
      </c>
      <c r="BA7" t="s">
        <v>451</v>
      </c>
      <c r="BB7">
        <v>6326867266.4924994</v>
      </c>
      <c r="BC7">
        <v>6</v>
      </c>
      <c r="BD7">
        <v>34</v>
      </c>
      <c r="BE7" t="s">
        <v>384</v>
      </c>
      <c r="BF7">
        <v>6282011773.6424999</v>
      </c>
      <c r="BG7">
        <f>_xlfn.XLOOKUP(B7,[1]FCLSP!$C$10:$C$69,[1]FCLSP!$M$10:$M$69)</f>
        <v>6282011773.6424999</v>
      </c>
      <c r="BH7" t="b">
        <f t="shared" si="0"/>
        <v>1</v>
      </c>
      <c r="BI7">
        <v>5.4084471318326882E-3</v>
      </c>
      <c r="BJ7">
        <v>5.4937920231897166E-3</v>
      </c>
      <c r="BK7">
        <v>1.015779925231165</v>
      </c>
      <c r="BL7" t="b">
        <v>0</v>
      </c>
      <c r="BM7">
        <v>218349263.2644462</v>
      </c>
      <c r="BN7">
        <v>218349263</v>
      </c>
      <c r="BO7" t="s">
        <v>129</v>
      </c>
      <c r="BP7" t="s">
        <v>130</v>
      </c>
    </row>
    <row r="8" spans="1:68" x14ac:dyDescent="0.25">
      <c r="A8" t="s">
        <v>9</v>
      </c>
      <c r="B8" t="s">
        <v>68</v>
      </c>
      <c r="C8" t="s">
        <v>126</v>
      </c>
      <c r="D8">
        <v>262769869</v>
      </c>
      <c r="E8">
        <v>0.55000000000000004</v>
      </c>
      <c r="F8">
        <v>1</v>
      </c>
      <c r="G8" t="s">
        <v>309</v>
      </c>
      <c r="H8">
        <v>1</v>
      </c>
      <c r="I8">
        <v>12.21</v>
      </c>
      <c r="J8">
        <v>14.93</v>
      </c>
      <c r="K8">
        <v>0.55000000000000004</v>
      </c>
      <c r="L8">
        <v>14.93</v>
      </c>
      <c r="M8">
        <v>0.37</v>
      </c>
      <c r="N8">
        <v>50.8</v>
      </c>
      <c r="O8">
        <v>0.98</v>
      </c>
      <c r="P8" t="s">
        <v>426</v>
      </c>
      <c r="Q8" t="s">
        <v>426</v>
      </c>
      <c r="R8" t="s">
        <v>426</v>
      </c>
      <c r="S8" t="s">
        <v>426</v>
      </c>
      <c r="T8" t="s">
        <v>426</v>
      </c>
      <c r="U8" t="s">
        <v>426</v>
      </c>
      <c r="V8" t="s">
        <v>426</v>
      </c>
      <c r="W8" t="s">
        <v>426</v>
      </c>
      <c r="X8" t="s">
        <v>426</v>
      </c>
      <c r="Y8">
        <v>0</v>
      </c>
      <c r="Z8">
        <v>0</v>
      </c>
      <c r="AB8">
        <v>0</v>
      </c>
      <c r="AC8">
        <v>0</v>
      </c>
      <c r="AD8">
        <v>0.98</v>
      </c>
      <c r="AE8">
        <v>0</v>
      </c>
      <c r="AF8">
        <v>0</v>
      </c>
      <c r="AG8">
        <v>0</v>
      </c>
      <c r="AH8">
        <v>0</v>
      </c>
      <c r="AI8">
        <v>8</v>
      </c>
      <c r="AZ8" t="s">
        <v>444</v>
      </c>
      <c r="BA8" t="s">
        <v>451</v>
      </c>
      <c r="BB8">
        <v>2157734779.2934999</v>
      </c>
      <c r="BC8">
        <v>7</v>
      </c>
      <c r="BD8">
        <v>57</v>
      </c>
      <c r="BE8" t="s">
        <v>309</v>
      </c>
      <c r="BF8">
        <v>1764631055.2695</v>
      </c>
      <c r="BG8">
        <f>_xlfn.XLOOKUP(B8,[1]FCLSP!$C$10:$C$69,[1]FCLSP!$M$10:$M$69)</f>
        <v>1764631055.2695003</v>
      </c>
      <c r="BH8" t="b">
        <f t="shared" si="0"/>
        <v>1</v>
      </c>
      <c r="BI8">
        <v>1.519244807795285E-3</v>
      </c>
      <c r="BJ8">
        <v>1.543218377270131E-3</v>
      </c>
      <c r="BK8">
        <v>1.015779925231165</v>
      </c>
      <c r="BL8" t="b">
        <v>0</v>
      </c>
      <c r="BM8">
        <v>115891125.6832775</v>
      </c>
      <c r="BN8">
        <v>115891126</v>
      </c>
      <c r="BO8" t="s">
        <v>129</v>
      </c>
      <c r="BP8" t="s">
        <v>130</v>
      </c>
    </row>
    <row r="9" spans="1:68" x14ac:dyDescent="0.25">
      <c r="A9" t="s">
        <v>16</v>
      </c>
      <c r="B9" t="s">
        <v>75</v>
      </c>
      <c r="C9" t="s">
        <v>126</v>
      </c>
      <c r="D9">
        <v>816960428</v>
      </c>
      <c r="E9">
        <v>0.35</v>
      </c>
      <c r="F9">
        <v>1</v>
      </c>
      <c r="G9" t="s">
        <v>321</v>
      </c>
      <c r="H9">
        <v>1</v>
      </c>
      <c r="I9">
        <v>10.130000000000001</v>
      </c>
      <c r="J9">
        <v>10.08</v>
      </c>
      <c r="K9">
        <v>0.35</v>
      </c>
      <c r="L9">
        <v>10.08</v>
      </c>
      <c r="M9">
        <v>0.38</v>
      </c>
      <c r="N9">
        <v>52.9</v>
      </c>
      <c r="O9">
        <v>0.83</v>
      </c>
      <c r="P9" t="s">
        <v>426</v>
      </c>
      <c r="Q9" t="s">
        <v>426</v>
      </c>
      <c r="R9" t="s">
        <v>426</v>
      </c>
      <c r="S9" t="s">
        <v>426</v>
      </c>
      <c r="T9" t="s">
        <v>426</v>
      </c>
      <c r="U9" t="s">
        <v>426</v>
      </c>
      <c r="V9" t="s">
        <v>426</v>
      </c>
      <c r="W9" t="s">
        <v>426</v>
      </c>
      <c r="X9" t="s">
        <v>426</v>
      </c>
      <c r="Y9">
        <v>0</v>
      </c>
      <c r="Z9">
        <v>0</v>
      </c>
      <c r="AB9">
        <v>0</v>
      </c>
      <c r="AC9">
        <v>0</v>
      </c>
      <c r="AD9">
        <v>0.83</v>
      </c>
      <c r="AE9">
        <v>0</v>
      </c>
      <c r="AF9">
        <v>0</v>
      </c>
      <c r="AG9">
        <v>0</v>
      </c>
      <c r="AH9">
        <v>0</v>
      </c>
      <c r="AI9">
        <v>9</v>
      </c>
      <c r="AZ9" t="s">
        <v>444</v>
      </c>
      <c r="BA9" t="s">
        <v>451</v>
      </c>
      <c r="BB9">
        <v>2882236389.9840002</v>
      </c>
      <c r="BC9">
        <v>8</v>
      </c>
      <c r="BD9">
        <v>50</v>
      </c>
      <c r="BE9" t="s">
        <v>321</v>
      </c>
      <c r="BF9">
        <v>2896533197.474</v>
      </c>
      <c r="BG9">
        <f>_xlfn.XLOOKUP(B9,[1]FCLSP!$C$10:$C$69,[1]FCLSP!$M$10:$M$69)</f>
        <v>2896533197.4740005</v>
      </c>
      <c r="BH9" t="b">
        <f t="shared" si="0"/>
        <v>1</v>
      </c>
      <c r="BI9">
        <v>2.493746785045096E-3</v>
      </c>
      <c r="BJ9">
        <v>2.533097922858565E-3</v>
      </c>
      <c r="BK9">
        <v>1.015779925231165</v>
      </c>
      <c r="BL9" t="b">
        <v>0</v>
      </c>
      <c r="BM9">
        <v>281756568.42907888</v>
      </c>
      <c r="BN9">
        <v>281756568</v>
      </c>
      <c r="BO9" t="s">
        <v>129</v>
      </c>
      <c r="BP9" t="s">
        <v>130</v>
      </c>
    </row>
    <row r="10" spans="1:68" x14ac:dyDescent="0.25">
      <c r="A10" t="s">
        <v>46</v>
      </c>
      <c r="B10" t="s">
        <v>105</v>
      </c>
      <c r="C10" t="s">
        <v>126</v>
      </c>
      <c r="D10">
        <v>1227468973</v>
      </c>
      <c r="E10">
        <v>0.95000000000000007</v>
      </c>
      <c r="F10">
        <v>1</v>
      </c>
      <c r="G10" t="s">
        <v>390</v>
      </c>
      <c r="H10">
        <v>1</v>
      </c>
      <c r="I10">
        <v>78.84</v>
      </c>
      <c r="J10">
        <v>87.34</v>
      </c>
      <c r="K10">
        <v>0.95000000000000007</v>
      </c>
      <c r="L10">
        <v>87.34</v>
      </c>
      <c r="M10">
        <v>0.39</v>
      </c>
      <c r="N10">
        <v>67.42</v>
      </c>
      <c r="O10">
        <v>1</v>
      </c>
      <c r="P10" t="s">
        <v>426</v>
      </c>
      <c r="Q10" t="s">
        <v>426</v>
      </c>
      <c r="R10" t="s">
        <v>426</v>
      </c>
      <c r="S10" t="s">
        <v>426</v>
      </c>
      <c r="T10" t="s">
        <v>426</v>
      </c>
      <c r="U10" t="s">
        <v>426</v>
      </c>
      <c r="V10" t="s">
        <v>426</v>
      </c>
      <c r="W10" t="s">
        <v>426</v>
      </c>
      <c r="X10" t="s">
        <v>426</v>
      </c>
      <c r="Y10">
        <v>0</v>
      </c>
      <c r="Z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10</v>
      </c>
      <c r="AZ10" t="s">
        <v>444</v>
      </c>
      <c r="BA10" t="s">
        <v>451</v>
      </c>
      <c r="BB10">
        <v>101846783096.729</v>
      </c>
      <c r="BC10">
        <v>9</v>
      </c>
      <c r="BD10">
        <v>5</v>
      </c>
      <c r="BE10" t="s">
        <v>390</v>
      </c>
      <c r="BF10">
        <v>91934971139.754013</v>
      </c>
      <c r="BG10">
        <f>_xlfn.XLOOKUP(B10,[1]FCLSP!$C$10:$C$69,[1]FCLSP!$M$10:$M$69)</f>
        <v>91934971139.754013</v>
      </c>
      <c r="BH10" t="b">
        <f t="shared" si="0"/>
        <v>1</v>
      </c>
      <c r="BI10">
        <v>7.9150668431112667E-2</v>
      </c>
      <c r="BJ10">
        <v>8.0399660060952366E-2</v>
      </c>
      <c r="BK10">
        <v>1.015779925231165</v>
      </c>
      <c r="BL10" t="b">
        <v>0</v>
      </c>
      <c r="BM10">
        <v>1032104395.300828</v>
      </c>
      <c r="BN10">
        <v>1032104395</v>
      </c>
      <c r="BO10" t="s">
        <v>129</v>
      </c>
      <c r="BP10" t="s">
        <v>130</v>
      </c>
    </row>
    <row r="11" spans="1:68" x14ac:dyDescent="0.25">
      <c r="A11" t="s">
        <v>35</v>
      </c>
      <c r="B11" t="s">
        <v>94</v>
      </c>
      <c r="C11" t="s">
        <v>126</v>
      </c>
      <c r="D11">
        <v>144022153</v>
      </c>
      <c r="E11">
        <v>0.4</v>
      </c>
      <c r="F11">
        <v>1</v>
      </c>
      <c r="G11" t="s">
        <v>376</v>
      </c>
      <c r="H11">
        <v>1</v>
      </c>
      <c r="I11">
        <v>13</v>
      </c>
      <c r="J11">
        <v>14.1</v>
      </c>
      <c r="K11">
        <v>0.4</v>
      </c>
      <c r="L11">
        <v>14.1</v>
      </c>
      <c r="M11">
        <v>0.39</v>
      </c>
      <c r="N11">
        <v>55.34</v>
      </c>
      <c r="O11">
        <v>0.94</v>
      </c>
      <c r="P11" t="s">
        <v>426</v>
      </c>
      <c r="Q11" t="s">
        <v>426</v>
      </c>
      <c r="R11" t="s">
        <v>426</v>
      </c>
      <c r="S11" t="s">
        <v>426</v>
      </c>
      <c r="T11" t="s">
        <v>426</v>
      </c>
      <c r="U11" t="s">
        <v>426</v>
      </c>
      <c r="V11" t="s">
        <v>426</v>
      </c>
      <c r="W11" t="s">
        <v>426</v>
      </c>
      <c r="X11" t="s">
        <v>426</v>
      </c>
      <c r="Y11">
        <v>0</v>
      </c>
      <c r="Z11">
        <v>0</v>
      </c>
      <c r="AB11">
        <v>0</v>
      </c>
      <c r="AC11">
        <v>0</v>
      </c>
      <c r="AD11">
        <v>0.94</v>
      </c>
      <c r="AE11">
        <v>0</v>
      </c>
      <c r="AF11">
        <v>0</v>
      </c>
      <c r="AG11">
        <v>0</v>
      </c>
      <c r="AH11">
        <v>0</v>
      </c>
      <c r="AI11">
        <v>10</v>
      </c>
      <c r="AZ11" t="s">
        <v>444</v>
      </c>
      <c r="BA11" t="s">
        <v>451</v>
      </c>
      <c r="BB11">
        <v>812284942.92000008</v>
      </c>
      <c r="BC11">
        <v>9</v>
      </c>
      <c r="BD11">
        <v>79</v>
      </c>
      <c r="BE11" t="s">
        <v>376</v>
      </c>
      <c r="BF11">
        <v>748915195.60000002</v>
      </c>
      <c r="BG11">
        <f>_xlfn.XLOOKUP(B11,[1]FCLSP!$C$10:$C$69,[1]FCLSP!$M$10:$M$69)</f>
        <v>748915195.60000002</v>
      </c>
      <c r="BH11" t="b">
        <f t="shared" si="0"/>
        <v>1</v>
      </c>
      <c r="BI11">
        <v>6.4477246900798994E-4</v>
      </c>
      <c r="BJ11">
        <v>6.5494693036004985E-4</v>
      </c>
      <c r="BK11">
        <v>1.015779925231165</v>
      </c>
      <c r="BL11" t="b">
        <v>0</v>
      </c>
      <c r="BM11">
        <v>52079835.160642333</v>
      </c>
      <c r="BN11">
        <v>52079835</v>
      </c>
      <c r="BO11" t="s">
        <v>129</v>
      </c>
      <c r="BP11" t="s">
        <v>130</v>
      </c>
    </row>
    <row r="12" spans="1:68" x14ac:dyDescent="0.25">
      <c r="A12" t="s">
        <v>51</v>
      </c>
      <c r="B12" t="s">
        <v>110</v>
      </c>
      <c r="C12" t="s">
        <v>126</v>
      </c>
      <c r="D12">
        <v>147454887</v>
      </c>
      <c r="E12">
        <v>0.55000000000000004</v>
      </c>
      <c r="F12">
        <v>1</v>
      </c>
      <c r="G12" t="s">
        <v>396</v>
      </c>
      <c r="H12">
        <v>1</v>
      </c>
      <c r="I12">
        <v>52.15</v>
      </c>
      <c r="J12">
        <v>53.9</v>
      </c>
      <c r="K12">
        <v>0.55000000000000004</v>
      </c>
      <c r="L12">
        <v>53.9</v>
      </c>
      <c r="M12">
        <v>0.4</v>
      </c>
      <c r="N12">
        <v>43.42</v>
      </c>
      <c r="O12">
        <v>0.92</v>
      </c>
      <c r="P12" t="s">
        <v>426</v>
      </c>
      <c r="Q12" t="s">
        <v>426</v>
      </c>
      <c r="R12" t="s">
        <v>426</v>
      </c>
      <c r="S12" t="s">
        <v>426</v>
      </c>
      <c r="T12" t="s">
        <v>426</v>
      </c>
      <c r="U12" t="s">
        <v>426</v>
      </c>
      <c r="V12" t="s">
        <v>426</v>
      </c>
      <c r="W12" t="s">
        <v>426</v>
      </c>
      <c r="X12" t="s">
        <v>426</v>
      </c>
      <c r="Y12">
        <v>0</v>
      </c>
      <c r="Z12">
        <v>0</v>
      </c>
      <c r="AB12">
        <v>0</v>
      </c>
      <c r="AC12">
        <v>0</v>
      </c>
      <c r="AD12">
        <v>0.92</v>
      </c>
      <c r="AE12">
        <v>0</v>
      </c>
      <c r="AF12">
        <v>0</v>
      </c>
      <c r="AG12">
        <v>0</v>
      </c>
      <c r="AH12">
        <v>0</v>
      </c>
      <c r="AI12">
        <v>12</v>
      </c>
      <c r="AZ12" t="s">
        <v>444</v>
      </c>
      <c r="BA12" t="s">
        <v>451</v>
      </c>
      <c r="BB12">
        <v>4371300125.1150007</v>
      </c>
      <c r="BC12">
        <v>11</v>
      </c>
      <c r="BD12">
        <v>43</v>
      </c>
      <c r="BE12" t="s">
        <v>396</v>
      </c>
      <c r="BF12">
        <v>4229374796.3775001</v>
      </c>
      <c r="BG12">
        <f>_xlfn.XLOOKUP(B12,[1]FCLSP!$C$10:$C$69,[1]FCLSP!$M$10:$M$69)</f>
        <v>4229374796.3775005</v>
      </c>
      <c r="BH12" t="b">
        <f t="shared" si="0"/>
        <v>1</v>
      </c>
      <c r="BI12">
        <v>3.6412459592781231E-3</v>
      </c>
      <c r="BJ12">
        <v>3.6987045482638138E-3</v>
      </c>
      <c r="BK12">
        <v>1.015779925231165</v>
      </c>
      <c r="BL12" t="b">
        <v>0</v>
      </c>
      <c r="BM12">
        <v>76938458.149759755</v>
      </c>
      <c r="BN12">
        <v>76938458</v>
      </c>
      <c r="BO12" t="s">
        <v>129</v>
      </c>
      <c r="BP12" t="s">
        <v>130</v>
      </c>
    </row>
    <row r="13" spans="1:68" x14ac:dyDescent="0.25">
      <c r="A13" t="s">
        <v>19</v>
      </c>
      <c r="B13" t="s">
        <v>78</v>
      </c>
      <c r="C13" t="s">
        <v>126</v>
      </c>
      <c r="D13">
        <v>1130810671</v>
      </c>
      <c r="E13">
        <v>0.95000000000000007</v>
      </c>
      <c r="F13">
        <v>1</v>
      </c>
      <c r="G13" t="s">
        <v>324</v>
      </c>
      <c r="H13">
        <v>1</v>
      </c>
      <c r="I13">
        <v>79.17</v>
      </c>
      <c r="J13">
        <v>83.38</v>
      </c>
      <c r="K13">
        <v>0.95000000000000007</v>
      </c>
      <c r="L13">
        <v>83.38</v>
      </c>
      <c r="M13">
        <v>0.43</v>
      </c>
      <c r="N13">
        <v>60.16</v>
      </c>
      <c r="O13">
        <v>0.87</v>
      </c>
      <c r="P13" t="s">
        <v>426</v>
      </c>
      <c r="Q13" t="s">
        <v>426</v>
      </c>
      <c r="R13" t="s">
        <v>426</v>
      </c>
      <c r="S13" t="s">
        <v>426</v>
      </c>
      <c r="T13" t="s">
        <v>426</v>
      </c>
      <c r="U13" t="s">
        <v>426</v>
      </c>
      <c r="V13" t="s">
        <v>426</v>
      </c>
      <c r="W13" t="s">
        <v>426</v>
      </c>
      <c r="X13" t="s">
        <v>426</v>
      </c>
      <c r="Y13">
        <v>0</v>
      </c>
      <c r="Z13">
        <v>0</v>
      </c>
      <c r="AB13">
        <v>0</v>
      </c>
      <c r="AC13">
        <v>0</v>
      </c>
      <c r="AD13">
        <v>0.87</v>
      </c>
      <c r="AE13">
        <v>0</v>
      </c>
      <c r="AF13">
        <v>0</v>
      </c>
      <c r="AG13">
        <v>0</v>
      </c>
      <c r="AH13">
        <v>0</v>
      </c>
      <c r="AI13">
        <v>13</v>
      </c>
      <c r="AZ13" t="s">
        <v>444</v>
      </c>
      <c r="BA13" t="s">
        <v>451</v>
      </c>
      <c r="BB13">
        <v>89572644060.580994</v>
      </c>
      <c r="BC13">
        <v>12</v>
      </c>
      <c r="BD13">
        <v>7</v>
      </c>
      <c r="BE13" t="s">
        <v>324</v>
      </c>
      <c r="BF13">
        <v>85049966781.916504</v>
      </c>
      <c r="BG13">
        <f>_xlfn.XLOOKUP(B13,[1]FCLSP!$C$10:$C$69,[1]FCLSP!$M$10:$M$69)</f>
        <v>85049966781.916519</v>
      </c>
      <c r="BH13" t="b">
        <f t="shared" si="0"/>
        <v>1</v>
      </c>
      <c r="BI13">
        <v>7.3223079720114354E-2</v>
      </c>
      <c r="BJ13">
        <v>7.4378534443293412E-2</v>
      </c>
      <c r="BK13">
        <v>1.015779925231165</v>
      </c>
      <c r="BL13" t="b">
        <v>0</v>
      </c>
      <c r="BM13">
        <v>1000157344.74753</v>
      </c>
      <c r="BN13">
        <v>1000157345</v>
      </c>
      <c r="BO13" t="s">
        <v>129</v>
      </c>
      <c r="BP13" t="s">
        <v>130</v>
      </c>
    </row>
    <row r="14" spans="1:68" x14ac:dyDescent="0.25">
      <c r="A14" t="s">
        <v>21</v>
      </c>
      <c r="B14" t="s">
        <v>80</v>
      </c>
      <c r="C14" t="s">
        <v>126</v>
      </c>
      <c r="D14">
        <v>736314789</v>
      </c>
      <c r="E14">
        <v>0.85000000000000009</v>
      </c>
      <c r="F14">
        <v>1</v>
      </c>
      <c r="G14" t="s">
        <v>330</v>
      </c>
      <c r="H14">
        <v>1</v>
      </c>
      <c r="I14">
        <v>12.04</v>
      </c>
      <c r="J14">
        <v>13.065</v>
      </c>
      <c r="K14">
        <v>0.85000000000000009</v>
      </c>
      <c r="L14">
        <v>13.065</v>
      </c>
      <c r="M14">
        <v>0.44</v>
      </c>
      <c r="N14">
        <v>55.67</v>
      </c>
      <c r="O14">
        <v>0.99</v>
      </c>
      <c r="P14" t="s">
        <v>427</v>
      </c>
      <c r="Q14" t="s">
        <v>426</v>
      </c>
      <c r="R14" t="s">
        <v>426</v>
      </c>
      <c r="S14" t="s">
        <v>426</v>
      </c>
      <c r="T14" t="s">
        <v>426</v>
      </c>
      <c r="U14" t="s">
        <v>426</v>
      </c>
      <c r="V14" t="s">
        <v>426</v>
      </c>
      <c r="W14" t="s">
        <v>426</v>
      </c>
      <c r="X14" t="s">
        <v>426</v>
      </c>
      <c r="Y14">
        <v>0</v>
      </c>
      <c r="Z14">
        <v>0</v>
      </c>
      <c r="AB14">
        <v>0</v>
      </c>
      <c r="AC14">
        <v>0</v>
      </c>
      <c r="AD14">
        <v>0.99</v>
      </c>
      <c r="AE14">
        <v>0</v>
      </c>
      <c r="AF14">
        <v>0</v>
      </c>
      <c r="AG14">
        <v>0</v>
      </c>
      <c r="AH14">
        <v>0</v>
      </c>
      <c r="AI14">
        <v>14</v>
      </c>
      <c r="AZ14" t="s">
        <v>444</v>
      </c>
      <c r="BA14" t="s">
        <v>451</v>
      </c>
      <c r="BB14">
        <v>8176959810.5422516</v>
      </c>
      <c r="BC14">
        <v>13</v>
      </c>
      <c r="BD14">
        <v>28</v>
      </c>
      <c r="BE14" t="s">
        <v>330</v>
      </c>
      <c r="BF14">
        <v>7535445550.6260004</v>
      </c>
      <c r="BG14">
        <f>_xlfn.XLOOKUP(B14,[1]FCLSP!$C$10:$C$69,[1]FCLSP!$M$10:$M$69)</f>
        <v>7535445550.6260004</v>
      </c>
      <c r="BH14" t="b">
        <f t="shared" si="0"/>
        <v>1</v>
      </c>
      <c r="BI14">
        <v>6.487580785244783E-3</v>
      </c>
      <c r="BJ14">
        <v>6.58995432496709E-3</v>
      </c>
      <c r="BK14">
        <v>1.015779925231165</v>
      </c>
      <c r="BL14" t="b">
        <v>0</v>
      </c>
      <c r="BM14">
        <v>565529928.26339328</v>
      </c>
      <c r="BN14">
        <v>565529928</v>
      </c>
      <c r="BO14" t="s">
        <v>129</v>
      </c>
      <c r="BP14" t="s">
        <v>130</v>
      </c>
    </row>
    <row r="15" spans="1:68" x14ac:dyDescent="0.25">
      <c r="A15" t="s">
        <v>32</v>
      </c>
      <c r="B15" t="s">
        <v>91</v>
      </c>
      <c r="C15" t="s">
        <v>126</v>
      </c>
      <c r="D15">
        <v>93886501</v>
      </c>
      <c r="E15">
        <v>1</v>
      </c>
      <c r="F15">
        <v>1</v>
      </c>
      <c r="G15" t="s">
        <v>370</v>
      </c>
      <c r="H15">
        <v>1</v>
      </c>
      <c r="I15">
        <v>10.8</v>
      </c>
      <c r="J15">
        <v>11.5</v>
      </c>
      <c r="K15">
        <v>1</v>
      </c>
      <c r="L15">
        <v>11.5</v>
      </c>
      <c r="M15">
        <v>0.46</v>
      </c>
      <c r="N15">
        <v>71.709999999999994</v>
      </c>
      <c r="O15">
        <v>0.78</v>
      </c>
      <c r="P15" t="s">
        <v>426</v>
      </c>
      <c r="Q15" t="s">
        <v>426</v>
      </c>
      <c r="R15" t="s">
        <v>426</v>
      </c>
      <c r="S15" t="s">
        <v>426</v>
      </c>
      <c r="T15" t="s">
        <v>426</v>
      </c>
      <c r="U15" t="s">
        <v>426</v>
      </c>
      <c r="V15" t="s">
        <v>426</v>
      </c>
      <c r="W15" t="s">
        <v>426</v>
      </c>
      <c r="X15" t="s">
        <v>426</v>
      </c>
      <c r="Y15">
        <v>0</v>
      </c>
      <c r="Z15">
        <v>0</v>
      </c>
      <c r="AB15">
        <v>0</v>
      </c>
      <c r="AC15">
        <v>0</v>
      </c>
      <c r="AD15">
        <v>0.78</v>
      </c>
      <c r="AE15">
        <v>0</v>
      </c>
      <c r="AF15">
        <v>0</v>
      </c>
      <c r="AG15">
        <v>0</v>
      </c>
      <c r="AH15">
        <v>0</v>
      </c>
      <c r="AI15">
        <v>15</v>
      </c>
      <c r="AZ15" t="s">
        <v>444</v>
      </c>
      <c r="BA15" t="s">
        <v>451</v>
      </c>
      <c r="BB15">
        <v>1079694761.5</v>
      </c>
      <c r="BC15">
        <v>14</v>
      </c>
      <c r="BD15">
        <v>70</v>
      </c>
      <c r="BE15" t="s">
        <v>370</v>
      </c>
      <c r="BF15">
        <v>1013974210.8</v>
      </c>
      <c r="BG15">
        <f>_xlfn.XLOOKUP(B15,[1]FCLSP!$C$10:$C$69,[1]FCLSP!$M$10:$M$69)</f>
        <v>1013974210.8000001</v>
      </c>
      <c r="BH15" t="b">
        <f t="shared" si="0"/>
        <v>1</v>
      </c>
      <c r="BI15">
        <v>8.729728803061077E-4</v>
      </c>
      <c r="BJ15">
        <v>8.8674832708617295E-4</v>
      </c>
      <c r="BK15">
        <v>1.015779925231165</v>
      </c>
      <c r="BL15" t="b">
        <v>0</v>
      </c>
      <c r="BM15">
        <v>86454009.621966258</v>
      </c>
      <c r="BN15">
        <v>86454010</v>
      </c>
      <c r="BO15" t="s">
        <v>129</v>
      </c>
      <c r="BP15" t="s">
        <v>130</v>
      </c>
    </row>
    <row r="16" spans="1:68" x14ac:dyDescent="0.25">
      <c r="A16" t="s">
        <v>24</v>
      </c>
      <c r="B16" t="s">
        <v>83</v>
      </c>
      <c r="C16" t="s">
        <v>126</v>
      </c>
      <c r="D16">
        <v>1344379776</v>
      </c>
      <c r="E16">
        <v>0.5</v>
      </c>
      <c r="F16">
        <v>1</v>
      </c>
      <c r="G16" t="s">
        <v>337</v>
      </c>
      <c r="H16">
        <v>1</v>
      </c>
      <c r="I16">
        <v>27.39</v>
      </c>
      <c r="J16">
        <v>27.13</v>
      </c>
      <c r="K16">
        <v>0.5</v>
      </c>
      <c r="L16">
        <v>27.13</v>
      </c>
      <c r="M16">
        <v>0.48</v>
      </c>
      <c r="N16">
        <v>70.36</v>
      </c>
      <c r="O16">
        <v>0.94</v>
      </c>
      <c r="P16" t="s">
        <v>426</v>
      </c>
      <c r="Q16" t="s">
        <v>426</v>
      </c>
      <c r="R16" t="s">
        <v>426</v>
      </c>
      <c r="S16" t="s">
        <v>426</v>
      </c>
      <c r="T16" t="s">
        <v>426</v>
      </c>
      <c r="U16" t="s">
        <v>426</v>
      </c>
      <c r="V16" t="s">
        <v>426</v>
      </c>
      <c r="W16" t="s">
        <v>426</v>
      </c>
      <c r="X16" t="s">
        <v>426</v>
      </c>
      <c r="Y16">
        <v>0</v>
      </c>
      <c r="Z16">
        <v>0</v>
      </c>
      <c r="AB16">
        <v>0</v>
      </c>
      <c r="AC16">
        <v>0</v>
      </c>
      <c r="AD16">
        <v>0.94</v>
      </c>
      <c r="AE16">
        <v>0</v>
      </c>
      <c r="AF16">
        <v>0</v>
      </c>
      <c r="AG16">
        <v>0</v>
      </c>
      <c r="AH16">
        <v>0</v>
      </c>
      <c r="AI16">
        <v>16</v>
      </c>
      <c r="AZ16" t="s">
        <v>444</v>
      </c>
      <c r="BA16" t="s">
        <v>451</v>
      </c>
      <c r="BB16">
        <v>18236511661.439999</v>
      </c>
      <c r="BC16">
        <v>15</v>
      </c>
      <c r="BD16">
        <v>20</v>
      </c>
      <c r="BE16" t="s">
        <v>337</v>
      </c>
      <c r="BF16">
        <v>18411281032.32</v>
      </c>
      <c r="BG16">
        <f>_xlfn.XLOOKUP(B16,[1]FCLSP!$C$10:$C$69,[1]FCLSP!$M$10:$M$69)</f>
        <v>18411281032.32</v>
      </c>
      <c r="BH16" t="b">
        <f t="shared" si="0"/>
        <v>1</v>
      </c>
      <c r="BI16">
        <v>1.5851043213642248E-2</v>
      </c>
      <c r="BJ16">
        <v>1.610117149038949E-2</v>
      </c>
      <c r="BK16">
        <v>1.015779925231165</v>
      </c>
      <c r="BL16" t="b">
        <v>0</v>
      </c>
      <c r="BM16">
        <v>665411472.66482556</v>
      </c>
      <c r="BN16">
        <v>665411473</v>
      </c>
      <c r="BO16" t="s">
        <v>129</v>
      </c>
      <c r="BP16" t="s">
        <v>130</v>
      </c>
    </row>
    <row r="17" spans="1:68" x14ac:dyDescent="0.25">
      <c r="A17" t="s">
        <v>42</v>
      </c>
      <c r="B17" t="s">
        <v>101</v>
      </c>
      <c r="C17" t="s">
        <v>126</v>
      </c>
      <c r="D17">
        <v>103361773</v>
      </c>
      <c r="E17">
        <v>0.8</v>
      </c>
      <c r="F17">
        <v>1</v>
      </c>
      <c r="G17" t="s">
        <v>386</v>
      </c>
      <c r="H17">
        <v>1</v>
      </c>
      <c r="I17">
        <v>30.76</v>
      </c>
      <c r="J17">
        <v>29.18</v>
      </c>
      <c r="K17">
        <v>0.8</v>
      </c>
      <c r="L17">
        <v>29.18</v>
      </c>
      <c r="M17">
        <v>0.49</v>
      </c>
      <c r="N17">
        <v>39</v>
      </c>
      <c r="O17">
        <v>0.86</v>
      </c>
      <c r="P17" t="s">
        <v>426</v>
      </c>
      <c r="Q17" t="s">
        <v>426</v>
      </c>
      <c r="R17" t="s">
        <v>426</v>
      </c>
      <c r="S17" t="s">
        <v>426</v>
      </c>
      <c r="T17" t="s">
        <v>426</v>
      </c>
      <c r="U17" t="s">
        <v>426</v>
      </c>
      <c r="V17" t="s">
        <v>426</v>
      </c>
      <c r="W17" t="s">
        <v>426</v>
      </c>
      <c r="X17" t="s">
        <v>426</v>
      </c>
      <c r="Y17">
        <v>0</v>
      </c>
      <c r="Z17">
        <v>1.5E-3</v>
      </c>
      <c r="AB17">
        <v>0</v>
      </c>
      <c r="AC17">
        <v>0</v>
      </c>
      <c r="AD17">
        <v>0.86</v>
      </c>
      <c r="AE17">
        <v>0</v>
      </c>
      <c r="AF17">
        <v>1.5E-3</v>
      </c>
      <c r="AG17">
        <v>0</v>
      </c>
      <c r="AH17">
        <v>0</v>
      </c>
      <c r="AI17">
        <v>17</v>
      </c>
      <c r="AZ17" t="s">
        <v>444</v>
      </c>
      <c r="BA17" t="s">
        <v>451</v>
      </c>
      <c r="BB17">
        <v>2412877228.9120002</v>
      </c>
      <c r="BC17">
        <v>16</v>
      </c>
      <c r="BD17">
        <v>53</v>
      </c>
      <c r="BE17" t="s">
        <v>386</v>
      </c>
      <c r="BF17">
        <v>2543526509.9840002</v>
      </c>
      <c r="BG17">
        <f>_xlfn.XLOOKUP(B17,[1]FCLSP!$C$10:$C$69,[1]FCLSP!$M$10:$M$69)</f>
        <v>2543526509.9840002</v>
      </c>
      <c r="BH17" t="b">
        <f t="shared" si="0"/>
        <v>1</v>
      </c>
      <c r="BI17">
        <v>2.1898285379504979E-3</v>
      </c>
      <c r="BJ17">
        <v>2.2243838685484288E-3</v>
      </c>
      <c r="BK17">
        <v>1.015779925231165</v>
      </c>
      <c r="BL17" t="b">
        <v>0</v>
      </c>
      <c r="BM17">
        <v>85468690.876962557</v>
      </c>
      <c r="BN17">
        <v>85468691</v>
      </c>
      <c r="BO17" t="s">
        <v>129</v>
      </c>
      <c r="BP17" t="s">
        <v>130</v>
      </c>
    </row>
    <row r="18" spans="1:68" x14ac:dyDescent="0.25">
      <c r="A18" t="s">
        <v>61</v>
      </c>
      <c r="B18" t="s">
        <v>120</v>
      </c>
      <c r="C18" t="s">
        <v>126</v>
      </c>
      <c r="D18">
        <v>244633504</v>
      </c>
      <c r="E18">
        <v>0.9</v>
      </c>
      <c r="F18">
        <v>1</v>
      </c>
      <c r="G18" t="s">
        <v>411</v>
      </c>
      <c r="H18">
        <v>1</v>
      </c>
      <c r="I18">
        <v>10.54</v>
      </c>
      <c r="J18">
        <v>10.855</v>
      </c>
      <c r="K18">
        <v>0.9</v>
      </c>
      <c r="L18">
        <v>10.855</v>
      </c>
      <c r="M18">
        <v>0.5</v>
      </c>
      <c r="N18">
        <v>62.52</v>
      </c>
      <c r="O18">
        <v>0.94</v>
      </c>
      <c r="P18" t="s">
        <v>426</v>
      </c>
      <c r="Q18" t="s">
        <v>426</v>
      </c>
      <c r="R18" t="s">
        <v>426</v>
      </c>
      <c r="S18" t="s">
        <v>426</v>
      </c>
      <c r="T18" t="s">
        <v>426</v>
      </c>
      <c r="U18" t="s">
        <v>426</v>
      </c>
      <c r="V18" t="s">
        <v>426</v>
      </c>
      <c r="W18" t="s">
        <v>426</v>
      </c>
      <c r="X18" t="s">
        <v>426</v>
      </c>
      <c r="Y18">
        <v>0</v>
      </c>
      <c r="Z18">
        <v>0</v>
      </c>
      <c r="AB18">
        <v>0</v>
      </c>
      <c r="AC18">
        <v>0</v>
      </c>
      <c r="AD18">
        <v>0.94</v>
      </c>
      <c r="AE18">
        <v>0</v>
      </c>
      <c r="AF18">
        <v>0</v>
      </c>
      <c r="AG18">
        <v>0</v>
      </c>
      <c r="AH18">
        <v>0</v>
      </c>
      <c r="AI18">
        <v>19</v>
      </c>
      <c r="AZ18" t="s">
        <v>444</v>
      </c>
      <c r="BA18" t="s">
        <v>451</v>
      </c>
      <c r="BB18">
        <v>2389947017.3280001</v>
      </c>
      <c r="BC18">
        <v>17</v>
      </c>
      <c r="BD18">
        <v>54</v>
      </c>
      <c r="BE18" t="s">
        <v>411</v>
      </c>
      <c r="BF18">
        <v>2320593418.9439998</v>
      </c>
      <c r="BG18">
        <f>_xlfn.XLOOKUP(B18,[1]FCLSP!$C$10:$C$69,[1]FCLSP!$M$10:$M$69)</f>
        <v>2320593418.9439998</v>
      </c>
      <c r="BH18" t="b">
        <f t="shared" si="0"/>
        <v>1</v>
      </c>
      <c r="BI18">
        <v>1.9978960997012189E-3</v>
      </c>
      <c r="BJ18">
        <v>2.0294227507741411E-3</v>
      </c>
      <c r="BK18">
        <v>1.015779925231165</v>
      </c>
      <c r="BL18" t="b">
        <v>0</v>
      </c>
      <c r="BM18">
        <v>209616420.0271692</v>
      </c>
      <c r="BN18">
        <v>209616420</v>
      </c>
      <c r="BO18" t="s">
        <v>129</v>
      </c>
      <c r="BP18" t="s">
        <v>130</v>
      </c>
    </row>
    <row r="19" spans="1:68" x14ac:dyDescent="0.25">
      <c r="A19" t="s">
        <v>12</v>
      </c>
      <c r="B19" t="s">
        <v>71</v>
      </c>
      <c r="C19" t="s">
        <v>126</v>
      </c>
      <c r="D19">
        <v>205419262</v>
      </c>
      <c r="E19">
        <v>0.3</v>
      </c>
      <c r="F19">
        <v>1</v>
      </c>
      <c r="G19" t="s">
        <v>314</v>
      </c>
      <c r="H19">
        <v>1</v>
      </c>
      <c r="I19">
        <v>63</v>
      </c>
      <c r="J19">
        <v>66.400000000000006</v>
      </c>
      <c r="K19">
        <v>0.3</v>
      </c>
      <c r="L19">
        <v>66.400000000000006</v>
      </c>
      <c r="M19">
        <v>0.51</v>
      </c>
      <c r="N19">
        <v>68.260000000000005</v>
      </c>
      <c r="O19">
        <v>0.64</v>
      </c>
      <c r="P19" t="s">
        <v>426</v>
      </c>
      <c r="Q19" t="s">
        <v>426</v>
      </c>
      <c r="R19" t="s">
        <v>426</v>
      </c>
      <c r="S19" t="s">
        <v>426</v>
      </c>
      <c r="T19" t="s">
        <v>426</v>
      </c>
      <c r="U19" t="s">
        <v>426</v>
      </c>
      <c r="V19" t="s">
        <v>426</v>
      </c>
      <c r="W19" t="s">
        <v>426</v>
      </c>
      <c r="X19" t="s">
        <v>426</v>
      </c>
      <c r="Y19">
        <v>0</v>
      </c>
      <c r="Z19">
        <v>0</v>
      </c>
      <c r="AB19">
        <v>0</v>
      </c>
      <c r="AC19">
        <v>0</v>
      </c>
      <c r="AD19">
        <v>0.64</v>
      </c>
      <c r="AE19">
        <v>0</v>
      </c>
      <c r="AF19">
        <v>0</v>
      </c>
      <c r="AG19">
        <v>0</v>
      </c>
      <c r="AH19">
        <v>0</v>
      </c>
      <c r="AI19">
        <v>20</v>
      </c>
      <c r="AZ19" t="s">
        <v>444</v>
      </c>
      <c r="BA19" t="s">
        <v>451</v>
      </c>
      <c r="BB19">
        <v>4091951699.0400009</v>
      </c>
      <c r="BC19">
        <v>18</v>
      </c>
      <c r="BD19">
        <v>45</v>
      </c>
      <c r="BE19" t="s">
        <v>314</v>
      </c>
      <c r="BF19">
        <v>3882424051.8000011</v>
      </c>
      <c r="BG19">
        <f>_xlfn.XLOOKUP(B19,[1]FCLSP!$C$10:$C$69,[1]FCLSP!$M$10:$M$69)</f>
        <v>3882424051.8000007</v>
      </c>
      <c r="BH19" t="b">
        <f t="shared" si="0"/>
        <v>1</v>
      </c>
      <c r="BI19">
        <v>3.3425415271612509E-3</v>
      </c>
      <c r="BJ19">
        <v>3.39528658254192E-3</v>
      </c>
      <c r="BK19">
        <v>1.015779925231165</v>
      </c>
      <c r="BL19" t="b">
        <v>0</v>
      </c>
      <c r="BM19">
        <v>57331190.54473535</v>
      </c>
      <c r="BN19">
        <v>57331191</v>
      </c>
      <c r="BO19" t="s">
        <v>129</v>
      </c>
      <c r="BP19" t="s">
        <v>130</v>
      </c>
    </row>
    <row r="20" spans="1:68" x14ac:dyDescent="0.25">
      <c r="A20" t="s">
        <v>26</v>
      </c>
      <c r="B20" t="s">
        <v>85</v>
      </c>
      <c r="C20" t="s">
        <v>126</v>
      </c>
      <c r="D20">
        <v>197089340</v>
      </c>
      <c r="E20">
        <v>0.85000000000000009</v>
      </c>
      <c r="F20">
        <v>1</v>
      </c>
      <c r="G20" t="s">
        <v>353</v>
      </c>
      <c r="H20">
        <v>1</v>
      </c>
      <c r="I20">
        <v>11.154999999999999</v>
      </c>
      <c r="J20">
        <v>11.865</v>
      </c>
      <c r="K20">
        <v>0.85000000000000009</v>
      </c>
      <c r="L20">
        <v>11.865</v>
      </c>
      <c r="M20">
        <v>0.52</v>
      </c>
      <c r="N20">
        <v>55.42</v>
      </c>
      <c r="O20">
        <v>0.96</v>
      </c>
      <c r="P20" t="s">
        <v>426</v>
      </c>
      <c r="Q20" t="s">
        <v>426</v>
      </c>
      <c r="R20" t="s">
        <v>426</v>
      </c>
      <c r="S20" t="s">
        <v>426</v>
      </c>
      <c r="T20" t="s">
        <v>426</v>
      </c>
      <c r="U20" t="s">
        <v>426</v>
      </c>
      <c r="V20" t="s">
        <v>426</v>
      </c>
      <c r="W20" t="s">
        <v>426</v>
      </c>
      <c r="X20" t="s">
        <v>426</v>
      </c>
      <c r="Y20">
        <v>0</v>
      </c>
      <c r="Z20">
        <v>0</v>
      </c>
      <c r="AB20">
        <v>0</v>
      </c>
      <c r="AC20">
        <v>0</v>
      </c>
      <c r="AD20">
        <v>0.96</v>
      </c>
      <c r="AE20">
        <v>0</v>
      </c>
      <c r="AF20">
        <v>0</v>
      </c>
      <c r="AG20">
        <v>0</v>
      </c>
      <c r="AH20">
        <v>0</v>
      </c>
      <c r="AI20">
        <v>21</v>
      </c>
      <c r="AZ20" t="s">
        <v>444</v>
      </c>
      <c r="BA20" t="s">
        <v>451</v>
      </c>
      <c r="BB20">
        <v>1987695266.2349999</v>
      </c>
      <c r="BC20">
        <v>19</v>
      </c>
      <c r="BD20">
        <v>61</v>
      </c>
      <c r="BE20" t="s">
        <v>353</v>
      </c>
      <c r="BF20">
        <v>1868751849.5450001</v>
      </c>
      <c r="BG20">
        <f>_xlfn.XLOOKUP(B20,[1]FCLSP!$C$10:$C$69,[1]FCLSP!$M$10:$M$69)</f>
        <v>1868751849.5450001</v>
      </c>
      <c r="BH20" t="b">
        <f t="shared" si="0"/>
        <v>1</v>
      </c>
      <c r="BI20">
        <v>1.608886761910399E-3</v>
      </c>
      <c r="BJ20">
        <v>1.6342748747187571E-3</v>
      </c>
      <c r="BK20">
        <v>1.015779925231165</v>
      </c>
      <c r="BL20" t="b">
        <v>0</v>
      </c>
      <c r="BM20">
        <v>154432948.75953931</v>
      </c>
      <c r="BN20">
        <v>154432949</v>
      </c>
      <c r="BO20" t="s">
        <v>129</v>
      </c>
      <c r="BP20" t="s">
        <v>130</v>
      </c>
    </row>
    <row r="21" spans="1:68" x14ac:dyDescent="0.25">
      <c r="A21" t="s">
        <v>31</v>
      </c>
      <c r="B21" t="s">
        <v>90</v>
      </c>
      <c r="C21" t="s">
        <v>126</v>
      </c>
      <c r="D21">
        <v>533204913</v>
      </c>
      <c r="E21">
        <v>0.45</v>
      </c>
      <c r="F21">
        <v>1</v>
      </c>
      <c r="G21" t="s">
        <v>368</v>
      </c>
      <c r="H21">
        <v>1</v>
      </c>
      <c r="I21">
        <v>377.35</v>
      </c>
      <c r="J21">
        <v>399</v>
      </c>
      <c r="K21">
        <v>0.45</v>
      </c>
      <c r="L21">
        <v>399</v>
      </c>
      <c r="M21">
        <v>0.54</v>
      </c>
      <c r="N21">
        <v>62.15</v>
      </c>
      <c r="O21">
        <v>0.87</v>
      </c>
      <c r="P21" t="s">
        <v>426</v>
      </c>
      <c r="Q21" t="s">
        <v>426</v>
      </c>
      <c r="R21" t="s">
        <v>426</v>
      </c>
      <c r="S21" t="s">
        <v>426</v>
      </c>
      <c r="T21" t="s">
        <v>426</v>
      </c>
      <c r="U21" t="s">
        <v>426</v>
      </c>
      <c r="V21" t="s">
        <v>426</v>
      </c>
      <c r="W21" t="s">
        <v>426</v>
      </c>
      <c r="X21" t="s">
        <v>426</v>
      </c>
      <c r="Y21">
        <v>0</v>
      </c>
      <c r="Z21">
        <v>0</v>
      </c>
      <c r="AB21">
        <v>0</v>
      </c>
      <c r="AC21">
        <v>0</v>
      </c>
      <c r="AD21">
        <v>0.87</v>
      </c>
      <c r="AE21">
        <v>0</v>
      </c>
      <c r="AF21">
        <v>0</v>
      </c>
      <c r="AG21">
        <v>0</v>
      </c>
      <c r="AH21">
        <v>0</v>
      </c>
      <c r="AI21">
        <v>23</v>
      </c>
      <c r="AZ21" t="s">
        <v>444</v>
      </c>
      <c r="BA21" t="s">
        <v>451</v>
      </c>
      <c r="BB21">
        <v>95736942129.150009</v>
      </c>
      <c r="BC21">
        <v>20</v>
      </c>
      <c r="BD21">
        <v>6</v>
      </c>
      <c r="BE21" t="s">
        <v>368</v>
      </c>
      <c r="BF21">
        <v>90542193264.247498</v>
      </c>
      <c r="BG21">
        <f>_xlfn.XLOOKUP(B21,[1]FCLSP!$C$10:$C$69,[1]FCLSP!$M$10:$M$69)</f>
        <v>90542193264.247513</v>
      </c>
      <c r="BH21" t="b">
        <f t="shared" si="0"/>
        <v>1</v>
      </c>
      <c r="BI21">
        <v>7.7951567605216654E-2</v>
      </c>
      <c r="BJ21">
        <v>7.9181637513679085E-2</v>
      </c>
      <c r="BK21">
        <v>1.015779925231165</v>
      </c>
      <c r="BL21" t="b">
        <v>0</v>
      </c>
      <c r="BM21">
        <v>222502136.67994639</v>
      </c>
      <c r="BN21">
        <v>222502137</v>
      </c>
      <c r="BO21" t="s">
        <v>129</v>
      </c>
      <c r="BP21" t="s">
        <v>130</v>
      </c>
    </row>
    <row r="22" spans="1:68" x14ac:dyDescent="0.25">
      <c r="A22" t="s">
        <v>60</v>
      </c>
      <c r="B22" t="s">
        <v>119</v>
      </c>
      <c r="C22" t="s">
        <v>126</v>
      </c>
      <c r="D22">
        <v>143244727</v>
      </c>
      <c r="E22">
        <v>0.85000000000000009</v>
      </c>
      <c r="F22">
        <v>1</v>
      </c>
      <c r="G22" t="s">
        <v>410</v>
      </c>
      <c r="H22">
        <v>1</v>
      </c>
      <c r="I22">
        <v>89.16</v>
      </c>
      <c r="J22">
        <v>91.7</v>
      </c>
      <c r="K22">
        <v>0.85000000000000009</v>
      </c>
      <c r="L22">
        <v>91.7</v>
      </c>
      <c r="M22">
        <v>0.55000000000000004</v>
      </c>
      <c r="N22">
        <v>71.290000000000006</v>
      </c>
      <c r="O22">
        <v>0.92</v>
      </c>
      <c r="P22" t="s">
        <v>426</v>
      </c>
      <c r="Q22" t="s">
        <v>426</v>
      </c>
      <c r="R22" t="s">
        <v>426</v>
      </c>
      <c r="S22" t="s">
        <v>426</v>
      </c>
      <c r="T22" t="s">
        <v>426</v>
      </c>
      <c r="U22" t="s">
        <v>426</v>
      </c>
      <c r="V22" t="s">
        <v>426</v>
      </c>
      <c r="W22" t="s">
        <v>426</v>
      </c>
      <c r="X22" t="s">
        <v>426</v>
      </c>
      <c r="Y22">
        <v>0</v>
      </c>
      <c r="Z22">
        <v>0</v>
      </c>
      <c r="AB22">
        <v>0</v>
      </c>
      <c r="AC22">
        <v>0</v>
      </c>
      <c r="AD22">
        <v>0.92</v>
      </c>
      <c r="AE22">
        <v>0</v>
      </c>
      <c r="AF22">
        <v>0</v>
      </c>
      <c r="AG22">
        <v>0</v>
      </c>
      <c r="AH22">
        <v>0</v>
      </c>
      <c r="AI22">
        <v>24</v>
      </c>
      <c r="AZ22" t="s">
        <v>444</v>
      </c>
      <c r="BA22" t="s">
        <v>451</v>
      </c>
      <c r="BB22">
        <v>11165210246.014999</v>
      </c>
      <c r="BC22">
        <v>21</v>
      </c>
      <c r="BD22">
        <v>24</v>
      </c>
      <c r="BE22" t="s">
        <v>410</v>
      </c>
      <c r="BF22">
        <v>10855944880.422001</v>
      </c>
      <c r="BG22">
        <f>_xlfn.XLOOKUP(B22,[1]FCLSP!$C$10:$C$69,[1]FCLSP!$M$10:$M$69)</f>
        <v>10855944880.422001</v>
      </c>
      <c r="BH22" t="b">
        <f t="shared" si="0"/>
        <v>1</v>
      </c>
      <c r="BI22">
        <v>9.3463377764107704E-3</v>
      </c>
      <c r="BJ22">
        <v>9.4938222877077455E-3</v>
      </c>
      <c r="BK22">
        <v>1.015779925231165</v>
      </c>
      <c r="BL22" t="b">
        <v>0</v>
      </c>
      <c r="BM22">
        <v>116079188.9377123</v>
      </c>
      <c r="BN22">
        <v>116079189</v>
      </c>
      <c r="BO22" t="s">
        <v>129</v>
      </c>
      <c r="BP22" t="s">
        <v>130</v>
      </c>
    </row>
    <row r="23" spans="1:68" x14ac:dyDescent="0.25">
      <c r="A23" t="s">
        <v>56</v>
      </c>
      <c r="B23" t="s">
        <v>115</v>
      </c>
      <c r="C23" t="s">
        <v>126</v>
      </c>
      <c r="D23">
        <v>2896073567</v>
      </c>
      <c r="E23">
        <v>0.70000000000000007</v>
      </c>
      <c r="F23">
        <v>1</v>
      </c>
      <c r="G23" t="s">
        <v>401</v>
      </c>
      <c r="H23">
        <v>1</v>
      </c>
      <c r="I23">
        <v>8.14</v>
      </c>
      <c r="J23">
        <v>8.6460000000000008</v>
      </c>
      <c r="K23">
        <v>0.70000000000000007</v>
      </c>
      <c r="L23">
        <v>8.6489999999999991</v>
      </c>
      <c r="M23">
        <v>0.56000000000000005</v>
      </c>
      <c r="N23">
        <v>53.7</v>
      </c>
      <c r="O23">
        <v>0.92</v>
      </c>
      <c r="P23" t="s">
        <v>427</v>
      </c>
      <c r="Q23" t="s">
        <v>426</v>
      </c>
      <c r="R23" t="s">
        <v>426</v>
      </c>
      <c r="S23" t="s">
        <v>426</v>
      </c>
      <c r="T23" t="s">
        <v>426</v>
      </c>
      <c r="U23" t="s">
        <v>426</v>
      </c>
      <c r="V23" t="s">
        <v>426</v>
      </c>
      <c r="W23" t="s">
        <v>426</v>
      </c>
      <c r="X23" t="s">
        <v>426</v>
      </c>
      <c r="Y23">
        <v>0</v>
      </c>
      <c r="Z23">
        <v>0</v>
      </c>
      <c r="AB23">
        <v>0</v>
      </c>
      <c r="AC23">
        <v>0</v>
      </c>
      <c r="AD23">
        <v>0.92</v>
      </c>
      <c r="AE23">
        <v>0</v>
      </c>
      <c r="AF23">
        <v>0</v>
      </c>
      <c r="AG23">
        <v>0</v>
      </c>
      <c r="AH23">
        <v>0</v>
      </c>
      <c r="AI23">
        <v>25</v>
      </c>
      <c r="AZ23" t="s">
        <v>444</v>
      </c>
      <c r="BA23" t="s">
        <v>451</v>
      </c>
      <c r="BB23">
        <v>17533698196.688099</v>
      </c>
      <c r="BC23">
        <v>22</v>
      </c>
      <c r="BD23">
        <v>21</v>
      </c>
      <c r="BE23" t="s">
        <v>463</v>
      </c>
      <c r="BF23">
        <v>16501827184.766001</v>
      </c>
      <c r="BG23">
        <f>_xlfn.XLOOKUP(B23,[1]FCLSP!$C$10:$C$69,[1]FCLSP!$M$10:$M$69)</f>
        <v>16511963442.250502</v>
      </c>
      <c r="BH23" t="b">
        <f t="shared" si="0"/>
        <v>0</v>
      </c>
      <c r="BI23">
        <v>1.4207114396364301E-2</v>
      </c>
      <c r="BJ23">
        <v>1.443130159928954E-2</v>
      </c>
      <c r="BK23">
        <v>1.015779925231165</v>
      </c>
      <c r="BL23" t="b">
        <v>0</v>
      </c>
      <c r="BM23">
        <v>1870777804.2204111</v>
      </c>
      <c r="BN23">
        <v>1870777804</v>
      </c>
      <c r="BO23" t="s">
        <v>129</v>
      </c>
      <c r="BP23" t="s">
        <v>130</v>
      </c>
    </row>
    <row r="24" spans="1:68" x14ac:dyDescent="0.25">
      <c r="A24" t="s">
        <v>49</v>
      </c>
      <c r="B24" t="s">
        <v>108</v>
      </c>
      <c r="C24" t="s">
        <v>126</v>
      </c>
      <c r="D24">
        <v>179363695</v>
      </c>
      <c r="E24">
        <v>0.85000000000000009</v>
      </c>
      <c r="F24">
        <v>1</v>
      </c>
      <c r="G24" t="s">
        <v>393</v>
      </c>
      <c r="H24">
        <v>1</v>
      </c>
      <c r="I24">
        <v>27.84</v>
      </c>
      <c r="J24">
        <v>28.96</v>
      </c>
      <c r="K24">
        <v>0.85000000000000009</v>
      </c>
      <c r="L24">
        <v>28.96</v>
      </c>
      <c r="M24">
        <v>0.61</v>
      </c>
      <c r="N24">
        <v>56.08</v>
      </c>
      <c r="O24">
        <v>0.75</v>
      </c>
      <c r="P24" t="s">
        <v>426</v>
      </c>
      <c r="Q24" t="s">
        <v>426</v>
      </c>
      <c r="R24" t="s">
        <v>426</v>
      </c>
      <c r="S24" t="s">
        <v>426</v>
      </c>
      <c r="T24" t="s">
        <v>426</v>
      </c>
      <c r="U24" t="s">
        <v>426</v>
      </c>
      <c r="V24" t="s">
        <v>426</v>
      </c>
      <c r="W24" t="s">
        <v>426</v>
      </c>
      <c r="X24" t="s">
        <v>426</v>
      </c>
      <c r="Y24">
        <v>0</v>
      </c>
      <c r="Z24">
        <v>0</v>
      </c>
      <c r="AB24">
        <v>0</v>
      </c>
      <c r="AC24">
        <v>0</v>
      </c>
      <c r="AD24">
        <v>0.75</v>
      </c>
      <c r="AE24">
        <v>0</v>
      </c>
      <c r="AF24">
        <v>0</v>
      </c>
      <c r="AG24">
        <v>0</v>
      </c>
      <c r="AH24">
        <v>0</v>
      </c>
      <c r="AI24">
        <v>26</v>
      </c>
      <c r="AZ24" t="s">
        <v>444</v>
      </c>
      <c r="BA24" t="s">
        <v>451</v>
      </c>
      <c r="BB24">
        <v>4415216716.1200008</v>
      </c>
      <c r="BC24">
        <v>23</v>
      </c>
      <c r="BD24">
        <v>42</v>
      </c>
      <c r="BE24" t="s">
        <v>393</v>
      </c>
      <c r="BF24">
        <v>4244462478.48</v>
      </c>
      <c r="BG24">
        <f>_xlfn.XLOOKUP(B24,[1]FCLSP!$C$10:$C$69,[1]FCLSP!$M$10:$M$69)</f>
        <v>4244462478.4800005</v>
      </c>
      <c r="BH24" t="b">
        <f t="shared" si="0"/>
        <v>1</v>
      </c>
      <c r="BI24">
        <v>3.6542355769250759E-3</v>
      </c>
      <c r="BJ24">
        <v>3.7118991411060169E-3</v>
      </c>
      <c r="BK24">
        <v>1.015779925231165</v>
      </c>
      <c r="BL24" t="b">
        <v>0</v>
      </c>
      <c r="BM24">
        <v>143707757.43078399</v>
      </c>
      <c r="BN24">
        <v>143707757</v>
      </c>
      <c r="BO24" t="s">
        <v>129</v>
      </c>
      <c r="BP24" t="s">
        <v>130</v>
      </c>
    </row>
    <row r="25" spans="1:68" x14ac:dyDescent="0.25">
      <c r="A25" t="s">
        <v>45</v>
      </c>
      <c r="B25" t="s">
        <v>104</v>
      </c>
      <c r="C25" t="s">
        <v>126</v>
      </c>
      <c r="D25">
        <v>499063699</v>
      </c>
      <c r="E25">
        <v>0.9</v>
      </c>
      <c r="F25">
        <v>1</v>
      </c>
      <c r="G25" t="s">
        <v>389</v>
      </c>
      <c r="H25">
        <v>1</v>
      </c>
      <c r="I25">
        <v>93.24</v>
      </c>
      <c r="J25">
        <v>98.16</v>
      </c>
      <c r="K25">
        <v>0.9</v>
      </c>
      <c r="L25">
        <v>98.16</v>
      </c>
      <c r="M25">
        <v>0.62</v>
      </c>
      <c r="N25">
        <v>59.52</v>
      </c>
      <c r="O25">
        <v>0.99</v>
      </c>
      <c r="P25" t="s">
        <v>426</v>
      </c>
      <c r="Q25" t="s">
        <v>426</v>
      </c>
      <c r="R25" t="s">
        <v>426</v>
      </c>
      <c r="S25" t="s">
        <v>426</v>
      </c>
      <c r="T25" t="s">
        <v>426</v>
      </c>
      <c r="U25" t="s">
        <v>426</v>
      </c>
      <c r="V25" t="s">
        <v>426</v>
      </c>
      <c r="W25" t="s">
        <v>426</v>
      </c>
      <c r="X25" t="s">
        <v>426</v>
      </c>
      <c r="Y25">
        <v>0</v>
      </c>
      <c r="Z25">
        <v>0</v>
      </c>
      <c r="AA25" t="s">
        <v>429</v>
      </c>
      <c r="AB25">
        <v>0</v>
      </c>
      <c r="AC25">
        <v>0</v>
      </c>
      <c r="AD25">
        <v>0.99</v>
      </c>
      <c r="AE25">
        <v>0</v>
      </c>
      <c r="AF25">
        <v>0</v>
      </c>
      <c r="AG25">
        <v>0</v>
      </c>
      <c r="AH25">
        <v>0</v>
      </c>
      <c r="AI25">
        <v>27</v>
      </c>
      <c r="AZ25" t="s">
        <v>444</v>
      </c>
      <c r="BA25" t="s">
        <v>451</v>
      </c>
      <c r="BB25">
        <v>44089283424.455994</v>
      </c>
      <c r="BC25">
        <v>24</v>
      </c>
      <c r="BD25">
        <v>12</v>
      </c>
      <c r="BE25" t="s">
        <v>389</v>
      </c>
      <c r="BF25">
        <v>41879429365.283997</v>
      </c>
      <c r="BG25">
        <f>_xlfn.XLOOKUP(B25,[1]FCLSP!$C$10:$C$69,[1]FCLSP!$M$10:$M$69)</f>
        <v>41879429365.283997</v>
      </c>
      <c r="BH25" t="b">
        <f t="shared" si="0"/>
        <v>1</v>
      </c>
      <c r="BI25">
        <v>3.6055755352735801E-2</v>
      </c>
      <c r="BJ25">
        <v>3.6624712476355147E-2</v>
      </c>
      <c r="BK25">
        <v>1.015779925231165</v>
      </c>
      <c r="BL25" t="b">
        <v>0</v>
      </c>
      <c r="BM25">
        <v>418333146.20144463</v>
      </c>
      <c r="BN25">
        <v>418333146</v>
      </c>
      <c r="BO25" t="s">
        <v>129</v>
      </c>
      <c r="BP25" t="s">
        <v>130</v>
      </c>
    </row>
    <row r="26" spans="1:68" x14ac:dyDescent="0.25">
      <c r="A26" t="s">
        <v>25</v>
      </c>
      <c r="B26" t="s">
        <v>84</v>
      </c>
      <c r="C26" t="s">
        <v>126</v>
      </c>
      <c r="D26">
        <v>101542528</v>
      </c>
      <c r="E26">
        <v>0.75</v>
      </c>
      <c r="F26">
        <v>1</v>
      </c>
      <c r="G26" t="s">
        <v>348</v>
      </c>
      <c r="H26">
        <v>1</v>
      </c>
      <c r="I26">
        <v>136.4</v>
      </c>
      <c r="J26">
        <v>143</v>
      </c>
      <c r="K26">
        <v>0.75</v>
      </c>
      <c r="L26">
        <v>143</v>
      </c>
      <c r="M26">
        <v>0.66</v>
      </c>
      <c r="N26">
        <v>57.54</v>
      </c>
      <c r="O26">
        <v>0.79</v>
      </c>
      <c r="P26" t="s">
        <v>426</v>
      </c>
      <c r="Q26" t="s">
        <v>426</v>
      </c>
      <c r="R26" t="s">
        <v>426</v>
      </c>
      <c r="S26" t="s">
        <v>426</v>
      </c>
      <c r="T26" t="s">
        <v>426</v>
      </c>
      <c r="U26" t="s">
        <v>426</v>
      </c>
      <c r="V26" t="s">
        <v>426</v>
      </c>
      <c r="W26" t="s">
        <v>426</v>
      </c>
      <c r="X26" t="s">
        <v>426</v>
      </c>
      <c r="Y26">
        <v>0</v>
      </c>
      <c r="Z26">
        <v>0</v>
      </c>
      <c r="AB26">
        <v>0</v>
      </c>
      <c r="AC26">
        <v>0</v>
      </c>
      <c r="AD26">
        <v>0.79</v>
      </c>
      <c r="AE26">
        <v>0</v>
      </c>
      <c r="AF26">
        <v>0</v>
      </c>
      <c r="AG26">
        <v>0</v>
      </c>
      <c r="AH26">
        <v>0</v>
      </c>
      <c r="AI26">
        <v>28</v>
      </c>
      <c r="AZ26" t="s">
        <v>444</v>
      </c>
      <c r="BA26" t="s">
        <v>451</v>
      </c>
      <c r="BB26">
        <v>10890436128</v>
      </c>
      <c r="BC26">
        <v>25</v>
      </c>
      <c r="BD26">
        <v>25</v>
      </c>
      <c r="BE26" t="s">
        <v>348</v>
      </c>
      <c r="BF26">
        <v>10387800614.4</v>
      </c>
      <c r="BG26">
        <f>_xlfn.XLOOKUP(B26,[1]FCLSP!$C$10:$C$69,[1]FCLSP!$M$10:$M$69)</f>
        <v>10387800614.400002</v>
      </c>
      <c r="BH26" t="b">
        <f t="shared" si="0"/>
        <v>1</v>
      </c>
      <c r="BI26">
        <v>8.9432927640671362E-3</v>
      </c>
      <c r="BJ26">
        <v>9.0844172552045372E-3</v>
      </c>
      <c r="BK26">
        <v>1.015779925231165</v>
      </c>
      <c r="BL26" t="b">
        <v>0</v>
      </c>
      <c r="BM26">
        <v>71226833.687563896</v>
      </c>
      <c r="BN26">
        <v>71226834</v>
      </c>
      <c r="BO26" t="s">
        <v>129</v>
      </c>
      <c r="BP26" t="s">
        <v>130</v>
      </c>
    </row>
    <row r="27" spans="1:68" x14ac:dyDescent="0.25">
      <c r="A27" t="s">
        <v>64</v>
      </c>
      <c r="B27" t="s">
        <v>123</v>
      </c>
      <c r="C27" t="s">
        <v>126</v>
      </c>
      <c r="D27">
        <v>582866757</v>
      </c>
      <c r="E27">
        <v>0.9</v>
      </c>
      <c r="F27">
        <v>1</v>
      </c>
      <c r="G27" t="s">
        <v>417</v>
      </c>
      <c r="H27">
        <v>1</v>
      </c>
      <c r="I27">
        <v>117.85</v>
      </c>
      <c r="J27">
        <v>129</v>
      </c>
      <c r="K27">
        <v>0.9</v>
      </c>
      <c r="L27">
        <v>129</v>
      </c>
      <c r="M27">
        <v>0.73</v>
      </c>
      <c r="N27">
        <v>55.04</v>
      </c>
      <c r="O27">
        <v>0.99</v>
      </c>
      <c r="P27" t="s">
        <v>426</v>
      </c>
      <c r="Q27" t="s">
        <v>426</v>
      </c>
      <c r="R27" t="s">
        <v>426</v>
      </c>
      <c r="S27" t="s">
        <v>426</v>
      </c>
      <c r="T27" t="s">
        <v>426</v>
      </c>
      <c r="U27" t="s">
        <v>426</v>
      </c>
      <c r="V27" t="s">
        <v>426</v>
      </c>
      <c r="W27" t="s">
        <v>426</v>
      </c>
      <c r="X27" t="s">
        <v>426</v>
      </c>
      <c r="Y27">
        <v>0</v>
      </c>
      <c r="Z27">
        <v>0</v>
      </c>
      <c r="AB27">
        <v>0</v>
      </c>
      <c r="AC27">
        <v>0</v>
      </c>
      <c r="AD27">
        <v>0.99</v>
      </c>
      <c r="AE27">
        <v>0</v>
      </c>
      <c r="AF27">
        <v>0</v>
      </c>
      <c r="AG27">
        <v>0</v>
      </c>
      <c r="AH27">
        <v>0</v>
      </c>
      <c r="AI27">
        <v>29</v>
      </c>
      <c r="AZ27" t="s">
        <v>444</v>
      </c>
      <c r="BA27" t="s">
        <v>451</v>
      </c>
      <c r="BB27">
        <v>67670830487.699997</v>
      </c>
      <c r="BC27">
        <v>26</v>
      </c>
      <c r="BD27">
        <v>9</v>
      </c>
      <c r="BE27" t="s">
        <v>417</v>
      </c>
      <c r="BF27">
        <v>61821762581.205002</v>
      </c>
      <c r="BG27">
        <f>_xlfn.XLOOKUP(B27,[1]FCLSP!$C$10:$C$69,[1]FCLSP!$M$10:$M$69)</f>
        <v>61821762581.205002</v>
      </c>
      <c r="BH27" t="b">
        <f t="shared" si="0"/>
        <v>1</v>
      </c>
      <c r="BI27">
        <v>5.3224945537357328E-2</v>
      </c>
      <c r="BJ27">
        <v>5.4064831198369662E-2</v>
      </c>
      <c r="BK27">
        <v>1.015779925231165</v>
      </c>
      <c r="BL27" t="b">
        <v>0</v>
      </c>
      <c r="BM27">
        <v>469902487.12426972</v>
      </c>
      <c r="BN27">
        <v>469902487</v>
      </c>
      <c r="BO27" t="s">
        <v>129</v>
      </c>
      <c r="BP27" t="s">
        <v>130</v>
      </c>
    </row>
    <row r="28" spans="1:68" x14ac:dyDescent="0.25">
      <c r="A28" t="s">
        <v>57</v>
      </c>
      <c r="B28" t="s">
        <v>116</v>
      </c>
      <c r="C28" t="s">
        <v>126</v>
      </c>
      <c r="D28">
        <v>911281920</v>
      </c>
      <c r="E28">
        <v>0.70000000000000007</v>
      </c>
      <c r="F28">
        <v>1</v>
      </c>
      <c r="G28" t="s">
        <v>402</v>
      </c>
      <c r="H28">
        <v>1</v>
      </c>
      <c r="I28">
        <v>22.86</v>
      </c>
      <c r="J28">
        <v>23.434999999999999</v>
      </c>
      <c r="K28">
        <v>0.70000000000000007</v>
      </c>
      <c r="L28">
        <v>23.434999999999999</v>
      </c>
      <c r="M28">
        <f>I28*D28*E28</f>
        <v>14582333283.840002</v>
      </c>
      <c r="N28">
        <v>62.95</v>
      </c>
      <c r="O28">
        <v>0.97</v>
      </c>
      <c r="P28" t="s">
        <v>426</v>
      </c>
      <c r="Q28" t="s">
        <v>426</v>
      </c>
      <c r="R28" t="s">
        <v>426</v>
      </c>
      <c r="S28" t="s">
        <v>426</v>
      </c>
      <c r="T28" t="s">
        <v>426</v>
      </c>
      <c r="U28" t="s">
        <v>426</v>
      </c>
      <c r="V28" t="s">
        <v>426</v>
      </c>
      <c r="W28" t="s">
        <v>426</v>
      </c>
      <c r="X28" t="s">
        <v>426</v>
      </c>
      <c r="Y28">
        <v>0</v>
      </c>
      <c r="Z28">
        <v>0</v>
      </c>
      <c r="AB28">
        <v>0</v>
      </c>
      <c r="AC28">
        <v>0</v>
      </c>
      <c r="AD28">
        <v>0.97</v>
      </c>
      <c r="AE28">
        <v>0</v>
      </c>
      <c r="AF28">
        <v>0</v>
      </c>
      <c r="AG28">
        <v>0</v>
      </c>
      <c r="AH28">
        <v>0</v>
      </c>
      <c r="AI28">
        <v>29</v>
      </c>
      <c r="AZ28" t="s">
        <v>444</v>
      </c>
      <c r="BA28" t="s">
        <v>451</v>
      </c>
      <c r="BB28">
        <v>14949124256.639999</v>
      </c>
      <c r="BC28">
        <v>26</v>
      </c>
      <c r="BD28">
        <v>23</v>
      </c>
      <c r="BE28" t="s">
        <v>402</v>
      </c>
      <c r="BF28">
        <v>14582333283.84</v>
      </c>
      <c r="BG28">
        <f>_xlfn.XLOOKUP(B28,[1]FCLSP!$C$10:$C$69,[1]FCLSP!$M$10:$M$69)</f>
        <v>14582333283.840002</v>
      </c>
      <c r="BH28" t="b">
        <f t="shared" si="0"/>
        <v>1</v>
      </c>
      <c r="BI28">
        <v>1.2554541676492731E-2</v>
      </c>
      <c r="BJ28">
        <v>1.275265140545934E-2</v>
      </c>
      <c r="BK28">
        <v>1.015779925231165</v>
      </c>
      <c r="BL28" t="b">
        <v>0</v>
      </c>
      <c r="BM28">
        <v>610124034.12050653</v>
      </c>
      <c r="BN28">
        <v>610124034</v>
      </c>
      <c r="BO28" t="s">
        <v>129</v>
      </c>
      <c r="BP28" t="s">
        <v>130</v>
      </c>
    </row>
    <row r="29" spans="1:68" x14ac:dyDescent="0.25">
      <c r="A29" t="s">
        <v>22</v>
      </c>
      <c r="B29" t="s">
        <v>81</v>
      </c>
      <c r="C29" t="s">
        <v>126</v>
      </c>
      <c r="D29">
        <v>150179792</v>
      </c>
      <c r="E29">
        <v>0.65</v>
      </c>
      <c r="F29">
        <v>1</v>
      </c>
      <c r="G29" t="s">
        <v>332</v>
      </c>
      <c r="H29">
        <v>1</v>
      </c>
      <c r="I29">
        <v>15.51</v>
      </c>
      <c r="J29">
        <v>16.78</v>
      </c>
      <c r="K29">
        <v>0.65</v>
      </c>
      <c r="L29">
        <v>16.78</v>
      </c>
      <c r="M29">
        <v>0.73</v>
      </c>
      <c r="N29">
        <v>51.8</v>
      </c>
      <c r="O29">
        <v>0.81</v>
      </c>
      <c r="P29" t="s">
        <v>426</v>
      </c>
      <c r="Q29" t="s">
        <v>426</v>
      </c>
      <c r="R29" t="s">
        <v>426</v>
      </c>
      <c r="S29" t="s">
        <v>426</v>
      </c>
      <c r="T29" t="s">
        <v>426</v>
      </c>
      <c r="U29" t="s">
        <v>426</v>
      </c>
      <c r="V29" t="s">
        <v>426</v>
      </c>
      <c r="W29" t="s">
        <v>426</v>
      </c>
      <c r="X29" t="s">
        <v>426</v>
      </c>
      <c r="Y29">
        <v>0</v>
      </c>
      <c r="Z29">
        <v>0</v>
      </c>
      <c r="AB29">
        <v>0</v>
      </c>
      <c r="AC29">
        <v>0</v>
      </c>
      <c r="AD29">
        <v>0.81</v>
      </c>
      <c r="AE29">
        <v>0</v>
      </c>
      <c r="AF29">
        <v>0</v>
      </c>
      <c r="AG29">
        <v>0</v>
      </c>
      <c r="AH29">
        <v>0</v>
      </c>
      <c r="AI29">
        <v>29</v>
      </c>
      <c r="AZ29" t="s">
        <v>444</v>
      </c>
      <c r="BA29" t="s">
        <v>451</v>
      </c>
      <c r="BB29">
        <v>1638010991.3440001</v>
      </c>
      <c r="BC29">
        <v>26</v>
      </c>
      <c r="BD29">
        <v>63</v>
      </c>
      <c r="BE29" t="s">
        <v>332</v>
      </c>
      <c r="BF29">
        <v>1514037573.0480001</v>
      </c>
      <c r="BG29">
        <f>_xlfn.XLOOKUP(B29,[1]FCLSP!$C$10:$C$69,[1]FCLSP!$M$10:$M$69)</f>
        <v>1514037573.0480001</v>
      </c>
      <c r="BH29" t="b">
        <f t="shared" si="0"/>
        <v>1</v>
      </c>
      <c r="BI29">
        <v>1.303498379897239E-3</v>
      </c>
      <c r="BJ29">
        <v>1.3240674868709619E-3</v>
      </c>
      <c r="BK29">
        <v>1.015779925231165</v>
      </c>
      <c r="BL29" t="b">
        <v>0</v>
      </c>
      <c r="BM29">
        <v>88470965.6358556</v>
      </c>
      <c r="BN29">
        <v>88470966</v>
      </c>
      <c r="BO29" t="s">
        <v>129</v>
      </c>
      <c r="BP29" t="s">
        <v>130</v>
      </c>
    </row>
    <row r="30" spans="1:68" x14ac:dyDescent="0.25">
      <c r="A30" t="s">
        <v>54</v>
      </c>
      <c r="B30" t="s">
        <v>113</v>
      </c>
      <c r="C30" t="s">
        <v>126</v>
      </c>
      <c r="D30">
        <v>20547701</v>
      </c>
      <c r="E30">
        <v>0.70000000000000007</v>
      </c>
      <c r="F30">
        <v>1</v>
      </c>
      <c r="G30" t="s">
        <v>399</v>
      </c>
      <c r="H30">
        <v>1</v>
      </c>
      <c r="I30">
        <v>160</v>
      </c>
      <c r="J30">
        <v>175</v>
      </c>
      <c r="K30">
        <v>0.70000000000000007</v>
      </c>
      <c r="L30">
        <v>175</v>
      </c>
      <c r="M30">
        <v>0.74</v>
      </c>
      <c r="N30">
        <v>69.400000000000006</v>
      </c>
      <c r="O30">
        <v>0.91</v>
      </c>
      <c r="P30" t="s">
        <v>426</v>
      </c>
      <c r="Q30" t="s">
        <v>426</v>
      </c>
      <c r="R30" t="s">
        <v>426</v>
      </c>
      <c r="S30" t="s">
        <v>426</v>
      </c>
      <c r="T30" t="s">
        <v>426</v>
      </c>
      <c r="U30" t="s">
        <v>426</v>
      </c>
      <c r="V30" t="s">
        <v>426</v>
      </c>
      <c r="W30" t="s">
        <v>426</v>
      </c>
      <c r="X30" t="s">
        <v>426</v>
      </c>
      <c r="Y30">
        <v>0</v>
      </c>
      <c r="Z30">
        <v>0</v>
      </c>
      <c r="AB30">
        <v>0</v>
      </c>
      <c r="AC30">
        <v>0</v>
      </c>
      <c r="AD30">
        <v>0.91</v>
      </c>
      <c r="AE30">
        <v>0</v>
      </c>
      <c r="AF30">
        <v>0</v>
      </c>
      <c r="AG30">
        <v>0</v>
      </c>
      <c r="AH30">
        <v>0</v>
      </c>
      <c r="AI30">
        <v>32</v>
      </c>
      <c r="AZ30" t="s">
        <v>444</v>
      </c>
      <c r="BA30" t="s">
        <v>451</v>
      </c>
      <c r="BB30">
        <v>2517093372.5</v>
      </c>
      <c r="BC30">
        <v>29</v>
      </c>
      <c r="BD30">
        <v>51</v>
      </c>
      <c r="BE30" t="s">
        <v>399</v>
      </c>
      <c r="BF30">
        <v>2301342512</v>
      </c>
      <c r="BG30">
        <f>_xlfn.XLOOKUP(B30,[1]FCLSP!$C$10:$C$69,[1]FCLSP!$M$10:$M$69)</f>
        <v>2301342512</v>
      </c>
      <c r="BH30" t="b">
        <f t="shared" si="0"/>
        <v>1</v>
      </c>
      <c r="BI30">
        <v>1.9813221873626109E-3</v>
      </c>
      <c r="BJ30">
        <v>2.0125873033380419E-3</v>
      </c>
      <c r="BK30">
        <v>1.015779925231165</v>
      </c>
      <c r="BL30" t="b">
        <v>0</v>
      </c>
      <c r="BM30">
        <v>12894344.89641932</v>
      </c>
      <c r="BN30">
        <v>12894345</v>
      </c>
      <c r="BO30" t="s">
        <v>129</v>
      </c>
      <c r="BP30" t="s">
        <v>130</v>
      </c>
    </row>
    <row r="31" spans="1:68" x14ac:dyDescent="0.25">
      <c r="A31" t="s">
        <v>36</v>
      </c>
      <c r="B31" t="s">
        <v>95</v>
      </c>
      <c r="C31" t="s">
        <v>126</v>
      </c>
      <c r="D31">
        <v>2660056599</v>
      </c>
      <c r="E31">
        <v>0.65</v>
      </c>
      <c r="F31">
        <v>1</v>
      </c>
      <c r="G31" t="s">
        <v>377</v>
      </c>
      <c r="H31">
        <v>1</v>
      </c>
      <c r="I31">
        <v>13.67</v>
      </c>
      <c r="J31">
        <v>14.48</v>
      </c>
      <c r="K31">
        <v>0.65</v>
      </c>
      <c r="L31">
        <v>14.48</v>
      </c>
      <c r="M31">
        <v>0.78</v>
      </c>
      <c r="N31">
        <v>64.17</v>
      </c>
      <c r="O31">
        <v>0.97</v>
      </c>
      <c r="P31" t="s">
        <v>426</v>
      </c>
      <c r="Q31" t="s">
        <v>426</v>
      </c>
      <c r="R31" t="s">
        <v>426</v>
      </c>
      <c r="S31" t="s">
        <v>426</v>
      </c>
      <c r="T31" t="s">
        <v>426</v>
      </c>
      <c r="U31" t="s">
        <v>426</v>
      </c>
      <c r="V31" t="s">
        <v>426</v>
      </c>
      <c r="W31" t="s">
        <v>426</v>
      </c>
      <c r="X31" t="s">
        <v>426</v>
      </c>
      <c r="Y31">
        <v>0</v>
      </c>
      <c r="Z31">
        <v>0</v>
      </c>
      <c r="AB31">
        <v>0</v>
      </c>
      <c r="AC31">
        <v>0</v>
      </c>
      <c r="AD31">
        <v>0.97</v>
      </c>
      <c r="AE31">
        <v>0</v>
      </c>
      <c r="AF31">
        <v>0</v>
      </c>
      <c r="AG31">
        <v>0</v>
      </c>
      <c r="AH31">
        <v>0</v>
      </c>
      <c r="AI31">
        <v>33</v>
      </c>
      <c r="AZ31" t="s">
        <v>444</v>
      </c>
      <c r="BA31" t="s">
        <v>451</v>
      </c>
      <c r="BB31">
        <v>25036452709.787998</v>
      </c>
      <c r="BC31">
        <v>30</v>
      </c>
      <c r="BD31">
        <v>15</v>
      </c>
      <c r="BE31" t="s">
        <v>377</v>
      </c>
      <c r="BF31">
        <v>23635932910.414501</v>
      </c>
      <c r="BG31">
        <f>_xlfn.XLOOKUP(B31,[1]FCLSP!$C$10:$C$69,[1]FCLSP!$M$10:$M$69)</f>
        <v>23635932910.414501</v>
      </c>
      <c r="BH31" t="b">
        <f t="shared" si="0"/>
        <v>1</v>
      </c>
      <c r="BI31">
        <v>2.0349164911449901E-2</v>
      </c>
      <c r="BJ31">
        <v>2.0670273212269229E-2</v>
      </c>
      <c r="BK31">
        <v>1.015779925231165</v>
      </c>
      <c r="BL31" t="b">
        <v>0</v>
      </c>
      <c r="BM31">
        <v>1600516876.07639</v>
      </c>
      <c r="BN31">
        <v>1600516876</v>
      </c>
      <c r="BO31" t="s">
        <v>129</v>
      </c>
      <c r="BP31" t="s">
        <v>130</v>
      </c>
    </row>
    <row r="32" spans="1:68" x14ac:dyDescent="0.25">
      <c r="A32" t="s">
        <v>65</v>
      </c>
      <c r="B32" t="s">
        <v>124</v>
      </c>
      <c r="C32" t="s">
        <v>126</v>
      </c>
      <c r="D32">
        <v>1029918125</v>
      </c>
      <c r="E32">
        <v>0.70000000000000007</v>
      </c>
      <c r="F32">
        <v>1</v>
      </c>
      <c r="G32" t="s">
        <v>420</v>
      </c>
      <c r="H32">
        <v>1</v>
      </c>
      <c r="I32">
        <v>3.0350000000000001</v>
      </c>
      <c r="J32">
        <v>3.1440000000000001</v>
      </c>
      <c r="K32">
        <v>0.70000000000000007</v>
      </c>
      <c r="L32">
        <v>3.1440000000000001</v>
      </c>
      <c r="M32">
        <v>0.78</v>
      </c>
      <c r="N32">
        <v>48.72</v>
      </c>
      <c r="O32">
        <v>0.91</v>
      </c>
      <c r="P32" t="s">
        <v>426</v>
      </c>
      <c r="Q32" t="s">
        <v>426</v>
      </c>
      <c r="R32" t="s">
        <v>426</v>
      </c>
      <c r="S32" t="s">
        <v>426</v>
      </c>
      <c r="T32" t="s">
        <v>426</v>
      </c>
      <c r="U32" t="s">
        <v>426</v>
      </c>
      <c r="V32" t="s">
        <v>426</v>
      </c>
      <c r="W32" t="s">
        <v>426</v>
      </c>
      <c r="X32" t="s">
        <v>426</v>
      </c>
      <c r="Y32">
        <v>0</v>
      </c>
      <c r="Z32">
        <v>0</v>
      </c>
      <c r="AB32">
        <v>0</v>
      </c>
      <c r="AC32">
        <v>0</v>
      </c>
      <c r="AD32">
        <v>0.91</v>
      </c>
      <c r="AE32">
        <v>0</v>
      </c>
      <c r="AF32">
        <v>0</v>
      </c>
      <c r="AG32">
        <v>0</v>
      </c>
      <c r="AH32">
        <v>0</v>
      </c>
      <c r="AI32">
        <v>33</v>
      </c>
      <c r="AZ32" t="s">
        <v>444</v>
      </c>
      <c r="BA32" t="s">
        <v>451</v>
      </c>
      <c r="BB32">
        <v>2266643809.5</v>
      </c>
      <c r="BC32">
        <v>30</v>
      </c>
      <c r="BD32">
        <v>55</v>
      </c>
      <c r="BE32" t="s">
        <v>420</v>
      </c>
      <c r="BF32">
        <v>2188061056.5625</v>
      </c>
      <c r="BG32">
        <f>_xlfn.XLOOKUP(B32,[1]FCLSP!$C$10:$C$69,[1]FCLSP!$M$10:$M$69)</f>
        <v>2188061056.5625</v>
      </c>
      <c r="BH32" t="b">
        <f t="shared" si="0"/>
        <v>1</v>
      </c>
      <c r="BI32">
        <v>1.883793436251161E-3</v>
      </c>
      <c r="BJ32">
        <v>1.913519555826164E-3</v>
      </c>
      <c r="BK32">
        <v>1.015779925231165</v>
      </c>
      <c r="BL32" t="b">
        <v>0</v>
      </c>
      <c r="BM32">
        <v>682390497.06847107</v>
      </c>
      <c r="BN32">
        <v>682390497</v>
      </c>
      <c r="BO32" t="s">
        <v>129</v>
      </c>
      <c r="BP32" t="s">
        <v>130</v>
      </c>
    </row>
    <row r="33" spans="1:68" x14ac:dyDescent="0.25">
      <c r="A33" t="s">
        <v>13</v>
      </c>
      <c r="B33" t="s">
        <v>72</v>
      </c>
      <c r="C33" t="s">
        <v>127</v>
      </c>
      <c r="D33">
        <v>73184570</v>
      </c>
      <c r="E33">
        <v>0.60000000000000009</v>
      </c>
      <c r="F33">
        <v>1</v>
      </c>
      <c r="G33" t="s">
        <v>315</v>
      </c>
      <c r="H33">
        <v>1</v>
      </c>
      <c r="I33">
        <v>26.76</v>
      </c>
      <c r="J33">
        <v>26.48</v>
      </c>
      <c r="K33">
        <v>0.60000000000000009</v>
      </c>
      <c r="L33">
        <v>26.48</v>
      </c>
      <c r="M33">
        <v>0.78</v>
      </c>
      <c r="N33">
        <v>55.47</v>
      </c>
      <c r="O33">
        <v>0.9</v>
      </c>
      <c r="P33" t="s">
        <v>426</v>
      </c>
      <c r="Q33" t="s">
        <v>426</v>
      </c>
      <c r="R33" t="s">
        <v>426</v>
      </c>
      <c r="S33" t="s">
        <v>426</v>
      </c>
      <c r="T33" t="s">
        <v>426</v>
      </c>
      <c r="U33" t="s">
        <v>426</v>
      </c>
      <c r="V33" t="s">
        <v>426</v>
      </c>
      <c r="W33" t="s">
        <v>426</v>
      </c>
      <c r="X33" t="s">
        <v>426</v>
      </c>
      <c r="Y33">
        <v>0</v>
      </c>
      <c r="Z33">
        <v>0</v>
      </c>
      <c r="AB33">
        <v>0</v>
      </c>
      <c r="AC33">
        <v>0</v>
      </c>
      <c r="AD33">
        <v>0.9</v>
      </c>
      <c r="AE33">
        <v>0</v>
      </c>
      <c r="AF33">
        <v>0</v>
      </c>
      <c r="AG33">
        <v>0</v>
      </c>
      <c r="AH33">
        <v>0</v>
      </c>
      <c r="AI33">
        <v>33</v>
      </c>
      <c r="AZ33" t="s">
        <v>444</v>
      </c>
      <c r="BA33" t="s">
        <v>451</v>
      </c>
      <c r="BB33">
        <v>1162756448.1600001</v>
      </c>
      <c r="BC33">
        <v>30</v>
      </c>
      <c r="BD33">
        <v>68</v>
      </c>
      <c r="BE33" t="s">
        <v>315</v>
      </c>
      <c r="BF33">
        <v>1175051455.9200001</v>
      </c>
      <c r="BG33">
        <f>_xlfn.XLOOKUP(B33,[1]FCLSP!$C$10:$C$69,[1]FCLSP!$M$10:$M$69)</f>
        <v>1175051455.9200003</v>
      </c>
      <c r="BH33" t="b">
        <f t="shared" si="0"/>
        <v>1</v>
      </c>
      <c r="BI33">
        <v>1.0116510292436801E-3</v>
      </c>
      <c r="BJ33">
        <v>1.027614806845176E-3</v>
      </c>
      <c r="BK33">
        <v>1.015779925231165</v>
      </c>
      <c r="BL33" t="b">
        <v>0</v>
      </c>
      <c r="BM33">
        <v>43510590.288622968</v>
      </c>
      <c r="BN33">
        <v>43510590</v>
      </c>
      <c r="BO33" t="s">
        <v>129</v>
      </c>
      <c r="BP33" t="s">
        <v>130</v>
      </c>
    </row>
    <row r="34" spans="1:68" x14ac:dyDescent="0.25">
      <c r="A34" t="s">
        <v>50</v>
      </c>
      <c r="B34" t="s">
        <v>109</v>
      </c>
      <c r="C34" t="s">
        <v>126</v>
      </c>
      <c r="D34">
        <v>785180327</v>
      </c>
      <c r="E34">
        <v>0.9</v>
      </c>
      <c r="F34">
        <v>1</v>
      </c>
      <c r="G34" t="s">
        <v>395</v>
      </c>
      <c r="H34">
        <v>1</v>
      </c>
      <c r="I34">
        <v>56.76</v>
      </c>
      <c r="J34">
        <v>57.84</v>
      </c>
      <c r="K34">
        <v>0.9</v>
      </c>
      <c r="L34">
        <v>57.84</v>
      </c>
      <c r="M34">
        <v>0.82</v>
      </c>
      <c r="N34">
        <v>56.73</v>
      </c>
      <c r="O34">
        <v>0.74</v>
      </c>
      <c r="P34" t="s">
        <v>426</v>
      </c>
      <c r="Q34" t="s">
        <v>426</v>
      </c>
      <c r="R34" t="s">
        <v>426</v>
      </c>
      <c r="S34" t="s">
        <v>426</v>
      </c>
      <c r="T34" t="s">
        <v>426</v>
      </c>
      <c r="U34" t="s">
        <v>426</v>
      </c>
      <c r="V34" t="s">
        <v>426</v>
      </c>
      <c r="W34" t="s">
        <v>426</v>
      </c>
      <c r="X34" t="s">
        <v>426</v>
      </c>
      <c r="Y34">
        <v>0</v>
      </c>
      <c r="Z34">
        <v>0</v>
      </c>
      <c r="AB34">
        <v>0</v>
      </c>
      <c r="AC34">
        <v>0</v>
      </c>
      <c r="AD34">
        <v>0.74</v>
      </c>
      <c r="AE34">
        <v>0</v>
      </c>
      <c r="AF34">
        <v>0</v>
      </c>
      <c r="AG34">
        <v>0</v>
      </c>
      <c r="AH34">
        <v>0</v>
      </c>
      <c r="AI34">
        <v>36</v>
      </c>
      <c r="AZ34" t="s">
        <v>444</v>
      </c>
      <c r="BA34" t="s">
        <v>451</v>
      </c>
      <c r="BB34">
        <v>40873347102.311996</v>
      </c>
      <c r="BC34">
        <v>33</v>
      </c>
      <c r="BD34">
        <v>13</v>
      </c>
      <c r="BE34" t="s">
        <v>395</v>
      </c>
      <c r="BF34">
        <v>40110151824.467987</v>
      </c>
      <c r="BG34">
        <f>_xlfn.XLOOKUP(B34,[1]FCLSP!$C$10:$C$69,[1]FCLSP!$M$10:$M$69)</f>
        <v>40110151824.467995</v>
      </c>
      <c r="BH34" t="b">
        <f t="shared" si="0"/>
        <v>1</v>
      </c>
      <c r="BI34">
        <v>3.4532510190860857E-2</v>
      </c>
      <c r="BJ34">
        <v>3.5077430619717097E-2</v>
      </c>
      <c r="BK34">
        <v>1.015779925231165</v>
      </c>
      <c r="BL34" t="b">
        <v>0</v>
      </c>
      <c r="BM34">
        <v>679958007.55045831</v>
      </c>
      <c r="BN34">
        <v>679958008</v>
      </c>
      <c r="BO34" t="s">
        <v>129</v>
      </c>
      <c r="BP34" t="s">
        <v>130</v>
      </c>
    </row>
    <row r="35" spans="1:68" x14ac:dyDescent="0.25">
      <c r="A35" t="s">
        <v>66</v>
      </c>
      <c r="B35" t="s">
        <v>125</v>
      </c>
      <c r="C35" t="s">
        <v>126</v>
      </c>
      <c r="D35">
        <v>283571633</v>
      </c>
      <c r="E35">
        <v>0.75</v>
      </c>
      <c r="F35">
        <v>1</v>
      </c>
      <c r="G35" t="s">
        <v>423</v>
      </c>
      <c r="H35">
        <v>1</v>
      </c>
      <c r="I35">
        <v>2.6269999999999998</v>
      </c>
      <c r="J35">
        <v>3.1040000000000001</v>
      </c>
      <c r="K35">
        <v>0.75</v>
      </c>
      <c r="L35">
        <v>3.1040000000000001</v>
      </c>
      <c r="M35">
        <v>0.82</v>
      </c>
      <c r="N35">
        <v>57.39</v>
      </c>
      <c r="O35">
        <v>0.85</v>
      </c>
      <c r="P35" t="s">
        <v>426</v>
      </c>
      <c r="Q35" t="s">
        <v>426</v>
      </c>
      <c r="R35" t="s">
        <v>426</v>
      </c>
      <c r="S35" t="s">
        <v>426</v>
      </c>
      <c r="T35" t="s">
        <v>426</v>
      </c>
      <c r="U35" t="s">
        <v>426</v>
      </c>
      <c r="V35" t="s">
        <v>426</v>
      </c>
      <c r="W35" t="s">
        <v>426</v>
      </c>
      <c r="X35" t="s">
        <v>426</v>
      </c>
      <c r="Y35">
        <v>0</v>
      </c>
      <c r="Z35">
        <v>0</v>
      </c>
      <c r="AB35">
        <v>0</v>
      </c>
      <c r="AC35">
        <v>0</v>
      </c>
      <c r="AD35">
        <v>0.85</v>
      </c>
      <c r="AE35">
        <v>0</v>
      </c>
      <c r="AF35">
        <v>0</v>
      </c>
      <c r="AG35">
        <v>0</v>
      </c>
      <c r="AH35">
        <v>0</v>
      </c>
      <c r="AI35">
        <v>36</v>
      </c>
      <c r="AZ35" t="s">
        <v>444</v>
      </c>
      <c r="BA35" t="s">
        <v>451</v>
      </c>
      <c r="BB35">
        <v>660154761.62400007</v>
      </c>
      <c r="BC35">
        <v>33</v>
      </c>
      <c r="BD35">
        <v>83</v>
      </c>
      <c r="BE35" t="s">
        <v>423</v>
      </c>
      <c r="BF35">
        <v>558707009.91824996</v>
      </c>
      <c r="BG35">
        <f>_xlfn.XLOOKUP(B35,[1]FCLSP!$C$10:$C$69,[1]FCLSP!$M$10:$M$69)</f>
        <v>558707009.91824996</v>
      </c>
      <c r="BH35" t="b">
        <f t="shared" si="0"/>
        <v>1</v>
      </c>
      <c r="BI35">
        <v>4.8101427284894779E-4</v>
      </c>
      <c r="BJ35">
        <v>4.8860464210962753E-4</v>
      </c>
      <c r="BK35">
        <v>1.015779925231165</v>
      </c>
      <c r="BL35" t="b">
        <v>0</v>
      </c>
      <c r="BM35">
        <v>176489339.9129141</v>
      </c>
      <c r="BN35">
        <v>176489340</v>
      </c>
      <c r="BO35" t="s">
        <v>129</v>
      </c>
      <c r="BP35" t="s">
        <v>130</v>
      </c>
    </row>
    <row r="36" spans="1:68" x14ac:dyDescent="0.25">
      <c r="A36" t="s">
        <v>17</v>
      </c>
      <c r="B36" t="s">
        <v>76</v>
      </c>
      <c r="C36" t="s">
        <v>126</v>
      </c>
      <c r="D36">
        <v>41621162</v>
      </c>
      <c r="E36">
        <v>0.4</v>
      </c>
      <c r="F36">
        <v>1</v>
      </c>
      <c r="G36" t="s">
        <v>322</v>
      </c>
      <c r="H36">
        <v>1</v>
      </c>
      <c r="I36">
        <v>53.5</v>
      </c>
      <c r="J36">
        <v>54.9</v>
      </c>
      <c r="K36">
        <v>0.4</v>
      </c>
      <c r="L36">
        <v>54.9</v>
      </c>
      <c r="M36">
        <v>0.85</v>
      </c>
      <c r="N36">
        <v>53.35</v>
      </c>
      <c r="O36">
        <v>0.89</v>
      </c>
      <c r="P36" t="s">
        <v>426</v>
      </c>
      <c r="Q36" t="s">
        <v>426</v>
      </c>
      <c r="R36" t="s">
        <v>426</v>
      </c>
      <c r="S36" t="s">
        <v>426</v>
      </c>
      <c r="T36" t="s">
        <v>426</v>
      </c>
      <c r="U36" t="s">
        <v>426</v>
      </c>
      <c r="V36" t="s">
        <v>426</v>
      </c>
      <c r="W36" t="s">
        <v>426</v>
      </c>
      <c r="X36" t="s">
        <v>426</v>
      </c>
      <c r="Y36">
        <v>0</v>
      </c>
      <c r="Z36">
        <v>0</v>
      </c>
      <c r="AB36">
        <v>0</v>
      </c>
      <c r="AC36">
        <v>0</v>
      </c>
      <c r="AD36">
        <v>0.89</v>
      </c>
      <c r="AE36">
        <v>0</v>
      </c>
      <c r="AF36">
        <v>0</v>
      </c>
      <c r="AG36">
        <v>0</v>
      </c>
      <c r="AH36">
        <v>0</v>
      </c>
      <c r="AI36">
        <v>38</v>
      </c>
      <c r="AZ36" t="s">
        <v>444</v>
      </c>
      <c r="BA36" t="s">
        <v>451</v>
      </c>
      <c r="BB36">
        <v>914000717.51999998</v>
      </c>
      <c r="BC36">
        <v>35</v>
      </c>
      <c r="BD36">
        <v>75</v>
      </c>
      <c r="BE36" t="s">
        <v>322</v>
      </c>
      <c r="BF36">
        <v>890692866.80000007</v>
      </c>
      <c r="BG36">
        <f>_xlfn.XLOOKUP(B36,[1]FCLSP!$C$10:$C$69,[1]FCLSP!$M$10:$M$69)</f>
        <v>890692866.80000007</v>
      </c>
      <c r="BH36" t="b">
        <f t="shared" si="0"/>
        <v>1</v>
      </c>
      <c r="BI36">
        <v>7.6683480616832706E-4</v>
      </c>
      <c r="BJ36">
        <v>7.7893540207431831E-4</v>
      </c>
      <c r="BK36">
        <v>1.015779925231165</v>
      </c>
      <c r="BL36" t="b">
        <v>0</v>
      </c>
      <c r="BM36">
        <v>15907857.823910549</v>
      </c>
      <c r="BN36">
        <v>15907858</v>
      </c>
      <c r="BO36" t="s">
        <v>129</v>
      </c>
      <c r="BP36" t="s">
        <v>130</v>
      </c>
    </row>
    <row r="37" spans="1:68" x14ac:dyDescent="0.25">
      <c r="A37" t="s">
        <v>18</v>
      </c>
      <c r="B37" t="s">
        <v>77</v>
      </c>
      <c r="C37" t="s">
        <v>126</v>
      </c>
      <c r="D37">
        <v>118361220</v>
      </c>
      <c r="E37">
        <v>0.4</v>
      </c>
      <c r="F37">
        <v>1</v>
      </c>
      <c r="G37" t="s">
        <v>323</v>
      </c>
      <c r="H37">
        <v>1</v>
      </c>
      <c r="I37">
        <v>113.4</v>
      </c>
      <c r="J37">
        <v>127.4</v>
      </c>
      <c r="K37">
        <v>0.4</v>
      </c>
      <c r="L37">
        <v>127.4</v>
      </c>
      <c r="M37">
        <v>0.86</v>
      </c>
      <c r="N37">
        <v>63.2</v>
      </c>
      <c r="O37">
        <v>0.93</v>
      </c>
      <c r="P37" t="s">
        <v>426</v>
      </c>
      <c r="Q37" t="s">
        <v>426</v>
      </c>
      <c r="R37" t="s">
        <v>426</v>
      </c>
      <c r="S37" t="s">
        <v>426</v>
      </c>
      <c r="T37" t="s">
        <v>426</v>
      </c>
      <c r="U37" t="s">
        <v>426</v>
      </c>
      <c r="V37" t="s">
        <v>426</v>
      </c>
      <c r="W37" t="s">
        <v>426</v>
      </c>
      <c r="X37" t="s">
        <v>426</v>
      </c>
      <c r="Y37">
        <v>0</v>
      </c>
      <c r="Z37">
        <v>0</v>
      </c>
      <c r="AB37">
        <v>0</v>
      </c>
      <c r="AC37">
        <v>0</v>
      </c>
      <c r="AD37">
        <v>0.93</v>
      </c>
      <c r="AE37">
        <v>0</v>
      </c>
      <c r="AF37">
        <v>0</v>
      </c>
      <c r="AG37">
        <v>0</v>
      </c>
      <c r="AH37">
        <v>0</v>
      </c>
      <c r="AI37">
        <v>39</v>
      </c>
      <c r="AZ37" t="s">
        <v>444</v>
      </c>
      <c r="BA37" t="s">
        <v>451</v>
      </c>
      <c r="BB37">
        <v>6031687771.2000008</v>
      </c>
      <c r="BC37">
        <v>36</v>
      </c>
      <c r="BD37">
        <v>35</v>
      </c>
      <c r="BE37" t="s">
        <v>323</v>
      </c>
      <c r="BF37">
        <v>5368864939.2000008</v>
      </c>
      <c r="BG37">
        <f>_xlfn.XLOOKUP(B37,[1]FCLSP!$C$10:$C$69,[1]FCLSP!$M$10:$M$69)</f>
        <v>5368864939.2000008</v>
      </c>
      <c r="BH37" t="b">
        <f t="shared" si="0"/>
        <v>1</v>
      </c>
      <c r="BI37">
        <v>4.6222807641725684E-3</v>
      </c>
      <c r="BJ37">
        <v>4.6952200090286632E-3</v>
      </c>
      <c r="BK37">
        <v>1.015779925231165</v>
      </c>
      <c r="BL37" t="b">
        <v>0</v>
      </c>
      <c r="BM37">
        <v>41320838.126746587</v>
      </c>
      <c r="BN37">
        <v>41320838</v>
      </c>
      <c r="BO37" t="s">
        <v>129</v>
      </c>
      <c r="BP37" t="s">
        <v>130</v>
      </c>
    </row>
    <row r="38" spans="1:68" x14ac:dyDescent="0.25">
      <c r="A38" t="s">
        <v>11</v>
      </c>
      <c r="B38" t="s">
        <v>70</v>
      </c>
      <c r="C38" t="s">
        <v>126</v>
      </c>
      <c r="D38">
        <v>35266866</v>
      </c>
      <c r="E38">
        <v>0.85000000000000009</v>
      </c>
      <c r="F38">
        <v>1</v>
      </c>
      <c r="G38" t="s">
        <v>313</v>
      </c>
      <c r="H38">
        <v>1</v>
      </c>
      <c r="I38">
        <v>65.45</v>
      </c>
      <c r="J38">
        <v>69.400000000000006</v>
      </c>
      <c r="K38">
        <v>0.85000000000000009</v>
      </c>
      <c r="L38">
        <v>69.400000000000006</v>
      </c>
      <c r="M38">
        <v>0.94</v>
      </c>
      <c r="N38">
        <v>57.71</v>
      </c>
      <c r="O38">
        <v>0.79</v>
      </c>
      <c r="P38" t="s">
        <v>426</v>
      </c>
      <c r="Q38" t="s">
        <v>426</v>
      </c>
      <c r="R38" t="s">
        <v>426</v>
      </c>
      <c r="S38" t="s">
        <v>426</v>
      </c>
      <c r="T38" t="s">
        <v>426</v>
      </c>
      <c r="U38" t="s">
        <v>426</v>
      </c>
      <c r="V38" t="s">
        <v>426</v>
      </c>
      <c r="W38" t="s">
        <v>426</v>
      </c>
      <c r="X38" t="s">
        <v>426</v>
      </c>
      <c r="Y38">
        <v>0</v>
      </c>
      <c r="Z38">
        <v>0</v>
      </c>
      <c r="AB38">
        <v>0</v>
      </c>
      <c r="AC38">
        <v>0</v>
      </c>
      <c r="AD38">
        <v>0.79</v>
      </c>
      <c r="AE38">
        <v>0</v>
      </c>
      <c r="AF38">
        <v>0</v>
      </c>
      <c r="AG38">
        <v>0</v>
      </c>
      <c r="AH38">
        <v>0</v>
      </c>
      <c r="AI38">
        <v>41</v>
      </c>
      <c r="AZ38" t="s">
        <v>444</v>
      </c>
      <c r="BA38" t="s">
        <v>451</v>
      </c>
      <c r="BB38">
        <v>2080392425.3399999</v>
      </c>
      <c r="BC38">
        <v>37</v>
      </c>
      <c r="BD38">
        <v>58</v>
      </c>
      <c r="BE38" t="s">
        <v>313</v>
      </c>
      <c r="BF38">
        <v>1961983922.7449999</v>
      </c>
      <c r="BG38">
        <f>_xlfn.XLOOKUP(B38,[1]FCLSP!$C$10:$C$69,[1]FCLSP!$M$10:$M$69)</f>
        <v>1961983922.7450004</v>
      </c>
      <c r="BH38" t="b">
        <f t="shared" si="0"/>
        <v>1</v>
      </c>
      <c r="BI38">
        <v>1.689154159849544E-3</v>
      </c>
      <c r="BJ38">
        <v>1.715808886195882E-3</v>
      </c>
      <c r="BK38">
        <v>1.015779925231165</v>
      </c>
      <c r="BL38" t="b">
        <v>0</v>
      </c>
      <c r="BM38">
        <v>27719924.61528353</v>
      </c>
      <c r="BN38">
        <v>27719925</v>
      </c>
      <c r="BO38" t="s">
        <v>129</v>
      </c>
      <c r="BP38" t="s">
        <v>130</v>
      </c>
    </row>
    <row r="39" spans="1:68" x14ac:dyDescent="0.25">
      <c r="A39" t="s">
        <v>23</v>
      </c>
      <c r="B39" t="s">
        <v>82</v>
      </c>
      <c r="C39" t="s">
        <v>126</v>
      </c>
      <c r="D39">
        <v>681394483</v>
      </c>
      <c r="E39">
        <v>0.95000000000000007</v>
      </c>
      <c r="F39">
        <v>1</v>
      </c>
      <c r="G39" t="s">
        <v>335</v>
      </c>
      <c r="H39">
        <v>1</v>
      </c>
      <c r="I39">
        <v>74.28</v>
      </c>
      <c r="J39">
        <v>73.239999999999995</v>
      </c>
      <c r="K39">
        <v>0.95000000000000007</v>
      </c>
      <c r="L39">
        <v>73.239999999999995</v>
      </c>
      <c r="M39">
        <v>0.97</v>
      </c>
      <c r="N39">
        <v>65.34</v>
      </c>
      <c r="O39">
        <v>0.96</v>
      </c>
      <c r="P39" t="s">
        <v>426</v>
      </c>
      <c r="Q39" t="s">
        <v>426</v>
      </c>
      <c r="R39" t="s">
        <v>426</v>
      </c>
      <c r="S39" t="s">
        <v>426</v>
      </c>
      <c r="T39" t="s">
        <v>426</v>
      </c>
      <c r="U39" t="s">
        <v>426</v>
      </c>
      <c r="V39" t="s">
        <v>426</v>
      </c>
      <c r="W39" t="s">
        <v>426</v>
      </c>
      <c r="X39" t="s">
        <v>426</v>
      </c>
      <c r="Y39">
        <v>0</v>
      </c>
      <c r="Z39">
        <v>0</v>
      </c>
      <c r="AB39">
        <v>0</v>
      </c>
      <c r="AC39">
        <v>0</v>
      </c>
      <c r="AD39">
        <v>0.96</v>
      </c>
      <c r="AE39">
        <v>0</v>
      </c>
      <c r="AF39">
        <v>0</v>
      </c>
      <c r="AG39">
        <v>0</v>
      </c>
      <c r="AH39">
        <v>0</v>
      </c>
      <c r="AI39">
        <v>42</v>
      </c>
      <c r="AZ39" t="s">
        <v>444</v>
      </c>
      <c r="BA39" t="s">
        <v>451</v>
      </c>
      <c r="BB39">
        <v>47410065338.174004</v>
      </c>
      <c r="BC39">
        <v>38</v>
      </c>
      <c r="BD39">
        <v>11</v>
      </c>
      <c r="BE39" t="s">
        <v>335</v>
      </c>
      <c r="BF39">
        <v>48083283087.377998</v>
      </c>
      <c r="BG39">
        <f>_xlfn.XLOOKUP(B39,[1]FCLSP!$C$10:$C$69,[1]FCLSP!$M$10:$M$69)</f>
        <v>48083283087.377998</v>
      </c>
      <c r="BH39" t="b">
        <f t="shared" si="0"/>
        <v>1</v>
      </c>
      <c r="BI39">
        <v>4.1396912943421703E-2</v>
      </c>
      <c r="BJ39">
        <v>4.2050153134469963E-2</v>
      </c>
      <c r="BK39">
        <v>1.015779925231165</v>
      </c>
      <c r="BL39" t="b">
        <v>0</v>
      </c>
      <c r="BM39">
        <v>643727183.00307238</v>
      </c>
      <c r="BN39">
        <v>643727183</v>
      </c>
      <c r="BO39" t="s">
        <v>129</v>
      </c>
      <c r="BP39" t="s">
        <v>130</v>
      </c>
    </row>
    <row r="40" spans="1:68" x14ac:dyDescent="0.25">
      <c r="A40" t="s">
        <v>38</v>
      </c>
      <c r="B40" t="s">
        <v>97</v>
      </c>
      <c r="C40" t="s">
        <v>126</v>
      </c>
      <c r="D40">
        <v>254311860</v>
      </c>
      <c r="E40">
        <v>0.95000000000000007</v>
      </c>
      <c r="F40">
        <v>1</v>
      </c>
      <c r="G40" t="s">
        <v>381</v>
      </c>
      <c r="H40">
        <v>1</v>
      </c>
      <c r="I40">
        <v>82.76</v>
      </c>
      <c r="J40">
        <v>80.739999999999995</v>
      </c>
      <c r="K40">
        <v>0.95000000000000007</v>
      </c>
      <c r="L40">
        <v>80.739999999999995</v>
      </c>
      <c r="M40">
        <v>0.97</v>
      </c>
      <c r="N40">
        <v>63.51</v>
      </c>
      <c r="O40">
        <v>0.95</v>
      </c>
      <c r="P40" t="s">
        <v>426</v>
      </c>
      <c r="Q40" t="s">
        <v>426</v>
      </c>
      <c r="R40" t="s">
        <v>426</v>
      </c>
      <c r="S40" t="s">
        <v>426</v>
      </c>
      <c r="T40" t="s">
        <v>426</v>
      </c>
      <c r="U40" t="s">
        <v>426</v>
      </c>
      <c r="V40" t="s">
        <v>426</v>
      </c>
      <c r="W40" t="s">
        <v>426</v>
      </c>
      <c r="X40" t="s">
        <v>426</v>
      </c>
      <c r="Y40">
        <v>0</v>
      </c>
      <c r="Z40">
        <v>0</v>
      </c>
      <c r="AB40">
        <v>0</v>
      </c>
      <c r="AC40">
        <v>0</v>
      </c>
      <c r="AD40">
        <v>0.95</v>
      </c>
      <c r="AE40">
        <v>0</v>
      </c>
      <c r="AF40">
        <v>0</v>
      </c>
      <c r="AG40">
        <v>0</v>
      </c>
      <c r="AH40">
        <v>0</v>
      </c>
      <c r="AI40">
        <v>42</v>
      </c>
      <c r="AZ40" t="s">
        <v>444</v>
      </c>
      <c r="BA40" t="s">
        <v>451</v>
      </c>
      <c r="BB40">
        <v>19506482597.580002</v>
      </c>
      <c r="BC40">
        <v>38</v>
      </c>
      <c r="BD40">
        <v>18</v>
      </c>
      <c r="BE40" t="s">
        <v>381</v>
      </c>
      <c r="BF40">
        <v>19994507056.919998</v>
      </c>
      <c r="BG40">
        <f>_xlfn.XLOOKUP(B40,[1]FCLSP!$C$10:$C$69,[1]FCLSP!$M$10:$M$69)</f>
        <v>19994507056.920002</v>
      </c>
      <c r="BH40" t="b">
        <f t="shared" si="0"/>
        <v>1</v>
      </c>
      <c r="BI40">
        <v>1.7214108830252161E-2</v>
      </c>
      <c r="BJ40">
        <v>1.748574618051468E-2</v>
      </c>
      <c r="BK40">
        <v>1.015779925231165</v>
      </c>
      <c r="BL40" t="b">
        <v>0</v>
      </c>
      <c r="BM40">
        <v>242816406.45359671</v>
      </c>
      <c r="BN40">
        <v>242816406</v>
      </c>
      <c r="BO40" t="s">
        <v>129</v>
      </c>
      <c r="BP40" t="s">
        <v>130</v>
      </c>
    </row>
    <row r="41" spans="1:68" x14ac:dyDescent="0.25">
      <c r="A41" t="s">
        <v>27</v>
      </c>
      <c r="B41" t="s">
        <v>86</v>
      </c>
      <c r="C41" t="s">
        <v>126</v>
      </c>
      <c r="D41">
        <v>37117772</v>
      </c>
      <c r="E41">
        <v>1</v>
      </c>
      <c r="F41">
        <v>1</v>
      </c>
      <c r="G41" t="s">
        <v>356</v>
      </c>
      <c r="H41">
        <v>1</v>
      </c>
      <c r="I41">
        <v>156.9</v>
      </c>
      <c r="J41">
        <v>158.5</v>
      </c>
      <c r="K41">
        <v>1</v>
      </c>
      <c r="L41">
        <v>158.5</v>
      </c>
      <c r="M41">
        <v>1.01</v>
      </c>
      <c r="N41">
        <v>51.6</v>
      </c>
      <c r="O41">
        <v>0.93</v>
      </c>
      <c r="P41" t="s">
        <v>426</v>
      </c>
      <c r="Q41" t="s">
        <v>426</v>
      </c>
      <c r="R41" t="s">
        <v>426</v>
      </c>
      <c r="S41" t="s">
        <v>426</v>
      </c>
      <c r="T41" t="s">
        <v>426</v>
      </c>
      <c r="U41" t="s">
        <v>426</v>
      </c>
      <c r="V41" t="s">
        <v>426</v>
      </c>
      <c r="W41" t="s">
        <v>426</v>
      </c>
      <c r="X41" t="s">
        <v>426</v>
      </c>
      <c r="Y41">
        <v>0</v>
      </c>
      <c r="Z41">
        <v>0</v>
      </c>
      <c r="AB41">
        <v>0</v>
      </c>
      <c r="AC41">
        <v>0</v>
      </c>
      <c r="AD41">
        <v>0.93</v>
      </c>
      <c r="AE41">
        <v>0</v>
      </c>
      <c r="AF41">
        <v>0</v>
      </c>
      <c r="AG41">
        <v>0</v>
      </c>
      <c r="AH41">
        <v>0</v>
      </c>
      <c r="AI41">
        <v>45</v>
      </c>
      <c r="AZ41" t="s">
        <v>444</v>
      </c>
      <c r="BA41" t="s">
        <v>451</v>
      </c>
      <c r="BB41">
        <v>5883166862</v>
      </c>
      <c r="BC41">
        <v>40</v>
      </c>
      <c r="BD41">
        <v>36</v>
      </c>
      <c r="BE41" t="s">
        <v>356</v>
      </c>
      <c r="BF41">
        <v>5823778426.8000002</v>
      </c>
      <c r="BG41">
        <f>_xlfn.XLOOKUP(B41,[1]FCLSP!$C$10:$C$69,[1]FCLSP!$M$10:$M$69)</f>
        <v>5823778426.8000002</v>
      </c>
      <c r="BH41" t="b">
        <f t="shared" si="0"/>
        <v>1</v>
      </c>
      <c r="BI41">
        <v>5.01393484504603E-3</v>
      </c>
      <c r="BJ41">
        <v>5.0930543620147893E-3</v>
      </c>
      <c r="BK41">
        <v>1.015779925231165</v>
      </c>
      <c r="BL41" t="b">
        <v>0</v>
      </c>
      <c r="BM41">
        <v>36027294.348714679</v>
      </c>
      <c r="BN41">
        <v>36027294</v>
      </c>
      <c r="BO41" t="s">
        <v>129</v>
      </c>
      <c r="BP41" t="s">
        <v>130</v>
      </c>
    </row>
    <row r="42" spans="1:68" x14ac:dyDescent="0.25">
      <c r="A42" t="s">
        <v>55</v>
      </c>
      <c r="B42" t="s">
        <v>114</v>
      </c>
      <c r="C42" t="s">
        <v>126</v>
      </c>
      <c r="D42">
        <v>168073514</v>
      </c>
      <c r="E42">
        <v>0.9</v>
      </c>
      <c r="F42">
        <v>1</v>
      </c>
      <c r="G42" t="s">
        <v>400</v>
      </c>
      <c r="H42">
        <v>1</v>
      </c>
      <c r="I42">
        <v>47.64</v>
      </c>
      <c r="J42">
        <v>52.1</v>
      </c>
      <c r="K42">
        <v>0.9</v>
      </c>
      <c r="L42">
        <v>52.1</v>
      </c>
      <c r="M42">
        <v>1.02</v>
      </c>
      <c r="N42">
        <v>47.37</v>
      </c>
      <c r="O42">
        <v>0.89</v>
      </c>
      <c r="P42" t="s">
        <v>426</v>
      </c>
      <c r="Q42" t="s">
        <v>426</v>
      </c>
      <c r="R42" t="s">
        <v>426</v>
      </c>
      <c r="S42" t="s">
        <v>426</v>
      </c>
      <c r="T42" t="s">
        <v>426</v>
      </c>
      <c r="U42" t="s">
        <v>426</v>
      </c>
      <c r="V42" t="s">
        <v>426</v>
      </c>
      <c r="W42" t="s">
        <v>426</v>
      </c>
      <c r="X42" t="s">
        <v>426</v>
      </c>
      <c r="Y42">
        <v>0</v>
      </c>
      <c r="Z42">
        <v>0</v>
      </c>
      <c r="AB42">
        <v>0</v>
      </c>
      <c r="AC42">
        <v>0</v>
      </c>
      <c r="AD42">
        <v>0.89</v>
      </c>
      <c r="AE42">
        <v>0</v>
      </c>
      <c r="AF42">
        <v>0</v>
      </c>
      <c r="AG42">
        <v>0</v>
      </c>
      <c r="AH42">
        <v>0</v>
      </c>
      <c r="AI42">
        <v>46</v>
      </c>
      <c r="AZ42" t="s">
        <v>444</v>
      </c>
      <c r="BA42" t="s">
        <v>451</v>
      </c>
      <c r="BB42">
        <v>7880967071.46</v>
      </c>
      <c r="BC42">
        <v>41</v>
      </c>
      <c r="BD42">
        <v>30</v>
      </c>
      <c r="BE42" t="s">
        <v>400</v>
      </c>
      <c r="BF42">
        <v>7206319986.2640009</v>
      </c>
      <c r="BG42">
        <f>_xlfn.XLOOKUP(B42,[1]FCLSP!$C$10:$C$69,[1]FCLSP!$M$10:$M$69)</f>
        <v>7206319986.2639999</v>
      </c>
      <c r="BH42" t="b">
        <f t="shared" si="0"/>
        <v>1</v>
      </c>
      <c r="BI42">
        <v>6.2042227975926297E-3</v>
      </c>
      <c r="BJ42">
        <v>6.3021249694561318E-3</v>
      </c>
      <c r="BK42">
        <v>1.015779925231165</v>
      </c>
      <c r="BL42" t="b">
        <v>0</v>
      </c>
      <c r="BM42">
        <v>135622545.12188509</v>
      </c>
      <c r="BN42">
        <v>135622545</v>
      </c>
      <c r="BO42" t="s">
        <v>129</v>
      </c>
      <c r="BP42" t="s">
        <v>130</v>
      </c>
    </row>
    <row r="43" spans="1:68" x14ac:dyDescent="0.25">
      <c r="A43" t="s">
        <v>30</v>
      </c>
      <c r="B43" t="s">
        <v>89</v>
      </c>
      <c r="C43" t="s">
        <v>126</v>
      </c>
      <c r="D43">
        <v>83814526</v>
      </c>
      <c r="E43">
        <v>0.4</v>
      </c>
      <c r="F43">
        <v>1</v>
      </c>
      <c r="G43" t="s">
        <v>362</v>
      </c>
      <c r="H43">
        <v>1</v>
      </c>
      <c r="I43">
        <v>116.8</v>
      </c>
      <c r="J43">
        <v>116.7</v>
      </c>
      <c r="K43">
        <v>0.4</v>
      </c>
      <c r="L43">
        <v>116.7</v>
      </c>
      <c r="M43">
        <v>1.02</v>
      </c>
      <c r="N43">
        <v>58.02</v>
      </c>
      <c r="O43">
        <v>0.96</v>
      </c>
      <c r="P43" t="s">
        <v>426</v>
      </c>
      <c r="Q43" t="s">
        <v>426</v>
      </c>
      <c r="R43" t="s">
        <v>426</v>
      </c>
      <c r="S43" t="s">
        <v>426</v>
      </c>
      <c r="T43" t="s">
        <v>426</v>
      </c>
      <c r="U43" t="s">
        <v>426</v>
      </c>
      <c r="V43" t="s">
        <v>426</v>
      </c>
      <c r="W43" t="s">
        <v>426</v>
      </c>
      <c r="X43" t="s">
        <v>426</v>
      </c>
      <c r="Y43">
        <v>0</v>
      </c>
      <c r="Z43">
        <v>0</v>
      </c>
      <c r="AB43">
        <v>0</v>
      </c>
      <c r="AC43">
        <v>0</v>
      </c>
      <c r="AD43">
        <v>0.96</v>
      </c>
      <c r="AE43">
        <v>0</v>
      </c>
      <c r="AF43">
        <v>0</v>
      </c>
      <c r="AG43">
        <v>0</v>
      </c>
      <c r="AH43">
        <v>0</v>
      </c>
      <c r="AI43">
        <v>46</v>
      </c>
      <c r="AZ43" t="s">
        <v>444</v>
      </c>
      <c r="BA43" t="s">
        <v>451</v>
      </c>
      <c r="BB43">
        <v>3912462073.6800008</v>
      </c>
      <c r="BC43">
        <v>41</v>
      </c>
      <c r="BD43">
        <v>47</v>
      </c>
      <c r="BE43" t="s">
        <v>362</v>
      </c>
      <c r="BF43">
        <v>3915814654.7199998</v>
      </c>
      <c r="BG43">
        <f>_xlfn.XLOOKUP(B43,[1]FCLSP!$C$10:$C$69,[1]FCLSP!$M$10:$M$69)</f>
        <v>3915814654.7199998</v>
      </c>
      <c r="BH43" t="b">
        <f t="shared" si="0"/>
        <v>1</v>
      </c>
      <c r="BI43">
        <v>3.371288896172964E-3</v>
      </c>
      <c r="BJ43">
        <v>3.424487582887231E-3</v>
      </c>
      <c r="BK43">
        <v>1.015779925231165</v>
      </c>
      <c r="BL43" t="b">
        <v>0</v>
      </c>
      <c r="BM43">
        <v>32900866.984436601</v>
      </c>
      <c r="BN43">
        <v>32900867</v>
      </c>
      <c r="BO43" t="s">
        <v>129</v>
      </c>
      <c r="BP43" t="s">
        <v>130</v>
      </c>
    </row>
    <row r="44" spans="1:68" x14ac:dyDescent="0.25">
      <c r="A44" t="s">
        <v>47</v>
      </c>
      <c r="B44" t="s">
        <v>106</v>
      </c>
      <c r="C44" t="s">
        <v>126</v>
      </c>
      <c r="D44">
        <v>97330405</v>
      </c>
      <c r="E44">
        <v>0.3</v>
      </c>
      <c r="F44">
        <v>1</v>
      </c>
      <c r="G44" t="s">
        <v>391</v>
      </c>
      <c r="H44">
        <v>1</v>
      </c>
      <c r="I44">
        <v>175.3</v>
      </c>
      <c r="J44">
        <v>177.85</v>
      </c>
      <c r="K44">
        <v>0.3</v>
      </c>
      <c r="L44">
        <v>177.85</v>
      </c>
      <c r="M44">
        <v>1.04</v>
      </c>
      <c r="N44">
        <v>55.88</v>
      </c>
      <c r="O44">
        <v>0.92</v>
      </c>
      <c r="P44" t="s">
        <v>426</v>
      </c>
      <c r="Q44" t="s">
        <v>426</v>
      </c>
      <c r="R44" t="s">
        <v>426</v>
      </c>
      <c r="S44" t="s">
        <v>426</v>
      </c>
      <c r="T44" t="s">
        <v>426</v>
      </c>
      <c r="U44" t="s">
        <v>426</v>
      </c>
      <c r="V44" t="s">
        <v>426</v>
      </c>
      <c r="W44" t="s">
        <v>426</v>
      </c>
      <c r="X44" t="s">
        <v>426</v>
      </c>
      <c r="Y44">
        <v>0</v>
      </c>
      <c r="Z44">
        <v>0</v>
      </c>
      <c r="AB44">
        <v>0</v>
      </c>
      <c r="AC44">
        <v>0</v>
      </c>
      <c r="AD44">
        <v>0.92</v>
      </c>
      <c r="AE44">
        <v>0</v>
      </c>
      <c r="AF44">
        <v>0</v>
      </c>
      <c r="AG44">
        <v>0</v>
      </c>
      <c r="AH44">
        <v>0</v>
      </c>
      <c r="AI44">
        <v>48</v>
      </c>
      <c r="AZ44" t="s">
        <v>444</v>
      </c>
      <c r="BA44" t="s">
        <v>451</v>
      </c>
      <c r="BB44">
        <v>5193063758.7750006</v>
      </c>
      <c r="BC44">
        <v>43</v>
      </c>
      <c r="BD44">
        <v>38</v>
      </c>
      <c r="BE44" t="s">
        <v>391</v>
      </c>
      <c r="BF44">
        <v>5118605998.9500008</v>
      </c>
      <c r="BG44">
        <f>_xlfn.XLOOKUP(B44,[1]FCLSP!$C$10:$C$69,[1]FCLSP!$M$10:$M$69)</f>
        <v>5118605998.9500017</v>
      </c>
      <c r="BH44" t="b">
        <f t="shared" si="0"/>
        <v>1</v>
      </c>
      <c r="BI44">
        <v>4.4068223574740091E-3</v>
      </c>
      <c r="BJ44">
        <v>4.4763616847819758E-3</v>
      </c>
      <c r="BK44">
        <v>1.015779925231165</v>
      </c>
      <c r="BL44" t="b">
        <v>0</v>
      </c>
      <c r="BM44">
        <v>28219798.139266599</v>
      </c>
      <c r="BN44">
        <v>28219798</v>
      </c>
      <c r="BO44" t="s">
        <v>129</v>
      </c>
      <c r="BP44" t="s">
        <v>130</v>
      </c>
    </row>
    <row r="45" spans="1:68" x14ac:dyDescent="0.25">
      <c r="A45" t="s">
        <v>29</v>
      </c>
      <c r="B45" t="s">
        <v>88</v>
      </c>
      <c r="C45" t="s">
        <v>126</v>
      </c>
      <c r="D45">
        <v>83727849</v>
      </c>
      <c r="E45">
        <v>0.3</v>
      </c>
      <c r="F45">
        <v>1</v>
      </c>
      <c r="G45" t="s">
        <v>361</v>
      </c>
      <c r="H45">
        <v>1</v>
      </c>
      <c r="I45">
        <v>29.02</v>
      </c>
      <c r="J45">
        <v>32.74</v>
      </c>
      <c r="K45">
        <v>0.3</v>
      </c>
      <c r="L45">
        <v>32.74</v>
      </c>
      <c r="M45">
        <v>1.07</v>
      </c>
      <c r="N45">
        <v>43.76</v>
      </c>
      <c r="O45" t="s">
        <v>424</v>
      </c>
      <c r="P45" t="s">
        <v>426</v>
      </c>
      <c r="Q45" t="s">
        <v>426</v>
      </c>
      <c r="R45" t="s">
        <v>426</v>
      </c>
      <c r="S45" t="s">
        <v>426</v>
      </c>
      <c r="T45" t="s">
        <v>426</v>
      </c>
      <c r="U45" t="s">
        <v>426</v>
      </c>
      <c r="V45" t="s">
        <v>426</v>
      </c>
      <c r="W45" t="s">
        <v>426</v>
      </c>
      <c r="X45" t="s">
        <v>426</v>
      </c>
      <c r="Y45">
        <v>0</v>
      </c>
      <c r="Z45">
        <v>0</v>
      </c>
      <c r="AB45">
        <v>0</v>
      </c>
      <c r="AC45">
        <v>0</v>
      </c>
      <c r="AE45">
        <v>0</v>
      </c>
      <c r="AF45">
        <v>0</v>
      </c>
      <c r="AG45">
        <v>0</v>
      </c>
      <c r="AH45">
        <v>0</v>
      </c>
      <c r="AI45">
        <v>49</v>
      </c>
      <c r="AZ45" t="s">
        <v>444</v>
      </c>
      <c r="BA45" t="s">
        <v>451</v>
      </c>
      <c r="BB45">
        <v>822374932.87800026</v>
      </c>
      <c r="BC45">
        <v>44</v>
      </c>
      <c r="BD45">
        <v>77</v>
      </c>
      <c r="BE45" t="s">
        <v>361</v>
      </c>
      <c r="BF45">
        <v>728934653.39400005</v>
      </c>
      <c r="BG45">
        <f>_xlfn.XLOOKUP(B45,[1]FCLSP!$C$10:$C$69,[1]FCLSP!$M$10:$M$69)</f>
        <v>728934653.39400017</v>
      </c>
      <c r="BH45" t="b">
        <f t="shared" si="0"/>
        <v>1</v>
      </c>
      <c r="BI45">
        <v>6.2757038310297679E-4</v>
      </c>
      <c r="BJ45">
        <v>6.3747339682563545E-4</v>
      </c>
      <c r="BK45">
        <v>1.015779925231165</v>
      </c>
      <c r="BL45" t="b">
        <v>0</v>
      </c>
      <c r="BM45">
        <v>21830616.124357451</v>
      </c>
      <c r="BN45">
        <v>21830616</v>
      </c>
      <c r="BO45" t="s">
        <v>129</v>
      </c>
      <c r="BP45" t="s">
        <v>130</v>
      </c>
    </row>
    <row r="46" spans="1:68" x14ac:dyDescent="0.25">
      <c r="A46" t="s">
        <v>10</v>
      </c>
      <c r="B46" t="s">
        <v>69</v>
      </c>
      <c r="C46" t="s">
        <v>126</v>
      </c>
      <c r="D46">
        <v>792283683</v>
      </c>
      <c r="E46">
        <v>0.75</v>
      </c>
      <c r="F46">
        <v>1</v>
      </c>
      <c r="G46" t="s">
        <v>311</v>
      </c>
      <c r="H46">
        <v>1</v>
      </c>
      <c r="I46">
        <v>192.92</v>
      </c>
      <c r="J46">
        <v>180.72</v>
      </c>
      <c r="K46">
        <v>0.75</v>
      </c>
      <c r="L46">
        <v>180.72</v>
      </c>
      <c r="M46">
        <v>1.1000000000000001</v>
      </c>
      <c r="N46">
        <v>52.61</v>
      </c>
      <c r="O46">
        <v>0.96</v>
      </c>
      <c r="P46" t="s">
        <v>426</v>
      </c>
      <c r="Q46" t="s">
        <v>426</v>
      </c>
      <c r="R46" t="s">
        <v>426</v>
      </c>
      <c r="S46" t="s">
        <v>426</v>
      </c>
      <c r="T46" t="s">
        <v>426</v>
      </c>
      <c r="U46" t="s">
        <v>426</v>
      </c>
      <c r="V46" t="s">
        <v>426</v>
      </c>
      <c r="W46" t="s">
        <v>426</v>
      </c>
      <c r="X46" t="s">
        <v>426</v>
      </c>
      <c r="Y46">
        <v>0</v>
      </c>
      <c r="Z46">
        <v>0</v>
      </c>
      <c r="AB46">
        <v>0</v>
      </c>
      <c r="AC46">
        <v>0</v>
      </c>
      <c r="AD46">
        <v>0.96</v>
      </c>
      <c r="AE46">
        <v>0</v>
      </c>
      <c r="AF46">
        <v>0</v>
      </c>
      <c r="AG46">
        <v>0</v>
      </c>
      <c r="AH46">
        <v>0</v>
      </c>
      <c r="AI46">
        <v>50</v>
      </c>
      <c r="AZ46" t="s">
        <v>444</v>
      </c>
      <c r="BA46" t="s">
        <v>451</v>
      </c>
      <c r="BB46">
        <v>107386130393.82001</v>
      </c>
      <c r="BC46">
        <v>45</v>
      </c>
      <c r="BD46">
        <v>2</v>
      </c>
      <c r="BE46" t="s">
        <v>311</v>
      </c>
      <c r="BF46">
        <v>114635526093.27</v>
      </c>
      <c r="BG46">
        <f>_xlfn.XLOOKUP(B46,[1]FCLSP!$C$10:$C$69,[1]FCLSP!$M$10:$M$69)</f>
        <v>114635526093.26999</v>
      </c>
      <c r="BH46" t="b">
        <f t="shared" si="0"/>
        <v>1</v>
      </c>
      <c r="BI46">
        <v>9.8694527270168197E-2</v>
      </c>
      <c r="BJ46">
        <v>0.1</v>
      </c>
      <c r="BK46">
        <v>1.013227407496043</v>
      </c>
      <c r="BL46" t="b">
        <v>1</v>
      </c>
      <c r="BM46">
        <v>620406564.90130937</v>
      </c>
      <c r="BN46">
        <v>620406565</v>
      </c>
      <c r="BO46" t="s">
        <v>129</v>
      </c>
      <c r="BP46" t="s">
        <v>130</v>
      </c>
    </row>
    <row r="47" spans="1:68" x14ac:dyDescent="0.25">
      <c r="A47" t="s">
        <v>40</v>
      </c>
      <c r="B47" t="s">
        <v>99</v>
      </c>
      <c r="C47" t="s">
        <v>126</v>
      </c>
      <c r="D47">
        <v>295722284</v>
      </c>
      <c r="E47">
        <v>0.65</v>
      </c>
      <c r="F47">
        <v>1</v>
      </c>
      <c r="G47" t="s">
        <v>383</v>
      </c>
      <c r="H47">
        <v>1</v>
      </c>
      <c r="I47">
        <v>34.97</v>
      </c>
      <c r="J47">
        <v>33.56</v>
      </c>
      <c r="K47">
        <v>0.65</v>
      </c>
      <c r="L47">
        <v>33.56</v>
      </c>
      <c r="M47">
        <v>1.1000000000000001</v>
      </c>
      <c r="N47">
        <v>55.29</v>
      </c>
      <c r="O47">
        <v>0.99</v>
      </c>
      <c r="P47" t="s">
        <v>427</v>
      </c>
      <c r="Q47" t="s">
        <v>426</v>
      </c>
      <c r="R47" t="s">
        <v>426</v>
      </c>
      <c r="S47" t="s">
        <v>426</v>
      </c>
      <c r="T47" t="s">
        <v>426</v>
      </c>
      <c r="U47" t="s">
        <v>426</v>
      </c>
      <c r="V47" t="s">
        <v>426</v>
      </c>
      <c r="W47" t="s">
        <v>426</v>
      </c>
      <c r="X47" t="s">
        <v>426</v>
      </c>
      <c r="Y47">
        <v>0</v>
      </c>
      <c r="Z47">
        <v>0</v>
      </c>
      <c r="AB47">
        <v>0</v>
      </c>
      <c r="AC47">
        <v>0</v>
      </c>
      <c r="AD47">
        <v>0.99</v>
      </c>
      <c r="AE47">
        <v>0</v>
      </c>
      <c r="AF47">
        <v>0</v>
      </c>
      <c r="AG47">
        <v>0</v>
      </c>
      <c r="AH47">
        <v>0</v>
      </c>
      <c r="AI47">
        <v>50</v>
      </c>
      <c r="AZ47" t="s">
        <v>444</v>
      </c>
      <c r="BA47" t="s">
        <v>451</v>
      </c>
      <c r="BB47">
        <v>6450885903.1760006</v>
      </c>
      <c r="BC47">
        <v>45</v>
      </c>
      <c r="BD47">
        <v>32</v>
      </c>
      <c r="BE47" t="s">
        <v>383</v>
      </c>
      <c r="BF47">
        <v>6721915376.4619999</v>
      </c>
      <c r="BG47">
        <f>_xlfn.XLOOKUP(B47,[1]FCLSP!$C$10:$C$69,[1]FCLSP!$M$10:$M$69)</f>
        <v>6721915376.4619999</v>
      </c>
      <c r="BH47" t="b">
        <f t="shared" si="0"/>
        <v>1</v>
      </c>
      <c r="BI47">
        <v>5.7871785740331626E-3</v>
      </c>
      <c r="BJ47">
        <v>5.878499819230807E-3</v>
      </c>
      <c r="BK47">
        <v>1.015779925231165</v>
      </c>
      <c r="BL47" t="b">
        <v>0</v>
      </c>
      <c r="BM47">
        <v>196393522.48071489</v>
      </c>
      <c r="BN47">
        <v>196393522</v>
      </c>
      <c r="BO47" t="s">
        <v>129</v>
      </c>
      <c r="BP47" t="s">
        <v>130</v>
      </c>
    </row>
    <row r="48" spans="1:68" x14ac:dyDescent="0.25">
      <c r="A48" t="s">
        <v>20</v>
      </c>
      <c r="B48" t="s">
        <v>79</v>
      </c>
      <c r="C48" t="s">
        <v>126</v>
      </c>
      <c r="D48">
        <v>171347471</v>
      </c>
      <c r="E48">
        <v>0.85000000000000009</v>
      </c>
      <c r="F48">
        <v>1</v>
      </c>
      <c r="G48" t="s">
        <v>328</v>
      </c>
      <c r="H48">
        <v>1</v>
      </c>
      <c r="I48">
        <v>123.05</v>
      </c>
      <c r="J48">
        <v>126.6</v>
      </c>
      <c r="K48">
        <v>0.85000000000000009</v>
      </c>
      <c r="L48">
        <v>126.6</v>
      </c>
      <c r="M48">
        <v>1.1100000000000001</v>
      </c>
      <c r="N48">
        <v>71.39</v>
      </c>
      <c r="O48">
        <v>0.89</v>
      </c>
      <c r="P48" t="s">
        <v>426</v>
      </c>
      <c r="Q48" t="s">
        <v>426</v>
      </c>
      <c r="R48" t="s">
        <v>426</v>
      </c>
      <c r="S48" t="s">
        <v>426</v>
      </c>
      <c r="T48" t="s">
        <v>426</v>
      </c>
      <c r="U48" t="s">
        <v>426</v>
      </c>
      <c r="V48" t="s">
        <v>426</v>
      </c>
      <c r="W48" t="s">
        <v>426</v>
      </c>
      <c r="X48" t="s">
        <v>426</v>
      </c>
      <c r="Y48">
        <v>0</v>
      </c>
      <c r="Z48">
        <v>0</v>
      </c>
      <c r="AB48">
        <v>0</v>
      </c>
      <c r="AC48">
        <v>0</v>
      </c>
      <c r="AD48">
        <v>0.89</v>
      </c>
      <c r="AE48">
        <v>0</v>
      </c>
      <c r="AF48">
        <v>0</v>
      </c>
      <c r="AG48">
        <v>0</v>
      </c>
      <c r="AH48">
        <v>0</v>
      </c>
      <c r="AI48">
        <v>52</v>
      </c>
      <c r="AZ48" t="s">
        <v>444</v>
      </c>
      <c r="BA48" t="s">
        <v>451</v>
      </c>
      <c r="BB48">
        <v>18438701354.310001</v>
      </c>
      <c r="BC48">
        <v>47</v>
      </c>
      <c r="BD48">
        <v>19</v>
      </c>
      <c r="BE48" t="s">
        <v>328</v>
      </c>
      <c r="BF48">
        <v>17921660360.567501</v>
      </c>
      <c r="BG48">
        <f>_xlfn.XLOOKUP(B48,[1]FCLSP!$C$10:$C$69,[1]FCLSP!$M$10:$M$69)</f>
        <v>17921660360.567501</v>
      </c>
      <c r="BH48" t="b">
        <f t="shared" si="0"/>
        <v>1</v>
      </c>
      <c r="BI48">
        <v>1.542950826381354E-2</v>
      </c>
      <c r="BJ48">
        <v>1.5672984750570159E-2</v>
      </c>
      <c r="BK48">
        <v>1.015779925231165</v>
      </c>
      <c r="BL48" t="b">
        <v>0</v>
      </c>
      <c r="BM48">
        <v>138803560.96742049</v>
      </c>
      <c r="BN48">
        <v>138803561</v>
      </c>
      <c r="BO48" t="s">
        <v>129</v>
      </c>
      <c r="BP48" t="s">
        <v>130</v>
      </c>
    </row>
    <row r="49" spans="1:68" x14ac:dyDescent="0.25">
      <c r="A49" t="s">
        <v>8</v>
      </c>
      <c r="B49" t="s">
        <v>67</v>
      </c>
      <c r="C49" t="s">
        <v>126</v>
      </c>
      <c r="D49">
        <v>98960602</v>
      </c>
      <c r="E49">
        <v>0.3</v>
      </c>
      <c r="F49">
        <v>1</v>
      </c>
      <c r="G49" t="s">
        <v>308</v>
      </c>
      <c r="H49">
        <v>1</v>
      </c>
      <c r="I49">
        <v>113.2</v>
      </c>
      <c r="J49">
        <v>123.4</v>
      </c>
      <c r="K49">
        <v>0.3</v>
      </c>
      <c r="L49">
        <v>123.4</v>
      </c>
      <c r="M49">
        <v>1.21</v>
      </c>
      <c r="N49">
        <v>50.84</v>
      </c>
      <c r="O49">
        <v>0.88</v>
      </c>
      <c r="P49" t="s">
        <v>426</v>
      </c>
      <c r="Q49" t="s">
        <v>426</v>
      </c>
      <c r="R49" t="s">
        <v>426</v>
      </c>
      <c r="S49" t="s">
        <v>426</v>
      </c>
      <c r="T49" t="s">
        <v>426</v>
      </c>
      <c r="U49" t="s">
        <v>426</v>
      </c>
      <c r="V49" t="s">
        <v>426</v>
      </c>
      <c r="W49" t="s">
        <v>426</v>
      </c>
      <c r="X49" t="s">
        <v>426</v>
      </c>
      <c r="Y49">
        <v>0</v>
      </c>
      <c r="Z49">
        <v>0</v>
      </c>
      <c r="AB49">
        <v>0</v>
      </c>
      <c r="AC49">
        <v>0</v>
      </c>
      <c r="AD49">
        <v>0.88</v>
      </c>
      <c r="AE49">
        <v>0</v>
      </c>
      <c r="AF49">
        <v>0</v>
      </c>
      <c r="AG49">
        <v>0</v>
      </c>
      <c r="AH49">
        <v>0</v>
      </c>
      <c r="AI49">
        <v>53</v>
      </c>
      <c r="AZ49" t="s">
        <v>444</v>
      </c>
      <c r="BA49" t="s">
        <v>451</v>
      </c>
      <c r="BB49">
        <v>3663521486.0400009</v>
      </c>
      <c r="BC49">
        <v>48</v>
      </c>
      <c r="BD49">
        <v>48</v>
      </c>
      <c r="BE49" t="s">
        <v>308</v>
      </c>
      <c r="BF49">
        <v>3360702043.920001</v>
      </c>
      <c r="BG49">
        <f>_xlfn.XLOOKUP(B49,[1]FCLSP!$C$10:$C$69,[1]FCLSP!$M$10:$M$69)</f>
        <v>3360702043.9200006</v>
      </c>
      <c r="BH49" t="b">
        <f t="shared" si="0"/>
        <v>1</v>
      </c>
      <c r="BI49">
        <v>2.8933691921185761E-3</v>
      </c>
      <c r="BJ49">
        <v>2.9390263416363628E-3</v>
      </c>
      <c r="BK49">
        <v>1.015779925231165</v>
      </c>
      <c r="BL49" t="b">
        <v>0</v>
      </c>
      <c r="BM49">
        <v>26703668.096345849</v>
      </c>
      <c r="BN49">
        <v>26703668</v>
      </c>
      <c r="BO49" t="s">
        <v>129</v>
      </c>
      <c r="BP49" t="s">
        <v>130</v>
      </c>
    </row>
    <row r="50" spans="1:68" x14ac:dyDescent="0.25">
      <c r="A50" t="s">
        <v>48</v>
      </c>
      <c r="B50" t="s">
        <v>107</v>
      </c>
      <c r="C50" t="s">
        <v>126</v>
      </c>
      <c r="D50">
        <v>577122512</v>
      </c>
      <c r="E50">
        <v>1</v>
      </c>
      <c r="F50">
        <v>1</v>
      </c>
      <c r="G50" t="s">
        <v>392</v>
      </c>
      <c r="H50">
        <v>1</v>
      </c>
      <c r="I50">
        <v>228.9</v>
      </c>
      <c r="J50">
        <v>215.4</v>
      </c>
      <c r="K50">
        <v>1</v>
      </c>
      <c r="L50">
        <v>215.4</v>
      </c>
      <c r="M50">
        <v>1.22</v>
      </c>
      <c r="N50">
        <v>65.400000000000006</v>
      </c>
      <c r="O50">
        <v>0.99</v>
      </c>
      <c r="P50" t="s">
        <v>426</v>
      </c>
      <c r="Q50" t="s">
        <v>426</v>
      </c>
      <c r="R50" t="s">
        <v>426</v>
      </c>
      <c r="S50" t="s">
        <v>426</v>
      </c>
      <c r="T50" t="s">
        <v>426</v>
      </c>
      <c r="U50" t="s">
        <v>426</v>
      </c>
      <c r="V50" t="s">
        <v>426</v>
      </c>
      <c r="W50" t="s">
        <v>426</v>
      </c>
      <c r="X50" t="s">
        <v>426</v>
      </c>
      <c r="Y50">
        <v>0</v>
      </c>
      <c r="Z50">
        <v>0</v>
      </c>
      <c r="AB50">
        <v>0</v>
      </c>
      <c r="AC50">
        <v>0</v>
      </c>
      <c r="AD50">
        <v>0.99</v>
      </c>
      <c r="AE50">
        <v>0</v>
      </c>
      <c r="AF50">
        <v>0</v>
      </c>
      <c r="AG50">
        <v>0</v>
      </c>
      <c r="AH50">
        <v>0</v>
      </c>
      <c r="AI50">
        <v>54</v>
      </c>
      <c r="AZ50" t="s">
        <v>444</v>
      </c>
      <c r="BA50" t="s">
        <v>451</v>
      </c>
      <c r="BB50">
        <v>124312189084.8</v>
      </c>
      <c r="BC50">
        <v>49</v>
      </c>
      <c r="BD50">
        <v>1</v>
      </c>
      <c r="BE50" t="s">
        <v>392</v>
      </c>
      <c r="BF50">
        <v>132103342996.8</v>
      </c>
      <c r="BG50">
        <f>_xlfn.XLOOKUP(B50,[1]FCLSP!$C$10:$C$69,[1]FCLSP!$M$10:$M$69)</f>
        <v>132103342996.8</v>
      </c>
      <c r="BH50" t="b">
        <f t="shared" si="0"/>
        <v>1</v>
      </c>
      <c r="BI50">
        <v>0.11373330268725031</v>
      </c>
      <c r="BJ50">
        <v>0.1</v>
      </c>
      <c r="BK50">
        <v>0.87924994383558108</v>
      </c>
      <c r="BL50" t="b">
        <v>1</v>
      </c>
      <c r="BM50">
        <v>520519379.8002072</v>
      </c>
      <c r="BN50">
        <v>520519380</v>
      </c>
      <c r="BO50" t="s">
        <v>129</v>
      </c>
      <c r="BP50" t="s">
        <v>130</v>
      </c>
    </row>
    <row r="51" spans="1:68" x14ac:dyDescent="0.25">
      <c r="A51" t="s">
        <v>28</v>
      </c>
      <c r="B51" t="s">
        <v>87</v>
      </c>
      <c r="C51" t="s">
        <v>126</v>
      </c>
      <c r="D51">
        <v>76234545</v>
      </c>
      <c r="E51">
        <v>0.4</v>
      </c>
      <c r="F51">
        <v>1</v>
      </c>
      <c r="G51" t="s">
        <v>358</v>
      </c>
      <c r="H51">
        <v>1</v>
      </c>
      <c r="I51">
        <v>21.02</v>
      </c>
      <c r="J51">
        <v>22.56</v>
      </c>
      <c r="K51">
        <v>0.4</v>
      </c>
      <c r="L51">
        <v>22.56</v>
      </c>
      <c r="M51">
        <v>1.23</v>
      </c>
      <c r="N51">
        <v>63.24</v>
      </c>
      <c r="AI51">
        <v>55</v>
      </c>
      <c r="AZ51" t="s">
        <v>444</v>
      </c>
      <c r="BA51" t="s">
        <v>451</v>
      </c>
      <c r="BB51">
        <v>687940534.07999992</v>
      </c>
      <c r="BC51">
        <v>50</v>
      </c>
      <c r="BD51">
        <v>81</v>
      </c>
      <c r="BE51" t="s">
        <v>358</v>
      </c>
      <c r="BF51">
        <v>640980054.36000001</v>
      </c>
      <c r="BG51">
        <f>_xlfn.XLOOKUP(B51,[1]FCLSP!$C$10:$C$69,[1]FCLSP!$M$10:$M$69)</f>
        <v>640980054.36000001</v>
      </c>
      <c r="BH51" t="b">
        <f t="shared" si="0"/>
        <v>1</v>
      </c>
      <c r="BI51">
        <v>5.518465837823799E-4</v>
      </c>
      <c r="BJ51">
        <v>5.605546816135397E-4</v>
      </c>
      <c r="BK51">
        <v>1.015779925231165</v>
      </c>
      <c r="BL51" t="b">
        <v>0</v>
      </c>
      <c r="BM51">
        <v>27858741.357210651</v>
      </c>
      <c r="BN51">
        <v>27858741</v>
      </c>
      <c r="BO51" t="s">
        <v>129</v>
      </c>
      <c r="BP51" t="s">
        <v>130</v>
      </c>
    </row>
    <row r="52" spans="1:68" x14ac:dyDescent="0.25">
      <c r="A52" t="s">
        <v>53</v>
      </c>
      <c r="B52" t="s">
        <v>112</v>
      </c>
      <c r="C52" t="s">
        <v>128</v>
      </c>
      <c r="D52">
        <v>105876416</v>
      </c>
      <c r="E52">
        <v>0.65</v>
      </c>
      <c r="F52">
        <v>1</v>
      </c>
      <c r="G52" t="s">
        <v>398</v>
      </c>
      <c r="H52">
        <v>1</v>
      </c>
      <c r="I52">
        <v>27.46</v>
      </c>
      <c r="J52">
        <v>28.98</v>
      </c>
      <c r="K52">
        <v>0.65</v>
      </c>
      <c r="L52">
        <v>28.98</v>
      </c>
      <c r="M52">
        <v>1.28</v>
      </c>
      <c r="N52">
        <v>54.73</v>
      </c>
      <c r="O52">
        <v>0.97</v>
      </c>
      <c r="P52" t="s">
        <v>426</v>
      </c>
      <c r="Q52" t="s">
        <v>426</v>
      </c>
      <c r="R52" t="s">
        <v>426</v>
      </c>
      <c r="S52" t="s">
        <v>426</v>
      </c>
      <c r="T52" t="s">
        <v>426</v>
      </c>
      <c r="U52" t="s">
        <v>426</v>
      </c>
      <c r="V52" t="s">
        <v>426</v>
      </c>
      <c r="W52" t="s">
        <v>426</v>
      </c>
      <c r="X52" t="s">
        <v>426</v>
      </c>
      <c r="Y52">
        <v>0</v>
      </c>
      <c r="Z52">
        <v>9.5999999999999992E-3</v>
      </c>
      <c r="AA52" t="s">
        <v>429</v>
      </c>
      <c r="AB52">
        <v>0</v>
      </c>
      <c r="AC52">
        <v>0</v>
      </c>
      <c r="AD52">
        <v>0.97</v>
      </c>
      <c r="AE52">
        <v>0</v>
      </c>
      <c r="AF52">
        <v>9.5999999999999992E-3</v>
      </c>
      <c r="AG52">
        <v>0</v>
      </c>
      <c r="AH52">
        <v>0</v>
      </c>
      <c r="AI52">
        <v>56</v>
      </c>
      <c r="AZ52" t="s">
        <v>444</v>
      </c>
      <c r="BA52" t="s">
        <v>451</v>
      </c>
      <c r="BB52">
        <v>1994394048.1919999</v>
      </c>
      <c r="BC52">
        <v>51</v>
      </c>
      <c r="BD52">
        <v>60</v>
      </c>
      <c r="BE52" t="s">
        <v>398</v>
      </c>
      <c r="BF52">
        <v>1889788149.184</v>
      </c>
      <c r="BG52">
        <f>_xlfn.XLOOKUP(B52,[1]FCLSP!$C$10:$C$69,[1]FCLSP!$M$10:$M$69)</f>
        <v>1889788149.1840003</v>
      </c>
      <c r="BH52" t="b">
        <f t="shared" si="0"/>
        <v>1</v>
      </c>
      <c r="BI52">
        <v>1.6269977936222921E-3</v>
      </c>
      <c r="BJ52">
        <v>1.6526716971569219E-3</v>
      </c>
      <c r="BK52">
        <v>1.015779925231165</v>
      </c>
      <c r="BL52" t="b">
        <v>0</v>
      </c>
      <c r="BM52">
        <v>63939731.9270133</v>
      </c>
      <c r="BN52">
        <v>63939732</v>
      </c>
      <c r="BO52" t="s">
        <v>129</v>
      </c>
      <c r="BP52" t="s">
        <v>130</v>
      </c>
    </row>
    <row r="53" spans="1:68" x14ac:dyDescent="0.25">
      <c r="A53" t="s">
        <v>59</v>
      </c>
      <c r="B53" t="s">
        <v>118</v>
      </c>
      <c r="C53" t="s">
        <v>126</v>
      </c>
      <c r="D53">
        <v>59874365</v>
      </c>
      <c r="E53">
        <v>0.95000000000000007</v>
      </c>
      <c r="F53">
        <v>1</v>
      </c>
      <c r="G53" t="s">
        <v>404</v>
      </c>
      <c r="H53">
        <v>1</v>
      </c>
      <c r="I53">
        <v>63.16</v>
      </c>
      <c r="J53">
        <v>72.239999999999995</v>
      </c>
      <c r="K53">
        <v>0.95000000000000007</v>
      </c>
      <c r="L53">
        <v>72.239999999999995</v>
      </c>
      <c r="M53">
        <v>1.29</v>
      </c>
      <c r="N53">
        <v>59.2</v>
      </c>
      <c r="O53">
        <v>0.92</v>
      </c>
      <c r="P53" t="s">
        <v>426</v>
      </c>
      <c r="Q53" t="s">
        <v>426</v>
      </c>
      <c r="R53" t="s">
        <v>426</v>
      </c>
      <c r="S53" t="s">
        <v>426</v>
      </c>
      <c r="T53" t="s">
        <v>426</v>
      </c>
      <c r="U53" t="s">
        <v>426</v>
      </c>
      <c r="V53" t="s">
        <v>426</v>
      </c>
      <c r="W53" t="s">
        <v>426</v>
      </c>
      <c r="X53" t="s">
        <v>426</v>
      </c>
      <c r="Y53">
        <v>0</v>
      </c>
      <c r="Z53">
        <v>0</v>
      </c>
      <c r="AB53">
        <v>0</v>
      </c>
      <c r="AC53">
        <v>0</v>
      </c>
      <c r="AD53">
        <v>0.92</v>
      </c>
      <c r="AE53">
        <v>0</v>
      </c>
      <c r="AF53">
        <v>0</v>
      </c>
      <c r="AG53">
        <v>0</v>
      </c>
      <c r="AH53">
        <v>0</v>
      </c>
      <c r="AI53">
        <v>57</v>
      </c>
      <c r="AZ53" t="s">
        <v>444</v>
      </c>
      <c r="BA53" t="s">
        <v>451</v>
      </c>
      <c r="BB53">
        <v>4109057921.2199998</v>
      </c>
      <c r="BC53">
        <v>52</v>
      </c>
      <c r="BD53">
        <v>44</v>
      </c>
      <c r="BE53" t="s">
        <v>404</v>
      </c>
      <c r="BF53">
        <v>3592581648.73</v>
      </c>
      <c r="BG53">
        <f>_xlfn.XLOOKUP(B53,[1]FCLSP!$C$10:$C$69,[1]FCLSP!$M$10:$M$69)</f>
        <v>3592581648.73</v>
      </c>
      <c r="BH53" t="b">
        <f t="shared" si="0"/>
        <v>1</v>
      </c>
      <c r="BI53">
        <v>3.093004058902336E-3</v>
      </c>
      <c r="BJ53">
        <v>3.1418114316915059E-3</v>
      </c>
      <c r="BK53">
        <v>1.015779925231165</v>
      </c>
      <c r="BL53" t="b">
        <v>0</v>
      </c>
      <c r="BM53">
        <v>48762389.69240047</v>
      </c>
      <c r="BN53">
        <v>48762390</v>
      </c>
      <c r="BO53" t="s">
        <v>129</v>
      </c>
      <c r="BP53" t="s">
        <v>130</v>
      </c>
    </row>
    <row r="54" spans="1:68" x14ac:dyDescent="0.25">
      <c r="A54" t="s">
        <v>43</v>
      </c>
      <c r="B54" t="s">
        <v>102</v>
      </c>
      <c r="C54" t="s">
        <v>126</v>
      </c>
      <c r="D54">
        <v>55337770</v>
      </c>
      <c r="E54">
        <v>0.55000000000000004</v>
      </c>
      <c r="F54">
        <v>1</v>
      </c>
      <c r="G54" t="s">
        <v>387</v>
      </c>
      <c r="H54">
        <v>1</v>
      </c>
      <c r="I54">
        <v>59.6</v>
      </c>
      <c r="J54">
        <v>68.05</v>
      </c>
      <c r="K54">
        <v>0.55000000000000004</v>
      </c>
      <c r="L54">
        <v>68.05</v>
      </c>
      <c r="M54">
        <v>1.36</v>
      </c>
      <c r="N54">
        <v>58.63</v>
      </c>
      <c r="O54">
        <v>0.86</v>
      </c>
      <c r="P54" t="s">
        <v>426</v>
      </c>
      <c r="Q54" t="s">
        <v>426</v>
      </c>
      <c r="R54" t="s">
        <v>426</v>
      </c>
      <c r="S54" t="s">
        <v>426</v>
      </c>
      <c r="T54" t="s">
        <v>426</v>
      </c>
      <c r="U54" t="s">
        <v>426</v>
      </c>
      <c r="V54" t="s">
        <v>426</v>
      </c>
      <c r="W54" t="s">
        <v>426</v>
      </c>
      <c r="X54" t="s">
        <v>426</v>
      </c>
      <c r="Y54">
        <v>0</v>
      </c>
      <c r="Z54">
        <v>0</v>
      </c>
      <c r="AB54">
        <v>0</v>
      </c>
      <c r="AC54">
        <v>0</v>
      </c>
      <c r="AD54">
        <v>0.86</v>
      </c>
      <c r="AE54">
        <v>0</v>
      </c>
      <c r="AF54">
        <v>0</v>
      </c>
      <c r="AG54">
        <v>0</v>
      </c>
      <c r="AH54">
        <v>0</v>
      </c>
      <c r="AI54">
        <v>58</v>
      </c>
      <c r="AZ54" t="s">
        <v>444</v>
      </c>
      <c r="BA54" t="s">
        <v>451</v>
      </c>
      <c r="BB54">
        <v>2071154386.675</v>
      </c>
      <c r="BC54">
        <v>53</v>
      </c>
      <c r="BD54">
        <v>59</v>
      </c>
      <c r="BE54" t="s">
        <v>387</v>
      </c>
      <c r="BF54">
        <v>1813972100.5999999</v>
      </c>
      <c r="BG54">
        <f>_xlfn.XLOOKUP(B54,[1]FCLSP!$C$10:$C$69,[1]FCLSP!$M$10:$M$69)</f>
        <v>1813972100.6000001</v>
      </c>
      <c r="BH54" t="b">
        <f t="shared" si="0"/>
        <v>1</v>
      </c>
      <c r="BI54">
        <v>1.5617245809499661E-3</v>
      </c>
      <c r="BJ54">
        <v>1.5863684780690289E-3</v>
      </c>
      <c r="BK54">
        <v>1.015779925231165</v>
      </c>
      <c r="BL54" t="b">
        <v>0</v>
      </c>
      <c r="BM54">
        <v>26137168.923944149</v>
      </c>
      <c r="BN54">
        <v>26137169</v>
      </c>
      <c r="BO54" t="s">
        <v>129</v>
      </c>
      <c r="BP54" t="s">
        <v>130</v>
      </c>
    </row>
    <row r="55" spans="1:68" x14ac:dyDescent="0.25">
      <c r="A55" t="s">
        <v>37</v>
      </c>
      <c r="B55" t="s">
        <v>96</v>
      </c>
      <c r="C55" t="s">
        <v>126</v>
      </c>
      <c r="D55">
        <v>252269195</v>
      </c>
      <c r="E55">
        <v>0.8</v>
      </c>
      <c r="F55">
        <v>1</v>
      </c>
      <c r="G55" t="s">
        <v>378</v>
      </c>
      <c r="H55">
        <v>1</v>
      </c>
      <c r="I55">
        <v>89.22</v>
      </c>
      <c r="J55">
        <v>101.85</v>
      </c>
      <c r="K55">
        <v>0.8</v>
      </c>
      <c r="L55">
        <v>101.85</v>
      </c>
      <c r="M55">
        <v>1.37</v>
      </c>
      <c r="N55">
        <v>52.36</v>
      </c>
      <c r="O55">
        <v>0.98</v>
      </c>
      <c r="P55" t="s">
        <v>426</v>
      </c>
      <c r="Q55" t="s">
        <v>426</v>
      </c>
      <c r="R55" t="s">
        <v>426</v>
      </c>
      <c r="S55" t="s">
        <v>426</v>
      </c>
      <c r="T55" t="s">
        <v>426</v>
      </c>
      <c r="U55" t="s">
        <v>426</v>
      </c>
      <c r="V55" t="s">
        <v>426</v>
      </c>
      <c r="W55" t="s">
        <v>426</v>
      </c>
      <c r="X55" t="s">
        <v>426</v>
      </c>
      <c r="Y55">
        <v>0</v>
      </c>
      <c r="Z55">
        <v>0</v>
      </c>
      <c r="AB55">
        <v>0</v>
      </c>
      <c r="AC55">
        <v>0</v>
      </c>
      <c r="AD55">
        <v>0.98</v>
      </c>
      <c r="AE55">
        <v>0</v>
      </c>
      <c r="AF55">
        <v>0</v>
      </c>
      <c r="AG55">
        <v>0</v>
      </c>
      <c r="AH55">
        <v>0</v>
      </c>
      <c r="AI55">
        <v>59</v>
      </c>
      <c r="AZ55" t="s">
        <v>444</v>
      </c>
      <c r="BA55" t="s">
        <v>451</v>
      </c>
      <c r="BB55">
        <v>20554894008.599998</v>
      </c>
      <c r="BC55">
        <v>54</v>
      </c>
      <c r="BD55">
        <v>16</v>
      </c>
      <c r="BE55" t="s">
        <v>378</v>
      </c>
      <c r="BF55">
        <v>18005966062.32</v>
      </c>
      <c r="BG55">
        <f>_xlfn.XLOOKUP(B55,[1]FCLSP!$C$10:$C$69,[1]FCLSP!$M$10:$M$69)</f>
        <v>18005966062.320004</v>
      </c>
      <c r="BH55" t="b">
        <f t="shared" si="0"/>
        <v>1</v>
      </c>
      <c r="BI55">
        <v>1.550209057458754E-2</v>
      </c>
      <c r="BJ55">
        <v>1.5746712404781281E-2</v>
      </c>
      <c r="BK55">
        <v>1.015779925231165</v>
      </c>
      <c r="BL55" t="b">
        <v>0</v>
      </c>
      <c r="BM55">
        <v>173345058.14218581</v>
      </c>
      <c r="BN55">
        <v>173345058</v>
      </c>
      <c r="BO55" t="s">
        <v>129</v>
      </c>
      <c r="BP55" t="s">
        <v>130</v>
      </c>
    </row>
    <row r="56" spans="1:68" x14ac:dyDescent="0.25">
      <c r="A56" t="s">
        <v>52</v>
      </c>
      <c r="B56" t="s">
        <v>111</v>
      </c>
      <c r="C56" t="s">
        <v>126</v>
      </c>
      <c r="D56">
        <v>35772015</v>
      </c>
      <c r="E56">
        <v>0.70000000000000007</v>
      </c>
      <c r="F56">
        <v>1</v>
      </c>
      <c r="G56" t="s">
        <v>397</v>
      </c>
      <c r="H56">
        <v>1</v>
      </c>
      <c r="I56">
        <v>31.93</v>
      </c>
      <c r="J56">
        <v>38.51</v>
      </c>
      <c r="K56">
        <v>0.70000000000000007</v>
      </c>
      <c r="L56">
        <v>38.51</v>
      </c>
      <c r="M56">
        <v>1.39</v>
      </c>
      <c r="N56">
        <v>47.77</v>
      </c>
      <c r="O56">
        <v>0.8</v>
      </c>
      <c r="P56" t="s">
        <v>426</v>
      </c>
      <c r="Q56" t="s">
        <v>426</v>
      </c>
      <c r="R56" t="s">
        <v>426</v>
      </c>
      <c r="S56" t="s">
        <v>426</v>
      </c>
      <c r="T56" t="s">
        <v>426</v>
      </c>
      <c r="U56" t="s">
        <v>426</v>
      </c>
      <c r="V56" t="s">
        <v>426</v>
      </c>
      <c r="W56" t="s">
        <v>426</v>
      </c>
      <c r="X56" t="s">
        <v>426</v>
      </c>
      <c r="Y56">
        <v>0</v>
      </c>
      <c r="Z56">
        <v>0</v>
      </c>
      <c r="AB56">
        <v>0</v>
      </c>
      <c r="AC56">
        <v>0</v>
      </c>
      <c r="AD56">
        <v>0.8</v>
      </c>
      <c r="AE56">
        <v>0</v>
      </c>
      <c r="AF56">
        <v>0</v>
      </c>
      <c r="AG56">
        <v>0</v>
      </c>
      <c r="AH56">
        <v>0</v>
      </c>
      <c r="AI56">
        <v>61</v>
      </c>
      <c r="AZ56" t="s">
        <v>444</v>
      </c>
      <c r="BA56" t="s">
        <v>451</v>
      </c>
      <c r="BB56">
        <v>964306208.35500002</v>
      </c>
      <c r="BC56">
        <v>55</v>
      </c>
      <c r="BD56">
        <v>72</v>
      </c>
      <c r="BE56" t="s">
        <v>397</v>
      </c>
      <c r="BF56">
        <v>799540307.2650001</v>
      </c>
      <c r="BG56">
        <f>_xlfn.XLOOKUP(B56,[1]FCLSP!$C$10:$C$69,[1]FCLSP!$M$10:$M$69)</f>
        <v>799540307.2650001</v>
      </c>
      <c r="BH56" t="b">
        <f t="shared" si="0"/>
        <v>1</v>
      </c>
      <c r="BI56">
        <v>6.8835774866825392E-4</v>
      </c>
      <c r="BJ56">
        <v>6.9921998247453212E-4</v>
      </c>
      <c r="BK56">
        <v>1.015779925231165</v>
      </c>
      <c r="BL56" t="b">
        <v>0</v>
      </c>
      <c r="BM56">
        <v>20357428.36127837</v>
      </c>
      <c r="BN56">
        <v>20357428</v>
      </c>
      <c r="BO56" t="s">
        <v>129</v>
      </c>
      <c r="BP56" t="s">
        <v>130</v>
      </c>
    </row>
    <row r="57" spans="1:68" x14ac:dyDescent="0.25">
      <c r="A57" t="s">
        <v>63</v>
      </c>
      <c r="B57" t="s">
        <v>122</v>
      </c>
      <c r="C57" t="s">
        <v>126</v>
      </c>
      <c r="D57">
        <v>44900000</v>
      </c>
      <c r="E57">
        <v>0.35</v>
      </c>
      <c r="F57">
        <v>1</v>
      </c>
      <c r="G57" t="s">
        <v>416</v>
      </c>
      <c r="H57">
        <v>1</v>
      </c>
      <c r="I57">
        <v>60.1</v>
      </c>
      <c r="J57">
        <v>60.9</v>
      </c>
      <c r="K57">
        <v>0.35</v>
      </c>
      <c r="L57">
        <v>60.9</v>
      </c>
      <c r="M57">
        <v>1.44</v>
      </c>
      <c r="N57">
        <v>43.9</v>
      </c>
      <c r="O57">
        <v>0.75</v>
      </c>
      <c r="P57" t="s">
        <v>426</v>
      </c>
      <c r="Q57" t="s">
        <v>426</v>
      </c>
      <c r="R57" t="s">
        <v>426</v>
      </c>
      <c r="S57" t="s">
        <v>426</v>
      </c>
      <c r="T57" t="s">
        <v>426</v>
      </c>
      <c r="U57" t="s">
        <v>426</v>
      </c>
      <c r="V57" t="s">
        <v>426</v>
      </c>
      <c r="W57" t="s">
        <v>426</v>
      </c>
      <c r="X57" t="s">
        <v>426</v>
      </c>
      <c r="Y57">
        <v>0</v>
      </c>
      <c r="Z57">
        <v>0</v>
      </c>
      <c r="AB57">
        <v>0</v>
      </c>
      <c r="AC57">
        <v>0</v>
      </c>
      <c r="AD57">
        <v>0.75</v>
      </c>
      <c r="AE57">
        <v>0</v>
      </c>
      <c r="AF57">
        <v>0</v>
      </c>
      <c r="AG57">
        <v>0</v>
      </c>
      <c r="AH57">
        <v>0</v>
      </c>
      <c r="AI57">
        <v>62</v>
      </c>
      <c r="AZ57" t="s">
        <v>444</v>
      </c>
      <c r="BA57" t="s">
        <v>451</v>
      </c>
      <c r="BB57">
        <v>957043500</v>
      </c>
      <c r="BC57">
        <v>56</v>
      </c>
      <c r="BD57">
        <v>73</v>
      </c>
      <c r="BE57" t="s">
        <v>416</v>
      </c>
      <c r="BF57">
        <v>944471500.00000012</v>
      </c>
      <c r="BG57">
        <f>_xlfn.XLOOKUP(B57,[1]FCLSP!$C$10:$C$69,[1]FCLSP!$M$10:$M$69)</f>
        <v>944471500.00000012</v>
      </c>
      <c r="BH57" t="b">
        <f t="shared" si="0"/>
        <v>1</v>
      </c>
      <c r="BI57">
        <v>8.1313508464038941E-4</v>
      </c>
      <c r="BJ57">
        <v>8.2596629547885192E-4</v>
      </c>
      <c r="BK57">
        <v>1.015779925231165</v>
      </c>
      <c r="BL57" t="b">
        <v>0</v>
      </c>
      <c r="BM57">
        <v>15206442.908887791</v>
      </c>
      <c r="BN57">
        <v>15206443</v>
      </c>
      <c r="BO57" t="s">
        <v>129</v>
      </c>
      <c r="BP57" t="s">
        <v>130</v>
      </c>
    </row>
    <row r="58" spans="1:68" x14ac:dyDescent="0.25">
      <c r="A58" t="s">
        <v>39</v>
      </c>
      <c r="B58" t="s">
        <v>98</v>
      </c>
      <c r="C58" t="s">
        <v>126</v>
      </c>
      <c r="D58">
        <v>52160291</v>
      </c>
      <c r="E58">
        <v>0.45</v>
      </c>
      <c r="F58">
        <v>1</v>
      </c>
      <c r="G58" t="s">
        <v>382</v>
      </c>
      <c r="H58">
        <v>1</v>
      </c>
      <c r="I58">
        <v>46.12</v>
      </c>
      <c r="J58">
        <v>56.3</v>
      </c>
      <c r="K58">
        <v>0.45</v>
      </c>
      <c r="L58">
        <v>56.3</v>
      </c>
      <c r="M58">
        <v>1.45</v>
      </c>
      <c r="N58">
        <v>36.83</v>
      </c>
      <c r="O58">
        <v>0.89</v>
      </c>
      <c r="P58" t="s">
        <v>426</v>
      </c>
      <c r="Q58" t="s">
        <v>426</v>
      </c>
      <c r="R58" t="s">
        <v>426</v>
      </c>
      <c r="S58" t="s">
        <v>426</v>
      </c>
      <c r="T58" t="s">
        <v>426</v>
      </c>
      <c r="U58" t="s">
        <v>426</v>
      </c>
      <c r="V58" t="s">
        <v>426</v>
      </c>
      <c r="W58" t="s">
        <v>426</v>
      </c>
      <c r="X58" t="s">
        <v>426</v>
      </c>
      <c r="Y58">
        <v>0</v>
      </c>
      <c r="Z58">
        <v>0</v>
      </c>
      <c r="AB58">
        <v>0</v>
      </c>
      <c r="AC58">
        <v>0</v>
      </c>
      <c r="AD58">
        <v>0.89</v>
      </c>
      <c r="AE58">
        <v>0</v>
      </c>
      <c r="AF58">
        <v>0</v>
      </c>
      <c r="AG58">
        <v>0</v>
      </c>
      <c r="AH58">
        <v>0</v>
      </c>
      <c r="AI58">
        <v>63</v>
      </c>
      <c r="AZ58" t="s">
        <v>444</v>
      </c>
      <c r="BA58" t="s">
        <v>451</v>
      </c>
      <c r="BB58">
        <v>1321480972.4849999</v>
      </c>
      <c r="BC58">
        <v>57</v>
      </c>
      <c r="BD58">
        <v>65</v>
      </c>
      <c r="BE58" t="s">
        <v>382</v>
      </c>
      <c r="BF58">
        <v>1082534679.414</v>
      </c>
      <c r="BG58">
        <f>_xlfn.XLOOKUP(B58,[1]FCLSP!$C$10:$C$69,[1]FCLSP!$M$10:$M$69)</f>
        <v>1082534679.414</v>
      </c>
      <c r="BH58" t="b">
        <f t="shared" si="0"/>
        <v>1</v>
      </c>
      <c r="BI58">
        <v>9.3199946019700906E-4</v>
      </c>
      <c r="BJ58">
        <v>9.4670634199440411E-4</v>
      </c>
      <c r="BK58">
        <v>1.015779925231165</v>
      </c>
      <c r="BL58" t="b">
        <v>0</v>
      </c>
      <c r="BM58">
        <v>18853391.859073341</v>
      </c>
      <c r="BN58">
        <v>18853392</v>
      </c>
      <c r="BO58" t="s">
        <v>129</v>
      </c>
      <c r="BP58" t="s">
        <v>130</v>
      </c>
    </row>
    <row r="59" spans="1:68" x14ac:dyDescent="0.25">
      <c r="A59" t="s">
        <v>58</v>
      </c>
      <c r="B59" t="s">
        <v>117</v>
      </c>
      <c r="C59" t="s">
        <v>126</v>
      </c>
      <c r="D59">
        <v>178378708</v>
      </c>
      <c r="E59">
        <v>0.75</v>
      </c>
      <c r="F59">
        <v>1</v>
      </c>
      <c r="G59" t="s">
        <v>403</v>
      </c>
      <c r="H59">
        <v>1</v>
      </c>
      <c r="I59">
        <v>41.34</v>
      </c>
      <c r="J59">
        <v>41.12</v>
      </c>
      <c r="K59">
        <v>0.75</v>
      </c>
      <c r="L59">
        <v>41.12</v>
      </c>
      <c r="M59">
        <v>1.5</v>
      </c>
      <c r="N59">
        <v>50.65</v>
      </c>
      <c r="O59">
        <v>0.91</v>
      </c>
      <c r="P59" t="s">
        <v>426</v>
      </c>
      <c r="Q59" t="s">
        <v>426</v>
      </c>
      <c r="R59" t="s">
        <v>426</v>
      </c>
      <c r="S59" t="s">
        <v>426</v>
      </c>
      <c r="T59" t="s">
        <v>426</v>
      </c>
      <c r="U59" t="s">
        <v>426</v>
      </c>
      <c r="V59" t="s">
        <v>426</v>
      </c>
      <c r="W59" t="s">
        <v>426</v>
      </c>
      <c r="X59" t="s">
        <v>426</v>
      </c>
      <c r="Y59">
        <v>0</v>
      </c>
      <c r="Z59">
        <v>0</v>
      </c>
      <c r="AB59">
        <v>0</v>
      </c>
      <c r="AC59">
        <v>0</v>
      </c>
      <c r="AD59">
        <v>0.91</v>
      </c>
      <c r="AE59">
        <v>0</v>
      </c>
      <c r="AF59">
        <v>0</v>
      </c>
      <c r="AG59">
        <v>0</v>
      </c>
      <c r="AH59">
        <v>0</v>
      </c>
      <c r="AI59">
        <v>65</v>
      </c>
      <c r="AZ59" t="s">
        <v>444</v>
      </c>
      <c r="BA59" t="s">
        <v>451</v>
      </c>
      <c r="BB59">
        <v>5501199354.7199993</v>
      </c>
      <c r="BC59">
        <v>59</v>
      </c>
      <c r="BD59">
        <v>37</v>
      </c>
      <c r="BE59" t="s">
        <v>403</v>
      </c>
      <c r="BF59">
        <v>5530631841.5400009</v>
      </c>
      <c r="BG59">
        <f>_xlfn.XLOOKUP(B59,[1]FCLSP!$C$10:$C$69,[1]FCLSP!$M$10:$M$69)</f>
        <v>5530631841.54</v>
      </c>
      <c r="BH59" t="b">
        <f t="shared" si="0"/>
        <v>1</v>
      </c>
      <c r="BI59">
        <v>4.7615526679052368E-3</v>
      </c>
      <c r="BJ59">
        <v>4.8366896129890362E-3</v>
      </c>
      <c r="BK59">
        <v>1.015779925231165</v>
      </c>
      <c r="BL59" t="b">
        <v>0</v>
      </c>
      <c r="BM59">
        <v>131879628.3957866</v>
      </c>
      <c r="BN59">
        <v>131879628</v>
      </c>
      <c r="BO59" t="s">
        <v>129</v>
      </c>
      <c r="BP59" t="s">
        <v>130</v>
      </c>
    </row>
    <row r="60" spans="1:68" x14ac:dyDescent="0.25">
      <c r="A60" t="s">
        <v>62</v>
      </c>
      <c r="B60" t="s">
        <v>121</v>
      </c>
      <c r="C60" t="s">
        <v>126</v>
      </c>
      <c r="D60">
        <v>741723437</v>
      </c>
      <c r="E60">
        <v>0.9</v>
      </c>
      <c r="F60">
        <v>1</v>
      </c>
      <c r="G60" t="s">
        <v>414</v>
      </c>
      <c r="H60">
        <v>1</v>
      </c>
      <c r="I60">
        <v>28.74</v>
      </c>
      <c r="J60">
        <v>30.37</v>
      </c>
      <c r="K60">
        <v>0.9</v>
      </c>
      <c r="L60">
        <v>30.37</v>
      </c>
      <c r="M60">
        <v>1.52</v>
      </c>
      <c r="N60">
        <v>59.97</v>
      </c>
      <c r="O60">
        <v>0.99</v>
      </c>
      <c r="P60" t="s">
        <v>426</v>
      </c>
      <c r="Q60" t="s">
        <v>426</v>
      </c>
      <c r="R60" t="s">
        <v>426</v>
      </c>
      <c r="S60" t="s">
        <v>426</v>
      </c>
      <c r="T60" t="s">
        <v>426</v>
      </c>
      <c r="U60" t="s">
        <v>426</v>
      </c>
      <c r="V60" t="s">
        <v>426</v>
      </c>
      <c r="W60" t="s">
        <v>426</v>
      </c>
      <c r="X60" t="s">
        <v>426</v>
      </c>
      <c r="Y60">
        <v>0</v>
      </c>
      <c r="Z60">
        <v>3.0200000000000001E-2</v>
      </c>
      <c r="AA60" t="s">
        <v>429</v>
      </c>
      <c r="AB60">
        <v>0</v>
      </c>
      <c r="AC60">
        <v>0</v>
      </c>
      <c r="AD60">
        <v>0.99</v>
      </c>
      <c r="AE60">
        <v>0</v>
      </c>
      <c r="AF60">
        <v>3.0200000000000001E-2</v>
      </c>
      <c r="AG60">
        <v>0</v>
      </c>
      <c r="AH60">
        <v>0</v>
      </c>
      <c r="AI60">
        <v>66</v>
      </c>
      <c r="AZ60" t="s">
        <v>444</v>
      </c>
      <c r="BA60" t="s">
        <v>451</v>
      </c>
      <c r="BB60">
        <v>20273526703.521</v>
      </c>
      <c r="BC60">
        <v>60</v>
      </c>
      <c r="BD60">
        <v>17</v>
      </c>
      <c r="BE60" t="s">
        <v>414</v>
      </c>
      <c r="BF60">
        <v>19185418421.442001</v>
      </c>
      <c r="BG60">
        <f>_xlfn.XLOOKUP(B60,[1]FCLSP!$C$10:$C$69,[1]FCLSP!$M$10:$M$69)</f>
        <v>19185418421.441998</v>
      </c>
      <c r="BH60" t="b">
        <f t="shared" si="0"/>
        <v>1</v>
      </c>
      <c r="BI60">
        <v>1.6517530525781379E-2</v>
      </c>
      <c r="BJ60">
        <v>1.6778175922481701E-2</v>
      </c>
      <c r="BK60">
        <v>1.015779925231165</v>
      </c>
      <c r="BL60" t="b">
        <v>0</v>
      </c>
      <c r="BM60">
        <v>619416192.70337903</v>
      </c>
      <c r="BN60">
        <v>619416193</v>
      </c>
      <c r="BO60" t="s">
        <v>129</v>
      </c>
      <c r="BP60" t="s">
        <v>130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Eligible Companies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2025-12-10T16:11:44Z</dcterms:created>
  <dcterms:modified xsi:type="dcterms:W3CDTF">2025-12-10T16:29:11Z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2025-12-10T16:13:35Z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8854cbc3-5d8f-48ee-aaa8-b2ce73e0d537</vt:lpwstr>
  </property>
  <property fmtid="{D5CDD505-2E9C-101B-9397-08002B2CF9AE}" pid="8" name="MSIP_Label_ac0b9ce6-6e99-42a1-af95-429494370cbc_ContentBits">
    <vt:lpwstr>2</vt:lpwstr>
  </property>
</Properties>
</file>