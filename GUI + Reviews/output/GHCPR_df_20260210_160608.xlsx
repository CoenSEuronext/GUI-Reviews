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13" documentId="11_518DAE8291637168B02676D5B6BD816103F72A3A" xr6:coauthVersionLast="47" xr6:coauthVersionMax="47" xr10:uidLastSave="{6C7CBC0B-8499-457B-B4DF-66E0D4015BFE}"/>
  <bookViews>
    <workbookView xWindow="-29115" yWindow="-16005" windowWidth="29040" windowHeight="15720" xr2:uid="{00000000-000D-0000-FFFF-FFFF00000000}"/>
  </bookViews>
  <sheets>
    <sheet name="Index Composition" sheetId="1" r:id="rId1"/>
    <sheet name="Inclusion" sheetId="2" r:id="rId2"/>
    <sheet name="Exclusion" sheetId="3" r:id="rId3"/>
    <sheet name="Top 50 Selection" sheetId="4" r:id="rId4"/>
    <sheet name="Eligible Universe" sheetId="5" r:id="rId5"/>
    <sheet name="Excluded Companies" sheetId="6" r:id="rId6"/>
    <sheet name="Health Care Universe" sheetId="7" r:id="rId7"/>
    <sheet name="Index Market Cap" sheetId="8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1" i="1" l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<sst xmlns="http://schemas.openxmlformats.org/spreadsheetml/2006/main" count="3631" uniqueCount="558">
  <si>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</si>
  <si>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</si>
  <si>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</si>
  <si>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</si>
  <si>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</si>
  <si>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</si>
  <si>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</si>
  <si>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</si>
  <si>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ABBOTT LABORATORIES</t>
  </si>
  <si>
    <t>ABBVIE INC.</t>
  </si>
  <si>
    <t>AGILENT TECHNOLOGIES</t>
  </si>
  <si>
    <t>ALCON</t>
  </si>
  <si>
    <t>ALNYLAM PHARMA</t>
  </si>
  <si>
    <t>AMGEN INC</t>
  </si>
  <si>
    <t>ARGENX SE</t>
  </si>
  <si>
    <t>ASTRAZENECA</t>
  </si>
  <si>
    <t>BECTON DICKINSON</t>
  </si>
  <si>
    <t>BEONE MEDICINES</t>
  </si>
  <si>
    <t>BOSTON SCIENTIFIC</t>
  </si>
  <si>
    <t>BRISTOL MYERS SQUIBB</t>
  </si>
  <si>
    <t>CARDINAL HEALTH INC.</t>
  </si>
  <si>
    <t>CHUGAI PHARMA CO</t>
  </si>
  <si>
    <t>CIGNA GROUP</t>
  </si>
  <si>
    <t>CSL LTD</t>
  </si>
  <si>
    <t>DAIICHI SANKYO</t>
  </si>
  <si>
    <t>DANAHER CORPORATION</t>
  </si>
  <si>
    <t>EDWARDS LIFESCIENCES</t>
  </si>
  <si>
    <t>ELEVANCE HEALTH</t>
  </si>
  <si>
    <t>ELI LILLY AND CO</t>
  </si>
  <si>
    <t>ESSILORLUXOTTICA</t>
  </si>
  <si>
    <t>GE HEALTHCARE TECHN.</t>
  </si>
  <si>
    <t>GILEAD SCIENCES INC.</t>
  </si>
  <si>
    <t>GSK PLC</t>
  </si>
  <si>
    <t>HALEON</t>
  </si>
  <si>
    <t>HCA HEALTHCARE INC</t>
  </si>
  <si>
    <t>HOYA CORP</t>
  </si>
  <si>
    <t>IDEXX LABORATORIES</t>
  </si>
  <si>
    <t>INSMED ORPORATED</t>
  </si>
  <si>
    <t>INTUITIVE SURGICAL</t>
  </si>
  <si>
    <t>IQVIA HOLDINGS INC</t>
  </si>
  <si>
    <t>JOHNSON &amp; JOHNSON</t>
  </si>
  <si>
    <t>LONZA GROUP AG</t>
  </si>
  <si>
    <t>MEDTRONIC PLC</t>
  </si>
  <si>
    <t>MERCK &amp; COMPANY</t>
  </si>
  <si>
    <t>NOVARTIS</t>
  </si>
  <si>
    <t>NOVO NORDISK A/S</t>
  </si>
  <si>
    <t>PFIZER</t>
  </si>
  <si>
    <t>REGENERON PHARMA</t>
  </si>
  <si>
    <t>RESMED INC.</t>
  </si>
  <si>
    <t>ROCHE HOLDING AG</t>
  </si>
  <si>
    <t>SANOFI</t>
  </si>
  <si>
    <t>STRYKER CORPORATION</t>
  </si>
  <si>
    <t>TAKEDA PHARMACEU</t>
  </si>
  <si>
    <t>THERMO FISHER SCIENT</t>
  </si>
  <si>
    <t>UNITED HEALTH GROUP</t>
  </si>
  <si>
    <t>VEEVA SYSTEMS INC</t>
  </si>
  <si>
    <t>VERTEX PHARMA</t>
  </si>
  <si>
    <t>ZOETIS INC. CLASS A</t>
  </si>
  <si>
    <t>US0028241000</t>
  </si>
  <si>
    <t>US00287Y1091</t>
  </si>
  <si>
    <t>US00846U1016</t>
  </si>
  <si>
    <t>CH0432492467</t>
  </si>
  <si>
    <t>US02043Q1076</t>
  </si>
  <si>
    <t>US0311621009</t>
  </si>
  <si>
    <t>NL0010832176</t>
  </si>
  <si>
    <t>GB0009895292</t>
  </si>
  <si>
    <t>US0758871091</t>
  </si>
  <si>
    <t>CH1391448177</t>
  </si>
  <si>
    <t>US1011371077</t>
  </si>
  <si>
    <t>US1101221083</t>
  </si>
  <si>
    <t>US14149Y1082</t>
  </si>
  <si>
    <t>JP3519400000</t>
  </si>
  <si>
    <t>US1255231003</t>
  </si>
  <si>
    <t>AU000000CSL8</t>
  </si>
  <si>
    <t>JP3475350009</t>
  </si>
  <si>
    <t>US2358511028</t>
  </si>
  <si>
    <t>US28176E1082</t>
  </si>
  <si>
    <t>US0367521038</t>
  </si>
  <si>
    <t>US5324571083</t>
  </si>
  <si>
    <t>FR0000121667</t>
  </si>
  <si>
    <t>US36266G1076</t>
  </si>
  <si>
    <t>US3755581036</t>
  </si>
  <si>
    <t>GB00BN7SWP63</t>
  </si>
  <si>
    <t>GB00BMX86B70</t>
  </si>
  <si>
    <t>US40412C1018</t>
  </si>
  <si>
    <t>JP3837800006</t>
  </si>
  <si>
    <t>US45168D1046</t>
  </si>
  <si>
    <t>US4576693075</t>
  </si>
  <si>
    <t>US46120E6023</t>
  </si>
  <si>
    <t>US46266C1053</t>
  </si>
  <si>
    <t>US4781601046</t>
  </si>
  <si>
    <t>CH0013841017</t>
  </si>
  <si>
    <t>IE00BTN1Y115</t>
  </si>
  <si>
    <t>US58933Y1055</t>
  </si>
  <si>
    <t>CH0012005267</t>
  </si>
  <si>
    <t>DK0062498333</t>
  </si>
  <si>
    <t>US7170811035</t>
  </si>
  <si>
    <t>US75886F1075</t>
  </si>
  <si>
    <t>US7611521078</t>
  </si>
  <si>
    <t>CH0012032048</t>
  </si>
  <si>
    <t>FR0000120578</t>
  </si>
  <si>
    <t>US8636671013</t>
  </si>
  <si>
    <t>JP3463000004</t>
  </si>
  <si>
    <t>US8835561023</t>
  </si>
  <si>
    <t>US91324P1021</t>
  </si>
  <si>
    <t>US9224751084</t>
  </si>
  <si>
    <t>US92532F1003</t>
  </si>
  <si>
    <t>US98978V1035</t>
  </si>
  <si>
    <t>XNYS</t>
  </si>
  <si>
    <t>XSWX</t>
  </si>
  <si>
    <t>XNGS</t>
  </si>
  <si>
    <t>XBRU</t>
  </si>
  <si>
    <t>XLON</t>
  </si>
  <si>
    <t>XHKG</t>
  </si>
  <si>
    <t>XTKS</t>
  </si>
  <si>
    <t>XASX</t>
  </si>
  <si>
    <t>XPAR</t>
  </si>
  <si>
    <t>XCSE</t>
  </si>
  <si>
    <t>22-Dec-25</t>
  </si>
  <si>
    <t>EUR</t>
  </si>
  <si>
    <t>ISIN code</t>
  </si>
  <si>
    <t>BAYER AG</t>
  </si>
  <si>
    <t>DEXCOM INC.</t>
  </si>
  <si>
    <t>HUMANA INC.</t>
  </si>
  <si>
    <t>DE000BAY0017</t>
  </si>
  <si>
    <t>US2521311074</t>
  </si>
  <si>
    <t>US4448591028</t>
  </si>
  <si>
    <t>XETR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</si>
  <si>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</si>
  <si>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</si>
  <si>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</si>
  <si>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</si>
  <si>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</si>
  <si>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</si>
  <si>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</si>
  <si>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</si>
  <si>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</si>
  <si>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</si>
  <si>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</si>
  <si>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</si>
  <si>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</si>
  <si>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</si>
  <si>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FFMC_CO</t>
  </si>
  <si>
    <t>181110112399 - ESG Risk Score</t>
  </si>
  <si>
    <t>231112111799 - Overall Global Compact Compliance Status</t>
  </si>
  <si>
    <t>ESG_Risk_Score</t>
  </si>
  <si>
    <t>excl_esg_risk_score</t>
  </si>
  <si>
    <t>excl_global_compact</t>
  </si>
  <si>
    <t>excluded</t>
  </si>
  <si>
    <t>FFMC_Rank</t>
  </si>
  <si>
    <t>Unrounded NOSH</t>
  </si>
  <si>
    <t>Rounded NOSH</t>
  </si>
  <si>
    <t>LLY-US</t>
  </si>
  <si>
    <t>JNJ-US</t>
  </si>
  <si>
    <t>ABBV-US</t>
  </si>
  <si>
    <t>UNH-US</t>
  </si>
  <si>
    <t>AZN-GB</t>
  </si>
  <si>
    <t>ROG-CH</t>
  </si>
  <si>
    <t>NOVN-CH</t>
  </si>
  <si>
    <t>MRK-US</t>
  </si>
  <si>
    <t>ABT-US</t>
  </si>
  <si>
    <t>TMO-US</t>
  </si>
  <si>
    <t>ISRG-US</t>
  </si>
  <si>
    <t>AMGN-US</t>
  </si>
  <si>
    <t>GILD-US</t>
  </si>
  <si>
    <t>NOVO.B-DK</t>
  </si>
  <si>
    <t>DHR-US</t>
  </si>
  <si>
    <t>BSX-US</t>
  </si>
  <si>
    <t>PFE-US</t>
  </si>
  <si>
    <t>SYK-US</t>
  </si>
  <si>
    <t>MDT-US</t>
  </si>
  <si>
    <t>SAN-FR</t>
  </si>
  <si>
    <t>EL-FR</t>
  </si>
  <si>
    <t>VRTX-US</t>
  </si>
  <si>
    <t>GSK-GB</t>
  </si>
  <si>
    <t>BMY-US</t>
  </si>
  <si>
    <t>HCA-US</t>
  </si>
  <si>
    <t>REGN-US</t>
  </si>
  <si>
    <t>CI-US</t>
  </si>
  <si>
    <t>ELV-US</t>
  </si>
  <si>
    <t>ARGX-BE</t>
  </si>
  <si>
    <t>IDXX-US</t>
  </si>
  <si>
    <t>ALNY-US</t>
  </si>
  <si>
    <t>CSL-AU</t>
  </si>
  <si>
    <t>BDX-US</t>
  </si>
  <si>
    <t>ZTS-US</t>
  </si>
  <si>
    <t>7741-JP</t>
  </si>
  <si>
    <t>CAH-US</t>
  </si>
  <si>
    <t>EW-US</t>
  </si>
  <si>
    <t>LONN-CH</t>
  </si>
  <si>
    <t>4502-JP</t>
  </si>
  <si>
    <t>4568-JP</t>
  </si>
  <si>
    <t>HLN-GB</t>
  </si>
  <si>
    <t>A-US</t>
  </si>
  <si>
    <t>ALC-CH</t>
  </si>
  <si>
    <t>IQV-US</t>
  </si>
  <si>
    <t>INSM-US</t>
  </si>
  <si>
    <t>RMD-US</t>
  </si>
  <si>
    <t>4519-JP</t>
  </si>
  <si>
    <t>VEEV-US</t>
  </si>
  <si>
    <t>6160-HK</t>
  </si>
  <si>
    <t>GEHC-US</t>
  </si>
  <si>
    <t>USD</t>
  </si>
  <si>
    <t>GBP</t>
  </si>
  <si>
    <t>CHF</t>
  </si>
  <si>
    <t>DKK</t>
  </si>
  <si>
    <t>AUD</t>
  </si>
  <si>
    <t>JPY</t>
  </si>
  <si>
    <t>HKD</t>
  </si>
  <si>
    <t>NA500</t>
  </si>
  <si>
    <t>EU500</t>
  </si>
  <si>
    <t>EU500;EZ300</t>
  </si>
  <si>
    <t>AS500</t>
  </si>
  <si>
    <t>LLY.N</t>
  </si>
  <si>
    <t>JNJ.N</t>
  </si>
  <si>
    <t>ABBV.N</t>
  </si>
  <si>
    <t>UNH.N</t>
  </si>
  <si>
    <t>AZN.L</t>
  </si>
  <si>
    <t>ROG.S</t>
  </si>
  <si>
    <t>NOVN.S</t>
  </si>
  <si>
    <t>MRK.N</t>
  </si>
  <si>
    <t>ABT.N</t>
  </si>
  <si>
    <t>TMO.N</t>
  </si>
  <si>
    <t>ISRG.O</t>
  </si>
  <si>
    <t>AMGN.O</t>
  </si>
  <si>
    <t>GILD.O</t>
  </si>
  <si>
    <t>NOVOb.CO</t>
  </si>
  <si>
    <t>DHR.N</t>
  </si>
  <si>
    <t>BSX.N</t>
  </si>
  <si>
    <t>PFE.N</t>
  </si>
  <si>
    <t>SYK.N</t>
  </si>
  <si>
    <t>MDT.N</t>
  </si>
  <si>
    <t>SASY.PA</t>
  </si>
  <si>
    <t>ESLX.PA</t>
  </si>
  <si>
    <t>VRTX.O</t>
  </si>
  <si>
    <t>GSK.L</t>
  </si>
  <si>
    <t>BMY.N</t>
  </si>
  <si>
    <t>HCA.N</t>
  </si>
  <si>
    <t>REGN.O</t>
  </si>
  <si>
    <t>CI.N</t>
  </si>
  <si>
    <t>ELV.N</t>
  </si>
  <si>
    <t>ARGX.BR</t>
  </si>
  <si>
    <t>IDXX.O</t>
  </si>
  <si>
    <t>ALNY.O</t>
  </si>
  <si>
    <t>CSL.AX</t>
  </si>
  <si>
    <t>BDX.N</t>
  </si>
  <si>
    <t>ZTS.N</t>
  </si>
  <si>
    <t>/7741.T</t>
  </si>
  <si>
    <t>CAH.N</t>
  </si>
  <si>
    <t>EW.N</t>
  </si>
  <si>
    <t>LONN.S</t>
  </si>
  <si>
    <t>/4502.T</t>
  </si>
  <si>
    <t>/4568.T</t>
  </si>
  <si>
    <t>HLN.L</t>
  </si>
  <si>
    <t>A.N</t>
  </si>
  <si>
    <t>ALCC.S</t>
  </si>
  <si>
    <t>IQV.N</t>
  </si>
  <si>
    <t>INSM.O</t>
  </si>
  <si>
    <t>RMD.N</t>
  </si>
  <si>
    <t>/4519.T</t>
  </si>
  <si>
    <t>VEEV.N</t>
  </si>
  <si>
    <t>6160.HK</t>
  </si>
  <si>
    <t>GEHC.O</t>
  </si>
  <si>
    <t>20</t>
  </si>
  <si>
    <t>Compliant</t>
  </si>
  <si>
    <t>Watchlist</t>
  </si>
  <si>
    <t>UCB-BE</t>
  </si>
  <si>
    <t>BAYN-DE</t>
  </si>
  <si>
    <t>NTRA-US</t>
  </si>
  <si>
    <t>SDZ-CH</t>
  </si>
  <si>
    <t>HUM-US</t>
  </si>
  <si>
    <t>4578-JP</t>
  </si>
  <si>
    <t>GALD-CH</t>
  </si>
  <si>
    <t>STE-US</t>
  </si>
  <si>
    <t>BIIB-US</t>
  </si>
  <si>
    <t>4543-JP</t>
  </si>
  <si>
    <t>DXCM-US</t>
  </si>
  <si>
    <t>WAT-US</t>
  </si>
  <si>
    <t>FRE-DE</t>
  </si>
  <si>
    <t>PODD-US</t>
  </si>
  <si>
    <t>4503-JP</t>
  </si>
  <si>
    <t>NSIS.B-DK</t>
  </si>
  <si>
    <t>LH-US</t>
  </si>
  <si>
    <t>PHIA-NL</t>
  </si>
  <si>
    <t>DGX-US</t>
  </si>
  <si>
    <t>GMAB-DK</t>
  </si>
  <si>
    <t>WST-US</t>
  </si>
  <si>
    <t>UTHR-US</t>
  </si>
  <si>
    <t>EXAS-US</t>
  </si>
  <si>
    <t>ILMN-US</t>
  </si>
  <si>
    <t>ZBH-US</t>
  </si>
  <si>
    <t>CNC-US</t>
  </si>
  <si>
    <t>MRK-DE</t>
  </si>
  <si>
    <t>SHL-DE</t>
  </si>
  <si>
    <t>7733-JP</t>
  </si>
  <si>
    <t>4507-JP</t>
  </si>
  <si>
    <t>STMN-CH</t>
  </si>
  <si>
    <t>2269-HK</t>
  </si>
  <si>
    <t>COLO.B-DK</t>
  </si>
  <si>
    <t>SN-GB</t>
  </si>
  <si>
    <t>SOON-CH</t>
  </si>
  <si>
    <t>FPH-NZ</t>
  </si>
  <si>
    <t>COH-AU</t>
  </si>
  <si>
    <t>QIA-DE</t>
  </si>
  <si>
    <t>FME-DE</t>
  </si>
  <si>
    <t>PME-AU</t>
  </si>
  <si>
    <t>4523-JP</t>
  </si>
  <si>
    <t>ERF-FR</t>
  </si>
  <si>
    <t>ORNBV-FI</t>
  </si>
  <si>
    <t>SHL-AU</t>
  </si>
  <si>
    <t>2413-JP</t>
  </si>
  <si>
    <t>SOBI-SE</t>
  </si>
  <si>
    <t>ABVX-FR</t>
  </si>
  <si>
    <t>REC-IT</t>
  </si>
  <si>
    <t>DIM-FR</t>
  </si>
  <si>
    <t>SRT3-DE</t>
  </si>
  <si>
    <t>4528-JP</t>
  </si>
  <si>
    <t>BIM-FR</t>
  </si>
  <si>
    <t>6869-JP</t>
  </si>
  <si>
    <t>ZEAL-DK</t>
  </si>
  <si>
    <t>IPN-FR</t>
  </si>
  <si>
    <t>CTEC-GB</t>
  </si>
  <si>
    <t>GETI.B-SE</t>
  </si>
  <si>
    <t>TUB-BE</t>
  </si>
  <si>
    <t>7747-JP</t>
  </si>
  <si>
    <t>ALK.B-DK</t>
  </si>
  <si>
    <t>2228-HK</t>
  </si>
  <si>
    <t>SECT.B-SE</t>
  </si>
  <si>
    <t>4151-JP</t>
  </si>
  <si>
    <t>4527-JP</t>
  </si>
  <si>
    <t>SFZN-CH</t>
  </si>
  <si>
    <t>RHC-AU</t>
  </si>
  <si>
    <t>HIK-GB</t>
  </si>
  <si>
    <t>4506-JP</t>
  </si>
  <si>
    <t>GRF-ES</t>
  </si>
  <si>
    <t>EBO-NZ</t>
  </si>
  <si>
    <t>ANN-AU</t>
  </si>
  <si>
    <t>4536-JP</t>
  </si>
  <si>
    <t>UCB</t>
  </si>
  <si>
    <t>NATERA INC.</t>
  </si>
  <si>
    <t>SANDOZ GROUP AG</t>
  </si>
  <si>
    <t>OTSUKA HOLDINGS</t>
  </si>
  <si>
    <t>GALDERMA GROUP AG</t>
  </si>
  <si>
    <t>STERIS PLC</t>
  </si>
  <si>
    <t>BIOGEN INC</t>
  </si>
  <si>
    <t>TERUMO CORP</t>
  </si>
  <si>
    <t>WATERS CORPORATION</t>
  </si>
  <si>
    <t>FRESENIUS SE &amp; CO</t>
  </si>
  <si>
    <t>INSULET CORPORATION</t>
  </si>
  <si>
    <t>ASTELLAS PHARMA</t>
  </si>
  <si>
    <t>NOVONESIS</t>
  </si>
  <si>
    <t>LABCORP HOLDINGS INC</t>
  </si>
  <si>
    <t>PHILIPS KON</t>
  </si>
  <si>
    <t>QUEST DIAGNOSTICS</t>
  </si>
  <si>
    <t>GENMAB A/S</t>
  </si>
  <si>
    <t>WEST PHARMACEUTICAL</t>
  </si>
  <si>
    <t>UNITED THERAPEUTICS</t>
  </si>
  <si>
    <t>EXACT SCIENCES CORP</t>
  </si>
  <si>
    <t>ILLUMINA INC.</t>
  </si>
  <si>
    <t>ZIMMER BIOMET HOLD.</t>
  </si>
  <si>
    <t>CENTENE CORPORATION</t>
  </si>
  <si>
    <t>MERCK KGA</t>
  </si>
  <si>
    <t>SIEMENS HEALTHINEERS</t>
  </si>
  <si>
    <t>OLYMPUS CORP</t>
  </si>
  <si>
    <t>SHIONOGI &amp; CO</t>
  </si>
  <si>
    <t>STRAUMANN HOLDING AG</t>
  </si>
  <si>
    <t>WUXI BIOLOGICS C</t>
  </si>
  <si>
    <t>COLOPLAST</t>
  </si>
  <si>
    <t>SMITH AND NEPHEW</t>
  </si>
  <si>
    <t>SONOVA HOLDING AG</t>
  </si>
  <si>
    <t>FISHER &amp; PAYKEL</t>
  </si>
  <si>
    <t>COCHLEAR LTD</t>
  </si>
  <si>
    <t>QIAGEN NV</t>
  </si>
  <si>
    <t>FRESENIUS MEDICAL</t>
  </si>
  <si>
    <t>PRO MEDICUS LIMITED</t>
  </si>
  <si>
    <t>EISAI CO LTD</t>
  </si>
  <si>
    <t>EUROFINS SCIENT.</t>
  </si>
  <si>
    <t>ORION OYJ CLASS B</t>
  </si>
  <si>
    <t>SONIC HEALTHCARE</t>
  </si>
  <si>
    <t>M3 INC</t>
  </si>
  <si>
    <t>SWEDISH ORPHAN BIOVT</t>
  </si>
  <si>
    <t>ABIVAX</t>
  </si>
  <si>
    <t>RECORDATI ORD</t>
  </si>
  <si>
    <t>SARTORIUS STED BIO</t>
  </si>
  <si>
    <t>SARTORIUS AG PREF</t>
  </si>
  <si>
    <t>ONO PHARMA</t>
  </si>
  <si>
    <t>BIOMERIEUX</t>
  </si>
  <si>
    <t>SYSMEX CORP</t>
  </si>
  <si>
    <t>ZEALAND PHARMA A/S</t>
  </si>
  <si>
    <t>IPSEN</t>
  </si>
  <si>
    <t>CONVATEC GROUP PLC</t>
  </si>
  <si>
    <t>GETINGE B</t>
  </si>
  <si>
    <t>TUBIZE-FIN</t>
  </si>
  <si>
    <t>ASAHI INTECC CO</t>
  </si>
  <si>
    <t>ALK-ABELLO AS B</t>
  </si>
  <si>
    <t>XTALPI HOLDINGS</t>
  </si>
  <si>
    <t>SECTRA AB CLASS B</t>
  </si>
  <si>
    <t>KYOWA KIRIN CO L</t>
  </si>
  <si>
    <t>ROHTO PHARM</t>
  </si>
  <si>
    <t>SIEGFRIED HOLDING AG</t>
  </si>
  <si>
    <t>RAMSAY HEALTH</t>
  </si>
  <si>
    <t>HIKMA PHARMACEUTICAL</t>
  </si>
  <si>
    <t>SUMITOMO PHARMA CO L</t>
  </si>
  <si>
    <t>GRIFOLS SA</t>
  </si>
  <si>
    <t>EBOS GROUP LTD</t>
  </si>
  <si>
    <t>ANSELL LTD</t>
  </si>
  <si>
    <t>SANTEN PHARM</t>
  </si>
  <si>
    <t>BE0003739530</t>
  </si>
  <si>
    <t>US6323071042</t>
  </si>
  <si>
    <t>CH1243598427</t>
  </si>
  <si>
    <t>JP3188220002</t>
  </si>
  <si>
    <t>CH1335392721</t>
  </si>
  <si>
    <t>IE00BFY8C754</t>
  </si>
  <si>
    <t>US09062X1037</t>
  </si>
  <si>
    <t>JP3546800008</t>
  </si>
  <si>
    <t>US9418481035</t>
  </si>
  <si>
    <t>DE0005785604</t>
  </si>
  <si>
    <t>US45784P1012</t>
  </si>
  <si>
    <t>JP3942400007</t>
  </si>
  <si>
    <t>DK0060336014</t>
  </si>
  <si>
    <t>US5049221055</t>
  </si>
  <si>
    <t>NL0000009538</t>
  </si>
  <si>
    <t>US74834L1008</t>
  </si>
  <si>
    <t>DK0010272202</t>
  </si>
  <si>
    <t>US9553061055</t>
  </si>
  <si>
    <t>US91307C1027</t>
  </si>
  <si>
    <t>US30063P1057</t>
  </si>
  <si>
    <t>US4523271090</t>
  </si>
  <si>
    <t>US98956P1021</t>
  </si>
  <si>
    <t>US15135B1017</t>
  </si>
  <si>
    <t>DE0006599905</t>
  </si>
  <si>
    <t>DE000SHL1006</t>
  </si>
  <si>
    <t>JP3201200007</t>
  </si>
  <si>
    <t>JP3347200002</t>
  </si>
  <si>
    <t>CH1175448666</t>
  </si>
  <si>
    <t>KYG970081173</t>
  </si>
  <si>
    <t>DK0060448595</t>
  </si>
  <si>
    <t>GB0009223206</t>
  </si>
  <si>
    <t>CH0012549785</t>
  </si>
  <si>
    <t>NZFAPE0001S2</t>
  </si>
  <si>
    <t>AU000000COH5</t>
  </si>
  <si>
    <t>NL0015002CX3</t>
  </si>
  <si>
    <t>DE0005785802</t>
  </si>
  <si>
    <t>AU000000PME8</t>
  </si>
  <si>
    <t>JP3160400002</t>
  </si>
  <si>
    <t>FR0014000MR3</t>
  </si>
  <si>
    <t>FI0009014377</t>
  </si>
  <si>
    <t>AU000000SHL7</t>
  </si>
  <si>
    <t>JP3435750009</t>
  </si>
  <si>
    <t>SE0000872095</t>
  </si>
  <si>
    <t>FR0012333284</t>
  </si>
  <si>
    <t>IT0003828271</t>
  </si>
  <si>
    <t>FR0013154002</t>
  </si>
  <si>
    <t>DE0007165631</t>
  </si>
  <si>
    <t>JP3197600004</t>
  </si>
  <si>
    <t>FR0013280286</t>
  </si>
  <si>
    <t>JP3351100007</t>
  </si>
  <si>
    <t>DK0060257814</t>
  </si>
  <si>
    <t>FR0010259150</t>
  </si>
  <si>
    <t>GB00BD3VFW73</t>
  </si>
  <si>
    <t>SE0000202624</t>
  </si>
  <si>
    <t>BE0003823409</t>
  </si>
  <si>
    <t>JP3110650003</t>
  </si>
  <si>
    <t>DK0061802139</t>
  </si>
  <si>
    <t>KYG7S12M1051</t>
  </si>
  <si>
    <t>SE0022419784</t>
  </si>
  <si>
    <t>JP3256000005</t>
  </si>
  <si>
    <t>JP3982400008</t>
  </si>
  <si>
    <t>CH1429326825</t>
  </si>
  <si>
    <t>AU000000RHC8</t>
  </si>
  <si>
    <t>GB00B0LCW083</t>
  </si>
  <si>
    <t>JP3495000006</t>
  </si>
  <si>
    <t>ES0171996087</t>
  </si>
  <si>
    <t>NZEBOE0001S6</t>
  </si>
  <si>
    <t>AU000000ANN9</t>
  </si>
  <si>
    <t>JP3336000009</t>
  </si>
  <si>
    <t>XAMS</t>
  </si>
  <si>
    <t>XNCM</t>
  </si>
  <si>
    <t>XNZE</t>
  </si>
  <si>
    <t>XHEL</t>
  </si>
  <si>
    <t>XSTO</t>
  </si>
  <si>
    <t>MTAA</t>
  </si>
  <si>
    <t>XMAD</t>
  </si>
  <si>
    <t>NZD</t>
  </si>
  <si>
    <t>SEK</t>
  </si>
  <si>
    <t>UCB.BR</t>
  </si>
  <si>
    <t>BAYGn.DE</t>
  </si>
  <si>
    <t>NTRA.O</t>
  </si>
  <si>
    <t>SDZ.S</t>
  </si>
  <si>
    <t>HUM.N</t>
  </si>
  <si>
    <t>/4578.T</t>
  </si>
  <si>
    <t>GALD.S</t>
  </si>
  <si>
    <t>STE.N</t>
  </si>
  <si>
    <t>BIIB.O</t>
  </si>
  <si>
    <t>/4543.T</t>
  </si>
  <si>
    <t>DXCM.O</t>
  </si>
  <si>
    <t>WAT.N</t>
  </si>
  <si>
    <t>FREG.DE</t>
  </si>
  <si>
    <t>PODD.O</t>
  </si>
  <si>
    <t>/4503.T</t>
  </si>
  <si>
    <t>NSISb.CO</t>
  </si>
  <si>
    <t>LH.N</t>
  </si>
  <si>
    <t>PHG.AS</t>
  </si>
  <si>
    <t>DGX.N</t>
  </si>
  <si>
    <t>GMAB.CO</t>
  </si>
  <si>
    <t>WST.N</t>
  </si>
  <si>
    <t>UTHR.O</t>
  </si>
  <si>
    <t>EXAS.O</t>
  </si>
  <si>
    <t>ILMN.O</t>
  </si>
  <si>
    <t>ZBH.N</t>
  </si>
  <si>
    <t>CNC.N</t>
  </si>
  <si>
    <t>MRCG.DE</t>
  </si>
  <si>
    <t>SHLG.DE</t>
  </si>
  <si>
    <t>/7733.T</t>
  </si>
  <si>
    <t>/4507.T</t>
  </si>
  <si>
    <t>STMN.S</t>
  </si>
  <si>
    <t>2269.HK</t>
  </si>
  <si>
    <t>COLOb.CO</t>
  </si>
  <si>
    <t>SN.L</t>
  </si>
  <si>
    <t>SOON.S</t>
  </si>
  <si>
    <t>/FPH.NZ</t>
  </si>
  <si>
    <t>COH.AX</t>
  </si>
  <si>
    <t>QIA.DE</t>
  </si>
  <si>
    <t>FMEG.DE</t>
  </si>
  <si>
    <t>PME.AX</t>
  </si>
  <si>
    <t>/4523.T</t>
  </si>
  <si>
    <t>EUFI.PA</t>
  </si>
  <si>
    <t>ORNBV.HE</t>
  </si>
  <si>
    <t>SHL.AX</t>
  </si>
  <si>
    <t>/2413.T</t>
  </si>
  <si>
    <t>SOBIV.ST</t>
  </si>
  <si>
    <t>ABVX.PA</t>
  </si>
  <si>
    <t>RECI.MI</t>
  </si>
  <si>
    <t>STDM.PA</t>
  </si>
  <si>
    <t>SATG_p.DE</t>
  </si>
  <si>
    <t>/4528.T</t>
  </si>
  <si>
    <t>BIOX.PA</t>
  </si>
  <si>
    <t>/6869.T</t>
  </si>
  <si>
    <t>ZELA.CO</t>
  </si>
  <si>
    <t>IPN.PA</t>
  </si>
  <si>
    <t>CTEC.L</t>
  </si>
  <si>
    <t>GETIb.ST</t>
  </si>
  <si>
    <t>TUB.BR</t>
  </si>
  <si>
    <t>/7747.T</t>
  </si>
  <si>
    <t>ALKb.CO</t>
  </si>
  <si>
    <t>2228.HK</t>
  </si>
  <si>
    <t>SECTb.ST</t>
  </si>
  <si>
    <t>/4151.T</t>
  </si>
  <si>
    <t>/4527.T</t>
  </si>
  <si>
    <t>SFZN.S</t>
  </si>
  <si>
    <t>RHC.AX</t>
  </si>
  <si>
    <t>HIK.L</t>
  </si>
  <si>
    <t>/4506.T</t>
  </si>
  <si>
    <t>GRLS.MC</t>
  </si>
  <si>
    <t>/EBO.NZ</t>
  </si>
  <si>
    <t>ANN.AX</t>
  </si>
  <si>
    <t>/4536.T</t>
  </si>
  <si>
    <t>Index Market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</si>
</sst>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Sonneveld\Downloads\GHCPR_EMS_2025-12-16_2025-12-17-05-30-56.xlsx" TargetMode="External"/><Relationship Id="rId1" Type="http://schemas.openxmlformats.org/officeDocument/2006/relationships/externalLinkPath" Target="file:///C:\Users\CSonneveld\Downloads\GHCPR_EMS_2025-12-16_2025-12-17-05-30-5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lection"/>
      <sheetName val="inclusion"/>
      <sheetName val="exclusion"/>
    </sheetNames>
    <sheetDataSet>
      <sheetData sheetId="0">
        <row r="2">
          <cell r="B2" t="str">
            <v>US0028241000</v>
          </cell>
          <cell r="D2">
            <v>941869</v>
          </cell>
        </row>
        <row r="3">
          <cell r="B3" t="str">
            <v>US00287Y1091</v>
          </cell>
          <cell r="D3">
            <v>534205</v>
          </cell>
        </row>
        <row r="4">
          <cell r="B4" t="str">
            <v>US00846U1016</v>
          </cell>
          <cell r="D4">
            <v>858435</v>
          </cell>
        </row>
        <row r="5">
          <cell r="B5" t="str">
            <v>CH0432492467</v>
          </cell>
          <cell r="D5">
            <v>1521050</v>
          </cell>
        </row>
        <row r="6">
          <cell r="B6" t="str">
            <v>US02043Q1076</v>
          </cell>
          <cell r="D6">
            <v>305457</v>
          </cell>
        </row>
        <row r="7">
          <cell r="B7" t="str">
            <v>US0311621009</v>
          </cell>
          <cell r="D7">
            <v>365690</v>
          </cell>
        </row>
        <row r="8">
          <cell r="B8" t="str">
            <v>NL0010832176</v>
          </cell>
          <cell r="D8">
            <v>139715</v>
          </cell>
        </row>
        <row r="9">
          <cell r="B9" t="str">
            <v>GB0009895292</v>
          </cell>
          <cell r="D9">
            <v>659455</v>
          </cell>
        </row>
        <row r="10">
          <cell r="B10" t="str">
            <v>US0758871091</v>
          </cell>
          <cell r="D10">
            <v>608410</v>
          </cell>
        </row>
        <row r="11">
          <cell r="B11" t="str">
            <v>CH1391448177</v>
          </cell>
          <cell r="D11">
            <v>5127003</v>
          </cell>
        </row>
        <row r="12">
          <cell r="B12" t="str">
            <v>US1011371077</v>
          </cell>
          <cell r="D12">
            <v>1285482</v>
          </cell>
        </row>
        <row r="13">
          <cell r="B13" t="str">
            <v>US1101221083</v>
          </cell>
          <cell r="D13">
            <v>2203311</v>
          </cell>
        </row>
        <row r="14">
          <cell r="B14" t="str">
            <v>US14149Y1082</v>
          </cell>
          <cell r="D14">
            <v>603798</v>
          </cell>
        </row>
        <row r="15">
          <cell r="B15" t="str">
            <v>JP3519400000</v>
          </cell>
          <cell r="D15">
            <v>2236688</v>
          </cell>
        </row>
        <row r="16">
          <cell r="B16" t="str">
            <v>US1255231003</v>
          </cell>
          <cell r="D16">
            <v>432746</v>
          </cell>
        </row>
        <row r="17">
          <cell r="B17" t="str">
            <v>AU000000CSL8</v>
          </cell>
          <cell r="D17">
            <v>1015887</v>
          </cell>
        </row>
        <row r="18">
          <cell r="B18" t="str">
            <v>JP3475350009</v>
          </cell>
          <cell r="D18">
            <v>5430174</v>
          </cell>
        </row>
        <row r="19">
          <cell r="B19" t="str">
            <v>US2358511028</v>
          </cell>
          <cell r="D19">
            <v>531756</v>
          </cell>
        </row>
        <row r="20">
          <cell r="B20" t="str">
            <v>US28176E1082</v>
          </cell>
          <cell r="D20">
            <v>1400440</v>
          </cell>
        </row>
        <row r="21">
          <cell r="B21" t="str">
            <v>US0367521038</v>
          </cell>
          <cell r="D21">
            <v>339544</v>
          </cell>
        </row>
        <row r="22">
          <cell r="B22" t="str">
            <v>US5324571083</v>
          </cell>
          <cell r="D22">
            <v>113333</v>
          </cell>
        </row>
        <row r="23">
          <cell r="B23" t="str">
            <v>FR0000121667</v>
          </cell>
          <cell r="D23">
            <v>364907</v>
          </cell>
        </row>
        <row r="24">
          <cell r="B24" t="str">
            <v>US36266G1076</v>
          </cell>
          <cell r="D24">
            <v>1452712</v>
          </cell>
        </row>
        <row r="25">
          <cell r="B25" t="str">
            <v>US3755581036</v>
          </cell>
          <cell r="D25">
            <v>1005940</v>
          </cell>
        </row>
        <row r="26">
          <cell r="B26" t="str">
            <v>GB00BN7SWP63</v>
          </cell>
          <cell r="D26">
            <v>4895080</v>
          </cell>
        </row>
        <row r="27">
          <cell r="B27" t="str">
            <v>GB00BMX86B70</v>
          </cell>
          <cell r="D27">
            <v>24509074</v>
          </cell>
        </row>
        <row r="28">
          <cell r="B28" t="str">
            <v>US40412C1018</v>
          </cell>
          <cell r="D28">
            <v>254338</v>
          </cell>
        </row>
        <row r="29">
          <cell r="B29" t="str">
            <v>JP3837800006</v>
          </cell>
          <cell r="D29">
            <v>770632</v>
          </cell>
        </row>
        <row r="30">
          <cell r="B30" t="str">
            <v>US45168D1046</v>
          </cell>
          <cell r="D30">
            <v>172373</v>
          </cell>
        </row>
        <row r="31">
          <cell r="B31" t="str">
            <v>US4576693075</v>
          </cell>
          <cell r="D31">
            <v>595433</v>
          </cell>
        </row>
        <row r="32">
          <cell r="B32" t="str">
            <v>US46120E6023</v>
          </cell>
          <cell r="D32">
            <v>215452</v>
          </cell>
        </row>
        <row r="33">
          <cell r="B33" t="str">
            <v>US46266C1053</v>
          </cell>
          <cell r="D33">
            <v>539000</v>
          </cell>
        </row>
        <row r="34">
          <cell r="B34" t="str">
            <v>US4781601046</v>
          </cell>
          <cell r="D34">
            <v>570882</v>
          </cell>
        </row>
        <row r="35">
          <cell r="B35" t="str">
            <v>CH0013841017</v>
          </cell>
          <cell r="D35">
            <v>183112</v>
          </cell>
        </row>
        <row r="36">
          <cell r="B36" t="str">
            <v>IE00BTN1Y115</v>
          </cell>
          <cell r="D36">
            <v>1222734</v>
          </cell>
        </row>
        <row r="37">
          <cell r="B37" t="str">
            <v>US58933Y1055</v>
          </cell>
          <cell r="D37">
            <v>1215891</v>
          </cell>
        </row>
        <row r="38">
          <cell r="B38" t="str">
            <v>CH0012005267</v>
          </cell>
          <cell r="D38">
            <v>884213</v>
          </cell>
        </row>
        <row r="39">
          <cell r="B39" t="str">
            <v>DK0062498333</v>
          </cell>
          <cell r="D39">
            <v>2451849</v>
          </cell>
        </row>
        <row r="40">
          <cell r="B40" t="str">
            <v>US7170811035</v>
          </cell>
          <cell r="D40">
            <v>4680202</v>
          </cell>
        </row>
        <row r="41">
          <cell r="B41" t="str">
            <v>US75886F1075</v>
          </cell>
          <cell r="D41">
            <v>160091</v>
          </cell>
        </row>
        <row r="42">
          <cell r="B42" t="str">
            <v>US7611521078</v>
          </cell>
          <cell r="D42">
            <v>483082</v>
          </cell>
        </row>
        <row r="43">
          <cell r="B43" t="str">
            <v>CH0012032048</v>
          </cell>
          <cell r="D43">
            <v>296614</v>
          </cell>
        </row>
        <row r="44">
          <cell r="B44" t="str">
            <v>FR0000120578</v>
          </cell>
          <cell r="D44">
            <v>1254226</v>
          </cell>
        </row>
        <row r="45">
          <cell r="B45" t="str">
            <v>US8636671013</v>
          </cell>
          <cell r="D45">
            <v>339747</v>
          </cell>
        </row>
        <row r="46">
          <cell r="B46" t="str">
            <v>JP3463000004</v>
          </cell>
          <cell r="D46">
            <v>4093664</v>
          </cell>
        </row>
        <row r="47">
          <cell r="B47" t="str">
            <v>US8835561023</v>
          </cell>
          <cell r="D47">
            <v>209565</v>
          </cell>
        </row>
        <row r="48">
          <cell r="B48" t="str">
            <v>US91324P1021</v>
          </cell>
          <cell r="D48">
            <v>357527</v>
          </cell>
        </row>
        <row r="49">
          <cell r="B49" t="str">
            <v>US9224751084</v>
          </cell>
          <cell r="D49">
            <v>544850</v>
          </cell>
        </row>
        <row r="50">
          <cell r="B50" t="str">
            <v>US92532F1003</v>
          </cell>
          <cell r="D50">
            <v>262629</v>
          </cell>
        </row>
        <row r="51">
          <cell r="B51" t="str">
            <v>US98978V1035</v>
          </cell>
          <cell r="D51">
            <v>969614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tabSelected="1" topLeftCell="A68" workbookViewId="0">
      <selection activeCell="J68" sqref="J68"/>
    </sheetView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0" x14ac:dyDescent="0.25">
      <c r="A2" t="s">
        <v>8</v>
      </c>
      <c r="B2" t="s">
        <v>58</v>
      </c>
      <c r="C2" t="s">
        <v>108</v>
      </c>
      <c r="D2">
        <v>941869</v>
      </c>
      <c r="E2">
        <v>1</v>
      </c>
      <c r="F2">
        <v>1</v>
      </c>
      <c r="G2" t="s">
        <v>118</v>
      </c>
      <c r="H2" t="s">
        <v>119</v>
      </c>
      <c r="I2" t="b">
        <f>ISNUMBER(MATCH(B2,[1]selection!$B$2:$B$51,0))</f>
        <v>1</v>
      </c>
      <c r="J2" t="b">
        <f>D2=[1]selection!D2</f>
        <v>1</v>
      </c>
    </row>
    <row r="3" spans="1:10" x14ac:dyDescent="0.25">
      <c r="A3" t="s">
        <v>9</v>
      </c>
      <c r="B3" t="s">
        <v>59</v>
      </c>
      <c r="C3" t="s">
        <v>108</v>
      </c>
      <c r="D3">
        <v>534205</v>
      </c>
      <c r="E3">
        <v>1</v>
      </c>
      <c r="F3">
        <v>1</v>
      </c>
      <c r="G3" t="s">
        <v>118</v>
      </c>
      <c r="H3" t="s">
        <v>119</v>
      </c>
      <c r="I3" t="b">
        <f>ISNUMBER(MATCH(B3,[1]selection!$B$2:$B$51,0))</f>
        <v>1</v>
      </c>
      <c r="J3" t="b">
        <f>D3=[1]selection!D3</f>
        <v>1</v>
      </c>
    </row>
    <row r="4" spans="1:10" x14ac:dyDescent="0.25">
      <c r="A4" t="s">
        <v>10</v>
      </c>
      <c r="B4" t="s">
        <v>60</v>
      </c>
      <c r="C4" t="s">
        <v>108</v>
      </c>
      <c r="D4">
        <v>858435</v>
      </c>
      <c r="E4">
        <v>1</v>
      </c>
      <c r="F4">
        <v>1</v>
      </c>
      <c r="G4" t="s">
        <v>118</v>
      </c>
      <c r="H4" t="s">
        <v>119</v>
      </c>
      <c r="I4" t="b">
        <f>ISNUMBER(MATCH(B4,[1]selection!$B$2:$B$51,0))</f>
        <v>1</v>
      </c>
      <c r="J4" t="b">
        <f>D4=[1]selection!D4</f>
        <v>1</v>
      </c>
    </row>
    <row r="5" spans="1:10" x14ac:dyDescent="0.25">
      <c r="A5" t="s">
        <v>11</v>
      </c>
      <c r="B5" t="s">
        <v>61</v>
      </c>
      <c r="C5" t="s">
        <v>109</v>
      </c>
      <c r="D5">
        <v>1521050</v>
      </c>
      <c r="E5">
        <v>1</v>
      </c>
      <c r="F5">
        <v>1</v>
      </c>
      <c r="G5" t="s">
        <v>118</v>
      </c>
      <c r="H5" t="s">
        <v>119</v>
      </c>
      <c r="I5" t="b">
        <f>ISNUMBER(MATCH(B5,[1]selection!$B$2:$B$51,0))</f>
        <v>1</v>
      </c>
      <c r="J5" t="b">
        <f>D5=[1]selection!D5</f>
        <v>1</v>
      </c>
    </row>
    <row r="6" spans="1:10" x14ac:dyDescent="0.25">
      <c r="A6" t="s">
        <v>12</v>
      </c>
      <c r="B6" t="s">
        <v>62</v>
      </c>
      <c r="C6" t="s">
        <v>110</v>
      </c>
      <c r="D6">
        <v>305457</v>
      </c>
      <c r="E6">
        <v>1</v>
      </c>
      <c r="F6">
        <v>1</v>
      </c>
      <c r="G6" t="s">
        <v>118</v>
      </c>
      <c r="H6" t="s">
        <v>119</v>
      </c>
      <c r="I6" t="b">
        <f>ISNUMBER(MATCH(B6,[1]selection!$B$2:$B$51,0))</f>
        <v>1</v>
      </c>
      <c r="J6" t="b">
        <f>D6=[1]selection!D6</f>
        <v>1</v>
      </c>
    </row>
    <row r="7" spans="1:10" x14ac:dyDescent="0.25">
      <c r="A7" t="s">
        <v>13</v>
      </c>
      <c r="B7" t="s">
        <v>63</v>
      </c>
      <c r="C7" t="s">
        <v>110</v>
      </c>
      <c r="D7">
        <v>365690</v>
      </c>
      <c r="E7">
        <v>1</v>
      </c>
      <c r="F7">
        <v>1</v>
      </c>
      <c r="G7" t="s">
        <v>118</v>
      </c>
      <c r="H7" t="s">
        <v>119</v>
      </c>
      <c r="I7" t="b">
        <f>ISNUMBER(MATCH(B7,[1]selection!$B$2:$B$51,0))</f>
        <v>1</v>
      </c>
      <c r="J7" t="b">
        <f>D7=[1]selection!D7</f>
        <v>1</v>
      </c>
    </row>
    <row r="8" spans="1:10" x14ac:dyDescent="0.25">
      <c r="A8" t="s">
        <v>14</v>
      </c>
      <c r="B8" t="s">
        <v>64</v>
      </c>
      <c r="C8" t="s">
        <v>111</v>
      </c>
      <c r="D8">
        <v>139715</v>
      </c>
      <c r="E8">
        <v>1</v>
      </c>
      <c r="F8">
        <v>1</v>
      </c>
      <c r="G8" t="s">
        <v>118</v>
      </c>
      <c r="H8" t="s">
        <v>119</v>
      </c>
      <c r="I8" t="b">
        <f>ISNUMBER(MATCH(B8,[1]selection!$B$2:$B$51,0))</f>
        <v>1</v>
      </c>
      <c r="J8" t="b">
        <f>D8=[1]selection!D8</f>
        <v>1</v>
      </c>
    </row>
    <row r="9" spans="1:10" x14ac:dyDescent="0.25">
      <c r="A9" t="s">
        <v>15</v>
      </c>
      <c r="B9" t="s">
        <v>65</v>
      </c>
      <c r="C9" t="s">
        <v>112</v>
      </c>
      <c r="D9">
        <v>659455</v>
      </c>
      <c r="E9">
        <v>1</v>
      </c>
      <c r="F9">
        <v>1</v>
      </c>
      <c r="G9" t="s">
        <v>118</v>
      </c>
      <c r="H9" t="s">
        <v>119</v>
      </c>
      <c r="I9" t="b">
        <f>ISNUMBER(MATCH(B9,[1]selection!$B$2:$B$51,0))</f>
        <v>1</v>
      </c>
      <c r="J9" t="b">
        <f>D9=[1]selection!D9</f>
        <v>1</v>
      </c>
    </row>
    <row r="10" spans="1:10" x14ac:dyDescent="0.25">
      <c r="A10" t="s">
        <v>16</v>
      </c>
      <c r="B10" t="s">
        <v>66</v>
      </c>
      <c r="C10" t="s">
        <v>108</v>
      </c>
      <c r="D10">
        <v>608410</v>
      </c>
      <c r="E10">
        <v>1</v>
      </c>
      <c r="F10">
        <v>1</v>
      </c>
      <c r="G10" t="s">
        <v>118</v>
      </c>
      <c r="H10" t="s">
        <v>119</v>
      </c>
      <c r="I10" t="b">
        <f>ISNUMBER(MATCH(B10,[1]selection!$B$2:$B$51,0))</f>
        <v>1</v>
      </c>
      <c r="J10" t="b">
        <f>D10=[1]selection!D10</f>
        <v>1</v>
      </c>
    </row>
    <row r="11" spans="1:10" x14ac:dyDescent="0.25">
      <c r="A11" t="s">
        <v>17</v>
      </c>
      <c r="B11" t="s">
        <v>67</v>
      </c>
      <c r="C11" t="s">
        <v>113</v>
      </c>
      <c r="D11">
        <v>5127003</v>
      </c>
      <c r="E11">
        <v>1</v>
      </c>
      <c r="F11">
        <v>1</v>
      </c>
      <c r="G11" t="s">
        <v>118</v>
      </c>
      <c r="H11" t="s">
        <v>119</v>
      </c>
      <c r="I11" t="b">
        <f>ISNUMBER(MATCH(B11,[1]selection!$B$2:$B$51,0))</f>
        <v>1</v>
      </c>
      <c r="J11" t="b">
        <f>D11=[1]selection!D11</f>
        <v>1</v>
      </c>
    </row>
    <row r="12" spans="1:10" x14ac:dyDescent="0.25">
      <c r="A12" t="s">
        <v>18</v>
      </c>
      <c r="B12" t="s">
        <v>68</v>
      </c>
      <c r="C12" t="s">
        <v>108</v>
      </c>
      <c r="D12">
        <v>1285482</v>
      </c>
      <c r="E12">
        <v>1</v>
      </c>
      <c r="F12">
        <v>1</v>
      </c>
      <c r="G12" t="s">
        <v>118</v>
      </c>
      <c r="H12" t="s">
        <v>119</v>
      </c>
      <c r="I12" t="b">
        <f>ISNUMBER(MATCH(B12,[1]selection!$B$2:$B$51,0))</f>
        <v>1</v>
      </c>
      <c r="J12" t="b">
        <f>D12=[1]selection!D12</f>
        <v>1</v>
      </c>
    </row>
    <row r="13" spans="1:10" x14ac:dyDescent="0.25">
      <c r="A13" t="s">
        <v>19</v>
      </c>
      <c r="B13" t="s">
        <v>69</v>
      </c>
      <c r="C13" t="s">
        <v>108</v>
      </c>
      <c r="D13">
        <v>2203311</v>
      </c>
      <c r="E13">
        <v>1</v>
      </c>
      <c r="F13">
        <v>1</v>
      </c>
      <c r="G13" t="s">
        <v>118</v>
      </c>
      <c r="H13" t="s">
        <v>119</v>
      </c>
      <c r="I13" t="b">
        <f>ISNUMBER(MATCH(B13,[1]selection!$B$2:$B$51,0))</f>
        <v>1</v>
      </c>
      <c r="J13" t="b">
        <f>D13=[1]selection!D13</f>
        <v>1</v>
      </c>
    </row>
    <row r="14" spans="1:10" x14ac:dyDescent="0.25">
      <c r="A14" t="s">
        <v>20</v>
      </c>
      <c r="B14" t="s">
        <v>70</v>
      </c>
      <c r="C14" t="s">
        <v>108</v>
      </c>
      <c r="D14">
        <v>603798</v>
      </c>
      <c r="E14">
        <v>1</v>
      </c>
      <c r="F14">
        <v>1</v>
      </c>
      <c r="G14" t="s">
        <v>118</v>
      </c>
      <c r="H14" t="s">
        <v>119</v>
      </c>
      <c r="I14" t="b">
        <f>ISNUMBER(MATCH(B14,[1]selection!$B$2:$B$51,0))</f>
        <v>1</v>
      </c>
      <c r="J14" t="b">
        <f>D14=[1]selection!D14</f>
        <v>1</v>
      </c>
    </row>
    <row r="15" spans="1:10" x14ac:dyDescent="0.25">
      <c r="A15" t="s">
        <v>21</v>
      </c>
      <c r="B15" t="s">
        <v>71</v>
      </c>
      <c r="C15" t="s">
        <v>114</v>
      </c>
      <c r="D15">
        <v>2236688</v>
      </c>
      <c r="E15">
        <v>1</v>
      </c>
      <c r="F15">
        <v>1</v>
      </c>
      <c r="G15" t="s">
        <v>118</v>
      </c>
      <c r="H15" t="s">
        <v>119</v>
      </c>
      <c r="I15" t="b">
        <f>ISNUMBER(MATCH(B15,[1]selection!$B$2:$B$51,0))</f>
        <v>1</v>
      </c>
      <c r="J15" t="b">
        <f>D15=[1]selection!D15</f>
        <v>1</v>
      </c>
    </row>
    <row r="16" spans="1:10" x14ac:dyDescent="0.25">
      <c r="A16" t="s">
        <v>22</v>
      </c>
      <c r="B16" t="s">
        <v>72</v>
      </c>
      <c r="C16" t="s">
        <v>108</v>
      </c>
      <c r="D16">
        <v>432746</v>
      </c>
      <c r="E16">
        <v>1</v>
      </c>
      <c r="F16">
        <v>1</v>
      </c>
      <c r="G16" t="s">
        <v>118</v>
      </c>
      <c r="H16" t="s">
        <v>119</v>
      </c>
      <c r="I16" t="b">
        <f>ISNUMBER(MATCH(B16,[1]selection!$B$2:$B$51,0))</f>
        <v>1</v>
      </c>
      <c r="J16" t="b">
        <f>D16=[1]selection!D16</f>
        <v>1</v>
      </c>
    </row>
    <row r="17" spans="1:10" x14ac:dyDescent="0.25">
      <c r="A17" t="s">
        <v>23</v>
      </c>
      <c r="B17" t="s">
        <v>73</v>
      </c>
      <c r="C17" t="s">
        <v>115</v>
      </c>
      <c r="D17">
        <v>1015887</v>
      </c>
      <c r="E17">
        <v>1</v>
      </c>
      <c r="F17">
        <v>1</v>
      </c>
      <c r="G17" t="s">
        <v>118</v>
      </c>
      <c r="H17" t="s">
        <v>119</v>
      </c>
      <c r="I17" t="b">
        <f>ISNUMBER(MATCH(B17,[1]selection!$B$2:$B$51,0))</f>
        <v>1</v>
      </c>
      <c r="J17" t="b">
        <f>D17=[1]selection!D17</f>
        <v>1</v>
      </c>
    </row>
    <row r="18" spans="1:10" x14ac:dyDescent="0.25">
      <c r="A18" t="s">
        <v>24</v>
      </c>
      <c r="B18" t="s">
        <v>74</v>
      </c>
      <c r="C18" t="s">
        <v>114</v>
      </c>
      <c r="D18">
        <v>5430174</v>
      </c>
      <c r="E18">
        <v>1</v>
      </c>
      <c r="F18">
        <v>1</v>
      </c>
      <c r="G18" t="s">
        <v>118</v>
      </c>
      <c r="H18" t="s">
        <v>119</v>
      </c>
      <c r="I18" t="b">
        <f>ISNUMBER(MATCH(B18,[1]selection!$B$2:$B$51,0))</f>
        <v>1</v>
      </c>
      <c r="J18" t="b">
        <f>D18=[1]selection!D18</f>
        <v>1</v>
      </c>
    </row>
    <row r="19" spans="1:10" x14ac:dyDescent="0.25">
      <c r="A19" t="s">
        <v>25</v>
      </c>
      <c r="B19" t="s">
        <v>75</v>
      </c>
      <c r="C19" t="s">
        <v>108</v>
      </c>
      <c r="D19">
        <v>531756</v>
      </c>
      <c r="E19">
        <v>1</v>
      </c>
      <c r="F19">
        <v>1</v>
      </c>
      <c r="G19" t="s">
        <v>118</v>
      </c>
      <c r="H19" t="s">
        <v>119</v>
      </c>
      <c r="I19" t="b">
        <f>ISNUMBER(MATCH(B19,[1]selection!$B$2:$B$51,0))</f>
        <v>1</v>
      </c>
      <c r="J19" t="b">
        <f>D19=[1]selection!D19</f>
        <v>1</v>
      </c>
    </row>
    <row r="20" spans="1:10" x14ac:dyDescent="0.25">
      <c r="A20" t="s">
        <v>26</v>
      </c>
      <c r="B20" t="s">
        <v>76</v>
      </c>
      <c r="C20" t="s">
        <v>108</v>
      </c>
      <c r="D20">
        <v>1400440</v>
      </c>
      <c r="E20">
        <v>1</v>
      </c>
      <c r="F20">
        <v>1</v>
      </c>
      <c r="G20" t="s">
        <v>118</v>
      </c>
      <c r="H20" t="s">
        <v>119</v>
      </c>
      <c r="I20" t="b">
        <f>ISNUMBER(MATCH(B20,[1]selection!$B$2:$B$51,0))</f>
        <v>1</v>
      </c>
      <c r="J20" t="b">
        <f>D20=[1]selection!D20</f>
        <v>1</v>
      </c>
    </row>
    <row r="21" spans="1:10" x14ac:dyDescent="0.25">
      <c r="A21" t="s">
        <v>27</v>
      </c>
      <c r="B21" t="s">
        <v>77</v>
      </c>
      <c r="C21" t="s">
        <v>108</v>
      </c>
      <c r="D21">
        <v>339544</v>
      </c>
      <c r="E21">
        <v>1</v>
      </c>
      <c r="F21">
        <v>1</v>
      </c>
      <c r="G21" t="s">
        <v>118</v>
      </c>
      <c r="H21" t="s">
        <v>119</v>
      </c>
      <c r="I21" t="b">
        <f>ISNUMBER(MATCH(B21,[1]selection!$B$2:$B$51,0))</f>
        <v>1</v>
      </c>
      <c r="J21" t="b">
        <f>D21=[1]selection!D21</f>
        <v>1</v>
      </c>
    </row>
    <row r="22" spans="1:10" x14ac:dyDescent="0.25">
      <c r="A22" t="s">
        <v>28</v>
      </c>
      <c r="B22" t="s">
        <v>78</v>
      </c>
      <c r="C22" t="s">
        <v>108</v>
      </c>
      <c r="D22">
        <v>113333</v>
      </c>
      <c r="E22">
        <v>1</v>
      </c>
      <c r="F22">
        <v>1</v>
      </c>
      <c r="G22" t="s">
        <v>118</v>
      </c>
      <c r="H22" t="s">
        <v>119</v>
      </c>
      <c r="I22" t="b">
        <f>ISNUMBER(MATCH(B22,[1]selection!$B$2:$B$51,0))</f>
        <v>1</v>
      </c>
      <c r="J22" t="b">
        <f>D22=[1]selection!D22</f>
        <v>1</v>
      </c>
    </row>
    <row r="23" spans="1:10" x14ac:dyDescent="0.25">
      <c r="A23" t="s">
        <v>29</v>
      </c>
      <c r="B23" t="s">
        <v>79</v>
      </c>
      <c r="C23" t="s">
        <v>116</v>
      </c>
      <c r="D23">
        <v>364907</v>
      </c>
      <c r="E23">
        <v>1</v>
      </c>
      <c r="F23">
        <v>1</v>
      </c>
      <c r="G23" t="s">
        <v>118</v>
      </c>
      <c r="H23" t="s">
        <v>119</v>
      </c>
      <c r="I23" t="b">
        <f>ISNUMBER(MATCH(B23,[1]selection!$B$2:$B$51,0))</f>
        <v>1</v>
      </c>
      <c r="J23" t="b">
        <f>D23=[1]selection!D23</f>
        <v>1</v>
      </c>
    </row>
    <row r="24" spans="1:10" x14ac:dyDescent="0.25">
      <c r="A24" t="s">
        <v>30</v>
      </c>
      <c r="B24" t="s">
        <v>80</v>
      </c>
      <c r="C24" t="s">
        <v>110</v>
      </c>
      <c r="D24">
        <v>1452712</v>
      </c>
      <c r="E24">
        <v>1</v>
      </c>
      <c r="F24">
        <v>1</v>
      </c>
      <c r="G24" t="s">
        <v>118</v>
      </c>
      <c r="H24" t="s">
        <v>119</v>
      </c>
      <c r="I24" t="b">
        <f>ISNUMBER(MATCH(B24,[1]selection!$B$2:$B$51,0))</f>
        <v>1</v>
      </c>
      <c r="J24" t="b">
        <f>D24=[1]selection!D24</f>
        <v>1</v>
      </c>
    </row>
    <row r="25" spans="1:10" x14ac:dyDescent="0.25">
      <c r="A25" t="s">
        <v>31</v>
      </c>
      <c r="B25" t="s">
        <v>81</v>
      </c>
      <c r="C25" t="s">
        <v>110</v>
      </c>
      <c r="D25">
        <v>1005940</v>
      </c>
      <c r="E25">
        <v>1</v>
      </c>
      <c r="F25">
        <v>1</v>
      </c>
      <c r="G25" t="s">
        <v>118</v>
      </c>
      <c r="H25" t="s">
        <v>119</v>
      </c>
      <c r="I25" t="b">
        <f>ISNUMBER(MATCH(B25,[1]selection!$B$2:$B$51,0))</f>
        <v>1</v>
      </c>
      <c r="J25" t="b">
        <f>D25=[1]selection!D25</f>
        <v>1</v>
      </c>
    </row>
    <row r="26" spans="1:10" x14ac:dyDescent="0.25">
      <c r="A26" t="s">
        <v>32</v>
      </c>
      <c r="B26" t="s">
        <v>82</v>
      </c>
      <c r="C26" t="s">
        <v>112</v>
      </c>
      <c r="D26">
        <v>4895080</v>
      </c>
      <c r="E26">
        <v>1</v>
      </c>
      <c r="F26">
        <v>1</v>
      </c>
      <c r="G26" t="s">
        <v>118</v>
      </c>
      <c r="H26" t="s">
        <v>119</v>
      </c>
      <c r="I26" t="b">
        <f>ISNUMBER(MATCH(B26,[1]selection!$B$2:$B$51,0))</f>
        <v>1</v>
      </c>
      <c r="J26" t="b">
        <f>D26=[1]selection!D26</f>
        <v>1</v>
      </c>
    </row>
    <row r="27" spans="1:10" x14ac:dyDescent="0.25">
      <c r="A27" t="s">
        <v>33</v>
      </c>
      <c r="B27" t="s">
        <v>83</v>
      </c>
      <c r="C27" t="s">
        <v>112</v>
      </c>
      <c r="D27">
        <v>24509074</v>
      </c>
      <c r="E27">
        <v>1</v>
      </c>
      <c r="F27">
        <v>1</v>
      </c>
      <c r="G27" t="s">
        <v>118</v>
      </c>
      <c r="H27" t="s">
        <v>119</v>
      </c>
      <c r="I27" t="b">
        <f>ISNUMBER(MATCH(B27,[1]selection!$B$2:$B$51,0))</f>
        <v>1</v>
      </c>
      <c r="J27" t="b">
        <f>D27=[1]selection!D27</f>
        <v>1</v>
      </c>
    </row>
    <row r="28" spans="1:10" x14ac:dyDescent="0.25">
      <c r="A28" t="s">
        <v>34</v>
      </c>
      <c r="B28" t="s">
        <v>84</v>
      </c>
      <c r="C28" t="s">
        <v>108</v>
      </c>
      <c r="D28">
        <v>254338</v>
      </c>
      <c r="E28">
        <v>1</v>
      </c>
      <c r="F28">
        <v>1</v>
      </c>
      <c r="G28" t="s">
        <v>118</v>
      </c>
      <c r="H28" t="s">
        <v>119</v>
      </c>
      <c r="I28" t="b">
        <f>ISNUMBER(MATCH(B28,[1]selection!$B$2:$B$51,0))</f>
        <v>1</v>
      </c>
      <c r="J28" t="b">
        <f>D28=[1]selection!D28</f>
        <v>1</v>
      </c>
    </row>
    <row r="29" spans="1:10" x14ac:dyDescent="0.25">
      <c r="A29" t="s">
        <v>35</v>
      </c>
      <c r="B29" t="s">
        <v>85</v>
      </c>
      <c r="C29" t="s">
        <v>114</v>
      </c>
      <c r="D29">
        <v>770632</v>
      </c>
      <c r="E29">
        <v>1</v>
      </c>
      <c r="F29">
        <v>1</v>
      </c>
      <c r="G29" t="s">
        <v>118</v>
      </c>
      <c r="H29" t="s">
        <v>119</v>
      </c>
      <c r="I29" t="b">
        <f>ISNUMBER(MATCH(B29,[1]selection!$B$2:$B$51,0))</f>
        <v>1</v>
      </c>
      <c r="J29" t="b">
        <f>D29=[1]selection!D29</f>
        <v>1</v>
      </c>
    </row>
    <row r="30" spans="1:10" x14ac:dyDescent="0.25">
      <c r="A30" t="s">
        <v>36</v>
      </c>
      <c r="B30" t="s">
        <v>86</v>
      </c>
      <c r="C30" t="s">
        <v>110</v>
      </c>
      <c r="D30">
        <v>172373</v>
      </c>
      <c r="E30">
        <v>1</v>
      </c>
      <c r="F30">
        <v>1</v>
      </c>
      <c r="G30" t="s">
        <v>118</v>
      </c>
      <c r="H30" t="s">
        <v>119</v>
      </c>
      <c r="I30" t="b">
        <f>ISNUMBER(MATCH(B30,[1]selection!$B$2:$B$51,0))</f>
        <v>1</v>
      </c>
      <c r="J30" t="b">
        <f>D30=[1]selection!D30</f>
        <v>1</v>
      </c>
    </row>
    <row r="31" spans="1:10" x14ac:dyDescent="0.25">
      <c r="A31" t="s">
        <v>37</v>
      </c>
      <c r="B31" t="s">
        <v>87</v>
      </c>
      <c r="C31" t="s">
        <v>110</v>
      </c>
      <c r="D31">
        <v>595433</v>
      </c>
      <c r="E31">
        <v>1</v>
      </c>
      <c r="F31">
        <v>1</v>
      </c>
      <c r="G31" t="s">
        <v>118</v>
      </c>
      <c r="H31" t="s">
        <v>119</v>
      </c>
      <c r="I31" t="b">
        <f>ISNUMBER(MATCH(B31,[1]selection!$B$2:$B$51,0))</f>
        <v>1</v>
      </c>
      <c r="J31" t="b">
        <f>D31=[1]selection!D31</f>
        <v>1</v>
      </c>
    </row>
    <row r="32" spans="1:10" x14ac:dyDescent="0.25">
      <c r="A32" t="s">
        <v>38</v>
      </c>
      <c r="B32" t="s">
        <v>88</v>
      </c>
      <c r="C32" t="s">
        <v>110</v>
      </c>
      <c r="D32">
        <v>215452</v>
      </c>
      <c r="E32">
        <v>1</v>
      </c>
      <c r="F32">
        <v>1</v>
      </c>
      <c r="G32" t="s">
        <v>118</v>
      </c>
      <c r="H32" t="s">
        <v>119</v>
      </c>
      <c r="I32" t="b">
        <f>ISNUMBER(MATCH(B32,[1]selection!$B$2:$B$51,0))</f>
        <v>1</v>
      </c>
      <c r="J32" t="b">
        <f>D32=[1]selection!D32</f>
        <v>1</v>
      </c>
    </row>
    <row r="33" spans="1:10" x14ac:dyDescent="0.25">
      <c r="A33" t="s">
        <v>39</v>
      </c>
      <c r="B33" t="s">
        <v>89</v>
      </c>
      <c r="C33" t="s">
        <v>108</v>
      </c>
      <c r="D33">
        <v>539000</v>
      </c>
      <c r="E33">
        <v>1</v>
      </c>
      <c r="F33">
        <v>1</v>
      </c>
      <c r="G33" t="s">
        <v>118</v>
      </c>
      <c r="H33" t="s">
        <v>119</v>
      </c>
      <c r="I33" t="b">
        <f>ISNUMBER(MATCH(B33,[1]selection!$B$2:$B$51,0))</f>
        <v>1</v>
      </c>
      <c r="J33" t="b">
        <f>D33=[1]selection!D33</f>
        <v>1</v>
      </c>
    </row>
    <row r="34" spans="1:10" x14ac:dyDescent="0.25">
      <c r="A34" t="s">
        <v>40</v>
      </c>
      <c r="B34" t="s">
        <v>90</v>
      </c>
      <c r="C34" t="s">
        <v>108</v>
      </c>
      <c r="D34">
        <v>570882</v>
      </c>
      <c r="E34">
        <v>1</v>
      </c>
      <c r="F34">
        <v>1</v>
      </c>
      <c r="G34" t="s">
        <v>118</v>
      </c>
      <c r="H34" t="s">
        <v>119</v>
      </c>
      <c r="I34" t="b">
        <f>ISNUMBER(MATCH(B34,[1]selection!$B$2:$B$51,0))</f>
        <v>1</v>
      </c>
      <c r="J34" t="b">
        <f>D34=[1]selection!D34</f>
        <v>1</v>
      </c>
    </row>
    <row r="35" spans="1:10" x14ac:dyDescent="0.25">
      <c r="A35" t="s">
        <v>41</v>
      </c>
      <c r="B35" t="s">
        <v>91</v>
      </c>
      <c r="C35" t="s">
        <v>109</v>
      </c>
      <c r="D35">
        <v>183112</v>
      </c>
      <c r="E35">
        <v>1</v>
      </c>
      <c r="F35">
        <v>1</v>
      </c>
      <c r="G35" t="s">
        <v>118</v>
      </c>
      <c r="H35" t="s">
        <v>119</v>
      </c>
      <c r="I35" t="b">
        <f>ISNUMBER(MATCH(B35,[1]selection!$B$2:$B$51,0))</f>
        <v>1</v>
      </c>
      <c r="J35" t="b">
        <f>D35=[1]selection!D35</f>
        <v>1</v>
      </c>
    </row>
    <row r="36" spans="1:10" x14ac:dyDescent="0.25">
      <c r="A36" t="s">
        <v>42</v>
      </c>
      <c r="B36" t="s">
        <v>92</v>
      </c>
      <c r="C36" t="s">
        <v>108</v>
      </c>
      <c r="D36">
        <v>1222734</v>
      </c>
      <c r="E36">
        <v>1</v>
      </c>
      <c r="F36">
        <v>1</v>
      </c>
      <c r="G36" t="s">
        <v>118</v>
      </c>
      <c r="H36" t="s">
        <v>119</v>
      </c>
      <c r="I36" t="b">
        <f>ISNUMBER(MATCH(B36,[1]selection!$B$2:$B$51,0))</f>
        <v>1</v>
      </c>
      <c r="J36" t="b">
        <f>D36=[1]selection!D36</f>
        <v>1</v>
      </c>
    </row>
    <row r="37" spans="1:10" x14ac:dyDescent="0.25">
      <c r="A37" t="s">
        <v>43</v>
      </c>
      <c r="B37" t="s">
        <v>93</v>
      </c>
      <c r="C37" t="s">
        <v>108</v>
      </c>
      <c r="D37">
        <v>1215891</v>
      </c>
      <c r="E37">
        <v>1</v>
      </c>
      <c r="F37">
        <v>1</v>
      </c>
      <c r="G37" t="s">
        <v>118</v>
      </c>
      <c r="H37" t="s">
        <v>119</v>
      </c>
      <c r="I37" t="b">
        <f>ISNUMBER(MATCH(B37,[1]selection!$B$2:$B$51,0))</f>
        <v>1</v>
      </c>
      <c r="J37" t="b">
        <f>D37=[1]selection!D37</f>
        <v>1</v>
      </c>
    </row>
    <row r="38" spans="1:10" x14ac:dyDescent="0.25">
      <c r="A38" t="s">
        <v>44</v>
      </c>
      <c r="B38" t="s">
        <v>94</v>
      </c>
      <c r="C38" t="s">
        <v>109</v>
      </c>
      <c r="D38">
        <v>884213</v>
      </c>
      <c r="E38">
        <v>1</v>
      </c>
      <c r="F38">
        <v>1</v>
      </c>
      <c r="G38" t="s">
        <v>118</v>
      </c>
      <c r="H38" t="s">
        <v>119</v>
      </c>
      <c r="I38" t="b">
        <f>ISNUMBER(MATCH(B38,[1]selection!$B$2:$B$51,0))</f>
        <v>1</v>
      </c>
      <c r="J38" t="b">
        <f>D38=[1]selection!D38</f>
        <v>1</v>
      </c>
    </row>
    <row r="39" spans="1:10" x14ac:dyDescent="0.25">
      <c r="A39" t="s">
        <v>45</v>
      </c>
      <c r="B39" t="s">
        <v>95</v>
      </c>
      <c r="C39" t="s">
        <v>117</v>
      </c>
      <c r="D39">
        <v>2451849</v>
      </c>
      <c r="E39">
        <v>1</v>
      </c>
      <c r="F39">
        <v>1</v>
      </c>
      <c r="G39" t="s">
        <v>118</v>
      </c>
      <c r="H39" t="s">
        <v>119</v>
      </c>
      <c r="I39" t="b">
        <f>ISNUMBER(MATCH(B39,[1]selection!$B$2:$B$51,0))</f>
        <v>1</v>
      </c>
      <c r="J39" t="b">
        <f>D39=[1]selection!D39</f>
        <v>1</v>
      </c>
    </row>
    <row r="40" spans="1:10" x14ac:dyDescent="0.25">
      <c r="A40" t="s">
        <v>46</v>
      </c>
      <c r="B40" t="s">
        <v>96</v>
      </c>
      <c r="C40" t="s">
        <v>108</v>
      </c>
      <c r="D40">
        <v>4680202</v>
      </c>
      <c r="E40">
        <v>1</v>
      </c>
      <c r="F40">
        <v>1</v>
      </c>
      <c r="G40" t="s">
        <v>118</v>
      </c>
      <c r="H40" t="s">
        <v>119</v>
      </c>
      <c r="I40" t="b">
        <f>ISNUMBER(MATCH(B40,[1]selection!$B$2:$B$51,0))</f>
        <v>1</v>
      </c>
      <c r="J40" t="b">
        <f>D40=[1]selection!D40</f>
        <v>1</v>
      </c>
    </row>
    <row r="41" spans="1:10" x14ac:dyDescent="0.25">
      <c r="A41" t="s">
        <v>47</v>
      </c>
      <c r="B41" t="s">
        <v>97</v>
      </c>
      <c r="C41" t="s">
        <v>110</v>
      </c>
      <c r="D41">
        <v>160091</v>
      </c>
      <c r="E41">
        <v>1</v>
      </c>
      <c r="F41">
        <v>1</v>
      </c>
      <c r="G41" t="s">
        <v>118</v>
      </c>
      <c r="H41" t="s">
        <v>119</v>
      </c>
      <c r="I41" t="b">
        <f>ISNUMBER(MATCH(B41,[1]selection!$B$2:$B$51,0))</f>
        <v>1</v>
      </c>
      <c r="J41" t="b">
        <f>D41=[1]selection!D41</f>
        <v>1</v>
      </c>
    </row>
    <row r="42" spans="1:10" x14ac:dyDescent="0.25">
      <c r="A42" t="s">
        <v>48</v>
      </c>
      <c r="B42" t="s">
        <v>98</v>
      </c>
      <c r="C42" t="s">
        <v>108</v>
      </c>
      <c r="D42">
        <v>483082</v>
      </c>
      <c r="E42">
        <v>1</v>
      </c>
      <c r="F42">
        <v>1</v>
      </c>
      <c r="G42" t="s">
        <v>118</v>
      </c>
      <c r="H42" t="s">
        <v>119</v>
      </c>
      <c r="I42" t="b">
        <f>ISNUMBER(MATCH(B42,[1]selection!$B$2:$B$51,0))</f>
        <v>1</v>
      </c>
      <c r="J42" t="b">
        <f>D42=[1]selection!D42</f>
        <v>1</v>
      </c>
    </row>
    <row r="43" spans="1:10" x14ac:dyDescent="0.25">
      <c r="A43" t="s">
        <v>49</v>
      </c>
      <c r="B43" t="s">
        <v>99</v>
      </c>
      <c r="C43" t="s">
        <v>109</v>
      </c>
      <c r="D43">
        <v>296614</v>
      </c>
      <c r="E43">
        <v>1</v>
      </c>
      <c r="F43">
        <v>1</v>
      </c>
      <c r="G43" t="s">
        <v>118</v>
      </c>
      <c r="H43" t="s">
        <v>119</v>
      </c>
      <c r="I43" t="b">
        <f>ISNUMBER(MATCH(B43,[1]selection!$B$2:$B$51,0))</f>
        <v>1</v>
      </c>
      <c r="J43" t="b">
        <f>D43=[1]selection!D43</f>
        <v>1</v>
      </c>
    </row>
    <row r="44" spans="1:10" x14ac:dyDescent="0.25">
      <c r="A44" t="s">
        <v>50</v>
      </c>
      <c r="B44" t="s">
        <v>100</v>
      </c>
      <c r="C44" t="s">
        <v>116</v>
      </c>
      <c r="D44">
        <v>1254226</v>
      </c>
      <c r="E44">
        <v>1</v>
      </c>
      <c r="F44">
        <v>1</v>
      </c>
      <c r="G44" t="s">
        <v>118</v>
      </c>
      <c r="H44" t="s">
        <v>119</v>
      </c>
      <c r="I44" t="b">
        <f>ISNUMBER(MATCH(B44,[1]selection!$B$2:$B$51,0))</f>
        <v>1</v>
      </c>
      <c r="J44" t="b">
        <f>D44=[1]selection!D44</f>
        <v>1</v>
      </c>
    </row>
    <row r="45" spans="1:10" x14ac:dyDescent="0.25">
      <c r="A45" t="s">
        <v>51</v>
      </c>
      <c r="B45" t="s">
        <v>101</v>
      </c>
      <c r="C45" t="s">
        <v>108</v>
      </c>
      <c r="D45">
        <v>339747</v>
      </c>
      <c r="E45">
        <v>1</v>
      </c>
      <c r="F45">
        <v>1</v>
      </c>
      <c r="G45" t="s">
        <v>118</v>
      </c>
      <c r="H45" t="s">
        <v>119</v>
      </c>
      <c r="I45" t="b">
        <f>ISNUMBER(MATCH(B45,[1]selection!$B$2:$B$51,0))</f>
        <v>1</v>
      </c>
      <c r="J45" t="b">
        <f>D45=[1]selection!D45</f>
        <v>1</v>
      </c>
    </row>
    <row r="46" spans="1:10" x14ac:dyDescent="0.25">
      <c r="A46" t="s">
        <v>52</v>
      </c>
      <c r="B46" t="s">
        <v>102</v>
      </c>
      <c r="C46" t="s">
        <v>114</v>
      </c>
      <c r="D46">
        <v>4093664</v>
      </c>
      <c r="E46">
        <v>1</v>
      </c>
      <c r="F46">
        <v>1</v>
      </c>
      <c r="G46" t="s">
        <v>118</v>
      </c>
      <c r="H46" t="s">
        <v>119</v>
      </c>
      <c r="I46" t="b">
        <f>ISNUMBER(MATCH(B46,[1]selection!$B$2:$B$51,0))</f>
        <v>1</v>
      </c>
      <c r="J46" t="b">
        <f>D46=[1]selection!D46</f>
        <v>1</v>
      </c>
    </row>
    <row r="47" spans="1:10" x14ac:dyDescent="0.25">
      <c r="A47" t="s">
        <v>53</v>
      </c>
      <c r="B47" t="s">
        <v>103</v>
      </c>
      <c r="C47" t="s">
        <v>108</v>
      </c>
      <c r="D47">
        <v>209565</v>
      </c>
      <c r="E47">
        <v>1</v>
      </c>
      <c r="F47">
        <v>1</v>
      </c>
      <c r="G47" t="s">
        <v>118</v>
      </c>
      <c r="H47" t="s">
        <v>119</v>
      </c>
      <c r="I47" t="b">
        <f>ISNUMBER(MATCH(B47,[1]selection!$B$2:$B$51,0))</f>
        <v>1</v>
      </c>
      <c r="J47" t="b">
        <f>D47=[1]selection!D47</f>
        <v>1</v>
      </c>
    </row>
    <row r="48" spans="1:10" x14ac:dyDescent="0.25">
      <c r="A48" t="s">
        <v>54</v>
      </c>
      <c r="B48" t="s">
        <v>104</v>
      </c>
      <c r="C48" t="s">
        <v>108</v>
      </c>
      <c r="D48">
        <v>357527</v>
      </c>
      <c r="E48">
        <v>1</v>
      </c>
      <c r="F48">
        <v>1</v>
      </c>
      <c r="G48" t="s">
        <v>118</v>
      </c>
      <c r="H48" t="s">
        <v>119</v>
      </c>
      <c r="I48" t="b">
        <f>ISNUMBER(MATCH(B48,[1]selection!$B$2:$B$51,0))</f>
        <v>1</v>
      </c>
      <c r="J48" t="b">
        <f>D48=[1]selection!D48</f>
        <v>1</v>
      </c>
    </row>
    <row r="49" spans="1:10" x14ac:dyDescent="0.25">
      <c r="A49" t="s">
        <v>55</v>
      </c>
      <c r="B49" t="s">
        <v>105</v>
      </c>
      <c r="C49" t="s">
        <v>108</v>
      </c>
      <c r="D49">
        <v>544850</v>
      </c>
      <c r="E49">
        <v>1</v>
      </c>
      <c r="F49">
        <v>1</v>
      </c>
      <c r="G49" t="s">
        <v>118</v>
      </c>
      <c r="H49" t="s">
        <v>119</v>
      </c>
      <c r="I49" t="b">
        <f>ISNUMBER(MATCH(B49,[1]selection!$B$2:$B$51,0))</f>
        <v>1</v>
      </c>
      <c r="J49" t="b">
        <f>D49=[1]selection!D49</f>
        <v>1</v>
      </c>
    </row>
    <row r="50" spans="1:10" x14ac:dyDescent="0.25">
      <c r="A50" t="s">
        <v>56</v>
      </c>
      <c r="B50" t="s">
        <v>106</v>
      </c>
      <c r="C50" t="s">
        <v>110</v>
      </c>
      <c r="D50">
        <v>262629</v>
      </c>
      <c r="E50">
        <v>1</v>
      </c>
      <c r="F50">
        <v>1</v>
      </c>
      <c r="G50" t="s">
        <v>118</v>
      </c>
      <c r="H50" t="s">
        <v>119</v>
      </c>
      <c r="I50" t="b">
        <f>ISNUMBER(MATCH(B50,[1]selection!$B$2:$B$51,0))</f>
        <v>1</v>
      </c>
      <c r="J50" t="b">
        <f>D50=[1]selection!D50</f>
        <v>1</v>
      </c>
    </row>
    <row r="51" spans="1:10" x14ac:dyDescent="0.25">
      <c r="A51" t="s">
        <v>57</v>
      </c>
      <c r="B51" t="s">
        <v>107</v>
      </c>
      <c r="C51" t="s">
        <v>108</v>
      </c>
      <c r="D51">
        <v>969614</v>
      </c>
      <c r="E51">
        <v>1</v>
      </c>
      <c r="F51">
        <v>1</v>
      </c>
      <c r="G51" t="s">
        <v>118</v>
      </c>
      <c r="H51" t="s">
        <v>119</v>
      </c>
      <c r="I51" t="b">
        <f>ISNUMBER(MATCH(B51,[1]selection!$B$2:$B$51,0))</f>
        <v>1</v>
      </c>
      <c r="J51" t="b">
        <f>D51=[1]selection!D51</f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120</v>
      </c>
      <c r="C1" s="1" t="s">
        <v>2</v>
      </c>
    </row>
    <row r="2" spans="1:3" x14ac:dyDescent="0.25">
      <c r="A2" t="s">
        <v>17</v>
      </c>
      <c r="B2" t="s">
        <v>67</v>
      </c>
      <c r="C2" t="s">
        <v>113</v>
      </c>
    </row>
    <row r="3" spans="1:3" x14ac:dyDescent="0.25">
      <c r="A3" t="s">
        <v>21</v>
      </c>
      <c r="B3" t="s">
        <v>71</v>
      </c>
      <c r="C3" t="s">
        <v>114</v>
      </c>
    </row>
    <row r="4" spans="1:3" x14ac:dyDescent="0.25">
      <c r="A4" t="s">
        <v>37</v>
      </c>
      <c r="B4" t="s">
        <v>87</v>
      </c>
      <c r="C4" t="s">
        <v>110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120</v>
      </c>
      <c r="C1" s="1" t="s">
        <v>2</v>
      </c>
    </row>
    <row r="2" spans="1:3" x14ac:dyDescent="0.25">
      <c r="A2" t="s">
        <v>121</v>
      </c>
      <c r="B2" t="s">
        <v>124</v>
      </c>
      <c r="C2" t="s">
        <v>127</v>
      </c>
    </row>
    <row r="3" spans="1:3" x14ac:dyDescent="0.25">
      <c r="A3" t="s">
        <v>122</v>
      </c>
      <c r="B3" t="s">
        <v>125</v>
      </c>
      <c r="C3" t="s">
        <v>110</v>
      </c>
    </row>
    <row r="4" spans="1:3" x14ac:dyDescent="0.25">
      <c r="A4" t="s">
        <v>123</v>
      </c>
      <c r="B4" t="s">
        <v>126</v>
      </c>
      <c r="C4" t="s">
        <v>108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51"/>
  <sheetViews>
    <sheetView workbookViewId="0"/>
  </sheetViews>
  <sheetFormatPr defaultRowHeight="15" x14ac:dyDescent="0.25"/>
  <sheetData>
    <row r="1" spans="1:32" x14ac:dyDescent="0.25">
      <c r="A1" s="1" t="s">
        <v>128</v>
      </c>
      <c r="B1" s="1" t="s">
        <v>129</v>
      </c>
      <c r="C1" s="1" t="s">
        <v>0</v>
      </c>
      <c r="D1" s="1" t="s">
        <v>120</v>
      </c>
      <c r="E1" s="1" t="s">
        <v>2</v>
      </c>
      <c r="F1" s="1" t="s">
        <v>3</v>
      </c>
      <c r="G1" s="1" t="s">
        <v>130</v>
      </c>
      <c r="H1" s="1" t="s">
        <v>131</v>
      </c>
      <c r="I1" s="1" t="s">
        <v>132</v>
      </c>
      <c r="J1" s="1" t="s">
        <v>133</v>
      </c>
      <c r="K1" s="1" t="s">
        <v>134</v>
      </c>
      <c r="L1" s="1" t="s">
        <v>6</v>
      </c>
      <c r="M1" s="1" t="s">
        <v>135</v>
      </c>
      <c r="N1" s="1" t="s">
        <v>136</v>
      </c>
      <c r="O1" s="1" t="s">
        <v>137</v>
      </c>
      <c r="P1" s="1" t="s">
        <v>138</v>
      </c>
      <c r="Q1" s="1" t="s">
        <v>139</v>
      </c>
      <c r="R1" s="1" t="s">
        <v>140</v>
      </c>
      <c r="S1" s="1" t="s">
        <v>7</v>
      </c>
      <c r="T1" s="1" t="s">
        <v>141</v>
      </c>
      <c r="U1" s="1" t="s">
        <v>142</v>
      </c>
      <c r="V1" s="1" t="s">
        <v>143</v>
      </c>
      <c r="W1" s="1" t="s">
        <v>144</v>
      </c>
      <c r="X1" s="1" t="s">
        <v>145</v>
      </c>
      <c r="Y1" s="1" t="s">
        <v>146</v>
      </c>
      <c r="Z1" s="1" t="s">
        <v>147</v>
      </c>
      <c r="AA1" s="1" t="s">
        <v>148</v>
      </c>
      <c r="AB1" s="1" t="s">
        <v>149</v>
      </c>
      <c r="AC1" s="1" t="s">
        <v>150</v>
      </c>
      <c r="AD1" s="1" t="s">
        <v>151</v>
      </c>
      <c r="AE1" s="1" t="s">
        <v>4</v>
      </c>
      <c r="AF1" s="1" t="s">
        <v>5</v>
      </c>
    </row>
    <row r="2" spans="1:32" x14ac:dyDescent="0.25">
      <c r="A2">
        <v>436</v>
      </c>
      <c r="B2" t="s">
        <v>152</v>
      </c>
      <c r="C2" t="s">
        <v>28</v>
      </c>
      <c r="D2" t="s">
        <v>78</v>
      </c>
      <c r="E2" t="s">
        <v>108</v>
      </c>
      <c r="F2">
        <v>945383700</v>
      </c>
      <c r="G2">
        <v>921.35799999999995</v>
      </c>
      <c r="H2" t="s">
        <v>202</v>
      </c>
      <c r="I2">
        <v>871036835064.59998</v>
      </c>
      <c r="J2" t="s">
        <v>209</v>
      </c>
      <c r="K2">
        <v>2729578474.3580499</v>
      </c>
      <c r="L2" t="s">
        <v>118</v>
      </c>
      <c r="M2" t="s">
        <v>213</v>
      </c>
      <c r="N2">
        <v>0.84961766999999999</v>
      </c>
      <c r="O2">
        <v>1054.29</v>
      </c>
      <c r="P2">
        <v>1059.7</v>
      </c>
      <c r="Q2">
        <v>0.85</v>
      </c>
      <c r="R2">
        <v>20103015</v>
      </c>
      <c r="S2" t="s">
        <v>119</v>
      </c>
      <c r="T2" t="s">
        <v>263</v>
      </c>
      <c r="U2">
        <v>723491621753.8363</v>
      </c>
      <c r="V2">
        <v>20.651491249999999</v>
      </c>
      <c r="W2" t="s">
        <v>264</v>
      </c>
      <c r="X2">
        <v>20.651491249999999</v>
      </c>
      <c r="Y2" t="b">
        <v>0</v>
      </c>
      <c r="Z2" t="b">
        <v>0</v>
      </c>
      <c r="AA2" t="b">
        <v>0</v>
      </c>
      <c r="AB2">
        <v>1</v>
      </c>
      <c r="AC2">
        <v>113332.7268990132</v>
      </c>
      <c r="AD2">
        <v>113333</v>
      </c>
      <c r="AE2">
        <v>1</v>
      </c>
      <c r="AF2">
        <v>1</v>
      </c>
    </row>
    <row r="3" spans="1:32" x14ac:dyDescent="0.25">
      <c r="A3">
        <v>704</v>
      </c>
      <c r="B3" t="s">
        <v>153</v>
      </c>
      <c r="C3" t="s">
        <v>40</v>
      </c>
      <c r="D3" t="s">
        <v>90</v>
      </c>
      <c r="E3" t="s">
        <v>108</v>
      </c>
      <c r="F3">
        <v>2409295200</v>
      </c>
      <c r="G3">
        <v>177.28120000000001</v>
      </c>
      <c r="H3" t="s">
        <v>202</v>
      </c>
      <c r="I3">
        <v>427122744210.24011</v>
      </c>
      <c r="J3" t="s">
        <v>209</v>
      </c>
      <c r="K3">
        <v>1369884792.1235299</v>
      </c>
      <c r="L3" t="s">
        <v>118</v>
      </c>
      <c r="M3" t="s">
        <v>214</v>
      </c>
      <c r="N3">
        <v>0.84961766999999999</v>
      </c>
      <c r="O3">
        <v>209.3</v>
      </c>
      <c r="P3">
        <v>203.9</v>
      </c>
      <c r="Q3">
        <v>1</v>
      </c>
      <c r="R3">
        <v>20103015</v>
      </c>
      <c r="S3" t="s">
        <v>119</v>
      </c>
      <c r="T3" t="s">
        <v>263</v>
      </c>
      <c r="U3">
        <v>417379175952.48492</v>
      </c>
      <c r="V3">
        <v>18.798929999999999</v>
      </c>
      <c r="W3" t="s">
        <v>265</v>
      </c>
      <c r="X3">
        <v>18.798929999999999</v>
      </c>
      <c r="Y3" t="b">
        <v>0</v>
      </c>
      <c r="Z3" t="b">
        <v>0</v>
      </c>
      <c r="AA3" t="b">
        <v>0</v>
      </c>
      <c r="AB3">
        <v>2</v>
      </c>
      <c r="AC3">
        <v>570881.79953349545</v>
      </c>
      <c r="AD3">
        <v>570882</v>
      </c>
      <c r="AE3">
        <v>1</v>
      </c>
      <c r="AF3">
        <v>1</v>
      </c>
    </row>
    <row r="4" spans="1:32" x14ac:dyDescent="0.25">
      <c r="A4">
        <v>13</v>
      </c>
      <c r="B4" t="s">
        <v>154</v>
      </c>
      <c r="C4" t="s">
        <v>9</v>
      </c>
      <c r="D4" t="s">
        <v>59</v>
      </c>
      <c r="E4" t="s">
        <v>108</v>
      </c>
      <c r="F4">
        <v>1767384600</v>
      </c>
      <c r="G4">
        <v>205.4341</v>
      </c>
      <c r="H4" t="s">
        <v>202</v>
      </c>
      <c r="I4">
        <v>363081064654.85999</v>
      </c>
      <c r="J4" t="s">
        <v>209</v>
      </c>
      <c r="K4">
        <v>1100163798.1565299</v>
      </c>
      <c r="L4" t="s">
        <v>118</v>
      </c>
      <c r="M4" t="s">
        <v>215</v>
      </c>
      <c r="N4">
        <v>0.84961766999999999</v>
      </c>
      <c r="O4">
        <v>223.67</v>
      </c>
      <c r="P4">
        <v>236.28</v>
      </c>
      <c r="Q4">
        <v>1</v>
      </c>
      <c r="R4">
        <v>20103015</v>
      </c>
      <c r="S4" t="s">
        <v>119</v>
      </c>
      <c r="T4" t="s">
        <v>263</v>
      </c>
      <c r="U4">
        <v>354798328191.66498</v>
      </c>
      <c r="V4">
        <v>21.224041249999999</v>
      </c>
      <c r="W4" t="s">
        <v>264</v>
      </c>
      <c r="X4">
        <v>21.224041249999999</v>
      </c>
      <c r="Y4" t="b">
        <v>0</v>
      </c>
      <c r="Z4" t="b">
        <v>0</v>
      </c>
      <c r="AA4" t="b">
        <v>0</v>
      </c>
      <c r="AB4">
        <v>3</v>
      </c>
      <c r="AC4">
        <v>534204.67940430366</v>
      </c>
      <c r="AD4">
        <v>534205</v>
      </c>
      <c r="AE4">
        <v>1</v>
      </c>
      <c r="AF4">
        <v>1</v>
      </c>
    </row>
    <row r="5" spans="1:32" x14ac:dyDescent="0.25">
      <c r="A5">
        <v>1429</v>
      </c>
      <c r="B5" t="s">
        <v>155</v>
      </c>
      <c r="C5" t="s">
        <v>54</v>
      </c>
      <c r="D5" t="s">
        <v>104</v>
      </c>
      <c r="E5" t="s">
        <v>108</v>
      </c>
      <c r="F5">
        <v>905838600</v>
      </c>
      <c r="G5">
        <v>278.19850000000002</v>
      </c>
      <c r="H5" t="s">
        <v>202</v>
      </c>
      <c r="I5">
        <v>252002939762.10001</v>
      </c>
      <c r="J5" t="s">
        <v>209</v>
      </c>
      <c r="K5">
        <v>3024616074.19348</v>
      </c>
      <c r="L5" t="s">
        <v>118</v>
      </c>
      <c r="M5" t="s">
        <v>216</v>
      </c>
      <c r="N5">
        <v>0.84961766999999999</v>
      </c>
      <c r="O5">
        <v>334.2</v>
      </c>
      <c r="P5">
        <v>319.97000000000003</v>
      </c>
      <c r="Q5">
        <v>1</v>
      </c>
      <c r="R5">
        <v>20101020</v>
      </c>
      <c r="S5" t="s">
        <v>119</v>
      </c>
      <c r="T5" t="s">
        <v>263</v>
      </c>
      <c r="U5">
        <v>246254185338.55801</v>
      </c>
      <c r="V5">
        <v>14.49333</v>
      </c>
      <c r="W5" t="s">
        <v>265</v>
      </c>
      <c r="X5">
        <v>14.49333</v>
      </c>
      <c r="Y5" t="b">
        <v>0</v>
      </c>
      <c r="Z5" t="b">
        <v>0</v>
      </c>
      <c r="AA5" t="b">
        <v>0</v>
      </c>
      <c r="AB5">
        <v>4</v>
      </c>
      <c r="AC5">
        <v>357527.11143734469</v>
      </c>
      <c r="AD5">
        <v>357527</v>
      </c>
      <c r="AE5">
        <v>1</v>
      </c>
      <c r="AF5">
        <v>1</v>
      </c>
    </row>
    <row r="6" spans="1:32" x14ac:dyDescent="0.25">
      <c r="A6">
        <v>130</v>
      </c>
      <c r="B6" t="s">
        <v>156</v>
      </c>
      <c r="C6" t="s">
        <v>15</v>
      </c>
      <c r="D6" t="s">
        <v>65</v>
      </c>
      <c r="E6" t="s">
        <v>112</v>
      </c>
      <c r="F6">
        <v>1550712900</v>
      </c>
      <c r="G6">
        <v>157.23910000000001</v>
      </c>
      <c r="H6" t="s">
        <v>203</v>
      </c>
      <c r="I6">
        <v>243832700754.39001</v>
      </c>
      <c r="J6" t="s">
        <v>210</v>
      </c>
      <c r="K6">
        <v>188477988.817532</v>
      </c>
      <c r="L6" t="s">
        <v>118</v>
      </c>
      <c r="M6" t="s">
        <v>217</v>
      </c>
      <c r="N6">
        <v>1.139796E-2</v>
      </c>
      <c r="O6">
        <v>13506</v>
      </c>
      <c r="P6">
        <v>13820</v>
      </c>
      <c r="Q6">
        <v>1</v>
      </c>
      <c r="R6">
        <v>20103015</v>
      </c>
      <c r="S6" t="s">
        <v>119</v>
      </c>
      <c r="T6" t="s">
        <v>263</v>
      </c>
      <c r="U6">
        <v>244267997030.55289</v>
      </c>
      <c r="V6">
        <v>18.265306249999998</v>
      </c>
      <c r="W6" t="s">
        <v>264</v>
      </c>
      <c r="X6">
        <v>18.265306249999998</v>
      </c>
      <c r="Y6" t="b">
        <v>0</v>
      </c>
      <c r="Z6" t="b">
        <v>0</v>
      </c>
      <c r="AA6" t="b">
        <v>0</v>
      </c>
      <c r="AB6">
        <v>5</v>
      </c>
      <c r="AC6">
        <v>659454.88224071159</v>
      </c>
      <c r="AD6">
        <v>659455</v>
      </c>
      <c r="AE6">
        <v>1</v>
      </c>
      <c r="AF6">
        <v>1</v>
      </c>
    </row>
    <row r="7" spans="1:32" x14ac:dyDescent="0.25">
      <c r="A7">
        <v>1118</v>
      </c>
      <c r="B7" t="s">
        <v>157</v>
      </c>
      <c r="C7" t="s">
        <v>49</v>
      </c>
      <c r="D7" t="s">
        <v>99</v>
      </c>
      <c r="E7" t="s">
        <v>109</v>
      </c>
      <c r="F7">
        <v>702562700</v>
      </c>
      <c r="G7">
        <v>339.3297</v>
      </c>
      <c r="H7" t="s">
        <v>204</v>
      </c>
      <c r="I7">
        <v>238400390222.19</v>
      </c>
      <c r="J7" t="s">
        <v>210</v>
      </c>
      <c r="K7">
        <v>326592198.93264502</v>
      </c>
      <c r="L7" t="s">
        <v>118</v>
      </c>
      <c r="M7" t="s">
        <v>218</v>
      </c>
      <c r="N7">
        <v>1.0682048799999999</v>
      </c>
      <c r="O7">
        <v>320.39999999999998</v>
      </c>
      <c r="P7">
        <v>315.60000000000002</v>
      </c>
      <c r="Q7">
        <v>1</v>
      </c>
      <c r="R7">
        <v>20103015</v>
      </c>
      <c r="S7" t="s">
        <v>119</v>
      </c>
      <c r="T7" t="s">
        <v>263</v>
      </c>
      <c r="U7">
        <v>236851773506.27011</v>
      </c>
      <c r="V7">
        <v>21.143226250000001</v>
      </c>
      <c r="W7" t="s">
        <v>264</v>
      </c>
      <c r="X7">
        <v>21.143226250000001</v>
      </c>
      <c r="Y7" t="b">
        <v>0</v>
      </c>
      <c r="Z7" t="b">
        <v>0</v>
      </c>
      <c r="AA7" t="b">
        <v>0</v>
      </c>
      <c r="AB7">
        <v>6</v>
      </c>
      <c r="AC7">
        <v>296614.17149389489</v>
      </c>
      <c r="AD7">
        <v>296614</v>
      </c>
      <c r="AE7">
        <v>1</v>
      </c>
      <c r="AF7">
        <v>1</v>
      </c>
    </row>
    <row r="8" spans="1:32" x14ac:dyDescent="0.25">
      <c r="A8">
        <v>975</v>
      </c>
      <c r="B8" t="s">
        <v>158</v>
      </c>
      <c r="C8" t="s">
        <v>44</v>
      </c>
      <c r="D8" t="s">
        <v>94</v>
      </c>
      <c r="E8" t="s">
        <v>109</v>
      </c>
      <c r="F8">
        <v>2112421900</v>
      </c>
      <c r="G8">
        <v>110.6155</v>
      </c>
      <c r="H8" t="s">
        <v>204</v>
      </c>
      <c r="I8">
        <v>233666604679.45001</v>
      </c>
      <c r="J8" t="s">
        <v>210</v>
      </c>
      <c r="K8">
        <v>286070489.215958</v>
      </c>
      <c r="L8" t="s">
        <v>118</v>
      </c>
      <c r="M8" t="s">
        <v>219</v>
      </c>
      <c r="N8">
        <v>1.0682048799999999</v>
      </c>
      <c r="O8">
        <v>107.48</v>
      </c>
      <c r="P8">
        <v>102.88</v>
      </c>
      <c r="Q8">
        <v>0.95</v>
      </c>
      <c r="R8">
        <v>20103015</v>
      </c>
      <c r="S8" t="s">
        <v>119</v>
      </c>
      <c r="T8" t="s">
        <v>263</v>
      </c>
      <c r="U8">
        <v>220541223618.5889</v>
      </c>
      <c r="V8">
        <v>10.93358125</v>
      </c>
      <c r="W8" t="s">
        <v>264</v>
      </c>
      <c r="X8">
        <v>10.93358125</v>
      </c>
      <c r="Y8" t="b">
        <v>0</v>
      </c>
      <c r="Z8" t="b">
        <v>0</v>
      </c>
      <c r="AA8" t="b">
        <v>0</v>
      </c>
      <c r="AB8">
        <v>7</v>
      </c>
      <c r="AC8">
        <v>884212.69581916579</v>
      </c>
      <c r="AD8">
        <v>884213</v>
      </c>
      <c r="AE8">
        <v>1</v>
      </c>
      <c r="AF8">
        <v>1</v>
      </c>
    </row>
    <row r="9" spans="1:32" x14ac:dyDescent="0.25">
      <c r="A9">
        <v>856</v>
      </c>
      <c r="B9" t="s">
        <v>159</v>
      </c>
      <c r="C9" t="s">
        <v>43</v>
      </c>
      <c r="D9" t="s">
        <v>93</v>
      </c>
      <c r="E9" t="s">
        <v>108</v>
      </c>
      <c r="F9">
        <v>2482022500</v>
      </c>
      <c r="G9">
        <v>84.997609999999995</v>
      </c>
      <c r="H9" t="s">
        <v>202</v>
      </c>
      <c r="I9">
        <v>210965980466.22501</v>
      </c>
      <c r="J9" t="s">
        <v>209</v>
      </c>
      <c r="K9">
        <v>945348357.51570296</v>
      </c>
      <c r="L9" t="s">
        <v>118</v>
      </c>
      <c r="M9" t="s">
        <v>220</v>
      </c>
      <c r="N9">
        <v>0.84961766999999999</v>
      </c>
      <c r="O9">
        <v>98.27</v>
      </c>
      <c r="P9">
        <v>97.76</v>
      </c>
      <c r="Q9">
        <v>1</v>
      </c>
      <c r="R9">
        <v>20103015</v>
      </c>
      <c r="S9" t="s">
        <v>119</v>
      </c>
      <c r="T9" t="s">
        <v>263</v>
      </c>
      <c r="U9">
        <v>206153372145.48129</v>
      </c>
      <c r="V9">
        <v>16.662926250000002</v>
      </c>
      <c r="W9" t="s">
        <v>264</v>
      </c>
      <c r="X9">
        <v>16.662926250000002</v>
      </c>
      <c r="Y9" t="b">
        <v>0</v>
      </c>
      <c r="Z9" t="b">
        <v>0</v>
      </c>
      <c r="AA9" t="b">
        <v>0</v>
      </c>
      <c r="AB9">
        <v>8</v>
      </c>
      <c r="AC9">
        <v>1215890.5122861571</v>
      </c>
      <c r="AD9">
        <v>1215891</v>
      </c>
      <c r="AE9">
        <v>1</v>
      </c>
      <c r="AF9">
        <v>1</v>
      </c>
    </row>
    <row r="10" spans="1:32" x14ac:dyDescent="0.25">
      <c r="A10">
        <v>12</v>
      </c>
      <c r="B10" t="s">
        <v>160</v>
      </c>
      <c r="C10" t="s">
        <v>8</v>
      </c>
      <c r="D10" t="s">
        <v>58</v>
      </c>
      <c r="E10" t="s">
        <v>108</v>
      </c>
      <c r="F10">
        <v>1738872000</v>
      </c>
      <c r="G10">
        <v>111.38549999999999</v>
      </c>
      <c r="H10" t="s">
        <v>202</v>
      </c>
      <c r="I10">
        <v>193685127156</v>
      </c>
      <c r="J10" t="s">
        <v>209</v>
      </c>
      <c r="K10">
        <v>669131308.86379397</v>
      </c>
      <c r="L10" t="s">
        <v>118</v>
      </c>
      <c r="M10" t="s">
        <v>221</v>
      </c>
      <c r="N10">
        <v>0.84961766999999999</v>
      </c>
      <c r="O10">
        <v>126.86</v>
      </c>
      <c r="P10">
        <v>128.11000000000001</v>
      </c>
      <c r="Q10">
        <v>1</v>
      </c>
      <c r="R10">
        <v>20102010</v>
      </c>
      <c r="S10" t="s">
        <v>119</v>
      </c>
      <c r="T10" t="s">
        <v>263</v>
      </c>
      <c r="U10">
        <v>189266687666.21219</v>
      </c>
      <c r="V10">
        <v>16.8790625</v>
      </c>
      <c r="W10" t="s">
        <v>264</v>
      </c>
      <c r="X10">
        <v>16.8790625</v>
      </c>
      <c r="Y10" t="b">
        <v>0</v>
      </c>
      <c r="Z10" t="b">
        <v>0</v>
      </c>
      <c r="AA10" t="b">
        <v>0</v>
      </c>
      <c r="AB10">
        <v>9</v>
      </c>
      <c r="AC10">
        <v>941869.46746303479</v>
      </c>
      <c r="AD10">
        <v>941869</v>
      </c>
      <c r="AE10">
        <v>1</v>
      </c>
      <c r="AF10">
        <v>1</v>
      </c>
    </row>
    <row r="11" spans="1:32" x14ac:dyDescent="0.25">
      <c r="A11">
        <v>1363</v>
      </c>
      <c r="B11" t="s">
        <v>161</v>
      </c>
      <c r="C11" t="s">
        <v>53</v>
      </c>
      <c r="D11" t="s">
        <v>103</v>
      </c>
      <c r="E11" t="s">
        <v>108</v>
      </c>
      <c r="F11">
        <v>375708070</v>
      </c>
      <c r="G11">
        <v>510.78559999999999</v>
      </c>
      <c r="H11" t="s">
        <v>202</v>
      </c>
      <c r="I11">
        <v>191906271959.79199</v>
      </c>
      <c r="J11" t="s">
        <v>209</v>
      </c>
      <c r="K11">
        <v>895803447.12567902</v>
      </c>
      <c r="L11" t="s">
        <v>118</v>
      </c>
      <c r="M11" t="s">
        <v>222</v>
      </c>
      <c r="N11">
        <v>0.84961766999999999</v>
      </c>
      <c r="O11">
        <v>570.16</v>
      </c>
      <c r="P11">
        <v>587.48</v>
      </c>
      <c r="Q11">
        <v>1</v>
      </c>
      <c r="R11">
        <v>20102010</v>
      </c>
      <c r="S11" t="s">
        <v>119</v>
      </c>
      <c r="T11" t="s">
        <v>263</v>
      </c>
      <c r="U11">
        <v>187528442167.9375</v>
      </c>
      <c r="V11">
        <v>11.042972860000001</v>
      </c>
      <c r="W11" t="s">
        <v>265</v>
      </c>
      <c r="X11">
        <v>11.042972860000001</v>
      </c>
      <c r="Y11" t="b">
        <v>0</v>
      </c>
      <c r="Z11" t="b">
        <v>0</v>
      </c>
      <c r="AA11" t="b">
        <v>0</v>
      </c>
      <c r="AB11">
        <v>10</v>
      </c>
      <c r="AC11">
        <v>209564.96534720191</v>
      </c>
      <c r="AD11">
        <v>209565</v>
      </c>
      <c r="AE11">
        <v>1</v>
      </c>
      <c r="AF11">
        <v>1</v>
      </c>
    </row>
    <row r="12" spans="1:32" x14ac:dyDescent="0.25">
      <c r="A12">
        <v>668</v>
      </c>
      <c r="B12" t="s">
        <v>162</v>
      </c>
      <c r="C12" t="s">
        <v>38</v>
      </c>
      <c r="D12" t="s">
        <v>88</v>
      </c>
      <c r="E12" t="s">
        <v>110</v>
      </c>
      <c r="F12">
        <v>354496060</v>
      </c>
      <c r="G12">
        <v>488.2928</v>
      </c>
      <c r="H12" t="s">
        <v>202</v>
      </c>
      <c r="I12">
        <v>173097873726.36801</v>
      </c>
      <c r="J12" t="s">
        <v>209</v>
      </c>
      <c r="K12">
        <v>1019103348.61517</v>
      </c>
      <c r="L12" t="s">
        <v>118</v>
      </c>
      <c r="M12" t="s">
        <v>223</v>
      </c>
      <c r="N12">
        <v>0.84961766999999999</v>
      </c>
      <c r="O12">
        <v>554.58000000000004</v>
      </c>
      <c r="P12">
        <v>561.61</v>
      </c>
      <c r="Q12">
        <v>1</v>
      </c>
      <c r="R12">
        <v>20102010</v>
      </c>
      <c r="S12" t="s">
        <v>119</v>
      </c>
      <c r="T12" t="s">
        <v>263</v>
      </c>
      <c r="U12">
        <v>169149134899.5723</v>
      </c>
      <c r="V12">
        <v>17.22382</v>
      </c>
      <c r="W12" t="s">
        <v>264</v>
      </c>
      <c r="X12">
        <v>17.22382</v>
      </c>
      <c r="Y12" t="b">
        <v>0</v>
      </c>
      <c r="Z12" t="b">
        <v>0</v>
      </c>
      <c r="AA12" t="b">
        <v>0</v>
      </c>
      <c r="AB12">
        <v>11</v>
      </c>
      <c r="AC12">
        <v>215452.34347138481</v>
      </c>
      <c r="AD12">
        <v>215452</v>
      </c>
      <c r="AE12">
        <v>1</v>
      </c>
      <c r="AF12">
        <v>1</v>
      </c>
    </row>
    <row r="13" spans="1:32" x14ac:dyDescent="0.25">
      <c r="A13">
        <v>85</v>
      </c>
      <c r="B13" t="s">
        <v>163</v>
      </c>
      <c r="C13" t="s">
        <v>13</v>
      </c>
      <c r="D13" t="s">
        <v>63</v>
      </c>
      <c r="E13" t="s">
        <v>110</v>
      </c>
      <c r="F13">
        <v>538480650</v>
      </c>
      <c r="G13">
        <v>293.47480000000002</v>
      </c>
      <c r="H13" t="s">
        <v>202</v>
      </c>
      <c r="I13">
        <v>158030501062.62</v>
      </c>
      <c r="J13" t="s">
        <v>209</v>
      </c>
      <c r="K13">
        <v>646668255.93707001</v>
      </c>
      <c r="L13" t="s">
        <v>118</v>
      </c>
      <c r="M13" t="s">
        <v>224</v>
      </c>
      <c r="N13">
        <v>0.84961766999999999</v>
      </c>
      <c r="O13">
        <v>326.74</v>
      </c>
      <c r="P13">
        <v>337.54</v>
      </c>
      <c r="Q13">
        <v>1</v>
      </c>
      <c r="R13">
        <v>20103015</v>
      </c>
      <c r="S13" t="s">
        <v>119</v>
      </c>
      <c r="T13" t="s">
        <v>263</v>
      </c>
      <c r="U13">
        <v>154425452984.6741</v>
      </c>
      <c r="V13">
        <v>20.38213562</v>
      </c>
      <c r="W13" t="s">
        <v>264</v>
      </c>
      <c r="X13">
        <v>20.38213562</v>
      </c>
      <c r="Y13" t="b">
        <v>0</v>
      </c>
      <c r="Z13" t="b">
        <v>0</v>
      </c>
      <c r="AA13" t="b">
        <v>0</v>
      </c>
      <c r="AB13">
        <v>12</v>
      </c>
      <c r="AC13">
        <v>365690.03073502053</v>
      </c>
      <c r="AD13">
        <v>365690</v>
      </c>
      <c r="AE13">
        <v>1</v>
      </c>
      <c r="AF13">
        <v>1</v>
      </c>
    </row>
    <row r="14" spans="1:32" x14ac:dyDescent="0.25">
      <c r="A14">
        <v>555</v>
      </c>
      <c r="B14" t="s">
        <v>164</v>
      </c>
      <c r="C14" t="s">
        <v>31</v>
      </c>
      <c r="D14" t="s">
        <v>81</v>
      </c>
      <c r="E14" t="s">
        <v>110</v>
      </c>
      <c r="F14">
        <v>1240679600</v>
      </c>
      <c r="G14">
        <v>110.1074</v>
      </c>
      <c r="H14" t="s">
        <v>202</v>
      </c>
      <c r="I14">
        <v>136608004989.03999</v>
      </c>
      <c r="J14" t="s">
        <v>209</v>
      </c>
      <c r="K14">
        <v>723768610.826051</v>
      </c>
      <c r="L14" t="s">
        <v>118</v>
      </c>
      <c r="M14" t="s">
        <v>225</v>
      </c>
      <c r="N14">
        <v>0.84961766999999999</v>
      </c>
      <c r="O14">
        <v>118.78</v>
      </c>
      <c r="P14">
        <v>126.64</v>
      </c>
      <c r="Q14">
        <v>1</v>
      </c>
      <c r="R14">
        <v>20103015</v>
      </c>
      <c r="S14" t="s">
        <v>119</v>
      </c>
      <c r="T14" t="s">
        <v>263</v>
      </c>
      <c r="U14">
        <v>133491643301.0549</v>
      </c>
      <c r="V14">
        <v>20.694655000000001</v>
      </c>
      <c r="W14" t="s">
        <v>264</v>
      </c>
      <c r="X14">
        <v>20.694655000000001</v>
      </c>
      <c r="Y14" t="b">
        <v>0</v>
      </c>
      <c r="Z14" t="b">
        <v>0</v>
      </c>
      <c r="AA14" t="b">
        <v>0</v>
      </c>
      <c r="AB14">
        <v>13</v>
      </c>
      <c r="AC14">
        <v>1005940.0626566811</v>
      </c>
      <c r="AD14">
        <v>1005940</v>
      </c>
      <c r="AE14">
        <v>1</v>
      </c>
      <c r="AF14">
        <v>1</v>
      </c>
    </row>
    <row r="15" spans="1:32" x14ac:dyDescent="0.25">
      <c r="A15">
        <v>976</v>
      </c>
      <c r="B15" t="s">
        <v>165</v>
      </c>
      <c r="C15" t="s">
        <v>45</v>
      </c>
      <c r="D15" t="s">
        <v>95</v>
      </c>
      <c r="E15" t="s">
        <v>117</v>
      </c>
      <c r="F15">
        <v>3390128000</v>
      </c>
      <c r="G15">
        <v>40.78913</v>
      </c>
      <c r="H15" t="s">
        <v>205</v>
      </c>
      <c r="I15">
        <v>138280371708.64001</v>
      </c>
      <c r="J15" t="s">
        <v>210</v>
      </c>
      <c r="K15">
        <v>270025172.76149303</v>
      </c>
      <c r="L15" t="s">
        <v>118</v>
      </c>
      <c r="M15" t="s">
        <v>226</v>
      </c>
      <c r="N15">
        <v>0.13384283</v>
      </c>
      <c r="O15">
        <v>309.35000000000002</v>
      </c>
      <c r="P15">
        <v>304.64999999999998</v>
      </c>
      <c r="Q15">
        <v>0.95</v>
      </c>
      <c r="R15">
        <v>20103015</v>
      </c>
      <c r="S15" t="s">
        <v>119</v>
      </c>
      <c r="T15" t="s">
        <v>263</v>
      </c>
      <c r="U15">
        <v>131321548349.19791</v>
      </c>
      <c r="V15">
        <v>19.475670000000001</v>
      </c>
      <c r="W15" t="s">
        <v>264</v>
      </c>
      <c r="X15">
        <v>19.475670000000001</v>
      </c>
      <c r="Y15" t="b">
        <v>0</v>
      </c>
      <c r="Z15" t="b">
        <v>0</v>
      </c>
      <c r="AA15" t="b">
        <v>0</v>
      </c>
      <c r="AB15">
        <v>14</v>
      </c>
      <c r="AC15">
        <v>2451849.0589470142</v>
      </c>
      <c r="AD15">
        <v>2451849</v>
      </c>
      <c r="AE15">
        <v>1</v>
      </c>
      <c r="AF15">
        <v>1</v>
      </c>
    </row>
    <row r="16" spans="1:32" x14ac:dyDescent="0.25">
      <c r="A16">
        <v>374</v>
      </c>
      <c r="B16" t="s">
        <v>166</v>
      </c>
      <c r="C16" t="s">
        <v>25</v>
      </c>
      <c r="D16" t="s">
        <v>75</v>
      </c>
      <c r="E16" t="s">
        <v>108</v>
      </c>
      <c r="F16">
        <v>706349550</v>
      </c>
      <c r="G16">
        <v>197.7047</v>
      </c>
      <c r="H16" t="s">
        <v>202</v>
      </c>
      <c r="I16">
        <v>139648625877.88501</v>
      </c>
      <c r="J16" t="s">
        <v>209</v>
      </c>
      <c r="K16">
        <v>727831775.67596602</v>
      </c>
      <c r="L16" t="s">
        <v>118</v>
      </c>
      <c r="M16" t="s">
        <v>227</v>
      </c>
      <c r="N16">
        <v>0.84961766999999999</v>
      </c>
      <c r="O16">
        <v>224.7</v>
      </c>
      <c r="P16">
        <v>227.39</v>
      </c>
      <c r="Q16">
        <v>0.9</v>
      </c>
      <c r="R16">
        <v>20102010</v>
      </c>
      <c r="S16" t="s">
        <v>119</v>
      </c>
      <c r="T16" t="s">
        <v>263</v>
      </c>
      <c r="U16">
        <v>122816602726.1445</v>
      </c>
      <c r="V16">
        <v>8.9492049999999992</v>
      </c>
      <c r="W16" t="s">
        <v>264</v>
      </c>
      <c r="X16">
        <v>8.9492049999999992</v>
      </c>
      <c r="Y16" t="b">
        <v>0</v>
      </c>
      <c r="Z16" t="b">
        <v>0</v>
      </c>
      <c r="AA16" t="b">
        <v>0</v>
      </c>
      <c r="AB16">
        <v>15</v>
      </c>
      <c r="AC16">
        <v>531755.94411375432</v>
      </c>
      <c r="AD16">
        <v>531756</v>
      </c>
      <c r="AE16">
        <v>1</v>
      </c>
      <c r="AF16">
        <v>1</v>
      </c>
    </row>
    <row r="17" spans="1:32" x14ac:dyDescent="0.25">
      <c r="A17">
        <v>215</v>
      </c>
      <c r="B17" t="s">
        <v>167</v>
      </c>
      <c r="C17" t="s">
        <v>18</v>
      </c>
      <c r="D17" t="s">
        <v>68</v>
      </c>
      <c r="E17" t="s">
        <v>108</v>
      </c>
      <c r="F17">
        <v>1482442000</v>
      </c>
      <c r="G17">
        <v>84.232489999999999</v>
      </c>
      <c r="H17" t="s">
        <v>202</v>
      </c>
      <c r="I17">
        <v>124869780940.58</v>
      </c>
      <c r="J17" t="s">
        <v>209</v>
      </c>
      <c r="K17">
        <v>792196115.05116904</v>
      </c>
      <c r="L17" t="s">
        <v>118</v>
      </c>
      <c r="M17" t="s">
        <v>228</v>
      </c>
      <c r="N17">
        <v>0.84961766999999999</v>
      </c>
      <c r="O17">
        <v>92.95</v>
      </c>
      <c r="P17">
        <v>96.88</v>
      </c>
      <c r="Q17">
        <v>1</v>
      </c>
      <c r="R17">
        <v>20102010</v>
      </c>
      <c r="S17" t="s">
        <v>119</v>
      </c>
      <c r="T17" t="s">
        <v>263</v>
      </c>
      <c r="U17">
        <v>122021223971.0096</v>
      </c>
      <c r="V17">
        <v>17.203827499999999</v>
      </c>
      <c r="W17" t="s">
        <v>264</v>
      </c>
      <c r="X17">
        <v>17.203827499999999</v>
      </c>
      <c r="Y17" t="b">
        <v>0</v>
      </c>
      <c r="Z17" t="b">
        <v>0</v>
      </c>
      <c r="AA17" t="b">
        <v>0</v>
      </c>
      <c r="AB17">
        <v>16</v>
      </c>
      <c r="AC17">
        <v>1285482.094054444</v>
      </c>
      <c r="AD17">
        <v>1285482</v>
      </c>
      <c r="AE17">
        <v>1</v>
      </c>
      <c r="AF17">
        <v>1</v>
      </c>
    </row>
    <row r="18" spans="1:32" x14ac:dyDescent="0.25">
      <c r="A18">
        <v>1039</v>
      </c>
      <c r="B18" t="s">
        <v>168</v>
      </c>
      <c r="C18" t="s">
        <v>46</v>
      </c>
      <c r="D18" t="s">
        <v>96</v>
      </c>
      <c r="E18" t="s">
        <v>108</v>
      </c>
      <c r="F18">
        <v>5685707500</v>
      </c>
      <c r="G18">
        <v>21.771070000000002</v>
      </c>
      <c r="H18" t="s">
        <v>202</v>
      </c>
      <c r="I18">
        <v>123783935982.02499</v>
      </c>
      <c r="J18" t="s">
        <v>209</v>
      </c>
      <c r="K18">
        <v>1428431646.10759</v>
      </c>
      <c r="L18" t="s">
        <v>118</v>
      </c>
      <c r="M18" t="s">
        <v>229</v>
      </c>
      <c r="N18">
        <v>0.84961766999999999</v>
      </c>
      <c r="O18">
        <v>25.53</v>
      </c>
      <c r="P18">
        <v>25.04</v>
      </c>
      <c r="Q18">
        <v>1</v>
      </c>
      <c r="R18">
        <v>20103015</v>
      </c>
      <c r="S18" t="s">
        <v>119</v>
      </c>
      <c r="T18" t="s">
        <v>263</v>
      </c>
      <c r="U18">
        <v>120960166063.62621</v>
      </c>
      <c r="V18">
        <v>15.90419625</v>
      </c>
      <c r="W18" t="s">
        <v>264</v>
      </c>
      <c r="X18">
        <v>15.90419625</v>
      </c>
      <c r="Y18" t="b">
        <v>0</v>
      </c>
      <c r="Z18" t="b">
        <v>0</v>
      </c>
      <c r="AA18" t="b">
        <v>0</v>
      </c>
      <c r="AB18">
        <v>17</v>
      </c>
      <c r="AC18">
        <v>4680202.1403196473</v>
      </c>
      <c r="AD18">
        <v>4680202</v>
      </c>
      <c r="AE18">
        <v>1</v>
      </c>
      <c r="AF18">
        <v>1</v>
      </c>
    </row>
    <row r="19" spans="1:32" x14ac:dyDescent="0.25">
      <c r="A19">
        <v>1276</v>
      </c>
      <c r="B19" t="s">
        <v>169</v>
      </c>
      <c r="C19" t="s">
        <v>51</v>
      </c>
      <c r="D19" t="s">
        <v>101</v>
      </c>
      <c r="E19" t="s">
        <v>108</v>
      </c>
      <c r="F19">
        <v>382423650</v>
      </c>
      <c r="G19">
        <v>320.19299999999998</v>
      </c>
      <c r="H19" t="s">
        <v>202</v>
      </c>
      <c r="I19">
        <v>122449375764.45</v>
      </c>
      <c r="J19" t="s">
        <v>209</v>
      </c>
      <c r="K19">
        <v>471071737.07893503</v>
      </c>
      <c r="L19" t="s">
        <v>118</v>
      </c>
      <c r="M19" t="s">
        <v>230</v>
      </c>
      <c r="N19">
        <v>0.84961766999999999</v>
      </c>
      <c r="O19">
        <v>351.69</v>
      </c>
      <c r="P19">
        <v>368.27</v>
      </c>
      <c r="Q19">
        <v>0.95</v>
      </c>
      <c r="R19">
        <v>20102010</v>
      </c>
      <c r="S19" t="s">
        <v>119</v>
      </c>
      <c r="T19" t="s">
        <v>263</v>
      </c>
      <c r="U19">
        <v>113673236519.7816</v>
      </c>
      <c r="V19">
        <v>17.45745625</v>
      </c>
      <c r="W19" t="s">
        <v>264</v>
      </c>
      <c r="X19">
        <v>17.45745625</v>
      </c>
      <c r="Y19" t="b">
        <v>0</v>
      </c>
      <c r="Z19" t="b">
        <v>0</v>
      </c>
      <c r="AA19" t="b">
        <v>0</v>
      </c>
      <c r="AB19">
        <v>18</v>
      </c>
      <c r="AC19">
        <v>339746.82431220851</v>
      </c>
      <c r="AD19">
        <v>339747</v>
      </c>
      <c r="AE19">
        <v>1</v>
      </c>
      <c r="AF19">
        <v>1</v>
      </c>
    </row>
    <row r="20" spans="1:32" x14ac:dyDescent="0.25">
      <c r="A20">
        <v>851</v>
      </c>
      <c r="B20" t="s">
        <v>170</v>
      </c>
      <c r="C20" t="s">
        <v>42</v>
      </c>
      <c r="D20" t="s">
        <v>92</v>
      </c>
      <c r="E20" t="s">
        <v>108</v>
      </c>
      <c r="F20">
        <v>1282685900</v>
      </c>
      <c r="G20">
        <v>87.988529999999997</v>
      </c>
      <c r="H20" t="s">
        <v>202</v>
      </c>
      <c r="I20">
        <v>112861646792.72701</v>
      </c>
      <c r="J20" t="s">
        <v>209</v>
      </c>
      <c r="K20">
        <v>572626512.17302203</v>
      </c>
      <c r="L20" t="s">
        <v>118</v>
      </c>
      <c r="M20" t="s">
        <v>231</v>
      </c>
      <c r="N20">
        <v>0.84961766999999999</v>
      </c>
      <c r="O20">
        <v>97.72</v>
      </c>
      <c r="P20">
        <v>101.2</v>
      </c>
      <c r="Q20">
        <v>1</v>
      </c>
      <c r="R20">
        <v>20102010</v>
      </c>
      <c r="S20" t="s">
        <v>119</v>
      </c>
      <c r="T20" t="s">
        <v>263</v>
      </c>
      <c r="U20">
        <v>110287011696.8251</v>
      </c>
      <c r="V20">
        <v>16.2710325</v>
      </c>
      <c r="W20" t="s">
        <v>264</v>
      </c>
      <c r="X20">
        <v>16.2710325</v>
      </c>
      <c r="Y20" t="b">
        <v>0</v>
      </c>
      <c r="Z20" t="b">
        <v>0</v>
      </c>
      <c r="AA20" t="b">
        <v>0</v>
      </c>
      <c r="AB20">
        <v>19</v>
      </c>
      <c r="AC20">
        <v>1222733.94026157</v>
      </c>
      <c r="AD20">
        <v>1222734</v>
      </c>
      <c r="AE20">
        <v>1</v>
      </c>
      <c r="AF20">
        <v>1</v>
      </c>
    </row>
    <row r="21" spans="1:32" x14ac:dyDescent="0.25">
      <c r="A21">
        <v>1154</v>
      </c>
      <c r="B21" t="s">
        <v>171</v>
      </c>
      <c r="C21" t="s">
        <v>50</v>
      </c>
      <c r="D21" t="s">
        <v>100</v>
      </c>
      <c r="E21" t="s">
        <v>116</v>
      </c>
      <c r="F21">
        <v>1227468973</v>
      </c>
      <c r="G21">
        <v>86.32</v>
      </c>
      <c r="H21" t="s">
        <v>119</v>
      </c>
      <c r="I21">
        <v>105955121749.36</v>
      </c>
      <c r="J21" t="s">
        <v>211</v>
      </c>
      <c r="K21">
        <v>162557819.54956099</v>
      </c>
      <c r="L21" t="s">
        <v>118</v>
      </c>
      <c r="M21" t="s">
        <v>232</v>
      </c>
      <c r="N21">
        <v>1</v>
      </c>
      <c r="O21">
        <v>80.94</v>
      </c>
      <c r="P21">
        <v>86.32</v>
      </c>
      <c r="Q21">
        <v>0.95000000000000007</v>
      </c>
      <c r="R21">
        <v>20103015</v>
      </c>
      <c r="S21" t="s">
        <v>119</v>
      </c>
      <c r="T21" t="s">
        <v>263</v>
      </c>
      <c r="U21">
        <v>100657365661.892</v>
      </c>
      <c r="V21">
        <v>13.1702175</v>
      </c>
      <c r="W21" t="s">
        <v>264</v>
      </c>
      <c r="X21">
        <v>13.1702175</v>
      </c>
      <c r="Y21" t="b">
        <v>0</v>
      </c>
      <c r="Z21" t="b">
        <v>0</v>
      </c>
      <c r="AA21" t="b">
        <v>0</v>
      </c>
      <c r="AB21">
        <v>20</v>
      </c>
      <c r="AC21">
        <v>1254225.8911737851</v>
      </c>
      <c r="AD21">
        <v>1254226</v>
      </c>
      <c r="AE21">
        <v>1</v>
      </c>
      <c r="AF21">
        <v>1</v>
      </c>
    </row>
    <row r="22" spans="1:32" x14ac:dyDescent="0.25">
      <c r="A22">
        <v>465</v>
      </c>
      <c r="B22" t="s">
        <v>172</v>
      </c>
      <c r="C22" t="s">
        <v>29</v>
      </c>
      <c r="D22" t="s">
        <v>79</v>
      </c>
      <c r="E22" t="s">
        <v>116</v>
      </c>
      <c r="F22">
        <v>463145529</v>
      </c>
      <c r="G22">
        <v>306</v>
      </c>
      <c r="H22" t="s">
        <v>119</v>
      </c>
      <c r="I22">
        <v>141722531874</v>
      </c>
      <c r="J22" t="s">
        <v>211</v>
      </c>
      <c r="K22">
        <v>110011448.09751201</v>
      </c>
      <c r="L22" t="s">
        <v>118</v>
      </c>
      <c r="M22" t="s">
        <v>233</v>
      </c>
      <c r="N22">
        <v>1</v>
      </c>
      <c r="O22">
        <v>278.2</v>
      </c>
      <c r="P22">
        <v>306</v>
      </c>
      <c r="Q22">
        <v>0.70000000000000007</v>
      </c>
      <c r="R22">
        <v>20102015</v>
      </c>
      <c r="S22" t="s">
        <v>119</v>
      </c>
      <c r="T22" t="s">
        <v>263</v>
      </c>
      <c r="U22">
        <v>99205772311.800003</v>
      </c>
      <c r="V22">
        <v>12.911462500000001</v>
      </c>
      <c r="W22" t="s">
        <v>264</v>
      </c>
      <c r="X22">
        <v>12.911462500000001</v>
      </c>
      <c r="Y22" t="b">
        <v>0</v>
      </c>
      <c r="Z22" t="b">
        <v>0</v>
      </c>
      <c r="AA22" t="b">
        <v>0</v>
      </c>
      <c r="AB22">
        <v>21</v>
      </c>
      <c r="AC22">
        <v>364906.69889146701</v>
      </c>
      <c r="AD22">
        <v>364907</v>
      </c>
      <c r="AE22">
        <v>1</v>
      </c>
      <c r="AF22">
        <v>1</v>
      </c>
    </row>
    <row r="23" spans="1:32" x14ac:dyDescent="0.25">
      <c r="A23">
        <v>1455</v>
      </c>
      <c r="B23" t="s">
        <v>173</v>
      </c>
      <c r="C23" t="s">
        <v>56</v>
      </c>
      <c r="D23" t="s">
        <v>106</v>
      </c>
      <c r="E23" t="s">
        <v>110</v>
      </c>
      <c r="F23">
        <v>253718830</v>
      </c>
      <c r="G23">
        <v>371.04730000000001</v>
      </c>
      <c r="H23" t="s">
        <v>202</v>
      </c>
      <c r="I23">
        <v>94141686830.658997</v>
      </c>
      <c r="J23" t="s">
        <v>209</v>
      </c>
      <c r="K23">
        <v>520677991.07000899</v>
      </c>
      <c r="L23" t="s">
        <v>118</v>
      </c>
      <c r="M23" t="s">
        <v>234</v>
      </c>
      <c r="N23">
        <v>0.84961766999999999</v>
      </c>
      <c r="O23">
        <v>454.96</v>
      </c>
      <c r="P23">
        <v>426.76</v>
      </c>
      <c r="Q23">
        <v>1</v>
      </c>
      <c r="R23">
        <v>20103015</v>
      </c>
      <c r="S23" t="s">
        <v>119</v>
      </c>
      <c r="T23" t="s">
        <v>263</v>
      </c>
      <c r="U23">
        <v>91994093143.459915</v>
      </c>
      <c r="V23">
        <v>20.318480000000001</v>
      </c>
      <c r="W23" t="s">
        <v>264</v>
      </c>
      <c r="X23">
        <v>20.318480000000001</v>
      </c>
      <c r="Y23" t="b">
        <v>0</v>
      </c>
      <c r="Z23" t="b">
        <v>0</v>
      </c>
      <c r="AA23" t="b">
        <v>0</v>
      </c>
      <c r="AB23">
        <v>22</v>
      </c>
      <c r="AC23">
        <v>262628.71602417919</v>
      </c>
      <c r="AD23">
        <v>262629</v>
      </c>
      <c r="AE23">
        <v>1</v>
      </c>
      <c r="AF23">
        <v>1</v>
      </c>
    </row>
    <row r="24" spans="1:32" x14ac:dyDescent="0.25">
      <c r="A24">
        <v>569</v>
      </c>
      <c r="B24" t="s">
        <v>174</v>
      </c>
      <c r="C24" t="s">
        <v>32</v>
      </c>
      <c r="D24" t="s">
        <v>82</v>
      </c>
      <c r="E24" t="s">
        <v>112</v>
      </c>
      <c r="F24">
        <v>4080008300</v>
      </c>
      <c r="G24">
        <v>20.343229999999998</v>
      </c>
      <c r="H24" t="s">
        <v>203</v>
      </c>
      <c r="I24">
        <v>83000547248.80899</v>
      </c>
      <c r="J24" t="s">
        <v>210</v>
      </c>
      <c r="K24">
        <v>112214843.897594</v>
      </c>
      <c r="L24" t="s">
        <v>118</v>
      </c>
      <c r="M24" t="s">
        <v>235</v>
      </c>
      <c r="N24">
        <v>1.139796E-2</v>
      </c>
      <c r="O24">
        <v>1819.5</v>
      </c>
      <c r="P24">
        <v>1788</v>
      </c>
      <c r="Q24">
        <v>1</v>
      </c>
      <c r="R24">
        <v>20103015</v>
      </c>
      <c r="S24" t="s">
        <v>119</v>
      </c>
      <c r="T24" t="s">
        <v>263</v>
      </c>
      <c r="U24">
        <v>83148743268.685593</v>
      </c>
      <c r="V24">
        <v>13.739672499999999</v>
      </c>
      <c r="W24" t="s">
        <v>264</v>
      </c>
      <c r="X24">
        <v>13.739672499999999</v>
      </c>
      <c r="Y24" t="b">
        <v>0</v>
      </c>
      <c r="Z24" t="b">
        <v>0</v>
      </c>
      <c r="AA24" t="b">
        <v>0</v>
      </c>
      <c r="AB24">
        <v>23</v>
      </c>
      <c r="AC24">
        <v>4895079.7689162139</v>
      </c>
      <c r="AD24">
        <v>4895080</v>
      </c>
      <c r="AE24">
        <v>1</v>
      </c>
      <c r="AF24">
        <v>1</v>
      </c>
    </row>
    <row r="25" spans="1:32" x14ac:dyDescent="0.25">
      <c r="A25">
        <v>223</v>
      </c>
      <c r="B25" t="s">
        <v>175</v>
      </c>
      <c r="C25" t="s">
        <v>19</v>
      </c>
      <c r="D25" t="s">
        <v>69</v>
      </c>
      <c r="E25" t="s">
        <v>108</v>
      </c>
      <c r="F25">
        <v>2035753000</v>
      </c>
      <c r="G25">
        <v>40.212150000000001</v>
      </c>
      <c r="H25" t="s">
        <v>202</v>
      </c>
      <c r="I25">
        <v>81862004998.949997</v>
      </c>
      <c r="J25" t="s">
        <v>209</v>
      </c>
      <c r="K25">
        <v>593889285.91466999</v>
      </c>
      <c r="L25" t="s">
        <v>118</v>
      </c>
      <c r="M25" t="s">
        <v>236</v>
      </c>
      <c r="N25">
        <v>0.84961766999999999</v>
      </c>
      <c r="O25">
        <v>54.23</v>
      </c>
      <c r="P25">
        <v>46.25</v>
      </c>
      <c r="Q25">
        <v>1</v>
      </c>
      <c r="R25">
        <v>20103015</v>
      </c>
      <c r="S25" t="s">
        <v>119</v>
      </c>
      <c r="T25" t="s">
        <v>263</v>
      </c>
      <c r="U25">
        <v>79994542075.692337</v>
      </c>
      <c r="V25">
        <v>14.62401375</v>
      </c>
      <c r="W25" t="s">
        <v>264</v>
      </c>
      <c r="X25">
        <v>14.62401375</v>
      </c>
      <c r="Y25" t="b">
        <v>0</v>
      </c>
      <c r="Z25" t="b">
        <v>0</v>
      </c>
      <c r="AA25" t="b">
        <v>0</v>
      </c>
      <c r="AB25">
        <v>24</v>
      </c>
      <c r="AC25">
        <v>2203311.0942718158</v>
      </c>
      <c r="AD25">
        <v>2203311</v>
      </c>
      <c r="AE25">
        <v>1</v>
      </c>
      <c r="AF25">
        <v>1</v>
      </c>
    </row>
    <row r="26" spans="1:32" x14ac:dyDescent="0.25">
      <c r="A26">
        <v>584</v>
      </c>
      <c r="B26" t="s">
        <v>176</v>
      </c>
      <c r="C26" t="s">
        <v>34</v>
      </c>
      <c r="D26" t="s">
        <v>84</v>
      </c>
      <c r="E26" t="s">
        <v>108</v>
      </c>
      <c r="F26">
        <v>228193900</v>
      </c>
      <c r="G26">
        <v>426.9008</v>
      </c>
      <c r="H26" t="s">
        <v>202</v>
      </c>
      <c r="I26">
        <v>97416158465.119995</v>
      </c>
      <c r="J26" t="s">
        <v>209</v>
      </c>
      <c r="K26">
        <v>481812504.15149701</v>
      </c>
      <c r="L26" t="s">
        <v>118</v>
      </c>
      <c r="M26" t="s">
        <v>237</v>
      </c>
      <c r="N26">
        <v>0.84961766999999999</v>
      </c>
      <c r="O26">
        <v>469.79</v>
      </c>
      <c r="P26">
        <v>491</v>
      </c>
      <c r="Q26">
        <v>0.7</v>
      </c>
      <c r="R26">
        <v>20101010</v>
      </c>
      <c r="S26" t="s">
        <v>119</v>
      </c>
      <c r="T26" t="s">
        <v>263</v>
      </c>
      <c r="U26">
        <v>66635720680.529404</v>
      </c>
      <c r="V26">
        <v>26.063371249999999</v>
      </c>
      <c r="W26" t="s">
        <v>264</v>
      </c>
      <c r="X26">
        <v>26.063371249999999</v>
      </c>
      <c r="Y26" t="b">
        <v>0</v>
      </c>
      <c r="Z26" t="b">
        <v>0</v>
      </c>
      <c r="AA26" t="b">
        <v>0</v>
      </c>
      <c r="AB26">
        <v>25</v>
      </c>
      <c r="AC26">
        <v>254338.23760054621</v>
      </c>
      <c r="AD26">
        <v>254338</v>
      </c>
      <c r="AE26">
        <v>1</v>
      </c>
      <c r="AF26">
        <v>1</v>
      </c>
    </row>
    <row r="27" spans="1:32" x14ac:dyDescent="0.25">
      <c r="A27">
        <v>1095</v>
      </c>
      <c r="B27" t="s">
        <v>177</v>
      </c>
      <c r="C27" t="s">
        <v>47</v>
      </c>
      <c r="D27" t="s">
        <v>97</v>
      </c>
      <c r="E27" t="s">
        <v>110</v>
      </c>
      <c r="F27">
        <v>103282320</v>
      </c>
      <c r="G27">
        <v>657.21860000000004</v>
      </c>
      <c r="H27" t="s">
        <v>202</v>
      </c>
      <c r="I27">
        <v>67879061755.152</v>
      </c>
      <c r="J27" t="s">
        <v>209</v>
      </c>
      <c r="K27">
        <v>573834079.75992799</v>
      </c>
      <c r="L27" t="s">
        <v>118</v>
      </c>
      <c r="M27" t="s">
        <v>238</v>
      </c>
      <c r="N27">
        <v>0.84961766999999999</v>
      </c>
      <c r="O27">
        <v>746.36</v>
      </c>
      <c r="P27">
        <v>755.9</v>
      </c>
      <c r="Q27">
        <v>1</v>
      </c>
      <c r="R27">
        <v>20103010</v>
      </c>
      <c r="S27" t="s">
        <v>119</v>
      </c>
      <c r="T27" t="s">
        <v>263</v>
      </c>
      <c r="U27">
        <v>66330590908.962303</v>
      </c>
      <c r="V27">
        <v>17.589247499999999</v>
      </c>
      <c r="W27" t="s">
        <v>264</v>
      </c>
      <c r="X27">
        <v>17.589247499999999</v>
      </c>
      <c r="Y27" t="b">
        <v>0</v>
      </c>
      <c r="Z27" t="b">
        <v>0</v>
      </c>
      <c r="AA27" t="b">
        <v>0</v>
      </c>
      <c r="AB27">
        <v>26</v>
      </c>
      <c r="AC27">
        <v>160091.05611549469</v>
      </c>
      <c r="AD27">
        <v>160091</v>
      </c>
      <c r="AE27">
        <v>1</v>
      </c>
      <c r="AF27">
        <v>1</v>
      </c>
    </row>
    <row r="28" spans="1:32" x14ac:dyDescent="0.25">
      <c r="A28">
        <v>291</v>
      </c>
      <c r="B28" t="s">
        <v>178</v>
      </c>
      <c r="C28" t="s">
        <v>22</v>
      </c>
      <c r="D28" t="s">
        <v>72</v>
      </c>
      <c r="E28" t="s">
        <v>108</v>
      </c>
      <c r="F28">
        <v>267125820</v>
      </c>
      <c r="G28">
        <v>241.7859</v>
      </c>
      <c r="H28" t="s">
        <v>202</v>
      </c>
      <c r="I28">
        <v>64587256801.938004</v>
      </c>
      <c r="J28" t="s">
        <v>209</v>
      </c>
      <c r="K28">
        <v>461737455.02019799</v>
      </c>
      <c r="L28" t="s">
        <v>118</v>
      </c>
      <c r="M28" t="s">
        <v>239</v>
      </c>
      <c r="N28">
        <v>0.84961766999999999</v>
      </c>
      <c r="O28">
        <v>276.11</v>
      </c>
      <c r="P28">
        <v>278.08999999999997</v>
      </c>
      <c r="Q28">
        <v>1</v>
      </c>
      <c r="R28">
        <v>20101020</v>
      </c>
      <c r="S28" t="s">
        <v>119</v>
      </c>
      <c r="T28" t="s">
        <v>263</v>
      </c>
      <c r="U28">
        <v>63113864999.807213</v>
      </c>
      <c r="V28">
        <v>7.7939550000000004</v>
      </c>
      <c r="W28" t="s">
        <v>265</v>
      </c>
      <c r="X28">
        <v>7.7939550000000004</v>
      </c>
      <c r="Y28" t="b">
        <v>0</v>
      </c>
      <c r="Z28" t="b">
        <v>0</v>
      </c>
      <c r="AA28" t="b">
        <v>0</v>
      </c>
      <c r="AB28">
        <v>27</v>
      </c>
      <c r="AC28">
        <v>432746.22665734892</v>
      </c>
      <c r="AD28">
        <v>432746</v>
      </c>
      <c r="AE28">
        <v>1</v>
      </c>
      <c r="AF28">
        <v>1</v>
      </c>
    </row>
    <row r="29" spans="1:32" x14ac:dyDescent="0.25">
      <c r="A29">
        <v>435</v>
      </c>
      <c r="B29" t="s">
        <v>179</v>
      </c>
      <c r="C29" t="s">
        <v>27</v>
      </c>
      <c r="D29" t="s">
        <v>77</v>
      </c>
      <c r="E29" t="s">
        <v>108</v>
      </c>
      <c r="F29">
        <v>222238770</v>
      </c>
      <c r="G29">
        <v>279.7287</v>
      </c>
      <c r="H29" t="s">
        <v>202</v>
      </c>
      <c r="I29">
        <v>62166562221.698997</v>
      </c>
      <c r="J29" t="s">
        <v>209</v>
      </c>
      <c r="K29">
        <v>514982171.17282999</v>
      </c>
      <c r="L29" t="s">
        <v>118</v>
      </c>
      <c r="M29" t="s">
        <v>240</v>
      </c>
      <c r="N29">
        <v>0.84961766999999999</v>
      </c>
      <c r="O29">
        <v>351.9</v>
      </c>
      <c r="P29">
        <v>321.73</v>
      </c>
      <c r="Q29">
        <v>1</v>
      </c>
      <c r="R29">
        <v>20101020</v>
      </c>
      <c r="S29" t="s">
        <v>119</v>
      </c>
      <c r="T29" t="s">
        <v>263</v>
      </c>
      <c r="U29">
        <v>60748410620.036438</v>
      </c>
      <c r="V29">
        <v>7.4350750000000003</v>
      </c>
      <c r="W29" t="s">
        <v>264</v>
      </c>
      <c r="X29">
        <v>7.4350750000000003</v>
      </c>
      <c r="Y29" t="b">
        <v>0</v>
      </c>
      <c r="Z29" t="b">
        <v>0</v>
      </c>
      <c r="AA29" t="b">
        <v>0</v>
      </c>
      <c r="AB29">
        <v>28</v>
      </c>
      <c r="AC29">
        <v>339544.07684671949</v>
      </c>
      <c r="AD29">
        <v>339544</v>
      </c>
      <c r="AE29">
        <v>1</v>
      </c>
      <c r="AF29">
        <v>1</v>
      </c>
    </row>
    <row r="30" spans="1:32" x14ac:dyDescent="0.25">
      <c r="A30">
        <v>110</v>
      </c>
      <c r="B30" t="s">
        <v>180</v>
      </c>
      <c r="C30" t="s">
        <v>14</v>
      </c>
      <c r="D30" t="s">
        <v>64</v>
      </c>
      <c r="E30" t="s">
        <v>111</v>
      </c>
      <c r="F30">
        <v>61568926</v>
      </c>
      <c r="G30">
        <v>800.4</v>
      </c>
      <c r="H30" t="s">
        <v>119</v>
      </c>
      <c r="I30">
        <v>49279768370.400002</v>
      </c>
      <c r="J30" t="s">
        <v>211</v>
      </c>
      <c r="K30">
        <v>71799660.425757498</v>
      </c>
      <c r="L30" t="s">
        <v>118</v>
      </c>
      <c r="M30" t="s">
        <v>241</v>
      </c>
      <c r="N30">
        <v>1</v>
      </c>
      <c r="O30">
        <v>726.6</v>
      </c>
      <c r="P30">
        <v>800.4</v>
      </c>
      <c r="Q30">
        <v>1</v>
      </c>
      <c r="R30">
        <v>20103010</v>
      </c>
      <c r="S30" t="s">
        <v>119</v>
      </c>
      <c r="T30" t="s">
        <v>263</v>
      </c>
      <c r="U30">
        <v>49279768370.400002</v>
      </c>
      <c r="V30">
        <v>24.860810619999999</v>
      </c>
      <c r="W30" t="s">
        <v>264</v>
      </c>
      <c r="X30">
        <v>24.860810619999999</v>
      </c>
      <c r="Y30" t="b">
        <v>0</v>
      </c>
      <c r="Z30" t="b">
        <v>0</v>
      </c>
      <c r="AA30" t="b">
        <v>0</v>
      </c>
      <c r="AB30">
        <v>29</v>
      </c>
      <c r="AC30">
        <v>139715.17152712101</v>
      </c>
      <c r="AD30">
        <v>139715</v>
      </c>
      <c r="AE30">
        <v>1</v>
      </c>
      <c r="AF30">
        <v>1</v>
      </c>
    </row>
    <row r="31" spans="1:32" x14ac:dyDescent="0.25">
      <c r="A31">
        <v>633</v>
      </c>
      <c r="B31" t="s">
        <v>181</v>
      </c>
      <c r="C31" t="s">
        <v>36</v>
      </c>
      <c r="D31" t="s">
        <v>86</v>
      </c>
      <c r="E31" t="s">
        <v>110</v>
      </c>
      <c r="F31">
        <v>79851330</v>
      </c>
      <c r="G31">
        <v>631.14369999999997</v>
      </c>
      <c r="H31" t="s">
        <v>202</v>
      </c>
      <c r="I31">
        <v>50397663866.120987</v>
      </c>
      <c r="J31" t="s">
        <v>209</v>
      </c>
      <c r="K31">
        <v>273686180.19418198</v>
      </c>
      <c r="L31" t="s">
        <v>118</v>
      </c>
      <c r="M31" t="s">
        <v>242</v>
      </c>
      <c r="N31">
        <v>0.84961766999999999</v>
      </c>
      <c r="O31">
        <v>693.18</v>
      </c>
      <c r="P31">
        <v>725.91</v>
      </c>
      <c r="Q31">
        <v>1</v>
      </c>
      <c r="R31">
        <v>20102010</v>
      </c>
      <c r="S31" t="s">
        <v>119</v>
      </c>
      <c r="T31" t="s">
        <v>263</v>
      </c>
      <c r="U31">
        <v>49247985404.082108</v>
      </c>
      <c r="V31">
        <v>14.404036250000001</v>
      </c>
      <c r="W31" t="s">
        <v>264</v>
      </c>
      <c r="X31">
        <v>14.404036250000001</v>
      </c>
      <c r="Y31" t="b">
        <v>0</v>
      </c>
      <c r="Z31" t="b">
        <v>0</v>
      </c>
      <c r="AA31" t="b">
        <v>0</v>
      </c>
      <c r="AB31">
        <v>30</v>
      </c>
      <c r="AC31">
        <v>172373.06420029519</v>
      </c>
      <c r="AD31">
        <v>172373</v>
      </c>
      <c r="AE31">
        <v>1</v>
      </c>
      <c r="AF31">
        <v>1</v>
      </c>
    </row>
    <row r="32" spans="1:32" x14ac:dyDescent="0.25">
      <c r="A32">
        <v>66</v>
      </c>
      <c r="B32" t="s">
        <v>182</v>
      </c>
      <c r="C32" t="s">
        <v>12</v>
      </c>
      <c r="D32" t="s">
        <v>62</v>
      </c>
      <c r="E32" t="s">
        <v>110</v>
      </c>
      <c r="F32">
        <v>132113820</v>
      </c>
      <c r="G32">
        <v>379.41140000000001</v>
      </c>
      <c r="H32" t="s">
        <v>202</v>
      </c>
      <c r="I32">
        <v>50125489405.547997</v>
      </c>
      <c r="J32" t="s">
        <v>209</v>
      </c>
      <c r="K32">
        <v>425622119.13472497</v>
      </c>
      <c r="L32" t="s">
        <v>118</v>
      </c>
      <c r="M32" t="s">
        <v>243</v>
      </c>
      <c r="N32">
        <v>0.84961766999999999</v>
      </c>
      <c r="O32">
        <v>391.17</v>
      </c>
      <c r="P32">
        <v>436.38</v>
      </c>
      <c r="Q32">
        <v>1</v>
      </c>
      <c r="R32">
        <v>20103010</v>
      </c>
      <c r="S32" t="s">
        <v>119</v>
      </c>
      <c r="T32" t="s">
        <v>263</v>
      </c>
      <c r="U32">
        <v>48982012432.165749</v>
      </c>
      <c r="V32">
        <v>24.728986249999998</v>
      </c>
      <c r="W32" t="s">
        <v>264</v>
      </c>
      <c r="X32">
        <v>24.728986249999998</v>
      </c>
      <c r="Y32" t="b">
        <v>0</v>
      </c>
      <c r="Z32" t="b">
        <v>0</v>
      </c>
      <c r="AA32" t="b">
        <v>0</v>
      </c>
      <c r="AB32">
        <v>31</v>
      </c>
      <c r="AC32">
        <v>305456.86183081678</v>
      </c>
      <c r="AD32">
        <v>305457</v>
      </c>
      <c r="AE32">
        <v>1</v>
      </c>
      <c r="AF32">
        <v>1</v>
      </c>
    </row>
    <row r="33" spans="1:32" x14ac:dyDescent="0.25">
      <c r="A33">
        <v>352</v>
      </c>
      <c r="B33" t="s">
        <v>183</v>
      </c>
      <c r="C33" t="s">
        <v>23</v>
      </c>
      <c r="D33" t="s">
        <v>73</v>
      </c>
      <c r="E33" t="s">
        <v>115</v>
      </c>
      <c r="F33">
        <v>485151400</v>
      </c>
      <c r="G33">
        <v>100.0574</v>
      </c>
      <c r="H33" t="s">
        <v>206</v>
      </c>
      <c r="I33">
        <v>48542987690.360001</v>
      </c>
      <c r="J33" t="s">
        <v>212</v>
      </c>
      <c r="K33">
        <v>138931360.57747599</v>
      </c>
      <c r="L33" t="s">
        <v>118</v>
      </c>
      <c r="M33" t="s">
        <v>244</v>
      </c>
      <c r="N33">
        <v>0.56409533000000001</v>
      </c>
      <c r="O33">
        <v>177.15</v>
      </c>
      <c r="P33">
        <v>178.85</v>
      </c>
      <c r="Q33">
        <v>1</v>
      </c>
      <c r="R33">
        <v>20103010</v>
      </c>
      <c r="S33" t="s">
        <v>119</v>
      </c>
      <c r="T33" t="s">
        <v>263</v>
      </c>
      <c r="U33">
        <v>48946172649.987747</v>
      </c>
      <c r="V33">
        <v>25.025562499999999</v>
      </c>
      <c r="W33" t="s">
        <v>264</v>
      </c>
      <c r="X33">
        <v>25.025562499999999</v>
      </c>
      <c r="Y33" t="b">
        <v>0</v>
      </c>
      <c r="Z33" t="b">
        <v>0</v>
      </c>
      <c r="AA33" t="b">
        <v>0</v>
      </c>
      <c r="AB33">
        <v>32</v>
      </c>
      <c r="AC33">
        <v>1015886.761340368</v>
      </c>
      <c r="AD33">
        <v>1015887</v>
      </c>
      <c r="AE33">
        <v>1</v>
      </c>
      <c r="AF33">
        <v>1</v>
      </c>
    </row>
    <row r="34" spans="1:32" x14ac:dyDescent="0.25">
      <c r="A34">
        <v>189</v>
      </c>
      <c r="B34" t="s">
        <v>184</v>
      </c>
      <c r="C34" t="s">
        <v>16</v>
      </c>
      <c r="D34" t="s">
        <v>66</v>
      </c>
      <c r="E34" t="s">
        <v>108</v>
      </c>
      <c r="F34">
        <v>286627470</v>
      </c>
      <c r="G34">
        <v>167.5608</v>
      </c>
      <c r="H34" t="s">
        <v>202</v>
      </c>
      <c r="I34">
        <v>48027528175.176003</v>
      </c>
      <c r="J34" t="s">
        <v>209</v>
      </c>
      <c r="K34">
        <v>322673051.88160598</v>
      </c>
      <c r="L34" t="s">
        <v>118</v>
      </c>
      <c r="M34" t="s">
        <v>245</v>
      </c>
      <c r="N34">
        <v>0.84961766999999999</v>
      </c>
      <c r="O34">
        <v>196.39</v>
      </c>
      <c r="P34">
        <v>192.72</v>
      </c>
      <c r="Q34">
        <v>1</v>
      </c>
      <c r="R34">
        <v>20102015</v>
      </c>
      <c r="S34" t="s">
        <v>119</v>
      </c>
      <c r="T34" t="s">
        <v>263</v>
      </c>
      <c r="U34">
        <v>46931899647.641777</v>
      </c>
      <c r="V34">
        <v>17.235679999999999</v>
      </c>
      <c r="W34" t="s">
        <v>264</v>
      </c>
      <c r="X34">
        <v>17.235679999999999</v>
      </c>
      <c r="Y34" t="b">
        <v>0</v>
      </c>
      <c r="Z34" t="b">
        <v>0</v>
      </c>
      <c r="AA34" t="b">
        <v>0</v>
      </c>
      <c r="AB34">
        <v>33</v>
      </c>
      <c r="AC34">
        <v>608409.5964273162</v>
      </c>
      <c r="AD34">
        <v>608410</v>
      </c>
      <c r="AE34">
        <v>1</v>
      </c>
      <c r="AF34">
        <v>1</v>
      </c>
    </row>
    <row r="35" spans="1:32" x14ac:dyDescent="0.25">
      <c r="A35">
        <v>1532</v>
      </c>
      <c r="B35" t="s">
        <v>185</v>
      </c>
      <c r="C35" t="s">
        <v>57</v>
      </c>
      <c r="D35" t="s">
        <v>107</v>
      </c>
      <c r="E35" t="s">
        <v>108</v>
      </c>
      <c r="F35">
        <v>440693200</v>
      </c>
      <c r="G35">
        <v>106.1253</v>
      </c>
      <c r="H35" t="s">
        <v>202</v>
      </c>
      <c r="I35">
        <v>46768698057.959999</v>
      </c>
      <c r="J35" t="s">
        <v>209</v>
      </c>
      <c r="K35">
        <v>405233298.62412399</v>
      </c>
      <c r="L35" t="s">
        <v>118</v>
      </c>
      <c r="M35" t="s">
        <v>246</v>
      </c>
      <c r="N35">
        <v>0.84961766999999999</v>
      </c>
      <c r="O35">
        <v>123.23</v>
      </c>
      <c r="P35">
        <v>122.06</v>
      </c>
      <c r="Q35">
        <v>1</v>
      </c>
      <c r="R35">
        <v>20103015</v>
      </c>
      <c r="S35" t="s">
        <v>119</v>
      </c>
      <c r="T35" t="s">
        <v>263</v>
      </c>
      <c r="U35">
        <v>45701794275.585098</v>
      </c>
      <c r="V35">
        <v>13.566376249999999</v>
      </c>
      <c r="W35" t="s">
        <v>264</v>
      </c>
      <c r="X35">
        <v>13.566376249999999</v>
      </c>
      <c r="Y35" t="b">
        <v>0</v>
      </c>
      <c r="Z35" t="b">
        <v>0</v>
      </c>
      <c r="AA35" t="b">
        <v>0</v>
      </c>
      <c r="AB35">
        <v>34</v>
      </c>
      <c r="AC35">
        <v>969614.22252990829</v>
      </c>
      <c r="AD35">
        <v>969614</v>
      </c>
      <c r="AE35">
        <v>1</v>
      </c>
      <c r="AF35">
        <v>1</v>
      </c>
    </row>
    <row r="36" spans="1:32" x14ac:dyDescent="0.25">
      <c r="A36">
        <v>618</v>
      </c>
      <c r="B36" t="s">
        <v>186</v>
      </c>
      <c r="C36" t="s">
        <v>35</v>
      </c>
      <c r="D36" t="s">
        <v>85</v>
      </c>
      <c r="E36" t="s">
        <v>114</v>
      </c>
      <c r="F36">
        <v>343122620</v>
      </c>
      <c r="G36">
        <v>128.3449</v>
      </c>
      <c r="H36" t="s">
        <v>207</v>
      </c>
      <c r="I36">
        <v>44038038351.638</v>
      </c>
      <c r="J36" t="s">
        <v>212</v>
      </c>
      <c r="K36">
        <v>140913572.178121</v>
      </c>
      <c r="L36" t="s">
        <v>118</v>
      </c>
      <c r="M36" t="s">
        <v>247</v>
      </c>
      <c r="N36">
        <v>5.48884E-3</v>
      </c>
      <c r="O36">
        <v>24000</v>
      </c>
      <c r="P36">
        <v>23110</v>
      </c>
      <c r="Q36">
        <v>1</v>
      </c>
      <c r="R36">
        <v>20102015</v>
      </c>
      <c r="S36" t="s">
        <v>119</v>
      </c>
      <c r="T36" t="s">
        <v>263</v>
      </c>
      <c r="U36">
        <v>43524106683.67009</v>
      </c>
      <c r="V36">
        <v>13.663987499999999</v>
      </c>
      <c r="W36" t="s">
        <v>264</v>
      </c>
      <c r="X36">
        <v>13.663987499999999</v>
      </c>
      <c r="Y36" t="b">
        <v>0</v>
      </c>
      <c r="Z36" t="b">
        <v>0</v>
      </c>
      <c r="AA36" t="b">
        <v>0</v>
      </c>
      <c r="AB36">
        <v>35</v>
      </c>
      <c r="AC36">
        <v>770632.19514206797</v>
      </c>
      <c r="AD36">
        <v>770632</v>
      </c>
      <c r="AE36">
        <v>1</v>
      </c>
      <c r="AF36">
        <v>1</v>
      </c>
    </row>
    <row r="37" spans="1:32" x14ac:dyDescent="0.25">
      <c r="A37">
        <v>256</v>
      </c>
      <c r="B37" t="s">
        <v>187</v>
      </c>
      <c r="C37" t="s">
        <v>20</v>
      </c>
      <c r="D37" t="s">
        <v>70</v>
      </c>
      <c r="E37" t="s">
        <v>108</v>
      </c>
      <c r="F37">
        <v>237595050</v>
      </c>
      <c r="G37">
        <v>182.1328</v>
      </c>
      <c r="H37" t="s">
        <v>202</v>
      </c>
      <c r="I37">
        <v>43273851722.639999</v>
      </c>
      <c r="J37" t="s">
        <v>209</v>
      </c>
      <c r="K37">
        <v>355984766.46942401</v>
      </c>
      <c r="L37" t="s">
        <v>118</v>
      </c>
      <c r="M37" t="s">
        <v>248</v>
      </c>
      <c r="N37">
        <v>0.84961766999999999</v>
      </c>
      <c r="O37">
        <v>197.89</v>
      </c>
      <c r="P37">
        <v>209.48</v>
      </c>
      <c r="Q37">
        <v>1</v>
      </c>
      <c r="R37">
        <v>20103015</v>
      </c>
      <c r="S37" t="s">
        <v>119</v>
      </c>
      <c r="T37" t="s">
        <v>263</v>
      </c>
      <c r="U37">
        <v>42286670309.304077</v>
      </c>
      <c r="V37">
        <v>10.557124999999999</v>
      </c>
      <c r="W37" t="s">
        <v>264</v>
      </c>
      <c r="X37">
        <v>10.557124999999999</v>
      </c>
      <c r="Y37" t="b">
        <v>0</v>
      </c>
      <c r="Z37" t="b">
        <v>0</v>
      </c>
      <c r="AA37" t="b">
        <v>0</v>
      </c>
      <c r="AB37">
        <v>36</v>
      </c>
      <c r="AC37">
        <v>603797.8707481965</v>
      </c>
      <c r="AD37">
        <v>603798</v>
      </c>
      <c r="AE37">
        <v>1</v>
      </c>
      <c r="AF37">
        <v>1</v>
      </c>
    </row>
    <row r="38" spans="1:32" x14ac:dyDescent="0.25">
      <c r="A38">
        <v>430</v>
      </c>
      <c r="B38" t="s">
        <v>188</v>
      </c>
      <c r="C38" t="s">
        <v>26</v>
      </c>
      <c r="D38" t="s">
        <v>76</v>
      </c>
      <c r="E38" t="s">
        <v>108</v>
      </c>
      <c r="F38">
        <v>580300000</v>
      </c>
      <c r="G38">
        <v>74.01643</v>
      </c>
      <c r="H38" t="s">
        <v>202</v>
      </c>
      <c r="I38">
        <v>42951734329</v>
      </c>
      <c r="J38" t="s">
        <v>209</v>
      </c>
      <c r="K38">
        <v>306262936.94332898</v>
      </c>
      <c r="L38" t="s">
        <v>118</v>
      </c>
      <c r="M38" t="s">
        <v>249</v>
      </c>
      <c r="N38">
        <v>0.84961766999999999</v>
      </c>
      <c r="O38">
        <v>85.32</v>
      </c>
      <c r="P38">
        <v>85.13</v>
      </c>
      <c r="Q38">
        <v>1</v>
      </c>
      <c r="R38">
        <v>20102010</v>
      </c>
      <c r="S38" t="s">
        <v>119</v>
      </c>
      <c r="T38" t="s">
        <v>263</v>
      </c>
      <c r="U38">
        <v>41971910688.992126</v>
      </c>
      <c r="V38">
        <v>19.639882499999999</v>
      </c>
      <c r="W38" t="s">
        <v>264</v>
      </c>
      <c r="X38">
        <v>19.639882499999999</v>
      </c>
      <c r="Y38" t="b">
        <v>0</v>
      </c>
      <c r="Z38" t="b">
        <v>0</v>
      </c>
      <c r="AA38" t="b">
        <v>0</v>
      </c>
      <c r="AB38">
        <v>37</v>
      </c>
      <c r="AC38">
        <v>1400440.2325640011</v>
      </c>
      <c r="AD38">
        <v>1400440</v>
      </c>
      <c r="AE38">
        <v>1</v>
      </c>
      <c r="AF38">
        <v>1</v>
      </c>
    </row>
    <row r="39" spans="1:32" x14ac:dyDescent="0.25">
      <c r="A39">
        <v>804</v>
      </c>
      <c r="B39" t="s">
        <v>189</v>
      </c>
      <c r="C39" t="s">
        <v>41</v>
      </c>
      <c r="D39" t="s">
        <v>91</v>
      </c>
      <c r="E39" t="s">
        <v>109</v>
      </c>
      <c r="F39">
        <v>70229020</v>
      </c>
      <c r="G39">
        <v>575.01120000000003</v>
      </c>
      <c r="H39" t="s">
        <v>204</v>
      </c>
      <c r="I39">
        <v>40382473065.024002</v>
      </c>
      <c r="J39" t="s">
        <v>210</v>
      </c>
      <c r="K39">
        <v>68960886.198420897</v>
      </c>
      <c r="L39" t="s">
        <v>118</v>
      </c>
      <c r="M39" t="s">
        <v>250</v>
      </c>
      <c r="N39">
        <v>1.0682048799999999</v>
      </c>
      <c r="O39">
        <v>519</v>
      </c>
      <c r="P39">
        <v>534.79999999999995</v>
      </c>
      <c r="Q39">
        <v>1</v>
      </c>
      <c r="R39">
        <v>20103010</v>
      </c>
      <c r="S39" t="s">
        <v>119</v>
      </c>
      <c r="T39" t="s">
        <v>263</v>
      </c>
      <c r="U39">
        <v>40120151510.289093</v>
      </c>
      <c r="V39">
        <v>15.80551226</v>
      </c>
      <c r="W39" t="s">
        <v>264</v>
      </c>
      <c r="X39">
        <v>15.80551226</v>
      </c>
      <c r="Y39" t="b">
        <v>0</v>
      </c>
      <c r="Z39" t="b">
        <v>0</v>
      </c>
      <c r="AA39" t="b">
        <v>0</v>
      </c>
      <c r="AB39">
        <v>38</v>
      </c>
      <c r="AC39">
        <v>183112.10124594209</v>
      </c>
      <c r="AD39">
        <v>183112</v>
      </c>
      <c r="AE39">
        <v>1</v>
      </c>
      <c r="AF39">
        <v>1</v>
      </c>
    </row>
    <row r="40" spans="1:32" x14ac:dyDescent="0.25">
      <c r="A40">
        <v>1326</v>
      </c>
      <c r="B40" t="s">
        <v>190</v>
      </c>
      <c r="C40" t="s">
        <v>52</v>
      </c>
      <c r="D40" t="s">
        <v>102</v>
      </c>
      <c r="E40" t="s">
        <v>114</v>
      </c>
      <c r="F40">
        <v>1590985800</v>
      </c>
      <c r="G40">
        <v>24.641549999999999</v>
      </c>
      <c r="H40" t="s">
        <v>207</v>
      </c>
      <c r="I40">
        <v>39204356139.989998</v>
      </c>
      <c r="J40" t="s">
        <v>212</v>
      </c>
      <c r="K40">
        <v>117964338.007495</v>
      </c>
      <c r="L40" t="s">
        <v>118</v>
      </c>
      <c r="M40" t="s">
        <v>251</v>
      </c>
      <c r="N40">
        <v>5.48884E-3</v>
      </c>
      <c r="O40">
        <v>4518</v>
      </c>
      <c r="P40">
        <v>4437</v>
      </c>
      <c r="Q40">
        <v>1</v>
      </c>
      <c r="R40">
        <v>20103015</v>
      </c>
      <c r="S40" t="s">
        <v>119</v>
      </c>
      <c r="T40" t="s">
        <v>263</v>
      </c>
      <c r="U40">
        <v>38746841253.720261</v>
      </c>
      <c r="V40">
        <v>19.129132500000001</v>
      </c>
      <c r="W40" t="s">
        <v>264</v>
      </c>
      <c r="X40">
        <v>19.129132500000001</v>
      </c>
      <c r="Y40" t="b">
        <v>0</v>
      </c>
      <c r="Z40" t="b">
        <v>0</v>
      </c>
      <c r="AA40" t="b">
        <v>0</v>
      </c>
      <c r="AB40">
        <v>39</v>
      </c>
      <c r="AC40">
        <v>4093663.719214173</v>
      </c>
      <c r="AD40">
        <v>4093664</v>
      </c>
      <c r="AE40">
        <v>1</v>
      </c>
      <c r="AF40">
        <v>1</v>
      </c>
    </row>
    <row r="41" spans="1:32" x14ac:dyDescent="0.25">
      <c r="A41">
        <v>366</v>
      </c>
      <c r="B41" t="s">
        <v>191</v>
      </c>
      <c r="C41" t="s">
        <v>24</v>
      </c>
      <c r="D41" t="s">
        <v>74</v>
      </c>
      <c r="E41" t="s">
        <v>114</v>
      </c>
      <c r="F41">
        <v>1894350600</v>
      </c>
      <c r="G41">
        <v>20.54851</v>
      </c>
      <c r="H41" t="s">
        <v>207</v>
      </c>
      <c r="I41">
        <v>38926082247.606003</v>
      </c>
      <c r="J41" t="s">
        <v>212</v>
      </c>
      <c r="K41">
        <v>131566805.138722</v>
      </c>
      <c r="L41" t="s">
        <v>118</v>
      </c>
      <c r="M41" t="s">
        <v>252</v>
      </c>
      <c r="N41">
        <v>5.48884E-3</v>
      </c>
      <c r="O41">
        <v>3406</v>
      </c>
      <c r="P41">
        <v>3700</v>
      </c>
      <c r="Q41">
        <v>1</v>
      </c>
      <c r="R41">
        <v>20103015</v>
      </c>
      <c r="S41" t="s">
        <v>119</v>
      </c>
      <c r="T41" t="s">
        <v>263</v>
      </c>
      <c r="U41">
        <v>38471813185.024803</v>
      </c>
      <c r="V41">
        <v>17.682747559999999</v>
      </c>
      <c r="W41" t="s">
        <v>264</v>
      </c>
      <c r="X41">
        <v>17.682747559999999</v>
      </c>
      <c r="Y41" t="b">
        <v>0</v>
      </c>
      <c r="Z41" t="b">
        <v>0</v>
      </c>
      <c r="AA41" t="b">
        <v>0</v>
      </c>
      <c r="AB41">
        <v>40</v>
      </c>
      <c r="AC41">
        <v>5430174.0115706492</v>
      </c>
      <c r="AD41">
        <v>5430174</v>
      </c>
      <c r="AE41">
        <v>1</v>
      </c>
      <c r="AF41">
        <v>1</v>
      </c>
    </row>
    <row r="42" spans="1:32" x14ac:dyDescent="0.25">
      <c r="A42">
        <v>574</v>
      </c>
      <c r="B42" t="s">
        <v>192</v>
      </c>
      <c r="C42" t="s">
        <v>33</v>
      </c>
      <c r="D42" t="s">
        <v>83</v>
      </c>
      <c r="E42" t="s">
        <v>112</v>
      </c>
      <c r="F42">
        <v>8906423000</v>
      </c>
      <c r="G42">
        <v>4.2916480000000004</v>
      </c>
      <c r="H42" t="s">
        <v>203</v>
      </c>
      <c r="I42">
        <v>38223232455.103996</v>
      </c>
      <c r="J42" t="s">
        <v>210</v>
      </c>
      <c r="K42">
        <v>61225951.846855298</v>
      </c>
      <c r="L42" t="s">
        <v>118</v>
      </c>
      <c r="M42" t="s">
        <v>253</v>
      </c>
      <c r="N42">
        <v>1.139796E-2</v>
      </c>
      <c r="O42">
        <v>363.4</v>
      </c>
      <c r="P42">
        <v>377.2</v>
      </c>
      <c r="Q42">
        <v>1</v>
      </c>
      <c r="R42">
        <v>20103015</v>
      </c>
      <c r="S42" t="s">
        <v>119</v>
      </c>
      <c r="T42" t="s">
        <v>263</v>
      </c>
      <c r="U42">
        <v>38291478028.218567</v>
      </c>
      <c r="V42">
        <v>11.8585975</v>
      </c>
      <c r="W42" t="s">
        <v>264</v>
      </c>
      <c r="X42">
        <v>11.8585975</v>
      </c>
      <c r="Y42" t="b">
        <v>0</v>
      </c>
      <c r="Z42" t="b">
        <v>0</v>
      </c>
      <c r="AA42" t="b">
        <v>0</v>
      </c>
      <c r="AB42">
        <v>41</v>
      </c>
      <c r="AC42">
        <v>24509074.407108009</v>
      </c>
      <c r="AD42">
        <v>24509074</v>
      </c>
      <c r="AE42">
        <v>1</v>
      </c>
      <c r="AF42">
        <v>1</v>
      </c>
    </row>
    <row r="43" spans="1:32" x14ac:dyDescent="0.25">
      <c r="A43">
        <v>42</v>
      </c>
      <c r="B43" t="s">
        <v>193</v>
      </c>
      <c r="C43" t="s">
        <v>10</v>
      </c>
      <c r="D43" t="s">
        <v>60</v>
      </c>
      <c r="E43" t="s">
        <v>108</v>
      </c>
      <c r="F43">
        <v>283500430</v>
      </c>
      <c r="G43">
        <v>131.50460000000001</v>
      </c>
      <c r="H43" t="s">
        <v>202</v>
      </c>
      <c r="I43">
        <v>37281610646.977997</v>
      </c>
      <c r="J43" t="s">
        <v>209</v>
      </c>
      <c r="K43">
        <v>204083902.51950499</v>
      </c>
      <c r="L43" t="s">
        <v>118</v>
      </c>
      <c r="M43" t="s">
        <v>254</v>
      </c>
      <c r="N43">
        <v>0.84961766999999999</v>
      </c>
      <c r="O43">
        <v>139.19</v>
      </c>
      <c r="P43">
        <v>151.25</v>
      </c>
      <c r="Q43">
        <v>1</v>
      </c>
      <c r="R43">
        <v>20102010</v>
      </c>
      <c r="S43" t="s">
        <v>119</v>
      </c>
      <c r="T43" t="s">
        <v>263</v>
      </c>
      <c r="U43">
        <v>36431129935.56546</v>
      </c>
      <c r="V43">
        <v>10.0414925</v>
      </c>
      <c r="W43" t="s">
        <v>264</v>
      </c>
      <c r="X43">
        <v>10.0414925</v>
      </c>
      <c r="Y43" t="b">
        <v>0</v>
      </c>
      <c r="Z43" t="b">
        <v>0</v>
      </c>
      <c r="AA43" t="b">
        <v>0</v>
      </c>
      <c r="AB43">
        <v>42</v>
      </c>
      <c r="AC43">
        <v>858434.94965414621</v>
      </c>
      <c r="AD43">
        <v>858435</v>
      </c>
      <c r="AE43">
        <v>1</v>
      </c>
      <c r="AF43">
        <v>1</v>
      </c>
    </row>
    <row r="44" spans="1:32" x14ac:dyDescent="0.25">
      <c r="A44">
        <v>57</v>
      </c>
      <c r="B44" t="s">
        <v>194</v>
      </c>
      <c r="C44" t="s">
        <v>11</v>
      </c>
      <c r="D44" t="s">
        <v>61</v>
      </c>
      <c r="E44" t="s">
        <v>109</v>
      </c>
      <c r="F44">
        <v>499700000</v>
      </c>
      <c r="G44">
        <v>66.102630000000005</v>
      </c>
      <c r="H44" t="s">
        <v>204</v>
      </c>
      <c r="I44">
        <v>33031484211</v>
      </c>
      <c r="J44" t="s">
        <v>210</v>
      </c>
      <c r="K44">
        <v>80250693.650699198</v>
      </c>
      <c r="L44" t="s">
        <v>118</v>
      </c>
      <c r="M44" t="s">
        <v>255</v>
      </c>
      <c r="N44">
        <v>1.0682048799999999</v>
      </c>
      <c r="O44">
        <v>62.48</v>
      </c>
      <c r="P44">
        <v>61.48</v>
      </c>
      <c r="Q44">
        <v>1</v>
      </c>
      <c r="R44">
        <v>20102015</v>
      </c>
      <c r="S44" t="s">
        <v>119</v>
      </c>
      <c r="T44" t="s">
        <v>263</v>
      </c>
      <c r="U44">
        <v>32816916040.39328</v>
      </c>
      <c r="V44">
        <v>16.538477499999999</v>
      </c>
      <c r="W44" t="s">
        <v>264</v>
      </c>
      <c r="X44">
        <v>16.538477499999999</v>
      </c>
      <c r="Y44" t="b">
        <v>0</v>
      </c>
      <c r="Z44" t="b">
        <v>0</v>
      </c>
      <c r="AA44" t="b">
        <v>0</v>
      </c>
      <c r="AB44">
        <v>43</v>
      </c>
      <c r="AC44">
        <v>1521049.6246261841</v>
      </c>
      <c r="AD44">
        <v>1521050</v>
      </c>
      <c r="AE44">
        <v>1</v>
      </c>
      <c r="AF44">
        <v>1</v>
      </c>
    </row>
    <row r="45" spans="1:32" x14ac:dyDescent="0.25">
      <c r="A45">
        <v>674</v>
      </c>
      <c r="B45" t="s">
        <v>195</v>
      </c>
      <c r="C45" t="s">
        <v>39</v>
      </c>
      <c r="D45" t="s">
        <v>89</v>
      </c>
      <c r="E45" t="s">
        <v>108</v>
      </c>
      <c r="F45">
        <v>170300000</v>
      </c>
      <c r="G45">
        <v>195.53970000000001</v>
      </c>
      <c r="H45" t="s">
        <v>202</v>
      </c>
      <c r="I45">
        <v>33300410910</v>
      </c>
      <c r="J45" t="s">
        <v>209</v>
      </c>
      <c r="K45">
        <v>256894814.95182899</v>
      </c>
      <c r="L45" t="s">
        <v>118</v>
      </c>
      <c r="M45" t="s">
        <v>256</v>
      </c>
      <c r="N45">
        <v>0.84961766999999999</v>
      </c>
      <c r="O45">
        <v>221.68</v>
      </c>
      <c r="P45">
        <v>224.9</v>
      </c>
      <c r="Q45">
        <v>1</v>
      </c>
      <c r="R45">
        <v>20101025</v>
      </c>
      <c r="S45" t="s">
        <v>119</v>
      </c>
      <c r="T45" t="s">
        <v>263</v>
      </c>
      <c r="U45">
        <v>32540756081.304901</v>
      </c>
      <c r="V45">
        <v>17.179593749999999</v>
      </c>
      <c r="W45" t="s">
        <v>264</v>
      </c>
      <c r="X45">
        <v>17.179593749999999</v>
      </c>
      <c r="Y45" t="b">
        <v>0</v>
      </c>
      <c r="Z45" t="b">
        <v>0</v>
      </c>
      <c r="AA45" t="b">
        <v>0</v>
      </c>
      <c r="AB45">
        <v>44</v>
      </c>
      <c r="AC45">
        <v>539000.18333796726</v>
      </c>
      <c r="AD45">
        <v>539000</v>
      </c>
      <c r="AE45">
        <v>1</v>
      </c>
      <c r="AF45">
        <v>1</v>
      </c>
    </row>
    <row r="46" spans="1:32" x14ac:dyDescent="0.25">
      <c r="A46">
        <v>653</v>
      </c>
      <c r="B46" t="s">
        <v>196</v>
      </c>
      <c r="C46" t="s">
        <v>37</v>
      </c>
      <c r="D46" t="s">
        <v>87</v>
      </c>
      <c r="E46" t="s">
        <v>110</v>
      </c>
      <c r="F46">
        <v>213273470</v>
      </c>
      <c r="G46">
        <v>172.81219999999999</v>
      </c>
      <c r="H46" t="s">
        <v>202</v>
      </c>
      <c r="I46">
        <v>36856257552.334</v>
      </c>
      <c r="J46" t="s">
        <v>209</v>
      </c>
      <c r="K46">
        <v>300449955.13663602</v>
      </c>
      <c r="L46" t="s">
        <v>118</v>
      </c>
      <c r="M46" t="s">
        <v>257</v>
      </c>
      <c r="N46">
        <v>0.84961766999999999</v>
      </c>
      <c r="O46">
        <v>200.67</v>
      </c>
      <c r="P46">
        <v>198.76</v>
      </c>
      <c r="Q46">
        <v>0.9</v>
      </c>
      <c r="R46">
        <v>20103010</v>
      </c>
      <c r="S46" t="s">
        <v>119</v>
      </c>
      <c r="T46" t="s">
        <v>263</v>
      </c>
      <c r="U46">
        <v>32413943343.700569</v>
      </c>
      <c r="V46">
        <v>25.886959820000001</v>
      </c>
      <c r="W46" t="s">
        <v>264</v>
      </c>
      <c r="X46">
        <v>25.886959820000001</v>
      </c>
      <c r="Y46" t="b">
        <v>0</v>
      </c>
      <c r="Z46" t="b">
        <v>0</v>
      </c>
      <c r="AA46" t="b">
        <v>0</v>
      </c>
      <c r="AB46">
        <v>45</v>
      </c>
      <c r="AC46">
        <v>595433.10231903428</v>
      </c>
      <c r="AD46">
        <v>595433</v>
      </c>
      <c r="AE46">
        <v>1</v>
      </c>
      <c r="AF46">
        <v>1</v>
      </c>
    </row>
    <row r="47" spans="1:32" x14ac:dyDescent="0.25">
      <c r="A47">
        <v>1106</v>
      </c>
      <c r="B47" t="s">
        <v>197</v>
      </c>
      <c r="C47" t="s">
        <v>48</v>
      </c>
      <c r="D47" t="s">
        <v>98</v>
      </c>
      <c r="E47" t="s">
        <v>108</v>
      </c>
      <c r="F47">
        <v>145966300</v>
      </c>
      <c r="G47">
        <v>218.01499999999999</v>
      </c>
      <c r="H47" t="s">
        <v>202</v>
      </c>
      <c r="I47">
        <v>31822842894.5</v>
      </c>
      <c r="J47" t="s">
        <v>209</v>
      </c>
      <c r="K47">
        <v>243405399.92009199</v>
      </c>
      <c r="L47" t="s">
        <v>118</v>
      </c>
      <c r="M47" t="s">
        <v>258</v>
      </c>
      <c r="N47">
        <v>0.84961766999999999</v>
      </c>
      <c r="O47">
        <v>247.34</v>
      </c>
      <c r="P47">
        <v>250.75</v>
      </c>
      <c r="Q47">
        <v>1</v>
      </c>
      <c r="R47">
        <v>20102010</v>
      </c>
      <c r="S47" t="s">
        <v>119</v>
      </c>
      <c r="T47" t="s">
        <v>263</v>
      </c>
      <c r="U47">
        <v>31096898586.908642</v>
      </c>
      <c r="V47">
        <v>20.188042500000002</v>
      </c>
      <c r="W47" t="s">
        <v>264</v>
      </c>
      <c r="X47">
        <v>20.188042500000002</v>
      </c>
      <c r="Y47" t="b">
        <v>0</v>
      </c>
      <c r="Z47" t="b">
        <v>0</v>
      </c>
      <c r="AA47" t="b">
        <v>0</v>
      </c>
      <c r="AB47">
        <v>46</v>
      </c>
      <c r="AC47">
        <v>483082.23757726449</v>
      </c>
      <c r="AD47">
        <v>483082</v>
      </c>
      <c r="AE47">
        <v>1</v>
      </c>
      <c r="AF47">
        <v>1</v>
      </c>
    </row>
    <row r="48" spans="1:32" x14ac:dyDescent="0.25">
      <c r="A48">
        <v>285</v>
      </c>
      <c r="B48" t="s">
        <v>198</v>
      </c>
      <c r="C48" t="s">
        <v>21</v>
      </c>
      <c r="D48" t="s">
        <v>71</v>
      </c>
      <c r="E48" t="s">
        <v>114</v>
      </c>
      <c r="F48">
        <v>1679057600</v>
      </c>
      <c r="G48">
        <v>46.472949999999997</v>
      </c>
      <c r="H48" t="s">
        <v>207</v>
      </c>
      <c r="I48">
        <v>78030759891.919998</v>
      </c>
      <c r="J48" t="s">
        <v>212</v>
      </c>
      <c r="K48">
        <v>130988661.426726</v>
      </c>
      <c r="L48" t="s">
        <v>118</v>
      </c>
      <c r="M48" t="s">
        <v>259</v>
      </c>
      <c r="N48">
        <v>5.48884E-3</v>
      </c>
      <c r="O48">
        <v>8269</v>
      </c>
      <c r="P48">
        <v>8368</v>
      </c>
      <c r="Q48">
        <v>0.4</v>
      </c>
      <c r="R48">
        <v>20103015</v>
      </c>
      <c r="S48" t="s">
        <v>119</v>
      </c>
      <c r="T48" t="s">
        <v>263</v>
      </c>
      <c r="U48">
        <v>30848058012.718281</v>
      </c>
      <c r="V48">
        <v>20.028436419999998</v>
      </c>
      <c r="W48" t="s">
        <v>264</v>
      </c>
      <c r="X48">
        <v>20.028436419999998</v>
      </c>
      <c r="Y48" t="b">
        <v>0</v>
      </c>
      <c r="Z48" t="b">
        <v>0</v>
      </c>
      <c r="AA48" t="b">
        <v>0</v>
      </c>
      <c r="AB48">
        <v>47</v>
      </c>
      <c r="AC48">
        <v>2236687.9530063649</v>
      </c>
      <c r="AD48">
        <v>2236688</v>
      </c>
      <c r="AE48">
        <v>1</v>
      </c>
      <c r="AF48">
        <v>1</v>
      </c>
    </row>
    <row r="49" spans="1:32" x14ac:dyDescent="0.25">
      <c r="A49">
        <v>1444</v>
      </c>
      <c r="B49" t="s">
        <v>199</v>
      </c>
      <c r="C49" t="s">
        <v>55</v>
      </c>
      <c r="D49" t="s">
        <v>105</v>
      </c>
      <c r="E49" t="s">
        <v>108</v>
      </c>
      <c r="F49">
        <v>163908020</v>
      </c>
      <c r="G49">
        <v>212.19839999999999</v>
      </c>
      <c r="H49" t="s">
        <v>202</v>
      </c>
      <c r="I49">
        <v>34781019591.167999</v>
      </c>
      <c r="J49" t="s">
        <v>209</v>
      </c>
      <c r="K49">
        <v>320962621.73235899</v>
      </c>
      <c r="L49" t="s">
        <v>118</v>
      </c>
      <c r="M49" t="s">
        <v>260</v>
      </c>
      <c r="N49">
        <v>0.84961766999999999</v>
      </c>
      <c r="O49">
        <v>219.3</v>
      </c>
      <c r="P49">
        <v>244.06</v>
      </c>
      <c r="Q49">
        <v>0.9</v>
      </c>
      <c r="R49">
        <v>20101025</v>
      </c>
      <c r="S49" t="s">
        <v>119</v>
      </c>
      <c r="T49" t="s">
        <v>263</v>
      </c>
      <c r="U49">
        <v>30588829344.36079</v>
      </c>
      <c r="V49">
        <v>13.81293</v>
      </c>
      <c r="W49" t="s">
        <v>264</v>
      </c>
      <c r="X49">
        <v>13.81293</v>
      </c>
      <c r="Y49" t="b">
        <v>0</v>
      </c>
      <c r="Z49" t="b">
        <v>0</v>
      </c>
      <c r="AA49" t="b">
        <v>0</v>
      </c>
      <c r="AB49">
        <v>48</v>
      </c>
      <c r="AC49">
        <v>544849.79773078242</v>
      </c>
      <c r="AD49">
        <v>544850</v>
      </c>
      <c r="AE49">
        <v>1</v>
      </c>
      <c r="AF49">
        <v>1</v>
      </c>
    </row>
    <row r="50" spans="1:32" x14ac:dyDescent="0.25">
      <c r="A50">
        <v>195</v>
      </c>
      <c r="B50" t="s">
        <v>200</v>
      </c>
      <c r="C50" t="s">
        <v>17</v>
      </c>
      <c r="D50" t="s">
        <v>67</v>
      </c>
      <c r="E50" t="s">
        <v>113</v>
      </c>
      <c r="F50">
        <v>1425622600</v>
      </c>
      <c r="G50">
        <v>23.004909999999999</v>
      </c>
      <c r="H50" t="s">
        <v>208</v>
      </c>
      <c r="I50">
        <v>32796319606.966</v>
      </c>
      <c r="J50" t="s">
        <v>212</v>
      </c>
      <c r="K50">
        <v>115260140.844244</v>
      </c>
      <c r="L50" t="s">
        <v>118</v>
      </c>
      <c r="M50" t="s">
        <v>261</v>
      </c>
      <c r="N50">
        <v>0.10921382</v>
      </c>
      <c r="O50">
        <v>181.3</v>
      </c>
      <c r="P50">
        <v>206</v>
      </c>
      <c r="Q50">
        <v>0.95</v>
      </c>
      <c r="R50">
        <v>20103010</v>
      </c>
      <c r="S50" t="s">
        <v>119</v>
      </c>
      <c r="T50" t="s">
        <v>263</v>
      </c>
      <c r="U50">
        <v>30470037937.761768</v>
      </c>
      <c r="V50">
        <v>22.773562500000001</v>
      </c>
      <c r="W50" t="s">
        <v>264</v>
      </c>
      <c r="X50">
        <v>22.773562500000001</v>
      </c>
      <c r="Y50" t="b">
        <v>0</v>
      </c>
      <c r="Z50" t="b">
        <v>0</v>
      </c>
      <c r="AA50" t="b">
        <v>0</v>
      </c>
      <c r="AB50">
        <v>49</v>
      </c>
      <c r="AC50">
        <v>5127002.8622925011</v>
      </c>
      <c r="AD50">
        <v>5127003</v>
      </c>
      <c r="AE50">
        <v>1</v>
      </c>
      <c r="AF50">
        <v>1</v>
      </c>
    </row>
    <row r="51" spans="1:32" x14ac:dyDescent="0.25">
      <c r="A51">
        <v>539</v>
      </c>
      <c r="B51" t="s">
        <v>201</v>
      </c>
      <c r="C51" t="s">
        <v>30</v>
      </c>
      <c r="D51" t="s">
        <v>80</v>
      </c>
      <c r="E51" t="s">
        <v>110</v>
      </c>
      <c r="F51">
        <v>455521600</v>
      </c>
      <c r="G51">
        <v>66.469589999999997</v>
      </c>
      <c r="H51" t="s">
        <v>202</v>
      </c>
      <c r="I51">
        <v>30278333988.144001</v>
      </c>
      <c r="J51" t="s">
        <v>209</v>
      </c>
      <c r="K51">
        <v>228389380.663937</v>
      </c>
      <c r="L51" t="s">
        <v>118</v>
      </c>
      <c r="M51" t="s">
        <v>262</v>
      </c>
      <c r="N51">
        <v>0.84961766999999999</v>
      </c>
      <c r="O51">
        <v>82.25</v>
      </c>
      <c r="P51">
        <v>76.45</v>
      </c>
      <c r="Q51">
        <v>1</v>
      </c>
      <c r="R51">
        <v>20102010</v>
      </c>
      <c r="S51" t="s">
        <v>119</v>
      </c>
      <c r="T51" t="s">
        <v>263</v>
      </c>
      <c r="U51">
        <v>29587617872.61908</v>
      </c>
      <c r="V51">
        <v>16.971250000000001</v>
      </c>
      <c r="W51" t="s">
        <v>264</v>
      </c>
      <c r="X51">
        <v>16.971250000000001</v>
      </c>
      <c r="Y51" t="b">
        <v>0</v>
      </c>
      <c r="Z51" t="b">
        <v>0</v>
      </c>
      <c r="AA51" t="b">
        <v>0</v>
      </c>
      <c r="AB51">
        <v>50</v>
      </c>
      <c r="AC51">
        <v>1452711.983493746</v>
      </c>
      <c r="AD51">
        <v>1452712</v>
      </c>
      <c r="AE51">
        <v>1</v>
      </c>
      <c r="AF51"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B123"/>
  <sheetViews>
    <sheetView workbookViewId="0"/>
  </sheetViews>
  <sheetFormatPr defaultRowHeight="15" x14ac:dyDescent="0.25"/>
  <sheetData>
    <row r="1" spans="1:28" x14ac:dyDescent="0.25">
      <c r="A1" s="1" t="s">
        <v>128</v>
      </c>
      <c r="B1" s="1" t="s">
        <v>129</v>
      </c>
      <c r="C1" s="1" t="s">
        <v>0</v>
      </c>
      <c r="D1" s="1" t="s">
        <v>120</v>
      </c>
      <c r="E1" s="1" t="s">
        <v>2</v>
      </c>
      <c r="F1" s="1" t="s">
        <v>3</v>
      </c>
      <c r="G1" s="1" t="s">
        <v>130</v>
      </c>
      <c r="H1" s="1" t="s">
        <v>131</v>
      </c>
      <c r="I1" s="1" t="s">
        <v>132</v>
      </c>
      <c r="J1" s="1" t="s">
        <v>133</v>
      </c>
      <c r="K1" s="1" t="s">
        <v>134</v>
      </c>
      <c r="L1" s="1" t="s">
        <v>6</v>
      </c>
      <c r="M1" s="1" t="s">
        <v>135</v>
      </c>
      <c r="N1" s="1" t="s">
        <v>136</v>
      </c>
      <c r="O1" s="1" t="s">
        <v>137</v>
      </c>
      <c r="P1" s="1" t="s">
        <v>138</v>
      </c>
      <c r="Q1" s="1" t="s">
        <v>139</v>
      </c>
      <c r="R1" s="1" t="s">
        <v>140</v>
      </c>
      <c r="S1" s="1" t="s">
        <v>7</v>
      </c>
      <c r="T1" s="1" t="s">
        <v>141</v>
      </c>
      <c r="U1" s="1" t="s">
        <v>142</v>
      </c>
      <c r="V1" s="1" t="s">
        <v>143</v>
      </c>
      <c r="W1" s="1" t="s">
        <v>144</v>
      </c>
      <c r="X1" s="1" t="s">
        <v>145</v>
      </c>
      <c r="Y1" s="1" t="s">
        <v>146</v>
      </c>
      <c r="Z1" s="1" t="s">
        <v>147</v>
      </c>
      <c r="AA1" s="1" t="s">
        <v>148</v>
      </c>
      <c r="AB1" s="1" t="s">
        <v>149</v>
      </c>
    </row>
    <row r="2" spans="1:28" x14ac:dyDescent="0.25">
      <c r="A2">
        <v>436</v>
      </c>
      <c r="B2" t="s">
        <v>152</v>
      </c>
      <c r="C2" t="s">
        <v>28</v>
      </c>
      <c r="D2" t="s">
        <v>78</v>
      </c>
      <c r="E2" t="s">
        <v>108</v>
      </c>
      <c r="F2">
        <v>945383700</v>
      </c>
      <c r="G2">
        <v>921.35799999999995</v>
      </c>
      <c r="H2" t="s">
        <v>202</v>
      </c>
      <c r="I2">
        <v>871036835064.59998</v>
      </c>
      <c r="J2" t="s">
        <v>209</v>
      </c>
      <c r="K2">
        <v>2729578474.3580499</v>
      </c>
      <c r="L2" t="s">
        <v>118</v>
      </c>
      <c r="M2" t="s">
        <v>213</v>
      </c>
      <c r="N2">
        <v>0.84961766999999999</v>
      </c>
      <c r="O2">
        <v>1054.29</v>
      </c>
      <c r="P2">
        <v>1059.7</v>
      </c>
      <c r="Q2">
        <v>0.85</v>
      </c>
      <c r="R2">
        <v>20103015</v>
      </c>
      <c r="S2" t="s">
        <v>119</v>
      </c>
      <c r="T2" t="s">
        <v>263</v>
      </c>
      <c r="U2">
        <v>723491621753.8363</v>
      </c>
      <c r="V2">
        <v>20.651491249999999</v>
      </c>
      <c r="W2" t="s">
        <v>264</v>
      </c>
      <c r="X2">
        <v>20.651491249999999</v>
      </c>
      <c r="Y2" t="b">
        <v>0</v>
      </c>
      <c r="Z2" t="b">
        <v>0</v>
      </c>
      <c r="AA2" t="b">
        <v>0</v>
      </c>
      <c r="AB2">
        <v>1</v>
      </c>
    </row>
    <row r="3" spans="1:28" x14ac:dyDescent="0.25">
      <c r="A3">
        <v>704</v>
      </c>
      <c r="B3" t="s">
        <v>153</v>
      </c>
      <c r="C3" t="s">
        <v>40</v>
      </c>
      <c r="D3" t="s">
        <v>90</v>
      </c>
      <c r="E3" t="s">
        <v>108</v>
      </c>
      <c r="F3">
        <v>2409295200</v>
      </c>
      <c r="G3">
        <v>177.28120000000001</v>
      </c>
      <c r="H3" t="s">
        <v>202</v>
      </c>
      <c r="I3">
        <v>427122744210.24011</v>
      </c>
      <c r="J3" t="s">
        <v>209</v>
      </c>
      <c r="K3">
        <v>1369884792.1235299</v>
      </c>
      <c r="L3" t="s">
        <v>118</v>
      </c>
      <c r="M3" t="s">
        <v>214</v>
      </c>
      <c r="N3">
        <v>0.84961766999999999</v>
      </c>
      <c r="O3">
        <v>209.3</v>
      </c>
      <c r="P3">
        <v>203.9</v>
      </c>
      <c r="Q3">
        <v>1</v>
      </c>
      <c r="R3">
        <v>20103015</v>
      </c>
      <c r="S3" t="s">
        <v>119</v>
      </c>
      <c r="T3" t="s">
        <v>263</v>
      </c>
      <c r="U3">
        <v>417379175952.48492</v>
      </c>
      <c r="V3">
        <v>18.798929999999999</v>
      </c>
      <c r="W3" t="s">
        <v>265</v>
      </c>
      <c r="X3">
        <v>18.798929999999999</v>
      </c>
      <c r="Y3" t="b">
        <v>0</v>
      </c>
      <c r="Z3" t="b">
        <v>0</v>
      </c>
      <c r="AA3" t="b">
        <v>0</v>
      </c>
      <c r="AB3">
        <v>2</v>
      </c>
    </row>
    <row r="4" spans="1:28" x14ac:dyDescent="0.25">
      <c r="A4">
        <v>13</v>
      </c>
      <c r="B4" t="s">
        <v>154</v>
      </c>
      <c r="C4" t="s">
        <v>9</v>
      </c>
      <c r="D4" t="s">
        <v>59</v>
      </c>
      <c r="E4" t="s">
        <v>108</v>
      </c>
      <c r="F4">
        <v>1767384600</v>
      </c>
      <c r="G4">
        <v>205.4341</v>
      </c>
      <c r="H4" t="s">
        <v>202</v>
      </c>
      <c r="I4">
        <v>363081064654.85999</v>
      </c>
      <c r="J4" t="s">
        <v>209</v>
      </c>
      <c r="K4">
        <v>1100163798.1565299</v>
      </c>
      <c r="L4" t="s">
        <v>118</v>
      </c>
      <c r="M4" t="s">
        <v>215</v>
      </c>
      <c r="N4">
        <v>0.84961766999999999</v>
      </c>
      <c r="O4">
        <v>223.67</v>
      </c>
      <c r="P4">
        <v>236.28</v>
      </c>
      <c r="Q4">
        <v>1</v>
      </c>
      <c r="R4">
        <v>20103015</v>
      </c>
      <c r="S4" t="s">
        <v>119</v>
      </c>
      <c r="T4" t="s">
        <v>263</v>
      </c>
      <c r="U4">
        <v>354798328191.66498</v>
      </c>
      <c r="V4">
        <v>21.224041249999999</v>
      </c>
      <c r="W4" t="s">
        <v>264</v>
      </c>
      <c r="X4">
        <v>21.224041249999999</v>
      </c>
      <c r="Y4" t="b">
        <v>0</v>
      </c>
      <c r="Z4" t="b">
        <v>0</v>
      </c>
      <c r="AA4" t="b">
        <v>0</v>
      </c>
      <c r="AB4">
        <v>3</v>
      </c>
    </row>
    <row r="5" spans="1:28" x14ac:dyDescent="0.25">
      <c r="A5">
        <v>1429</v>
      </c>
      <c r="B5" t="s">
        <v>155</v>
      </c>
      <c r="C5" t="s">
        <v>54</v>
      </c>
      <c r="D5" t="s">
        <v>104</v>
      </c>
      <c r="E5" t="s">
        <v>108</v>
      </c>
      <c r="F5">
        <v>905838600</v>
      </c>
      <c r="G5">
        <v>278.19850000000002</v>
      </c>
      <c r="H5" t="s">
        <v>202</v>
      </c>
      <c r="I5">
        <v>252002939762.10001</v>
      </c>
      <c r="J5" t="s">
        <v>209</v>
      </c>
      <c r="K5">
        <v>3024616074.19348</v>
      </c>
      <c r="L5" t="s">
        <v>118</v>
      </c>
      <c r="M5" t="s">
        <v>216</v>
      </c>
      <c r="N5">
        <v>0.84961766999999999</v>
      </c>
      <c r="O5">
        <v>334.2</v>
      </c>
      <c r="P5">
        <v>319.97000000000003</v>
      </c>
      <c r="Q5">
        <v>1</v>
      </c>
      <c r="R5">
        <v>20101020</v>
      </c>
      <c r="S5" t="s">
        <v>119</v>
      </c>
      <c r="T5" t="s">
        <v>263</v>
      </c>
      <c r="U5">
        <v>246254185338.55801</v>
      </c>
      <c r="V5">
        <v>14.49333</v>
      </c>
      <c r="W5" t="s">
        <v>265</v>
      </c>
      <c r="X5">
        <v>14.49333</v>
      </c>
      <c r="Y5" t="b">
        <v>0</v>
      </c>
      <c r="Z5" t="b">
        <v>0</v>
      </c>
      <c r="AA5" t="b">
        <v>0</v>
      </c>
      <c r="AB5">
        <v>4</v>
      </c>
    </row>
    <row r="6" spans="1:28" x14ac:dyDescent="0.25">
      <c r="A6">
        <v>130</v>
      </c>
      <c r="B6" t="s">
        <v>156</v>
      </c>
      <c r="C6" t="s">
        <v>15</v>
      </c>
      <c r="D6" t="s">
        <v>65</v>
      </c>
      <c r="E6" t="s">
        <v>112</v>
      </c>
      <c r="F6">
        <v>1550712900</v>
      </c>
      <c r="G6">
        <v>157.23910000000001</v>
      </c>
      <c r="H6" t="s">
        <v>203</v>
      </c>
      <c r="I6">
        <v>243832700754.39001</v>
      </c>
      <c r="J6" t="s">
        <v>210</v>
      </c>
      <c r="K6">
        <v>188477988.817532</v>
      </c>
      <c r="L6" t="s">
        <v>118</v>
      </c>
      <c r="M6" t="s">
        <v>217</v>
      </c>
      <c r="N6">
        <v>1.139796E-2</v>
      </c>
      <c r="O6">
        <v>13506</v>
      </c>
      <c r="P6">
        <v>13820</v>
      </c>
      <c r="Q6">
        <v>1</v>
      </c>
      <c r="R6">
        <v>20103015</v>
      </c>
      <c r="S6" t="s">
        <v>119</v>
      </c>
      <c r="T6" t="s">
        <v>263</v>
      </c>
      <c r="U6">
        <v>244267997030.55289</v>
      </c>
      <c r="V6">
        <v>18.265306249999998</v>
      </c>
      <c r="W6" t="s">
        <v>264</v>
      </c>
      <c r="X6">
        <v>18.265306249999998</v>
      </c>
      <c r="Y6" t="b">
        <v>0</v>
      </c>
      <c r="Z6" t="b">
        <v>0</v>
      </c>
      <c r="AA6" t="b">
        <v>0</v>
      </c>
      <c r="AB6">
        <v>5</v>
      </c>
    </row>
    <row r="7" spans="1:28" x14ac:dyDescent="0.25">
      <c r="A7">
        <v>1118</v>
      </c>
      <c r="B7" t="s">
        <v>157</v>
      </c>
      <c r="C7" t="s">
        <v>49</v>
      </c>
      <c r="D7" t="s">
        <v>99</v>
      </c>
      <c r="E7" t="s">
        <v>109</v>
      </c>
      <c r="F7">
        <v>702562700</v>
      </c>
      <c r="G7">
        <v>339.3297</v>
      </c>
      <c r="H7" t="s">
        <v>204</v>
      </c>
      <c r="I7">
        <v>238400390222.19</v>
      </c>
      <c r="J7" t="s">
        <v>210</v>
      </c>
      <c r="K7">
        <v>326592198.93264502</v>
      </c>
      <c r="L7" t="s">
        <v>118</v>
      </c>
      <c r="M7" t="s">
        <v>218</v>
      </c>
      <c r="N7">
        <v>1.0682048799999999</v>
      </c>
      <c r="O7">
        <v>320.39999999999998</v>
      </c>
      <c r="P7">
        <v>315.60000000000002</v>
      </c>
      <c r="Q7">
        <v>1</v>
      </c>
      <c r="R7">
        <v>20103015</v>
      </c>
      <c r="S7" t="s">
        <v>119</v>
      </c>
      <c r="T7" t="s">
        <v>263</v>
      </c>
      <c r="U7">
        <v>236851773506.27011</v>
      </c>
      <c r="V7">
        <v>21.143226250000001</v>
      </c>
      <c r="W7" t="s">
        <v>264</v>
      </c>
      <c r="X7">
        <v>21.143226250000001</v>
      </c>
      <c r="Y7" t="b">
        <v>0</v>
      </c>
      <c r="Z7" t="b">
        <v>0</v>
      </c>
      <c r="AA7" t="b">
        <v>0</v>
      </c>
      <c r="AB7">
        <v>6</v>
      </c>
    </row>
    <row r="8" spans="1:28" x14ac:dyDescent="0.25">
      <c r="A8">
        <v>975</v>
      </c>
      <c r="B8" t="s">
        <v>158</v>
      </c>
      <c r="C8" t="s">
        <v>44</v>
      </c>
      <c r="D8" t="s">
        <v>94</v>
      </c>
      <c r="E8" t="s">
        <v>109</v>
      </c>
      <c r="F8">
        <v>2112421900</v>
      </c>
      <c r="G8">
        <v>110.6155</v>
      </c>
      <c r="H8" t="s">
        <v>204</v>
      </c>
      <c r="I8">
        <v>233666604679.45001</v>
      </c>
      <c r="J8" t="s">
        <v>210</v>
      </c>
      <c r="K8">
        <v>286070489.215958</v>
      </c>
      <c r="L8" t="s">
        <v>118</v>
      </c>
      <c r="M8" t="s">
        <v>219</v>
      </c>
      <c r="N8">
        <v>1.0682048799999999</v>
      </c>
      <c r="O8">
        <v>107.48</v>
      </c>
      <c r="P8">
        <v>102.88</v>
      </c>
      <c r="Q8">
        <v>0.95</v>
      </c>
      <c r="R8">
        <v>20103015</v>
      </c>
      <c r="S8" t="s">
        <v>119</v>
      </c>
      <c r="T8" t="s">
        <v>263</v>
      </c>
      <c r="U8">
        <v>220541223618.5889</v>
      </c>
      <c r="V8">
        <v>10.93358125</v>
      </c>
      <c r="W8" t="s">
        <v>264</v>
      </c>
      <c r="X8">
        <v>10.93358125</v>
      </c>
      <c r="Y8" t="b">
        <v>0</v>
      </c>
      <c r="Z8" t="b">
        <v>0</v>
      </c>
      <c r="AA8" t="b">
        <v>0</v>
      </c>
      <c r="AB8">
        <v>7</v>
      </c>
    </row>
    <row r="9" spans="1:28" x14ac:dyDescent="0.25">
      <c r="A9">
        <v>856</v>
      </c>
      <c r="B9" t="s">
        <v>159</v>
      </c>
      <c r="C9" t="s">
        <v>43</v>
      </c>
      <c r="D9" t="s">
        <v>93</v>
      </c>
      <c r="E9" t="s">
        <v>108</v>
      </c>
      <c r="F9">
        <v>2482022500</v>
      </c>
      <c r="G9">
        <v>84.997609999999995</v>
      </c>
      <c r="H9" t="s">
        <v>202</v>
      </c>
      <c r="I9">
        <v>210965980466.22501</v>
      </c>
      <c r="J9" t="s">
        <v>209</v>
      </c>
      <c r="K9">
        <v>945348357.51570296</v>
      </c>
      <c r="L9" t="s">
        <v>118</v>
      </c>
      <c r="M9" t="s">
        <v>220</v>
      </c>
      <c r="N9">
        <v>0.84961766999999999</v>
      </c>
      <c r="O9">
        <v>98.27</v>
      </c>
      <c r="P9">
        <v>97.76</v>
      </c>
      <c r="Q9">
        <v>1</v>
      </c>
      <c r="R9">
        <v>20103015</v>
      </c>
      <c r="S9" t="s">
        <v>119</v>
      </c>
      <c r="T9" t="s">
        <v>263</v>
      </c>
      <c r="U9">
        <v>206153372145.48129</v>
      </c>
      <c r="V9">
        <v>16.662926250000002</v>
      </c>
      <c r="W9" t="s">
        <v>264</v>
      </c>
      <c r="X9">
        <v>16.662926250000002</v>
      </c>
      <c r="Y9" t="b">
        <v>0</v>
      </c>
      <c r="Z9" t="b">
        <v>0</v>
      </c>
      <c r="AA9" t="b">
        <v>0</v>
      </c>
      <c r="AB9">
        <v>8</v>
      </c>
    </row>
    <row r="10" spans="1:28" x14ac:dyDescent="0.25">
      <c r="A10">
        <v>12</v>
      </c>
      <c r="B10" t="s">
        <v>160</v>
      </c>
      <c r="C10" t="s">
        <v>8</v>
      </c>
      <c r="D10" t="s">
        <v>58</v>
      </c>
      <c r="E10" t="s">
        <v>108</v>
      </c>
      <c r="F10">
        <v>1738872000</v>
      </c>
      <c r="G10">
        <v>111.38549999999999</v>
      </c>
      <c r="H10" t="s">
        <v>202</v>
      </c>
      <c r="I10">
        <v>193685127156</v>
      </c>
      <c r="J10" t="s">
        <v>209</v>
      </c>
      <c r="K10">
        <v>669131308.86379397</v>
      </c>
      <c r="L10" t="s">
        <v>118</v>
      </c>
      <c r="M10" t="s">
        <v>221</v>
      </c>
      <c r="N10">
        <v>0.84961766999999999</v>
      </c>
      <c r="O10">
        <v>126.86</v>
      </c>
      <c r="P10">
        <v>128.11000000000001</v>
      </c>
      <c r="Q10">
        <v>1</v>
      </c>
      <c r="R10">
        <v>20102010</v>
      </c>
      <c r="S10" t="s">
        <v>119</v>
      </c>
      <c r="T10" t="s">
        <v>263</v>
      </c>
      <c r="U10">
        <v>189266687666.21219</v>
      </c>
      <c r="V10">
        <v>16.8790625</v>
      </c>
      <c r="W10" t="s">
        <v>264</v>
      </c>
      <c r="X10">
        <v>16.8790625</v>
      </c>
      <c r="Y10" t="b">
        <v>0</v>
      </c>
      <c r="Z10" t="b">
        <v>0</v>
      </c>
      <c r="AA10" t="b">
        <v>0</v>
      </c>
      <c r="AB10">
        <v>9</v>
      </c>
    </row>
    <row r="11" spans="1:28" x14ac:dyDescent="0.25">
      <c r="A11">
        <v>1363</v>
      </c>
      <c r="B11" t="s">
        <v>161</v>
      </c>
      <c r="C11" t="s">
        <v>53</v>
      </c>
      <c r="D11" t="s">
        <v>103</v>
      </c>
      <c r="E11" t="s">
        <v>108</v>
      </c>
      <c r="F11">
        <v>375708070</v>
      </c>
      <c r="G11">
        <v>510.78559999999999</v>
      </c>
      <c r="H11" t="s">
        <v>202</v>
      </c>
      <c r="I11">
        <v>191906271959.79199</v>
      </c>
      <c r="J11" t="s">
        <v>209</v>
      </c>
      <c r="K11">
        <v>895803447.12567902</v>
      </c>
      <c r="L11" t="s">
        <v>118</v>
      </c>
      <c r="M11" t="s">
        <v>222</v>
      </c>
      <c r="N11">
        <v>0.84961766999999999</v>
      </c>
      <c r="O11">
        <v>570.16</v>
      </c>
      <c r="P11">
        <v>587.48</v>
      </c>
      <c r="Q11">
        <v>1</v>
      </c>
      <c r="R11">
        <v>20102010</v>
      </c>
      <c r="S11" t="s">
        <v>119</v>
      </c>
      <c r="T11" t="s">
        <v>263</v>
      </c>
      <c r="U11">
        <v>187528442167.9375</v>
      </c>
      <c r="V11">
        <v>11.042972860000001</v>
      </c>
      <c r="W11" t="s">
        <v>265</v>
      </c>
      <c r="X11">
        <v>11.042972860000001</v>
      </c>
      <c r="Y11" t="b">
        <v>0</v>
      </c>
      <c r="Z11" t="b">
        <v>0</v>
      </c>
      <c r="AA11" t="b">
        <v>0</v>
      </c>
      <c r="AB11">
        <v>10</v>
      </c>
    </row>
    <row r="12" spans="1:28" x14ac:dyDescent="0.25">
      <c r="A12">
        <v>668</v>
      </c>
      <c r="B12" t="s">
        <v>162</v>
      </c>
      <c r="C12" t="s">
        <v>38</v>
      </c>
      <c r="D12" t="s">
        <v>88</v>
      </c>
      <c r="E12" t="s">
        <v>110</v>
      </c>
      <c r="F12">
        <v>354496060</v>
      </c>
      <c r="G12">
        <v>488.2928</v>
      </c>
      <c r="H12" t="s">
        <v>202</v>
      </c>
      <c r="I12">
        <v>173097873726.36801</v>
      </c>
      <c r="J12" t="s">
        <v>209</v>
      </c>
      <c r="K12">
        <v>1019103348.61517</v>
      </c>
      <c r="L12" t="s">
        <v>118</v>
      </c>
      <c r="M12" t="s">
        <v>223</v>
      </c>
      <c r="N12">
        <v>0.84961766999999999</v>
      </c>
      <c r="O12">
        <v>554.58000000000004</v>
      </c>
      <c r="P12">
        <v>561.61</v>
      </c>
      <c r="Q12">
        <v>1</v>
      </c>
      <c r="R12">
        <v>20102010</v>
      </c>
      <c r="S12" t="s">
        <v>119</v>
      </c>
      <c r="T12" t="s">
        <v>263</v>
      </c>
      <c r="U12">
        <v>169149134899.5723</v>
      </c>
      <c r="V12">
        <v>17.22382</v>
      </c>
      <c r="W12" t="s">
        <v>264</v>
      </c>
      <c r="X12">
        <v>17.22382</v>
      </c>
      <c r="Y12" t="b">
        <v>0</v>
      </c>
      <c r="Z12" t="b">
        <v>0</v>
      </c>
      <c r="AA12" t="b">
        <v>0</v>
      </c>
      <c r="AB12">
        <v>11</v>
      </c>
    </row>
    <row r="13" spans="1:28" x14ac:dyDescent="0.25">
      <c r="A13">
        <v>85</v>
      </c>
      <c r="B13" t="s">
        <v>163</v>
      </c>
      <c r="C13" t="s">
        <v>13</v>
      </c>
      <c r="D13" t="s">
        <v>63</v>
      </c>
      <c r="E13" t="s">
        <v>110</v>
      </c>
      <c r="F13">
        <v>538480650</v>
      </c>
      <c r="G13">
        <v>293.47480000000002</v>
      </c>
      <c r="H13" t="s">
        <v>202</v>
      </c>
      <c r="I13">
        <v>158030501062.62</v>
      </c>
      <c r="J13" t="s">
        <v>209</v>
      </c>
      <c r="K13">
        <v>646668255.93707001</v>
      </c>
      <c r="L13" t="s">
        <v>118</v>
      </c>
      <c r="M13" t="s">
        <v>224</v>
      </c>
      <c r="N13">
        <v>0.84961766999999999</v>
      </c>
      <c r="O13">
        <v>326.74</v>
      </c>
      <c r="P13">
        <v>337.54</v>
      </c>
      <c r="Q13">
        <v>1</v>
      </c>
      <c r="R13">
        <v>20103015</v>
      </c>
      <c r="S13" t="s">
        <v>119</v>
      </c>
      <c r="T13" t="s">
        <v>263</v>
      </c>
      <c r="U13">
        <v>154425452984.6741</v>
      </c>
      <c r="V13">
        <v>20.38213562</v>
      </c>
      <c r="W13" t="s">
        <v>264</v>
      </c>
      <c r="X13">
        <v>20.38213562</v>
      </c>
      <c r="Y13" t="b">
        <v>0</v>
      </c>
      <c r="Z13" t="b">
        <v>0</v>
      </c>
      <c r="AA13" t="b">
        <v>0</v>
      </c>
      <c r="AB13">
        <v>12</v>
      </c>
    </row>
    <row r="14" spans="1:28" x14ac:dyDescent="0.25">
      <c r="A14">
        <v>555</v>
      </c>
      <c r="B14" t="s">
        <v>164</v>
      </c>
      <c r="C14" t="s">
        <v>31</v>
      </c>
      <c r="D14" t="s">
        <v>81</v>
      </c>
      <c r="E14" t="s">
        <v>110</v>
      </c>
      <c r="F14">
        <v>1240679600</v>
      </c>
      <c r="G14">
        <v>110.1074</v>
      </c>
      <c r="H14" t="s">
        <v>202</v>
      </c>
      <c r="I14">
        <v>136608004989.03999</v>
      </c>
      <c r="J14" t="s">
        <v>209</v>
      </c>
      <c r="K14">
        <v>723768610.826051</v>
      </c>
      <c r="L14" t="s">
        <v>118</v>
      </c>
      <c r="M14" t="s">
        <v>225</v>
      </c>
      <c r="N14">
        <v>0.84961766999999999</v>
      </c>
      <c r="O14">
        <v>118.78</v>
      </c>
      <c r="P14">
        <v>126.64</v>
      </c>
      <c r="Q14">
        <v>1</v>
      </c>
      <c r="R14">
        <v>20103015</v>
      </c>
      <c r="S14" t="s">
        <v>119</v>
      </c>
      <c r="T14" t="s">
        <v>263</v>
      </c>
      <c r="U14">
        <v>133491643301.0549</v>
      </c>
      <c r="V14">
        <v>20.694655000000001</v>
      </c>
      <c r="W14" t="s">
        <v>264</v>
      </c>
      <c r="X14">
        <v>20.694655000000001</v>
      </c>
      <c r="Y14" t="b">
        <v>0</v>
      </c>
      <c r="Z14" t="b">
        <v>0</v>
      </c>
      <c r="AA14" t="b">
        <v>0</v>
      </c>
      <c r="AB14">
        <v>13</v>
      </c>
    </row>
    <row r="15" spans="1:28" x14ac:dyDescent="0.25">
      <c r="A15">
        <v>976</v>
      </c>
      <c r="B15" t="s">
        <v>165</v>
      </c>
      <c r="C15" t="s">
        <v>45</v>
      </c>
      <c r="D15" t="s">
        <v>95</v>
      </c>
      <c r="E15" t="s">
        <v>117</v>
      </c>
      <c r="F15">
        <v>3390128000</v>
      </c>
      <c r="G15">
        <v>40.78913</v>
      </c>
      <c r="H15" t="s">
        <v>205</v>
      </c>
      <c r="I15">
        <v>138280371708.64001</v>
      </c>
      <c r="J15" t="s">
        <v>210</v>
      </c>
      <c r="K15">
        <v>270025172.76149303</v>
      </c>
      <c r="L15" t="s">
        <v>118</v>
      </c>
      <c r="M15" t="s">
        <v>226</v>
      </c>
      <c r="N15">
        <v>0.13384283</v>
      </c>
      <c r="O15">
        <v>309.35000000000002</v>
      </c>
      <c r="P15">
        <v>304.64999999999998</v>
      </c>
      <c r="Q15">
        <v>0.95</v>
      </c>
      <c r="R15">
        <v>20103015</v>
      </c>
      <c r="S15" t="s">
        <v>119</v>
      </c>
      <c r="T15" t="s">
        <v>263</v>
      </c>
      <c r="U15">
        <v>131321548349.19791</v>
      </c>
      <c r="V15">
        <v>19.475670000000001</v>
      </c>
      <c r="W15" t="s">
        <v>264</v>
      </c>
      <c r="X15">
        <v>19.475670000000001</v>
      </c>
      <c r="Y15" t="b">
        <v>0</v>
      </c>
      <c r="Z15" t="b">
        <v>0</v>
      </c>
      <c r="AA15" t="b">
        <v>0</v>
      </c>
      <c r="AB15">
        <v>14</v>
      </c>
    </row>
    <row r="16" spans="1:28" x14ac:dyDescent="0.25">
      <c r="A16">
        <v>374</v>
      </c>
      <c r="B16" t="s">
        <v>166</v>
      </c>
      <c r="C16" t="s">
        <v>25</v>
      </c>
      <c r="D16" t="s">
        <v>75</v>
      </c>
      <c r="E16" t="s">
        <v>108</v>
      </c>
      <c r="F16">
        <v>706349550</v>
      </c>
      <c r="G16">
        <v>197.7047</v>
      </c>
      <c r="H16" t="s">
        <v>202</v>
      </c>
      <c r="I16">
        <v>139648625877.88501</v>
      </c>
      <c r="J16" t="s">
        <v>209</v>
      </c>
      <c r="K16">
        <v>727831775.67596602</v>
      </c>
      <c r="L16" t="s">
        <v>118</v>
      </c>
      <c r="M16" t="s">
        <v>227</v>
      </c>
      <c r="N16">
        <v>0.84961766999999999</v>
      </c>
      <c r="O16">
        <v>224.7</v>
      </c>
      <c r="P16">
        <v>227.39</v>
      </c>
      <c r="Q16">
        <v>0.9</v>
      </c>
      <c r="R16">
        <v>20102010</v>
      </c>
      <c r="S16" t="s">
        <v>119</v>
      </c>
      <c r="T16" t="s">
        <v>263</v>
      </c>
      <c r="U16">
        <v>122816602726.1445</v>
      </c>
      <c r="V16">
        <v>8.9492049999999992</v>
      </c>
      <c r="W16" t="s">
        <v>264</v>
      </c>
      <c r="X16">
        <v>8.9492049999999992</v>
      </c>
      <c r="Y16" t="b">
        <v>0</v>
      </c>
      <c r="Z16" t="b">
        <v>0</v>
      </c>
      <c r="AA16" t="b">
        <v>0</v>
      </c>
      <c r="AB16">
        <v>15</v>
      </c>
    </row>
    <row r="17" spans="1:28" x14ac:dyDescent="0.25">
      <c r="A17">
        <v>215</v>
      </c>
      <c r="B17" t="s">
        <v>167</v>
      </c>
      <c r="C17" t="s">
        <v>18</v>
      </c>
      <c r="D17" t="s">
        <v>68</v>
      </c>
      <c r="E17" t="s">
        <v>108</v>
      </c>
      <c r="F17">
        <v>1482442000</v>
      </c>
      <c r="G17">
        <v>84.232489999999999</v>
      </c>
      <c r="H17" t="s">
        <v>202</v>
      </c>
      <c r="I17">
        <v>124869780940.58</v>
      </c>
      <c r="J17" t="s">
        <v>209</v>
      </c>
      <c r="K17">
        <v>792196115.05116904</v>
      </c>
      <c r="L17" t="s">
        <v>118</v>
      </c>
      <c r="M17" t="s">
        <v>228</v>
      </c>
      <c r="N17">
        <v>0.84961766999999999</v>
      </c>
      <c r="O17">
        <v>92.95</v>
      </c>
      <c r="P17">
        <v>96.88</v>
      </c>
      <c r="Q17">
        <v>1</v>
      </c>
      <c r="R17">
        <v>20102010</v>
      </c>
      <c r="S17" t="s">
        <v>119</v>
      </c>
      <c r="T17" t="s">
        <v>263</v>
      </c>
      <c r="U17">
        <v>122021223971.0096</v>
      </c>
      <c r="V17">
        <v>17.203827499999999</v>
      </c>
      <c r="W17" t="s">
        <v>264</v>
      </c>
      <c r="X17">
        <v>17.203827499999999</v>
      </c>
      <c r="Y17" t="b">
        <v>0</v>
      </c>
      <c r="Z17" t="b">
        <v>0</v>
      </c>
      <c r="AA17" t="b">
        <v>0</v>
      </c>
      <c r="AB17">
        <v>16</v>
      </c>
    </row>
    <row r="18" spans="1:28" x14ac:dyDescent="0.25">
      <c r="A18">
        <v>1039</v>
      </c>
      <c r="B18" t="s">
        <v>168</v>
      </c>
      <c r="C18" t="s">
        <v>46</v>
      </c>
      <c r="D18" t="s">
        <v>96</v>
      </c>
      <c r="E18" t="s">
        <v>108</v>
      </c>
      <c r="F18">
        <v>5685707500</v>
      </c>
      <c r="G18">
        <v>21.771070000000002</v>
      </c>
      <c r="H18" t="s">
        <v>202</v>
      </c>
      <c r="I18">
        <v>123783935982.02499</v>
      </c>
      <c r="J18" t="s">
        <v>209</v>
      </c>
      <c r="K18">
        <v>1428431646.10759</v>
      </c>
      <c r="L18" t="s">
        <v>118</v>
      </c>
      <c r="M18" t="s">
        <v>229</v>
      </c>
      <c r="N18">
        <v>0.84961766999999999</v>
      </c>
      <c r="O18">
        <v>25.53</v>
      </c>
      <c r="P18">
        <v>25.04</v>
      </c>
      <c r="Q18">
        <v>1</v>
      </c>
      <c r="R18">
        <v>20103015</v>
      </c>
      <c r="S18" t="s">
        <v>119</v>
      </c>
      <c r="T18" t="s">
        <v>263</v>
      </c>
      <c r="U18">
        <v>120960166063.62621</v>
      </c>
      <c r="V18">
        <v>15.90419625</v>
      </c>
      <c r="W18" t="s">
        <v>264</v>
      </c>
      <c r="X18">
        <v>15.90419625</v>
      </c>
      <c r="Y18" t="b">
        <v>0</v>
      </c>
      <c r="Z18" t="b">
        <v>0</v>
      </c>
      <c r="AA18" t="b">
        <v>0</v>
      </c>
      <c r="AB18">
        <v>17</v>
      </c>
    </row>
    <row r="19" spans="1:28" x14ac:dyDescent="0.25">
      <c r="A19">
        <v>1276</v>
      </c>
      <c r="B19" t="s">
        <v>169</v>
      </c>
      <c r="C19" t="s">
        <v>51</v>
      </c>
      <c r="D19" t="s">
        <v>101</v>
      </c>
      <c r="E19" t="s">
        <v>108</v>
      </c>
      <c r="F19">
        <v>382423650</v>
      </c>
      <c r="G19">
        <v>320.19299999999998</v>
      </c>
      <c r="H19" t="s">
        <v>202</v>
      </c>
      <c r="I19">
        <v>122449375764.45</v>
      </c>
      <c r="J19" t="s">
        <v>209</v>
      </c>
      <c r="K19">
        <v>471071737.07893503</v>
      </c>
      <c r="L19" t="s">
        <v>118</v>
      </c>
      <c r="M19" t="s">
        <v>230</v>
      </c>
      <c r="N19">
        <v>0.84961766999999999</v>
      </c>
      <c r="O19">
        <v>351.69</v>
      </c>
      <c r="P19">
        <v>368.27</v>
      </c>
      <c r="Q19">
        <v>0.95</v>
      </c>
      <c r="R19">
        <v>20102010</v>
      </c>
      <c r="S19" t="s">
        <v>119</v>
      </c>
      <c r="T19" t="s">
        <v>263</v>
      </c>
      <c r="U19">
        <v>113673236519.7816</v>
      </c>
      <c r="V19">
        <v>17.45745625</v>
      </c>
      <c r="W19" t="s">
        <v>264</v>
      </c>
      <c r="X19">
        <v>17.45745625</v>
      </c>
      <c r="Y19" t="b">
        <v>0</v>
      </c>
      <c r="Z19" t="b">
        <v>0</v>
      </c>
      <c r="AA19" t="b">
        <v>0</v>
      </c>
      <c r="AB19">
        <v>18</v>
      </c>
    </row>
    <row r="20" spans="1:28" x14ac:dyDescent="0.25">
      <c r="A20">
        <v>851</v>
      </c>
      <c r="B20" t="s">
        <v>170</v>
      </c>
      <c r="C20" t="s">
        <v>42</v>
      </c>
      <c r="D20" t="s">
        <v>92</v>
      </c>
      <c r="E20" t="s">
        <v>108</v>
      </c>
      <c r="F20">
        <v>1282685900</v>
      </c>
      <c r="G20">
        <v>87.988529999999997</v>
      </c>
      <c r="H20" t="s">
        <v>202</v>
      </c>
      <c r="I20">
        <v>112861646792.72701</v>
      </c>
      <c r="J20" t="s">
        <v>209</v>
      </c>
      <c r="K20">
        <v>572626512.17302203</v>
      </c>
      <c r="L20" t="s">
        <v>118</v>
      </c>
      <c r="M20" t="s">
        <v>231</v>
      </c>
      <c r="N20">
        <v>0.84961766999999999</v>
      </c>
      <c r="O20">
        <v>97.72</v>
      </c>
      <c r="P20">
        <v>101.2</v>
      </c>
      <c r="Q20">
        <v>1</v>
      </c>
      <c r="R20">
        <v>20102010</v>
      </c>
      <c r="S20" t="s">
        <v>119</v>
      </c>
      <c r="T20" t="s">
        <v>263</v>
      </c>
      <c r="U20">
        <v>110287011696.8251</v>
      </c>
      <c r="V20">
        <v>16.2710325</v>
      </c>
      <c r="W20" t="s">
        <v>264</v>
      </c>
      <c r="X20">
        <v>16.2710325</v>
      </c>
      <c r="Y20" t="b">
        <v>0</v>
      </c>
      <c r="Z20" t="b">
        <v>0</v>
      </c>
      <c r="AA20" t="b">
        <v>0</v>
      </c>
      <c r="AB20">
        <v>19</v>
      </c>
    </row>
    <row r="21" spans="1:28" x14ac:dyDescent="0.25">
      <c r="A21">
        <v>1154</v>
      </c>
      <c r="B21" t="s">
        <v>171</v>
      </c>
      <c r="C21" t="s">
        <v>50</v>
      </c>
      <c r="D21" t="s">
        <v>100</v>
      </c>
      <c r="E21" t="s">
        <v>116</v>
      </c>
      <c r="F21">
        <v>1227468973</v>
      </c>
      <c r="G21">
        <v>86.32</v>
      </c>
      <c r="H21" t="s">
        <v>119</v>
      </c>
      <c r="I21">
        <v>105955121749.36</v>
      </c>
      <c r="J21" t="s">
        <v>211</v>
      </c>
      <c r="K21">
        <v>162557819.54956099</v>
      </c>
      <c r="L21" t="s">
        <v>118</v>
      </c>
      <c r="M21" t="s">
        <v>232</v>
      </c>
      <c r="N21">
        <v>1</v>
      </c>
      <c r="O21">
        <v>80.94</v>
      </c>
      <c r="P21">
        <v>86.32</v>
      </c>
      <c r="Q21">
        <v>0.95000000000000007</v>
      </c>
      <c r="R21">
        <v>20103015</v>
      </c>
      <c r="S21" t="s">
        <v>119</v>
      </c>
      <c r="T21" t="s">
        <v>263</v>
      </c>
      <c r="U21">
        <v>100657365661.892</v>
      </c>
      <c r="V21">
        <v>13.1702175</v>
      </c>
      <c r="W21" t="s">
        <v>264</v>
      </c>
      <c r="X21">
        <v>13.1702175</v>
      </c>
      <c r="Y21" t="b">
        <v>0</v>
      </c>
      <c r="Z21" t="b">
        <v>0</v>
      </c>
      <c r="AA21" t="b">
        <v>0</v>
      </c>
      <c r="AB21">
        <v>20</v>
      </c>
    </row>
    <row r="22" spans="1:28" x14ac:dyDescent="0.25">
      <c r="A22">
        <v>465</v>
      </c>
      <c r="B22" t="s">
        <v>172</v>
      </c>
      <c r="C22" t="s">
        <v>29</v>
      </c>
      <c r="D22" t="s">
        <v>79</v>
      </c>
      <c r="E22" t="s">
        <v>116</v>
      </c>
      <c r="F22">
        <v>463145529</v>
      </c>
      <c r="G22">
        <v>306</v>
      </c>
      <c r="H22" t="s">
        <v>119</v>
      </c>
      <c r="I22">
        <v>141722531874</v>
      </c>
      <c r="J22" t="s">
        <v>211</v>
      </c>
      <c r="K22">
        <v>110011448.09751201</v>
      </c>
      <c r="L22" t="s">
        <v>118</v>
      </c>
      <c r="M22" t="s">
        <v>233</v>
      </c>
      <c r="N22">
        <v>1</v>
      </c>
      <c r="O22">
        <v>278.2</v>
      </c>
      <c r="P22">
        <v>306</v>
      </c>
      <c r="Q22">
        <v>0.70000000000000007</v>
      </c>
      <c r="R22">
        <v>20102015</v>
      </c>
      <c r="S22" t="s">
        <v>119</v>
      </c>
      <c r="T22" t="s">
        <v>263</v>
      </c>
      <c r="U22">
        <v>99205772311.800003</v>
      </c>
      <c r="V22">
        <v>12.911462500000001</v>
      </c>
      <c r="W22" t="s">
        <v>264</v>
      </c>
      <c r="X22">
        <v>12.911462500000001</v>
      </c>
      <c r="Y22" t="b">
        <v>0</v>
      </c>
      <c r="Z22" t="b">
        <v>0</v>
      </c>
      <c r="AA22" t="b">
        <v>0</v>
      </c>
      <c r="AB22">
        <v>21</v>
      </c>
    </row>
    <row r="23" spans="1:28" x14ac:dyDescent="0.25">
      <c r="A23">
        <v>1455</v>
      </c>
      <c r="B23" t="s">
        <v>173</v>
      </c>
      <c r="C23" t="s">
        <v>56</v>
      </c>
      <c r="D23" t="s">
        <v>106</v>
      </c>
      <c r="E23" t="s">
        <v>110</v>
      </c>
      <c r="F23">
        <v>253718830</v>
      </c>
      <c r="G23">
        <v>371.04730000000001</v>
      </c>
      <c r="H23" t="s">
        <v>202</v>
      </c>
      <c r="I23">
        <v>94141686830.658997</v>
      </c>
      <c r="J23" t="s">
        <v>209</v>
      </c>
      <c r="K23">
        <v>520677991.07000899</v>
      </c>
      <c r="L23" t="s">
        <v>118</v>
      </c>
      <c r="M23" t="s">
        <v>234</v>
      </c>
      <c r="N23">
        <v>0.84961766999999999</v>
      </c>
      <c r="O23">
        <v>454.96</v>
      </c>
      <c r="P23">
        <v>426.76</v>
      </c>
      <c r="Q23">
        <v>1</v>
      </c>
      <c r="R23">
        <v>20103015</v>
      </c>
      <c r="S23" t="s">
        <v>119</v>
      </c>
      <c r="T23" t="s">
        <v>263</v>
      </c>
      <c r="U23">
        <v>91994093143.459915</v>
      </c>
      <c r="V23">
        <v>20.318480000000001</v>
      </c>
      <c r="W23" t="s">
        <v>264</v>
      </c>
      <c r="X23">
        <v>20.318480000000001</v>
      </c>
      <c r="Y23" t="b">
        <v>0</v>
      </c>
      <c r="Z23" t="b">
        <v>0</v>
      </c>
      <c r="AA23" t="b">
        <v>0</v>
      </c>
      <c r="AB23">
        <v>22</v>
      </c>
    </row>
    <row r="24" spans="1:28" x14ac:dyDescent="0.25">
      <c r="A24">
        <v>569</v>
      </c>
      <c r="B24" t="s">
        <v>174</v>
      </c>
      <c r="C24" t="s">
        <v>32</v>
      </c>
      <c r="D24" t="s">
        <v>82</v>
      </c>
      <c r="E24" t="s">
        <v>112</v>
      </c>
      <c r="F24">
        <v>4080008300</v>
      </c>
      <c r="G24">
        <v>20.343229999999998</v>
      </c>
      <c r="H24" t="s">
        <v>203</v>
      </c>
      <c r="I24">
        <v>83000547248.80899</v>
      </c>
      <c r="J24" t="s">
        <v>210</v>
      </c>
      <c r="K24">
        <v>112214843.897594</v>
      </c>
      <c r="L24" t="s">
        <v>118</v>
      </c>
      <c r="M24" t="s">
        <v>235</v>
      </c>
      <c r="N24">
        <v>1.139796E-2</v>
      </c>
      <c r="O24">
        <v>1819.5</v>
      </c>
      <c r="P24">
        <v>1788</v>
      </c>
      <c r="Q24">
        <v>1</v>
      </c>
      <c r="R24">
        <v>20103015</v>
      </c>
      <c r="S24" t="s">
        <v>119</v>
      </c>
      <c r="T24" t="s">
        <v>263</v>
      </c>
      <c r="U24">
        <v>83148743268.685593</v>
      </c>
      <c r="V24">
        <v>13.739672499999999</v>
      </c>
      <c r="W24" t="s">
        <v>264</v>
      </c>
      <c r="X24">
        <v>13.739672499999999</v>
      </c>
      <c r="Y24" t="b">
        <v>0</v>
      </c>
      <c r="Z24" t="b">
        <v>0</v>
      </c>
      <c r="AA24" t="b">
        <v>0</v>
      </c>
      <c r="AB24">
        <v>23</v>
      </c>
    </row>
    <row r="25" spans="1:28" x14ac:dyDescent="0.25">
      <c r="A25">
        <v>223</v>
      </c>
      <c r="B25" t="s">
        <v>175</v>
      </c>
      <c r="C25" t="s">
        <v>19</v>
      </c>
      <c r="D25" t="s">
        <v>69</v>
      </c>
      <c r="E25" t="s">
        <v>108</v>
      </c>
      <c r="F25">
        <v>2035753000</v>
      </c>
      <c r="G25">
        <v>40.212150000000001</v>
      </c>
      <c r="H25" t="s">
        <v>202</v>
      </c>
      <c r="I25">
        <v>81862004998.949997</v>
      </c>
      <c r="J25" t="s">
        <v>209</v>
      </c>
      <c r="K25">
        <v>593889285.91466999</v>
      </c>
      <c r="L25" t="s">
        <v>118</v>
      </c>
      <c r="M25" t="s">
        <v>236</v>
      </c>
      <c r="N25">
        <v>0.84961766999999999</v>
      </c>
      <c r="O25">
        <v>54.23</v>
      </c>
      <c r="P25">
        <v>46.25</v>
      </c>
      <c r="Q25">
        <v>1</v>
      </c>
      <c r="R25">
        <v>20103015</v>
      </c>
      <c r="S25" t="s">
        <v>119</v>
      </c>
      <c r="T25" t="s">
        <v>263</v>
      </c>
      <c r="U25">
        <v>79994542075.692337</v>
      </c>
      <c r="V25">
        <v>14.62401375</v>
      </c>
      <c r="W25" t="s">
        <v>264</v>
      </c>
      <c r="X25">
        <v>14.62401375</v>
      </c>
      <c r="Y25" t="b">
        <v>0</v>
      </c>
      <c r="Z25" t="b">
        <v>0</v>
      </c>
      <c r="AA25" t="b">
        <v>0</v>
      </c>
      <c r="AB25">
        <v>24</v>
      </c>
    </row>
    <row r="26" spans="1:28" x14ac:dyDescent="0.25">
      <c r="A26">
        <v>584</v>
      </c>
      <c r="B26" t="s">
        <v>176</v>
      </c>
      <c r="C26" t="s">
        <v>34</v>
      </c>
      <c r="D26" t="s">
        <v>84</v>
      </c>
      <c r="E26" t="s">
        <v>108</v>
      </c>
      <c r="F26">
        <v>228193900</v>
      </c>
      <c r="G26">
        <v>426.9008</v>
      </c>
      <c r="H26" t="s">
        <v>202</v>
      </c>
      <c r="I26">
        <v>97416158465.119995</v>
      </c>
      <c r="J26" t="s">
        <v>209</v>
      </c>
      <c r="K26">
        <v>481812504.15149701</v>
      </c>
      <c r="L26" t="s">
        <v>118</v>
      </c>
      <c r="M26" t="s">
        <v>237</v>
      </c>
      <c r="N26">
        <v>0.84961766999999999</v>
      </c>
      <c r="O26">
        <v>469.79</v>
      </c>
      <c r="P26">
        <v>491</v>
      </c>
      <c r="Q26">
        <v>0.7</v>
      </c>
      <c r="R26">
        <v>20101010</v>
      </c>
      <c r="S26" t="s">
        <v>119</v>
      </c>
      <c r="T26" t="s">
        <v>263</v>
      </c>
      <c r="U26">
        <v>66635720680.529404</v>
      </c>
      <c r="V26">
        <v>26.063371249999999</v>
      </c>
      <c r="W26" t="s">
        <v>264</v>
      </c>
      <c r="X26">
        <v>26.063371249999999</v>
      </c>
      <c r="Y26" t="b">
        <v>0</v>
      </c>
      <c r="Z26" t="b">
        <v>0</v>
      </c>
      <c r="AA26" t="b">
        <v>0</v>
      </c>
      <c r="AB26">
        <v>25</v>
      </c>
    </row>
    <row r="27" spans="1:28" x14ac:dyDescent="0.25">
      <c r="A27">
        <v>1095</v>
      </c>
      <c r="B27" t="s">
        <v>177</v>
      </c>
      <c r="C27" t="s">
        <v>47</v>
      </c>
      <c r="D27" t="s">
        <v>97</v>
      </c>
      <c r="E27" t="s">
        <v>110</v>
      </c>
      <c r="F27">
        <v>103282320</v>
      </c>
      <c r="G27">
        <v>657.21860000000004</v>
      </c>
      <c r="H27" t="s">
        <v>202</v>
      </c>
      <c r="I27">
        <v>67879061755.152</v>
      </c>
      <c r="J27" t="s">
        <v>209</v>
      </c>
      <c r="K27">
        <v>573834079.75992799</v>
      </c>
      <c r="L27" t="s">
        <v>118</v>
      </c>
      <c r="M27" t="s">
        <v>238</v>
      </c>
      <c r="N27">
        <v>0.84961766999999999</v>
      </c>
      <c r="O27">
        <v>746.36</v>
      </c>
      <c r="P27">
        <v>755.9</v>
      </c>
      <c r="Q27">
        <v>1</v>
      </c>
      <c r="R27">
        <v>20103010</v>
      </c>
      <c r="S27" t="s">
        <v>119</v>
      </c>
      <c r="T27" t="s">
        <v>263</v>
      </c>
      <c r="U27">
        <v>66330590908.962303</v>
      </c>
      <c r="V27">
        <v>17.589247499999999</v>
      </c>
      <c r="W27" t="s">
        <v>264</v>
      </c>
      <c r="X27">
        <v>17.589247499999999</v>
      </c>
      <c r="Y27" t="b">
        <v>0</v>
      </c>
      <c r="Z27" t="b">
        <v>0</v>
      </c>
      <c r="AA27" t="b">
        <v>0</v>
      </c>
      <c r="AB27">
        <v>26</v>
      </c>
    </row>
    <row r="28" spans="1:28" x14ac:dyDescent="0.25">
      <c r="A28">
        <v>291</v>
      </c>
      <c r="B28" t="s">
        <v>178</v>
      </c>
      <c r="C28" t="s">
        <v>22</v>
      </c>
      <c r="D28" t="s">
        <v>72</v>
      </c>
      <c r="E28" t="s">
        <v>108</v>
      </c>
      <c r="F28">
        <v>267125820</v>
      </c>
      <c r="G28">
        <v>241.7859</v>
      </c>
      <c r="H28" t="s">
        <v>202</v>
      </c>
      <c r="I28">
        <v>64587256801.938004</v>
      </c>
      <c r="J28" t="s">
        <v>209</v>
      </c>
      <c r="K28">
        <v>461737455.02019799</v>
      </c>
      <c r="L28" t="s">
        <v>118</v>
      </c>
      <c r="M28" t="s">
        <v>239</v>
      </c>
      <c r="N28">
        <v>0.84961766999999999</v>
      </c>
      <c r="O28">
        <v>276.11</v>
      </c>
      <c r="P28">
        <v>278.08999999999997</v>
      </c>
      <c r="Q28">
        <v>1</v>
      </c>
      <c r="R28">
        <v>20101020</v>
      </c>
      <c r="S28" t="s">
        <v>119</v>
      </c>
      <c r="T28" t="s">
        <v>263</v>
      </c>
      <c r="U28">
        <v>63113864999.807213</v>
      </c>
      <c r="V28">
        <v>7.7939550000000004</v>
      </c>
      <c r="W28" t="s">
        <v>265</v>
      </c>
      <c r="X28">
        <v>7.7939550000000004</v>
      </c>
      <c r="Y28" t="b">
        <v>0</v>
      </c>
      <c r="Z28" t="b">
        <v>0</v>
      </c>
      <c r="AA28" t="b">
        <v>0</v>
      </c>
      <c r="AB28">
        <v>27</v>
      </c>
    </row>
    <row r="29" spans="1:28" x14ac:dyDescent="0.25">
      <c r="A29">
        <v>435</v>
      </c>
      <c r="B29" t="s">
        <v>179</v>
      </c>
      <c r="C29" t="s">
        <v>27</v>
      </c>
      <c r="D29" t="s">
        <v>77</v>
      </c>
      <c r="E29" t="s">
        <v>108</v>
      </c>
      <c r="F29">
        <v>222238770</v>
      </c>
      <c r="G29">
        <v>279.7287</v>
      </c>
      <c r="H29" t="s">
        <v>202</v>
      </c>
      <c r="I29">
        <v>62166562221.698997</v>
      </c>
      <c r="J29" t="s">
        <v>209</v>
      </c>
      <c r="K29">
        <v>514982171.17282999</v>
      </c>
      <c r="L29" t="s">
        <v>118</v>
      </c>
      <c r="M29" t="s">
        <v>240</v>
      </c>
      <c r="N29">
        <v>0.84961766999999999</v>
      </c>
      <c r="O29">
        <v>351.9</v>
      </c>
      <c r="P29">
        <v>321.73</v>
      </c>
      <c r="Q29">
        <v>1</v>
      </c>
      <c r="R29">
        <v>20101020</v>
      </c>
      <c r="S29" t="s">
        <v>119</v>
      </c>
      <c r="T29" t="s">
        <v>263</v>
      </c>
      <c r="U29">
        <v>60748410620.036438</v>
      </c>
      <c r="V29">
        <v>7.4350750000000003</v>
      </c>
      <c r="W29" t="s">
        <v>264</v>
      </c>
      <c r="X29">
        <v>7.4350750000000003</v>
      </c>
      <c r="Y29" t="b">
        <v>0</v>
      </c>
      <c r="Z29" t="b">
        <v>0</v>
      </c>
      <c r="AA29" t="b">
        <v>0</v>
      </c>
      <c r="AB29">
        <v>28</v>
      </c>
    </row>
    <row r="30" spans="1:28" x14ac:dyDescent="0.25">
      <c r="A30">
        <v>110</v>
      </c>
      <c r="B30" t="s">
        <v>180</v>
      </c>
      <c r="C30" t="s">
        <v>14</v>
      </c>
      <c r="D30" t="s">
        <v>64</v>
      </c>
      <c r="E30" t="s">
        <v>111</v>
      </c>
      <c r="F30">
        <v>61568926</v>
      </c>
      <c r="G30">
        <v>800.4</v>
      </c>
      <c r="H30" t="s">
        <v>119</v>
      </c>
      <c r="I30">
        <v>49279768370.400002</v>
      </c>
      <c r="J30" t="s">
        <v>211</v>
      </c>
      <c r="K30">
        <v>71799660.425757498</v>
      </c>
      <c r="L30" t="s">
        <v>118</v>
      </c>
      <c r="M30" t="s">
        <v>241</v>
      </c>
      <c r="N30">
        <v>1</v>
      </c>
      <c r="O30">
        <v>726.6</v>
      </c>
      <c r="P30">
        <v>800.4</v>
      </c>
      <c r="Q30">
        <v>1</v>
      </c>
      <c r="R30">
        <v>20103010</v>
      </c>
      <c r="S30" t="s">
        <v>119</v>
      </c>
      <c r="T30" t="s">
        <v>263</v>
      </c>
      <c r="U30">
        <v>49279768370.400002</v>
      </c>
      <c r="V30">
        <v>24.860810619999999</v>
      </c>
      <c r="W30" t="s">
        <v>264</v>
      </c>
      <c r="X30">
        <v>24.860810619999999</v>
      </c>
      <c r="Y30" t="b">
        <v>0</v>
      </c>
      <c r="Z30" t="b">
        <v>0</v>
      </c>
      <c r="AA30" t="b">
        <v>0</v>
      </c>
      <c r="AB30">
        <v>29</v>
      </c>
    </row>
    <row r="31" spans="1:28" x14ac:dyDescent="0.25">
      <c r="A31">
        <v>633</v>
      </c>
      <c r="B31" t="s">
        <v>181</v>
      </c>
      <c r="C31" t="s">
        <v>36</v>
      </c>
      <c r="D31" t="s">
        <v>86</v>
      </c>
      <c r="E31" t="s">
        <v>110</v>
      </c>
      <c r="F31">
        <v>79851330</v>
      </c>
      <c r="G31">
        <v>631.14369999999997</v>
      </c>
      <c r="H31" t="s">
        <v>202</v>
      </c>
      <c r="I31">
        <v>50397663866.120987</v>
      </c>
      <c r="J31" t="s">
        <v>209</v>
      </c>
      <c r="K31">
        <v>273686180.19418198</v>
      </c>
      <c r="L31" t="s">
        <v>118</v>
      </c>
      <c r="M31" t="s">
        <v>242</v>
      </c>
      <c r="N31">
        <v>0.84961766999999999</v>
      </c>
      <c r="O31">
        <v>693.18</v>
      </c>
      <c r="P31">
        <v>725.91</v>
      </c>
      <c r="Q31">
        <v>1</v>
      </c>
      <c r="R31">
        <v>20102010</v>
      </c>
      <c r="S31" t="s">
        <v>119</v>
      </c>
      <c r="T31" t="s">
        <v>263</v>
      </c>
      <c r="U31">
        <v>49247985404.082108</v>
      </c>
      <c r="V31">
        <v>14.404036250000001</v>
      </c>
      <c r="W31" t="s">
        <v>264</v>
      </c>
      <c r="X31">
        <v>14.404036250000001</v>
      </c>
      <c r="Y31" t="b">
        <v>0</v>
      </c>
      <c r="Z31" t="b">
        <v>0</v>
      </c>
      <c r="AA31" t="b">
        <v>0</v>
      </c>
      <c r="AB31">
        <v>30</v>
      </c>
    </row>
    <row r="32" spans="1:28" x14ac:dyDescent="0.25">
      <c r="A32">
        <v>66</v>
      </c>
      <c r="B32" t="s">
        <v>182</v>
      </c>
      <c r="C32" t="s">
        <v>12</v>
      </c>
      <c r="D32" t="s">
        <v>62</v>
      </c>
      <c r="E32" t="s">
        <v>110</v>
      </c>
      <c r="F32">
        <v>132113820</v>
      </c>
      <c r="G32">
        <v>379.41140000000001</v>
      </c>
      <c r="H32" t="s">
        <v>202</v>
      </c>
      <c r="I32">
        <v>50125489405.547997</v>
      </c>
      <c r="J32" t="s">
        <v>209</v>
      </c>
      <c r="K32">
        <v>425622119.13472497</v>
      </c>
      <c r="L32" t="s">
        <v>118</v>
      </c>
      <c r="M32" t="s">
        <v>243</v>
      </c>
      <c r="N32">
        <v>0.84961766999999999</v>
      </c>
      <c r="O32">
        <v>391.17</v>
      </c>
      <c r="P32">
        <v>436.38</v>
      </c>
      <c r="Q32">
        <v>1</v>
      </c>
      <c r="R32">
        <v>20103010</v>
      </c>
      <c r="S32" t="s">
        <v>119</v>
      </c>
      <c r="T32" t="s">
        <v>263</v>
      </c>
      <c r="U32">
        <v>48982012432.165749</v>
      </c>
      <c r="V32">
        <v>24.728986249999998</v>
      </c>
      <c r="W32" t="s">
        <v>264</v>
      </c>
      <c r="X32">
        <v>24.728986249999998</v>
      </c>
      <c r="Y32" t="b">
        <v>0</v>
      </c>
      <c r="Z32" t="b">
        <v>0</v>
      </c>
      <c r="AA32" t="b">
        <v>0</v>
      </c>
      <c r="AB32">
        <v>31</v>
      </c>
    </row>
    <row r="33" spans="1:28" x14ac:dyDescent="0.25">
      <c r="A33">
        <v>352</v>
      </c>
      <c r="B33" t="s">
        <v>183</v>
      </c>
      <c r="C33" t="s">
        <v>23</v>
      </c>
      <c r="D33" t="s">
        <v>73</v>
      </c>
      <c r="E33" t="s">
        <v>115</v>
      </c>
      <c r="F33">
        <v>485151400</v>
      </c>
      <c r="G33">
        <v>100.0574</v>
      </c>
      <c r="H33" t="s">
        <v>206</v>
      </c>
      <c r="I33">
        <v>48542987690.360001</v>
      </c>
      <c r="J33" t="s">
        <v>212</v>
      </c>
      <c r="K33">
        <v>138931360.57747599</v>
      </c>
      <c r="L33" t="s">
        <v>118</v>
      </c>
      <c r="M33" t="s">
        <v>244</v>
      </c>
      <c r="N33">
        <v>0.56409533000000001</v>
      </c>
      <c r="O33">
        <v>177.15</v>
      </c>
      <c r="P33">
        <v>178.85</v>
      </c>
      <c r="Q33">
        <v>1</v>
      </c>
      <c r="R33">
        <v>20103010</v>
      </c>
      <c r="S33" t="s">
        <v>119</v>
      </c>
      <c r="T33" t="s">
        <v>263</v>
      </c>
      <c r="U33">
        <v>48946172649.987747</v>
      </c>
      <c r="V33">
        <v>25.025562499999999</v>
      </c>
      <c r="W33" t="s">
        <v>264</v>
      </c>
      <c r="X33">
        <v>25.025562499999999</v>
      </c>
      <c r="Y33" t="b">
        <v>0</v>
      </c>
      <c r="Z33" t="b">
        <v>0</v>
      </c>
      <c r="AA33" t="b">
        <v>0</v>
      </c>
      <c r="AB33">
        <v>32</v>
      </c>
    </row>
    <row r="34" spans="1:28" x14ac:dyDescent="0.25">
      <c r="A34">
        <v>189</v>
      </c>
      <c r="B34" t="s">
        <v>184</v>
      </c>
      <c r="C34" t="s">
        <v>16</v>
      </c>
      <c r="D34" t="s">
        <v>66</v>
      </c>
      <c r="E34" t="s">
        <v>108</v>
      </c>
      <c r="F34">
        <v>286627470</v>
      </c>
      <c r="G34">
        <v>167.5608</v>
      </c>
      <c r="H34" t="s">
        <v>202</v>
      </c>
      <c r="I34">
        <v>48027528175.176003</v>
      </c>
      <c r="J34" t="s">
        <v>209</v>
      </c>
      <c r="K34">
        <v>322673051.88160598</v>
      </c>
      <c r="L34" t="s">
        <v>118</v>
      </c>
      <c r="M34" t="s">
        <v>245</v>
      </c>
      <c r="N34">
        <v>0.84961766999999999</v>
      </c>
      <c r="O34">
        <v>196.39</v>
      </c>
      <c r="P34">
        <v>192.72</v>
      </c>
      <c r="Q34">
        <v>1</v>
      </c>
      <c r="R34">
        <v>20102015</v>
      </c>
      <c r="S34" t="s">
        <v>119</v>
      </c>
      <c r="T34" t="s">
        <v>263</v>
      </c>
      <c r="U34">
        <v>46931899647.641777</v>
      </c>
      <c r="V34">
        <v>17.235679999999999</v>
      </c>
      <c r="W34" t="s">
        <v>264</v>
      </c>
      <c r="X34">
        <v>17.235679999999999</v>
      </c>
      <c r="Y34" t="b">
        <v>0</v>
      </c>
      <c r="Z34" t="b">
        <v>0</v>
      </c>
      <c r="AA34" t="b">
        <v>0</v>
      </c>
      <c r="AB34">
        <v>33</v>
      </c>
    </row>
    <row r="35" spans="1:28" x14ac:dyDescent="0.25">
      <c r="A35">
        <v>1532</v>
      </c>
      <c r="B35" t="s">
        <v>185</v>
      </c>
      <c r="C35" t="s">
        <v>57</v>
      </c>
      <c r="D35" t="s">
        <v>107</v>
      </c>
      <c r="E35" t="s">
        <v>108</v>
      </c>
      <c r="F35">
        <v>440693200</v>
      </c>
      <c r="G35">
        <v>106.1253</v>
      </c>
      <c r="H35" t="s">
        <v>202</v>
      </c>
      <c r="I35">
        <v>46768698057.959999</v>
      </c>
      <c r="J35" t="s">
        <v>209</v>
      </c>
      <c r="K35">
        <v>405233298.62412399</v>
      </c>
      <c r="L35" t="s">
        <v>118</v>
      </c>
      <c r="M35" t="s">
        <v>246</v>
      </c>
      <c r="N35">
        <v>0.84961766999999999</v>
      </c>
      <c r="O35">
        <v>123.23</v>
      </c>
      <c r="P35">
        <v>122.06</v>
      </c>
      <c r="Q35">
        <v>1</v>
      </c>
      <c r="R35">
        <v>20103015</v>
      </c>
      <c r="S35" t="s">
        <v>119</v>
      </c>
      <c r="T35" t="s">
        <v>263</v>
      </c>
      <c r="U35">
        <v>45701794275.585098</v>
      </c>
      <c r="V35">
        <v>13.566376249999999</v>
      </c>
      <c r="W35" t="s">
        <v>264</v>
      </c>
      <c r="X35">
        <v>13.566376249999999</v>
      </c>
      <c r="Y35" t="b">
        <v>0</v>
      </c>
      <c r="Z35" t="b">
        <v>0</v>
      </c>
      <c r="AA35" t="b">
        <v>0</v>
      </c>
      <c r="AB35">
        <v>34</v>
      </c>
    </row>
    <row r="36" spans="1:28" x14ac:dyDescent="0.25">
      <c r="A36">
        <v>618</v>
      </c>
      <c r="B36" t="s">
        <v>186</v>
      </c>
      <c r="C36" t="s">
        <v>35</v>
      </c>
      <c r="D36" t="s">
        <v>85</v>
      </c>
      <c r="E36" t="s">
        <v>114</v>
      </c>
      <c r="F36">
        <v>343122620</v>
      </c>
      <c r="G36">
        <v>128.3449</v>
      </c>
      <c r="H36" t="s">
        <v>207</v>
      </c>
      <c r="I36">
        <v>44038038351.638</v>
      </c>
      <c r="J36" t="s">
        <v>212</v>
      </c>
      <c r="K36">
        <v>140913572.178121</v>
      </c>
      <c r="L36" t="s">
        <v>118</v>
      </c>
      <c r="M36" t="s">
        <v>247</v>
      </c>
      <c r="N36">
        <v>5.48884E-3</v>
      </c>
      <c r="O36">
        <v>24000</v>
      </c>
      <c r="P36">
        <v>23110</v>
      </c>
      <c r="Q36">
        <v>1</v>
      </c>
      <c r="R36">
        <v>20102015</v>
      </c>
      <c r="S36" t="s">
        <v>119</v>
      </c>
      <c r="T36" t="s">
        <v>263</v>
      </c>
      <c r="U36">
        <v>43524106683.67009</v>
      </c>
      <c r="V36">
        <v>13.663987499999999</v>
      </c>
      <c r="W36" t="s">
        <v>264</v>
      </c>
      <c r="X36">
        <v>13.663987499999999</v>
      </c>
      <c r="Y36" t="b">
        <v>0</v>
      </c>
      <c r="Z36" t="b">
        <v>0</v>
      </c>
      <c r="AA36" t="b">
        <v>0</v>
      </c>
      <c r="AB36">
        <v>35</v>
      </c>
    </row>
    <row r="37" spans="1:28" x14ac:dyDescent="0.25">
      <c r="A37">
        <v>256</v>
      </c>
      <c r="B37" t="s">
        <v>187</v>
      </c>
      <c r="C37" t="s">
        <v>20</v>
      </c>
      <c r="D37" t="s">
        <v>70</v>
      </c>
      <c r="E37" t="s">
        <v>108</v>
      </c>
      <c r="F37">
        <v>237595050</v>
      </c>
      <c r="G37">
        <v>182.1328</v>
      </c>
      <c r="H37" t="s">
        <v>202</v>
      </c>
      <c r="I37">
        <v>43273851722.639999</v>
      </c>
      <c r="J37" t="s">
        <v>209</v>
      </c>
      <c r="K37">
        <v>355984766.46942401</v>
      </c>
      <c r="L37" t="s">
        <v>118</v>
      </c>
      <c r="M37" t="s">
        <v>248</v>
      </c>
      <c r="N37">
        <v>0.84961766999999999</v>
      </c>
      <c r="O37">
        <v>197.89</v>
      </c>
      <c r="P37">
        <v>209.48</v>
      </c>
      <c r="Q37">
        <v>1</v>
      </c>
      <c r="R37">
        <v>20103015</v>
      </c>
      <c r="S37" t="s">
        <v>119</v>
      </c>
      <c r="T37" t="s">
        <v>263</v>
      </c>
      <c r="U37">
        <v>42286670309.304077</v>
      </c>
      <c r="V37">
        <v>10.557124999999999</v>
      </c>
      <c r="W37" t="s">
        <v>264</v>
      </c>
      <c r="X37">
        <v>10.557124999999999</v>
      </c>
      <c r="Y37" t="b">
        <v>0</v>
      </c>
      <c r="Z37" t="b">
        <v>0</v>
      </c>
      <c r="AA37" t="b">
        <v>0</v>
      </c>
      <c r="AB37">
        <v>36</v>
      </c>
    </row>
    <row r="38" spans="1:28" x14ac:dyDescent="0.25">
      <c r="A38">
        <v>430</v>
      </c>
      <c r="B38" t="s">
        <v>188</v>
      </c>
      <c r="C38" t="s">
        <v>26</v>
      </c>
      <c r="D38" t="s">
        <v>76</v>
      </c>
      <c r="E38" t="s">
        <v>108</v>
      </c>
      <c r="F38">
        <v>580300000</v>
      </c>
      <c r="G38">
        <v>74.01643</v>
      </c>
      <c r="H38" t="s">
        <v>202</v>
      </c>
      <c r="I38">
        <v>42951734329</v>
      </c>
      <c r="J38" t="s">
        <v>209</v>
      </c>
      <c r="K38">
        <v>306262936.94332898</v>
      </c>
      <c r="L38" t="s">
        <v>118</v>
      </c>
      <c r="M38" t="s">
        <v>249</v>
      </c>
      <c r="N38">
        <v>0.84961766999999999</v>
      </c>
      <c r="O38">
        <v>85.32</v>
      </c>
      <c r="P38">
        <v>85.13</v>
      </c>
      <c r="Q38">
        <v>1</v>
      </c>
      <c r="R38">
        <v>20102010</v>
      </c>
      <c r="S38" t="s">
        <v>119</v>
      </c>
      <c r="T38" t="s">
        <v>263</v>
      </c>
      <c r="U38">
        <v>41971910688.992126</v>
      </c>
      <c r="V38">
        <v>19.639882499999999</v>
      </c>
      <c r="W38" t="s">
        <v>264</v>
      </c>
      <c r="X38">
        <v>19.639882499999999</v>
      </c>
      <c r="Y38" t="b">
        <v>0</v>
      </c>
      <c r="Z38" t="b">
        <v>0</v>
      </c>
      <c r="AA38" t="b">
        <v>0</v>
      </c>
      <c r="AB38">
        <v>37</v>
      </c>
    </row>
    <row r="39" spans="1:28" x14ac:dyDescent="0.25">
      <c r="A39">
        <v>804</v>
      </c>
      <c r="B39" t="s">
        <v>189</v>
      </c>
      <c r="C39" t="s">
        <v>41</v>
      </c>
      <c r="D39" t="s">
        <v>91</v>
      </c>
      <c r="E39" t="s">
        <v>109</v>
      </c>
      <c r="F39">
        <v>70229020</v>
      </c>
      <c r="G39">
        <v>575.01120000000003</v>
      </c>
      <c r="H39" t="s">
        <v>204</v>
      </c>
      <c r="I39">
        <v>40382473065.024002</v>
      </c>
      <c r="J39" t="s">
        <v>210</v>
      </c>
      <c r="K39">
        <v>68960886.198420897</v>
      </c>
      <c r="L39" t="s">
        <v>118</v>
      </c>
      <c r="M39" t="s">
        <v>250</v>
      </c>
      <c r="N39">
        <v>1.0682048799999999</v>
      </c>
      <c r="O39">
        <v>519</v>
      </c>
      <c r="P39">
        <v>534.79999999999995</v>
      </c>
      <c r="Q39">
        <v>1</v>
      </c>
      <c r="R39">
        <v>20103010</v>
      </c>
      <c r="S39" t="s">
        <v>119</v>
      </c>
      <c r="T39" t="s">
        <v>263</v>
      </c>
      <c r="U39">
        <v>40120151510.289093</v>
      </c>
      <c r="V39">
        <v>15.80551226</v>
      </c>
      <c r="W39" t="s">
        <v>264</v>
      </c>
      <c r="X39">
        <v>15.80551226</v>
      </c>
      <c r="Y39" t="b">
        <v>0</v>
      </c>
      <c r="Z39" t="b">
        <v>0</v>
      </c>
      <c r="AA39" t="b">
        <v>0</v>
      </c>
      <c r="AB39">
        <v>38</v>
      </c>
    </row>
    <row r="40" spans="1:28" x14ac:dyDescent="0.25">
      <c r="A40">
        <v>1326</v>
      </c>
      <c r="B40" t="s">
        <v>190</v>
      </c>
      <c r="C40" t="s">
        <v>52</v>
      </c>
      <c r="D40" t="s">
        <v>102</v>
      </c>
      <c r="E40" t="s">
        <v>114</v>
      </c>
      <c r="F40">
        <v>1590985800</v>
      </c>
      <c r="G40">
        <v>24.641549999999999</v>
      </c>
      <c r="H40" t="s">
        <v>207</v>
      </c>
      <c r="I40">
        <v>39204356139.989998</v>
      </c>
      <c r="J40" t="s">
        <v>212</v>
      </c>
      <c r="K40">
        <v>117964338.007495</v>
      </c>
      <c r="L40" t="s">
        <v>118</v>
      </c>
      <c r="M40" t="s">
        <v>251</v>
      </c>
      <c r="N40">
        <v>5.48884E-3</v>
      </c>
      <c r="O40">
        <v>4518</v>
      </c>
      <c r="P40">
        <v>4437</v>
      </c>
      <c r="Q40">
        <v>1</v>
      </c>
      <c r="R40">
        <v>20103015</v>
      </c>
      <c r="S40" t="s">
        <v>119</v>
      </c>
      <c r="T40" t="s">
        <v>263</v>
      </c>
      <c r="U40">
        <v>38746841253.720261</v>
      </c>
      <c r="V40">
        <v>19.129132500000001</v>
      </c>
      <c r="W40" t="s">
        <v>264</v>
      </c>
      <c r="X40">
        <v>19.129132500000001</v>
      </c>
      <c r="Y40" t="b">
        <v>0</v>
      </c>
      <c r="Z40" t="b">
        <v>0</v>
      </c>
      <c r="AA40" t="b">
        <v>0</v>
      </c>
      <c r="AB40">
        <v>39</v>
      </c>
    </row>
    <row r="41" spans="1:28" x14ac:dyDescent="0.25">
      <c r="A41">
        <v>366</v>
      </c>
      <c r="B41" t="s">
        <v>191</v>
      </c>
      <c r="C41" t="s">
        <v>24</v>
      </c>
      <c r="D41" t="s">
        <v>74</v>
      </c>
      <c r="E41" t="s">
        <v>114</v>
      </c>
      <c r="F41">
        <v>1894350600</v>
      </c>
      <c r="G41">
        <v>20.54851</v>
      </c>
      <c r="H41" t="s">
        <v>207</v>
      </c>
      <c r="I41">
        <v>38926082247.606003</v>
      </c>
      <c r="J41" t="s">
        <v>212</v>
      </c>
      <c r="K41">
        <v>131566805.138722</v>
      </c>
      <c r="L41" t="s">
        <v>118</v>
      </c>
      <c r="M41" t="s">
        <v>252</v>
      </c>
      <c r="N41">
        <v>5.48884E-3</v>
      </c>
      <c r="O41">
        <v>3406</v>
      </c>
      <c r="P41">
        <v>3700</v>
      </c>
      <c r="Q41">
        <v>1</v>
      </c>
      <c r="R41">
        <v>20103015</v>
      </c>
      <c r="S41" t="s">
        <v>119</v>
      </c>
      <c r="T41" t="s">
        <v>263</v>
      </c>
      <c r="U41">
        <v>38471813185.024803</v>
      </c>
      <c r="V41">
        <v>17.682747559999999</v>
      </c>
      <c r="W41" t="s">
        <v>264</v>
      </c>
      <c r="X41">
        <v>17.682747559999999</v>
      </c>
      <c r="Y41" t="b">
        <v>0</v>
      </c>
      <c r="Z41" t="b">
        <v>0</v>
      </c>
      <c r="AA41" t="b">
        <v>0</v>
      </c>
      <c r="AB41">
        <v>40</v>
      </c>
    </row>
    <row r="42" spans="1:28" x14ac:dyDescent="0.25">
      <c r="A42">
        <v>574</v>
      </c>
      <c r="B42" t="s">
        <v>192</v>
      </c>
      <c r="C42" t="s">
        <v>33</v>
      </c>
      <c r="D42" t="s">
        <v>83</v>
      </c>
      <c r="E42" t="s">
        <v>112</v>
      </c>
      <c r="F42">
        <v>8906423000</v>
      </c>
      <c r="G42">
        <v>4.2916480000000004</v>
      </c>
      <c r="H42" t="s">
        <v>203</v>
      </c>
      <c r="I42">
        <v>38223232455.103996</v>
      </c>
      <c r="J42" t="s">
        <v>210</v>
      </c>
      <c r="K42">
        <v>61225951.846855298</v>
      </c>
      <c r="L42" t="s">
        <v>118</v>
      </c>
      <c r="M42" t="s">
        <v>253</v>
      </c>
      <c r="N42">
        <v>1.139796E-2</v>
      </c>
      <c r="O42">
        <v>363.4</v>
      </c>
      <c r="P42">
        <v>377.2</v>
      </c>
      <c r="Q42">
        <v>1</v>
      </c>
      <c r="R42">
        <v>20103015</v>
      </c>
      <c r="S42" t="s">
        <v>119</v>
      </c>
      <c r="T42" t="s">
        <v>263</v>
      </c>
      <c r="U42">
        <v>38291478028.218567</v>
      </c>
      <c r="V42">
        <v>11.8585975</v>
      </c>
      <c r="W42" t="s">
        <v>264</v>
      </c>
      <c r="X42">
        <v>11.8585975</v>
      </c>
      <c r="Y42" t="b">
        <v>0</v>
      </c>
      <c r="Z42" t="b">
        <v>0</v>
      </c>
      <c r="AA42" t="b">
        <v>0</v>
      </c>
      <c r="AB42">
        <v>41</v>
      </c>
    </row>
    <row r="43" spans="1:28" x14ac:dyDescent="0.25">
      <c r="A43">
        <v>42</v>
      </c>
      <c r="B43" t="s">
        <v>193</v>
      </c>
      <c r="C43" t="s">
        <v>10</v>
      </c>
      <c r="D43" t="s">
        <v>60</v>
      </c>
      <c r="E43" t="s">
        <v>108</v>
      </c>
      <c r="F43">
        <v>283500430</v>
      </c>
      <c r="G43">
        <v>131.50460000000001</v>
      </c>
      <c r="H43" t="s">
        <v>202</v>
      </c>
      <c r="I43">
        <v>37281610646.977997</v>
      </c>
      <c r="J43" t="s">
        <v>209</v>
      </c>
      <c r="K43">
        <v>204083902.51950499</v>
      </c>
      <c r="L43" t="s">
        <v>118</v>
      </c>
      <c r="M43" t="s">
        <v>254</v>
      </c>
      <c r="N43">
        <v>0.84961766999999999</v>
      </c>
      <c r="O43">
        <v>139.19</v>
      </c>
      <c r="P43">
        <v>151.25</v>
      </c>
      <c r="Q43">
        <v>1</v>
      </c>
      <c r="R43">
        <v>20102010</v>
      </c>
      <c r="S43" t="s">
        <v>119</v>
      </c>
      <c r="T43" t="s">
        <v>263</v>
      </c>
      <c r="U43">
        <v>36431129935.56546</v>
      </c>
      <c r="V43">
        <v>10.0414925</v>
      </c>
      <c r="W43" t="s">
        <v>264</v>
      </c>
      <c r="X43">
        <v>10.0414925</v>
      </c>
      <c r="Y43" t="b">
        <v>0</v>
      </c>
      <c r="Z43" t="b">
        <v>0</v>
      </c>
      <c r="AA43" t="b">
        <v>0</v>
      </c>
      <c r="AB43">
        <v>42</v>
      </c>
    </row>
    <row r="44" spans="1:28" x14ac:dyDescent="0.25">
      <c r="A44">
        <v>57</v>
      </c>
      <c r="B44" t="s">
        <v>194</v>
      </c>
      <c r="C44" t="s">
        <v>11</v>
      </c>
      <c r="D44" t="s">
        <v>61</v>
      </c>
      <c r="E44" t="s">
        <v>109</v>
      </c>
      <c r="F44">
        <v>499700000</v>
      </c>
      <c r="G44">
        <v>66.102630000000005</v>
      </c>
      <c r="H44" t="s">
        <v>204</v>
      </c>
      <c r="I44">
        <v>33031484211</v>
      </c>
      <c r="J44" t="s">
        <v>210</v>
      </c>
      <c r="K44">
        <v>80250693.650699198</v>
      </c>
      <c r="L44" t="s">
        <v>118</v>
      </c>
      <c r="M44" t="s">
        <v>255</v>
      </c>
      <c r="N44">
        <v>1.0682048799999999</v>
      </c>
      <c r="O44">
        <v>62.48</v>
      </c>
      <c r="P44">
        <v>61.48</v>
      </c>
      <c r="Q44">
        <v>1</v>
      </c>
      <c r="R44">
        <v>20102015</v>
      </c>
      <c r="S44" t="s">
        <v>119</v>
      </c>
      <c r="T44" t="s">
        <v>263</v>
      </c>
      <c r="U44">
        <v>32816916040.39328</v>
      </c>
      <c r="V44">
        <v>16.538477499999999</v>
      </c>
      <c r="W44" t="s">
        <v>264</v>
      </c>
      <c r="X44">
        <v>16.538477499999999</v>
      </c>
      <c r="Y44" t="b">
        <v>0</v>
      </c>
      <c r="Z44" t="b">
        <v>0</v>
      </c>
      <c r="AA44" t="b">
        <v>0</v>
      </c>
      <c r="AB44">
        <v>43</v>
      </c>
    </row>
    <row r="45" spans="1:28" x14ac:dyDescent="0.25">
      <c r="A45">
        <v>674</v>
      </c>
      <c r="B45" t="s">
        <v>195</v>
      </c>
      <c r="C45" t="s">
        <v>39</v>
      </c>
      <c r="D45" t="s">
        <v>89</v>
      </c>
      <c r="E45" t="s">
        <v>108</v>
      </c>
      <c r="F45">
        <v>170300000</v>
      </c>
      <c r="G45">
        <v>195.53970000000001</v>
      </c>
      <c r="H45" t="s">
        <v>202</v>
      </c>
      <c r="I45">
        <v>33300410910</v>
      </c>
      <c r="J45" t="s">
        <v>209</v>
      </c>
      <c r="K45">
        <v>256894814.95182899</v>
      </c>
      <c r="L45" t="s">
        <v>118</v>
      </c>
      <c r="M45" t="s">
        <v>256</v>
      </c>
      <c r="N45">
        <v>0.84961766999999999</v>
      </c>
      <c r="O45">
        <v>221.68</v>
      </c>
      <c r="P45">
        <v>224.9</v>
      </c>
      <c r="Q45">
        <v>1</v>
      </c>
      <c r="R45">
        <v>20101025</v>
      </c>
      <c r="S45" t="s">
        <v>119</v>
      </c>
      <c r="T45" t="s">
        <v>263</v>
      </c>
      <c r="U45">
        <v>32540756081.304901</v>
      </c>
      <c r="V45">
        <v>17.179593749999999</v>
      </c>
      <c r="W45" t="s">
        <v>264</v>
      </c>
      <c r="X45">
        <v>17.179593749999999</v>
      </c>
      <c r="Y45" t="b">
        <v>0</v>
      </c>
      <c r="Z45" t="b">
        <v>0</v>
      </c>
      <c r="AA45" t="b">
        <v>0</v>
      </c>
      <c r="AB45">
        <v>44</v>
      </c>
    </row>
    <row r="46" spans="1:28" x14ac:dyDescent="0.25">
      <c r="A46">
        <v>653</v>
      </c>
      <c r="B46" t="s">
        <v>196</v>
      </c>
      <c r="C46" t="s">
        <v>37</v>
      </c>
      <c r="D46" t="s">
        <v>87</v>
      </c>
      <c r="E46" t="s">
        <v>110</v>
      </c>
      <c r="F46">
        <v>213273470</v>
      </c>
      <c r="G46">
        <v>172.81219999999999</v>
      </c>
      <c r="H46" t="s">
        <v>202</v>
      </c>
      <c r="I46">
        <v>36856257552.334</v>
      </c>
      <c r="J46" t="s">
        <v>209</v>
      </c>
      <c r="K46">
        <v>300449955.13663602</v>
      </c>
      <c r="L46" t="s">
        <v>118</v>
      </c>
      <c r="M46" t="s">
        <v>257</v>
      </c>
      <c r="N46">
        <v>0.84961766999999999</v>
      </c>
      <c r="O46">
        <v>200.67</v>
      </c>
      <c r="P46">
        <v>198.76</v>
      </c>
      <c r="Q46">
        <v>0.9</v>
      </c>
      <c r="R46">
        <v>20103010</v>
      </c>
      <c r="S46" t="s">
        <v>119</v>
      </c>
      <c r="T46" t="s">
        <v>263</v>
      </c>
      <c r="U46">
        <v>32413943343.700569</v>
      </c>
      <c r="V46">
        <v>25.886959820000001</v>
      </c>
      <c r="W46" t="s">
        <v>264</v>
      </c>
      <c r="X46">
        <v>25.886959820000001</v>
      </c>
      <c r="Y46" t="b">
        <v>0</v>
      </c>
      <c r="Z46" t="b">
        <v>0</v>
      </c>
      <c r="AA46" t="b">
        <v>0</v>
      </c>
      <c r="AB46">
        <v>45</v>
      </c>
    </row>
    <row r="47" spans="1:28" x14ac:dyDescent="0.25">
      <c r="A47">
        <v>1106</v>
      </c>
      <c r="B47" t="s">
        <v>197</v>
      </c>
      <c r="C47" t="s">
        <v>48</v>
      </c>
      <c r="D47" t="s">
        <v>98</v>
      </c>
      <c r="E47" t="s">
        <v>108</v>
      </c>
      <c r="F47">
        <v>145966300</v>
      </c>
      <c r="G47">
        <v>218.01499999999999</v>
      </c>
      <c r="H47" t="s">
        <v>202</v>
      </c>
      <c r="I47">
        <v>31822842894.5</v>
      </c>
      <c r="J47" t="s">
        <v>209</v>
      </c>
      <c r="K47">
        <v>243405399.92009199</v>
      </c>
      <c r="L47" t="s">
        <v>118</v>
      </c>
      <c r="M47" t="s">
        <v>258</v>
      </c>
      <c r="N47">
        <v>0.84961766999999999</v>
      </c>
      <c r="O47">
        <v>247.34</v>
      </c>
      <c r="P47">
        <v>250.75</v>
      </c>
      <c r="Q47">
        <v>1</v>
      </c>
      <c r="R47">
        <v>20102010</v>
      </c>
      <c r="S47" t="s">
        <v>119</v>
      </c>
      <c r="T47" t="s">
        <v>263</v>
      </c>
      <c r="U47">
        <v>31096898586.908642</v>
      </c>
      <c r="V47">
        <v>20.188042500000002</v>
      </c>
      <c r="W47" t="s">
        <v>264</v>
      </c>
      <c r="X47">
        <v>20.188042500000002</v>
      </c>
      <c r="Y47" t="b">
        <v>0</v>
      </c>
      <c r="Z47" t="b">
        <v>0</v>
      </c>
      <c r="AA47" t="b">
        <v>0</v>
      </c>
      <c r="AB47">
        <v>46</v>
      </c>
    </row>
    <row r="48" spans="1:28" x14ac:dyDescent="0.25">
      <c r="A48">
        <v>285</v>
      </c>
      <c r="B48" t="s">
        <v>198</v>
      </c>
      <c r="C48" t="s">
        <v>21</v>
      </c>
      <c r="D48" t="s">
        <v>71</v>
      </c>
      <c r="E48" t="s">
        <v>114</v>
      </c>
      <c r="F48">
        <v>1679057600</v>
      </c>
      <c r="G48">
        <v>46.472949999999997</v>
      </c>
      <c r="H48" t="s">
        <v>207</v>
      </c>
      <c r="I48">
        <v>78030759891.919998</v>
      </c>
      <c r="J48" t="s">
        <v>212</v>
      </c>
      <c r="K48">
        <v>130988661.426726</v>
      </c>
      <c r="L48" t="s">
        <v>118</v>
      </c>
      <c r="M48" t="s">
        <v>259</v>
      </c>
      <c r="N48">
        <v>5.48884E-3</v>
      </c>
      <c r="O48">
        <v>8269</v>
      </c>
      <c r="P48">
        <v>8368</v>
      </c>
      <c r="Q48">
        <v>0.4</v>
      </c>
      <c r="R48">
        <v>20103015</v>
      </c>
      <c r="S48" t="s">
        <v>119</v>
      </c>
      <c r="T48" t="s">
        <v>263</v>
      </c>
      <c r="U48">
        <v>30848058012.718281</v>
      </c>
      <c r="V48">
        <v>20.028436419999998</v>
      </c>
      <c r="W48" t="s">
        <v>264</v>
      </c>
      <c r="X48">
        <v>20.028436419999998</v>
      </c>
      <c r="Y48" t="b">
        <v>0</v>
      </c>
      <c r="Z48" t="b">
        <v>0</v>
      </c>
      <c r="AA48" t="b">
        <v>0</v>
      </c>
      <c r="AB48">
        <v>47</v>
      </c>
    </row>
    <row r="49" spans="1:28" x14ac:dyDescent="0.25">
      <c r="A49">
        <v>1444</v>
      </c>
      <c r="B49" t="s">
        <v>199</v>
      </c>
      <c r="C49" t="s">
        <v>55</v>
      </c>
      <c r="D49" t="s">
        <v>105</v>
      </c>
      <c r="E49" t="s">
        <v>108</v>
      </c>
      <c r="F49">
        <v>163908020</v>
      </c>
      <c r="G49">
        <v>212.19839999999999</v>
      </c>
      <c r="H49" t="s">
        <v>202</v>
      </c>
      <c r="I49">
        <v>34781019591.167999</v>
      </c>
      <c r="J49" t="s">
        <v>209</v>
      </c>
      <c r="K49">
        <v>320962621.73235899</v>
      </c>
      <c r="L49" t="s">
        <v>118</v>
      </c>
      <c r="M49" t="s">
        <v>260</v>
      </c>
      <c r="N49">
        <v>0.84961766999999999</v>
      </c>
      <c r="O49">
        <v>219.3</v>
      </c>
      <c r="P49">
        <v>244.06</v>
      </c>
      <c r="Q49">
        <v>0.9</v>
      </c>
      <c r="R49">
        <v>20101025</v>
      </c>
      <c r="S49" t="s">
        <v>119</v>
      </c>
      <c r="T49" t="s">
        <v>263</v>
      </c>
      <c r="U49">
        <v>30588829344.36079</v>
      </c>
      <c r="V49">
        <v>13.81293</v>
      </c>
      <c r="W49" t="s">
        <v>264</v>
      </c>
      <c r="X49">
        <v>13.81293</v>
      </c>
      <c r="Y49" t="b">
        <v>0</v>
      </c>
      <c r="Z49" t="b">
        <v>0</v>
      </c>
      <c r="AA49" t="b">
        <v>0</v>
      </c>
      <c r="AB49">
        <v>48</v>
      </c>
    </row>
    <row r="50" spans="1:28" x14ac:dyDescent="0.25">
      <c r="A50">
        <v>195</v>
      </c>
      <c r="B50" t="s">
        <v>200</v>
      </c>
      <c r="C50" t="s">
        <v>17</v>
      </c>
      <c r="D50" t="s">
        <v>67</v>
      </c>
      <c r="E50" t="s">
        <v>113</v>
      </c>
      <c r="F50">
        <v>1425622600</v>
      </c>
      <c r="G50">
        <v>23.004909999999999</v>
      </c>
      <c r="H50" t="s">
        <v>208</v>
      </c>
      <c r="I50">
        <v>32796319606.966</v>
      </c>
      <c r="J50" t="s">
        <v>212</v>
      </c>
      <c r="K50">
        <v>115260140.844244</v>
      </c>
      <c r="L50" t="s">
        <v>118</v>
      </c>
      <c r="M50" t="s">
        <v>261</v>
      </c>
      <c r="N50">
        <v>0.10921382</v>
      </c>
      <c r="O50">
        <v>181.3</v>
      </c>
      <c r="P50">
        <v>206</v>
      </c>
      <c r="Q50">
        <v>0.95</v>
      </c>
      <c r="R50">
        <v>20103010</v>
      </c>
      <c r="S50" t="s">
        <v>119</v>
      </c>
      <c r="T50" t="s">
        <v>263</v>
      </c>
      <c r="U50">
        <v>30470037937.761768</v>
      </c>
      <c r="V50">
        <v>22.773562500000001</v>
      </c>
      <c r="W50" t="s">
        <v>264</v>
      </c>
      <c r="X50">
        <v>22.773562500000001</v>
      </c>
      <c r="Y50" t="b">
        <v>0</v>
      </c>
      <c r="Z50" t="b">
        <v>0</v>
      </c>
      <c r="AA50" t="b">
        <v>0</v>
      </c>
      <c r="AB50">
        <v>49</v>
      </c>
    </row>
    <row r="51" spans="1:28" x14ac:dyDescent="0.25">
      <c r="A51">
        <v>539</v>
      </c>
      <c r="B51" t="s">
        <v>201</v>
      </c>
      <c r="C51" t="s">
        <v>30</v>
      </c>
      <c r="D51" t="s">
        <v>80</v>
      </c>
      <c r="E51" t="s">
        <v>110</v>
      </c>
      <c r="F51">
        <v>455521600</v>
      </c>
      <c r="G51">
        <v>66.469589999999997</v>
      </c>
      <c r="H51" t="s">
        <v>202</v>
      </c>
      <c r="I51">
        <v>30278333988.144001</v>
      </c>
      <c r="J51" t="s">
        <v>209</v>
      </c>
      <c r="K51">
        <v>228389380.663937</v>
      </c>
      <c r="L51" t="s">
        <v>118</v>
      </c>
      <c r="M51" t="s">
        <v>262</v>
      </c>
      <c r="N51">
        <v>0.84961766999999999</v>
      </c>
      <c r="O51">
        <v>82.25</v>
      </c>
      <c r="P51">
        <v>76.45</v>
      </c>
      <c r="Q51">
        <v>1</v>
      </c>
      <c r="R51">
        <v>20102010</v>
      </c>
      <c r="S51" t="s">
        <v>119</v>
      </c>
      <c r="T51" t="s">
        <v>263</v>
      </c>
      <c r="U51">
        <v>29587617872.61908</v>
      </c>
      <c r="V51">
        <v>16.971250000000001</v>
      </c>
      <c r="W51" t="s">
        <v>264</v>
      </c>
      <c r="X51">
        <v>16.971250000000001</v>
      </c>
      <c r="Y51" t="b">
        <v>0</v>
      </c>
      <c r="Z51" t="b">
        <v>0</v>
      </c>
      <c r="AA51" t="b">
        <v>0</v>
      </c>
      <c r="AB51">
        <v>50</v>
      </c>
    </row>
    <row r="52" spans="1:28" x14ac:dyDescent="0.25">
      <c r="A52">
        <v>1418</v>
      </c>
      <c r="B52" t="s">
        <v>266</v>
      </c>
      <c r="C52" t="s">
        <v>338</v>
      </c>
      <c r="D52" t="s">
        <v>407</v>
      </c>
      <c r="E52" t="s">
        <v>111</v>
      </c>
      <c r="F52">
        <v>194505658</v>
      </c>
      <c r="G52">
        <v>233</v>
      </c>
      <c r="H52" t="s">
        <v>119</v>
      </c>
      <c r="I52">
        <v>45319818314</v>
      </c>
      <c r="J52" t="s">
        <v>211</v>
      </c>
      <c r="K52">
        <v>58454084.428030297</v>
      </c>
      <c r="L52" t="s">
        <v>118</v>
      </c>
      <c r="M52" t="s">
        <v>485</v>
      </c>
      <c r="N52">
        <v>1</v>
      </c>
      <c r="O52">
        <v>237.5</v>
      </c>
      <c r="P52">
        <v>233</v>
      </c>
      <c r="Q52">
        <v>0.65</v>
      </c>
      <c r="R52">
        <v>20103015</v>
      </c>
      <c r="S52" t="s">
        <v>119</v>
      </c>
      <c r="T52" t="s">
        <v>263</v>
      </c>
      <c r="U52">
        <v>29457881904.099998</v>
      </c>
      <c r="V52">
        <v>13.747198750000001</v>
      </c>
      <c r="W52" t="s">
        <v>264</v>
      </c>
      <c r="X52">
        <v>13.747198750000001</v>
      </c>
      <c r="Y52" t="b">
        <v>0</v>
      </c>
      <c r="Z52" t="b">
        <v>0</v>
      </c>
      <c r="AA52" t="b">
        <v>0</v>
      </c>
      <c r="AB52">
        <v>51</v>
      </c>
    </row>
    <row r="53" spans="1:28" x14ac:dyDescent="0.25">
      <c r="A53">
        <v>183</v>
      </c>
      <c r="B53" t="s">
        <v>267</v>
      </c>
      <c r="C53" t="s">
        <v>121</v>
      </c>
      <c r="D53" t="s">
        <v>124</v>
      </c>
      <c r="E53" t="s">
        <v>127</v>
      </c>
      <c r="F53">
        <v>982424100</v>
      </c>
      <c r="G53">
        <v>27.585000000000001</v>
      </c>
      <c r="H53" t="s">
        <v>119</v>
      </c>
      <c r="I53">
        <v>27100168798.5</v>
      </c>
      <c r="J53" t="s">
        <v>211</v>
      </c>
      <c r="K53">
        <v>59831212.094962098</v>
      </c>
      <c r="L53" t="s">
        <v>118</v>
      </c>
      <c r="M53" t="s">
        <v>486</v>
      </c>
      <c r="N53">
        <v>1</v>
      </c>
      <c r="O53">
        <v>35.055</v>
      </c>
      <c r="P53">
        <v>27.585000000000001</v>
      </c>
      <c r="Q53">
        <v>1</v>
      </c>
      <c r="R53">
        <v>20103015</v>
      </c>
      <c r="S53" t="s">
        <v>119</v>
      </c>
      <c r="T53" t="s">
        <v>263</v>
      </c>
      <c r="U53">
        <v>27100168798.5</v>
      </c>
      <c r="V53">
        <v>22.2272125</v>
      </c>
      <c r="W53" t="s">
        <v>265</v>
      </c>
      <c r="X53">
        <v>22.2272125</v>
      </c>
      <c r="Y53" t="b">
        <v>0</v>
      </c>
      <c r="Z53" t="b">
        <v>0</v>
      </c>
      <c r="AA53" t="b">
        <v>0</v>
      </c>
      <c r="AB53">
        <v>52</v>
      </c>
    </row>
    <row r="54" spans="1:28" x14ac:dyDescent="0.25">
      <c r="A54">
        <v>914</v>
      </c>
      <c r="B54" t="s">
        <v>268</v>
      </c>
      <c r="C54" t="s">
        <v>339</v>
      </c>
      <c r="D54" t="s">
        <v>408</v>
      </c>
      <c r="E54" t="s">
        <v>110</v>
      </c>
      <c r="F54">
        <v>138014470</v>
      </c>
      <c r="G54">
        <v>200.52170000000001</v>
      </c>
      <c r="H54" t="s">
        <v>202</v>
      </c>
      <c r="I54">
        <v>27674896148.999001</v>
      </c>
      <c r="J54" t="s">
        <v>209</v>
      </c>
      <c r="K54">
        <v>203520795.08409399</v>
      </c>
      <c r="L54" t="s">
        <v>118</v>
      </c>
      <c r="M54" t="s">
        <v>487</v>
      </c>
      <c r="N54">
        <v>0.84961766999999999</v>
      </c>
      <c r="O54">
        <v>227.4</v>
      </c>
      <c r="P54">
        <v>230.63</v>
      </c>
      <c r="Q54">
        <v>1</v>
      </c>
      <c r="R54">
        <v>20102020</v>
      </c>
      <c r="S54" t="s">
        <v>119</v>
      </c>
      <c r="T54" t="s">
        <v>263</v>
      </c>
      <c r="U54">
        <v>27043565963.79697</v>
      </c>
      <c r="V54">
        <v>28.440426250000002</v>
      </c>
      <c r="W54" t="s">
        <v>264</v>
      </c>
      <c r="X54">
        <v>28.440426250000002</v>
      </c>
      <c r="Y54" t="b">
        <v>0</v>
      </c>
      <c r="Z54" t="b">
        <v>0</v>
      </c>
      <c r="AA54" t="b">
        <v>0</v>
      </c>
      <c r="AB54">
        <v>53</v>
      </c>
    </row>
    <row r="55" spans="1:28" x14ac:dyDescent="0.25">
      <c r="A55">
        <v>1149</v>
      </c>
      <c r="B55" t="s">
        <v>269</v>
      </c>
      <c r="C55" t="s">
        <v>340</v>
      </c>
      <c r="D55" t="s">
        <v>409</v>
      </c>
      <c r="E55" t="s">
        <v>109</v>
      </c>
      <c r="F55">
        <v>440000000</v>
      </c>
      <c r="G55">
        <v>58.85586</v>
      </c>
      <c r="H55" t="s">
        <v>204</v>
      </c>
      <c r="I55">
        <v>25896578400</v>
      </c>
      <c r="J55" t="s">
        <v>210</v>
      </c>
      <c r="K55">
        <v>36994824.469917297</v>
      </c>
      <c r="L55" t="s">
        <v>118</v>
      </c>
      <c r="M55" t="s">
        <v>488</v>
      </c>
      <c r="N55">
        <v>1.0682048799999999</v>
      </c>
      <c r="O55">
        <v>56.5</v>
      </c>
      <c r="P55">
        <v>54.74</v>
      </c>
      <c r="Q55">
        <v>1</v>
      </c>
      <c r="R55">
        <v>20103015</v>
      </c>
      <c r="S55" t="s">
        <v>119</v>
      </c>
      <c r="T55" t="s">
        <v>263</v>
      </c>
      <c r="U55">
        <v>25728355457.728001</v>
      </c>
      <c r="V55">
        <v>22.337853750000001</v>
      </c>
      <c r="W55" t="s">
        <v>264</v>
      </c>
      <c r="X55">
        <v>22.337853750000001</v>
      </c>
      <c r="Y55" t="b">
        <v>0</v>
      </c>
      <c r="Z55" t="b">
        <v>0</v>
      </c>
      <c r="AA55" t="b">
        <v>0</v>
      </c>
      <c r="AB55">
        <v>54</v>
      </c>
    </row>
    <row r="56" spans="1:28" x14ac:dyDescent="0.25">
      <c r="A56">
        <v>626</v>
      </c>
      <c r="B56" t="s">
        <v>270</v>
      </c>
      <c r="C56" t="s">
        <v>123</v>
      </c>
      <c r="D56" t="s">
        <v>126</v>
      </c>
      <c r="E56" t="s">
        <v>108</v>
      </c>
      <c r="F56">
        <v>120273070</v>
      </c>
      <c r="G56">
        <v>197.45249999999999</v>
      </c>
      <c r="H56" t="s">
        <v>202</v>
      </c>
      <c r="I56">
        <v>23748218354.174999</v>
      </c>
      <c r="J56" t="s">
        <v>209</v>
      </c>
      <c r="K56">
        <v>425972183.01046199</v>
      </c>
      <c r="L56" t="s">
        <v>118</v>
      </c>
      <c r="M56" t="s">
        <v>489</v>
      </c>
      <c r="N56">
        <v>0.84961766999999999</v>
      </c>
      <c r="O56">
        <v>258.16000000000003</v>
      </c>
      <c r="P56">
        <v>227.1</v>
      </c>
      <c r="Q56">
        <v>1</v>
      </c>
      <c r="R56">
        <v>20101020</v>
      </c>
      <c r="S56" t="s">
        <v>119</v>
      </c>
      <c r="T56" t="s">
        <v>263</v>
      </c>
      <c r="U56">
        <v>23206469100.402061</v>
      </c>
      <c r="V56">
        <v>14.390330000000001</v>
      </c>
      <c r="W56" t="s">
        <v>264</v>
      </c>
      <c r="X56">
        <v>14.390330000000001</v>
      </c>
      <c r="Y56" t="b">
        <v>0</v>
      </c>
      <c r="Z56" t="b">
        <v>0</v>
      </c>
      <c r="AA56" t="b">
        <v>0</v>
      </c>
      <c r="AB56">
        <v>55</v>
      </c>
    </row>
    <row r="57" spans="1:28" x14ac:dyDescent="0.25">
      <c r="A57">
        <v>1017</v>
      </c>
      <c r="B57" t="s">
        <v>271</v>
      </c>
      <c r="C57" t="s">
        <v>341</v>
      </c>
      <c r="D57" t="s">
        <v>410</v>
      </c>
      <c r="E57" t="s">
        <v>114</v>
      </c>
      <c r="F57">
        <v>542988900</v>
      </c>
      <c r="G57">
        <v>47.578130000000002</v>
      </c>
      <c r="H57" t="s">
        <v>207</v>
      </c>
      <c r="I57">
        <v>25834396472.757</v>
      </c>
      <c r="J57" t="s">
        <v>212</v>
      </c>
      <c r="K57">
        <v>51951377.006448202</v>
      </c>
      <c r="L57" t="s">
        <v>118</v>
      </c>
      <c r="M57" t="s">
        <v>490</v>
      </c>
      <c r="N57">
        <v>5.48884E-3</v>
      </c>
      <c r="O57">
        <v>9180</v>
      </c>
      <c r="P57">
        <v>8567</v>
      </c>
      <c r="Q57">
        <v>0.9</v>
      </c>
      <c r="R57">
        <v>20103015</v>
      </c>
      <c r="S57" t="s">
        <v>119</v>
      </c>
      <c r="T57" t="s">
        <v>263</v>
      </c>
      <c r="U57">
        <v>22979617698.542122</v>
      </c>
      <c r="V57">
        <v>24.95130352</v>
      </c>
      <c r="W57" t="s">
        <v>264</v>
      </c>
      <c r="X57">
        <v>24.95130352</v>
      </c>
      <c r="Y57" t="b">
        <v>0</v>
      </c>
      <c r="Z57" t="b">
        <v>0</v>
      </c>
      <c r="AA57" t="b">
        <v>0</v>
      </c>
      <c r="AB57">
        <v>56</v>
      </c>
    </row>
    <row r="58" spans="1:28" x14ac:dyDescent="0.25">
      <c r="A58">
        <v>532</v>
      </c>
      <c r="B58" t="s">
        <v>272</v>
      </c>
      <c r="C58" t="s">
        <v>342</v>
      </c>
      <c r="D58" t="s">
        <v>411</v>
      </c>
      <c r="E58" t="s">
        <v>109</v>
      </c>
      <c r="F58">
        <v>237897630</v>
      </c>
      <c r="G58">
        <v>158.80549999999999</v>
      </c>
      <c r="H58" t="s">
        <v>204</v>
      </c>
      <c r="I58">
        <v>37779452080.964996</v>
      </c>
      <c r="J58" t="s">
        <v>210</v>
      </c>
      <c r="K58">
        <v>105436230.59435999</v>
      </c>
      <c r="L58" t="s">
        <v>118</v>
      </c>
      <c r="M58" t="s">
        <v>491</v>
      </c>
      <c r="N58">
        <v>1.0682048799999999</v>
      </c>
      <c r="O58">
        <v>162</v>
      </c>
      <c r="P58">
        <v>147.69999999999999</v>
      </c>
      <c r="Q58">
        <v>0.6</v>
      </c>
      <c r="R58">
        <v>20103015</v>
      </c>
      <c r="S58" t="s">
        <v>119</v>
      </c>
      <c r="T58" t="s">
        <v>263</v>
      </c>
      <c r="U58">
        <v>22520416532.73621</v>
      </c>
      <c r="V58">
        <v>19.795201250000002</v>
      </c>
      <c r="W58" t="s">
        <v>264</v>
      </c>
      <c r="X58">
        <v>19.795201250000002</v>
      </c>
      <c r="Y58" t="b">
        <v>0</v>
      </c>
      <c r="Z58" t="b">
        <v>0</v>
      </c>
      <c r="AA58" t="b">
        <v>0</v>
      </c>
      <c r="AB58">
        <v>57</v>
      </c>
    </row>
    <row r="59" spans="1:28" x14ac:dyDescent="0.25">
      <c r="A59">
        <v>1269</v>
      </c>
      <c r="B59" t="s">
        <v>273</v>
      </c>
      <c r="C59" t="s">
        <v>343</v>
      </c>
      <c r="D59" t="s">
        <v>412</v>
      </c>
      <c r="E59" t="s">
        <v>108</v>
      </c>
      <c r="F59">
        <v>98147010</v>
      </c>
      <c r="G59">
        <v>228.91800000000001</v>
      </c>
      <c r="H59" t="s">
        <v>202</v>
      </c>
      <c r="I59">
        <v>22467617235.18</v>
      </c>
      <c r="J59" t="s">
        <v>209</v>
      </c>
      <c r="K59">
        <v>133905804.569232</v>
      </c>
      <c r="L59" t="s">
        <v>118</v>
      </c>
      <c r="M59" t="s">
        <v>492</v>
      </c>
      <c r="N59">
        <v>0.84961766999999999</v>
      </c>
      <c r="O59">
        <v>253.03</v>
      </c>
      <c r="P59">
        <v>263.29000000000002</v>
      </c>
      <c r="Q59">
        <v>1</v>
      </c>
      <c r="R59">
        <v>20102010</v>
      </c>
      <c r="S59" t="s">
        <v>119</v>
      </c>
      <c r="T59" t="s">
        <v>263</v>
      </c>
      <c r="U59">
        <v>21955077485.660912</v>
      </c>
      <c r="V59">
        <v>22.224970590000002</v>
      </c>
      <c r="W59" t="s">
        <v>264</v>
      </c>
      <c r="X59">
        <v>22.224970590000002</v>
      </c>
      <c r="Y59" t="b">
        <v>0</v>
      </c>
      <c r="Z59" t="b">
        <v>0</v>
      </c>
      <c r="AA59" t="b">
        <v>0</v>
      </c>
      <c r="AB59">
        <v>58</v>
      </c>
    </row>
    <row r="60" spans="1:28" x14ac:dyDescent="0.25">
      <c r="A60">
        <v>200</v>
      </c>
      <c r="B60" t="s">
        <v>274</v>
      </c>
      <c r="C60" t="s">
        <v>344</v>
      </c>
      <c r="D60" t="s">
        <v>413</v>
      </c>
      <c r="E60" t="s">
        <v>110</v>
      </c>
      <c r="F60">
        <v>146702270</v>
      </c>
      <c r="G60">
        <v>152.41489999999999</v>
      </c>
      <c r="H60" t="s">
        <v>202</v>
      </c>
      <c r="I60">
        <v>22359611811.823002</v>
      </c>
      <c r="J60" t="s">
        <v>209</v>
      </c>
      <c r="K60">
        <v>223910835.94150001</v>
      </c>
      <c r="L60" t="s">
        <v>118</v>
      </c>
      <c r="M60" t="s">
        <v>493</v>
      </c>
      <c r="N60">
        <v>0.84961766999999999</v>
      </c>
      <c r="O60">
        <v>171.5</v>
      </c>
      <c r="P60">
        <v>175.3</v>
      </c>
      <c r="Q60">
        <v>1</v>
      </c>
      <c r="R60">
        <v>20103010</v>
      </c>
      <c r="S60" t="s">
        <v>119</v>
      </c>
      <c r="T60" t="s">
        <v>263</v>
      </c>
      <c r="U60">
        <v>21849539395.940739</v>
      </c>
      <c r="V60">
        <v>20.316318750000001</v>
      </c>
      <c r="W60" t="s">
        <v>264</v>
      </c>
      <c r="X60">
        <v>20.316318750000001</v>
      </c>
      <c r="Y60" t="b">
        <v>0</v>
      </c>
      <c r="Z60" t="b">
        <v>0</v>
      </c>
      <c r="AA60" t="b">
        <v>0</v>
      </c>
      <c r="AB60">
        <v>59</v>
      </c>
    </row>
    <row r="61" spans="1:28" x14ac:dyDescent="0.25">
      <c r="A61">
        <v>1355</v>
      </c>
      <c r="B61" t="s">
        <v>275</v>
      </c>
      <c r="C61" t="s">
        <v>345</v>
      </c>
      <c r="D61" t="s">
        <v>414</v>
      </c>
      <c r="E61" t="s">
        <v>114</v>
      </c>
      <c r="F61">
        <v>1480559700</v>
      </c>
      <c r="G61">
        <v>13.66198</v>
      </c>
      <c r="H61" t="s">
        <v>207</v>
      </c>
      <c r="I61">
        <v>20227377010.206001</v>
      </c>
      <c r="J61" t="s">
        <v>212</v>
      </c>
      <c r="K61">
        <v>62652687.494534202</v>
      </c>
      <c r="L61" t="s">
        <v>118</v>
      </c>
      <c r="M61" t="s">
        <v>494</v>
      </c>
      <c r="N61">
        <v>5.48884E-3</v>
      </c>
      <c r="O61">
        <v>2317</v>
      </c>
      <c r="P61">
        <v>2460</v>
      </c>
      <c r="Q61">
        <v>1</v>
      </c>
      <c r="R61">
        <v>20102010</v>
      </c>
      <c r="S61" t="s">
        <v>119</v>
      </c>
      <c r="T61" t="s">
        <v>263</v>
      </c>
      <c r="U61">
        <v>19991326047.220081</v>
      </c>
      <c r="V61">
        <v>22.555575000000001</v>
      </c>
      <c r="W61" t="s">
        <v>264</v>
      </c>
      <c r="X61">
        <v>22.555575000000001</v>
      </c>
      <c r="Y61" t="b">
        <v>0</v>
      </c>
      <c r="Z61" t="b">
        <v>0</v>
      </c>
      <c r="AA61" t="b">
        <v>0</v>
      </c>
      <c r="AB61">
        <v>60</v>
      </c>
    </row>
    <row r="62" spans="1:28" x14ac:dyDescent="0.25">
      <c r="A62">
        <v>395</v>
      </c>
      <c r="B62" t="s">
        <v>276</v>
      </c>
      <c r="C62" t="s">
        <v>122</v>
      </c>
      <c r="D62" t="s">
        <v>125</v>
      </c>
      <c r="E62" t="s">
        <v>110</v>
      </c>
      <c r="F62">
        <v>390016270</v>
      </c>
      <c r="G62">
        <v>52.367080000000001</v>
      </c>
      <c r="H62" t="s">
        <v>202</v>
      </c>
      <c r="I62">
        <v>20424013212.391602</v>
      </c>
      <c r="J62" t="s">
        <v>209</v>
      </c>
      <c r="K62">
        <v>364760166.35908401</v>
      </c>
      <c r="L62" t="s">
        <v>118</v>
      </c>
      <c r="M62" t="s">
        <v>495</v>
      </c>
      <c r="N62">
        <v>0.84961766999999999</v>
      </c>
      <c r="O62">
        <v>66.37</v>
      </c>
      <c r="P62">
        <v>60.23</v>
      </c>
      <c r="Q62">
        <v>1</v>
      </c>
      <c r="R62">
        <v>20102010</v>
      </c>
      <c r="S62" t="s">
        <v>119</v>
      </c>
      <c r="T62" t="s">
        <v>263</v>
      </c>
      <c r="U62">
        <v>19958096759.12273</v>
      </c>
      <c r="V62">
        <v>19.906925000000001</v>
      </c>
      <c r="W62" t="s">
        <v>264</v>
      </c>
      <c r="X62">
        <v>19.906925000000001</v>
      </c>
      <c r="Y62" t="b">
        <v>0</v>
      </c>
      <c r="Z62" t="b">
        <v>0</v>
      </c>
      <c r="AA62" t="b">
        <v>0</v>
      </c>
      <c r="AB62">
        <v>61</v>
      </c>
    </row>
    <row r="63" spans="1:28" x14ac:dyDescent="0.25">
      <c r="A63">
        <v>1476</v>
      </c>
      <c r="B63" t="s">
        <v>277</v>
      </c>
      <c r="C63" t="s">
        <v>346</v>
      </c>
      <c r="D63" t="s">
        <v>415</v>
      </c>
      <c r="E63" t="s">
        <v>108</v>
      </c>
      <c r="F63">
        <v>59534740</v>
      </c>
      <c r="G63">
        <v>342.55529999999999</v>
      </c>
      <c r="H63" t="s">
        <v>202</v>
      </c>
      <c r="I63">
        <v>20393940721.122002</v>
      </c>
      <c r="J63" t="s">
        <v>209</v>
      </c>
      <c r="K63">
        <v>188301593.84522501</v>
      </c>
      <c r="L63" t="s">
        <v>118</v>
      </c>
      <c r="M63" t="s">
        <v>496</v>
      </c>
      <c r="N63">
        <v>0.84961766999999999</v>
      </c>
      <c r="O63">
        <v>378.53</v>
      </c>
      <c r="P63">
        <v>393.99</v>
      </c>
      <c r="Q63">
        <v>1</v>
      </c>
      <c r="R63">
        <v>20102010</v>
      </c>
      <c r="S63" t="s">
        <v>119</v>
      </c>
      <c r="T63" t="s">
        <v>263</v>
      </c>
      <c r="U63">
        <v>19928710412.974361</v>
      </c>
      <c r="V63">
        <v>9.5550174999999999</v>
      </c>
      <c r="W63" t="s">
        <v>264</v>
      </c>
      <c r="X63">
        <v>9.5550174999999999</v>
      </c>
      <c r="Y63" t="b">
        <v>0</v>
      </c>
      <c r="Z63" t="b">
        <v>0</v>
      </c>
      <c r="AA63" t="b">
        <v>0</v>
      </c>
      <c r="AB63">
        <v>62</v>
      </c>
    </row>
    <row r="64" spans="1:28" x14ac:dyDescent="0.25">
      <c r="A64">
        <v>521</v>
      </c>
      <c r="B64" t="s">
        <v>278</v>
      </c>
      <c r="C64" t="s">
        <v>347</v>
      </c>
      <c r="D64" t="s">
        <v>416</v>
      </c>
      <c r="E64" t="s">
        <v>127</v>
      </c>
      <c r="F64">
        <v>563237300</v>
      </c>
      <c r="G64">
        <v>46.94</v>
      </c>
      <c r="H64" t="s">
        <v>119</v>
      </c>
      <c r="I64">
        <v>26438358862</v>
      </c>
      <c r="J64" t="s">
        <v>211</v>
      </c>
      <c r="K64">
        <v>32629837.190757599</v>
      </c>
      <c r="L64" t="s">
        <v>118</v>
      </c>
      <c r="M64" t="s">
        <v>497</v>
      </c>
      <c r="N64">
        <v>1</v>
      </c>
      <c r="O64">
        <v>47.43</v>
      </c>
      <c r="P64">
        <v>46.94</v>
      </c>
      <c r="Q64">
        <v>0.75</v>
      </c>
      <c r="R64">
        <v>20101025</v>
      </c>
      <c r="S64" t="s">
        <v>119</v>
      </c>
      <c r="T64" t="s">
        <v>263</v>
      </c>
      <c r="U64">
        <v>19828769146.5</v>
      </c>
      <c r="V64">
        <v>11.6635492</v>
      </c>
      <c r="W64" t="s">
        <v>264</v>
      </c>
      <c r="X64">
        <v>11.6635492</v>
      </c>
      <c r="Y64" t="b">
        <v>0</v>
      </c>
      <c r="Z64" t="b">
        <v>0</v>
      </c>
      <c r="AA64" t="b">
        <v>0</v>
      </c>
      <c r="AB64">
        <v>63</v>
      </c>
    </row>
    <row r="65" spans="1:28" x14ac:dyDescent="0.25">
      <c r="A65">
        <v>654</v>
      </c>
      <c r="B65" t="s">
        <v>279</v>
      </c>
      <c r="C65" t="s">
        <v>348</v>
      </c>
      <c r="D65" t="s">
        <v>417</v>
      </c>
      <c r="E65" t="s">
        <v>110</v>
      </c>
      <c r="F65">
        <v>70346900</v>
      </c>
      <c r="G65">
        <v>287.93639999999999</v>
      </c>
      <c r="H65" t="s">
        <v>202</v>
      </c>
      <c r="I65">
        <v>20255433137.16</v>
      </c>
      <c r="J65" t="s">
        <v>209</v>
      </c>
      <c r="K65">
        <v>173577703.42486501</v>
      </c>
      <c r="L65" t="s">
        <v>118</v>
      </c>
      <c r="M65" t="s">
        <v>498</v>
      </c>
      <c r="N65">
        <v>0.84961766999999999</v>
      </c>
      <c r="O65">
        <v>288.73</v>
      </c>
      <c r="P65">
        <v>331.17</v>
      </c>
      <c r="Q65">
        <v>1</v>
      </c>
      <c r="R65">
        <v>20102010</v>
      </c>
      <c r="S65" t="s">
        <v>119</v>
      </c>
      <c r="T65" t="s">
        <v>263</v>
      </c>
      <c r="U65">
        <v>19793358383.054161</v>
      </c>
      <c r="V65">
        <v>18.042300000000001</v>
      </c>
      <c r="W65" t="s">
        <v>264</v>
      </c>
      <c r="X65">
        <v>18.042300000000001</v>
      </c>
      <c r="Y65" t="b">
        <v>0</v>
      </c>
      <c r="Z65" t="b">
        <v>0</v>
      </c>
      <c r="AA65" t="b">
        <v>0</v>
      </c>
      <c r="AB65">
        <v>64</v>
      </c>
    </row>
    <row r="66" spans="1:28" x14ac:dyDescent="0.25">
      <c r="A66">
        <v>128</v>
      </c>
      <c r="B66" t="s">
        <v>280</v>
      </c>
      <c r="C66" t="s">
        <v>349</v>
      </c>
      <c r="D66" t="s">
        <v>418</v>
      </c>
      <c r="E66" t="s">
        <v>114</v>
      </c>
      <c r="F66">
        <v>1809663100</v>
      </c>
      <c r="G66">
        <v>10.91015</v>
      </c>
      <c r="H66" t="s">
        <v>207</v>
      </c>
      <c r="I66">
        <v>19743695870.465</v>
      </c>
      <c r="J66" t="s">
        <v>212</v>
      </c>
      <c r="K66">
        <v>75029561.076906294</v>
      </c>
      <c r="L66" t="s">
        <v>118</v>
      </c>
      <c r="M66" t="s">
        <v>499</v>
      </c>
      <c r="N66">
        <v>5.48884E-3</v>
      </c>
      <c r="O66">
        <v>2126</v>
      </c>
      <c r="P66">
        <v>1964.5</v>
      </c>
      <c r="Q66">
        <v>1</v>
      </c>
      <c r="R66">
        <v>20103015</v>
      </c>
      <c r="S66" t="s">
        <v>119</v>
      </c>
      <c r="T66" t="s">
        <v>263</v>
      </c>
      <c r="U66">
        <v>19513282651.659962</v>
      </c>
      <c r="V66">
        <v>20.650375</v>
      </c>
      <c r="W66" t="s">
        <v>264</v>
      </c>
      <c r="X66">
        <v>20.650375</v>
      </c>
      <c r="Y66" t="b">
        <v>0</v>
      </c>
      <c r="Z66" t="b">
        <v>0</v>
      </c>
      <c r="AA66" t="b">
        <v>0</v>
      </c>
      <c r="AB66">
        <v>65</v>
      </c>
    </row>
    <row r="67" spans="1:28" x14ac:dyDescent="0.25">
      <c r="A67">
        <v>977</v>
      </c>
      <c r="B67" t="s">
        <v>281</v>
      </c>
      <c r="C67" t="s">
        <v>350</v>
      </c>
      <c r="D67" t="s">
        <v>419</v>
      </c>
      <c r="E67" t="s">
        <v>117</v>
      </c>
      <c r="F67">
        <v>414555050</v>
      </c>
      <c r="G67">
        <v>53.716070000000002</v>
      </c>
      <c r="H67" t="s">
        <v>205</v>
      </c>
      <c r="I67">
        <v>22268268084.6535</v>
      </c>
      <c r="J67" t="s">
        <v>210</v>
      </c>
      <c r="K67">
        <v>30371691.699603599</v>
      </c>
      <c r="L67" t="s">
        <v>118</v>
      </c>
      <c r="M67" t="s">
        <v>500</v>
      </c>
      <c r="N67">
        <v>0.13384283</v>
      </c>
      <c r="O67">
        <v>391.3</v>
      </c>
      <c r="P67">
        <v>401.2</v>
      </c>
      <c r="Q67">
        <v>0.85</v>
      </c>
      <c r="R67">
        <v>20103010</v>
      </c>
      <c r="S67" t="s">
        <v>119</v>
      </c>
      <c r="T67" t="s">
        <v>263</v>
      </c>
      <c r="U67">
        <v>18921570093.653561</v>
      </c>
      <c r="V67">
        <v>17.588638570000001</v>
      </c>
      <c r="W67" t="s">
        <v>264</v>
      </c>
      <c r="X67">
        <v>17.588638570000001</v>
      </c>
      <c r="Y67" t="b">
        <v>0</v>
      </c>
      <c r="Z67" t="b">
        <v>0</v>
      </c>
      <c r="AA67" t="b">
        <v>0</v>
      </c>
      <c r="AB67">
        <v>66</v>
      </c>
    </row>
    <row r="68" spans="1:28" x14ac:dyDescent="0.25">
      <c r="A68">
        <v>774</v>
      </c>
      <c r="B68" t="s">
        <v>282</v>
      </c>
      <c r="C68" t="s">
        <v>351</v>
      </c>
      <c r="D68" t="s">
        <v>420</v>
      </c>
      <c r="E68" t="s">
        <v>108</v>
      </c>
      <c r="F68">
        <v>82900000</v>
      </c>
      <c r="G68">
        <v>230.96119999999999</v>
      </c>
      <c r="H68" t="s">
        <v>202</v>
      </c>
      <c r="I68">
        <v>19146683480</v>
      </c>
      <c r="J68" t="s">
        <v>209</v>
      </c>
      <c r="K68">
        <v>164959775.719978</v>
      </c>
      <c r="L68" t="s">
        <v>118</v>
      </c>
      <c r="M68" t="s">
        <v>501</v>
      </c>
      <c r="N68">
        <v>0.84961766999999999</v>
      </c>
      <c r="O68">
        <v>258.11</v>
      </c>
      <c r="P68">
        <v>265.64</v>
      </c>
      <c r="Q68">
        <v>1</v>
      </c>
      <c r="R68">
        <v>20102020</v>
      </c>
      <c r="S68" t="s">
        <v>119</v>
      </c>
      <c r="T68" t="s">
        <v>263</v>
      </c>
      <c r="U68">
        <v>18709903098.494518</v>
      </c>
      <c r="V68">
        <v>19.2800625</v>
      </c>
      <c r="W68" t="s">
        <v>264</v>
      </c>
      <c r="X68">
        <v>19.2800625</v>
      </c>
      <c r="Y68" t="b">
        <v>0</v>
      </c>
      <c r="Z68" t="b">
        <v>0</v>
      </c>
      <c r="AA68" t="b">
        <v>0</v>
      </c>
      <c r="AB68">
        <v>67</v>
      </c>
    </row>
    <row r="69" spans="1:28" x14ac:dyDescent="0.25">
      <c r="A69">
        <v>1042</v>
      </c>
      <c r="B69" t="s">
        <v>283</v>
      </c>
      <c r="C69" t="s">
        <v>352</v>
      </c>
      <c r="D69" t="s">
        <v>421</v>
      </c>
      <c r="E69" t="s">
        <v>476</v>
      </c>
      <c r="F69">
        <v>962920132</v>
      </c>
      <c r="G69">
        <v>23.49</v>
      </c>
      <c r="H69" t="s">
        <v>119</v>
      </c>
      <c r="I69">
        <v>22618993900.68</v>
      </c>
      <c r="J69" t="s">
        <v>211</v>
      </c>
      <c r="K69">
        <v>32230025.666818202</v>
      </c>
      <c r="L69" t="s">
        <v>118</v>
      </c>
      <c r="M69" t="s">
        <v>502</v>
      </c>
      <c r="N69">
        <v>1</v>
      </c>
      <c r="O69">
        <v>22.55</v>
      </c>
      <c r="P69">
        <v>23.49</v>
      </c>
      <c r="Q69">
        <v>0.8</v>
      </c>
      <c r="R69">
        <v>20102010</v>
      </c>
      <c r="S69" t="s">
        <v>119</v>
      </c>
      <c r="T69" t="s">
        <v>263</v>
      </c>
      <c r="U69">
        <v>18095195120.543999</v>
      </c>
      <c r="V69">
        <v>20.2915375</v>
      </c>
      <c r="W69" t="s">
        <v>265</v>
      </c>
      <c r="X69">
        <v>20.2915375</v>
      </c>
      <c r="Y69" t="b">
        <v>0</v>
      </c>
      <c r="Z69" t="b">
        <v>0</v>
      </c>
      <c r="AA69" t="b">
        <v>0</v>
      </c>
      <c r="AB69">
        <v>68</v>
      </c>
    </row>
    <row r="70" spans="1:28" x14ac:dyDescent="0.25">
      <c r="A70">
        <v>1078</v>
      </c>
      <c r="B70" t="s">
        <v>284</v>
      </c>
      <c r="C70" t="s">
        <v>353</v>
      </c>
      <c r="D70" t="s">
        <v>422</v>
      </c>
      <c r="E70" t="s">
        <v>108</v>
      </c>
      <c r="F70">
        <v>111242360</v>
      </c>
      <c r="G70">
        <v>166.28270000000001</v>
      </c>
      <c r="H70" t="s">
        <v>202</v>
      </c>
      <c r="I70">
        <v>18497679975.172001</v>
      </c>
      <c r="J70" t="s">
        <v>209</v>
      </c>
      <c r="K70">
        <v>152621010.21438599</v>
      </c>
      <c r="L70" t="s">
        <v>118</v>
      </c>
      <c r="M70" t="s">
        <v>503</v>
      </c>
      <c r="N70">
        <v>0.84961766999999999</v>
      </c>
      <c r="O70">
        <v>178.66</v>
      </c>
      <c r="P70">
        <v>191.25</v>
      </c>
      <c r="Q70">
        <v>1</v>
      </c>
      <c r="R70">
        <v>20102020</v>
      </c>
      <c r="S70" t="s">
        <v>119</v>
      </c>
      <c r="T70" t="s">
        <v>263</v>
      </c>
      <c r="U70">
        <v>18075702038.000851</v>
      </c>
      <c r="V70">
        <v>19.915564379999999</v>
      </c>
      <c r="W70" t="s">
        <v>264</v>
      </c>
      <c r="X70">
        <v>19.915564379999999</v>
      </c>
      <c r="Y70" t="b">
        <v>0</v>
      </c>
      <c r="Z70" t="b">
        <v>0</v>
      </c>
      <c r="AA70" t="b">
        <v>0</v>
      </c>
      <c r="AB70">
        <v>69</v>
      </c>
    </row>
    <row r="71" spans="1:28" x14ac:dyDescent="0.25">
      <c r="A71">
        <v>549</v>
      </c>
      <c r="B71" t="s">
        <v>285</v>
      </c>
      <c r="C71" t="s">
        <v>354</v>
      </c>
      <c r="D71" t="s">
        <v>423</v>
      </c>
      <c r="E71" t="s">
        <v>117</v>
      </c>
      <c r="F71">
        <v>64238410</v>
      </c>
      <c r="G71">
        <v>263.49259999999998</v>
      </c>
      <c r="H71" t="s">
        <v>205</v>
      </c>
      <c r="I71">
        <v>16926345670.766001</v>
      </c>
      <c r="J71" t="s">
        <v>210</v>
      </c>
      <c r="K71">
        <v>38011524.1447694</v>
      </c>
      <c r="L71" t="s">
        <v>118</v>
      </c>
      <c r="M71" t="s">
        <v>504</v>
      </c>
      <c r="N71">
        <v>0.13384283</v>
      </c>
      <c r="O71">
        <v>1986.5</v>
      </c>
      <c r="P71">
        <v>1968</v>
      </c>
      <c r="Q71">
        <v>1</v>
      </c>
      <c r="R71">
        <v>20103010</v>
      </c>
      <c r="S71" t="s">
        <v>119</v>
      </c>
      <c r="T71" t="s">
        <v>263</v>
      </c>
      <c r="U71">
        <v>16920569959.34939</v>
      </c>
      <c r="V71">
        <v>20.718163749999999</v>
      </c>
      <c r="W71" t="s">
        <v>264</v>
      </c>
      <c r="X71">
        <v>20.718163749999999</v>
      </c>
      <c r="Y71" t="b">
        <v>0</v>
      </c>
      <c r="Z71" t="b">
        <v>0</v>
      </c>
      <c r="AA71" t="b">
        <v>0</v>
      </c>
      <c r="AB71">
        <v>70</v>
      </c>
    </row>
    <row r="72" spans="1:28" x14ac:dyDescent="0.25">
      <c r="A72">
        <v>1485</v>
      </c>
      <c r="B72" t="s">
        <v>286</v>
      </c>
      <c r="C72" t="s">
        <v>355</v>
      </c>
      <c r="D72" t="s">
        <v>424</v>
      </c>
      <c r="E72" t="s">
        <v>108</v>
      </c>
      <c r="F72">
        <v>71943410</v>
      </c>
      <c r="G72">
        <v>235.6823</v>
      </c>
      <c r="H72" t="s">
        <v>202</v>
      </c>
      <c r="I72">
        <v>16955788338.643</v>
      </c>
      <c r="J72" t="s">
        <v>209</v>
      </c>
      <c r="K72">
        <v>155056864.98104</v>
      </c>
      <c r="L72" t="s">
        <v>118</v>
      </c>
      <c r="M72" t="s">
        <v>505</v>
      </c>
      <c r="N72">
        <v>0.84961766999999999</v>
      </c>
      <c r="O72">
        <v>266.44</v>
      </c>
      <c r="P72">
        <v>271.07</v>
      </c>
      <c r="Q72">
        <v>1</v>
      </c>
      <c r="R72">
        <v>20102015</v>
      </c>
      <c r="S72" t="s">
        <v>119</v>
      </c>
      <c r="T72" t="s">
        <v>263</v>
      </c>
      <c r="U72">
        <v>16568989041.37715</v>
      </c>
      <c r="V72">
        <v>17.615561249999999</v>
      </c>
      <c r="W72" t="s">
        <v>264</v>
      </c>
      <c r="X72">
        <v>17.615561249999999</v>
      </c>
      <c r="Y72" t="b">
        <v>0</v>
      </c>
      <c r="Z72" t="b">
        <v>0</v>
      </c>
      <c r="AA72" t="b">
        <v>0</v>
      </c>
      <c r="AB72">
        <v>71</v>
      </c>
    </row>
    <row r="73" spans="1:28" x14ac:dyDescent="0.25">
      <c r="A73">
        <v>1432</v>
      </c>
      <c r="B73" t="s">
        <v>287</v>
      </c>
      <c r="C73" t="s">
        <v>356</v>
      </c>
      <c r="D73" t="s">
        <v>425</v>
      </c>
      <c r="E73" t="s">
        <v>110</v>
      </c>
      <c r="F73">
        <v>43056600</v>
      </c>
      <c r="G73">
        <v>412.8331</v>
      </c>
      <c r="H73" t="s">
        <v>202</v>
      </c>
      <c r="I73">
        <v>17775189653.459999</v>
      </c>
      <c r="J73" t="s">
        <v>209</v>
      </c>
      <c r="K73">
        <v>268192865.92347899</v>
      </c>
      <c r="L73" t="s">
        <v>118</v>
      </c>
      <c r="M73" t="s">
        <v>506</v>
      </c>
      <c r="N73">
        <v>0.84961766999999999</v>
      </c>
      <c r="O73">
        <v>500</v>
      </c>
      <c r="P73">
        <v>474.82</v>
      </c>
      <c r="Q73">
        <v>0.95</v>
      </c>
      <c r="R73">
        <v>20103015</v>
      </c>
      <c r="S73" t="s">
        <v>119</v>
      </c>
      <c r="T73" t="s">
        <v>263</v>
      </c>
      <c r="U73">
        <v>16501213274.93046</v>
      </c>
      <c r="V73">
        <v>22.634572500000001</v>
      </c>
      <c r="W73" t="s">
        <v>264</v>
      </c>
      <c r="X73">
        <v>22.634572500000001</v>
      </c>
      <c r="Y73" t="b">
        <v>0</v>
      </c>
      <c r="Z73" t="b">
        <v>0</v>
      </c>
      <c r="AA73" t="b">
        <v>0</v>
      </c>
      <c r="AB73">
        <v>72</v>
      </c>
    </row>
    <row r="74" spans="1:28" x14ac:dyDescent="0.25">
      <c r="A74">
        <v>476</v>
      </c>
      <c r="B74" t="s">
        <v>288</v>
      </c>
      <c r="C74" t="s">
        <v>357</v>
      </c>
      <c r="D74" t="s">
        <v>426</v>
      </c>
      <c r="E74" t="s">
        <v>477</v>
      </c>
      <c r="F74">
        <v>189471300</v>
      </c>
      <c r="G74">
        <v>87.727689999999996</v>
      </c>
      <c r="H74" t="s">
        <v>202</v>
      </c>
      <c r="I74">
        <v>16621879470.297001</v>
      </c>
      <c r="J74" t="s">
        <v>209</v>
      </c>
      <c r="K74">
        <v>265825886.15444699</v>
      </c>
      <c r="L74" t="s">
        <v>118</v>
      </c>
      <c r="M74" t="s">
        <v>507</v>
      </c>
      <c r="N74">
        <v>0.84961766999999999</v>
      </c>
      <c r="O74">
        <v>101.76</v>
      </c>
      <c r="P74">
        <v>100.9</v>
      </c>
      <c r="Q74">
        <v>1</v>
      </c>
      <c r="R74">
        <v>20103010</v>
      </c>
      <c r="S74" t="s">
        <v>119</v>
      </c>
      <c r="T74" t="s">
        <v>263</v>
      </c>
      <c r="U74">
        <v>16242696791.781179</v>
      </c>
      <c r="V74">
        <v>22.93648</v>
      </c>
      <c r="W74" t="s">
        <v>264</v>
      </c>
      <c r="X74">
        <v>22.93648</v>
      </c>
      <c r="Y74" t="b">
        <v>0</v>
      </c>
      <c r="Z74" t="b">
        <v>0</v>
      </c>
      <c r="AA74" t="b">
        <v>0</v>
      </c>
      <c r="AB74">
        <v>73</v>
      </c>
    </row>
    <row r="75" spans="1:28" x14ac:dyDescent="0.25">
      <c r="A75">
        <v>637</v>
      </c>
      <c r="B75" t="s">
        <v>289</v>
      </c>
      <c r="C75" t="s">
        <v>358</v>
      </c>
      <c r="D75" t="s">
        <v>427</v>
      </c>
      <c r="E75" t="s">
        <v>110</v>
      </c>
      <c r="F75">
        <v>152800000</v>
      </c>
      <c r="G75">
        <v>107.6816</v>
      </c>
      <c r="H75" t="s">
        <v>202</v>
      </c>
      <c r="I75">
        <v>16453748480</v>
      </c>
      <c r="J75" t="s">
        <v>209</v>
      </c>
      <c r="K75">
        <v>156175273.82432699</v>
      </c>
      <c r="L75" t="s">
        <v>118</v>
      </c>
      <c r="M75" t="s">
        <v>508</v>
      </c>
      <c r="N75">
        <v>0.84961766999999999</v>
      </c>
      <c r="O75">
        <v>131.56</v>
      </c>
      <c r="P75">
        <v>123.85</v>
      </c>
      <c r="Q75">
        <v>1</v>
      </c>
      <c r="R75">
        <v>20103010</v>
      </c>
      <c r="S75" t="s">
        <v>119</v>
      </c>
      <c r="T75" t="s">
        <v>263</v>
      </c>
      <c r="U75">
        <v>16078402680.027599</v>
      </c>
      <c r="V75">
        <v>17.93941937</v>
      </c>
      <c r="W75" t="s">
        <v>264</v>
      </c>
      <c r="X75">
        <v>17.93941937</v>
      </c>
      <c r="Y75" t="b">
        <v>0</v>
      </c>
      <c r="Z75" t="b">
        <v>0</v>
      </c>
      <c r="AA75" t="b">
        <v>0</v>
      </c>
      <c r="AB75">
        <v>74</v>
      </c>
    </row>
    <row r="76" spans="1:28" x14ac:dyDescent="0.25">
      <c r="A76">
        <v>1531</v>
      </c>
      <c r="B76" t="s">
        <v>290</v>
      </c>
      <c r="C76" t="s">
        <v>359</v>
      </c>
      <c r="D76" t="s">
        <v>428</v>
      </c>
      <c r="E76" t="s">
        <v>108</v>
      </c>
      <c r="F76">
        <v>198181550</v>
      </c>
      <c r="G76">
        <v>80.146069999999995</v>
      </c>
      <c r="H76" t="s">
        <v>202</v>
      </c>
      <c r="I76">
        <v>15883472379.008499</v>
      </c>
      <c r="J76" t="s">
        <v>209</v>
      </c>
      <c r="K76">
        <v>139012567.21401301</v>
      </c>
      <c r="L76" t="s">
        <v>118</v>
      </c>
      <c r="M76" t="s">
        <v>509</v>
      </c>
      <c r="N76">
        <v>0.84961766999999999</v>
      </c>
      <c r="O76">
        <v>90.91</v>
      </c>
      <c r="P76">
        <v>92.18</v>
      </c>
      <c r="Q76">
        <v>1</v>
      </c>
      <c r="R76">
        <v>20102010</v>
      </c>
      <c r="S76" t="s">
        <v>119</v>
      </c>
      <c r="T76" t="s">
        <v>263</v>
      </c>
      <c r="U76">
        <v>15521134439.22958</v>
      </c>
      <c r="V76">
        <v>24.086382499999999</v>
      </c>
      <c r="W76" t="s">
        <v>264</v>
      </c>
      <c r="X76">
        <v>24.086382499999999</v>
      </c>
      <c r="Y76" t="b">
        <v>0</v>
      </c>
      <c r="Z76" t="b">
        <v>0</v>
      </c>
      <c r="AA76" t="b">
        <v>0</v>
      </c>
      <c r="AB76">
        <v>75</v>
      </c>
    </row>
    <row r="77" spans="1:28" x14ac:dyDescent="0.25">
      <c r="A77">
        <v>272</v>
      </c>
      <c r="B77" t="s">
        <v>291</v>
      </c>
      <c r="C77" t="s">
        <v>360</v>
      </c>
      <c r="D77" t="s">
        <v>429</v>
      </c>
      <c r="E77" t="s">
        <v>108</v>
      </c>
      <c r="F77">
        <v>491518000</v>
      </c>
      <c r="G77">
        <v>31.73499</v>
      </c>
      <c r="H77" t="s">
        <v>202</v>
      </c>
      <c r="I77">
        <v>15598318814.82</v>
      </c>
      <c r="J77" t="s">
        <v>209</v>
      </c>
      <c r="K77">
        <v>336914764.94189602</v>
      </c>
      <c r="L77" t="s">
        <v>118</v>
      </c>
      <c r="M77" t="s">
        <v>510</v>
      </c>
      <c r="N77">
        <v>0.84961766999999999</v>
      </c>
      <c r="O77">
        <v>38.97</v>
      </c>
      <c r="P77">
        <v>36.5</v>
      </c>
      <c r="Q77">
        <v>1</v>
      </c>
      <c r="R77">
        <v>20101020</v>
      </c>
      <c r="S77" t="s">
        <v>119</v>
      </c>
      <c r="T77" t="s">
        <v>263</v>
      </c>
      <c r="U77">
        <v>15242486794.19169</v>
      </c>
      <c r="V77">
        <v>11.104789999999999</v>
      </c>
      <c r="W77" t="s">
        <v>264</v>
      </c>
      <c r="X77">
        <v>11.104789999999999</v>
      </c>
      <c r="Y77" t="b">
        <v>0</v>
      </c>
      <c r="Z77" t="b">
        <v>0</v>
      </c>
      <c r="AA77" t="b">
        <v>0</v>
      </c>
      <c r="AB77">
        <v>76</v>
      </c>
    </row>
    <row r="78" spans="1:28" x14ac:dyDescent="0.25">
      <c r="A78">
        <v>857</v>
      </c>
      <c r="B78" t="s">
        <v>292</v>
      </c>
      <c r="C78" t="s">
        <v>361</v>
      </c>
      <c r="D78" t="s">
        <v>430</v>
      </c>
      <c r="E78" t="s">
        <v>127</v>
      </c>
      <c r="F78">
        <v>129242250</v>
      </c>
      <c r="G78">
        <v>112.3</v>
      </c>
      <c r="H78" t="s">
        <v>119</v>
      </c>
      <c r="I78">
        <v>14513904675</v>
      </c>
      <c r="J78" t="s">
        <v>211</v>
      </c>
      <c r="K78">
        <v>34517666.854924202</v>
      </c>
      <c r="L78" t="s">
        <v>118</v>
      </c>
      <c r="M78" t="s">
        <v>511</v>
      </c>
      <c r="N78">
        <v>1</v>
      </c>
      <c r="O78">
        <v>121.1</v>
      </c>
      <c r="P78">
        <v>112.3</v>
      </c>
      <c r="Q78">
        <v>1</v>
      </c>
      <c r="R78">
        <v>20103015</v>
      </c>
      <c r="S78" t="s">
        <v>119</v>
      </c>
      <c r="T78" t="s">
        <v>263</v>
      </c>
      <c r="U78">
        <v>14513904675</v>
      </c>
      <c r="V78">
        <v>13.395031380000001</v>
      </c>
      <c r="W78" t="s">
        <v>264</v>
      </c>
      <c r="X78">
        <v>13.395031380000001</v>
      </c>
      <c r="Y78" t="b">
        <v>0</v>
      </c>
      <c r="Z78" t="b">
        <v>0</v>
      </c>
      <c r="AA78" t="b">
        <v>0</v>
      </c>
      <c r="AB78">
        <v>77</v>
      </c>
    </row>
    <row r="79" spans="1:28" x14ac:dyDescent="0.25">
      <c r="A79">
        <v>1214</v>
      </c>
      <c r="B79" t="s">
        <v>293</v>
      </c>
      <c r="C79" t="s">
        <v>362</v>
      </c>
      <c r="D79" t="s">
        <v>431</v>
      </c>
      <c r="E79" t="s">
        <v>127</v>
      </c>
      <c r="F79">
        <v>1128000000</v>
      </c>
      <c r="G79">
        <v>41.77</v>
      </c>
      <c r="H79" t="s">
        <v>119</v>
      </c>
      <c r="I79">
        <v>47116560000</v>
      </c>
      <c r="J79" t="s">
        <v>211</v>
      </c>
      <c r="K79">
        <v>40522478.966515198</v>
      </c>
      <c r="L79" t="s">
        <v>118</v>
      </c>
      <c r="M79" t="s">
        <v>512</v>
      </c>
      <c r="N79">
        <v>1</v>
      </c>
      <c r="O79">
        <v>44.21</v>
      </c>
      <c r="P79">
        <v>41.77</v>
      </c>
      <c r="Q79">
        <v>0.3</v>
      </c>
      <c r="R79">
        <v>20102010</v>
      </c>
      <c r="S79" t="s">
        <v>119</v>
      </c>
      <c r="T79" t="s">
        <v>263</v>
      </c>
      <c r="U79">
        <v>14134968000</v>
      </c>
      <c r="V79">
        <v>16.79945</v>
      </c>
      <c r="W79" t="s">
        <v>264</v>
      </c>
      <c r="X79">
        <v>16.79945</v>
      </c>
      <c r="Y79" t="b">
        <v>0</v>
      </c>
      <c r="Z79" t="b">
        <v>0</v>
      </c>
      <c r="AA79" t="b">
        <v>0</v>
      </c>
      <c r="AB79">
        <v>78</v>
      </c>
    </row>
    <row r="80" spans="1:28" x14ac:dyDescent="0.25">
      <c r="A80">
        <v>995</v>
      </c>
      <c r="B80" t="s">
        <v>294</v>
      </c>
      <c r="C80" t="s">
        <v>363</v>
      </c>
      <c r="D80" t="s">
        <v>432</v>
      </c>
      <c r="E80" t="s">
        <v>114</v>
      </c>
      <c r="F80">
        <v>1139116300</v>
      </c>
      <c r="G80">
        <v>11.504390000000001</v>
      </c>
      <c r="H80" t="s">
        <v>207</v>
      </c>
      <c r="I80">
        <v>13104838170.556999</v>
      </c>
      <c r="J80" t="s">
        <v>212</v>
      </c>
      <c r="K80">
        <v>45101674.215485796</v>
      </c>
      <c r="L80" t="s">
        <v>118</v>
      </c>
      <c r="M80" t="s">
        <v>513</v>
      </c>
      <c r="N80">
        <v>5.48884E-3</v>
      </c>
      <c r="O80">
        <v>2010.5</v>
      </c>
      <c r="P80">
        <v>2071.5</v>
      </c>
      <c r="Q80">
        <v>1</v>
      </c>
      <c r="R80">
        <v>20102010</v>
      </c>
      <c r="S80" t="s">
        <v>119</v>
      </c>
      <c r="T80" t="s">
        <v>263</v>
      </c>
      <c r="U80">
        <v>12951902762.69858</v>
      </c>
      <c r="V80">
        <v>20.546496250000001</v>
      </c>
      <c r="W80" t="s">
        <v>264</v>
      </c>
      <c r="X80">
        <v>20.546496250000001</v>
      </c>
      <c r="Y80" t="b">
        <v>0</v>
      </c>
      <c r="Z80" t="b">
        <v>0</v>
      </c>
      <c r="AA80" t="b">
        <v>0</v>
      </c>
      <c r="AB80">
        <v>79</v>
      </c>
    </row>
    <row r="81" spans="1:28" x14ac:dyDescent="0.25">
      <c r="A81">
        <v>1206</v>
      </c>
      <c r="B81" t="s">
        <v>295</v>
      </c>
      <c r="C81" t="s">
        <v>364</v>
      </c>
      <c r="D81" t="s">
        <v>433</v>
      </c>
      <c r="E81" t="s">
        <v>114</v>
      </c>
      <c r="F81">
        <v>889632200</v>
      </c>
      <c r="G81">
        <v>14.978199999999999</v>
      </c>
      <c r="H81" t="s">
        <v>207</v>
      </c>
      <c r="I81">
        <v>13325089018.040001</v>
      </c>
      <c r="J81" t="s">
        <v>212</v>
      </c>
      <c r="K81">
        <v>37014712.577446803</v>
      </c>
      <c r="L81" t="s">
        <v>118</v>
      </c>
      <c r="M81" t="s">
        <v>514</v>
      </c>
      <c r="N81">
        <v>5.48884E-3</v>
      </c>
      <c r="O81">
        <v>2764</v>
      </c>
      <c r="P81">
        <v>2697</v>
      </c>
      <c r="Q81">
        <v>0.95</v>
      </c>
      <c r="R81">
        <v>20103015</v>
      </c>
      <c r="S81" t="s">
        <v>119</v>
      </c>
      <c r="T81" t="s">
        <v>263</v>
      </c>
      <c r="U81">
        <v>12511103494.828871</v>
      </c>
      <c r="V81">
        <v>20.731189220000001</v>
      </c>
      <c r="W81" t="s">
        <v>264</v>
      </c>
      <c r="X81">
        <v>20.731189220000001</v>
      </c>
      <c r="Y81" t="b">
        <v>0</v>
      </c>
      <c r="Z81" t="b">
        <v>0</v>
      </c>
      <c r="AA81" t="b">
        <v>0</v>
      </c>
      <c r="AB81">
        <v>80</v>
      </c>
    </row>
    <row r="82" spans="1:28" x14ac:dyDescent="0.25">
      <c r="A82">
        <v>1275</v>
      </c>
      <c r="B82" t="s">
        <v>296</v>
      </c>
      <c r="C82" t="s">
        <v>365</v>
      </c>
      <c r="D82" t="s">
        <v>434</v>
      </c>
      <c r="E82" t="s">
        <v>109</v>
      </c>
      <c r="F82">
        <v>159455250</v>
      </c>
      <c r="G82">
        <v>103.84180000000001</v>
      </c>
      <c r="H82" t="s">
        <v>204</v>
      </c>
      <c r="I82">
        <v>16558120179.450001</v>
      </c>
      <c r="J82" t="s">
        <v>210</v>
      </c>
      <c r="K82">
        <v>41314578.786334701</v>
      </c>
      <c r="L82" t="s">
        <v>118</v>
      </c>
      <c r="M82" t="s">
        <v>515</v>
      </c>
      <c r="N82">
        <v>1.0682048799999999</v>
      </c>
      <c r="O82">
        <v>95.02</v>
      </c>
      <c r="P82">
        <v>96.58</v>
      </c>
      <c r="Q82">
        <v>0.75</v>
      </c>
      <c r="R82">
        <v>20102015</v>
      </c>
      <c r="S82" t="s">
        <v>119</v>
      </c>
      <c r="T82" t="s">
        <v>263</v>
      </c>
      <c r="U82">
        <v>12337917016.939989</v>
      </c>
      <c r="V82">
        <v>19.695127500000002</v>
      </c>
      <c r="W82" t="s">
        <v>264</v>
      </c>
      <c r="X82">
        <v>19.695127500000002</v>
      </c>
      <c r="Y82" t="b">
        <v>0</v>
      </c>
      <c r="Z82" t="b">
        <v>0</v>
      </c>
      <c r="AA82" t="b">
        <v>0</v>
      </c>
      <c r="AB82">
        <v>81</v>
      </c>
    </row>
    <row r="83" spans="1:28" x14ac:dyDescent="0.25">
      <c r="A83">
        <v>1510</v>
      </c>
      <c r="B83" t="s">
        <v>297</v>
      </c>
      <c r="C83" t="s">
        <v>366</v>
      </c>
      <c r="D83" t="s">
        <v>435</v>
      </c>
      <c r="E83" t="s">
        <v>113</v>
      </c>
      <c r="F83">
        <v>4107272500</v>
      </c>
      <c r="G83">
        <v>3.4127679999999998</v>
      </c>
      <c r="H83" t="s">
        <v>208</v>
      </c>
      <c r="I83">
        <v>14017168155.280001</v>
      </c>
      <c r="J83" t="s">
        <v>212</v>
      </c>
      <c r="K83">
        <v>166136780.19465801</v>
      </c>
      <c r="L83" t="s">
        <v>118</v>
      </c>
      <c r="M83" t="s">
        <v>516</v>
      </c>
      <c r="N83">
        <v>0.10921382</v>
      </c>
      <c r="O83">
        <v>32.06</v>
      </c>
      <c r="P83">
        <v>30.56</v>
      </c>
      <c r="Q83">
        <v>0.9</v>
      </c>
      <c r="R83">
        <v>20103010</v>
      </c>
      <c r="S83" t="s">
        <v>119</v>
      </c>
      <c r="T83" t="s">
        <v>263</v>
      </c>
      <c r="U83">
        <v>12337494570.09165</v>
      </c>
      <c r="V83">
        <v>9.1786406899999999</v>
      </c>
      <c r="W83" t="s">
        <v>264</v>
      </c>
      <c r="X83">
        <v>9.1786406899999999</v>
      </c>
      <c r="Y83" t="b">
        <v>0</v>
      </c>
      <c r="Z83" t="b">
        <v>0</v>
      </c>
      <c r="AA83" t="b">
        <v>0</v>
      </c>
      <c r="AB83">
        <v>82</v>
      </c>
    </row>
    <row r="84" spans="1:28" x14ac:dyDescent="0.25">
      <c r="A84">
        <v>315</v>
      </c>
      <c r="B84" t="s">
        <v>298</v>
      </c>
      <c r="C84" t="s">
        <v>367</v>
      </c>
      <c r="D84" t="s">
        <v>436</v>
      </c>
      <c r="E84" t="s">
        <v>117</v>
      </c>
      <c r="F84">
        <v>210200000</v>
      </c>
      <c r="G84">
        <v>77.682109999999994</v>
      </c>
      <c r="H84" t="s">
        <v>205</v>
      </c>
      <c r="I84">
        <v>16328779522</v>
      </c>
      <c r="J84" t="s">
        <v>210</v>
      </c>
      <c r="K84">
        <v>19607251.884001002</v>
      </c>
      <c r="L84" t="s">
        <v>118</v>
      </c>
      <c r="M84" t="s">
        <v>517</v>
      </c>
      <c r="N84">
        <v>0.13384283</v>
      </c>
      <c r="O84">
        <v>551.6</v>
      </c>
      <c r="P84">
        <v>580.20000000000005</v>
      </c>
      <c r="Q84">
        <v>0.75</v>
      </c>
      <c r="R84">
        <v>20102015</v>
      </c>
      <c r="S84" t="s">
        <v>119</v>
      </c>
      <c r="T84" t="s">
        <v>263</v>
      </c>
      <c r="U84">
        <v>12242406911.1399</v>
      </c>
      <c r="V84">
        <v>13.65555625</v>
      </c>
      <c r="W84" t="s">
        <v>264</v>
      </c>
      <c r="X84">
        <v>13.65555625</v>
      </c>
      <c r="Y84" t="b">
        <v>0</v>
      </c>
      <c r="Z84" t="b">
        <v>0</v>
      </c>
      <c r="AA84" t="b">
        <v>0</v>
      </c>
      <c r="AB84">
        <v>83</v>
      </c>
    </row>
    <row r="85" spans="1:28" x14ac:dyDescent="0.25">
      <c r="A85">
        <v>1232</v>
      </c>
      <c r="B85" t="s">
        <v>299</v>
      </c>
      <c r="C85" t="s">
        <v>368</v>
      </c>
      <c r="D85" t="s">
        <v>437</v>
      </c>
      <c r="E85" t="s">
        <v>112</v>
      </c>
      <c r="F85">
        <v>848707340</v>
      </c>
      <c r="G85">
        <v>14.23343</v>
      </c>
      <c r="H85" t="s">
        <v>203</v>
      </c>
      <c r="I85">
        <v>12080016514.3762</v>
      </c>
      <c r="J85" t="s">
        <v>210</v>
      </c>
      <c r="K85">
        <v>37510847.5202526</v>
      </c>
      <c r="L85" t="s">
        <v>118</v>
      </c>
      <c r="M85" t="s">
        <v>518</v>
      </c>
      <c r="N85">
        <v>1.139796E-2</v>
      </c>
      <c r="O85">
        <v>1206</v>
      </c>
      <c r="P85">
        <v>1251</v>
      </c>
      <c r="Q85">
        <v>0.9</v>
      </c>
      <c r="R85">
        <v>20102010</v>
      </c>
      <c r="S85" t="s">
        <v>119</v>
      </c>
      <c r="T85" t="s">
        <v>263</v>
      </c>
      <c r="U85">
        <v>10891430031.23642</v>
      </c>
      <c r="V85">
        <v>19.702929999999999</v>
      </c>
      <c r="W85" t="s">
        <v>264</v>
      </c>
      <c r="X85">
        <v>19.702929999999999</v>
      </c>
      <c r="Y85" t="b">
        <v>0</v>
      </c>
      <c r="Z85" t="b">
        <v>0</v>
      </c>
      <c r="AA85" t="b">
        <v>0</v>
      </c>
      <c r="AB85">
        <v>84</v>
      </c>
    </row>
    <row r="86" spans="1:28" x14ac:dyDescent="0.25">
      <c r="A86">
        <v>1249</v>
      </c>
      <c r="B86" t="s">
        <v>300</v>
      </c>
      <c r="C86" t="s">
        <v>369</v>
      </c>
      <c r="D86" t="s">
        <v>438</v>
      </c>
      <c r="E86" t="s">
        <v>109</v>
      </c>
      <c r="F86">
        <v>59626810</v>
      </c>
      <c r="G86">
        <v>209.55439999999999</v>
      </c>
      <c r="H86" t="s">
        <v>204</v>
      </c>
      <c r="I86">
        <v>12495060393.464001</v>
      </c>
      <c r="J86" t="s">
        <v>210</v>
      </c>
      <c r="K86">
        <v>42363419.2947824</v>
      </c>
      <c r="L86" t="s">
        <v>118</v>
      </c>
      <c r="M86" t="s">
        <v>519</v>
      </c>
      <c r="N86">
        <v>1.0682048799999999</v>
      </c>
      <c r="O86">
        <v>207</v>
      </c>
      <c r="P86">
        <v>194.9</v>
      </c>
      <c r="Q86">
        <v>0.85</v>
      </c>
      <c r="R86">
        <v>20102010</v>
      </c>
      <c r="S86" t="s">
        <v>119</v>
      </c>
      <c r="T86" t="s">
        <v>263</v>
      </c>
      <c r="U86">
        <v>10551808431.302271</v>
      </c>
      <c r="V86">
        <v>14.269298750000001</v>
      </c>
      <c r="W86" t="s">
        <v>264</v>
      </c>
      <c r="X86">
        <v>14.269298750000001</v>
      </c>
      <c r="Y86" t="b">
        <v>0</v>
      </c>
      <c r="Z86" t="b">
        <v>0</v>
      </c>
      <c r="AA86" t="b">
        <v>0</v>
      </c>
      <c r="AB86">
        <v>85</v>
      </c>
    </row>
    <row r="87" spans="1:28" x14ac:dyDescent="0.25">
      <c r="A87">
        <v>503</v>
      </c>
      <c r="B87" t="s">
        <v>301</v>
      </c>
      <c r="C87" t="s">
        <v>370</v>
      </c>
      <c r="D87" t="s">
        <v>439</v>
      </c>
      <c r="E87" t="s">
        <v>478</v>
      </c>
      <c r="F87">
        <v>587262900</v>
      </c>
      <c r="G87">
        <v>17.938980000000001</v>
      </c>
      <c r="H87" t="s">
        <v>483</v>
      </c>
      <c r="I87">
        <v>10534897417.841999</v>
      </c>
      <c r="J87" t="s">
        <v>212</v>
      </c>
      <c r="K87">
        <v>9128099.0161169209</v>
      </c>
      <c r="L87" t="s">
        <v>118</v>
      </c>
      <c r="M87" t="s">
        <v>520</v>
      </c>
      <c r="N87">
        <v>0.49218654000000001</v>
      </c>
      <c r="O87">
        <v>37.9</v>
      </c>
      <c r="P87">
        <v>36.880000000000003</v>
      </c>
      <c r="Q87">
        <v>0.95</v>
      </c>
      <c r="R87">
        <v>20102010</v>
      </c>
      <c r="S87" t="s">
        <v>119</v>
      </c>
      <c r="T87" t="s">
        <v>263</v>
      </c>
      <c r="U87">
        <v>10126906862.96138</v>
      </c>
      <c r="V87">
        <v>20.87283</v>
      </c>
      <c r="W87" t="s">
        <v>264</v>
      </c>
      <c r="X87">
        <v>20.87283</v>
      </c>
      <c r="Y87" t="b">
        <v>0</v>
      </c>
      <c r="Z87" t="b">
        <v>0</v>
      </c>
      <c r="AA87" t="b">
        <v>0</v>
      </c>
      <c r="AB87">
        <v>86</v>
      </c>
    </row>
    <row r="88" spans="1:28" x14ac:dyDescent="0.25">
      <c r="A88">
        <v>308</v>
      </c>
      <c r="B88" t="s">
        <v>302</v>
      </c>
      <c r="C88" t="s">
        <v>371</v>
      </c>
      <c r="D88" t="s">
        <v>440</v>
      </c>
      <c r="E88" t="s">
        <v>115</v>
      </c>
      <c r="F88">
        <v>65398460</v>
      </c>
      <c r="G88">
        <v>149.4008</v>
      </c>
      <c r="H88" t="s">
        <v>206</v>
      </c>
      <c r="I88">
        <v>9770582242.7679996</v>
      </c>
      <c r="J88" t="s">
        <v>212</v>
      </c>
      <c r="K88">
        <v>20661135.898942899</v>
      </c>
      <c r="L88" t="s">
        <v>118</v>
      </c>
      <c r="M88" t="s">
        <v>521</v>
      </c>
      <c r="N88">
        <v>0.56409533000000001</v>
      </c>
      <c r="O88">
        <v>260.91000000000003</v>
      </c>
      <c r="P88">
        <v>267.05</v>
      </c>
      <c r="Q88">
        <v>0.95</v>
      </c>
      <c r="R88">
        <v>20102010</v>
      </c>
      <c r="S88" t="s">
        <v>119</v>
      </c>
      <c r="T88" t="s">
        <v>263</v>
      </c>
      <c r="U88">
        <v>9359145815.1214714</v>
      </c>
      <c r="V88">
        <v>17.297952500000001</v>
      </c>
      <c r="W88" t="s">
        <v>264</v>
      </c>
      <c r="X88">
        <v>17.297952500000001</v>
      </c>
      <c r="Y88" t="b">
        <v>0</v>
      </c>
      <c r="Z88" t="b">
        <v>0</v>
      </c>
      <c r="AA88" t="b">
        <v>0</v>
      </c>
      <c r="AB88">
        <v>87</v>
      </c>
    </row>
    <row r="89" spans="1:28" x14ac:dyDescent="0.25">
      <c r="A89">
        <v>1074</v>
      </c>
      <c r="B89" t="s">
        <v>303</v>
      </c>
      <c r="C89" t="s">
        <v>372</v>
      </c>
      <c r="D89" t="s">
        <v>441</v>
      </c>
      <c r="E89" t="s">
        <v>127</v>
      </c>
      <c r="F89">
        <v>216841000</v>
      </c>
      <c r="G89">
        <v>40.380000000000003</v>
      </c>
      <c r="H89" t="s">
        <v>119</v>
      </c>
      <c r="I89">
        <v>8756039580</v>
      </c>
      <c r="J89" t="s">
        <v>211</v>
      </c>
      <c r="K89">
        <v>18033050.166439399</v>
      </c>
      <c r="L89" t="s">
        <v>118</v>
      </c>
      <c r="M89" t="s">
        <v>522</v>
      </c>
      <c r="N89">
        <v>1</v>
      </c>
      <c r="O89">
        <v>37.99</v>
      </c>
      <c r="P89">
        <v>40.380000000000003</v>
      </c>
      <c r="Q89">
        <v>1</v>
      </c>
      <c r="R89">
        <v>20102015</v>
      </c>
      <c r="S89" t="s">
        <v>119</v>
      </c>
      <c r="T89" t="s">
        <v>263</v>
      </c>
      <c r="U89">
        <v>8756039580</v>
      </c>
      <c r="V89">
        <v>13.04523625</v>
      </c>
      <c r="W89" t="s">
        <v>264</v>
      </c>
      <c r="X89">
        <v>13.04523625</v>
      </c>
      <c r="Y89" t="b">
        <v>0</v>
      </c>
      <c r="Z89" t="b">
        <v>0</v>
      </c>
      <c r="AA89" t="b">
        <v>0</v>
      </c>
      <c r="AB89">
        <v>88</v>
      </c>
    </row>
    <row r="90" spans="1:28" x14ac:dyDescent="0.25">
      <c r="A90">
        <v>520</v>
      </c>
      <c r="B90" t="s">
        <v>304</v>
      </c>
      <c r="C90" t="s">
        <v>373</v>
      </c>
      <c r="D90" t="s">
        <v>442</v>
      </c>
      <c r="E90" t="s">
        <v>127</v>
      </c>
      <c r="F90">
        <v>293413450</v>
      </c>
      <c r="G90">
        <v>40.54</v>
      </c>
      <c r="H90" t="s">
        <v>119</v>
      </c>
      <c r="I90">
        <v>11894981263</v>
      </c>
      <c r="J90" t="s">
        <v>211</v>
      </c>
      <c r="K90">
        <v>26445790.910530299</v>
      </c>
      <c r="L90" t="s">
        <v>118</v>
      </c>
      <c r="M90" t="s">
        <v>523</v>
      </c>
      <c r="N90">
        <v>1</v>
      </c>
      <c r="O90">
        <v>40.18</v>
      </c>
      <c r="P90">
        <v>40.54</v>
      </c>
      <c r="Q90">
        <v>0.7</v>
      </c>
      <c r="R90">
        <v>20101025</v>
      </c>
      <c r="S90" t="s">
        <v>119</v>
      </c>
      <c r="T90" t="s">
        <v>263</v>
      </c>
      <c r="U90">
        <v>8326486884.0999994</v>
      </c>
      <c r="V90">
        <v>9.3490812499999993</v>
      </c>
      <c r="W90" t="s">
        <v>264</v>
      </c>
      <c r="X90">
        <v>9.3490812499999993</v>
      </c>
      <c r="Y90" t="b">
        <v>0</v>
      </c>
      <c r="Z90" t="b">
        <v>0</v>
      </c>
      <c r="AA90" t="b">
        <v>0</v>
      </c>
      <c r="AB90">
        <v>89</v>
      </c>
    </row>
    <row r="91" spans="1:28" x14ac:dyDescent="0.25">
      <c r="A91">
        <v>1057</v>
      </c>
      <c r="B91" t="s">
        <v>305</v>
      </c>
      <c r="C91" t="s">
        <v>374</v>
      </c>
      <c r="D91" t="s">
        <v>443</v>
      </c>
      <c r="E91" t="s">
        <v>115</v>
      </c>
      <c r="F91">
        <v>104510840</v>
      </c>
      <c r="G91">
        <v>140.60069999999999</v>
      </c>
      <c r="H91" t="s">
        <v>206</v>
      </c>
      <c r="I91">
        <v>14694297261.587999</v>
      </c>
      <c r="J91" t="s">
        <v>212</v>
      </c>
      <c r="K91">
        <v>27478181.100048698</v>
      </c>
      <c r="L91" t="s">
        <v>118</v>
      </c>
      <c r="M91" t="s">
        <v>524</v>
      </c>
      <c r="N91">
        <v>0.56409533000000001</v>
      </c>
      <c r="O91">
        <v>226.05</v>
      </c>
      <c r="P91">
        <v>251.32</v>
      </c>
      <c r="Q91">
        <v>0.55000000000000004</v>
      </c>
      <c r="R91">
        <v>20101025</v>
      </c>
      <c r="S91" t="s">
        <v>119</v>
      </c>
      <c r="T91" t="s">
        <v>263</v>
      </c>
      <c r="U91">
        <v>8148986216.7679682</v>
      </c>
      <c r="V91">
        <v>16.54843125</v>
      </c>
      <c r="W91" t="s">
        <v>264</v>
      </c>
      <c r="X91">
        <v>16.54843125</v>
      </c>
      <c r="Y91" t="b">
        <v>0</v>
      </c>
      <c r="Z91" t="b">
        <v>0</v>
      </c>
      <c r="AA91" t="b">
        <v>0</v>
      </c>
      <c r="AB91">
        <v>90</v>
      </c>
    </row>
    <row r="92" spans="1:28" x14ac:dyDescent="0.25">
      <c r="A92">
        <v>432</v>
      </c>
      <c r="B92" t="s">
        <v>306</v>
      </c>
      <c r="C92" t="s">
        <v>375</v>
      </c>
      <c r="D92" t="s">
        <v>444</v>
      </c>
      <c r="E92" t="s">
        <v>114</v>
      </c>
      <c r="F92">
        <v>291649140</v>
      </c>
      <c r="G92">
        <v>25.974430000000002</v>
      </c>
      <c r="H92" t="s">
        <v>207</v>
      </c>
      <c r="I92">
        <v>7575420171.4902</v>
      </c>
      <c r="J92" t="s">
        <v>212</v>
      </c>
      <c r="K92">
        <v>40134371.662298001</v>
      </c>
      <c r="L92" t="s">
        <v>118</v>
      </c>
      <c r="M92" t="s">
        <v>525</v>
      </c>
      <c r="N92">
        <v>5.48884E-3</v>
      </c>
      <c r="O92">
        <v>4620</v>
      </c>
      <c r="P92">
        <v>4677</v>
      </c>
      <c r="Q92">
        <v>1</v>
      </c>
      <c r="R92">
        <v>20103015</v>
      </c>
      <c r="S92" t="s">
        <v>119</v>
      </c>
      <c r="T92" t="s">
        <v>263</v>
      </c>
      <c r="U92">
        <v>7487013932.5999756</v>
      </c>
      <c r="V92">
        <v>24.78790875</v>
      </c>
      <c r="W92" t="s">
        <v>264</v>
      </c>
      <c r="X92">
        <v>24.78790875</v>
      </c>
      <c r="Y92" t="b">
        <v>0</v>
      </c>
      <c r="Z92" t="b">
        <v>0</v>
      </c>
      <c r="AA92" t="b">
        <v>0</v>
      </c>
      <c r="AB92">
        <v>91</v>
      </c>
    </row>
    <row r="93" spans="1:28" x14ac:dyDescent="0.25">
      <c r="A93">
        <v>469</v>
      </c>
      <c r="B93" t="s">
        <v>307</v>
      </c>
      <c r="C93" t="s">
        <v>376</v>
      </c>
      <c r="D93" t="s">
        <v>445</v>
      </c>
      <c r="E93" t="s">
        <v>116</v>
      </c>
      <c r="F93">
        <v>182163000</v>
      </c>
      <c r="G93">
        <v>57.78</v>
      </c>
      <c r="H93" t="s">
        <v>119</v>
      </c>
      <c r="I93">
        <v>10525378140</v>
      </c>
      <c r="J93" t="s">
        <v>211</v>
      </c>
      <c r="K93">
        <v>16100546.470819701</v>
      </c>
      <c r="L93" t="s">
        <v>118</v>
      </c>
      <c r="M93" t="s">
        <v>526</v>
      </c>
      <c r="N93">
        <v>1</v>
      </c>
      <c r="O93">
        <v>58.3</v>
      </c>
      <c r="P93">
        <v>57.78</v>
      </c>
      <c r="Q93">
        <v>0.65</v>
      </c>
      <c r="R93">
        <v>20102020</v>
      </c>
      <c r="S93" t="s">
        <v>119</v>
      </c>
      <c r="T93" t="s">
        <v>263</v>
      </c>
      <c r="U93">
        <v>6841495791</v>
      </c>
      <c r="V93">
        <v>17.61841875</v>
      </c>
      <c r="W93" t="s">
        <v>264</v>
      </c>
      <c r="X93">
        <v>17.61841875</v>
      </c>
      <c r="Y93" t="b">
        <v>0</v>
      </c>
      <c r="Z93" t="b">
        <v>0</v>
      </c>
      <c r="AA93" t="b">
        <v>0</v>
      </c>
      <c r="AB93">
        <v>92</v>
      </c>
    </row>
    <row r="94" spans="1:28" x14ac:dyDescent="0.25">
      <c r="A94">
        <v>1009</v>
      </c>
      <c r="B94" t="s">
        <v>308</v>
      </c>
      <c r="C94" t="s">
        <v>377</v>
      </c>
      <c r="D94" t="s">
        <v>446</v>
      </c>
      <c r="E94" t="s">
        <v>479</v>
      </c>
      <c r="F94">
        <v>109292460</v>
      </c>
      <c r="G94">
        <v>59.95</v>
      </c>
      <c r="H94" t="s">
        <v>119</v>
      </c>
      <c r="I94">
        <v>6552082977</v>
      </c>
      <c r="J94" t="s">
        <v>211</v>
      </c>
      <c r="K94">
        <v>13479906.0063636</v>
      </c>
      <c r="L94" t="s">
        <v>118</v>
      </c>
      <c r="M94" t="s">
        <v>527</v>
      </c>
      <c r="N94">
        <v>1</v>
      </c>
      <c r="O94">
        <v>61.55</v>
      </c>
      <c r="P94">
        <v>59.95</v>
      </c>
      <c r="Q94">
        <v>1</v>
      </c>
      <c r="R94">
        <v>20103015</v>
      </c>
      <c r="S94" t="s">
        <v>119</v>
      </c>
      <c r="T94" t="s">
        <v>263</v>
      </c>
      <c r="U94">
        <v>6552082977</v>
      </c>
      <c r="V94">
        <v>20.441442500000001</v>
      </c>
      <c r="W94" t="s">
        <v>264</v>
      </c>
      <c r="X94">
        <v>20.441442500000001</v>
      </c>
      <c r="Y94" t="b">
        <v>0</v>
      </c>
      <c r="Z94" t="b">
        <v>0</v>
      </c>
      <c r="AA94" t="b">
        <v>0</v>
      </c>
      <c r="AB94">
        <v>93</v>
      </c>
    </row>
    <row r="95" spans="1:28" x14ac:dyDescent="0.25">
      <c r="A95">
        <v>1248</v>
      </c>
      <c r="B95" t="s">
        <v>309</v>
      </c>
      <c r="C95" t="s">
        <v>378</v>
      </c>
      <c r="D95" t="s">
        <v>447</v>
      </c>
      <c r="E95" t="s">
        <v>115</v>
      </c>
      <c r="F95">
        <v>494237950</v>
      </c>
      <c r="G95">
        <v>12.917669999999999</v>
      </c>
      <c r="H95" t="s">
        <v>206</v>
      </c>
      <c r="I95">
        <v>6384402739.5764999</v>
      </c>
      <c r="J95" t="s">
        <v>212</v>
      </c>
      <c r="K95">
        <v>21499919.328828301</v>
      </c>
      <c r="L95" t="s">
        <v>118</v>
      </c>
      <c r="M95" t="s">
        <v>528</v>
      </c>
      <c r="N95">
        <v>0.56409533000000001</v>
      </c>
      <c r="O95">
        <v>22.98</v>
      </c>
      <c r="P95">
        <v>23.09</v>
      </c>
      <c r="Q95">
        <v>1</v>
      </c>
      <c r="R95">
        <v>20102020</v>
      </c>
      <c r="S95" t="s">
        <v>119</v>
      </c>
      <c r="T95" t="s">
        <v>263</v>
      </c>
      <c r="U95">
        <v>6437430107.3421297</v>
      </c>
      <c r="V95">
        <v>18.253718750000001</v>
      </c>
      <c r="W95" t="s">
        <v>264</v>
      </c>
      <c r="X95">
        <v>18.253718750000001</v>
      </c>
      <c r="Y95" t="b">
        <v>0</v>
      </c>
      <c r="Z95" t="b">
        <v>0</v>
      </c>
      <c r="AA95" t="b">
        <v>0</v>
      </c>
      <c r="AB95">
        <v>94</v>
      </c>
    </row>
    <row r="96" spans="1:28" x14ac:dyDescent="0.25">
      <c r="A96">
        <v>820</v>
      </c>
      <c r="B96" t="s">
        <v>310</v>
      </c>
      <c r="C96" t="s">
        <v>379</v>
      </c>
      <c r="D96" t="s">
        <v>448</v>
      </c>
      <c r="E96" t="s">
        <v>114</v>
      </c>
      <c r="F96">
        <v>679114500</v>
      </c>
      <c r="G96">
        <v>14.63387</v>
      </c>
      <c r="H96" t="s">
        <v>207</v>
      </c>
      <c r="I96">
        <v>9938073308.1149998</v>
      </c>
      <c r="J96" t="s">
        <v>212</v>
      </c>
      <c r="K96">
        <v>45994346.798183098</v>
      </c>
      <c r="L96" t="s">
        <v>118</v>
      </c>
      <c r="M96" t="s">
        <v>529</v>
      </c>
      <c r="N96">
        <v>5.48884E-3</v>
      </c>
      <c r="O96">
        <v>2035.5</v>
      </c>
      <c r="P96">
        <v>2635</v>
      </c>
      <c r="Q96">
        <v>0.65</v>
      </c>
      <c r="R96">
        <v>20101025</v>
      </c>
      <c r="S96" t="s">
        <v>119</v>
      </c>
      <c r="T96" t="s">
        <v>263</v>
      </c>
      <c r="U96">
        <v>6384362687.8162947</v>
      </c>
      <c r="V96">
        <v>17.919688969999999</v>
      </c>
      <c r="W96" t="s">
        <v>264</v>
      </c>
      <c r="X96">
        <v>17.919688969999999</v>
      </c>
      <c r="Y96" t="b">
        <v>0</v>
      </c>
      <c r="Z96" t="b">
        <v>0</v>
      </c>
      <c r="AA96" t="b">
        <v>0</v>
      </c>
      <c r="AB96">
        <v>95</v>
      </c>
    </row>
    <row r="97" spans="1:28" x14ac:dyDescent="0.25">
      <c r="A97">
        <v>1303</v>
      </c>
      <c r="B97" t="s">
        <v>311</v>
      </c>
      <c r="C97" t="s">
        <v>380</v>
      </c>
      <c r="D97" t="s">
        <v>449</v>
      </c>
      <c r="E97" t="s">
        <v>480</v>
      </c>
      <c r="F97">
        <v>357412840</v>
      </c>
      <c r="G97">
        <v>30.26294</v>
      </c>
      <c r="H97" t="s">
        <v>484</v>
      </c>
      <c r="I97">
        <v>10816363332.149599</v>
      </c>
      <c r="J97" t="s">
        <v>210</v>
      </c>
      <c r="K97">
        <v>10010185.6471</v>
      </c>
      <c r="L97" t="s">
        <v>118</v>
      </c>
      <c r="M97" t="s">
        <v>530</v>
      </c>
      <c r="N97">
        <v>9.1474150000000004E-2</v>
      </c>
      <c r="O97">
        <v>317</v>
      </c>
      <c r="P97">
        <v>333.6</v>
      </c>
      <c r="Q97">
        <v>0.55000000000000004</v>
      </c>
      <c r="R97">
        <v>20103015</v>
      </c>
      <c r="S97" t="s">
        <v>119</v>
      </c>
      <c r="T97" t="s">
        <v>263</v>
      </c>
      <c r="U97">
        <v>5998701677.224021</v>
      </c>
      <c r="V97">
        <v>19.021393119999999</v>
      </c>
      <c r="W97" t="s">
        <v>264</v>
      </c>
      <c r="X97">
        <v>19.021393119999999</v>
      </c>
      <c r="Y97" t="b">
        <v>0</v>
      </c>
      <c r="Z97" t="b">
        <v>0</v>
      </c>
      <c r="AA97" t="b">
        <v>0</v>
      </c>
      <c r="AB97">
        <v>96</v>
      </c>
    </row>
    <row r="98" spans="1:28" x14ac:dyDescent="0.25">
      <c r="A98">
        <v>15</v>
      </c>
      <c r="B98" t="s">
        <v>312</v>
      </c>
      <c r="C98" t="s">
        <v>381</v>
      </c>
      <c r="D98" t="s">
        <v>450</v>
      </c>
      <c r="E98" t="s">
        <v>116</v>
      </c>
      <c r="F98">
        <v>77828918</v>
      </c>
      <c r="G98">
        <v>102.6</v>
      </c>
      <c r="H98" t="s">
        <v>119</v>
      </c>
      <c r="I98">
        <v>7985246986.7999992</v>
      </c>
      <c r="J98" t="s">
        <v>211</v>
      </c>
      <c r="K98">
        <v>8272085.2946969699</v>
      </c>
      <c r="L98" t="s">
        <v>118</v>
      </c>
      <c r="M98" t="s">
        <v>531</v>
      </c>
      <c r="N98">
        <v>1</v>
      </c>
      <c r="O98">
        <v>94.1</v>
      </c>
      <c r="P98">
        <v>102.6</v>
      </c>
      <c r="Q98">
        <v>0.75</v>
      </c>
      <c r="R98">
        <v>20103010</v>
      </c>
      <c r="S98" t="s">
        <v>119</v>
      </c>
      <c r="T98" t="s">
        <v>263</v>
      </c>
      <c r="U98">
        <v>5988935240.0999994</v>
      </c>
      <c r="V98">
        <v>35.379820729999999</v>
      </c>
      <c r="W98" t="s">
        <v>264</v>
      </c>
      <c r="X98">
        <v>35.379820729999999</v>
      </c>
      <c r="Y98" t="b">
        <v>0</v>
      </c>
      <c r="Z98" t="b">
        <v>0</v>
      </c>
      <c r="AA98" t="b">
        <v>0</v>
      </c>
      <c r="AB98">
        <v>97</v>
      </c>
    </row>
    <row r="99" spans="1:28" x14ac:dyDescent="0.25">
      <c r="A99">
        <v>1091</v>
      </c>
      <c r="B99" t="s">
        <v>313</v>
      </c>
      <c r="C99" t="s">
        <v>382</v>
      </c>
      <c r="D99" t="s">
        <v>451</v>
      </c>
      <c r="E99" t="s">
        <v>481</v>
      </c>
      <c r="F99">
        <v>209125156</v>
      </c>
      <c r="G99">
        <v>50.75</v>
      </c>
      <c r="H99" t="s">
        <v>119</v>
      </c>
      <c r="I99">
        <v>10613101667</v>
      </c>
      <c r="J99" t="s">
        <v>211</v>
      </c>
      <c r="K99">
        <v>12983731.630151501</v>
      </c>
      <c r="L99" t="s">
        <v>118</v>
      </c>
      <c r="M99" t="s">
        <v>532</v>
      </c>
      <c r="N99">
        <v>1</v>
      </c>
      <c r="O99">
        <v>47.94</v>
      </c>
      <c r="P99">
        <v>50.75</v>
      </c>
      <c r="Q99">
        <v>0.55000000000000004</v>
      </c>
      <c r="R99">
        <v>20103015</v>
      </c>
      <c r="S99" t="s">
        <v>119</v>
      </c>
      <c r="T99" t="s">
        <v>263</v>
      </c>
      <c r="U99">
        <v>5837205916.8500004</v>
      </c>
      <c r="V99">
        <v>23.996252500000001</v>
      </c>
      <c r="W99" t="s">
        <v>264</v>
      </c>
      <c r="X99">
        <v>23.996252500000001</v>
      </c>
      <c r="Y99" t="b">
        <v>0</v>
      </c>
      <c r="Z99" t="b">
        <v>0</v>
      </c>
      <c r="AA99" t="b">
        <v>0</v>
      </c>
      <c r="AB99">
        <v>98</v>
      </c>
    </row>
    <row r="100" spans="1:28" x14ac:dyDescent="0.25">
      <c r="A100">
        <v>1162</v>
      </c>
      <c r="B100" t="s">
        <v>314</v>
      </c>
      <c r="C100" t="s">
        <v>383</v>
      </c>
      <c r="D100" t="s">
        <v>452</v>
      </c>
      <c r="E100" t="s">
        <v>116</v>
      </c>
      <c r="F100">
        <v>97330405</v>
      </c>
      <c r="G100">
        <v>190</v>
      </c>
      <c r="H100" t="s">
        <v>119</v>
      </c>
      <c r="I100">
        <v>18492776950</v>
      </c>
      <c r="J100" t="s">
        <v>211</v>
      </c>
      <c r="K100">
        <v>13643625.1367424</v>
      </c>
      <c r="L100" t="s">
        <v>118</v>
      </c>
      <c r="M100" t="s">
        <v>533</v>
      </c>
      <c r="N100">
        <v>1</v>
      </c>
      <c r="O100">
        <v>208.3</v>
      </c>
      <c r="P100">
        <v>190</v>
      </c>
      <c r="Q100">
        <v>0.3</v>
      </c>
      <c r="R100">
        <v>20102015</v>
      </c>
      <c r="S100" t="s">
        <v>119</v>
      </c>
      <c r="T100" t="s">
        <v>263</v>
      </c>
      <c r="U100">
        <v>5547833085.000001</v>
      </c>
      <c r="V100">
        <v>15.35620625</v>
      </c>
      <c r="W100" t="s">
        <v>264</v>
      </c>
      <c r="X100">
        <v>15.35620625</v>
      </c>
      <c r="Y100" t="b">
        <v>0</v>
      </c>
      <c r="Z100" t="b">
        <v>0</v>
      </c>
      <c r="AA100" t="b">
        <v>0</v>
      </c>
      <c r="AB100">
        <v>99</v>
      </c>
    </row>
    <row r="101" spans="1:28" x14ac:dyDescent="0.25">
      <c r="A101">
        <v>1161</v>
      </c>
      <c r="B101" t="s">
        <v>315</v>
      </c>
      <c r="C101" t="s">
        <v>384</v>
      </c>
      <c r="D101" t="s">
        <v>453</v>
      </c>
      <c r="E101" t="s">
        <v>127</v>
      </c>
      <c r="F101">
        <v>37440000</v>
      </c>
      <c r="G101">
        <v>225.3</v>
      </c>
      <c r="H101" t="s">
        <v>119</v>
      </c>
      <c r="I101">
        <v>8435232000</v>
      </c>
      <c r="J101" t="s">
        <v>211</v>
      </c>
      <c r="K101">
        <v>26591285.218939401</v>
      </c>
      <c r="L101" t="s">
        <v>118</v>
      </c>
      <c r="M101" t="s">
        <v>534</v>
      </c>
      <c r="N101">
        <v>1</v>
      </c>
      <c r="O101">
        <v>240.2</v>
      </c>
      <c r="P101">
        <v>225.3</v>
      </c>
      <c r="Q101">
        <v>0.65</v>
      </c>
      <c r="R101">
        <v>20102010</v>
      </c>
      <c r="S101" t="s">
        <v>119</v>
      </c>
      <c r="T101" t="s">
        <v>263</v>
      </c>
      <c r="U101">
        <v>5482900800</v>
      </c>
      <c r="V101">
        <v>18.228606249999999</v>
      </c>
      <c r="W101" t="s">
        <v>264</v>
      </c>
      <c r="X101">
        <v>18.228606249999999</v>
      </c>
      <c r="Y101" t="b">
        <v>0</v>
      </c>
      <c r="Z101" t="b">
        <v>0</v>
      </c>
      <c r="AA101" t="b">
        <v>0</v>
      </c>
      <c r="AB101">
        <v>100</v>
      </c>
    </row>
    <row r="102" spans="1:28" x14ac:dyDescent="0.25">
      <c r="A102">
        <v>1000</v>
      </c>
      <c r="B102" t="s">
        <v>316</v>
      </c>
      <c r="C102" t="s">
        <v>385</v>
      </c>
      <c r="D102" t="s">
        <v>454</v>
      </c>
      <c r="E102" t="s">
        <v>114</v>
      </c>
      <c r="F102">
        <v>498692800</v>
      </c>
      <c r="G102">
        <v>11.537710000000001</v>
      </c>
      <c r="H102" t="s">
        <v>207</v>
      </c>
      <c r="I102">
        <v>5753772905.4879999</v>
      </c>
      <c r="J102" t="s">
        <v>212</v>
      </c>
      <c r="K102">
        <v>33871086.495335601</v>
      </c>
      <c r="L102" t="s">
        <v>118</v>
      </c>
      <c r="M102" t="s">
        <v>535</v>
      </c>
      <c r="N102">
        <v>5.48884E-3</v>
      </c>
      <c r="O102">
        <v>2199</v>
      </c>
      <c r="P102">
        <v>2077.5</v>
      </c>
      <c r="Q102">
        <v>0.95</v>
      </c>
      <c r="R102">
        <v>20103015</v>
      </c>
      <c r="S102" t="s">
        <v>119</v>
      </c>
      <c r="T102" t="s">
        <v>263</v>
      </c>
      <c r="U102">
        <v>5402295140.1362162</v>
      </c>
      <c r="V102">
        <v>22.930006989999999</v>
      </c>
      <c r="W102" t="s">
        <v>264</v>
      </c>
      <c r="X102">
        <v>22.930006989999999</v>
      </c>
      <c r="Y102" t="b">
        <v>0</v>
      </c>
      <c r="Z102" t="b">
        <v>0</v>
      </c>
      <c r="AA102" t="b">
        <v>0</v>
      </c>
      <c r="AB102">
        <v>101</v>
      </c>
    </row>
    <row r="103" spans="1:28" x14ac:dyDescent="0.25">
      <c r="A103">
        <v>201</v>
      </c>
      <c r="B103" t="s">
        <v>317</v>
      </c>
      <c r="C103" t="s">
        <v>386</v>
      </c>
      <c r="D103" t="s">
        <v>455</v>
      </c>
      <c r="E103" t="s">
        <v>116</v>
      </c>
      <c r="F103">
        <v>118361220</v>
      </c>
      <c r="G103">
        <v>107.7</v>
      </c>
      <c r="H103" t="s">
        <v>119</v>
      </c>
      <c r="I103">
        <v>12747503394</v>
      </c>
      <c r="J103" t="s">
        <v>211</v>
      </c>
      <c r="K103">
        <v>12375744.7818182</v>
      </c>
      <c r="L103" t="s">
        <v>118</v>
      </c>
      <c r="M103" t="s">
        <v>536</v>
      </c>
      <c r="N103">
        <v>1</v>
      </c>
      <c r="O103">
        <v>107.2</v>
      </c>
      <c r="P103">
        <v>107.7</v>
      </c>
      <c r="Q103">
        <v>0.4</v>
      </c>
      <c r="R103">
        <v>20102010</v>
      </c>
      <c r="S103" t="s">
        <v>119</v>
      </c>
      <c r="T103" t="s">
        <v>263</v>
      </c>
      <c r="U103">
        <v>5099001357.6000004</v>
      </c>
      <c r="V103">
        <v>20.43776875</v>
      </c>
      <c r="W103" t="s">
        <v>264</v>
      </c>
      <c r="X103">
        <v>20.43776875</v>
      </c>
      <c r="Y103" t="b">
        <v>0</v>
      </c>
      <c r="Z103" t="b">
        <v>0</v>
      </c>
      <c r="AA103" t="b">
        <v>0</v>
      </c>
      <c r="AB103">
        <v>102</v>
      </c>
    </row>
    <row r="104" spans="1:28" x14ac:dyDescent="0.25">
      <c r="A104">
        <v>1316</v>
      </c>
      <c r="B104" t="s">
        <v>318</v>
      </c>
      <c r="C104" t="s">
        <v>387</v>
      </c>
      <c r="D104" t="s">
        <v>456</v>
      </c>
      <c r="E104" t="s">
        <v>114</v>
      </c>
      <c r="F104">
        <v>629480100</v>
      </c>
      <c r="G104">
        <v>8.6553649999999998</v>
      </c>
      <c r="H104" t="s">
        <v>207</v>
      </c>
      <c r="I104">
        <v>5448380025.7364998</v>
      </c>
      <c r="J104" t="s">
        <v>212</v>
      </c>
      <c r="K104">
        <v>31333827.5150025</v>
      </c>
      <c r="L104" t="s">
        <v>118</v>
      </c>
      <c r="M104" t="s">
        <v>537</v>
      </c>
      <c r="N104">
        <v>5.48884E-3</v>
      </c>
      <c r="O104">
        <v>1525</v>
      </c>
      <c r="P104">
        <v>1558.5</v>
      </c>
      <c r="Q104">
        <v>0.85</v>
      </c>
      <c r="R104">
        <v>20102010</v>
      </c>
      <c r="S104" t="s">
        <v>119</v>
      </c>
      <c r="T104" t="s">
        <v>263</v>
      </c>
      <c r="U104">
        <v>4577077949.734477</v>
      </c>
      <c r="V104">
        <v>13.575871250000001</v>
      </c>
      <c r="W104" t="s">
        <v>264</v>
      </c>
      <c r="X104">
        <v>13.575871250000001</v>
      </c>
      <c r="Y104" t="b">
        <v>0</v>
      </c>
      <c r="Z104" t="b">
        <v>0</v>
      </c>
      <c r="AA104" t="b">
        <v>0</v>
      </c>
      <c r="AB104">
        <v>103</v>
      </c>
    </row>
    <row r="105" spans="1:28" x14ac:dyDescent="0.25">
      <c r="A105">
        <v>1528</v>
      </c>
      <c r="B105" t="s">
        <v>319</v>
      </c>
      <c r="C105" t="s">
        <v>388</v>
      </c>
      <c r="D105" t="s">
        <v>457</v>
      </c>
      <c r="E105" t="s">
        <v>117</v>
      </c>
      <c r="F105">
        <v>71364730</v>
      </c>
      <c r="G105">
        <v>69.863010000000003</v>
      </c>
      <c r="H105" t="s">
        <v>205</v>
      </c>
      <c r="I105">
        <v>4985754845.6372995</v>
      </c>
      <c r="J105" t="s">
        <v>210</v>
      </c>
      <c r="K105">
        <v>23440171.295031201</v>
      </c>
      <c r="L105" t="s">
        <v>118</v>
      </c>
      <c r="M105" t="s">
        <v>538</v>
      </c>
      <c r="N105">
        <v>0.13384283</v>
      </c>
      <c r="O105">
        <v>469.6</v>
      </c>
      <c r="P105">
        <v>521.79999999999995</v>
      </c>
      <c r="Q105">
        <v>0.9</v>
      </c>
      <c r="R105">
        <v>20103010</v>
      </c>
      <c r="S105" t="s">
        <v>119</v>
      </c>
      <c r="T105" t="s">
        <v>263</v>
      </c>
      <c r="U105">
        <v>4485649360.109726</v>
      </c>
      <c r="V105">
        <v>27.901912500000002</v>
      </c>
      <c r="W105" t="s">
        <v>264</v>
      </c>
      <c r="X105">
        <v>27.901912500000002</v>
      </c>
      <c r="Y105" t="b">
        <v>0</v>
      </c>
      <c r="Z105" t="b">
        <v>0</v>
      </c>
      <c r="AA105" t="b">
        <v>0</v>
      </c>
      <c r="AB105">
        <v>104</v>
      </c>
    </row>
    <row r="106" spans="1:28" x14ac:dyDescent="0.25">
      <c r="A106">
        <v>673</v>
      </c>
      <c r="B106" t="s">
        <v>320</v>
      </c>
      <c r="C106" t="s">
        <v>389</v>
      </c>
      <c r="D106" t="s">
        <v>458</v>
      </c>
      <c r="E106" t="s">
        <v>116</v>
      </c>
      <c r="F106">
        <v>83814526</v>
      </c>
      <c r="G106">
        <v>127.1</v>
      </c>
      <c r="H106" t="s">
        <v>119</v>
      </c>
      <c r="I106">
        <v>10652826254.6</v>
      </c>
      <c r="J106" t="s">
        <v>211</v>
      </c>
      <c r="K106">
        <v>8723568.5833333302</v>
      </c>
      <c r="L106" t="s">
        <v>118</v>
      </c>
      <c r="M106" t="s">
        <v>539</v>
      </c>
      <c r="N106">
        <v>1</v>
      </c>
      <c r="O106">
        <v>120.6</v>
      </c>
      <c r="P106">
        <v>127.1</v>
      </c>
      <c r="Q106">
        <v>0.4</v>
      </c>
      <c r="R106">
        <v>20103015</v>
      </c>
      <c r="S106" t="s">
        <v>119</v>
      </c>
      <c r="T106" t="s">
        <v>263</v>
      </c>
      <c r="U106">
        <v>4261130501.8400002</v>
      </c>
      <c r="V106">
        <v>21.926671249999998</v>
      </c>
      <c r="W106" t="s">
        <v>264</v>
      </c>
      <c r="X106">
        <v>21.926671249999998</v>
      </c>
      <c r="Y106" t="b">
        <v>0</v>
      </c>
      <c r="Z106" t="b">
        <v>0</v>
      </c>
      <c r="AA106" t="b">
        <v>0</v>
      </c>
      <c r="AB106">
        <v>105</v>
      </c>
    </row>
    <row r="107" spans="1:28" x14ac:dyDescent="0.25">
      <c r="A107">
        <v>331</v>
      </c>
      <c r="B107" t="s">
        <v>321</v>
      </c>
      <c r="C107" t="s">
        <v>390</v>
      </c>
      <c r="D107" t="s">
        <v>459</v>
      </c>
      <c r="E107" t="s">
        <v>112</v>
      </c>
      <c r="F107">
        <v>1963705300</v>
      </c>
      <c r="G107">
        <v>2.6942270000000001</v>
      </c>
      <c r="H107" t="s">
        <v>203</v>
      </c>
      <c r="I107">
        <v>5290667839.3031006</v>
      </c>
      <c r="J107" t="s">
        <v>210</v>
      </c>
      <c r="K107">
        <v>15652752.1785709</v>
      </c>
      <c r="L107" t="s">
        <v>118</v>
      </c>
      <c r="M107" t="s">
        <v>540</v>
      </c>
      <c r="N107">
        <v>1.139796E-2</v>
      </c>
      <c r="O107">
        <v>234.8</v>
      </c>
      <c r="P107">
        <v>236.8</v>
      </c>
      <c r="Q107">
        <v>0.8</v>
      </c>
      <c r="R107">
        <v>20102015</v>
      </c>
      <c r="S107" t="s">
        <v>119</v>
      </c>
      <c r="T107" t="s">
        <v>263</v>
      </c>
      <c r="U107">
        <v>4240090496.327455</v>
      </c>
      <c r="V107">
        <v>10.505247499999999</v>
      </c>
      <c r="W107" t="s">
        <v>264</v>
      </c>
      <c r="X107">
        <v>10.505247499999999</v>
      </c>
      <c r="Y107" t="b">
        <v>0</v>
      </c>
      <c r="Z107" t="b">
        <v>0</v>
      </c>
      <c r="AA107" t="b">
        <v>0</v>
      </c>
      <c r="AB107">
        <v>106</v>
      </c>
    </row>
    <row r="108" spans="1:28" x14ac:dyDescent="0.25">
      <c r="A108">
        <v>553</v>
      </c>
      <c r="B108" t="s">
        <v>322</v>
      </c>
      <c r="C108" t="s">
        <v>391</v>
      </c>
      <c r="D108" t="s">
        <v>460</v>
      </c>
      <c r="E108" t="s">
        <v>480</v>
      </c>
      <c r="F108">
        <v>254152370</v>
      </c>
      <c r="G108">
        <v>18.832699999999999</v>
      </c>
      <c r="H108" t="s">
        <v>484</v>
      </c>
      <c r="I108">
        <v>4786375338.4989996</v>
      </c>
      <c r="J108" t="s">
        <v>210</v>
      </c>
      <c r="K108">
        <v>8827917.2701216992</v>
      </c>
      <c r="L108" t="s">
        <v>118</v>
      </c>
      <c r="M108" t="s">
        <v>541</v>
      </c>
      <c r="N108">
        <v>9.1474150000000004E-2</v>
      </c>
      <c r="O108">
        <v>213.9</v>
      </c>
      <c r="P108">
        <v>207.6</v>
      </c>
      <c r="Q108">
        <v>0.85</v>
      </c>
      <c r="R108">
        <v>20102010</v>
      </c>
      <c r="S108" t="s">
        <v>119</v>
      </c>
      <c r="T108" t="s">
        <v>263</v>
      </c>
      <c r="U108">
        <v>4102407725.9849162</v>
      </c>
      <c r="V108">
        <v>22.455079999999999</v>
      </c>
      <c r="W108" t="s">
        <v>264</v>
      </c>
      <c r="X108">
        <v>22.455079999999999</v>
      </c>
      <c r="Y108" t="b">
        <v>0</v>
      </c>
      <c r="Z108" t="b">
        <v>0</v>
      </c>
      <c r="AA108" t="b">
        <v>0</v>
      </c>
      <c r="AB108">
        <v>107</v>
      </c>
    </row>
    <row r="109" spans="1:28" x14ac:dyDescent="0.25">
      <c r="A109">
        <v>1411</v>
      </c>
      <c r="B109" t="s">
        <v>323</v>
      </c>
      <c r="C109" t="s">
        <v>392</v>
      </c>
      <c r="D109" t="s">
        <v>461</v>
      </c>
      <c r="E109" t="s">
        <v>111</v>
      </c>
      <c r="F109">
        <v>44512598</v>
      </c>
      <c r="G109">
        <v>201</v>
      </c>
      <c r="H109" t="s">
        <v>119</v>
      </c>
      <c r="I109">
        <v>8947032198</v>
      </c>
      <c r="J109" t="s">
        <v>211</v>
      </c>
      <c r="K109">
        <v>11840647.6</v>
      </c>
      <c r="L109" t="s">
        <v>118</v>
      </c>
      <c r="M109" t="s">
        <v>542</v>
      </c>
      <c r="N109">
        <v>1</v>
      </c>
      <c r="O109">
        <v>213</v>
      </c>
      <c r="P109">
        <v>201</v>
      </c>
      <c r="Q109">
        <v>0.45</v>
      </c>
      <c r="R109">
        <v>20103015</v>
      </c>
      <c r="S109" t="s">
        <v>119</v>
      </c>
      <c r="T109" t="s">
        <v>263</v>
      </c>
      <c r="U109">
        <v>4026164489.0999999</v>
      </c>
      <c r="V109">
        <v>13.747198750000001</v>
      </c>
      <c r="W109" t="s">
        <v>264</v>
      </c>
      <c r="X109">
        <v>13.747198750000001</v>
      </c>
      <c r="Y109" t="b">
        <v>0</v>
      </c>
      <c r="Z109" t="b">
        <v>0</v>
      </c>
      <c r="AA109" t="b">
        <v>0</v>
      </c>
      <c r="AB109">
        <v>108</v>
      </c>
    </row>
    <row r="110" spans="1:28" x14ac:dyDescent="0.25">
      <c r="A110">
        <v>118</v>
      </c>
      <c r="B110" t="s">
        <v>324</v>
      </c>
      <c r="C110" t="s">
        <v>393</v>
      </c>
      <c r="D110" t="s">
        <v>462</v>
      </c>
      <c r="E110" t="s">
        <v>114</v>
      </c>
      <c r="F110">
        <v>271633600</v>
      </c>
      <c r="G110">
        <v>16.06671</v>
      </c>
      <c r="H110" t="s">
        <v>207</v>
      </c>
      <c r="I110">
        <v>4364258277.4560003</v>
      </c>
      <c r="J110" t="s">
        <v>212</v>
      </c>
      <c r="K110">
        <v>15409523.2264966</v>
      </c>
      <c r="L110" t="s">
        <v>118</v>
      </c>
      <c r="M110" t="s">
        <v>543</v>
      </c>
      <c r="N110">
        <v>5.48884E-3</v>
      </c>
      <c r="O110">
        <v>2980.5</v>
      </c>
      <c r="P110">
        <v>2893</v>
      </c>
      <c r="Q110">
        <v>0.9</v>
      </c>
      <c r="R110">
        <v>20102010</v>
      </c>
      <c r="S110" t="s">
        <v>119</v>
      </c>
      <c r="T110" t="s">
        <v>263</v>
      </c>
      <c r="U110">
        <v>3881995286.9277892</v>
      </c>
      <c r="V110">
        <v>17.031458749999999</v>
      </c>
      <c r="W110" t="s">
        <v>264</v>
      </c>
      <c r="X110">
        <v>17.031458749999999</v>
      </c>
      <c r="Y110" t="b">
        <v>0</v>
      </c>
      <c r="Z110" t="b">
        <v>0</v>
      </c>
      <c r="AA110" t="b">
        <v>0</v>
      </c>
      <c r="AB110">
        <v>109</v>
      </c>
    </row>
    <row r="111" spans="1:28" x14ac:dyDescent="0.25">
      <c r="A111">
        <v>60</v>
      </c>
      <c r="B111" t="s">
        <v>325</v>
      </c>
      <c r="C111" t="s">
        <v>394</v>
      </c>
      <c r="D111" t="s">
        <v>463</v>
      </c>
      <c r="E111" t="s">
        <v>117</v>
      </c>
      <c r="F111">
        <v>202567200</v>
      </c>
      <c r="G111">
        <v>30.44624</v>
      </c>
      <c r="H111" t="s">
        <v>205</v>
      </c>
      <c r="I111">
        <v>6167409587.3280001</v>
      </c>
      <c r="J111" t="s">
        <v>210</v>
      </c>
      <c r="K111">
        <v>4274952.2177550104</v>
      </c>
      <c r="L111" t="s">
        <v>118</v>
      </c>
      <c r="M111" t="s">
        <v>544</v>
      </c>
      <c r="N111">
        <v>0.13384283</v>
      </c>
      <c r="O111">
        <v>218.2</v>
      </c>
      <c r="P111">
        <v>227.4</v>
      </c>
      <c r="Q111">
        <v>0.6</v>
      </c>
      <c r="R111">
        <v>20103015</v>
      </c>
      <c r="S111" t="s">
        <v>119</v>
      </c>
      <c r="T111" t="s">
        <v>263</v>
      </c>
      <c r="U111">
        <v>3699184108.209733</v>
      </c>
      <c r="V111">
        <v>25.929136249999999</v>
      </c>
      <c r="W111" t="s">
        <v>264</v>
      </c>
      <c r="X111">
        <v>25.929136249999999</v>
      </c>
      <c r="Y111" t="b">
        <v>0</v>
      </c>
      <c r="Z111" t="b">
        <v>0</v>
      </c>
      <c r="AA111" t="b">
        <v>0</v>
      </c>
      <c r="AB111">
        <v>110</v>
      </c>
    </row>
    <row r="112" spans="1:28" x14ac:dyDescent="0.25">
      <c r="A112">
        <v>1514</v>
      </c>
      <c r="B112" t="s">
        <v>326</v>
      </c>
      <c r="C112" t="s">
        <v>395</v>
      </c>
      <c r="D112" t="s">
        <v>464</v>
      </c>
      <c r="E112" t="s">
        <v>113</v>
      </c>
      <c r="F112">
        <v>4303147000</v>
      </c>
      <c r="G112">
        <v>1.0798909999999999</v>
      </c>
      <c r="H112" t="s">
        <v>208</v>
      </c>
      <c r="I112">
        <v>4646929716.9769993</v>
      </c>
      <c r="J112" t="s">
        <v>212</v>
      </c>
      <c r="K112">
        <v>175675180.98900601</v>
      </c>
      <c r="L112" t="s">
        <v>118</v>
      </c>
      <c r="M112" t="s">
        <v>545</v>
      </c>
      <c r="N112">
        <v>0.10921382</v>
      </c>
      <c r="O112">
        <v>9.1300000000000008</v>
      </c>
      <c r="P112">
        <v>9.67</v>
      </c>
      <c r="Q112">
        <v>0.8</v>
      </c>
      <c r="R112">
        <v>20103010</v>
      </c>
      <c r="S112" t="s">
        <v>119</v>
      </c>
      <c r="T112" t="s">
        <v>263</v>
      </c>
      <c r="U112">
        <v>3635634710.9529529</v>
      </c>
      <c r="V112">
        <v>33.529262500000002</v>
      </c>
      <c r="W112" t="s">
        <v>264</v>
      </c>
      <c r="X112">
        <v>33.529262500000002</v>
      </c>
      <c r="Y112" t="b">
        <v>0</v>
      </c>
      <c r="Z112" t="b">
        <v>0</v>
      </c>
      <c r="AA112" t="b">
        <v>0</v>
      </c>
      <c r="AB112">
        <v>111</v>
      </c>
    </row>
    <row r="113" spans="1:28" x14ac:dyDescent="0.25">
      <c r="A113">
        <v>1179</v>
      </c>
      <c r="B113" t="s">
        <v>327</v>
      </c>
      <c r="C113" t="s">
        <v>396</v>
      </c>
      <c r="D113" t="s">
        <v>465</v>
      </c>
      <c r="E113" t="s">
        <v>480</v>
      </c>
      <c r="F113">
        <v>182017440</v>
      </c>
      <c r="G113">
        <v>25.563839999999999</v>
      </c>
      <c r="H113" t="s">
        <v>484</v>
      </c>
      <c r="I113">
        <v>4653064713.3696003</v>
      </c>
      <c r="J113" t="s">
        <v>210</v>
      </c>
      <c r="K113">
        <v>3667273.5973228798</v>
      </c>
      <c r="L113" t="s">
        <v>118</v>
      </c>
      <c r="M113" t="s">
        <v>546</v>
      </c>
      <c r="N113">
        <v>9.1474150000000004E-2</v>
      </c>
      <c r="O113">
        <v>254</v>
      </c>
      <c r="P113">
        <v>281.8</v>
      </c>
      <c r="Q113">
        <v>0.75</v>
      </c>
      <c r="R113">
        <v>20102010</v>
      </c>
      <c r="S113" t="s">
        <v>119</v>
      </c>
      <c r="T113" t="s">
        <v>263</v>
      </c>
      <c r="U113">
        <v>3518954380.2493482</v>
      </c>
      <c r="V113">
        <v>19.436895</v>
      </c>
      <c r="W113" t="s">
        <v>264</v>
      </c>
      <c r="X113">
        <v>19.436895</v>
      </c>
      <c r="Y113" t="b">
        <v>0</v>
      </c>
      <c r="Z113" t="b">
        <v>0</v>
      </c>
      <c r="AA113" t="b">
        <v>0</v>
      </c>
      <c r="AB113">
        <v>112</v>
      </c>
    </row>
    <row r="114" spans="1:28" x14ac:dyDescent="0.25">
      <c r="A114">
        <v>770</v>
      </c>
      <c r="B114" t="s">
        <v>328</v>
      </c>
      <c r="C114" t="s">
        <v>397</v>
      </c>
      <c r="D114" t="s">
        <v>466</v>
      </c>
      <c r="E114" t="s">
        <v>114</v>
      </c>
      <c r="F114">
        <v>525634500</v>
      </c>
      <c r="G114">
        <v>14.259</v>
      </c>
      <c r="H114" t="s">
        <v>207</v>
      </c>
      <c r="I114">
        <v>7495022335.5</v>
      </c>
      <c r="J114" t="s">
        <v>212</v>
      </c>
      <c r="K114">
        <v>15962837.5510199</v>
      </c>
      <c r="L114" t="s">
        <v>118</v>
      </c>
      <c r="M114" t="s">
        <v>547</v>
      </c>
      <c r="N114">
        <v>5.48884E-3</v>
      </c>
      <c r="O114">
        <v>2585.5</v>
      </c>
      <c r="P114">
        <v>2567.5</v>
      </c>
      <c r="Q114">
        <v>0.45</v>
      </c>
      <c r="R114">
        <v>20103015</v>
      </c>
      <c r="S114" t="s">
        <v>119</v>
      </c>
      <c r="T114" t="s">
        <v>263</v>
      </c>
      <c r="U114">
        <v>3333399759.0477681</v>
      </c>
      <c r="V114">
        <v>23.25331049</v>
      </c>
      <c r="W114" t="s">
        <v>264</v>
      </c>
      <c r="X114">
        <v>23.25331049</v>
      </c>
      <c r="Y114" t="b">
        <v>0</v>
      </c>
      <c r="Z114" t="b">
        <v>0</v>
      </c>
      <c r="AA114" t="b">
        <v>0</v>
      </c>
      <c r="AB114">
        <v>113</v>
      </c>
    </row>
    <row r="115" spans="1:28" x14ac:dyDescent="0.25">
      <c r="A115">
        <v>1122</v>
      </c>
      <c r="B115" t="s">
        <v>329</v>
      </c>
      <c r="C115" t="s">
        <v>398</v>
      </c>
      <c r="D115" t="s">
        <v>467</v>
      </c>
      <c r="E115" t="s">
        <v>114</v>
      </c>
      <c r="F115">
        <v>236178310</v>
      </c>
      <c r="G115">
        <v>14.21735</v>
      </c>
      <c r="H115" t="s">
        <v>207</v>
      </c>
      <c r="I115">
        <v>3357829695.6785002</v>
      </c>
      <c r="J115" t="s">
        <v>212</v>
      </c>
      <c r="K115">
        <v>9125002.3253027499</v>
      </c>
      <c r="L115" t="s">
        <v>118</v>
      </c>
      <c r="M115" t="s">
        <v>548</v>
      </c>
      <c r="N115">
        <v>5.48884E-3</v>
      </c>
      <c r="O115">
        <v>2555</v>
      </c>
      <c r="P115">
        <v>2560</v>
      </c>
      <c r="Q115">
        <v>1</v>
      </c>
      <c r="R115">
        <v>20103015</v>
      </c>
      <c r="S115" t="s">
        <v>119</v>
      </c>
      <c r="T115" t="s">
        <v>263</v>
      </c>
      <c r="U115">
        <v>3318643084.9546242</v>
      </c>
      <c r="V115">
        <v>27.574179999999998</v>
      </c>
      <c r="W115" t="s">
        <v>264</v>
      </c>
      <c r="X115">
        <v>27.574179999999998</v>
      </c>
      <c r="Y115" t="b">
        <v>0</v>
      </c>
      <c r="Z115" t="b">
        <v>0</v>
      </c>
      <c r="AA115" t="b">
        <v>0</v>
      </c>
      <c r="AB115">
        <v>114</v>
      </c>
    </row>
    <row r="116" spans="1:28" x14ac:dyDescent="0.25">
      <c r="A116">
        <v>1211</v>
      </c>
      <c r="B116" t="s">
        <v>330</v>
      </c>
      <c r="C116" t="s">
        <v>399</v>
      </c>
      <c r="D116" t="s">
        <v>468</v>
      </c>
      <c r="E116" t="s">
        <v>109</v>
      </c>
      <c r="F116">
        <v>45230000</v>
      </c>
      <c r="G116">
        <v>76.768519999999995</v>
      </c>
      <c r="H116" t="s">
        <v>204</v>
      </c>
      <c r="I116">
        <v>3472240159.5999999</v>
      </c>
      <c r="J116" t="s">
        <v>210</v>
      </c>
      <c r="K116">
        <v>6572583.6139857499</v>
      </c>
      <c r="L116" t="s">
        <v>118</v>
      </c>
      <c r="M116" t="s">
        <v>549</v>
      </c>
      <c r="N116">
        <v>1.0682048799999999</v>
      </c>
      <c r="O116">
        <v>71.900000000000006</v>
      </c>
      <c r="P116">
        <v>71.400000000000006</v>
      </c>
      <c r="Q116">
        <v>0.95</v>
      </c>
      <c r="R116">
        <v>20103015</v>
      </c>
      <c r="S116" t="s">
        <v>119</v>
      </c>
      <c r="T116" t="s">
        <v>263</v>
      </c>
      <c r="U116">
        <v>3277200122.980392</v>
      </c>
      <c r="V116">
        <v>16.525246249999999</v>
      </c>
      <c r="W116" t="s">
        <v>264</v>
      </c>
      <c r="X116">
        <v>16.525246249999999</v>
      </c>
      <c r="Y116" t="b">
        <v>0</v>
      </c>
      <c r="Z116" t="b">
        <v>0</v>
      </c>
      <c r="AA116" t="b">
        <v>0</v>
      </c>
      <c r="AB116">
        <v>115</v>
      </c>
    </row>
    <row r="117" spans="1:28" x14ac:dyDescent="0.25">
      <c r="A117">
        <v>1083</v>
      </c>
      <c r="B117" t="s">
        <v>331</v>
      </c>
      <c r="C117" t="s">
        <v>400</v>
      </c>
      <c r="D117" t="s">
        <v>469</v>
      </c>
      <c r="E117" t="s">
        <v>115</v>
      </c>
      <c r="F117">
        <v>230829800</v>
      </c>
      <c r="G117">
        <v>17.493960000000001</v>
      </c>
      <c r="H117" t="s">
        <v>206</v>
      </c>
      <c r="I117">
        <v>4038127288.0079999</v>
      </c>
      <c r="J117" t="s">
        <v>212</v>
      </c>
      <c r="K117">
        <v>13756038.227947</v>
      </c>
      <c r="L117" t="s">
        <v>118</v>
      </c>
      <c r="M117" t="s">
        <v>550</v>
      </c>
      <c r="N117">
        <v>0.56409533000000001</v>
      </c>
      <c r="O117">
        <v>34.9</v>
      </c>
      <c r="P117">
        <v>31.27</v>
      </c>
      <c r="Q117">
        <v>0.8</v>
      </c>
      <c r="R117">
        <v>20101010</v>
      </c>
      <c r="S117" t="s">
        <v>119</v>
      </c>
      <c r="T117" t="s">
        <v>263</v>
      </c>
      <c r="U117">
        <v>3257333665.3161268</v>
      </c>
      <c r="V117">
        <v>25.39733</v>
      </c>
      <c r="W117" t="s">
        <v>264</v>
      </c>
      <c r="X117">
        <v>25.39733</v>
      </c>
      <c r="Y117" t="b">
        <v>0</v>
      </c>
      <c r="Z117" t="b">
        <v>0</v>
      </c>
      <c r="AA117" t="b">
        <v>0</v>
      </c>
      <c r="AB117">
        <v>116</v>
      </c>
    </row>
    <row r="118" spans="1:28" x14ac:dyDescent="0.25">
      <c r="A118">
        <v>598</v>
      </c>
      <c r="B118" t="s">
        <v>332</v>
      </c>
      <c r="C118" t="s">
        <v>401</v>
      </c>
      <c r="D118" t="s">
        <v>470</v>
      </c>
      <c r="E118" t="s">
        <v>112</v>
      </c>
      <c r="F118">
        <v>221886460</v>
      </c>
      <c r="G118">
        <v>18.14734</v>
      </c>
      <c r="H118" t="s">
        <v>203</v>
      </c>
      <c r="I118">
        <v>4026649031.0163999</v>
      </c>
      <c r="J118" t="s">
        <v>210</v>
      </c>
      <c r="K118">
        <v>10295669.7491624</v>
      </c>
      <c r="L118" t="s">
        <v>118</v>
      </c>
      <c r="M118" t="s">
        <v>551</v>
      </c>
      <c r="N118">
        <v>1.139796E-2</v>
      </c>
      <c r="O118">
        <v>1507</v>
      </c>
      <c r="P118">
        <v>1595</v>
      </c>
      <c r="Q118">
        <v>0.75</v>
      </c>
      <c r="R118">
        <v>20103015</v>
      </c>
      <c r="S118" t="s">
        <v>119</v>
      </c>
      <c r="T118" t="s">
        <v>263</v>
      </c>
      <c r="U118">
        <v>3025379646.0123391</v>
      </c>
      <c r="V118">
        <v>24.459614999999999</v>
      </c>
      <c r="W118" t="s">
        <v>264</v>
      </c>
      <c r="X118">
        <v>24.459614999999999</v>
      </c>
      <c r="Y118" t="b">
        <v>0</v>
      </c>
      <c r="Z118" t="b">
        <v>0</v>
      </c>
      <c r="AA118" t="b">
        <v>0</v>
      </c>
      <c r="AB118">
        <v>117</v>
      </c>
    </row>
    <row r="119" spans="1:28" x14ac:dyDescent="0.25">
      <c r="A119">
        <v>1288</v>
      </c>
      <c r="B119" t="s">
        <v>333</v>
      </c>
      <c r="C119" t="s">
        <v>402</v>
      </c>
      <c r="D119" t="s">
        <v>471</v>
      </c>
      <c r="E119" t="s">
        <v>114</v>
      </c>
      <c r="F119">
        <v>397900150</v>
      </c>
      <c r="G119">
        <v>14.50614</v>
      </c>
      <c r="H119" t="s">
        <v>207</v>
      </c>
      <c r="I119">
        <v>5771995281.9209995</v>
      </c>
      <c r="J119" t="s">
        <v>212</v>
      </c>
      <c r="K119">
        <v>87203107.079717204</v>
      </c>
      <c r="L119" t="s">
        <v>118</v>
      </c>
      <c r="M119" t="s">
        <v>552</v>
      </c>
      <c r="N119">
        <v>5.48884E-3</v>
      </c>
      <c r="O119">
        <v>2265.5</v>
      </c>
      <c r="P119">
        <v>2612</v>
      </c>
      <c r="Q119">
        <v>0.5</v>
      </c>
      <c r="R119">
        <v>20103015</v>
      </c>
      <c r="S119" t="s">
        <v>119</v>
      </c>
      <c r="T119" t="s">
        <v>263</v>
      </c>
      <c r="U119">
        <v>2852317398.6797562</v>
      </c>
      <c r="V119">
        <v>28.29016682</v>
      </c>
      <c r="W119" t="s">
        <v>264</v>
      </c>
      <c r="X119">
        <v>28.29016682</v>
      </c>
      <c r="Y119" t="b">
        <v>0</v>
      </c>
      <c r="Z119" t="b">
        <v>0</v>
      </c>
      <c r="AA119" t="b">
        <v>0</v>
      </c>
      <c r="AB119">
        <v>118</v>
      </c>
    </row>
    <row r="120" spans="1:28" x14ac:dyDescent="0.25">
      <c r="A120">
        <v>568</v>
      </c>
      <c r="B120" t="s">
        <v>334</v>
      </c>
      <c r="C120" t="s">
        <v>403</v>
      </c>
      <c r="D120" t="s">
        <v>472</v>
      </c>
      <c r="E120" t="s">
        <v>482</v>
      </c>
      <c r="F120">
        <v>426129800</v>
      </c>
      <c r="G120">
        <v>10.145</v>
      </c>
      <c r="H120" t="s">
        <v>119</v>
      </c>
      <c r="I120">
        <v>4323086821</v>
      </c>
      <c r="J120" t="s">
        <v>211</v>
      </c>
      <c r="K120">
        <v>14643376.6960833</v>
      </c>
      <c r="L120" t="s">
        <v>118</v>
      </c>
      <c r="M120" t="s">
        <v>553</v>
      </c>
      <c r="N120">
        <v>1</v>
      </c>
      <c r="O120">
        <v>10.805</v>
      </c>
      <c r="P120">
        <v>10.145</v>
      </c>
      <c r="Q120">
        <v>0.65</v>
      </c>
      <c r="R120">
        <v>20103010</v>
      </c>
      <c r="S120" t="s">
        <v>119</v>
      </c>
      <c r="T120" t="s">
        <v>263</v>
      </c>
      <c r="U120">
        <v>2810006433.6500001</v>
      </c>
      <c r="V120">
        <v>13.251455</v>
      </c>
      <c r="W120" t="s">
        <v>264</v>
      </c>
      <c r="X120">
        <v>13.251455</v>
      </c>
      <c r="Y120" t="b">
        <v>0</v>
      </c>
      <c r="Z120" t="b">
        <v>0</v>
      </c>
      <c r="AA120" t="b">
        <v>0</v>
      </c>
      <c r="AB120">
        <v>119</v>
      </c>
    </row>
    <row r="121" spans="1:28" x14ac:dyDescent="0.25">
      <c r="A121">
        <v>424</v>
      </c>
      <c r="B121" t="s">
        <v>335</v>
      </c>
      <c r="C121" t="s">
        <v>404</v>
      </c>
      <c r="D121" t="s">
        <v>473</v>
      </c>
      <c r="E121" t="s">
        <v>478</v>
      </c>
      <c r="F121">
        <v>205019640</v>
      </c>
      <c r="G121">
        <v>14.16926</v>
      </c>
      <c r="H121" t="s">
        <v>483</v>
      </c>
      <c r="I121">
        <v>2904976584.2663999</v>
      </c>
      <c r="J121" t="s">
        <v>212</v>
      </c>
      <c r="K121">
        <v>3710204.9499925599</v>
      </c>
      <c r="L121" t="s">
        <v>118</v>
      </c>
      <c r="M121" t="s">
        <v>554</v>
      </c>
      <c r="N121">
        <v>0.49218654000000001</v>
      </c>
      <c r="O121">
        <v>27.6</v>
      </c>
      <c r="P121">
        <v>29.13</v>
      </c>
      <c r="Q121">
        <v>0.95</v>
      </c>
      <c r="R121">
        <v>20102015</v>
      </c>
      <c r="S121" t="s">
        <v>119</v>
      </c>
      <c r="T121" t="s">
        <v>263</v>
      </c>
      <c r="U121">
        <v>2792474971.1070271</v>
      </c>
      <c r="V121">
        <v>15.76797872</v>
      </c>
      <c r="W121" t="s">
        <v>264</v>
      </c>
      <c r="X121">
        <v>15.76797872</v>
      </c>
      <c r="Y121" t="b">
        <v>0</v>
      </c>
      <c r="Z121" t="b">
        <v>0</v>
      </c>
      <c r="AA121" t="b">
        <v>0</v>
      </c>
      <c r="AB121">
        <v>120</v>
      </c>
    </row>
    <row r="122" spans="1:28" x14ac:dyDescent="0.25">
      <c r="A122">
        <v>95</v>
      </c>
      <c r="B122" t="s">
        <v>336</v>
      </c>
      <c r="C122" t="s">
        <v>405</v>
      </c>
      <c r="D122" t="s">
        <v>474</v>
      </c>
      <c r="E122" t="s">
        <v>115</v>
      </c>
      <c r="F122">
        <v>144578690</v>
      </c>
      <c r="G122">
        <v>20.050640000000001</v>
      </c>
      <c r="H122" t="s">
        <v>206</v>
      </c>
      <c r="I122">
        <v>2898895264.8615999</v>
      </c>
      <c r="J122" t="s">
        <v>212</v>
      </c>
      <c r="K122">
        <v>7280182.7335168105</v>
      </c>
      <c r="L122" t="s">
        <v>118</v>
      </c>
      <c r="M122" t="s">
        <v>555</v>
      </c>
      <c r="N122">
        <v>0.56409533000000001</v>
      </c>
      <c r="O122">
        <v>35.909999999999997</v>
      </c>
      <c r="P122">
        <v>35.840000000000003</v>
      </c>
      <c r="Q122">
        <v>0.9</v>
      </c>
      <c r="R122">
        <v>20102015</v>
      </c>
      <c r="S122" t="s">
        <v>119</v>
      </c>
      <c r="T122" t="s">
        <v>263</v>
      </c>
      <c r="U122">
        <v>2630675621.0332751</v>
      </c>
      <c r="V122">
        <v>12.915150000000001</v>
      </c>
      <c r="W122" t="s">
        <v>264</v>
      </c>
      <c r="X122">
        <v>12.915150000000001</v>
      </c>
      <c r="Y122" t="b">
        <v>0</v>
      </c>
      <c r="Z122" t="b">
        <v>0</v>
      </c>
      <c r="AA122" t="b">
        <v>0</v>
      </c>
      <c r="AB122">
        <v>121</v>
      </c>
    </row>
    <row r="123" spans="1:28" x14ac:dyDescent="0.25">
      <c r="A123">
        <v>1156</v>
      </c>
      <c r="B123" t="s">
        <v>337</v>
      </c>
      <c r="C123" t="s">
        <v>406</v>
      </c>
      <c r="D123" t="s">
        <v>475</v>
      </c>
      <c r="E123" t="s">
        <v>114</v>
      </c>
      <c r="F123">
        <v>342068540</v>
      </c>
      <c r="G123">
        <v>8.9524860000000004</v>
      </c>
      <c r="H123" t="s">
        <v>207</v>
      </c>
      <c r="I123">
        <v>3062363815.39044</v>
      </c>
      <c r="J123" t="s">
        <v>212</v>
      </c>
      <c r="K123">
        <v>11834437.788845999</v>
      </c>
      <c r="L123" t="s">
        <v>118</v>
      </c>
      <c r="M123" t="s">
        <v>556</v>
      </c>
      <c r="N123">
        <v>5.48884E-3</v>
      </c>
      <c r="O123">
        <v>1613.5</v>
      </c>
      <c r="P123">
        <v>1612</v>
      </c>
      <c r="Q123">
        <v>0.85</v>
      </c>
      <c r="R123">
        <v>20103015</v>
      </c>
      <c r="S123" t="s">
        <v>119</v>
      </c>
      <c r="T123" t="s">
        <v>263</v>
      </c>
      <c r="U123">
        <v>2572632006.4752512</v>
      </c>
      <c r="V123">
        <v>22.94605988</v>
      </c>
      <c r="W123" t="s">
        <v>264</v>
      </c>
      <c r="X123">
        <v>22.94605988</v>
      </c>
      <c r="Y123" t="b">
        <v>0</v>
      </c>
      <c r="Z123" t="b">
        <v>0</v>
      </c>
      <c r="AA123" t="b">
        <v>0</v>
      </c>
      <c r="AB123">
        <v>122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A1"/>
  <sheetViews>
    <sheetView workbookViewId="0"/>
  </sheetViews>
  <sheetFormatPr defaultRowHeight="15" x14ac:dyDescent="0.25"/>
  <sheetData>
    <row r="1" spans="1:27" x14ac:dyDescent="0.25">
      <c r="A1" s="1" t="s">
        <v>128</v>
      </c>
      <c r="B1" s="1" t="s">
        <v>129</v>
      </c>
      <c r="C1" s="1" t="s">
        <v>0</v>
      </c>
      <c r="D1" s="1" t="s">
        <v>120</v>
      </c>
      <c r="E1" s="1" t="s">
        <v>2</v>
      </c>
      <c r="F1" s="1" t="s">
        <v>3</v>
      </c>
      <c r="G1" s="1" t="s">
        <v>130</v>
      </c>
      <c r="H1" s="1" t="s">
        <v>131</v>
      </c>
      <c r="I1" s="1" t="s">
        <v>132</v>
      </c>
      <c r="J1" s="1" t="s">
        <v>133</v>
      </c>
      <c r="K1" s="1" t="s">
        <v>134</v>
      </c>
      <c r="L1" s="1" t="s">
        <v>6</v>
      </c>
      <c r="M1" s="1" t="s">
        <v>135</v>
      </c>
      <c r="N1" s="1" t="s">
        <v>136</v>
      </c>
      <c r="O1" s="1" t="s">
        <v>137</v>
      </c>
      <c r="P1" s="1" t="s">
        <v>138</v>
      </c>
      <c r="Q1" s="1" t="s">
        <v>139</v>
      </c>
      <c r="R1" s="1" t="s">
        <v>140</v>
      </c>
      <c r="S1" s="1" t="s">
        <v>7</v>
      </c>
      <c r="T1" s="1" t="s">
        <v>141</v>
      </c>
      <c r="U1" s="1" t="s">
        <v>142</v>
      </c>
      <c r="V1" s="1" t="s">
        <v>143</v>
      </c>
      <c r="W1" s="1" t="s">
        <v>144</v>
      </c>
      <c r="X1" s="1" t="s">
        <v>145</v>
      </c>
      <c r="Y1" s="1" t="s">
        <v>146</v>
      </c>
      <c r="Z1" s="1" t="s">
        <v>147</v>
      </c>
      <c r="AA1" s="1" t="s">
        <v>148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A123"/>
  <sheetViews>
    <sheetView workbookViewId="0"/>
  </sheetViews>
  <sheetFormatPr defaultRowHeight="15" x14ac:dyDescent="0.25"/>
  <sheetData>
    <row r="1" spans="1:27" x14ac:dyDescent="0.25">
      <c r="A1" s="1" t="s">
        <v>128</v>
      </c>
      <c r="B1" s="1" t="s">
        <v>129</v>
      </c>
      <c r="C1" s="1" t="s">
        <v>0</v>
      </c>
      <c r="D1" s="1" t="s">
        <v>120</v>
      </c>
      <c r="E1" s="1" t="s">
        <v>2</v>
      </c>
      <c r="F1" s="1" t="s">
        <v>3</v>
      </c>
      <c r="G1" s="1" t="s">
        <v>130</v>
      </c>
      <c r="H1" s="1" t="s">
        <v>131</v>
      </c>
      <c r="I1" s="1" t="s">
        <v>132</v>
      </c>
      <c r="J1" s="1" t="s">
        <v>133</v>
      </c>
      <c r="K1" s="1" t="s">
        <v>134</v>
      </c>
      <c r="L1" s="1" t="s">
        <v>6</v>
      </c>
      <c r="M1" s="1" t="s">
        <v>135</v>
      </c>
      <c r="N1" s="1" t="s">
        <v>136</v>
      </c>
      <c r="O1" s="1" t="s">
        <v>137</v>
      </c>
      <c r="P1" s="1" t="s">
        <v>138</v>
      </c>
      <c r="Q1" s="1" t="s">
        <v>139</v>
      </c>
      <c r="R1" s="1" t="s">
        <v>140</v>
      </c>
      <c r="S1" s="1" t="s">
        <v>7</v>
      </c>
      <c r="T1" s="1" t="s">
        <v>141</v>
      </c>
      <c r="U1" s="1" t="s">
        <v>142</v>
      </c>
      <c r="V1" s="1" t="s">
        <v>143</v>
      </c>
      <c r="W1" s="1" t="s">
        <v>144</v>
      </c>
      <c r="X1" s="1" t="s">
        <v>145</v>
      </c>
      <c r="Y1" s="1" t="s">
        <v>146</v>
      </c>
      <c r="Z1" s="1" t="s">
        <v>147</v>
      </c>
      <c r="AA1" s="1" t="s">
        <v>148</v>
      </c>
    </row>
    <row r="2" spans="1:27" x14ac:dyDescent="0.25">
      <c r="A2">
        <v>12</v>
      </c>
      <c r="B2" t="s">
        <v>160</v>
      </c>
      <c r="C2" t="s">
        <v>8</v>
      </c>
      <c r="D2" t="s">
        <v>58</v>
      </c>
      <c r="E2" t="s">
        <v>108</v>
      </c>
      <c r="F2">
        <v>1738872000</v>
      </c>
      <c r="G2">
        <v>111.38549999999999</v>
      </c>
      <c r="H2" t="s">
        <v>202</v>
      </c>
      <c r="I2">
        <v>193685127156</v>
      </c>
      <c r="J2" t="s">
        <v>209</v>
      </c>
      <c r="K2">
        <v>669131308.86379397</v>
      </c>
      <c r="L2" t="s">
        <v>118</v>
      </c>
      <c r="M2" t="s">
        <v>221</v>
      </c>
      <c r="N2">
        <v>0.84961766999999999</v>
      </c>
      <c r="O2">
        <v>126.86</v>
      </c>
      <c r="P2">
        <v>128.11000000000001</v>
      </c>
      <c r="Q2">
        <v>1</v>
      </c>
      <c r="R2">
        <v>20102010</v>
      </c>
      <c r="S2" t="s">
        <v>119</v>
      </c>
      <c r="T2" t="s">
        <v>263</v>
      </c>
      <c r="U2">
        <v>189266687666.21219</v>
      </c>
      <c r="V2">
        <v>16.8790625</v>
      </c>
      <c r="W2" t="s">
        <v>264</v>
      </c>
      <c r="X2">
        <v>16.8790625</v>
      </c>
      <c r="Y2" t="b">
        <v>0</v>
      </c>
      <c r="Z2" t="b">
        <v>0</v>
      </c>
      <c r="AA2" t="b">
        <v>0</v>
      </c>
    </row>
    <row r="3" spans="1:27" x14ac:dyDescent="0.25">
      <c r="A3">
        <v>13</v>
      </c>
      <c r="B3" t="s">
        <v>154</v>
      </c>
      <c r="C3" t="s">
        <v>9</v>
      </c>
      <c r="D3" t="s">
        <v>59</v>
      </c>
      <c r="E3" t="s">
        <v>108</v>
      </c>
      <c r="F3">
        <v>1767384600</v>
      </c>
      <c r="G3">
        <v>205.4341</v>
      </c>
      <c r="H3" t="s">
        <v>202</v>
      </c>
      <c r="I3">
        <v>363081064654.85999</v>
      </c>
      <c r="J3" t="s">
        <v>209</v>
      </c>
      <c r="K3">
        <v>1100163798.1565299</v>
      </c>
      <c r="L3" t="s">
        <v>118</v>
      </c>
      <c r="M3" t="s">
        <v>215</v>
      </c>
      <c r="N3">
        <v>0.84961766999999999</v>
      </c>
      <c r="O3">
        <v>223.67</v>
      </c>
      <c r="P3">
        <v>236.28</v>
      </c>
      <c r="Q3">
        <v>1</v>
      </c>
      <c r="R3">
        <v>20103015</v>
      </c>
      <c r="S3" t="s">
        <v>119</v>
      </c>
      <c r="T3" t="s">
        <v>263</v>
      </c>
      <c r="U3">
        <v>354798328191.66498</v>
      </c>
      <c r="V3">
        <v>21.224041249999999</v>
      </c>
      <c r="W3" t="s">
        <v>264</v>
      </c>
      <c r="X3">
        <v>21.224041249999999</v>
      </c>
      <c r="Y3" t="b">
        <v>0</v>
      </c>
      <c r="Z3" t="b">
        <v>0</v>
      </c>
      <c r="AA3" t="b">
        <v>0</v>
      </c>
    </row>
    <row r="4" spans="1:27" x14ac:dyDescent="0.25">
      <c r="A4">
        <v>15</v>
      </c>
      <c r="B4" t="s">
        <v>312</v>
      </c>
      <c r="C4" t="s">
        <v>381</v>
      </c>
      <c r="D4" t="s">
        <v>450</v>
      </c>
      <c r="E4" t="s">
        <v>116</v>
      </c>
      <c r="F4">
        <v>77828918</v>
      </c>
      <c r="G4">
        <v>102.6</v>
      </c>
      <c r="H4" t="s">
        <v>119</v>
      </c>
      <c r="I4">
        <v>7985246986.7999992</v>
      </c>
      <c r="J4" t="s">
        <v>211</v>
      </c>
      <c r="K4">
        <v>8272085.2946969699</v>
      </c>
      <c r="L4" t="s">
        <v>118</v>
      </c>
      <c r="M4" t="s">
        <v>531</v>
      </c>
      <c r="N4">
        <v>1</v>
      </c>
      <c r="O4">
        <v>94.1</v>
      </c>
      <c r="P4">
        <v>102.6</v>
      </c>
      <c r="Q4">
        <v>0.75</v>
      </c>
      <c r="R4">
        <v>20103010</v>
      </c>
      <c r="S4" t="s">
        <v>119</v>
      </c>
      <c r="T4" t="s">
        <v>263</v>
      </c>
      <c r="U4">
        <v>5988935240.0999994</v>
      </c>
      <c r="V4">
        <v>35.379820729999999</v>
      </c>
      <c r="W4" t="s">
        <v>264</v>
      </c>
      <c r="X4">
        <v>35.379820729999999</v>
      </c>
      <c r="Y4" t="b">
        <v>0</v>
      </c>
      <c r="Z4" t="b">
        <v>0</v>
      </c>
      <c r="AA4" t="b">
        <v>0</v>
      </c>
    </row>
    <row r="5" spans="1:27" x14ac:dyDescent="0.25">
      <c r="A5">
        <v>42</v>
      </c>
      <c r="B5" t="s">
        <v>193</v>
      </c>
      <c r="C5" t="s">
        <v>10</v>
      </c>
      <c r="D5" t="s">
        <v>60</v>
      </c>
      <c r="E5" t="s">
        <v>108</v>
      </c>
      <c r="F5">
        <v>283500430</v>
      </c>
      <c r="G5">
        <v>131.50460000000001</v>
      </c>
      <c r="H5" t="s">
        <v>202</v>
      </c>
      <c r="I5">
        <v>37281610646.977997</v>
      </c>
      <c r="J5" t="s">
        <v>209</v>
      </c>
      <c r="K5">
        <v>204083902.51950499</v>
      </c>
      <c r="L5" t="s">
        <v>118</v>
      </c>
      <c r="M5" t="s">
        <v>254</v>
      </c>
      <c r="N5">
        <v>0.84961766999999999</v>
      </c>
      <c r="O5">
        <v>139.19</v>
      </c>
      <c r="P5">
        <v>151.25</v>
      </c>
      <c r="Q5">
        <v>1</v>
      </c>
      <c r="R5">
        <v>20102010</v>
      </c>
      <c r="S5" t="s">
        <v>119</v>
      </c>
      <c r="T5" t="s">
        <v>263</v>
      </c>
      <c r="U5">
        <v>36431129935.56546</v>
      </c>
      <c r="V5">
        <v>10.0414925</v>
      </c>
      <c r="W5" t="s">
        <v>264</v>
      </c>
      <c r="X5">
        <v>10.0414925</v>
      </c>
      <c r="Y5" t="b">
        <v>0</v>
      </c>
      <c r="Z5" t="b">
        <v>0</v>
      </c>
      <c r="AA5" t="b">
        <v>0</v>
      </c>
    </row>
    <row r="6" spans="1:27" x14ac:dyDescent="0.25">
      <c r="A6">
        <v>57</v>
      </c>
      <c r="B6" t="s">
        <v>194</v>
      </c>
      <c r="C6" t="s">
        <v>11</v>
      </c>
      <c r="D6" t="s">
        <v>61</v>
      </c>
      <c r="E6" t="s">
        <v>109</v>
      </c>
      <c r="F6">
        <v>499700000</v>
      </c>
      <c r="G6">
        <v>66.102630000000005</v>
      </c>
      <c r="H6" t="s">
        <v>204</v>
      </c>
      <c r="I6">
        <v>33031484211</v>
      </c>
      <c r="J6" t="s">
        <v>210</v>
      </c>
      <c r="K6">
        <v>80250693.650699198</v>
      </c>
      <c r="L6" t="s">
        <v>118</v>
      </c>
      <c r="M6" t="s">
        <v>255</v>
      </c>
      <c r="N6">
        <v>1.0682048799999999</v>
      </c>
      <c r="O6">
        <v>62.48</v>
      </c>
      <c r="P6">
        <v>61.48</v>
      </c>
      <c r="Q6">
        <v>1</v>
      </c>
      <c r="R6">
        <v>20102015</v>
      </c>
      <c r="S6" t="s">
        <v>119</v>
      </c>
      <c r="T6" t="s">
        <v>263</v>
      </c>
      <c r="U6">
        <v>32816916040.39328</v>
      </c>
      <c r="V6">
        <v>16.538477499999999</v>
      </c>
      <c r="W6" t="s">
        <v>264</v>
      </c>
      <c r="X6">
        <v>16.538477499999999</v>
      </c>
      <c r="Y6" t="b">
        <v>0</v>
      </c>
      <c r="Z6" t="b">
        <v>0</v>
      </c>
      <c r="AA6" t="b">
        <v>0</v>
      </c>
    </row>
    <row r="7" spans="1:27" x14ac:dyDescent="0.25">
      <c r="A7">
        <v>60</v>
      </c>
      <c r="B7" t="s">
        <v>325</v>
      </c>
      <c r="C7" t="s">
        <v>394</v>
      </c>
      <c r="D7" t="s">
        <v>463</v>
      </c>
      <c r="E7" t="s">
        <v>117</v>
      </c>
      <c r="F7">
        <v>202567200</v>
      </c>
      <c r="G7">
        <v>30.44624</v>
      </c>
      <c r="H7" t="s">
        <v>205</v>
      </c>
      <c r="I7">
        <v>6167409587.3280001</v>
      </c>
      <c r="J7" t="s">
        <v>210</v>
      </c>
      <c r="K7">
        <v>4274952.2177550104</v>
      </c>
      <c r="L7" t="s">
        <v>118</v>
      </c>
      <c r="M7" t="s">
        <v>544</v>
      </c>
      <c r="N7">
        <v>0.13384283</v>
      </c>
      <c r="O7">
        <v>218.2</v>
      </c>
      <c r="P7">
        <v>227.4</v>
      </c>
      <c r="Q7">
        <v>0.6</v>
      </c>
      <c r="R7">
        <v>20103015</v>
      </c>
      <c r="S7" t="s">
        <v>119</v>
      </c>
      <c r="T7" t="s">
        <v>263</v>
      </c>
      <c r="U7">
        <v>3699184108.209733</v>
      </c>
      <c r="V7">
        <v>25.929136249999999</v>
      </c>
      <c r="W7" t="s">
        <v>264</v>
      </c>
      <c r="X7">
        <v>25.929136249999999</v>
      </c>
      <c r="Y7" t="b">
        <v>0</v>
      </c>
      <c r="Z7" t="b">
        <v>0</v>
      </c>
      <c r="AA7" t="b">
        <v>0</v>
      </c>
    </row>
    <row r="8" spans="1:27" x14ac:dyDescent="0.25">
      <c r="A8">
        <v>66</v>
      </c>
      <c r="B8" t="s">
        <v>182</v>
      </c>
      <c r="C8" t="s">
        <v>12</v>
      </c>
      <c r="D8" t="s">
        <v>62</v>
      </c>
      <c r="E8" t="s">
        <v>110</v>
      </c>
      <c r="F8">
        <v>132113820</v>
      </c>
      <c r="G8">
        <v>379.41140000000001</v>
      </c>
      <c r="H8" t="s">
        <v>202</v>
      </c>
      <c r="I8">
        <v>50125489405.547997</v>
      </c>
      <c r="J8" t="s">
        <v>209</v>
      </c>
      <c r="K8">
        <v>425622119.13472497</v>
      </c>
      <c r="L8" t="s">
        <v>118</v>
      </c>
      <c r="M8" t="s">
        <v>243</v>
      </c>
      <c r="N8">
        <v>0.84961766999999999</v>
      </c>
      <c r="O8">
        <v>391.17</v>
      </c>
      <c r="P8">
        <v>436.38</v>
      </c>
      <c r="Q8">
        <v>1</v>
      </c>
      <c r="R8">
        <v>20103010</v>
      </c>
      <c r="S8" t="s">
        <v>119</v>
      </c>
      <c r="T8" t="s">
        <v>263</v>
      </c>
      <c r="U8">
        <v>48982012432.165749</v>
      </c>
      <c r="V8">
        <v>24.728986249999998</v>
      </c>
      <c r="W8" t="s">
        <v>264</v>
      </c>
      <c r="X8">
        <v>24.728986249999998</v>
      </c>
      <c r="Y8" t="b">
        <v>0</v>
      </c>
      <c r="Z8" t="b">
        <v>0</v>
      </c>
      <c r="AA8" t="b">
        <v>0</v>
      </c>
    </row>
    <row r="9" spans="1:27" x14ac:dyDescent="0.25">
      <c r="A9">
        <v>85</v>
      </c>
      <c r="B9" t="s">
        <v>163</v>
      </c>
      <c r="C9" t="s">
        <v>13</v>
      </c>
      <c r="D9" t="s">
        <v>63</v>
      </c>
      <c r="E9" t="s">
        <v>110</v>
      </c>
      <c r="F9">
        <v>538480650</v>
      </c>
      <c r="G9">
        <v>293.47480000000002</v>
      </c>
      <c r="H9" t="s">
        <v>202</v>
      </c>
      <c r="I9">
        <v>158030501062.62</v>
      </c>
      <c r="J9" t="s">
        <v>209</v>
      </c>
      <c r="K9">
        <v>646668255.93707001</v>
      </c>
      <c r="L9" t="s">
        <v>118</v>
      </c>
      <c r="M9" t="s">
        <v>224</v>
      </c>
      <c r="N9">
        <v>0.84961766999999999</v>
      </c>
      <c r="O9">
        <v>326.74</v>
      </c>
      <c r="P9">
        <v>337.54</v>
      </c>
      <c r="Q9">
        <v>1</v>
      </c>
      <c r="R9">
        <v>20103015</v>
      </c>
      <c r="S9" t="s">
        <v>119</v>
      </c>
      <c r="T9" t="s">
        <v>263</v>
      </c>
      <c r="U9">
        <v>154425452984.6741</v>
      </c>
      <c r="V9">
        <v>20.38213562</v>
      </c>
      <c r="W9" t="s">
        <v>264</v>
      </c>
      <c r="X9">
        <v>20.38213562</v>
      </c>
      <c r="Y9" t="b">
        <v>0</v>
      </c>
      <c r="Z9" t="b">
        <v>0</v>
      </c>
      <c r="AA9" t="b">
        <v>0</v>
      </c>
    </row>
    <row r="10" spans="1:27" x14ac:dyDescent="0.25">
      <c r="A10">
        <v>95</v>
      </c>
      <c r="B10" t="s">
        <v>336</v>
      </c>
      <c r="C10" t="s">
        <v>405</v>
      </c>
      <c r="D10" t="s">
        <v>474</v>
      </c>
      <c r="E10" t="s">
        <v>115</v>
      </c>
      <c r="F10">
        <v>144578690</v>
      </c>
      <c r="G10">
        <v>20.050640000000001</v>
      </c>
      <c r="H10" t="s">
        <v>206</v>
      </c>
      <c r="I10">
        <v>2898895264.8615999</v>
      </c>
      <c r="J10" t="s">
        <v>212</v>
      </c>
      <c r="K10">
        <v>7280182.7335168105</v>
      </c>
      <c r="L10" t="s">
        <v>118</v>
      </c>
      <c r="M10" t="s">
        <v>555</v>
      </c>
      <c r="N10">
        <v>0.56409533000000001</v>
      </c>
      <c r="O10">
        <v>35.909999999999997</v>
      </c>
      <c r="P10">
        <v>35.840000000000003</v>
      </c>
      <c r="Q10">
        <v>0.9</v>
      </c>
      <c r="R10">
        <v>20102015</v>
      </c>
      <c r="S10" t="s">
        <v>119</v>
      </c>
      <c r="T10" t="s">
        <v>263</v>
      </c>
      <c r="U10">
        <v>2630675621.0332751</v>
      </c>
      <c r="V10">
        <v>12.915150000000001</v>
      </c>
      <c r="W10" t="s">
        <v>264</v>
      </c>
      <c r="X10">
        <v>12.915150000000001</v>
      </c>
      <c r="Y10" t="b">
        <v>0</v>
      </c>
      <c r="Z10" t="b">
        <v>0</v>
      </c>
      <c r="AA10" t="b">
        <v>0</v>
      </c>
    </row>
    <row r="11" spans="1:27" x14ac:dyDescent="0.25">
      <c r="A11">
        <v>110</v>
      </c>
      <c r="B11" t="s">
        <v>180</v>
      </c>
      <c r="C11" t="s">
        <v>14</v>
      </c>
      <c r="D11" t="s">
        <v>64</v>
      </c>
      <c r="E11" t="s">
        <v>111</v>
      </c>
      <c r="F11">
        <v>61568926</v>
      </c>
      <c r="G11">
        <v>800.4</v>
      </c>
      <c r="H11" t="s">
        <v>119</v>
      </c>
      <c r="I11">
        <v>49279768370.400002</v>
      </c>
      <c r="J11" t="s">
        <v>211</v>
      </c>
      <c r="K11">
        <v>71799660.425757498</v>
      </c>
      <c r="L11" t="s">
        <v>118</v>
      </c>
      <c r="M11" t="s">
        <v>241</v>
      </c>
      <c r="N11">
        <v>1</v>
      </c>
      <c r="O11">
        <v>726.6</v>
      </c>
      <c r="P11">
        <v>800.4</v>
      </c>
      <c r="Q11">
        <v>1</v>
      </c>
      <c r="R11">
        <v>20103010</v>
      </c>
      <c r="S11" t="s">
        <v>119</v>
      </c>
      <c r="T11" t="s">
        <v>263</v>
      </c>
      <c r="U11">
        <v>49279768370.400002</v>
      </c>
      <c r="V11">
        <v>24.860810619999999</v>
      </c>
      <c r="W11" t="s">
        <v>264</v>
      </c>
      <c r="X11">
        <v>24.860810619999999</v>
      </c>
      <c r="Y11" t="b">
        <v>0</v>
      </c>
      <c r="Z11" t="b">
        <v>0</v>
      </c>
      <c r="AA11" t="b">
        <v>0</v>
      </c>
    </row>
    <row r="12" spans="1:27" x14ac:dyDescent="0.25">
      <c r="A12">
        <v>118</v>
      </c>
      <c r="B12" t="s">
        <v>324</v>
      </c>
      <c r="C12" t="s">
        <v>393</v>
      </c>
      <c r="D12" t="s">
        <v>462</v>
      </c>
      <c r="E12" t="s">
        <v>114</v>
      </c>
      <c r="F12">
        <v>271633600</v>
      </c>
      <c r="G12">
        <v>16.06671</v>
      </c>
      <c r="H12" t="s">
        <v>207</v>
      </c>
      <c r="I12">
        <v>4364258277.4560003</v>
      </c>
      <c r="J12" t="s">
        <v>212</v>
      </c>
      <c r="K12">
        <v>15409523.2264966</v>
      </c>
      <c r="L12" t="s">
        <v>118</v>
      </c>
      <c r="M12" t="s">
        <v>543</v>
      </c>
      <c r="N12">
        <v>5.48884E-3</v>
      </c>
      <c r="O12">
        <v>2980.5</v>
      </c>
      <c r="P12">
        <v>2893</v>
      </c>
      <c r="Q12">
        <v>0.9</v>
      </c>
      <c r="R12">
        <v>20102010</v>
      </c>
      <c r="S12" t="s">
        <v>119</v>
      </c>
      <c r="T12" t="s">
        <v>263</v>
      </c>
      <c r="U12">
        <v>3881995286.9277892</v>
      </c>
      <c r="V12">
        <v>17.031458749999999</v>
      </c>
      <c r="W12" t="s">
        <v>264</v>
      </c>
      <c r="X12">
        <v>17.031458749999999</v>
      </c>
      <c r="Y12" t="b">
        <v>0</v>
      </c>
      <c r="Z12" t="b">
        <v>0</v>
      </c>
      <c r="AA12" t="b">
        <v>0</v>
      </c>
    </row>
    <row r="13" spans="1:27" x14ac:dyDescent="0.25">
      <c r="A13">
        <v>128</v>
      </c>
      <c r="B13" t="s">
        <v>280</v>
      </c>
      <c r="C13" t="s">
        <v>349</v>
      </c>
      <c r="D13" t="s">
        <v>418</v>
      </c>
      <c r="E13" t="s">
        <v>114</v>
      </c>
      <c r="F13">
        <v>1809663100</v>
      </c>
      <c r="G13">
        <v>10.91015</v>
      </c>
      <c r="H13" t="s">
        <v>207</v>
      </c>
      <c r="I13">
        <v>19743695870.465</v>
      </c>
      <c r="J13" t="s">
        <v>212</v>
      </c>
      <c r="K13">
        <v>75029561.076906294</v>
      </c>
      <c r="L13" t="s">
        <v>118</v>
      </c>
      <c r="M13" t="s">
        <v>499</v>
      </c>
      <c r="N13">
        <v>5.48884E-3</v>
      </c>
      <c r="O13">
        <v>2126</v>
      </c>
      <c r="P13">
        <v>1964.5</v>
      </c>
      <c r="Q13">
        <v>1</v>
      </c>
      <c r="R13">
        <v>20103015</v>
      </c>
      <c r="S13" t="s">
        <v>119</v>
      </c>
      <c r="T13" t="s">
        <v>263</v>
      </c>
      <c r="U13">
        <v>19513282651.659962</v>
      </c>
      <c r="V13">
        <v>20.650375</v>
      </c>
      <c r="W13" t="s">
        <v>264</v>
      </c>
      <c r="X13">
        <v>20.650375</v>
      </c>
      <c r="Y13" t="b">
        <v>0</v>
      </c>
      <c r="Z13" t="b">
        <v>0</v>
      </c>
      <c r="AA13" t="b">
        <v>0</v>
      </c>
    </row>
    <row r="14" spans="1:27" x14ac:dyDescent="0.25">
      <c r="A14">
        <v>130</v>
      </c>
      <c r="B14" t="s">
        <v>156</v>
      </c>
      <c r="C14" t="s">
        <v>15</v>
      </c>
      <c r="D14" t="s">
        <v>65</v>
      </c>
      <c r="E14" t="s">
        <v>112</v>
      </c>
      <c r="F14">
        <v>1550712900</v>
      </c>
      <c r="G14">
        <v>157.23910000000001</v>
      </c>
      <c r="H14" t="s">
        <v>203</v>
      </c>
      <c r="I14">
        <v>243832700754.39001</v>
      </c>
      <c r="J14" t="s">
        <v>210</v>
      </c>
      <c r="K14">
        <v>188477988.817532</v>
      </c>
      <c r="L14" t="s">
        <v>118</v>
      </c>
      <c r="M14" t="s">
        <v>217</v>
      </c>
      <c r="N14">
        <v>1.139796E-2</v>
      </c>
      <c r="O14">
        <v>13506</v>
      </c>
      <c r="P14">
        <v>13820</v>
      </c>
      <c r="Q14">
        <v>1</v>
      </c>
      <c r="R14">
        <v>20103015</v>
      </c>
      <c r="S14" t="s">
        <v>119</v>
      </c>
      <c r="T14" t="s">
        <v>263</v>
      </c>
      <c r="U14">
        <v>244267997030.55289</v>
      </c>
      <c r="V14">
        <v>18.265306249999998</v>
      </c>
      <c r="W14" t="s">
        <v>264</v>
      </c>
      <c r="X14">
        <v>18.265306249999998</v>
      </c>
      <c r="Y14" t="b">
        <v>0</v>
      </c>
      <c r="Z14" t="b">
        <v>0</v>
      </c>
      <c r="AA14" t="b">
        <v>0</v>
      </c>
    </row>
    <row r="15" spans="1:27" x14ac:dyDescent="0.25">
      <c r="A15">
        <v>183</v>
      </c>
      <c r="B15" t="s">
        <v>267</v>
      </c>
      <c r="C15" t="s">
        <v>121</v>
      </c>
      <c r="D15" t="s">
        <v>124</v>
      </c>
      <c r="E15" t="s">
        <v>127</v>
      </c>
      <c r="F15">
        <v>982424100</v>
      </c>
      <c r="G15">
        <v>27.585000000000001</v>
      </c>
      <c r="H15" t="s">
        <v>119</v>
      </c>
      <c r="I15">
        <v>27100168798.5</v>
      </c>
      <c r="J15" t="s">
        <v>211</v>
      </c>
      <c r="K15">
        <v>59831212.094962098</v>
      </c>
      <c r="L15" t="s">
        <v>118</v>
      </c>
      <c r="M15" t="s">
        <v>486</v>
      </c>
      <c r="N15">
        <v>1</v>
      </c>
      <c r="O15">
        <v>35.055</v>
      </c>
      <c r="P15">
        <v>27.585000000000001</v>
      </c>
      <c r="Q15">
        <v>1</v>
      </c>
      <c r="R15">
        <v>20103015</v>
      </c>
      <c r="S15" t="s">
        <v>119</v>
      </c>
      <c r="T15" t="s">
        <v>263</v>
      </c>
      <c r="U15">
        <v>27100168798.5</v>
      </c>
      <c r="V15">
        <v>22.2272125</v>
      </c>
      <c r="W15" t="s">
        <v>265</v>
      </c>
      <c r="X15">
        <v>22.2272125</v>
      </c>
      <c r="Y15" t="b">
        <v>0</v>
      </c>
      <c r="Z15" t="b">
        <v>0</v>
      </c>
      <c r="AA15" t="b">
        <v>0</v>
      </c>
    </row>
    <row r="16" spans="1:27" x14ac:dyDescent="0.25">
      <c r="A16">
        <v>189</v>
      </c>
      <c r="B16" t="s">
        <v>184</v>
      </c>
      <c r="C16" t="s">
        <v>16</v>
      </c>
      <c r="D16" t="s">
        <v>66</v>
      </c>
      <c r="E16" t="s">
        <v>108</v>
      </c>
      <c r="F16">
        <v>286627470</v>
      </c>
      <c r="G16">
        <v>167.5608</v>
      </c>
      <c r="H16" t="s">
        <v>202</v>
      </c>
      <c r="I16">
        <v>48027528175.176003</v>
      </c>
      <c r="J16" t="s">
        <v>209</v>
      </c>
      <c r="K16">
        <v>322673051.88160598</v>
      </c>
      <c r="L16" t="s">
        <v>118</v>
      </c>
      <c r="M16" t="s">
        <v>245</v>
      </c>
      <c r="N16">
        <v>0.84961766999999999</v>
      </c>
      <c r="O16">
        <v>196.39</v>
      </c>
      <c r="P16">
        <v>192.72</v>
      </c>
      <c r="Q16">
        <v>1</v>
      </c>
      <c r="R16">
        <v>20102015</v>
      </c>
      <c r="S16" t="s">
        <v>119</v>
      </c>
      <c r="T16" t="s">
        <v>263</v>
      </c>
      <c r="U16">
        <v>46931899647.641777</v>
      </c>
      <c r="V16">
        <v>17.235679999999999</v>
      </c>
      <c r="W16" t="s">
        <v>264</v>
      </c>
      <c r="X16">
        <v>17.235679999999999</v>
      </c>
      <c r="Y16" t="b">
        <v>0</v>
      </c>
      <c r="Z16" t="b">
        <v>0</v>
      </c>
      <c r="AA16" t="b">
        <v>0</v>
      </c>
    </row>
    <row r="17" spans="1:27" x14ac:dyDescent="0.25">
      <c r="A17">
        <v>195</v>
      </c>
      <c r="B17" t="s">
        <v>200</v>
      </c>
      <c r="C17" t="s">
        <v>17</v>
      </c>
      <c r="D17" t="s">
        <v>67</v>
      </c>
      <c r="E17" t="s">
        <v>113</v>
      </c>
      <c r="F17">
        <v>1425622600</v>
      </c>
      <c r="G17">
        <v>23.004909999999999</v>
      </c>
      <c r="H17" t="s">
        <v>208</v>
      </c>
      <c r="I17">
        <v>32796319606.966</v>
      </c>
      <c r="J17" t="s">
        <v>212</v>
      </c>
      <c r="K17">
        <v>115260140.844244</v>
      </c>
      <c r="L17" t="s">
        <v>118</v>
      </c>
      <c r="M17" t="s">
        <v>261</v>
      </c>
      <c r="N17">
        <v>0.10921382</v>
      </c>
      <c r="O17">
        <v>181.3</v>
      </c>
      <c r="P17">
        <v>206</v>
      </c>
      <c r="Q17">
        <v>0.95</v>
      </c>
      <c r="R17">
        <v>20103010</v>
      </c>
      <c r="S17" t="s">
        <v>119</v>
      </c>
      <c r="T17" t="s">
        <v>263</v>
      </c>
      <c r="U17">
        <v>30470037937.761768</v>
      </c>
      <c r="V17">
        <v>22.773562500000001</v>
      </c>
      <c r="W17" t="s">
        <v>264</v>
      </c>
      <c r="X17">
        <v>22.773562500000001</v>
      </c>
      <c r="Y17" t="b">
        <v>0</v>
      </c>
      <c r="Z17" t="b">
        <v>0</v>
      </c>
      <c r="AA17" t="b">
        <v>0</v>
      </c>
    </row>
    <row r="18" spans="1:27" x14ac:dyDescent="0.25">
      <c r="A18">
        <v>200</v>
      </c>
      <c r="B18" t="s">
        <v>274</v>
      </c>
      <c r="C18" t="s">
        <v>344</v>
      </c>
      <c r="D18" t="s">
        <v>413</v>
      </c>
      <c r="E18" t="s">
        <v>110</v>
      </c>
      <c r="F18">
        <v>146702270</v>
      </c>
      <c r="G18">
        <v>152.41489999999999</v>
      </c>
      <c r="H18" t="s">
        <v>202</v>
      </c>
      <c r="I18">
        <v>22359611811.823002</v>
      </c>
      <c r="J18" t="s">
        <v>209</v>
      </c>
      <c r="K18">
        <v>223910835.94150001</v>
      </c>
      <c r="L18" t="s">
        <v>118</v>
      </c>
      <c r="M18" t="s">
        <v>493</v>
      </c>
      <c r="N18">
        <v>0.84961766999999999</v>
      </c>
      <c r="O18">
        <v>171.5</v>
      </c>
      <c r="P18">
        <v>175.3</v>
      </c>
      <c r="Q18">
        <v>1</v>
      </c>
      <c r="R18">
        <v>20103010</v>
      </c>
      <c r="S18" t="s">
        <v>119</v>
      </c>
      <c r="T18" t="s">
        <v>263</v>
      </c>
      <c r="U18">
        <v>21849539395.940739</v>
      </c>
      <c r="V18">
        <v>20.316318750000001</v>
      </c>
      <c r="W18" t="s">
        <v>264</v>
      </c>
      <c r="X18">
        <v>20.316318750000001</v>
      </c>
      <c r="Y18" t="b">
        <v>0</v>
      </c>
      <c r="Z18" t="b">
        <v>0</v>
      </c>
      <c r="AA18" t="b">
        <v>0</v>
      </c>
    </row>
    <row r="19" spans="1:27" x14ac:dyDescent="0.25">
      <c r="A19">
        <v>201</v>
      </c>
      <c r="B19" t="s">
        <v>317</v>
      </c>
      <c r="C19" t="s">
        <v>386</v>
      </c>
      <c r="D19" t="s">
        <v>455</v>
      </c>
      <c r="E19" t="s">
        <v>116</v>
      </c>
      <c r="F19">
        <v>118361220</v>
      </c>
      <c r="G19">
        <v>107.7</v>
      </c>
      <c r="H19" t="s">
        <v>119</v>
      </c>
      <c r="I19">
        <v>12747503394</v>
      </c>
      <c r="J19" t="s">
        <v>211</v>
      </c>
      <c r="K19">
        <v>12375744.7818182</v>
      </c>
      <c r="L19" t="s">
        <v>118</v>
      </c>
      <c r="M19" t="s">
        <v>536</v>
      </c>
      <c r="N19">
        <v>1</v>
      </c>
      <c r="O19">
        <v>107.2</v>
      </c>
      <c r="P19">
        <v>107.7</v>
      </c>
      <c r="Q19">
        <v>0.4</v>
      </c>
      <c r="R19">
        <v>20102010</v>
      </c>
      <c r="S19" t="s">
        <v>119</v>
      </c>
      <c r="T19" t="s">
        <v>263</v>
      </c>
      <c r="U19">
        <v>5099001357.6000004</v>
      </c>
      <c r="V19">
        <v>20.43776875</v>
      </c>
      <c r="W19" t="s">
        <v>264</v>
      </c>
      <c r="X19">
        <v>20.43776875</v>
      </c>
      <c r="Y19" t="b">
        <v>0</v>
      </c>
      <c r="Z19" t="b">
        <v>0</v>
      </c>
      <c r="AA19" t="b">
        <v>0</v>
      </c>
    </row>
    <row r="20" spans="1:27" x14ac:dyDescent="0.25">
      <c r="A20">
        <v>215</v>
      </c>
      <c r="B20" t="s">
        <v>167</v>
      </c>
      <c r="C20" t="s">
        <v>18</v>
      </c>
      <c r="D20" t="s">
        <v>68</v>
      </c>
      <c r="E20" t="s">
        <v>108</v>
      </c>
      <c r="F20">
        <v>1482442000</v>
      </c>
      <c r="G20">
        <v>84.232489999999999</v>
      </c>
      <c r="H20" t="s">
        <v>202</v>
      </c>
      <c r="I20">
        <v>124869780940.58</v>
      </c>
      <c r="J20" t="s">
        <v>209</v>
      </c>
      <c r="K20">
        <v>792196115.05116904</v>
      </c>
      <c r="L20" t="s">
        <v>118</v>
      </c>
      <c r="M20" t="s">
        <v>228</v>
      </c>
      <c r="N20">
        <v>0.84961766999999999</v>
      </c>
      <c r="O20">
        <v>92.95</v>
      </c>
      <c r="P20">
        <v>96.88</v>
      </c>
      <c r="Q20">
        <v>1</v>
      </c>
      <c r="R20">
        <v>20102010</v>
      </c>
      <c r="S20" t="s">
        <v>119</v>
      </c>
      <c r="T20" t="s">
        <v>263</v>
      </c>
      <c r="U20">
        <v>122021223971.0096</v>
      </c>
      <c r="V20">
        <v>17.203827499999999</v>
      </c>
      <c r="W20" t="s">
        <v>264</v>
      </c>
      <c r="X20">
        <v>17.203827499999999</v>
      </c>
      <c r="Y20" t="b">
        <v>0</v>
      </c>
      <c r="Z20" t="b">
        <v>0</v>
      </c>
      <c r="AA20" t="b">
        <v>0</v>
      </c>
    </row>
    <row r="21" spans="1:27" x14ac:dyDescent="0.25">
      <c r="A21">
        <v>223</v>
      </c>
      <c r="B21" t="s">
        <v>175</v>
      </c>
      <c r="C21" t="s">
        <v>19</v>
      </c>
      <c r="D21" t="s">
        <v>69</v>
      </c>
      <c r="E21" t="s">
        <v>108</v>
      </c>
      <c r="F21">
        <v>2035753000</v>
      </c>
      <c r="G21">
        <v>40.212150000000001</v>
      </c>
      <c r="H21" t="s">
        <v>202</v>
      </c>
      <c r="I21">
        <v>81862004998.949997</v>
      </c>
      <c r="J21" t="s">
        <v>209</v>
      </c>
      <c r="K21">
        <v>593889285.91466999</v>
      </c>
      <c r="L21" t="s">
        <v>118</v>
      </c>
      <c r="M21" t="s">
        <v>236</v>
      </c>
      <c r="N21">
        <v>0.84961766999999999</v>
      </c>
      <c r="O21">
        <v>54.23</v>
      </c>
      <c r="P21">
        <v>46.25</v>
      </c>
      <c r="Q21">
        <v>1</v>
      </c>
      <c r="R21">
        <v>20103015</v>
      </c>
      <c r="S21" t="s">
        <v>119</v>
      </c>
      <c r="T21" t="s">
        <v>263</v>
      </c>
      <c r="U21">
        <v>79994542075.692337</v>
      </c>
      <c r="V21">
        <v>14.62401375</v>
      </c>
      <c r="W21" t="s">
        <v>264</v>
      </c>
      <c r="X21">
        <v>14.62401375</v>
      </c>
      <c r="Y21" t="b">
        <v>0</v>
      </c>
      <c r="Z21" t="b">
        <v>0</v>
      </c>
      <c r="AA21" t="b">
        <v>0</v>
      </c>
    </row>
    <row r="22" spans="1:27" x14ac:dyDescent="0.25">
      <c r="A22">
        <v>256</v>
      </c>
      <c r="B22" t="s">
        <v>187</v>
      </c>
      <c r="C22" t="s">
        <v>20</v>
      </c>
      <c r="D22" t="s">
        <v>70</v>
      </c>
      <c r="E22" t="s">
        <v>108</v>
      </c>
      <c r="F22">
        <v>237595050</v>
      </c>
      <c r="G22">
        <v>182.1328</v>
      </c>
      <c r="H22" t="s">
        <v>202</v>
      </c>
      <c r="I22">
        <v>43273851722.639999</v>
      </c>
      <c r="J22" t="s">
        <v>209</v>
      </c>
      <c r="K22">
        <v>355984766.46942401</v>
      </c>
      <c r="L22" t="s">
        <v>118</v>
      </c>
      <c r="M22" t="s">
        <v>248</v>
      </c>
      <c r="N22">
        <v>0.84961766999999999</v>
      </c>
      <c r="O22">
        <v>197.89</v>
      </c>
      <c r="P22">
        <v>209.48</v>
      </c>
      <c r="Q22">
        <v>1</v>
      </c>
      <c r="R22">
        <v>20103015</v>
      </c>
      <c r="S22" t="s">
        <v>119</v>
      </c>
      <c r="T22" t="s">
        <v>263</v>
      </c>
      <c r="U22">
        <v>42286670309.304077</v>
      </c>
      <c r="V22">
        <v>10.557124999999999</v>
      </c>
      <c r="W22" t="s">
        <v>264</v>
      </c>
      <c r="X22">
        <v>10.557124999999999</v>
      </c>
      <c r="Y22" t="b">
        <v>0</v>
      </c>
      <c r="Z22" t="b">
        <v>0</v>
      </c>
      <c r="AA22" t="b">
        <v>0</v>
      </c>
    </row>
    <row r="23" spans="1:27" x14ac:dyDescent="0.25">
      <c r="A23">
        <v>272</v>
      </c>
      <c r="B23" t="s">
        <v>291</v>
      </c>
      <c r="C23" t="s">
        <v>360</v>
      </c>
      <c r="D23" t="s">
        <v>429</v>
      </c>
      <c r="E23" t="s">
        <v>108</v>
      </c>
      <c r="F23">
        <v>491518000</v>
      </c>
      <c r="G23">
        <v>31.73499</v>
      </c>
      <c r="H23" t="s">
        <v>202</v>
      </c>
      <c r="I23">
        <v>15598318814.82</v>
      </c>
      <c r="J23" t="s">
        <v>209</v>
      </c>
      <c r="K23">
        <v>336914764.94189602</v>
      </c>
      <c r="L23" t="s">
        <v>118</v>
      </c>
      <c r="M23" t="s">
        <v>510</v>
      </c>
      <c r="N23">
        <v>0.84961766999999999</v>
      </c>
      <c r="O23">
        <v>38.97</v>
      </c>
      <c r="P23">
        <v>36.5</v>
      </c>
      <c r="Q23">
        <v>1</v>
      </c>
      <c r="R23">
        <v>20101020</v>
      </c>
      <c r="S23" t="s">
        <v>119</v>
      </c>
      <c r="T23" t="s">
        <v>263</v>
      </c>
      <c r="U23">
        <v>15242486794.19169</v>
      </c>
      <c r="V23">
        <v>11.104789999999999</v>
      </c>
      <c r="W23" t="s">
        <v>264</v>
      </c>
      <c r="X23">
        <v>11.104789999999999</v>
      </c>
      <c r="Y23" t="b">
        <v>0</v>
      </c>
      <c r="Z23" t="b">
        <v>0</v>
      </c>
      <c r="AA23" t="b">
        <v>0</v>
      </c>
    </row>
    <row r="24" spans="1:27" x14ac:dyDescent="0.25">
      <c r="A24">
        <v>285</v>
      </c>
      <c r="B24" t="s">
        <v>198</v>
      </c>
      <c r="C24" t="s">
        <v>21</v>
      </c>
      <c r="D24" t="s">
        <v>71</v>
      </c>
      <c r="E24" t="s">
        <v>114</v>
      </c>
      <c r="F24">
        <v>1679057600</v>
      </c>
      <c r="G24">
        <v>46.472949999999997</v>
      </c>
      <c r="H24" t="s">
        <v>207</v>
      </c>
      <c r="I24">
        <v>78030759891.919998</v>
      </c>
      <c r="J24" t="s">
        <v>212</v>
      </c>
      <c r="K24">
        <v>130988661.426726</v>
      </c>
      <c r="L24" t="s">
        <v>118</v>
      </c>
      <c r="M24" t="s">
        <v>259</v>
      </c>
      <c r="N24">
        <v>5.48884E-3</v>
      </c>
      <c r="O24">
        <v>8269</v>
      </c>
      <c r="P24">
        <v>8368</v>
      </c>
      <c r="Q24">
        <v>0.4</v>
      </c>
      <c r="R24">
        <v>20103015</v>
      </c>
      <c r="S24" t="s">
        <v>119</v>
      </c>
      <c r="T24" t="s">
        <v>263</v>
      </c>
      <c r="U24">
        <v>30848058012.718281</v>
      </c>
      <c r="V24">
        <v>20.028436419999998</v>
      </c>
      <c r="W24" t="s">
        <v>264</v>
      </c>
      <c r="X24">
        <v>20.028436419999998</v>
      </c>
      <c r="Y24" t="b">
        <v>0</v>
      </c>
      <c r="Z24" t="b">
        <v>0</v>
      </c>
      <c r="AA24" t="b">
        <v>0</v>
      </c>
    </row>
    <row r="25" spans="1:27" x14ac:dyDescent="0.25">
      <c r="A25">
        <v>291</v>
      </c>
      <c r="B25" t="s">
        <v>178</v>
      </c>
      <c r="C25" t="s">
        <v>22</v>
      </c>
      <c r="D25" t="s">
        <v>72</v>
      </c>
      <c r="E25" t="s">
        <v>108</v>
      </c>
      <c r="F25">
        <v>267125820</v>
      </c>
      <c r="G25">
        <v>241.7859</v>
      </c>
      <c r="H25" t="s">
        <v>202</v>
      </c>
      <c r="I25">
        <v>64587256801.938004</v>
      </c>
      <c r="J25" t="s">
        <v>209</v>
      </c>
      <c r="K25">
        <v>461737455.02019799</v>
      </c>
      <c r="L25" t="s">
        <v>118</v>
      </c>
      <c r="M25" t="s">
        <v>239</v>
      </c>
      <c r="N25">
        <v>0.84961766999999999</v>
      </c>
      <c r="O25">
        <v>276.11</v>
      </c>
      <c r="P25">
        <v>278.08999999999997</v>
      </c>
      <c r="Q25">
        <v>1</v>
      </c>
      <c r="R25">
        <v>20101020</v>
      </c>
      <c r="S25" t="s">
        <v>119</v>
      </c>
      <c r="T25" t="s">
        <v>263</v>
      </c>
      <c r="U25">
        <v>63113864999.807213</v>
      </c>
      <c r="V25">
        <v>7.7939550000000004</v>
      </c>
      <c r="W25" t="s">
        <v>265</v>
      </c>
      <c r="X25">
        <v>7.7939550000000004</v>
      </c>
      <c r="Y25" t="b">
        <v>0</v>
      </c>
      <c r="Z25" t="b">
        <v>0</v>
      </c>
      <c r="AA25" t="b">
        <v>0</v>
      </c>
    </row>
    <row r="26" spans="1:27" x14ac:dyDescent="0.25">
      <c r="A26">
        <v>308</v>
      </c>
      <c r="B26" t="s">
        <v>302</v>
      </c>
      <c r="C26" t="s">
        <v>371</v>
      </c>
      <c r="D26" t="s">
        <v>440</v>
      </c>
      <c r="E26" t="s">
        <v>115</v>
      </c>
      <c r="F26">
        <v>65398460</v>
      </c>
      <c r="G26">
        <v>149.4008</v>
      </c>
      <c r="H26" t="s">
        <v>206</v>
      </c>
      <c r="I26">
        <v>9770582242.7679996</v>
      </c>
      <c r="J26" t="s">
        <v>212</v>
      </c>
      <c r="K26">
        <v>20661135.898942899</v>
      </c>
      <c r="L26" t="s">
        <v>118</v>
      </c>
      <c r="M26" t="s">
        <v>521</v>
      </c>
      <c r="N26">
        <v>0.56409533000000001</v>
      </c>
      <c r="O26">
        <v>260.91000000000003</v>
      </c>
      <c r="P26">
        <v>267.05</v>
      </c>
      <c r="Q26">
        <v>0.95</v>
      </c>
      <c r="R26">
        <v>20102010</v>
      </c>
      <c r="S26" t="s">
        <v>119</v>
      </c>
      <c r="T26" t="s">
        <v>263</v>
      </c>
      <c r="U26">
        <v>9359145815.1214714</v>
      </c>
      <c r="V26">
        <v>17.297952500000001</v>
      </c>
      <c r="W26" t="s">
        <v>264</v>
      </c>
      <c r="X26">
        <v>17.297952500000001</v>
      </c>
      <c r="Y26" t="b">
        <v>0</v>
      </c>
      <c r="Z26" t="b">
        <v>0</v>
      </c>
      <c r="AA26" t="b">
        <v>0</v>
      </c>
    </row>
    <row r="27" spans="1:27" x14ac:dyDescent="0.25">
      <c r="A27">
        <v>315</v>
      </c>
      <c r="B27" t="s">
        <v>298</v>
      </c>
      <c r="C27" t="s">
        <v>367</v>
      </c>
      <c r="D27" t="s">
        <v>436</v>
      </c>
      <c r="E27" t="s">
        <v>117</v>
      </c>
      <c r="F27">
        <v>210200000</v>
      </c>
      <c r="G27">
        <v>77.682109999999994</v>
      </c>
      <c r="H27" t="s">
        <v>205</v>
      </c>
      <c r="I27">
        <v>16328779522</v>
      </c>
      <c r="J27" t="s">
        <v>210</v>
      </c>
      <c r="K27">
        <v>19607251.884001002</v>
      </c>
      <c r="L27" t="s">
        <v>118</v>
      </c>
      <c r="M27" t="s">
        <v>517</v>
      </c>
      <c r="N27">
        <v>0.13384283</v>
      </c>
      <c r="O27">
        <v>551.6</v>
      </c>
      <c r="P27">
        <v>580.20000000000005</v>
      </c>
      <c r="Q27">
        <v>0.75</v>
      </c>
      <c r="R27">
        <v>20102015</v>
      </c>
      <c r="S27" t="s">
        <v>119</v>
      </c>
      <c r="T27" t="s">
        <v>263</v>
      </c>
      <c r="U27">
        <v>12242406911.1399</v>
      </c>
      <c r="V27">
        <v>13.65555625</v>
      </c>
      <c r="W27" t="s">
        <v>264</v>
      </c>
      <c r="X27">
        <v>13.65555625</v>
      </c>
      <c r="Y27" t="b">
        <v>0</v>
      </c>
      <c r="Z27" t="b">
        <v>0</v>
      </c>
      <c r="AA27" t="b">
        <v>0</v>
      </c>
    </row>
    <row r="28" spans="1:27" x14ac:dyDescent="0.25">
      <c r="A28">
        <v>331</v>
      </c>
      <c r="B28" t="s">
        <v>321</v>
      </c>
      <c r="C28" t="s">
        <v>390</v>
      </c>
      <c r="D28" t="s">
        <v>459</v>
      </c>
      <c r="E28" t="s">
        <v>112</v>
      </c>
      <c r="F28">
        <v>1963705300</v>
      </c>
      <c r="G28">
        <v>2.6942270000000001</v>
      </c>
      <c r="H28" t="s">
        <v>203</v>
      </c>
      <c r="I28">
        <v>5290667839.3031006</v>
      </c>
      <c r="J28" t="s">
        <v>210</v>
      </c>
      <c r="K28">
        <v>15652752.1785709</v>
      </c>
      <c r="L28" t="s">
        <v>118</v>
      </c>
      <c r="M28" t="s">
        <v>540</v>
      </c>
      <c r="N28">
        <v>1.139796E-2</v>
      </c>
      <c r="O28">
        <v>234.8</v>
      </c>
      <c r="P28">
        <v>236.8</v>
      </c>
      <c r="Q28">
        <v>0.8</v>
      </c>
      <c r="R28">
        <v>20102015</v>
      </c>
      <c r="S28" t="s">
        <v>119</v>
      </c>
      <c r="T28" t="s">
        <v>263</v>
      </c>
      <c r="U28">
        <v>4240090496.327455</v>
      </c>
      <c r="V28">
        <v>10.505247499999999</v>
      </c>
      <c r="W28" t="s">
        <v>264</v>
      </c>
      <c r="X28">
        <v>10.505247499999999</v>
      </c>
      <c r="Y28" t="b">
        <v>0</v>
      </c>
      <c r="Z28" t="b">
        <v>0</v>
      </c>
      <c r="AA28" t="b">
        <v>0</v>
      </c>
    </row>
    <row r="29" spans="1:27" x14ac:dyDescent="0.25">
      <c r="A29">
        <v>352</v>
      </c>
      <c r="B29" t="s">
        <v>183</v>
      </c>
      <c r="C29" t="s">
        <v>23</v>
      </c>
      <c r="D29" t="s">
        <v>73</v>
      </c>
      <c r="E29" t="s">
        <v>115</v>
      </c>
      <c r="F29">
        <v>485151400</v>
      </c>
      <c r="G29">
        <v>100.0574</v>
      </c>
      <c r="H29" t="s">
        <v>206</v>
      </c>
      <c r="I29">
        <v>48542987690.360001</v>
      </c>
      <c r="J29" t="s">
        <v>212</v>
      </c>
      <c r="K29">
        <v>138931360.57747599</v>
      </c>
      <c r="L29" t="s">
        <v>118</v>
      </c>
      <c r="M29" t="s">
        <v>244</v>
      </c>
      <c r="N29">
        <v>0.56409533000000001</v>
      </c>
      <c r="O29">
        <v>177.15</v>
      </c>
      <c r="P29">
        <v>178.85</v>
      </c>
      <c r="Q29">
        <v>1</v>
      </c>
      <c r="R29">
        <v>20103010</v>
      </c>
      <c r="S29" t="s">
        <v>119</v>
      </c>
      <c r="T29" t="s">
        <v>263</v>
      </c>
      <c r="U29">
        <v>48946172649.987747</v>
      </c>
      <c r="V29">
        <v>25.025562499999999</v>
      </c>
      <c r="W29" t="s">
        <v>264</v>
      </c>
      <c r="X29">
        <v>25.025562499999999</v>
      </c>
      <c r="Y29" t="b">
        <v>0</v>
      </c>
      <c r="Z29" t="b">
        <v>0</v>
      </c>
      <c r="AA29" t="b">
        <v>0</v>
      </c>
    </row>
    <row r="30" spans="1:27" x14ac:dyDescent="0.25">
      <c r="A30">
        <v>366</v>
      </c>
      <c r="B30" t="s">
        <v>191</v>
      </c>
      <c r="C30" t="s">
        <v>24</v>
      </c>
      <c r="D30" t="s">
        <v>74</v>
      </c>
      <c r="E30" t="s">
        <v>114</v>
      </c>
      <c r="F30">
        <v>1894350600</v>
      </c>
      <c r="G30">
        <v>20.54851</v>
      </c>
      <c r="H30" t="s">
        <v>207</v>
      </c>
      <c r="I30">
        <v>38926082247.606003</v>
      </c>
      <c r="J30" t="s">
        <v>212</v>
      </c>
      <c r="K30">
        <v>131566805.138722</v>
      </c>
      <c r="L30" t="s">
        <v>118</v>
      </c>
      <c r="M30" t="s">
        <v>252</v>
      </c>
      <c r="N30">
        <v>5.48884E-3</v>
      </c>
      <c r="O30">
        <v>3406</v>
      </c>
      <c r="P30">
        <v>3700</v>
      </c>
      <c r="Q30">
        <v>1</v>
      </c>
      <c r="R30">
        <v>20103015</v>
      </c>
      <c r="S30" t="s">
        <v>119</v>
      </c>
      <c r="T30" t="s">
        <v>263</v>
      </c>
      <c r="U30">
        <v>38471813185.024803</v>
      </c>
      <c r="V30">
        <v>17.682747559999999</v>
      </c>
      <c r="W30" t="s">
        <v>264</v>
      </c>
      <c r="X30">
        <v>17.682747559999999</v>
      </c>
      <c r="Y30" t="b">
        <v>0</v>
      </c>
      <c r="Z30" t="b">
        <v>0</v>
      </c>
      <c r="AA30" t="b">
        <v>0</v>
      </c>
    </row>
    <row r="31" spans="1:27" x14ac:dyDescent="0.25">
      <c r="A31">
        <v>374</v>
      </c>
      <c r="B31" t="s">
        <v>166</v>
      </c>
      <c r="C31" t="s">
        <v>25</v>
      </c>
      <c r="D31" t="s">
        <v>75</v>
      </c>
      <c r="E31" t="s">
        <v>108</v>
      </c>
      <c r="F31">
        <v>706349550</v>
      </c>
      <c r="G31">
        <v>197.7047</v>
      </c>
      <c r="H31" t="s">
        <v>202</v>
      </c>
      <c r="I31">
        <v>139648625877.88501</v>
      </c>
      <c r="J31" t="s">
        <v>209</v>
      </c>
      <c r="K31">
        <v>727831775.67596602</v>
      </c>
      <c r="L31" t="s">
        <v>118</v>
      </c>
      <c r="M31" t="s">
        <v>227</v>
      </c>
      <c r="N31">
        <v>0.84961766999999999</v>
      </c>
      <c r="O31">
        <v>224.7</v>
      </c>
      <c r="P31">
        <v>227.39</v>
      </c>
      <c r="Q31">
        <v>0.9</v>
      </c>
      <c r="R31">
        <v>20102010</v>
      </c>
      <c r="S31" t="s">
        <v>119</v>
      </c>
      <c r="T31" t="s">
        <v>263</v>
      </c>
      <c r="U31">
        <v>122816602726.1445</v>
      </c>
      <c r="V31">
        <v>8.9492049999999992</v>
      </c>
      <c r="W31" t="s">
        <v>264</v>
      </c>
      <c r="X31">
        <v>8.9492049999999992</v>
      </c>
      <c r="Y31" t="b">
        <v>0</v>
      </c>
      <c r="Z31" t="b">
        <v>0</v>
      </c>
      <c r="AA31" t="b">
        <v>0</v>
      </c>
    </row>
    <row r="32" spans="1:27" x14ac:dyDescent="0.25">
      <c r="A32">
        <v>395</v>
      </c>
      <c r="B32" t="s">
        <v>276</v>
      </c>
      <c r="C32" t="s">
        <v>122</v>
      </c>
      <c r="D32" t="s">
        <v>125</v>
      </c>
      <c r="E32" t="s">
        <v>110</v>
      </c>
      <c r="F32">
        <v>390016270</v>
      </c>
      <c r="G32">
        <v>52.367080000000001</v>
      </c>
      <c r="H32" t="s">
        <v>202</v>
      </c>
      <c r="I32">
        <v>20424013212.391602</v>
      </c>
      <c r="J32" t="s">
        <v>209</v>
      </c>
      <c r="K32">
        <v>364760166.35908401</v>
      </c>
      <c r="L32" t="s">
        <v>118</v>
      </c>
      <c r="M32" t="s">
        <v>495</v>
      </c>
      <c r="N32">
        <v>0.84961766999999999</v>
      </c>
      <c r="O32">
        <v>66.37</v>
      </c>
      <c r="P32">
        <v>60.23</v>
      </c>
      <c r="Q32">
        <v>1</v>
      </c>
      <c r="R32">
        <v>20102010</v>
      </c>
      <c r="S32" t="s">
        <v>119</v>
      </c>
      <c r="T32" t="s">
        <v>263</v>
      </c>
      <c r="U32">
        <v>19958096759.12273</v>
      </c>
      <c r="V32">
        <v>19.906925000000001</v>
      </c>
      <c r="W32" t="s">
        <v>264</v>
      </c>
      <c r="X32">
        <v>19.906925000000001</v>
      </c>
      <c r="Y32" t="b">
        <v>0</v>
      </c>
      <c r="Z32" t="b">
        <v>0</v>
      </c>
      <c r="AA32" t="b">
        <v>0</v>
      </c>
    </row>
    <row r="33" spans="1:27" x14ac:dyDescent="0.25">
      <c r="A33">
        <v>424</v>
      </c>
      <c r="B33" t="s">
        <v>335</v>
      </c>
      <c r="C33" t="s">
        <v>404</v>
      </c>
      <c r="D33" t="s">
        <v>473</v>
      </c>
      <c r="E33" t="s">
        <v>478</v>
      </c>
      <c r="F33">
        <v>205019640</v>
      </c>
      <c r="G33">
        <v>14.16926</v>
      </c>
      <c r="H33" t="s">
        <v>483</v>
      </c>
      <c r="I33">
        <v>2904976584.2663999</v>
      </c>
      <c r="J33" t="s">
        <v>212</v>
      </c>
      <c r="K33">
        <v>3710204.9499925599</v>
      </c>
      <c r="L33" t="s">
        <v>118</v>
      </c>
      <c r="M33" t="s">
        <v>554</v>
      </c>
      <c r="N33">
        <v>0.49218654000000001</v>
      </c>
      <c r="O33">
        <v>27.6</v>
      </c>
      <c r="P33">
        <v>29.13</v>
      </c>
      <c r="Q33">
        <v>0.95</v>
      </c>
      <c r="R33">
        <v>20102015</v>
      </c>
      <c r="S33" t="s">
        <v>119</v>
      </c>
      <c r="T33" t="s">
        <v>263</v>
      </c>
      <c r="U33">
        <v>2792474971.1070271</v>
      </c>
      <c r="V33">
        <v>15.76797872</v>
      </c>
      <c r="W33" t="s">
        <v>264</v>
      </c>
      <c r="X33">
        <v>15.76797872</v>
      </c>
      <c r="Y33" t="b">
        <v>0</v>
      </c>
      <c r="Z33" t="b">
        <v>0</v>
      </c>
      <c r="AA33" t="b">
        <v>0</v>
      </c>
    </row>
    <row r="34" spans="1:27" x14ac:dyDescent="0.25">
      <c r="A34">
        <v>430</v>
      </c>
      <c r="B34" t="s">
        <v>188</v>
      </c>
      <c r="C34" t="s">
        <v>26</v>
      </c>
      <c r="D34" t="s">
        <v>76</v>
      </c>
      <c r="E34" t="s">
        <v>108</v>
      </c>
      <c r="F34">
        <v>580300000</v>
      </c>
      <c r="G34">
        <v>74.01643</v>
      </c>
      <c r="H34" t="s">
        <v>202</v>
      </c>
      <c r="I34">
        <v>42951734329</v>
      </c>
      <c r="J34" t="s">
        <v>209</v>
      </c>
      <c r="K34">
        <v>306262936.94332898</v>
      </c>
      <c r="L34" t="s">
        <v>118</v>
      </c>
      <c r="M34" t="s">
        <v>249</v>
      </c>
      <c r="N34">
        <v>0.84961766999999999</v>
      </c>
      <c r="O34">
        <v>85.32</v>
      </c>
      <c r="P34">
        <v>85.13</v>
      </c>
      <c r="Q34">
        <v>1</v>
      </c>
      <c r="R34">
        <v>20102010</v>
      </c>
      <c r="S34" t="s">
        <v>119</v>
      </c>
      <c r="T34" t="s">
        <v>263</v>
      </c>
      <c r="U34">
        <v>41971910688.992126</v>
      </c>
      <c r="V34">
        <v>19.639882499999999</v>
      </c>
      <c r="W34" t="s">
        <v>264</v>
      </c>
      <c r="X34">
        <v>19.639882499999999</v>
      </c>
      <c r="Y34" t="b">
        <v>0</v>
      </c>
      <c r="Z34" t="b">
        <v>0</v>
      </c>
      <c r="AA34" t="b">
        <v>0</v>
      </c>
    </row>
    <row r="35" spans="1:27" x14ac:dyDescent="0.25">
      <c r="A35">
        <v>432</v>
      </c>
      <c r="B35" t="s">
        <v>306</v>
      </c>
      <c r="C35" t="s">
        <v>375</v>
      </c>
      <c r="D35" t="s">
        <v>444</v>
      </c>
      <c r="E35" t="s">
        <v>114</v>
      </c>
      <c r="F35">
        <v>291649140</v>
      </c>
      <c r="G35">
        <v>25.974430000000002</v>
      </c>
      <c r="H35" t="s">
        <v>207</v>
      </c>
      <c r="I35">
        <v>7575420171.4902</v>
      </c>
      <c r="J35" t="s">
        <v>212</v>
      </c>
      <c r="K35">
        <v>40134371.662298001</v>
      </c>
      <c r="L35" t="s">
        <v>118</v>
      </c>
      <c r="M35" t="s">
        <v>525</v>
      </c>
      <c r="N35">
        <v>5.48884E-3</v>
      </c>
      <c r="O35">
        <v>4620</v>
      </c>
      <c r="P35">
        <v>4677</v>
      </c>
      <c r="Q35">
        <v>1</v>
      </c>
      <c r="R35">
        <v>20103015</v>
      </c>
      <c r="S35" t="s">
        <v>119</v>
      </c>
      <c r="T35" t="s">
        <v>263</v>
      </c>
      <c r="U35">
        <v>7487013932.5999756</v>
      </c>
      <c r="V35">
        <v>24.78790875</v>
      </c>
      <c r="W35" t="s">
        <v>264</v>
      </c>
      <c r="X35">
        <v>24.78790875</v>
      </c>
      <c r="Y35" t="b">
        <v>0</v>
      </c>
      <c r="Z35" t="b">
        <v>0</v>
      </c>
      <c r="AA35" t="b">
        <v>0</v>
      </c>
    </row>
    <row r="36" spans="1:27" x14ac:dyDescent="0.25">
      <c r="A36">
        <v>435</v>
      </c>
      <c r="B36" t="s">
        <v>179</v>
      </c>
      <c r="C36" t="s">
        <v>27</v>
      </c>
      <c r="D36" t="s">
        <v>77</v>
      </c>
      <c r="E36" t="s">
        <v>108</v>
      </c>
      <c r="F36">
        <v>222238770</v>
      </c>
      <c r="G36">
        <v>279.7287</v>
      </c>
      <c r="H36" t="s">
        <v>202</v>
      </c>
      <c r="I36">
        <v>62166562221.698997</v>
      </c>
      <c r="J36" t="s">
        <v>209</v>
      </c>
      <c r="K36">
        <v>514982171.17282999</v>
      </c>
      <c r="L36" t="s">
        <v>118</v>
      </c>
      <c r="M36" t="s">
        <v>240</v>
      </c>
      <c r="N36">
        <v>0.84961766999999999</v>
      </c>
      <c r="O36">
        <v>351.9</v>
      </c>
      <c r="P36">
        <v>321.73</v>
      </c>
      <c r="Q36">
        <v>1</v>
      </c>
      <c r="R36">
        <v>20101020</v>
      </c>
      <c r="S36" t="s">
        <v>119</v>
      </c>
      <c r="T36" t="s">
        <v>263</v>
      </c>
      <c r="U36">
        <v>60748410620.036438</v>
      </c>
      <c r="V36">
        <v>7.4350750000000003</v>
      </c>
      <c r="W36" t="s">
        <v>264</v>
      </c>
      <c r="X36">
        <v>7.4350750000000003</v>
      </c>
      <c r="Y36" t="b">
        <v>0</v>
      </c>
      <c r="Z36" t="b">
        <v>0</v>
      </c>
      <c r="AA36" t="b">
        <v>0</v>
      </c>
    </row>
    <row r="37" spans="1:27" x14ac:dyDescent="0.25">
      <c r="A37">
        <v>436</v>
      </c>
      <c r="B37" t="s">
        <v>152</v>
      </c>
      <c r="C37" t="s">
        <v>28</v>
      </c>
      <c r="D37" t="s">
        <v>78</v>
      </c>
      <c r="E37" t="s">
        <v>108</v>
      </c>
      <c r="F37">
        <v>945383700</v>
      </c>
      <c r="G37">
        <v>921.35799999999995</v>
      </c>
      <c r="H37" t="s">
        <v>202</v>
      </c>
      <c r="I37">
        <v>871036835064.59998</v>
      </c>
      <c r="J37" t="s">
        <v>209</v>
      </c>
      <c r="K37">
        <v>2729578474.3580499</v>
      </c>
      <c r="L37" t="s">
        <v>118</v>
      </c>
      <c r="M37" t="s">
        <v>213</v>
      </c>
      <c r="N37">
        <v>0.84961766999999999</v>
      </c>
      <c r="O37">
        <v>1054.29</v>
      </c>
      <c r="P37">
        <v>1059.7</v>
      </c>
      <c r="Q37">
        <v>0.85</v>
      </c>
      <c r="R37">
        <v>20103015</v>
      </c>
      <c r="S37" t="s">
        <v>119</v>
      </c>
      <c r="T37" t="s">
        <v>263</v>
      </c>
      <c r="U37">
        <v>723491621753.8363</v>
      </c>
      <c r="V37">
        <v>20.651491249999999</v>
      </c>
      <c r="W37" t="s">
        <v>264</v>
      </c>
      <c r="X37">
        <v>20.651491249999999</v>
      </c>
      <c r="Y37" t="b">
        <v>0</v>
      </c>
      <c r="Z37" t="b">
        <v>0</v>
      </c>
      <c r="AA37" t="b">
        <v>0</v>
      </c>
    </row>
    <row r="38" spans="1:27" x14ac:dyDescent="0.25">
      <c r="A38">
        <v>465</v>
      </c>
      <c r="B38" t="s">
        <v>172</v>
      </c>
      <c r="C38" t="s">
        <v>29</v>
      </c>
      <c r="D38" t="s">
        <v>79</v>
      </c>
      <c r="E38" t="s">
        <v>116</v>
      </c>
      <c r="F38">
        <v>463145529</v>
      </c>
      <c r="G38">
        <v>306</v>
      </c>
      <c r="H38" t="s">
        <v>119</v>
      </c>
      <c r="I38">
        <v>141722531874</v>
      </c>
      <c r="J38" t="s">
        <v>211</v>
      </c>
      <c r="K38">
        <v>110011448.09751201</v>
      </c>
      <c r="L38" t="s">
        <v>118</v>
      </c>
      <c r="M38" t="s">
        <v>233</v>
      </c>
      <c r="N38">
        <v>1</v>
      </c>
      <c r="O38">
        <v>278.2</v>
      </c>
      <c r="P38">
        <v>306</v>
      </c>
      <c r="Q38">
        <v>0.70000000000000007</v>
      </c>
      <c r="R38">
        <v>20102015</v>
      </c>
      <c r="S38" t="s">
        <v>119</v>
      </c>
      <c r="T38" t="s">
        <v>263</v>
      </c>
      <c r="U38">
        <v>99205772311.800003</v>
      </c>
      <c r="V38">
        <v>12.911462500000001</v>
      </c>
      <c r="W38" t="s">
        <v>264</v>
      </c>
      <c r="X38">
        <v>12.911462500000001</v>
      </c>
      <c r="Y38" t="b">
        <v>0</v>
      </c>
      <c r="Z38" t="b">
        <v>0</v>
      </c>
      <c r="AA38" t="b">
        <v>0</v>
      </c>
    </row>
    <row r="39" spans="1:27" x14ac:dyDescent="0.25">
      <c r="A39">
        <v>469</v>
      </c>
      <c r="B39" t="s">
        <v>307</v>
      </c>
      <c r="C39" t="s">
        <v>376</v>
      </c>
      <c r="D39" t="s">
        <v>445</v>
      </c>
      <c r="E39" t="s">
        <v>116</v>
      </c>
      <c r="F39">
        <v>182163000</v>
      </c>
      <c r="G39">
        <v>57.78</v>
      </c>
      <c r="H39" t="s">
        <v>119</v>
      </c>
      <c r="I39">
        <v>10525378140</v>
      </c>
      <c r="J39" t="s">
        <v>211</v>
      </c>
      <c r="K39">
        <v>16100546.470819701</v>
      </c>
      <c r="L39" t="s">
        <v>118</v>
      </c>
      <c r="M39" t="s">
        <v>526</v>
      </c>
      <c r="N39">
        <v>1</v>
      </c>
      <c r="O39">
        <v>58.3</v>
      </c>
      <c r="P39">
        <v>57.78</v>
      </c>
      <c r="Q39">
        <v>0.65</v>
      </c>
      <c r="R39">
        <v>20102020</v>
      </c>
      <c r="S39" t="s">
        <v>119</v>
      </c>
      <c r="T39" t="s">
        <v>263</v>
      </c>
      <c r="U39">
        <v>6841495791</v>
      </c>
      <c r="V39">
        <v>17.61841875</v>
      </c>
      <c r="W39" t="s">
        <v>264</v>
      </c>
      <c r="X39">
        <v>17.61841875</v>
      </c>
      <c r="Y39" t="b">
        <v>0</v>
      </c>
      <c r="Z39" t="b">
        <v>0</v>
      </c>
      <c r="AA39" t="b">
        <v>0</v>
      </c>
    </row>
    <row r="40" spans="1:27" x14ac:dyDescent="0.25">
      <c r="A40">
        <v>476</v>
      </c>
      <c r="B40" t="s">
        <v>288</v>
      </c>
      <c r="C40" t="s">
        <v>357</v>
      </c>
      <c r="D40" t="s">
        <v>426</v>
      </c>
      <c r="E40" t="s">
        <v>477</v>
      </c>
      <c r="F40">
        <v>189471300</v>
      </c>
      <c r="G40">
        <v>87.727689999999996</v>
      </c>
      <c r="H40" t="s">
        <v>202</v>
      </c>
      <c r="I40">
        <v>16621879470.297001</v>
      </c>
      <c r="J40" t="s">
        <v>209</v>
      </c>
      <c r="K40">
        <v>265825886.15444699</v>
      </c>
      <c r="L40" t="s">
        <v>118</v>
      </c>
      <c r="M40" t="s">
        <v>507</v>
      </c>
      <c r="N40">
        <v>0.84961766999999999</v>
      </c>
      <c r="O40">
        <v>101.76</v>
      </c>
      <c r="P40">
        <v>100.9</v>
      </c>
      <c r="Q40">
        <v>1</v>
      </c>
      <c r="R40">
        <v>20103010</v>
      </c>
      <c r="S40" t="s">
        <v>119</v>
      </c>
      <c r="T40" t="s">
        <v>263</v>
      </c>
      <c r="U40">
        <v>16242696791.781179</v>
      </c>
      <c r="V40">
        <v>22.93648</v>
      </c>
      <c r="W40" t="s">
        <v>264</v>
      </c>
      <c r="X40">
        <v>22.93648</v>
      </c>
      <c r="Y40" t="b">
        <v>0</v>
      </c>
      <c r="Z40" t="b">
        <v>0</v>
      </c>
      <c r="AA40" t="b">
        <v>0</v>
      </c>
    </row>
    <row r="41" spans="1:27" x14ac:dyDescent="0.25">
      <c r="A41">
        <v>503</v>
      </c>
      <c r="B41" t="s">
        <v>301</v>
      </c>
      <c r="C41" t="s">
        <v>370</v>
      </c>
      <c r="D41" t="s">
        <v>439</v>
      </c>
      <c r="E41" t="s">
        <v>478</v>
      </c>
      <c r="F41">
        <v>587262900</v>
      </c>
      <c r="G41">
        <v>17.938980000000001</v>
      </c>
      <c r="H41" t="s">
        <v>483</v>
      </c>
      <c r="I41">
        <v>10534897417.841999</v>
      </c>
      <c r="J41" t="s">
        <v>212</v>
      </c>
      <c r="K41">
        <v>9128099.0161169209</v>
      </c>
      <c r="L41" t="s">
        <v>118</v>
      </c>
      <c r="M41" t="s">
        <v>520</v>
      </c>
      <c r="N41">
        <v>0.49218654000000001</v>
      </c>
      <c r="O41">
        <v>37.9</v>
      </c>
      <c r="P41">
        <v>36.880000000000003</v>
      </c>
      <c r="Q41">
        <v>0.95</v>
      </c>
      <c r="R41">
        <v>20102010</v>
      </c>
      <c r="S41" t="s">
        <v>119</v>
      </c>
      <c r="T41" t="s">
        <v>263</v>
      </c>
      <c r="U41">
        <v>10126906862.96138</v>
      </c>
      <c r="V41">
        <v>20.87283</v>
      </c>
      <c r="W41" t="s">
        <v>264</v>
      </c>
      <c r="X41">
        <v>20.87283</v>
      </c>
      <c r="Y41" t="b">
        <v>0</v>
      </c>
      <c r="Z41" t="b">
        <v>0</v>
      </c>
      <c r="AA41" t="b">
        <v>0</v>
      </c>
    </row>
    <row r="42" spans="1:27" x14ac:dyDescent="0.25">
      <c r="A42">
        <v>520</v>
      </c>
      <c r="B42" t="s">
        <v>304</v>
      </c>
      <c r="C42" t="s">
        <v>373</v>
      </c>
      <c r="D42" t="s">
        <v>442</v>
      </c>
      <c r="E42" t="s">
        <v>127</v>
      </c>
      <c r="F42">
        <v>293413450</v>
      </c>
      <c r="G42">
        <v>40.54</v>
      </c>
      <c r="H42" t="s">
        <v>119</v>
      </c>
      <c r="I42">
        <v>11894981263</v>
      </c>
      <c r="J42" t="s">
        <v>211</v>
      </c>
      <c r="K42">
        <v>26445790.910530299</v>
      </c>
      <c r="L42" t="s">
        <v>118</v>
      </c>
      <c r="M42" t="s">
        <v>523</v>
      </c>
      <c r="N42">
        <v>1</v>
      </c>
      <c r="O42">
        <v>40.18</v>
      </c>
      <c r="P42">
        <v>40.54</v>
      </c>
      <c r="Q42">
        <v>0.7</v>
      </c>
      <c r="R42">
        <v>20101025</v>
      </c>
      <c r="S42" t="s">
        <v>119</v>
      </c>
      <c r="T42" t="s">
        <v>263</v>
      </c>
      <c r="U42">
        <v>8326486884.0999994</v>
      </c>
      <c r="V42">
        <v>9.3490812499999993</v>
      </c>
      <c r="W42" t="s">
        <v>264</v>
      </c>
      <c r="X42">
        <v>9.3490812499999993</v>
      </c>
      <c r="Y42" t="b">
        <v>0</v>
      </c>
      <c r="Z42" t="b">
        <v>0</v>
      </c>
      <c r="AA42" t="b">
        <v>0</v>
      </c>
    </row>
    <row r="43" spans="1:27" x14ac:dyDescent="0.25">
      <c r="A43">
        <v>521</v>
      </c>
      <c r="B43" t="s">
        <v>278</v>
      </c>
      <c r="C43" t="s">
        <v>347</v>
      </c>
      <c r="D43" t="s">
        <v>416</v>
      </c>
      <c r="E43" t="s">
        <v>127</v>
      </c>
      <c r="F43">
        <v>563237300</v>
      </c>
      <c r="G43">
        <v>46.94</v>
      </c>
      <c r="H43" t="s">
        <v>119</v>
      </c>
      <c r="I43">
        <v>26438358862</v>
      </c>
      <c r="J43" t="s">
        <v>211</v>
      </c>
      <c r="K43">
        <v>32629837.190757599</v>
      </c>
      <c r="L43" t="s">
        <v>118</v>
      </c>
      <c r="M43" t="s">
        <v>497</v>
      </c>
      <c r="N43">
        <v>1</v>
      </c>
      <c r="O43">
        <v>47.43</v>
      </c>
      <c r="P43">
        <v>46.94</v>
      </c>
      <c r="Q43">
        <v>0.75</v>
      </c>
      <c r="R43">
        <v>20101025</v>
      </c>
      <c r="S43" t="s">
        <v>119</v>
      </c>
      <c r="T43" t="s">
        <v>263</v>
      </c>
      <c r="U43">
        <v>19828769146.5</v>
      </c>
      <c r="V43">
        <v>11.6635492</v>
      </c>
      <c r="W43" t="s">
        <v>264</v>
      </c>
      <c r="X43">
        <v>11.6635492</v>
      </c>
      <c r="Y43" t="b">
        <v>0</v>
      </c>
      <c r="Z43" t="b">
        <v>0</v>
      </c>
      <c r="AA43" t="b">
        <v>0</v>
      </c>
    </row>
    <row r="44" spans="1:27" x14ac:dyDescent="0.25">
      <c r="A44">
        <v>532</v>
      </c>
      <c r="B44" t="s">
        <v>272</v>
      </c>
      <c r="C44" t="s">
        <v>342</v>
      </c>
      <c r="D44" t="s">
        <v>411</v>
      </c>
      <c r="E44" t="s">
        <v>109</v>
      </c>
      <c r="F44">
        <v>237897630</v>
      </c>
      <c r="G44">
        <v>158.80549999999999</v>
      </c>
      <c r="H44" t="s">
        <v>204</v>
      </c>
      <c r="I44">
        <v>37779452080.964996</v>
      </c>
      <c r="J44" t="s">
        <v>210</v>
      </c>
      <c r="K44">
        <v>105436230.59435999</v>
      </c>
      <c r="L44" t="s">
        <v>118</v>
      </c>
      <c r="M44" t="s">
        <v>491</v>
      </c>
      <c r="N44">
        <v>1.0682048799999999</v>
      </c>
      <c r="O44">
        <v>162</v>
      </c>
      <c r="P44">
        <v>147.69999999999999</v>
      </c>
      <c r="Q44">
        <v>0.6</v>
      </c>
      <c r="R44">
        <v>20103015</v>
      </c>
      <c r="S44" t="s">
        <v>119</v>
      </c>
      <c r="T44" t="s">
        <v>263</v>
      </c>
      <c r="U44">
        <v>22520416532.73621</v>
      </c>
      <c r="V44">
        <v>19.795201250000002</v>
      </c>
      <c r="W44" t="s">
        <v>264</v>
      </c>
      <c r="X44">
        <v>19.795201250000002</v>
      </c>
      <c r="Y44" t="b">
        <v>0</v>
      </c>
      <c r="Z44" t="b">
        <v>0</v>
      </c>
      <c r="AA44" t="b">
        <v>0</v>
      </c>
    </row>
    <row r="45" spans="1:27" x14ac:dyDescent="0.25">
      <c r="A45">
        <v>539</v>
      </c>
      <c r="B45" t="s">
        <v>201</v>
      </c>
      <c r="C45" t="s">
        <v>30</v>
      </c>
      <c r="D45" t="s">
        <v>80</v>
      </c>
      <c r="E45" t="s">
        <v>110</v>
      </c>
      <c r="F45">
        <v>455521600</v>
      </c>
      <c r="G45">
        <v>66.469589999999997</v>
      </c>
      <c r="H45" t="s">
        <v>202</v>
      </c>
      <c r="I45">
        <v>30278333988.144001</v>
      </c>
      <c r="J45" t="s">
        <v>209</v>
      </c>
      <c r="K45">
        <v>228389380.663937</v>
      </c>
      <c r="L45" t="s">
        <v>118</v>
      </c>
      <c r="M45" t="s">
        <v>262</v>
      </c>
      <c r="N45">
        <v>0.84961766999999999</v>
      </c>
      <c r="O45">
        <v>82.25</v>
      </c>
      <c r="P45">
        <v>76.45</v>
      </c>
      <c r="Q45">
        <v>1</v>
      </c>
      <c r="R45">
        <v>20102010</v>
      </c>
      <c r="S45" t="s">
        <v>119</v>
      </c>
      <c r="T45" t="s">
        <v>263</v>
      </c>
      <c r="U45">
        <v>29587617872.61908</v>
      </c>
      <c r="V45">
        <v>16.971250000000001</v>
      </c>
      <c r="W45" t="s">
        <v>264</v>
      </c>
      <c r="X45">
        <v>16.971250000000001</v>
      </c>
      <c r="Y45" t="b">
        <v>0</v>
      </c>
      <c r="Z45" t="b">
        <v>0</v>
      </c>
      <c r="AA45" t="b">
        <v>0</v>
      </c>
    </row>
    <row r="46" spans="1:27" x14ac:dyDescent="0.25">
      <c r="A46">
        <v>549</v>
      </c>
      <c r="B46" t="s">
        <v>285</v>
      </c>
      <c r="C46" t="s">
        <v>354</v>
      </c>
      <c r="D46" t="s">
        <v>423</v>
      </c>
      <c r="E46" t="s">
        <v>117</v>
      </c>
      <c r="F46">
        <v>64238410</v>
      </c>
      <c r="G46">
        <v>263.49259999999998</v>
      </c>
      <c r="H46" t="s">
        <v>205</v>
      </c>
      <c r="I46">
        <v>16926345670.766001</v>
      </c>
      <c r="J46" t="s">
        <v>210</v>
      </c>
      <c r="K46">
        <v>38011524.1447694</v>
      </c>
      <c r="L46" t="s">
        <v>118</v>
      </c>
      <c r="M46" t="s">
        <v>504</v>
      </c>
      <c r="N46">
        <v>0.13384283</v>
      </c>
      <c r="O46">
        <v>1986.5</v>
      </c>
      <c r="P46">
        <v>1968</v>
      </c>
      <c r="Q46">
        <v>1</v>
      </c>
      <c r="R46">
        <v>20103010</v>
      </c>
      <c r="S46" t="s">
        <v>119</v>
      </c>
      <c r="T46" t="s">
        <v>263</v>
      </c>
      <c r="U46">
        <v>16920569959.34939</v>
      </c>
      <c r="V46">
        <v>20.718163749999999</v>
      </c>
      <c r="W46" t="s">
        <v>264</v>
      </c>
      <c r="X46">
        <v>20.718163749999999</v>
      </c>
      <c r="Y46" t="b">
        <v>0</v>
      </c>
      <c r="Z46" t="b">
        <v>0</v>
      </c>
      <c r="AA46" t="b">
        <v>0</v>
      </c>
    </row>
    <row r="47" spans="1:27" x14ac:dyDescent="0.25">
      <c r="A47">
        <v>553</v>
      </c>
      <c r="B47" t="s">
        <v>322</v>
      </c>
      <c r="C47" t="s">
        <v>391</v>
      </c>
      <c r="D47" t="s">
        <v>460</v>
      </c>
      <c r="E47" t="s">
        <v>480</v>
      </c>
      <c r="F47">
        <v>254152370</v>
      </c>
      <c r="G47">
        <v>18.832699999999999</v>
      </c>
      <c r="H47" t="s">
        <v>484</v>
      </c>
      <c r="I47">
        <v>4786375338.4989996</v>
      </c>
      <c r="J47" t="s">
        <v>210</v>
      </c>
      <c r="K47">
        <v>8827917.2701216992</v>
      </c>
      <c r="L47" t="s">
        <v>118</v>
      </c>
      <c r="M47" t="s">
        <v>541</v>
      </c>
      <c r="N47">
        <v>9.1474150000000004E-2</v>
      </c>
      <c r="O47">
        <v>213.9</v>
      </c>
      <c r="P47">
        <v>207.6</v>
      </c>
      <c r="Q47">
        <v>0.85</v>
      </c>
      <c r="R47">
        <v>20102010</v>
      </c>
      <c r="S47" t="s">
        <v>119</v>
      </c>
      <c r="T47" t="s">
        <v>263</v>
      </c>
      <c r="U47">
        <v>4102407725.9849162</v>
      </c>
      <c r="V47">
        <v>22.455079999999999</v>
      </c>
      <c r="W47" t="s">
        <v>264</v>
      </c>
      <c r="X47">
        <v>22.455079999999999</v>
      </c>
      <c r="Y47" t="b">
        <v>0</v>
      </c>
      <c r="Z47" t="b">
        <v>0</v>
      </c>
      <c r="AA47" t="b">
        <v>0</v>
      </c>
    </row>
    <row r="48" spans="1:27" x14ac:dyDescent="0.25">
      <c r="A48">
        <v>555</v>
      </c>
      <c r="B48" t="s">
        <v>164</v>
      </c>
      <c r="C48" t="s">
        <v>31</v>
      </c>
      <c r="D48" t="s">
        <v>81</v>
      </c>
      <c r="E48" t="s">
        <v>110</v>
      </c>
      <c r="F48">
        <v>1240679600</v>
      </c>
      <c r="G48">
        <v>110.1074</v>
      </c>
      <c r="H48" t="s">
        <v>202</v>
      </c>
      <c r="I48">
        <v>136608004989.03999</v>
      </c>
      <c r="J48" t="s">
        <v>209</v>
      </c>
      <c r="K48">
        <v>723768610.826051</v>
      </c>
      <c r="L48" t="s">
        <v>118</v>
      </c>
      <c r="M48" t="s">
        <v>225</v>
      </c>
      <c r="N48">
        <v>0.84961766999999999</v>
      </c>
      <c r="O48">
        <v>118.78</v>
      </c>
      <c r="P48">
        <v>126.64</v>
      </c>
      <c r="Q48">
        <v>1</v>
      </c>
      <c r="R48">
        <v>20103015</v>
      </c>
      <c r="S48" t="s">
        <v>119</v>
      </c>
      <c r="T48" t="s">
        <v>263</v>
      </c>
      <c r="U48">
        <v>133491643301.0549</v>
      </c>
      <c r="V48">
        <v>20.694655000000001</v>
      </c>
      <c r="W48" t="s">
        <v>264</v>
      </c>
      <c r="X48">
        <v>20.694655000000001</v>
      </c>
      <c r="Y48" t="b">
        <v>0</v>
      </c>
      <c r="Z48" t="b">
        <v>0</v>
      </c>
      <c r="AA48" t="b">
        <v>0</v>
      </c>
    </row>
    <row r="49" spans="1:27" x14ac:dyDescent="0.25">
      <c r="A49">
        <v>568</v>
      </c>
      <c r="B49" t="s">
        <v>334</v>
      </c>
      <c r="C49" t="s">
        <v>403</v>
      </c>
      <c r="D49" t="s">
        <v>472</v>
      </c>
      <c r="E49" t="s">
        <v>482</v>
      </c>
      <c r="F49">
        <v>426129800</v>
      </c>
      <c r="G49">
        <v>10.145</v>
      </c>
      <c r="H49" t="s">
        <v>119</v>
      </c>
      <c r="I49">
        <v>4323086821</v>
      </c>
      <c r="J49" t="s">
        <v>211</v>
      </c>
      <c r="K49">
        <v>14643376.6960833</v>
      </c>
      <c r="L49" t="s">
        <v>118</v>
      </c>
      <c r="M49" t="s">
        <v>553</v>
      </c>
      <c r="N49">
        <v>1</v>
      </c>
      <c r="O49">
        <v>10.805</v>
      </c>
      <c r="P49">
        <v>10.145</v>
      </c>
      <c r="Q49">
        <v>0.65</v>
      </c>
      <c r="R49">
        <v>20103010</v>
      </c>
      <c r="S49" t="s">
        <v>119</v>
      </c>
      <c r="T49" t="s">
        <v>263</v>
      </c>
      <c r="U49">
        <v>2810006433.6500001</v>
      </c>
      <c r="V49">
        <v>13.251455</v>
      </c>
      <c r="W49" t="s">
        <v>264</v>
      </c>
      <c r="X49">
        <v>13.251455</v>
      </c>
      <c r="Y49" t="b">
        <v>0</v>
      </c>
      <c r="Z49" t="b">
        <v>0</v>
      </c>
      <c r="AA49" t="b">
        <v>0</v>
      </c>
    </row>
    <row r="50" spans="1:27" x14ac:dyDescent="0.25">
      <c r="A50">
        <v>569</v>
      </c>
      <c r="B50" t="s">
        <v>174</v>
      </c>
      <c r="C50" t="s">
        <v>32</v>
      </c>
      <c r="D50" t="s">
        <v>82</v>
      </c>
      <c r="E50" t="s">
        <v>112</v>
      </c>
      <c r="F50">
        <v>4080008300</v>
      </c>
      <c r="G50">
        <v>20.343229999999998</v>
      </c>
      <c r="H50" t="s">
        <v>203</v>
      </c>
      <c r="I50">
        <v>83000547248.80899</v>
      </c>
      <c r="J50" t="s">
        <v>210</v>
      </c>
      <c r="K50">
        <v>112214843.897594</v>
      </c>
      <c r="L50" t="s">
        <v>118</v>
      </c>
      <c r="M50" t="s">
        <v>235</v>
      </c>
      <c r="N50">
        <v>1.139796E-2</v>
      </c>
      <c r="O50">
        <v>1819.5</v>
      </c>
      <c r="P50">
        <v>1788</v>
      </c>
      <c r="Q50">
        <v>1</v>
      </c>
      <c r="R50">
        <v>20103015</v>
      </c>
      <c r="S50" t="s">
        <v>119</v>
      </c>
      <c r="T50" t="s">
        <v>263</v>
      </c>
      <c r="U50">
        <v>83148743268.685593</v>
      </c>
      <c r="V50">
        <v>13.739672499999999</v>
      </c>
      <c r="W50" t="s">
        <v>264</v>
      </c>
      <c r="X50">
        <v>13.739672499999999</v>
      </c>
      <c r="Y50" t="b">
        <v>0</v>
      </c>
      <c r="Z50" t="b">
        <v>0</v>
      </c>
      <c r="AA50" t="b">
        <v>0</v>
      </c>
    </row>
    <row r="51" spans="1:27" x14ac:dyDescent="0.25">
      <c r="A51">
        <v>574</v>
      </c>
      <c r="B51" t="s">
        <v>192</v>
      </c>
      <c r="C51" t="s">
        <v>33</v>
      </c>
      <c r="D51" t="s">
        <v>83</v>
      </c>
      <c r="E51" t="s">
        <v>112</v>
      </c>
      <c r="F51">
        <v>8906423000</v>
      </c>
      <c r="G51">
        <v>4.2916480000000004</v>
      </c>
      <c r="H51" t="s">
        <v>203</v>
      </c>
      <c r="I51">
        <v>38223232455.103996</v>
      </c>
      <c r="J51" t="s">
        <v>210</v>
      </c>
      <c r="K51">
        <v>61225951.846855298</v>
      </c>
      <c r="L51" t="s">
        <v>118</v>
      </c>
      <c r="M51" t="s">
        <v>253</v>
      </c>
      <c r="N51">
        <v>1.139796E-2</v>
      </c>
      <c r="O51">
        <v>363.4</v>
      </c>
      <c r="P51">
        <v>377.2</v>
      </c>
      <c r="Q51">
        <v>1</v>
      </c>
      <c r="R51">
        <v>20103015</v>
      </c>
      <c r="S51" t="s">
        <v>119</v>
      </c>
      <c r="T51" t="s">
        <v>263</v>
      </c>
      <c r="U51">
        <v>38291478028.218567</v>
      </c>
      <c r="V51">
        <v>11.8585975</v>
      </c>
      <c r="W51" t="s">
        <v>264</v>
      </c>
      <c r="X51">
        <v>11.8585975</v>
      </c>
      <c r="Y51" t="b">
        <v>0</v>
      </c>
      <c r="Z51" t="b">
        <v>0</v>
      </c>
      <c r="AA51" t="b">
        <v>0</v>
      </c>
    </row>
    <row r="52" spans="1:27" x14ac:dyDescent="0.25">
      <c r="A52">
        <v>584</v>
      </c>
      <c r="B52" t="s">
        <v>176</v>
      </c>
      <c r="C52" t="s">
        <v>34</v>
      </c>
      <c r="D52" t="s">
        <v>84</v>
      </c>
      <c r="E52" t="s">
        <v>108</v>
      </c>
      <c r="F52">
        <v>228193900</v>
      </c>
      <c r="G52">
        <v>426.9008</v>
      </c>
      <c r="H52" t="s">
        <v>202</v>
      </c>
      <c r="I52">
        <v>97416158465.119995</v>
      </c>
      <c r="J52" t="s">
        <v>209</v>
      </c>
      <c r="K52">
        <v>481812504.15149701</v>
      </c>
      <c r="L52" t="s">
        <v>118</v>
      </c>
      <c r="M52" t="s">
        <v>237</v>
      </c>
      <c r="N52">
        <v>0.84961766999999999</v>
      </c>
      <c r="O52">
        <v>469.79</v>
      </c>
      <c r="P52">
        <v>491</v>
      </c>
      <c r="Q52">
        <v>0.7</v>
      </c>
      <c r="R52">
        <v>20101010</v>
      </c>
      <c r="S52" t="s">
        <v>119</v>
      </c>
      <c r="T52" t="s">
        <v>263</v>
      </c>
      <c r="U52">
        <v>66635720680.529404</v>
      </c>
      <c r="V52">
        <v>26.063371249999999</v>
      </c>
      <c r="W52" t="s">
        <v>264</v>
      </c>
      <c r="X52">
        <v>26.063371249999999</v>
      </c>
      <c r="Y52" t="b">
        <v>0</v>
      </c>
      <c r="Z52" t="b">
        <v>0</v>
      </c>
      <c r="AA52" t="b">
        <v>0</v>
      </c>
    </row>
    <row r="53" spans="1:27" x14ac:dyDescent="0.25">
      <c r="A53">
        <v>598</v>
      </c>
      <c r="B53" t="s">
        <v>332</v>
      </c>
      <c r="C53" t="s">
        <v>401</v>
      </c>
      <c r="D53" t="s">
        <v>470</v>
      </c>
      <c r="E53" t="s">
        <v>112</v>
      </c>
      <c r="F53">
        <v>221886460</v>
      </c>
      <c r="G53">
        <v>18.14734</v>
      </c>
      <c r="H53" t="s">
        <v>203</v>
      </c>
      <c r="I53">
        <v>4026649031.0163999</v>
      </c>
      <c r="J53" t="s">
        <v>210</v>
      </c>
      <c r="K53">
        <v>10295669.7491624</v>
      </c>
      <c r="L53" t="s">
        <v>118</v>
      </c>
      <c r="M53" t="s">
        <v>551</v>
      </c>
      <c r="N53">
        <v>1.139796E-2</v>
      </c>
      <c r="O53">
        <v>1507</v>
      </c>
      <c r="P53">
        <v>1595</v>
      </c>
      <c r="Q53">
        <v>0.75</v>
      </c>
      <c r="R53">
        <v>20103015</v>
      </c>
      <c r="S53" t="s">
        <v>119</v>
      </c>
      <c r="T53" t="s">
        <v>263</v>
      </c>
      <c r="U53">
        <v>3025379646.0123391</v>
      </c>
      <c r="V53">
        <v>24.459614999999999</v>
      </c>
      <c r="W53" t="s">
        <v>264</v>
      </c>
      <c r="X53">
        <v>24.459614999999999</v>
      </c>
      <c r="Y53" t="b">
        <v>0</v>
      </c>
      <c r="Z53" t="b">
        <v>0</v>
      </c>
      <c r="AA53" t="b">
        <v>0</v>
      </c>
    </row>
    <row r="54" spans="1:27" x14ac:dyDescent="0.25">
      <c r="A54">
        <v>618</v>
      </c>
      <c r="B54" t="s">
        <v>186</v>
      </c>
      <c r="C54" t="s">
        <v>35</v>
      </c>
      <c r="D54" t="s">
        <v>85</v>
      </c>
      <c r="E54" t="s">
        <v>114</v>
      </c>
      <c r="F54">
        <v>343122620</v>
      </c>
      <c r="G54">
        <v>128.3449</v>
      </c>
      <c r="H54" t="s">
        <v>207</v>
      </c>
      <c r="I54">
        <v>44038038351.638</v>
      </c>
      <c r="J54" t="s">
        <v>212</v>
      </c>
      <c r="K54">
        <v>140913572.178121</v>
      </c>
      <c r="L54" t="s">
        <v>118</v>
      </c>
      <c r="M54" t="s">
        <v>247</v>
      </c>
      <c r="N54">
        <v>5.48884E-3</v>
      </c>
      <c r="O54">
        <v>24000</v>
      </c>
      <c r="P54">
        <v>23110</v>
      </c>
      <c r="Q54">
        <v>1</v>
      </c>
      <c r="R54">
        <v>20102015</v>
      </c>
      <c r="S54" t="s">
        <v>119</v>
      </c>
      <c r="T54" t="s">
        <v>263</v>
      </c>
      <c r="U54">
        <v>43524106683.67009</v>
      </c>
      <c r="V54">
        <v>13.663987499999999</v>
      </c>
      <c r="W54" t="s">
        <v>264</v>
      </c>
      <c r="X54">
        <v>13.663987499999999</v>
      </c>
      <c r="Y54" t="b">
        <v>0</v>
      </c>
      <c r="Z54" t="b">
        <v>0</v>
      </c>
      <c r="AA54" t="b">
        <v>0</v>
      </c>
    </row>
    <row r="55" spans="1:27" x14ac:dyDescent="0.25">
      <c r="A55">
        <v>626</v>
      </c>
      <c r="B55" t="s">
        <v>270</v>
      </c>
      <c r="C55" t="s">
        <v>123</v>
      </c>
      <c r="D55" t="s">
        <v>126</v>
      </c>
      <c r="E55" t="s">
        <v>108</v>
      </c>
      <c r="F55">
        <v>120273070</v>
      </c>
      <c r="G55">
        <v>197.45249999999999</v>
      </c>
      <c r="H55" t="s">
        <v>202</v>
      </c>
      <c r="I55">
        <v>23748218354.174999</v>
      </c>
      <c r="J55" t="s">
        <v>209</v>
      </c>
      <c r="K55">
        <v>425972183.01046199</v>
      </c>
      <c r="L55" t="s">
        <v>118</v>
      </c>
      <c r="M55" t="s">
        <v>489</v>
      </c>
      <c r="N55">
        <v>0.84961766999999999</v>
      </c>
      <c r="O55">
        <v>258.16000000000003</v>
      </c>
      <c r="P55">
        <v>227.1</v>
      </c>
      <c r="Q55">
        <v>1</v>
      </c>
      <c r="R55">
        <v>20101020</v>
      </c>
      <c r="S55" t="s">
        <v>119</v>
      </c>
      <c r="T55" t="s">
        <v>263</v>
      </c>
      <c r="U55">
        <v>23206469100.402061</v>
      </c>
      <c r="V55">
        <v>14.390330000000001</v>
      </c>
      <c r="W55" t="s">
        <v>264</v>
      </c>
      <c r="X55">
        <v>14.390330000000001</v>
      </c>
      <c r="Y55" t="b">
        <v>0</v>
      </c>
      <c r="Z55" t="b">
        <v>0</v>
      </c>
      <c r="AA55" t="b">
        <v>0</v>
      </c>
    </row>
    <row r="56" spans="1:27" x14ac:dyDescent="0.25">
      <c r="A56">
        <v>633</v>
      </c>
      <c r="B56" t="s">
        <v>181</v>
      </c>
      <c r="C56" t="s">
        <v>36</v>
      </c>
      <c r="D56" t="s">
        <v>86</v>
      </c>
      <c r="E56" t="s">
        <v>110</v>
      </c>
      <c r="F56">
        <v>79851330</v>
      </c>
      <c r="G56">
        <v>631.14369999999997</v>
      </c>
      <c r="H56" t="s">
        <v>202</v>
      </c>
      <c r="I56">
        <v>50397663866.120987</v>
      </c>
      <c r="J56" t="s">
        <v>209</v>
      </c>
      <c r="K56">
        <v>273686180.19418198</v>
      </c>
      <c r="L56" t="s">
        <v>118</v>
      </c>
      <c r="M56" t="s">
        <v>242</v>
      </c>
      <c r="N56">
        <v>0.84961766999999999</v>
      </c>
      <c r="O56">
        <v>693.18</v>
      </c>
      <c r="P56">
        <v>725.91</v>
      </c>
      <c r="Q56">
        <v>1</v>
      </c>
      <c r="R56">
        <v>20102010</v>
      </c>
      <c r="S56" t="s">
        <v>119</v>
      </c>
      <c r="T56" t="s">
        <v>263</v>
      </c>
      <c r="U56">
        <v>49247985404.082108</v>
      </c>
      <c r="V56">
        <v>14.404036250000001</v>
      </c>
      <c r="W56" t="s">
        <v>264</v>
      </c>
      <c r="X56">
        <v>14.404036250000001</v>
      </c>
      <c r="Y56" t="b">
        <v>0</v>
      </c>
      <c r="Z56" t="b">
        <v>0</v>
      </c>
      <c r="AA56" t="b">
        <v>0</v>
      </c>
    </row>
    <row r="57" spans="1:27" x14ac:dyDescent="0.25">
      <c r="A57">
        <v>637</v>
      </c>
      <c r="B57" t="s">
        <v>289</v>
      </c>
      <c r="C57" t="s">
        <v>358</v>
      </c>
      <c r="D57" t="s">
        <v>427</v>
      </c>
      <c r="E57" t="s">
        <v>110</v>
      </c>
      <c r="F57">
        <v>152800000</v>
      </c>
      <c r="G57">
        <v>107.6816</v>
      </c>
      <c r="H57" t="s">
        <v>202</v>
      </c>
      <c r="I57">
        <v>16453748480</v>
      </c>
      <c r="J57" t="s">
        <v>209</v>
      </c>
      <c r="K57">
        <v>156175273.82432699</v>
      </c>
      <c r="L57" t="s">
        <v>118</v>
      </c>
      <c r="M57" t="s">
        <v>508</v>
      </c>
      <c r="N57">
        <v>0.84961766999999999</v>
      </c>
      <c r="O57">
        <v>131.56</v>
      </c>
      <c r="P57">
        <v>123.85</v>
      </c>
      <c r="Q57">
        <v>1</v>
      </c>
      <c r="R57">
        <v>20103010</v>
      </c>
      <c r="S57" t="s">
        <v>119</v>
      </c>
      <c r="T57" t="s">
        <v>263</v>
      </c>
      <c r="U57">
        <v>16078402680.027599</v>
      </c>
      <c r="V57">
        <v>17.93941937</v>
      </c>
      <c r="W57" t="s">
        <v>264</v>
      </c>
      <c r="X57">
        <v>17.93941937</v>
      </c>
      <c r="Y57" t="b">
        <v>0</v>
      </c>
      <c r="Z57" t="b">
        <v>0</v>
      </c>
      <c r="AA57" t="b">
        <v>0</v>
      </c>
    </row>
    <row r="58" spans="1:27" x14ac:dyDescent="0.25">
      <c r="A58">
        <v>653</v>
      </c>
      <c r="B58" t="s">
        <v>196</v>
      </c>
      <c r="C58" t="s">
        <v>37</v>
      </c>
      <c r="D58" t="s">
        <v>87</v>
      </c>
      <c r="E58" t="s">
        <v>110</v>
      </c>
      <c r="F58">
        <v>213273470</v>
      </c>
      <c r="G58">
        <v>172.81219999999999</v>
      </c>
      <c r="H58" t="s">
        <v>202</v>
      </c>
      <c r="I58">
        <v>36856257552.334</v>
      </c>
      <c r="J58" t="s">
        <v>209</v>
      </c>
      <c r="K58">
        <v>300449955.13663602</v>
      </c>
      <c r="L58" t="s">
        <v>118</v>
      </c>
      <c r="M58" t="s">
        <v>257</v>
      </c>
      <c r="N58">
        <v>0.84961766999999999</v>
      </c>
      <c r="O58">
        <v>200.67</v>
      </c>
      <c r="P58">
        <v>198.76</v>
      </c>
      <c r="Q58">
        <v>0.9</v>
      </c>
      <c r="R58">
        <v>20103010</v>
      </c>
      <c r="S58" t="s">
        <v>119</v>
      </c>
      <c r="T58" t="s">
        <v>263</v>
      </c>
      <c r="U58">
        <v>32413943343.700569</v>
      </c>
      <c r="V58">
        <v>25.886959820000001</v>
      </c>
      <c r="W58" t="s">
        <v>264</v>
      </c>
      <c r="X58">
        <v>25.886959820000001</v>
      </c>
      <c r="Y58" t="b">
        <v>0</v>
      </c>
      <c r="Z58" t="b">
        <v>0</v>
      </c>
      <c r="AA58" t="b">
        <v>0</v>
      </c>
    </row>
    <row r="59" spans="1:27" x14ac:dyDescent="0.25">
      <c r="A59">
        <v>654</v>
      </c>
      <c r="B59" t="s">
        <v>279</v>
      </c>
      <c r="C59" t="s">
        <v>348</v>
      </c>
      <c r="D59" t="s">
        <v>417</v>
      </c>
      <c r="E59" t="s">
        <v>110</v>
      </c>
      <c r="F59">
        <v>70346900</v>
      </c>
      <c r="G59">
        <v>287.93639999999999</v>
      </c>
      <c r="H59" t="s">
        <v>202</v>
      </c>
      <c r="I59">
        <v>20255433137.16</v>
      </c>
      <c r="J59" t="s">
        <v>209</v>
      </c>
      <c r="K59">
        <v>173577703.42486501</v>
      </c>
      <c r="L59" t="s">
        <v>118</v>
      </c>
      <c r="M59" t="s">
        <v>498</v>
      </c>
      <c r="N59">
        <v>0.84961766999999999</v>
      </c>
      <c r="O59">
        <v>288.73</v>
      </c>
      <c r="P59">
        <v>331.17</v>
      </c>
      <c r="Q59">
        <v>1</v>
      </c>
      <c r="R59">
        <v>20102010</v>
      </c>
      <c r="S59" t="s">
        <v>119</v>
      </c>
      <c r="T59" t="s">
        <v>263</v>
      </c>
      <c r="U59">
        <v>19793358383.054161</v>
      </c>
      <c r="V59">
        <v>18.042300000000001</v>
      </c>
      <c r="W59" t="s">
        <v>264</v>
      </c>
      <c r="X59">
        <v>18.042300000000001</v>
      </c>
      <c r="Y59" t="b">
        <v>0</v>
      </c>
      <c r="Z59" t="b">
        <v>0</v>
      </c>
      <c r="AA59" t="b">
        <v>0</v>
      </c>
    </row>
    <row r="60" spans="1:27" x14ac:dyDescent="0.25">
      <c r="A60">
        <v>668</v>
      </c>
      <c r="B60" t="s">
        <v>162</v>
      </c>
      <c r="C60" t="s">
        <v>38</v>
      </c>
      <c r="D60" t="s">
        <v>88</v>
      </c>
      <c r="E60" t="s">
        <v>110</v>
      </c>
      <c r="F60">
        <v>354496060</v>
      </c>
      <c r="G60">
        <v>488.2928</v>
      </c>
      <c r="H60" t="s">
        <v>202</v>
      </c>
      <c r="I60">
        <v>173097873726.36801</v>
      </c>
      <c r="J60" t="s">
        <v>209</v>
      </c>
      <c r="K60">
        <v>1019103348.61517</v>
      </c>
      <c r="L60" t="s">
        <v>118</v>
      </c>
      <c r="M60" t="s">
        <v>223</v>
      </c>
      <c r="N60">
        <v>0.84961766999999999</v>
      </c>
      <c r="O60">
        <v>554.58000000000004</v>
      </c>
      <c r="P60">
        <v>561.61</v>
      </c>
      <c r="Q60">
        <v>1</v>
      </c>
      <c r="R60">
        <v>20102010</v>
      </c>
      <c r="S60" t="s">
        <v>119</v>
      </c>
      <c r="T60" t="s">
        <v>263</v>
      </c>
      <c r="U60">
        <v>169149134899.5723</v>
      </c>
      <c r="V60">
        <v>17.22382</v>
      </c>
      <c r="W60" t="s">
        <v>264</v>
      </c>
      <c r="X60">
        <v>17.22382</v>
      </c>
      <c r="Y60" t="b">
        <v>0</v>
      </c>
      <c r="Z60" t="b">
        <v>0</v>
      </c>
      <c r="AA60" t="b">
        <v>0</v>
      </c>
    </row>
    <row r="61" spans="1:27" x14ac:dyDescent="0.25">
      <c r="A61">
        <v>673</v>
      </c>
      <c r="B61" t="s">
        <v>320</v>
      </c>
      <c r="C61" t="s">
        <v>389</v>
      </c>
      <c r="D61" t="s">
        <v>458</v>
      </c>
      <c r="E61" t="s">
        <v>116</v>
      </c>
      <c r="F61">
        <v>83814526</v>
      </c>
      <c r="G61">
        <v>127.1</v>
      </c>
      <c r="H61" t="s">
        <v>119</v>
      </c>
      <c r="I61">
        <v>10652826254.6</v>
      </c>
      <c r="J61" t="s">
        <v>211</v>
      </c>
      <c r="K61">
        <v>8723568.5833333302</v>
      </c>
      <c r="L61" t="s">
        <v>118</v>
      </c>
      <c r="M61" t="s">
        <v>539</v>
      </c>
      <c r="N61">
        <v>1</v>
      </c>
      <c r="O61">
        <v>120.6</v>
      </c>
      <c r="P61">
        <v>127.1</v>
      </c>
      <c r="Q61">
        <v>0.4</v>
      </c>
      <c r="R61">
        <v>20103015</v>
      </c>
      <c r="S61" t="s">
        <v>119</v>
      </c>
      <c r="T61" t="s">
        <v>263</v>
      </c>
      <c r="U61">
        <v>4261130501.8400002</v>
      </c>
      <c r="V61">
        <v>21.926671249999998</v>
      </c>
      <c r="W61" t="s">
        <v>264</v>
      </c>
      <c r="X61">
        <v>21.926671249999998</v>
      </c>
      <c r="Y61" t="b">
        <v>0</v>
      </c>
      <c r="Z61" t="b">
        <v>0</v>
      </c>
      <c r="AA61" t="b">
        <v>0</v>
      </c>
    </row>
    <row r="62" spans="1:27" x14ac:dyDescent="0.25">
      <c r="A62">
        <v>674</v>
      </c>
      <c r="B62" t="s">
        <v>195</v>
      </c>
      <c r="C62" t="s">
        <v>39</v>
      </c>
      <c r="D62" t="s">
        <v>89</v>
      </c>
      <c r="E62" t="s">
        <v>108</v>
      </c>
      <c r="F62">
        <v>170300000</v>
      </c>
      <c r="G62">
        <v>195.53970000000001</v>
      </c>
      <c r="H62" t="s">
        <v>202</v>
      </c>
      <c r="I62">
        <v>33300410910</v>
      </c>
      <c r="J62" t="s">
        <v>209</v>
      </c>
      <c r="K62">
        <v>256894814.95182899</v>
      </c>
      <c r="L62" t="s">
        <v>118</v>
      </c>
      <c r="M62" t="s">
        <v>256</v>
      </c>
      <c r="N62">
        <v>0.84961766999999999</v>
      </c>
      <c r="O62">
        <v>221.68</v>
      </c>
      <c r="P62">
        <v>224.9</v>
      </c>
      <c r="Q62">
        <v>1</v>
      </c>
      <c r="R62">
        <v>20101025</v>
      </c>
      <c r="S62" t="s">
        <v>119</v>
      </c>
      <c r="T62" t="s">
        <v>263</v>
      </c>
      <c r="U62">
        <v>32540756081.304901</v>
      </c>
      <c r="V62">
        <v>17.179593749999999</v>
      </c>
      <c r="W62" t="s">
        <v>264</v>
      </c>
      <c r="X62">
        <v>17.179593749999999</v>
      </c>
      <c r="Y62" t="b">
        <v>0</v>
      </c>
      <c r="Z62" t="b">
        <v>0</v>
      </c>
      <c r="AA62" t="b">
        <v>0</v>
      </c>
    </row>
    <row r="63" spans="1:27" x14ac:dyDescent="0.25">
      <c r="A63">
        <v>704</v>
      </c>
      <c r="B63" t="s">
        <v>153</v>
      </c>
      <c r="C63" t="s">
        <v>40</v>
      </c>
      <c r="D63" t="s">
        <v>90</v>
      </c>
      <c r="E63" t="s">
        <v>108</v>
      </c>
      <c r="F63">
        <v>2409295200</v>
      </c>
      <c r="G63">
        <v>177.28120000000001</v>
      </c>
      <c r="H63" t="s">
        <v>202</v>
      </c>
      <c r="I63">
        <v>427122744210.24011</v>
      </c>
      <c r="J63" t="s">
        <v>209</v>
      </c>
      <c r="K63">
        <v>1369884792.1235299</v>
      </c>
      <c r="L63" t="s">
        <v>118</v>
      </c>
      <c r="M63" t="s">
        <v>214</v>
      </c>
      <c r="N63">
        <v>0.84961766999999999</v>
      </c>
      <c r="O63">
        <v>209.3</v>
      </c>
      <c r="P63">
        <v>203.9</v>
      </c>
      <c r="Q63">
        <v>1</v>
      </c>
      <c r="R63">
        <v>20103015</v>
      </c>
      <c r="S63" t="s">
        <v>119</v>
      </c>
      <c r="T63" t="s">
        <v>263</v>
      </c>
      <c r="U63">
        <v>417379175952.48492</v>
      </c>
      <c r="V63">
        <v>18.798929999999999</v>
      </c>
      <c r="W63" t="s">
        <v>265</v>
      </c>
      <c r="X63">
        <v>18.798929999999999</v>
      </c>
      <c r="Y63" t="b">
        <v>0</v>
      </c>
      <c r="Z63" t="b">
        <v>0</v>
      </c>
      <c r="AA63" t="b">
        <v>0</v>
      </c>
    </row>
    <row r="64" spans="1:27" x14ac:dyDescent="0.25">
      <c r="A64">
        <v>770</v>
      </c>
      <c r="B64" t="s">
        <v>328</v>
      </c>
      <c r="C64" t="s">
        <v>397</v>
      </c>
      <c r="D64" t="s">
        <v>466</v>
      </c>
      <c r="E64" t="s">
        <v>114</v>
      </c>
      <c r="F64">
        <v>525634500</v>
      </c>
      <c r="G64">
        <v>14.259</v>
      </c>
      <c r="H64" t="s">
        <v>207</v>
      </c>
      <c r="I64">
        <v>7495022335.5</v>
      </c>
      <c r="J64" t="s">
        <v>212</v>
      </c>
      <c r="K64">
        <v>15962837.5510199</v>
      </c>
      <c r="L64" t="s">
        <v>118</v>
      </c>
      <c r="M64" t="s">
        <v>547</v>
      </c>
      <c r="N64">
        <v>5.48884E-3</v>
      </c>
      <c r="O64">
        <v>2585.5</v>
      </c>
      <c r="P64">
        <v>2567.5</v>
      </c>
      <c r="Q64">
        <v>0.45</v>
      </c>
      <c r="R64">
        <v>20103015</v>
      </c>
      <c r="S64" t="s">
        <v>119</v>
      </c>
      <c r="T64" t="s">
        <v>263</v>
      </c>
      <c r="U64">
        <v>3333399759.0477681</v>
      </c>
      <c r="V64">
        <v>23.25331049</v>
      </c>
      <c r="W64" t="s">
        <v>264</v>
      </c>
      <c r="X64">
        <v>23.25331049</v>
      </c>
      <c r="Y64" t="b">
        <v>0</v>
      </c>
      <c r="Z64" t="b">
        <v>0</v>
      </c>
      <c r="AA64" t="b">
        <v>0</v>
      </c>
    </row>
    <row r="65" spans="1:27" x14ac:dyDescent="0.25">
      <c r="A65">
        <v>774</v>
      </c>
      <c r="B65" t="s">
        <v>282</v>
      </c>
      <c r="C65" t="s">
        <v>351</v>
      </c>
      <c r="D65" t="s">
        <v>420</v>
      </c>
      <c r="E65" t="s">
        <v>108</v>
      </c>
      <c r="F65">
        <v>82900000</v>
      </c>
      <c r="G65">
        <v>230.96119999999999</v>
      </c>
      <c r="H65" t="s">
        <v>202</v>
      </c>
      <c r="I65">
        <v>19146683480</v>
      </c>
      <c r="J65" t="s">
        <v>209</v>
      </c>
      <c r="K65">
        <v>164959775.719978</v>
      </c>
      <c r="L65" t="s">
        <v>118</v>
      </c>
      <c r="M65" t="s">
        <v>501</v>
      </c>
      <c r="N65">
        <v>0.84961766999999999</v>
      </c>
      <c r="O65">
        <v>258.11</v>
      </c>
      <c r="P65">
        <v>265.64</v>
      </c>
      <c r="Q65">
        <v>1</v>
      </c>
      <c r="R65">
        <v>20102020</v>
      </c>
      <c r="S65" t="s">
        <v>119</v>
      </c>
      <c r="T65" t="s">
        <v>263</v>
      </c>
      <c r="U65">
        <v>18709903098.494518</v>
      </c>
      <c r="V65">
        <v>19.2800625</v>
      </c>
      <c r="W65" t="s">
        <v>264</v>
      </c>
      <c r="X65">
        <v>19.2800625</v>
      </c>
      <c r="Y65" t="b">
        <v>0</v>
      </c>
      <c r="Z65" t="b">
        <v>0</v>
      </c>
      <c r="AA65" t="b">
        <v>0</v>
      </c>
    </row>
    <row r="66" spans="1:27" x14ac:dyDescent="0.25">
      <c r="A66">
        <v>804</v>
      </c>
      <c r="B66" t="s">
        <v>189</v>
      </c>
      <c r="C66" t="s">
        <v>41</v>
      </c>
      <c r="D66" t="s">
        <v>91</v>
      </c>
      <c r="E66" t="s">
        <v>109</v>
      </c>
      <c r="F66">
        <v>70229020</v>
      </c>
      <c r="G66">
        <v>575.01120000000003</v>
      </c>
      <c r="H66" t="s">
        <v>204</v>
      </c>
      <c r="I66">
        <v>40382473065.024002</v>
      </c>
      <c r="J66" t="s">
        <v>210</v>
      </c>
      <c r="K66">
        <v>68960886.198420897</v>
      </c>
      <c r="L66" t="s">
        <v>118</v>
      </c>
      <c r="M66" t="s">
        <v>250</v>
      </c>
      <c r="N66">
        <v>1.0682048799999999</v>
      </c>
      <c r="O66">
        <v>519</v>
      </c>
      <c r="P66">
        <v>534.79999999999995</v>
      </c>
      <c r="Q66">
        <v>1</v>
      </c>
      <c r="R66">
        <v>20103010</v>
      </c>
      <c r="S66" t="s">
        <v>119</v>
      </c>
      <c r="T66" t="s">
        <v>263</v>
      </c>
      <c r="U66">
        <v>40120151510.289093</v>
      </c>
      <c r="V66">
        <v>15.80551226</v>
      </c>
      <c r="W66" t="s">
        <v>264</v>
      </c>
      <c r="X66">
        <v>15.80551226</v>
      </c>
      <c r="Y66" t="b">
        <v>0</v>
      </c>
      <c r="Z66" t="b">
        <v>0</v>
      </c>
      <c r="AA66" t="b">
        <v>0</v>
      </c>
    </row>
    <row r="67" spans="1:27" x14ac:dyDescent="0.25">
      <c r="A67">
        <v>820</v>
      </c>
      <c r="B67" t="s">
        <v>310</v>
      </c>
      <c r="C67" t="s">
        <v>379</v>
      </c>
      <c r="D67" t="s">
        <v>448</v>
      </c>
      <c r="E67" t="s">
        <v>114</v>
      </c>
      <c r="F67">
        <v>679114500</v>
      </c>
      <c r="G67">
        <v>14.63387</v>
      </c>
      <c r="H67" t="s">
        <v>207</v>
      </c>
      <c r="I67">
        <v>9938073308.1149998</v>
      </c>
      <c r="J67" t="s">
        <v>212</v>
      </c>
      <c r="K67">
        <v>45994346.798183098</v>
      </c>
      <c r="L67" t="s">
        <v>118</v>
      </c>
      <c r="M67" t="s">
        <v>529</v>
      </c>
      <c r="N67">
        <v>5.48884E-3</v>
      </c>
      <c r="O67">
        <v>2035.5</v>
      </c>
      <c r="P67">
        <v>2635</v>
      </c>
      <c r="Q67">
        <v>0.65</v>
      </c>
      <c r="R67">
        <v>20101025</v>
      </c>
      <c r="S67" t="s">
        <v>119</v>
      </c>
      <c r="T67" t="s">
        <v>263</v>
      </c>
      <c r="U67">
        <v>6384362687.8162947</v>
      </c>
      <c r="V67">
        <v>17.919688969999999</v>
      </c>
      <c r="W67" t="s">
        <v>264</v>
      </c>
      <c r="X67">
        <v>17.919688969999999</v>
      </c>
      <c r="Y67" t="b">
        <v>0</v>
      </c>
      <c r="Z67" t="b">
        <v>0</v>
      </c>
      <c r="AA67" t="b">
        <v>0</v>
      </c>
    </row>
    <row r="68" spans="1:27" x14ac:dyDescent="0.25">
      <c r="A68">
        <v>851</v>
      </c>
      <c r="B68" t="s">
        <v>170</v>
      </c>
      <c r="C68" t="s">
        <v>42</v>
      </c>
      <c r="D68" t="s">
        <v>92</v>
      </c>
      <c r="E68" t="s">
        <v>108</v>
      </c>
      <c r="F68">
        <v>1282685900</v>
      </c>
      <c r="G68">
        <v>87.988529999999997</v>
      </c>
      <c r="H68" t="s">
        <v>202</v>
      </c>
      <c r="I68">
        <v>112861646792.72701</v>
      </c>
      <c r="J68" t="s">
        <v>209</v>
      </c>
      <c r="K68">
        <v>572626512.17302203</v>
      </c>
      <c r="L68" t="s">
        <v>118</v>
      </c>
      <c r="M68" t="s">
        <v>231</v>
      </c>
      <c r="N68">
        <v>0.84961766999999999</v>
      </c>
      <c r="O68">
        <v>97.72</v>
      </c>
      <c r="P68">
        <v>101.2</v>
      </c>
      <c r="Q68">
        <v>1</v>
      </c>
      <c r="R68">
        <v>20102010</v>
      </c>
      <c r="S68" t="s">
        <v>119</v>
      </c>
      <c r="T68" t="s">
        <v>263</v>
      </c>
      <c r="U68">
        <v>110287011696.8251</v>
      </c>
      <c r="V68">
        <v>16.2710325</v>
      </c>
      <c r="W68" t="s">
        <v>264</v>
      </c>
      <c r="X68">
        <v>16.2710325</v>
      </c>
      <c r="Y68" t="b">
        <v>0</v>
      </c>
      <c r="Z68" t="b">
        <v>0</v>
      </c>
      <c r="AA68" t="b">
        <v>0</v>
      </c>
    </row>
    <row r="69" spans="1:27" x14ac:dyDescent="0.25">
      <c r="A69">
        <v>856</v>
      </c>
      <c r="B69" t="s">
        <v>159</v>
      </c>
      <c r="C69" t="s">
        <v>43</v>
      </c>
      <c r="D69" t="s">
        <v>93</v>
      </c>
      <c r="E69" t="s">
        <v>108</v>
      </c>
      <c r="F69">
        <v>2482022500</v>
      </c>
      <c r="G69">
        <v>84.997609999999995</v>
      </c>
      <c r="H69" t="s">
        <v>202</v>
      </c>
      <c r="I69">
        <v>210965980466.22501</v>
      </c>
      <c r="J69" t="s">
        <v>209</v>
      </c>
      <c r="K69">
        <v>945348357.51570296</v>
      </c>
      <c r="L69" t="s">
        <v>118</v>
      </c>
      <c r="M69" t="s">
        <v>220</v>
      </c>
      <c r="N69">
        <v>0.84961766999999999</v>
      </c>
      <c r="O69">
        <v>98.27</v>
      </c>
      <c r="P69">
        <v>97.76</v>
      </c>
      <c r="Q69">
        <v>1</v>
      </c>
      <c r="R69">
        <v>20103015</v>
      </c>
      <c r="S69" t="s">
        <v>119</v>
      </c>
      <c r="T69" t="s">
        <v>263</v>
      </c>
      <c r="U69">
        <v>206153372145.48129</v>
      </c>
      <c r="V69">
        <v>16.662926250000002</v>
      </c>
      <c r="W69" t="s">
        <v>264</v>
      </c>
      <c r="X69">
        <v>16.662926250000002</v>
      </c>
      <c r="Y69" t="b">
        <v>0</v>
      </c>
      <c r="Z69" t="b">
        <v>0</v>
      </c>
      <c r="AA69" t="b">
        <v>0</v>
      </c>
    </row>
    <row r="70" spans="1:27" x14ac:dyDescent="0.25">
      <c r="A70">
        <v>857</v>
      </c>
      <c r="B70" t="s">
        <v>292</v>
      </c>
      <c r="C70" t="s">
        <v>361</v>
      </c>
      <c r="D70" t="s">
        <v>430</v>
      </c>
      <c r="E70" t="s">
        <v>127</v>
      </c>
      <c r="F70">
        <v>129242250</v>
      </c>
      <c r="G70">
        <v>112.3</v>
      </c>
      <c r="H70" t="s">
        <v>119</v>
      </c>
      <c r="I70">
        <v>14513904675</v>
      </c>
      <c r="J70" t="s">
        <v>211</v>
      </c>
      <c r="K70">
        <v>34517666.854924202</v>
      </c>
      <c r="L70" t="s">
        <v>118</v>
      </c>
      <c r="M70" t="s">
        <v>511</v>
      </c>
      <c r="N70">
        <v>1</v>
      </c>
      <c r="O70">
        <v>121.1</v>
      </c>
      <c r="P70">
        <v>112.3</v>
      </c>
      <c r="Q70">
        <v>1</v>
      </c>
      <c r="R70">
        <v>20103015</v>
      </c>
      <c r="S70" t="s">
        <v>119</v>
      </c>
      <c r="T70" t="s">
        <v>263</v>
      </c>
      <c r="U70">
        <v>14513904675</v>
      </c>
      <c r="V70">
        <v>13.395031380000001</v>
      </c>
      <c r="W70" t="s">
        <v>264</v>
      </c>
      <c r="X70">
        <v>13.395031380000001</v>
      </c>
      <c r="Y70" t="b">
        <v>0</v>
      </c>
      <c r="Z70" t="b">
        <v>0</v>
      </c>
      <c r="AA70" t="b">
        <v>0</v>
      </c>
    </row>
    <row r="71" spans="1:27" x14ac:dyDescent="0.25">
      <c r="A71">
        <v>914</v>
      </c>
      <c r="B71" t="s">
        <v>268</v>
      </c>
      <c r="C71" t="s">
        <v>339</v>
      </c>
      <c r="D71" t="s">
        <v>408</v>
      </c>
      <c r="E71" t="s">
        <v>110</v>
      </c>
      <c r="F71">
        <v>138014470</v>
      </c>
      <c r="G71">
        <v>200.52170000000001</v>
      </c>
      <c r="H71" t="s">
        <v>202</v>
      </c>
      <c r="I71">
        <v>27674896148.999001</v>
      </c>
      <c r="J71" t="s">
        <v>209</v>
      </c>
      <c r="K71">
        <v>203520795.08409399</v>
      </c>
      <c r="L71" t="s">
        <v>118</v>
      </c>
      <c r="M71" t="s">
        <v>487</v>
      </c>
      <c r="N71">
        <v>0.84961766999999999</v>
      </c>
      <c r="O71">
        <v>227.4</v>
      </c>
      <c r="P71">
        <v>230.63</v>
      </c>
      <c r="Q71">
        <v>1</v>
      </c>
      <c r="R71">
        <v>20102020</v>
      </c>
      <c r="S71" t="s">
        <v>119</v>
      </c>
      <c r="T71" t="s">
        <v>263</v>
      </c>
      <c r="U71">
        <v>27043565963.79697</v>
      </c>
      <c r="V71">
        <v>28.440426250000002</v>
      </c>
      <c r="W71" t="s">
        <v>264</v>
      </c>
      <c r="X71">
        <v>28.440426250000002</v>
      </c>
      <c r="Y71" t="b">
        <v>0</v>
      </c>
      <c r="Z71" t="b">
        <v>0</v>
      </c>
      <c r="AA71" t="b">
        <v>0</v>
      </c>
    </row>
    <row r="72" spans="1:27" x14ac:dyDescent="0.25">
      <c r="A72">
        <v>975</v>
      </c>
      <c r="B72" t="s">
        <v>158</v>
      </c>
      <c r="C72" t="s">
        <v>44</v>
      </c>
      <c r="D72" t="s">
        <v>94</v>
      </c>
      <c r="E72" t="s">
        <v>109</v>
      </c>
      <c r="F72">
        <v>2112421900</v>
      </c>
      <c r="G72">
        <v>110.6155</v>
      </c>
      <c r="H72" t="s">
        <v>204</v>
      </c>
      <c r="I72">
        <v>233666604679.45001</v>
      </c>
      <c r="J72" t="s">
        <v>210</v>
      </c>
      <c r="K72">
        <v>286070489.215958</v>
      </c>
      <c r="L72" t="s">
        <v>118</v>
      </c>
      <c r="M72" t="s">
        <v>219</v>
      </c>
      <c r="N72">
        <v>1.0682048799999999</v>
      </c>
      <c r="O72">
        <v>107.48</v>
      </c>
      <c r="P72">
        <v>102.88</v>
      </c>
      <c r="Q72">
        <v>0.95</v>
      </c>
      <c r="R72">
        <v>20103015</v>
      </c>
      <c r="S72" t="s">
        <v>119</v>
      </c>
      <c r="T72" t="s">
        <v>263</v>
      </c>
      <c r="U72">
        <v>220541223618.5889</v>
      </c>
      <c r="V72">
        <v>10.93358125</v>
      </c>
      <c r="W72" t="s">
        <v>264</v>
      </c>
      <c r="X72">
        <v>10.93358125</v>
      </c>
      <c r="Y72" t="b">
        <v>0</v>
      </c>
      <c r="Z72" t="b">
        <v>0</v>
      </c>
      <c r="AA72" t="b">
        <v>0</v>
      </c>
    </row>
    <row r="73" spans="1:27" x14ac:dyDescent="0.25">
      <c r="A73">
        <v>976</v>
      </c>
      <c r="B73" t="s">
        <v>165</v>
      </c>
      <c r="C73" t="s">
        <v>45</v>
      </c>
      <c r="D73" t="s">
        <v>95</v>
      </c>
      <c r="E73" t="s">
        <v>117</v>
      </c>
      <c r="F73">
        <v>3390128000</v>
      </c>
      <c r="G73">
        <v>40.78913</v>
      </c>
      <c r="H73" t="s">
        <v>205</v>
      </c>
      <c r="I73">
        <v>138280371708.64001</v>
      </c>
      <c r="J73" t="s">
        <v>210</v>
      </c>
      <c r="K73">
        <v>270025172.76149303</v>
      </c>
      <c r="L73" t="s">
        <v>118</v>
      </c>
      <c r="M73" t="s">
        <v>226</v>
      </c>
      <c r="N73">
        <v>0.13384283</v>
      </c>
      <c r="O73">
        <v>309.35000000000002</v>
      </c>
      <c r="P73">
        <v>304.64999999999998</v>
      </c>
      <c r="Q73">
        <v>0.95</v>
      </c>
      <c r="R73">
        <v>20103015</v>
      </c>
      <c r="S73" t="s">
        <v>119</v>
      </c>
      <c r="T73" t="s">
        <v>263</v>
      </c>
      <c r="U73">
        <v>131321548349.19791</v>
      </c>
      <c r="V73">
        <v>19.475670000000001</v>
      </c>
      <c r="W73" t="s">
        <v>264</v>
      </c>
      <c r="X73">
        <v>19.475670000000001</v>
      </c>
      <c r="Y73" t="b">
        <v>0</v>
      </c>
      <c r="Z73" t="b">
        <v>0</v>
      </c>
      <c r="AA73" t="b">
        <v>0</v>
      </c>
    </row>
    <row r="74" spans="1:27" x14ac:dyDescent="0.25">
      <c r="A74">
        <v>977</v>
      </c>
      <c r="B74" t="s">
        <v>281</v>
      </c>
      <c r="C74" t="s">
        <v>350</v>
      </c>
      <c r="D74" t="s">
        <v>419</v>
      </c>
      <c r="E74" t="s">
        <v>117</v>
      </c>
      <c r="F74">
        <v>414555050</v>
      </c>
      <c r="G74">
        <v>53.716070000000002</v>
      </c>
      <c r="H74" t="s">
        <v>205</v>
      </c>
      <c r="I74">
        <v>22268268084.6535</v>
      </c>
      <c r="J74" t="s">
        <v>210</v>
      </c>
      <c r="K74">
        <v>30371691.699603599</v>
      </c>
      <c r="L74" t="s">
        <v>118</v>
      </c>
      <c r="M74" t="s">
        <v>500</v>
      </c>
      <c r="N74">
        <v>0.13384283</v>
      </c>
      <c r="O74">
        <v>391.3</v>
      </c>
      <c r="P74">
        <v>401.2</v>
      </c>
      <c r="Q74">
        <v>0.85</v>
      </c>
      <c r="R74">
        <v>20103010</v>
      </c>
      <c r="S74" t="s">
        <v>119</v>
      </c>
      <c r="T74" t="s">
        <v>263</v>
      </c>
      <c r="U74">
        <v>18921570093.653561</v>
      </c>
      <c r="V74">
        <v>17.588638570000001</v>
      </c>
      <c r="W74" t="s">
        <v>264</v>
      </c>
      <c r="X74">
        <v>17.588638570000001</v>
      </c>
      <c r="Y74" t="b">
        <v>0</v>
      </c>
      <c r="Z74" t="b">
        <v>0</v>
      </c>
      <c r="AA74" t="b">
        <v>0</v>
      </c>
    </row>
    <row r="75" spans="1:27" x14ac:dyDescent="0.25">
      <c r="A75">
        <v>995</v>
      </c>
      <c r="B75" t="s">
        <v>294</v>
      </c>
      <c r="C75" t="s">
        <v>363</v>
      </c>
      <c r="D75" t="s">
        <v>432</v>
      </c>
      <c r="E75" t="s">
        <v>114</v>
      </c>
      <c r="F75">
        <v>1139116300</v>
      </c>
      <c r="G75">
        <v>11.504390000000001</v>
      </c>
      <c r="H75" t="s">
        <v>207</v>
      </c>
      <c r="I75">
        <v>13104838170.556999</v>
      </c>
      <c r="J75" t="s">
        <v>212</v>
      </c>
      <c r="K75">
        <v>45101674.215485796</v>
      </c>
      <c r="L75" t="s">
        <v>118</v>
      </c>
      <c r="M75" t="s">
        <v>513</v>
      </c>
      <c r="N75">
        <v>5.48884E-3</v>
      </c>
      <c r="O75">
        <v>2010.5</v>
      </c>
      <c r="P75">
        <v>2071.5</v>
      </c>
      <c r="Q75">
        <v>1</v>
      </c>
      <c r="R75">
        <v>20102010</v>
      </c>
      <c r="S75" t="s">
        <v>119</v>
      </c>
      <c r="T75" t="s">
        <v>263</v>
      </c>
      <c r="U75">
        <v>12951902762.69858</v>
      </c>
      <c r="V75">
        <v>20.546496250000001</v>
      </c>
      <c r="W75" t="s">
        <v>264</v>
      </c>
      <c r="X75">
        <v>20.546496250000001</v>
      </c>
      <c r="Y75" t="b">
        <v>0</v>
      </c>
      <c r="Z75" t="b">
        <v>0</v>
      </c>
      <c r="AA75" t="b">
        <v>0</v>
      </c>
    </row>
    <row r="76" spans="1:27" x14ac:dyDescent="0.25">
      <c r="A76">
        <v>1000</v>
      </c>
      <c r="B76" t="s">
        <v>316</v>
      </c>
      <c r="C76" t="s">
        <v>385</v>
      </c>
      <c r="D76" t="s">
        <v>454</v>
      </c>
      <c r="E76" t="s">
        <v>114</v>
      </c>
      <c r="F76">
        <v>498692800</v>
      </c>
      <c r="G76">
        <v>11.537710000000001</v>
      </c>
      <c r="H76" t="s">
        <v>207</v>
      </c>
      <c r="I76">
        <v>5753772905.4879999</v>
      </c>
      <c r="J76" t="s">
        <v>212</v>
      </c>
      <c r="K76">
        <v>33871086.495335601</v>
      </c>
      <c r="L76" t="s">
        <v>118</v>
      </c>
      <c r="M76" t="s">
        <v>535</v>
      </c>
      <c r="N76">
        <v>5.48884E-3</v>
      </c>
      <c r="O76">
        <v>2199</v>
      </c>
      <c r="P76">
        <v>2077.5</v>
      </c>
      <c r="Q76">
        <v>0.95</v>
      </c>
      <c r="R76">
        <v>20103015</v>
      </c>
      <c r="S76" t="s">
        <v>119</v>
      </c>
      <c r="T76" t="s">
        <v>263</v>
      </c>
      <c r="U76">
        <v>5402295140.1362162</v>
      </c>
      <c r="V76">
        <v>22.930006989999999</v>
      </c>
      <c r="W76" t="s">
        <v>264</v>
      </c>
      <c r="X76">
        <v>22.930006989999999</v>
      </c>
      <c r="Y76" t="b">
        <v>0</v>
      </c>
      <c r="Z76" t="b">
        <v>0</v>
      </c>
      <c r="AA76" t="b">
        <v>0</v>
      </c>
    </row>
    <row r="77" spans="1:27" x14ac:dyDescent="0.25">
      <c r="A77">
        <v>1009</v>
      </c>
      <c r="B77" t="s">
        <v>308</v>
      </c>
      <c r="C77" t="s">
        <v>377</v>
      </c>
      <c r="D77" t="s">
        <v>446</v>
      </c>
      <c r="E77" t="s">
        <v>479</v>
      </c>
      <c r="F77">
        <v>109292460</v>
      </c>
      <c r="G77">
        <v>59.95</v>
      </c>
      <c r="H77" t="s">
        <v>119</v>
      </c>
      <c r="I77">
        <v>6552082977</v>
      </c>
      <c r="J77" t="s">
        <v>211</v>
      </c>
      <c r="K77">
        <v>13479906.0063636</v>
      </c>
      <c r="L77" t="s">
        <v>118</v>
      </c>
      <c r="M77" t="s">
        <v>527</v>
      </c>
      <c r="N77">
        <v>1</v>
      </c>
      <c r="O77">
        <v>61.55</v>
      </c>
      <c r="P77">
        <v>59.95</v>
      </c>
      <c r="Q77">
        <v>1</v>
      </c>
      <c r="R77">
        <v>20103015</v>
      </c>
      <c r="S77" t="s">
        <v>119</v>
      </c>
      <c r="T77" t="s">
        <v>263</v>
      </c>
      <c r="U77">
        <v>6552082977</v>
      </c>
      <c r="V77">
        <v>20.441442500000001</v>
      </c>
      <c r="W77" t="s">
        <v>264</v>
      </c>
      <c r="X77">
        <v>20.441442500000001</v>
      </c>
      <c r="Y77" t="b">
        <v>0</v>
      </c>
      <c r="Z77" t="b">
        <v>0</v>
      </c>
      <c r="AA77" t="b">
        <v>0</v>
      </c>
    </row>
    <row r="78" spans="1:27" x14ac:dyDescent="0.25">
      <c r="A78">
        <v>1017</v>
      </c>
      <c r="B78" t="s">
        <v>271</v>
      </c>
      <c r="C78" t="s">
        <v>341</v>
      </c>
      <c r="D78" t="s">
        <v>410</v>
      </c>
      <c r="E78" t="s">
        <v>114</v>
      </c>
      <c r="F78">
        <v>542988900</v>
      </c>
      <c r="G78">
        <v>47.578130000000002</v>
      </c>
      <c r="H78" t="s">
        <v>207</v>
      </c>
      <c r="I78">
        <v>25834396472.757</v>
      </c>
      <c r="J78" t="s">
        <v>212</v>
      </c>
      <c r="K78">
        <v>51951377.006448202</v>
      </c>
      <c r="L78" t="s">
        <v>118</v>
      </c>
      <c r="M78" t="s">
        <v>490</v>
      </c>
      <c r="N78">
        <v>5.48884E-3</v>
      </c>
      <c r="O78">
        <v>9180</v>
      </c>
      <c r="P78">
        <v>8567</v>
      </c>
      <c r="Q78">
        <v>0.9</v>
      </c>
      <c r="R78">
        <v>20103015</v>
      </c>
      <c r="S78" t="s">
        <v>119</v>
      </c>
      <c r="T78" t="s">
        <v>263</v>
      </c>
      <c r="U78">
        <v>22979617698.542122</v>
      </c>
      <c r="V78">
        <v>24.95130352</v>
      </c>
      <c r="W78" t="s">
        <v>264</v>
      </c>
      <c r="X78">
        <v>24.95130352</v>
      </c>
      <c r="Y78" t="b">
        <v>0</v>
      </c>
      <c r="Z78" t="b">
        <v>0</v>
      </c>
      <c r="AA78" t="b">
        <v>0</v>
      </c>
    </row>
    <row r="79" spans="1:27" x14ac:dyDescent="0.25">
      <c r="A79">
        <v>1039</v>
      </c>
      <c r="B79" t="s">
        <v>168</v>
      </c>
      <c r="C79" t="s">
        <v>46</v>
      </c>
      <c r="D79" t="s">
        <v>96</v>
      </c>
      <c r="E79" t="s">
        <v>108</v>
      </c>
      <c r="F79">
        <v>5685707500</v>
      </c>
      <c r="G79">
        <v>21.771070000000002</v>
      </c>
      <c r="H79" t="s">
        <v>202</v>
      </c>
      <c r="I79">
        <v>123783935982.02499</v>
      </c>
      <c r="J79" t="s">
        <v>209</v>
      </c>
      <c r="K79">
        <v>1428431646.10759</v>
      </c>
      <c r="L79" t="s">
        <v>118</v>
      </c>
      <c r="M79" t="s">
        <v>229</v>
      </c>
      <c r="N79">
        <v>0.84961766999999999</v>
      </c>
      <c r="O79">
        <v>25.53</v>
      </c>
      <c r="P79">
        <v>25.04</v>
      </c>
      <c r="Q79">
        <v>1</v>
      </c>
      <c r="R79">
        <v>20103015</v>
      </c>
      <c r="S79" t="s">
        <v>119</v>
      </c>
      <c r="T79" t="s">
        <v>263</v>
      </c>
      <c r="U79">
        <v>120960166063.62621</v>
      </c>
      <c r="V79">
        <v>15.90419625</v>
      </c>
      <c r="W79" t="s">
        <v>264</v>
      </c>
      <c r="X79">
        <v>15.90419625</v>
      </c>
      <c r="Y79" t="b">
        <v>0</v>
      </c>
      <c r="Z79" t="b">
        <v>0</v>
      </c>
      <c r="AA79" t="b">
        <v>0</v>
      </c>
    </row>
    <row r="80" spans="1:27" x14ac:dyDescent="0.25">
      <c r="A80">
        <v>1042</v>
      </c>
      <c r="B80" t="s">
        <v>283</v>
      </c>
      <c r="C80" t="s">
        <v>352</v>
      </c>
      <c r="D80" t="s">
        <v>421</v>
      </c>
      <c r="E80" t="s">
        <v>476</v>
      </c>
      <c r="F80">
        <v>962920132</v>
      </c>
      <c r="G80">
        <v>23.49</v>
      </c>
      <c r="H80" t="s">
        <v>119</v>
      </c>
      <c r="I80">
        <v>22618993900.68</v>
      </c>
      <c r="J80" t="s">
        <v>211</v>
      </c>
      <c r="K80">
        <v>32230025.666818202</v>
      </c>
      <c r="L80" t="s">
        <v>118</v>
      </c>
      <c r="M80" t="s">
        <v>502</v>
      </c>
      <c r="N80">
        <v>1</v>
      </c>
      <c r="O80">
        <v>22.55</v>
      </c>
      <c r="P80">
        <v>23.49</v>
      </c>
      <c r="Q80">
        <v>0.8</v>
      </c>
      <c r="R80">
        <v>20102010</v>
      </c>
      <c r="S80" t="s">
        <v>119</v>
      </c>
      <c r="T80" t="s">
        <v>263</v>
      </c>
      <c r="U80">
        <v>18095195120.543999</v>
      </c>
      <c r="V80">
        <v>20.2915375</v>
      </c>
      <c r="W80" t="s">
        <v>265</v>
      </c>
      <c r="X80">
        <v>20.2915375</v>
      </c>
      <c r="Y80" t="b">
        <v>0</v>
      </c>
      <c r="Z80" t="b">
        <v>0</v>
      </c>
      <c r="AA80" t="b">
        <v>0</v>
      </c>
    </row>
    <row r="81" spans="1:27" x14ac:dyDescent="0.25">
      <c r="A81">
        <v>1057</v>
      </c>
      <c r="B81" t="s">
        <v>305</v>
      </c>
      <c r="C81" t="s">
        <v>374</v>
      </c>
      <c r="D81" t="s">
        <v>443</v>
      </c>
      <c r="E81" t="s">
        <v>115</v>
      </c>
      <c r="F81">
        <v>104510840</v>
      </c>
      <c r="G81">
        <v>140.60069999999999</v>
      </c>
      <c r="H81" t="s">
        <v>206</v>
      </c>
      <c r="I81">
        <v>14694297261.587999</v>
      </c>
      <c r="J81" t="s">
        <v>212</v>
      </c>
      <c r="K81">
        <v>27478181.100048698</v>
      </c>
      <c r="L81" t="s">
        <v>118</v>
      </c>
      <c r="M81" t="s">
        <v>524</v>
      </c>
      <c r="N81">
        <v>0.56409533000000001</v>
      </c>
      <c r="O81">
        <v>226.05</v>
      </c>
      <c r="P81">
        <v>251.32</v>
      </c>
      <c r="Q81">
        <v>0.55000000000000004</v>
      </c>
      <c r="R81">
        <v>20101025</v>
      </c>
      <c r="S81" t="s">
        <v>119</v>
      </c>
      <c r="T81" t="s">
        <v>263</v>
      </c>
      <c r="U81">
        <v>8148986216.7679682</v>
      </c>
      <c r="V81">
        <v>16.54843125</v>
      </c>
      <c r="W81" t="s">
        <v>264</v>
      </c>
      <c r="X81">
        <v>16.54843125</v>
      </c>
      <c r="Y81" t="b">
        <v>0</v>
      </c>
      <c r="Z81" t="b">
        <v>0</v>
      </c>
      <c r="AA81" t="b">
        <v>0</v>
      </c>
    </row>
    <row r="82" spans="1:27" x14ac:dyDescent="0.25">
      <c r="A82">
        <v>1074</v>
      </c>
      <c r="B82" t="s">
        <v>303</v>
      </c>
      <c r="C82" t="s">
        <v>372</v>
      </c>
      <c r="D82" t="s">
        <v>441</v>
      </c>
      <c r="E82" t="s">
        <v>127</v>
      </c>
      <c r="F82">
        <v>216841000</v>
      </c>
      <c r="G82">
        <v>40.380000000000003</v>
      </c>
      <c r="H82" t="s">
        <v>119</v>
      </c>
      <c r="I82">
        <v>8756039580</v>
      </c>
      <c r="J82" t="s">
        <v>211</v>
      </c>
      <c r="K82">
        <v>18033050.166439399</v>
      </c>
      <c r="L82" t="s">
        <v>118</v>
      </c>
      <c r="M82" t="s">
        <v>522</v>
      </c>
      <c r="N82">
        <v>1</v>
      </c>
      <c r="O82">
        <v>37.99</v>
      </c>
      <c r="P82">
        <v>40.380000000000003</v>
      </c>
      <c r="Q82">
        <v>1</v>
      </c>
      <c r="R82">
        <v>20102015</v>
      </c>
      <c r="S82" t="s">
        <v>119</v>
      </c>
      <c r="T82" t="s">
        <v>263</v>
      </c>
      <c r="U82">
        <v>8756039580</v>
      </c>
      <c r="V82">
        <v>13.04523625</v>
      </c>
      <c r="W82" t="s">
        <v>264</v>
      </c>
      <c r="X82">
        <v>13.04523625</v>
      </c>
      <c r="Y82" t="b">
        <v>0</v>
      </c>
      <c r="Z82" t="b">
        <v>0</v>
      </c>
      <c r="AA82" t="b">
        <v>0</v>
      </c>
    </row>
    <row r="83" spans="1:27" x14ac:dyDescent="0.25">
      <c r="A83">
        <v>1078</v>
      </c>
      <c r="B83" t="s">
        <v>284</v>
      </c>
      <c r="C83" t="s">
        <v>353</v>
      </c>
      <c r="D83" t="s">
        <v>422</v>
      </c>
      <c r="E83" t="s">
        <v>108</v>
      </c>
      <c r="F83">
        <v>111242360</v>
      </c>
      <c r="G83">
        <v>166.28270000000001</v>
      </c>
      <c r="H83" t="s">
        <v>202</v>
      </c>
      <c r="I83">
        <v>18497679975.172001</v>
      </c>
      <c r="J83" t="s">
        <v>209</v>
      </c>
      <c r="K83">
        <v>152621010.21438599</v>
      </c>
      <c r="L83" t="s">
        <v>118</v>
      </c>
      <c r="M83" t="s">
        <v>503</v>
      </c>
      <c r="N83">
        <v>0.84961766999999999</v>
      </c>
      <c r="O83">
        <v>178.66</v>
      </c>
      <c r="P83">
        <v>191.25</v>
      </c>
      <c r="Q83">
        <v>1</v>
      </c>
      <c r="R83">
        <v>20102020</v>
      </c>
      <c r="S83" t="s">
        <v>119</v>
      </c>
      <c r="T83" t="s">
        <v>263</v>
      </c>
      <c r="U83">
        <v>18075702038.000851</v>
      </c>
      <c r="V83">
        <v>19.915564379999999</v>
      </c>
      <c r="W83" t="s">
        <v>264</v>
      </c>
      <c r="X83">
        <v>19.915564379999999</v>
      </c>
      <c r="Y83" t="b">
        <v>0</v>
      </c>
      <c r="Z83" t="b">
        <v>0</v>
      </c>
      <c r="AA83" t="b">
        <v>0</v>
      </c>
    </row>
    <row r="84" spans="1:27" x14ac:dyDescent="0.25">
      <c r="A84">
        <v>1083</v>
      </c>
      <c r="B84" t="s">
        <v>331</v>
      </c>
      <c r="C84" t="s">
        <v>400</v>
      </c>
      <c r="D84" t="s">
        <v>469</v>
      </c>
      <c r="E84" t="s">
        <v>115</v>
      </c>
      <c r="F84">
        <v>230829800</v>
      </c>
      <c r="G84">
        <v>17.493960000000001</v>
      </c>
      <c r="H84" t="s">
        <v>206</v>
      </c>
      <c r="I84">
        <v>4038127288.0079999</v>
      </c>
      <c r="J84" t="s">
        <v>212</v>
      </c>
      <c r="K84">
        <v>13756038.227947</v>
      </c>
      <c r="L84" t="s">
        <v>118</v>
      </c>
      <c r="M84" t="s">
        <v>550</v>
      </c>
      <c r="N84">
        <v>0.56409533000000001</v>
      </c>
      <c r="O84">
        <v>34.9</v>
      </c>
      <c r="P84">
        <v>31.27</v>
      </c>
      <c r="Q84">
        <v>0.8</v>
      </c>
      <c r="R84">
        <v>20101010</v>
      </c>
      <c r="S84" t="s">
        <v>119</v>
      </c>
      <c r="T84" t="s">
        <v>263</v>
      </c>
      <c r="U84">
        <v>3257333665.3161268</v>
      </c>
      <c r="V84">
        <v>25.39733</v>
      </c>
      <c r="W84" t="s">
        <v>264</v>
      </c>
      <c r="X84">
        <v>25.39733</v>
      </c>
      <c r="Y84" t="b">
        <v>0</v>
      </c>
      <c r="Z84" t="b">
        <v>0</v>
      </c>
      <c r="AA84" t="b">
        <v>0</v>
      </c>
    </row>
    <row r="85" spans="1:27" x14ac:dyDescent="0.25">
      <c r="A85">
        <v>1091</v>
      </c>
      <c r="B85" t="s">
        <v>313</v>
      </c>
      <c r="C85" t="s">
        <v>382</v>
      </c>
      <c r="D85" t="s">
        <v>451</v>
      </c>
      <c r="E85" t="s">
        <v>481</v>
      </c>
      <c r="F85">
        <v>209125156</v>
      </c>
      <c r="G85">
        <v>50.75</v>
      </c>
      <c r="H85" t="s">
        <v>119</v>
      </c>
      <c r="I85">
        <v>10613101667</v>
      </c>
      <c r="J85" t="s">
        <v>211</v>
      </c>
      <c r="K85">
        <v>12983731.630151501</v>
      </c>
      <c r="L85" t="s">
        <v>118</v>
      </c>
      <c r="M85" t="s">
        <v>532</v>
      </c>
      <c r="N85">
        <v>1</v>
      </c>
      <c r="O85">
        <v>47.94</v>
      </c>
      <c r="P85">
        <v>50.75</v>
      </c>
      <c r="Q85">
        <v>0.55000000000000004</v>
      </c>
      <c r="R85">
        <v>20103015</v>
      </c>
      <c r="S85" t="s">
        <v>119</v>
      </c>
      <c r="T85" t="s">
        <v>263</v>
      </c>
      <c r="U85">
        <v>5837205916.8500004</v>
      </c>
      <c r="V85">
        <v>23.996252500000001</v>
      </c>
      <c r="W85" t="s">
        <v>264</v>
      </c>
      <c r="X85">
        <v>23.996252500000001</v>
      </c>
      <c r="Y85" t="b">
        <v>0</v>
      </c>
      <c r="Z85" t="b">
        <v>0</v>
      </c>
      <c r="AA85" t="b">
        <v>0</v>
      </c>
    </row>
    <row r="86" spans="1:27" x14ac:dyDescent="0.25">
      <c r="A86">
        <v>1095</v>
      </c>
      <c r="B86" t="s">
        <v>177</v>
      </c>
      <c r="C86" t="s">
        <v>47</v>
      </c>
      <c r="D86" t="s">
        <v>97</v>
      </c>
      <c r="E86" t="s">
        <v>110</v>
      </c>
      <c r="F86">
        <v>103282320</v>
      </c>
      <c r="G86">
        <v>657.21860000000004</v>
      </c>
      <c r="H86" t="s">
        <v>202</v>
      </c>
      <c r="I86">
        <v>67879061755.152</v>
      </c>
      <c r="J86" t="s">
        <v>209</v>
      </c>
      <c r="K86">
        <v>573834079.75992799</v>
      </c>
      <c r="L86" t="s">
        <v>118</v>
      </c>
      <c r="M86" t="s">
        <v>238</v>
      </c>
      <c r="N86">
        <v>0.84961766999999999</v>
      </c>
      <c r="O86">
        <v>746.36</v>
      </c>
      <c r="P86">
        <v>755.9</v>
      </c>
      <c r="Q86">
        <v>1</v>
      </c>
      <c r="R86">
        <v>20103010</v>
      </c>
      <c r="S86" t="s">
        <v>119</v>
      </c>
      <c r="T86" t="s">
        <v>263</v>
      </c>
      <c r="U86">
        <v>66330590908.962303</v>
      </c>
      <c r="V86">
        <v>17.589247499999999</v>
      </c>
      <c r="W86" t="s">
        <v>264</v>
      </c>
      <c r="X86">
        <v>17.589247499999999</v>
      </c>
      <c r="Y86" t="b">
        <v>0</v>
      </c>
      <c r="Z86" t="b">
        <v>0</v>
      </c>
      <c r="AA86" t="b">
        <v>0</v>
      </c>
    </row>
    <row r="87" spans="1:27" x14ac:dyDescent="0.25">
      <c r="A87">
        <v>1106</v>
      </c>
      <c r="B87" t="s">
        <v>197</v>
      </c>
      <c r="C87" t="s">
        <v>48</v>
      </c>
      <c r="D87" t="s">
        <v>98</v>
      </c>
      <c r="E87" t="s">
        <v>108</v>
      </c>
      <c r="F87">
        <v>145966300</v>
      </c>
      <c r="G87">
        <v>218.01499999999999</v>
      </c>
      <c r="H87" t="s">
        <v>202</v>
      </c>
      <c r="I87">
        <v>31822842894.5</v>
      </c>
      <c r="J87" t="s">
        <v>209</v>
      </c>
      <c r="K87">
        <v>243405399.92009199</v>
      </c>
      <c r="L87" t="s">
        <v>118</v>
      </c>
      <c r="M87" t="s">
        <v>258</v>
      </c>
      <c r="N87">
        <v>0.84961766999999999</v>
      </c>
      <c r="O87">
        <v>247.34</v>
      </c>
      <c r="P87">
        <v>250.75</v>
      </c>
      <c r="Q87">
        <v>1</v>
      </c>
      <c r="R87">
        <v>20102010</v>
      </c>
      <c r="S87" t="s">
        <v>119</v>
      </c>
      <c r="T87" t="s">
        <v>263</v>
      </c>
      <c r="U87">
        <v>31096898586.908642</v>
      </c>
      <c r="V87">
        <v>20.188042500000002</v>
      </c>
      <c r="W87" t="s">
        <v>264</v>
      </c>
      <c r="X87">
        <v>20.188042500000002</v>
      </c>
      <c r="Y87" t="b">
        <v>0</v>
      </c>
      <c r="Z87" t="b">
        <v>0</v>
      </c>
      <c r="AA87" t="b">
        <v>0</v>
      </c>
    </row>
    <row r="88" spans="1:27" x14ac:dyDescent="0.25">
      <c r="A88">
        <v>1118</v>
      </c>
      <c r="B88" t="s">
        <v>157</v>
      </c>
      <c r="C88" t="s">
        <v>49</v>
      </c>
      <c r="D88" t="s">
        <v>99</v>
      </c>
      <c r="E88" t="s">
        <v>109</v>
      </c>
      <c r="F88">
        <v>702562700</v>
      </c>
      <c r="G88">
        <v>339.3297</v>
      </c>
      <c r="H88" t="s">
        <v>204</v>
      </c>
      <c r="I88">
        <v>238400390222.19</v>
      </c>
      <c r="J88" t="s">
        <v>210</v>
      </c>
      <c r="K88">
        <v>326592198.93264502</v>
      </c>
      <c r="L88" t="s">
        <v>118</v>
      </c>
      <c r="M88" t="s">
        <v>218</v>
      </c>
      <c r="N88">
        <v>1.0682048799999999</v>
      </c>
      <c r="O88">
        <v>320.39999999999998</v>
      </c>
      <c r="P88">
        <v>315.60000000000002</v>
      </c>
      <c r="Q88">
        <v>1</v>
      </c>
      <c r="R88">
        <v>20103015</v>
      </c>
      <c r="S88" t="s">
        <v>119</v>
      </c>
      <c r="T88" t="s">
        <v>263</v>
      </c>
      <c r="U88">
        <v>236851773506.27011</v>
      </c>
      <c r="V88">
        <v>21.143226250000001</v>
      </c>
      <c r="W88" t="s">
        <v>264</v>
      </c>
      <c r="X88">
        <v>21.143226250000001</v>
      </c>
      <c r="Y88" t="b">
        <v>0</v>
      </c>
      <c r="Z88" t="b">
        <v>0</v>
      </c>
      <c r="AA88" t="b">
        <v>0</v>
      </c>
    </row>
    <row r="89" spans="1:27" x14ac:dyDescent="0.25">
      <c r="A89">
        <v>1122</v>
      </c>
      <c r="B89" t="s">
        <v>329</v>
      </c>
      <c r="C89" t="s">
        <v>398</v>
      </c>
      <c r="D89" t="s">
        <v>467</v>
      </c>
      <c r="E89" t="s">
        <v>114</v>
      </c>
      <c r="F89">
        <v>236178310</v>
      </c>
      <c r="G89">
        <v>14.21735</v>
      </c>
      <c r="H89" t="s">
        <v>207</v>
      </c>
      <c r="I89">
        <v>3357829695.6785002</v>
      </c>
      <c r="J89" t="s">
        <v>212</v>
      </c>
      <c r="K89">
        <v>9125002.3253027499</v>
      </c>
      <c r="L89" t="s">
        <v>118</v>
      </c>
      <c r="M89" t="s">
        <v>548</v>
      </c>
      <c r="N89">
        <v>5.48884E-3</v>
      </c>
      <c r="O89">
        <v>2555</v>
      </c>
      <c r="P89">
        <v>2560</v>
      </c>
      <c r="Q89">
        <v>1</v>
      </c>
      <c r="R89">
        <v>20103015</v>
      </c>
      <c r="S89" t="s">
        <v>119</v>
      </c>
      <c r="T89" t="s">
        <v>263</v>
      </c>
      <c r="U89">
        <v>3318643084.9546242</v>
      </c>
      <c r="V89">
        <v>27.574179999999998</v>
      </c>
      <c r="W89" t="s">
        <v>264</v>
      </c>
      <c r="X89">
        <v>27.574179999999998</v>
      </c>
      <c r="Y89" t="b">
        <v>0</v>
      </c>
      <c r="Z89" t="b">
        <v>0</v>
      </c>
      <c r="AA89" t="b">
        <v>0</v>
      </c>
    </row>
    <row r="90" spans="1:27" x14ac:dyDescent="0.25">
      <c r="A90">
        <v>1149</v>
      </c>
      <c r="B90" t="s">
        <v>269</v>
      </c>
      <c r="C90" t="s">
        <v>340</v>
      </c>
      <c r="D90" t="s">
        <v>409</v>
      </c>
      <c r="E90" t="s">
        <v>109</v>
      </c>
      <c r="F90">
        <v>440000000</v>
      </c>
      <c r="G90">
        <v>58.85586</v>
      </c>
      <c r="H90" t="s">
        <v>204</v>
      </c>
      <c r="I90">
        <v>25896578400</v>
      </c>
      <c r="J90" t="s">
        <v>210</v>
      </c>
      <c r="K90">
        <v>36994824.469917297</v>
      </c>
      <c r="L90" t="s">
        <v>118</v>
      </c>
      <c r="M90" t="s">
        <v>488</v>
      </c>
      <c r="N90">
        <v>1.0682048799999999</v>
      </c>
      <c r="O90">
        <v>56.5</v>
      </c>
      <c r="P90">
        <v>54.74</v>
      </c>
      <c r="Q90">
        <v>1</v>
      </c>
      <c r="R90">
        <v>20103015</v>
      </c>
      <c r="S90" t="s">
        <v>119</v>
      </c>
      <c r="T90" t="s">
        <v>263</v>
      </c>
      <c r="U90">
        <v>25728355457.728001</v>
      </c>
      <c r="V90">
        <v>22.337853750000001</v>
      </c>
      <c r="W90" t="s">
        <v>264</v>
      </c>
      <c r="X90">
        <v>22.337853750000001</v>
      </c>
      <c r="Y90" t="b">
        <v>0</v>
      </c>
      <c r="Z90" t="b">
        <v>0</v>
      </c>
      <c r="AA90" t="b">
        <v>0</v>
      </c>
    </row>
    <row r="91" spans="1:27" x14ac:dyDescent="0.25">
      <c r="A91">
        <v>1154</v>
      </c>
      <c r="B91" t="s">
        <v>171</v>
      </c>
      <c r="C91" t="s">
        <v>50</v>
      </c>
      <c r="D91" t="s">
        <v>100</v>
      </c>
      <c r="E91" t="s">
        <v>116</v>
      </c>
      <c r="F91">
        <v>1227468973</v>
      </c>
      <c r="G91">
        <v>86.32</v>
      </c>
      <c r="H91" t="s">
        <v>119</v>
      </c>
      <c r="I91">
        <v>105955121749.36</v>
      </c>
      <c r="J91" t="s">
        <v>211</v>
      </c>
      <c r="K91">
        <v>162557819.54956099</v>
      </c>
      <c r="L91" t="s">
        <v>118</v>
      </c>
      <c r="M91" t="s">
        <v>232</v>
      </c>
      <c r="N91">
        <v>1</v>
      </c>
      <c r="O91">
        <v>80.94</v>
      </c>
      <c r="P91">
        <v>86.32</v>
      </c>
      <c r="Q91">
        <v>0.95000000000000007</v>
      </c>
      <c r="R91">
        <v>20103015</v>
      </c>
      <c r="S91" t="s">
        <v>119</v>
      </c>
      <c r="T91" t="s">
        <v>263</v>
      </c>
      <c r="U91">
        <v>100657365661.892</v>
      </c>
      <c r="V91">
        <v>13.1702175</v>
      </c>
      <c r="W91" t="s">
        <v>264</v>
      </c>
      <c r="X91">
        <v>13.1702175</v>
      </c>
      <c r="Y91" t="b">
        <v>0</v>
      </c>
      <c r="Z91" t="b">
        <v>0</v>
      </c>
      <c r="AA91" t="b">
        <v>0</v>
      </c>
    </row>
    <row r="92" spans="1:27" x14ac:dyDescent="0.25">
      <c r="A92">
        <v>1156</v>
      </c>
      <c r="B92" t="s">
        <v>337</v>
      </c>
      <c r="C92" t="s">
        <v>406</v>
      </c>
      <c r="D92" t="s">
        <v>475</v>
      </c>
      <c r="E92" t="s">
        <v>114</v>
      </c>
      <c r="F92">
        <v>342068540</v>
      </c>
      <c r="G92">
        <v>8.9524860000000004</v>
      </c>
      <c r="H92" t="s">
        <v>207</v>
      </c>
      <c r="I92">
        <v>3062363815.39044</v>
      </c>
      <c r="J92" t="s">
        <v>212</v>
      </c>
      <c r="K92">
        <v>11834437.788845999</v>
      </c>
      <c r="L92" t="s">
        <v>118</v>
      </c>
      <c r="M92" t="s">
        <v>556</v>
      </c>
      <c r="N92">
        <v>5.48884E-3</v>
      </c>
      <c r="O92">
        <v>1613.5</v>
      </c>
      <c r="P92">
        <v>1612</v>
      </c>
      <c r="Q92">
        <v>0.85</v>
      </c>
      <c r="R92">
        <v>20103015</v>
      </c>
      <c r="S92" t="s">
        <v>119</v>
      </c>
      <c r="T92" t="s">
        <v>263</v>
      </c>
      <c r="U92">
        <v>2572632006.4752512</v>
      </c>
      <c r="V92">
        <v>22.94605988</v>
      </c>
      <c r="W92" t="s">
        <v>264</v>
      </c>
      <c r="X92">
        <v>22.94605988</v>
      </c>
      <c r="Y92" t="b">
        <v>0</v>
      </c>
      <c r="Z92" t="b">
        <v>0</v>
      </c>
      <c r="AA92" t="b">
        <v>0</v>
      </c>
    </row>
    <row r="93" spans="1:27" x14ac:dyDescent="0.25">
      <c r="A93">
        <v>1161</v>
      </c>
      <c r="B93" t="s">
        <v>315</v>
      </c>
      <c r="C93" t="s">
        <v>384</v>
      </c>
      <c r="D93" t="s">
        <v>453</v>
      </c>
      <c r="E93" t="s">
        <v>127</v>
      </c>
      <c r="F93">
        <v>37440000</v>
      </c>
      <c r="G93">
        <v>225.3</v>
      </c>
      <c r="H93" t="s">
        <v>119</v>
      </c>
      <c r="I93">
        <v>8435232000</v>
      </c>
      <c r="J93" t="s">
        <v>211</v>
      </c>
      <c r="K93">
        <v>26591285.218939401</v>
      </c>
      <c r="L93" t="s">
        <v>118</v>
      </c>
      <c r="M93" t="s">
        <v>534</v>
      </c>
      <c r="N93">
        <v>1</v>
      </c>
      <c r="O93">
        <v>240.2</v>
      </c>
      <c r="P93">
        <v>225.3</v>
      </c>
      <c r="Q93">
        <v>0.65</v>
      </c>
      <c r="R93">
        <v>20102010</v>
      </c>
      <c r="S93" t="s">
        <v>119</v>
      </c>
      <c r="T93" t="s">
        <v>263</v>
      </c>
      <c r="U93">
        <v>5482900800</v>
      </c>
      <c r="V93">
        <v>18.228606249999999</v>
      </c>
      <c r="W93" t="s">
        <v>264</v>
      </c>
      <c r="X93">
        <v>18.228606249999999</v>
      </c>
      <c r="Y93" t="b">
        <v>0</v>
      </c>
      <c r="Z93" t="b">
        <v>0</v>
      </c>
      <c r="AA93" t="b">
        <v>0</v>
      </c>
    </row>
    <row r="94" spans="1:27" x14ac:dyDescent="0.25">
      <c r="A94">
        <v>1162</v>
      </c>
      <c r="B94" t="s">
        <v>314</v>
      </c>
      <c r="C94" t="s">
        <v>383</v>
      </c>
      <c r="D94" t="s">
        <v>452</v>
      </c>
      <c r="E94" t="s">
        <v>116</v>
      </c>
      <c r="F94">
        <v>97330405</v>
      </c>
      <c r="G94">
        <v>190</v>
      </c>
      <c r="H94" t="s">
        <v>119</v>
      </c>
      <c r="I94">
        <v>18492776950</v>
      </c>
      <c r="J94" t="s">
        <v>211</v>
      </c>
      <c r="K94">
        <v>13643625.1367424</v>
      </c>
      <c r="L94" t="s">
        <v>118</v>
      </c>
      <c r="M94" t="s">
        <v>533</v>
      </c>
      <c r="N94">
        <v>1</v>
      </c>
      <c r="O94">
        <v>208.3</v>
      </c>
      <c r="P94">
        <v>190</v>
      </c>
      <c r="Q94">
        <v>0.3</v>
      </c>
      <c r="R94">
        <v>20102015</v>
      </c>
      <c r="S94" t="s">
        <v>119</v>
      </c>
      <c r="T94" t="s">
        <v>263</v>
      </c>
      <c r="U94">
        <v>5547833085.000001</v>
      </c>
      <c r="V94">
        <v>15.35620625</v>
      </c>
      <c r="W94" t="s">
        <v>264</v>
      </c>
      <c r="X94">
        <v>15.35620625</v>
      </c>
      <c r="Y94" t="b">
        <v>0</v>
      </c>
      <c r="Z94" t="b">
        <v>0</v>
      </c>
      <c r="AA94" t="b">
        <v>0</v>
      </c>
    </row>
    <row r="95" spans="1:27" x14ac:dyDescent="0.25">
      <c r="A95">
        <v>1179</v>
      </c>
      <c r="B95" t="s">
        <v>327</v>
      </c>
      <c r="C95" t="s">
        <v>396</v>
      </c>
      <c r="D95" t="s">
        <v>465</v>
      </c>
      <c r="E95" t="s">
        <v>480</v>
      </c>
      <c r="F95">
        <v>182017440</v>
      </c>
      <c r="G95">
        <v>25.563839999999999</v>
      </c>
      <c r="H95" t="s">
        <v>484</v>
      </c>
      <c r="I95">
        <v>4653064713.3696003</v>
      </c>
      <c r="J95" t="s">
        <v>210</v>
      </c>
      <c r="K95">
        <v>3667273.5973228798</v>
      </c>
      <c r="L95" t="s">
        <v>118</v>
      </c>
      <c r="M95" t="s">
        <v>546</v>
      </c>
      <c r="N95">
        <v>9.1474150000000004E-2</v>
      </c>
      <c r="O95">
        <v>254</v>
      </c>
      <c r="P95">
        <v>281.8</v>
      </c>
      <c r="Q95">
        <v>0.75</v>
      </c>
      <c r="R95">
        <v>20102010</v>
      </c>
      <c r="S95" t="s">
        <v>119</v>
      </c>
      <c r="T95" t="s">
        <v>263</v>
      </c>
      <c r="U95">
        <v>3518954380.2493482</v>
      </c>
      <c r="V95">
        <v>19.436895</v>
      </c>
      <c r="W95" t="s">
        <v>264</v>
      </c>
      <c r="X95">
        <v>19.436895</v>
      </c>
      <c r="Y95" t="b">
        <v>0</v>
      </c>
      <c r="Z95" t="b">
        <v>0</v>
      </c>
      <c r="AA95" t="b">
        <v>0</v>
      </c>
    </row>
    <row r="96" spans="1:27" x14ac:dyDescent="0.25">
      <c r="A96">
        <v>1206</v>
      </c>
      <c r="B96" t="s">
        <v>295</v>
      </c>
      <c r="C96" t="s">
        <v>364</v>
      </c>
      <c r="D96" t="s">
        <v>433</v>
      </c>
      <c r="E96" t="s">
        <v>114</v>
      </c>
      <c r="F96">
        <v>889632200</v>
      </c>
      <c r="G96">
        <v>14.978199999999999</v>
      </c>
      <c r="H96" t="s">
        <v>207</v>
      </c>
      <c r="I96">
        <v>13325089018.040001</v>
      </c>
      <c r="J96" t="s">
        <v>212</v>
      </c>
      <c r="K96">
        <v>37014712.577446803</v>
      </c>
      <c r="L96" t="s">
        <v>118</v>
      </c>
      <c r="M96" t="s">
        <v>514</v>
      </c>
      <c r="N96">
        <v>5.48884E-3</v>
      </c>
      <c r="O96">
        <v>2764</v>
      </c>
      <c r="P96">
        <v>2697</v>
      </c>
      <c r="Q96">
        <v>0.95</v>
      </c>
      <c r="R96">
        <v>20103015</v>
      </c>
      <c r="S96" t="s">
        <v>119</v>
      </c>
      <c r="T96" t="s">
        <v>263</v>
      </c>
      <c r="U96">
        <v>12511103494.828871</v>
      </c>
      <c r="V96">
        <v>20.731189220000001</v>
      </c>
      <c r="W96" t="s">
        <v>264</v>
      </c>
      <c r="X96">
        <v>20.731189220000001</v>
      </c>
      <c r="Y96" t="b">
        <v>0</v>
      </c>
      <c r="Z96" t="b">
        <v>0</v>
      </c>
      <c r="AA96" t="b">
        <v>0</v>
      </c>
    </row>
    <row r="97" spans="1:27" x14ac:dyDescent="0.25">
      <c r="A97">
        <v>1211</v>
      </c>
      <c r="B97" t="s">
        <v>330</v>
      </c>
      <c r="C97" t="s">
        <v>399</v>
      </c>
      <c r="D97" t="s">
        <v>468</v>
      </c>
      <c r="E97" t="s">
        <v>109</v>
      </c>
      <c r="F97">
        <v>45230000</v>
      </c>
      <c r="G97">
        <v>76.768519999999995</v>
      </c>
      <c r="H97" t="s">
        <v>204</v>
      </c>
      <c r="I97">
        <v>3472240159.5999999</v>
      </c>
      <c r="J97" t="s">
        <v>210</v>
      </c>
      <c r="K97">
        <v>6572583.6139857499</v>
      </c>
      <c r="L97" t="s">
        <v>118</v>
      </c>
      <c r="M97" t="s">
        <v>549</v>
      </c>
      <c r="N97">
        <v>1.0682048799999999</v>
      </c>
      <c r="O97">
        <v>71.900000000000006</v>
      </c>
      <c r="P97">
        <v>71.400000000000006</v>
      </c>
      <c r="Q97">
        <v>0.95</v>
      </c>
      <c r="R97">
        <v>20103015</v>
      </c>
      <c r="S97" t="s">
        <v>119</v>
      </c>
      <c r="T97" t="s">
        <v>263</v>
      </c>
      <c r="U97">
        <v>3277200122.980392</v>
      </c>
      <c r="V97">
        <v>16.525246249999999</v>
      </c>
      <c r="W97" t="s">
        <v>264</v>
      </c>
      <c r="X97">
        <v>16.525246249999999</v>
      </c>
      <c r="Y97" t="b">
        <v>0</v>
      </c>
      <c r="Z97" t="b">
        <v>0</v>
      </c>
      <c r="AA97" t="b">
        <v>0</v>
      </c>
    </row>
    <row r="98" spans="1:27" x14ac:dyDescent="0.25">
      <c r="A98">
        <v>1214</v>
      </c>
      <c r="B98" t="s">
        <v>293</v>
      </c>
      <c r="C98" t="s">
        <v>362</v>
      </c>
      <c r="D98" t="s">
        <v>431</v>
      </c>
      <c r="E98" t="s">
        <v>127</v>
      </c>
      <c r="F98">
        <v>1128000000</v>
      </c>
      <c r="G98">
        <v>41.77</v>
      </c>
      <c r="H98" t="s">
        <v>119</v>
      </c>
      <c r="I98">
        <v>47116560000</v>
      </c>
      <c r="J98" t="s">
        <v>211</v>
      </c>
      <c r="K98">
        <v>40522478.966515198</v>
      </c>
      <c r="L98" t="s">
        <v>118</v>
      </c>
      <c r="M98" t="s">
        <v>512</v>
      </c>
      <c r="N98">
        <v>1</v>
      </c>
      <c r="O98">
        <v>44.21</v>
      </c>
      <c r="P98">
        <v>41.77</v>
      </c>
      <c r="Q98">
        <v>0.3</v>
      </c>
      <c r="R98">
        <v>20102010</v>
      </c>
      <c r="S98" t="s">
        <v>119</v>
      </c>
      <c r="T98" t="s">
        <v>263</v>
      </c>
      <c r="U98">
        <v>14134968000</v>
      </c>
      <c r="V98">
        <v>16.79945</v>
      </c>
      <c r="W98" t="s">
        <v>264</v>
      </c>
      <c r="X98">
        <v>16.79945</v>
      </c>
      <c r="Y98" t="b">
        <v>0</v>
      </c>
      <c r="Z98" t="b">
        <v>0</v>
      </c>
      <c r="AA98" t="b">
        <v>0</v>
      </c>
    </row>
    <row r="99" spans="1:27" x14ac:dyDescent="0.25">
      <c r="A99">
        <v>1232</v>
      </c>
      <c r="B99" t="s">
        <v>299</v>
      </c>
      <c r="C99" t="s">
        <v>368</v>
      </c>
      <c r="D99" t="s">
        <v>437</v>
      </c>
      <c r="E99" t="s">
        <v>112</v>
      </c>
      <c r="F99">
        <v>848707340</v>
      </c>
      <c r="G99">
        <v>14.23343</v>
      </c>
      <c r="H99" t="s">
        <v>203</v>
      </c>
      <c r="I99">
        <v>12080016514.3762</v>
      </c>
      <c r="J99" t="s">
        <v>210</v>
      </c>
      <c r="K99">
        <v>37510847.5202526</v>
      </c>
      <c r="L99" t="s">
        <v>118</v>
      </c>
      <c r="M99" t="s">
        <v>518</v>
      </c>
      <c r="N99">
        <v>1.139796E-2</v>
      </c>
      <c r="O99">
        <v>1206</v>
      </c>
      <c r="P99">
        <v>1251</v>
      </c>
      <c r="Q99">
        <v>0.9</v>
      </c>
      <c r="R99">
        <v>20102010</v>
      </c>
      <c r="S99" t="s">
        <v>119</v>
      </c>
      <c r="T99" t="s">
        <v>263</v>
      </c>
      <c r="U99">
        <v>10891430031.23642</v>
      </c>
      <c r="V99">
        <v>19.702929999999999</v>
      </c>
      <c r="W99" t="s">
        <v>264</v>
      </c>
      <c r="X99">
        <v>19.702929999999999</v>
      </c>
      <c r="Y99" t="b">
        <v>0</v>
      </c>
      <c r="Z99" t="b">
        <v>0</v>
      </c>
      <c r="AA99" t="b">
        <v>0</v>
      </c>
    </row>
    <row r="100" spans="1:27" x14ac:dyDescent="0.25">
      <c r="A100">
        <v>1248</v>
      </c>
      <c r="B100" t="s">
        <v>309</v>
      </c>
      <c r="C100" t="s">
        <v>378</v>
      </c>
      <c r="D100" t="s">
        <v>447</v>
      </c>
      <c r="E100" t="s">
        <v>115</v>
      </c>
      <c r="F100">
        <v>494237950</v>
      </c>
      <c r="G100">
        <v>12.917669999999999</v>
      </c>
      <c r="H100" t="s">
        <v>206</v>
      </c>
      <c r="I100">
        <v>6384402739.5764999</v>
      </c>
      <c r="J100" t="s">
        <v>212</v>
      </c>
      <c r="K100">
        <v>21499919.328828301</v>
      </c>
      <c r="L100" t="s">
        <v>118</v>
      </c>
      <c r="M100" t="s">
        <v>528</v>
      </c>
      <c r="N100">
        <v>0.56409533000000001</v>
      </c>
      <c r="O100">
        <v>22.98</v>
      </c>
      <c r="P100">
        <v>23.09</v>
      </c>
      <c r="Q100">
        <v>1</v>
      </c>
      <c r="R100">
        <v>20102020</v>
      </c>
      <c r="S100" t="s">
        <v>119</v>
      </c>
      <c r="T100" t="s">
        <v>263</v>
      </c>
      <c r="U100">
        <v>6437430107.3421297</v>
      </c>
      <c r="V100">
        <v>18.253718750000001</v>
      </c>
      <c r="W100" t="s">
        <v>264</v>
      </c>
      <c r="X100">
        <v>18.253718750000001</v>
      </c>
      <c r="Y100" t="b">
        <v>0</v>
      </c>
      <c r="Z100" t="b">
        <v>0</v>
      </c>
      <c r="AA100" t="b">
        <v>0</v>
      </c>
    </row>
    <row r="101" spans="1:27" x14ac:dyDescent="0.25">
      <c r="A101">
        <v>1249</v>
      </c>
      <c r="B101" t="s">
        <v>300</v>
      </c>
      <c r="C101" t="s">
        <v>369</v>
      </c>
      <c r="D101" t="s">
        <v>438</v>
      </c>
      <c r="E101" t="s">
        <v>109</v>
      </c>
      <c r="F101">
        <v>59626810</v>
      </c>
      <c r="G101">
        <v>209.55439999999999</v>
      </c>
      <c r="H101" t="s">
        <v>204</v>
      </c>
      <c r="I101">
        <v>12495060393.464001</v>
      </c>
      <c r="J101" t="s">
        <v>210</v>
      </c>
      <c r="K101">
        <v>42363419.2947824</v>
      </c>
      <c r="L101" t="s">
        <v>118</v>
      </c>
      <c r="M101" t="s">
        <v>519</v>
      </c>
      <c r="N101">
        <v>1.0682048799999999</v>
      </c>
      <c r="O101">
        <v>207</v>
      </c>
      <c r="P101">
        <v>194.9</v>
      </c>
      <c r="Q101">
        <v>0.85</v>
      </c>
      <c r="R101">
        <v>20102010</v>
      </c>
      <c r="S101" t="s">
        <v>119</v>
      </c>
      <c r="T101" t="s">
        <v>263</v>
      </c>
      <c r="U101">
        <v>10551808431.302271</v>
      </c>
      <c r="V101">
        <v>14.269298750000001</v>
      </c>
      <c r="W101" t="s">
        <v>264</v>
      </c>
      <c r="X101">
        <v>14.269298750000001</v>
      </c>
      <c r="Y101" t="b">
        <v>0</v>
      </c>
      <c r="Z101" t="b">
        <v>0</v>
      </c>
      <c r="AA101" t="b">
        <v>0</v>
      </c>
    </row>
    <row r="102" spans="1:27" x14ac:dyDescent="0.25">
      <c r="A102">
        <v>1269</v>
      </c>
      <c r="B102" t="s">
        <v>273</v>
      </c>
      <c r="C102" t="s">
        <v>343</v>
      </c>
      <c r="D102" t="s">
        <v>412</v>
      </c>
      <c r="E102" t="s">
        <v>108</v>
      </c>
      <c r="F102">
        <v>98147010</v>
      </c>
      <c r="G102">
        <v>228.91800000000001</v>
      </c>
      <c r="H102" t="s">
        <v>202</v>
      </c>
      <c r="I102">
        <v>22467617235.18</v>
      </c>
      <c r="J102" t="s">
        <v>209</v>
      </c>
      <c r="K102">
        <v>133905804.569232</v>
      </c>
      <c r="L102" t="s">
        <v>118</v>
      </c>
      <c r="M102" t="s">
        <v>492</v>
      </c>
      <c r="N102">
        <v>0.84961766999999999</v>
      </c>
      <c r="O102">
        <v>253.03</v>
      </c>
      <c r="P102">
        <v>263.29000000000002</v>
      </c>
      <c r="Q102">
        <v>1</v>
      </c>
      <c r="R102">
        <v>20102010</v>
      </c>
      <c r="S102" t="s">
        <v>119</v>
      </c>
      <c r="T102" t="s">
        <v>263</v>
      </c>
      <c r="U102">
        <v>21955077485.660912</v>
      </c>
      <c r="V102">
        <v>22.224970590000002</v>
      </c>
      <c r="W102" t="s">
        <v>264</v>
      </c>
      <c r="X102">
        <v>22.224970590000002</v>
      </c>
      <c r="Y102" t="b">
        <v>0</v>
      </c>
      <c r="Z102" t="b">
        <v>0</v>
      </c>
      <c r="AA102" t="b">
        <v>0</v>
      </c>
    </row>
    <row r="103" spans="1:27" x14ac:dyDescent="0.25">
      <c r="A103">
        <v>1275</v>
      </c>
      <c r="B103" t="s">
        <v>296</v>
      </c>
      <c r="C103" t="s">
        <v>365</v>
      </c>
      <c r="D103" t="s">
        <v>434</v>
      </c>
      <c r="E103" t="s">
        <v>109</v>
      </c>
      <c r="F103">
        <v>159455250</v>
      </c>
      <c r="G103">
        <v>103.84180000000001</v>
      </c>
      <c r="H103" t="s">
        <v>204</v>
      </c>
      <c r="I103">
        <v>16558120179.450001</v>
      </c>
      <c r="J103" t="s">
        <v>210</v>
      </c>
      <c r="K103">
        <v>41314578.786334701</v>
      </c>
      <c r="L103" t="s">
        <v>118</v>
      </c>
      <c r="M103" t="s">
        <v>515</v>
      </c>
      <c r="N103">
        <v>1.0682048799999999</v>
      </c>
      <c r="O103">
        <v>95.02</v>
      </c>
      <c r="P103">
        <v>96.58</v>
      </c>
      <c r="Q103">
        <v>0.75</v>
      </c>
      <c r="R103">
        <v>20102015</v>
      </c>
      <c r="S103" t="s">
        <v>119</v>
      </c>
      <c r="T103" t="s">
        <v>263</v>
      </c>
      <c r="U103">
        <v>12337917016.939989</v>
      </c>
      <c r="V103">
        <v>19.695127500000002</v>
      </c>
      <c r="W103" t="s">
        <v>264</v>
      </c>
      <c r="X103">
        <v>19.695127500000002</v>
      </c>
      <c r="Y103" t="b">
        <v>0</v>
      </c>
      <c r="Z103" t="b">
        <v>0</v>
      </c>
      <c r="AA103" t="b">
        <v>0</v>
      </c>
    </row>
    <row r="104" spans="1:27" x14ac:dyDescent="0.25">
      <c r="A104">
        <v>1276</v>
      </c>
      <c r="B104" t="s">
        <v>169</v>
      </c>
      <c r="C104" t="s">
        <v>51</v>
      </c>
      <c r="D104" t="s">
        <v>101</v>
      </c>
      <c r="E104" t="s">
        <v>108</v>
      </c>
      <c r="F104">
        <v>382423650</v>
      </c>
      <c r="G104">
        <v>320.19299999999998</v>
      </c>
      <c r="H104" t="s">
        <v>202</v>
      </c>
      <c r="I104">
        <v>122449375764.45</v>
      </c>
      <c r="J104" t="s">
        <v>209</v>
      </c>
      <c r="K104">
        <v>471071737.07893503</v>
      </c>
      <c r="L104" t="s">
        <v>118</v>
      </c>
      <c r="M104" t="s">
        <v>230</v>
      </c>
      <c r="N104">
        <v>0.84961766999999999</v>
      </c>
      <c r="O104">
        <v>351.69</v>
      </c>
      <c r="P104">
        <v>368.27</v>
      </c>
      <c r="Q104">
        <v>0.95</v>
      </c>
      <c r="R104">
        <v>20102010</v>
      </c>
      <c r="S104" t="s">
        <v>119</v>
      </c>
      <c r="T104" t="s">
        <v>263</v>
      </c>
      <c r="U104">
        <v>113673236519.7816</v>
      </c>
      <c r="V104">
        <v>17.45745625</v>
      </c>
      <c r="W104" t="s">
        <v>264</v>
      </c>
      <c r="X104">
        <v>17.45745625</v>
      </c>
      <c r="Y104" t="b">
        <v>0</v>
      </c>
      <c r="Z104" t="b">
        <v>0</v>
      </c>
      <c r="AA104" t="b">
        <v>0</v>
      </c>
    </row>
    <row r="105" spans="1:27" x14ac:dyDescent="0.25">
      <c r="A105">
        <v>1288</v>
      </c>
      <c r="B105" t="s">
        <v>333</v>
      </c>
      <c r="C105" t="s">
        <v>402</v>
      </c>
      <c r="D105" t="s">
        <v>471</v>
      </c>
      <c r="E105" t="s">
        <v>114</v>
      </c>
      <c r="F105">
        <v>397900150</v>
      </c>
      <c r="G105">
        <v>14.50614</v>
      </c>
      <c r="H105" t="s">
        <v>207</v>
      </c>
      <c r="I105">
        <v>5771995281.9209995</v>
      </c>
      <c r="J105" t="s">
        <v>212</v>
      </c>
      <c r="K105">
        <v>87203107.079717204</v>
      </c>
      <c r="L105" t="s">
        <v>118</v>
      </c>
      <c r="M105" t="s">
        <v>552</v>
      </c>
      <c r="N105">
        <v>5.48884E-3</v>
      </c>
      <c r="O105">
        <v>2265.5</v>
      </c>
      <c r="P105">
        <v>2612</v>
      </c>
      <c r="Q105">
        <v>0.5</v>
      </c>
      <c r="R105">
        <v>20103015</v>
      </c>
      <c r="S105" t="s">
        <v>119</v>
      </c>
      <c r="T105" t="s">
        <v>263</v>
      </c>
      <c r="U105">
        <v>2852317398.6797562</v>
      </c>
      <c r="V105">
        <v>28.29016682</v>
      </c>
      <c r="W105" t="s">
        <v>264</v>
      </c>
      <c r="X105">
        <v>28.29016682</v>
      </c>
      <c r="Y105" t="b">
        <v>0</v>
      </c>
      <c r="Z105" t="b">
        <v>0</v>
      </c>
      <c r="AA105" t="b">
        <v>0</v>
      </c>
    </row>
    <row r="106" spans="1:27" x14ac:dyDescent="0.25">
      <c r="A106">
        <v>1303</v>
      </c>
      <c r="B106" t="s">
        <v>311</v>
      </c>
      <c r="C106" t="s">
        <v>380</v>
      </c>
      <c r="D106" t="s">
        <v>449</v>
      </c>
      <c r="E106" t="s">
        <v>480</v>
      </c>
      <c r="F106">
        <v>357412840</v>
      </c>
      <c r="G106">
        <v>30.26294</v>
      </c>
      <c r="H106" t="s">
        <v>484</v>
      </c>
      <c r="I106">
        <v>10816363332.149599</v>
      </c>
      <c r="J106" t="s">
        <v>210</v>
      </c>
      <c r="K106">
        <v>10010185.6471</v>
      </c>
      <c r="L106" t="s">
        <v>118</v>
      </c>
      <c r="M106" t="s">
        <v>530</v>
      </c>
      <c r="N106">
        <v>9.1474150000000004E-2</v>
      </c>
      <c r="O106">
        <v>317</v>
      </c>
      <c r="P106">
        <v>333.6</v>
      </c>
      <c r="Q106">
        <v>0.55000000000000004</v>
      </c>
      <c r="R106">
        <v>20103015</v>
      </c>
      <c r="S106" t="s">
        <v>119</v>
      </c>
      <c r="T106" t="s">
        <v>263</v>
      </c>
      <c r="U106">
        <v>5998701677.224021</v>
      </c>
      <c r="V106">
        <v>19.021393119999999</v>
      </c>
      <c r="W106" t="s">
        <v>264</v>
      </c>
      <c r="X106">
        <v>19.021393119999999</v>
      </c>
      <c r="Y106" t="b">
        <v>0</v>
      </c>
      <c r="Z106" t="b">
        <v>0</v>
      </c>
      <c r="AA106" t="b">
        <v>0</v>
      </c>
    </row>
    <row r="107" spans="1:27" x14ac:dyDescent="0.25">
      <c r="A107">
        <v>1316</v>
      </c>
      <c r="B107" t="s">
        <v>318</v>
      </c>
      <c r="C107" t="s">
        <v>387</v>
      </c>
      <c r="D107" t="s">
        <v>456</v>
      </c>
      <c r="E107" t="s">
        <v>114</v>
      </c>
      <c r="F107">
        <v>629480100</v>
      </c>
      <c r="G107">
        <v>8.6553649999999998</v>
      </c>
      <c r="H107" t="s">
        <v>207</v>
      </c>
      <c r="I107">
        <v>5448380025.7364998</v>
      </c>
      <c r="J107" t="s">
        <v>212</v>
      </c>
      <c r="K107">
        <v>31333827.5150025</v>
      </c>
      <c r="L107" t="s">
        <v>118</v>
      </c>
      <c r="M107" t="s">
        <v>537</v>
      </c>
      <c r="N107">
        <v>5.48884E-3</v>
      </c>
      <c r="O107">
        <v>1525</v>
      </c>
      <c r="P107">
        <v>1558.5</v>
      </c>
      <c r="Q107">
        <v>0.85</v>
      </c>
      <c r="R107">
        <v>20102010</v>
      </c>
      <c r="S107" t="s">
        <v>119</v>
      </c>
      <c r="T107" t="s">
        <v>263</v>
      </c>
      <c r="U107">
        <v>4577077949.734477</v>
      </c>
      <c r="V107">
        <v>13.575871250000001</v>
      </c>
      <c r="W107" t="s">
        <v>264</v>
      </c>
      <c r="X107">
        <v>13.575871250000001</v>
      </c>
      <c r="Y107" t="b">
        <v>0</v>
      </c>
      <c r="Z107" t="b">
        <v>0</v>
      </c>
      <c r="AA107" t="b">
        <v>0</v>
      </c>
    </row>
    <row r="108" spans="1:27" x14ac:dyDescent="0.25">
      <c r="A108">
        <v>1326</v>
      </c>
      <c r="B108" t="s">
        <v>190</v>
      </c>
      <c r="C108" t="s">
        <v>52</v>
      </c>
      <c r="D108" t="s">
        <v>102</v>
      </c>
      <c r="E108" t="s">
        <v>114</v>
      </c>
      <c r="F108">
        <v>1590985800</v>
      </c>
      <c r="G108">
        <v>24.641549999999999</v>
      </c>
      <c r="H108" t="s">
        <v>207</v>
      </c>
      <c r="I108">
        <v>39204356139.989998</v>
      </c>
      <c r="J108" t="s">
        <v>212</v>
      </c>
      <c r="K108">
        <v>117964338.007495</v>
      </c>
      <c r="L108" t="s">
        <v>118</v>
      </c>
      <c r="M108" t="s">
        <v>251</v>
      </c>
      <c r="N108">
        <v>5.48884E-3</v>
      </c>
      <c r="O108">
        <v>4518</v>
      </c>
      <c r="P108">
        <v>4437</v>
      </c>
      <c r="Q108">
        <v>1</v>
      </c>
      <c r="R108">
        <v>20103015</v>
      </c>
      <c r="S108" t="s">
        <v>119</v>
      </c>
      <c r="T108" t="s">
        <v>263</v>
      </c>
      <c r="U108">
        <v>38746841253.720261</v>
      </c>
      <c r="V108">
        <v>19.129132500000001</v>
      </c>
      <c r="W108" t="s">
        <v>264</v>
      </c>
      <c r="X108">
        <v>19.129132500000001</v>
      </c>
      <c r="Y108" t="b">
        <v>0</v>
      </c>
      <c r="Z108" t="b">
        <v>0</v>
      </c>
      <c r="AA108" t="b">
        <v>0</v>
      </c>
    </row>
    <row r="109" spans="1:27" x14ac:dyDescent="0.25">
      <c r="A109">
        <v>1355</v>
      </c>
      <c r="B109" t="s">
        <v>275</v>
      </c>
      <c r="C109" t="s">
        <v>345</v>
      </c>
      <c r="D109" t="s">
        <v>414</v>
      </c>
      <c r="E109" t="s">
        <v>114</v>
      </c>
      <c r="F109">
        <v>1480559700</v>
      </c>
      <c r="G109">
        <v>13.66198</v>
      </c>
      <c r="H109" t="s">
        <v>207</v>
      </c>
      <c r="I109">
        <v>20227377010.206001</v>
      </c>
      <c r="J109" t="s">
        <v>212</v>
      </c>
      <c r="K109">
        <v>62652687.494534202</v>
      </c>
      <c r="L109" t="s">
        <v>118</v>
      </c>
      <c r="M109" t="s">
        <v>494</v>
      </c>
      <c r="N109">
        <v>5.48884E-3</v>
      </c>
      <c r="O109">
        <v>2317</v>
      </c>
      <c r="P109">
        <v>2460</v>
      </c>
      <c r="Q109">
        <v>1</v>
      </c>
      <c r="R109">
        <v>20102010</v>
      </c>
      <c r="S109" t="s">
        <v>119</v>
      </c>
      <c r="T109" t="s">
        <v>263</v>
      </c>
      <c r="U109">
        <v>19991326047.220081</v>
      </c>
      <c r="V109">
        <v>22.555575000000001</v>
      </c>
      <c r="W109" t="s">
        <v>264</v>
      </c>
      <c r="X109">
        <v>22.555575000000001</v>
      </c>
      <c r="Y109" t="b">
        <v>0</v>
      </c>
      <c r="Z109" t="b">
        <v>0</v>
      </c>
      <c r="AA109" t="b">
        <v>0</v>
      </c>
    </row>
    <row r="110" spans="1:27" x14ac:dyDescent="0.25">
      <c r="A110">
        <v>1363</v>
      </c>
      <c r="B110" t="s">
        <v>161</v>
      </c>
      <c r="C110" t="s">
        <v>53</v>
      </c>
      <c r="D110" t="s">
        <v>103</v>
      </c>
      <c r="E110" t="s">
        <v>108</v>
      </c>
      <c r="F110">
        <v>375708070</v>
      </c>
      <c r="G110">
        <v>510.78559999999999</v>
      </c>
      <c r="H110" t="s">
        <v>202</v>
      </c>
      <c r="I110">
        <v>191906271959.79199</v>
      </c>
      <c r="J110" t="s">
        <v>209</v>
      </c>
      <c r="K110">
        <v>895803447.12567902</v>
      </c>
      <c r="L110" t="s">
        <v>118</v>
      </c>
      <c r="M110" t="s">
        <v>222</v>
      </c>
      <c r="N110">
        <v>0.84961766999999999</v>
      </c>
      <c r="O110">
        <v>570.16</v>
      </c>
      <c r="P110">
        <v>587.48</v>
      </c>
      <c r="Q110">
        <v>1</v>
      </c>
      <c r="R110">
        <v>20102010</v>
      </c>
      <c r="S110" t="s">
        <v>119</v>
      </c>
      <c r="T110" t="s">
        <v>263</v>
      </c>
      <c r="U110">
        <v>187528442167.9375</v>
      </c>
      <c r="V110">
        <v>11.042972860000001</v>
      </c>
      <c r="W110" t="s">
        <v>265</v>
      </c>
      <c r="X110">
        <v>11.042972860000001</v>
      </c>
      <c r="Y110" t="b">
        <v>0</v>
      </c>
      <c r="Z110" t="b">
        <v>0</v>
      </c>
      <c r="AA110" t="b">
        <v>0</v>
      </c>
    </row>
    <row r="111" spans="1:27" x14ac:dyDescent="0.25">
      <c r="A111">
        <v>1411</v>
      </c>
      <c r="B111" t="s">
        <v>323</v>
      </c>
      <c r="C111" t="s">
        <v>392</v>
      </c>
      <c r="D111" t="s">
        <v>461</v>
      </c>
      <c r="E111" t="s">
        <v>111</v>
      </c>
      <c r="F111">
        <v>44512598</v>
      </c>
      <c r="G111">
        <v>201</v>
      </c>
      <c r="H111" t="s">
        <v>119</v>
      </c>
      <c r="I111">
        <v>8947032198</v>
      </c>
      <c r="J111" t="s">
        <v>211</v>
      </c>
      <c r="K111">
        <v>11840647.6</v>
      </c>
      <c r="L111" t="s">
        <v>118</v>
      </c>
      <c r="M111" t="s">
        <v>542</v>
      </c>
      <c r="N111">
        <v>1</v>
      </c>
      <c r="O111">
        <v>213</v>
      </c>
      <c r="P111">
        <v>201</v>
      </c>
      <c r="Q111">
        <v>0.45</v>
      </c>
      <c r="R111">
        <v>20103015</v>
      </c>
      <c r="S111" t="s">
        <v>119</v>
      </c>
      <c r="T111" t="s">
        <v>263</v>
      </c>
      <c r="U111">
        <v>4026164489.0999999</v>
      </c>
      <c r="V111">
        <v>13.747198750000001</v>
      </c>
      <c r="W111" t="s">
        <v>264</v>
      </c>
      <c r="X111">
        <v>13.747198750000001</v>
      </c>
      <c r="Y111" t="b">
        <v>0</v>
      </c>
      <c r="Z111" t="b">
        <v>0</v>
      </c>
      <c r="AA111" t="b">
        <v>0</v>
      </c>
    </row>
    <row r="112" spans="1:27" x14ac:dyDescent="0.25">
      <c r="A112">
        <v>1418</v>
      </c>
      <c r="B112" t="s">
        <v>266</v>
      </c>
      <c r="C112" t="s">
        <v>338</v>
      </c>
      <c r="D112" t="s">
        <v>407</v>
      </c>
      <c r="E112" t="s">
        <v>111</v>
      </c>
      <c r="F112">
        <v>194505658</v>
      </c>
      <c r="G112">
        <v>233</v>
      </c>
      <c r="H112" t="s">
        <v>119</v>
      </c>
      <c r="I112">
        <v>45319818314</v>
      </c>
      <c r="J112" t="s">
        <v>211</v>
      </c>
      <c r="K112">
        <v>58454084.428030297</v>
      </c>
      <c r="L112" t="s">
        <v>118</v>
      </c>
      <c r="M112" t="s">
        <v>485</v>
      </c>
      <c r="N112">
        <v>1</v>
      </c>
      <c r="O112">
        <v>237.5</v>
      </c>
      <c r="P112">
        <v>233</v>
      </c>
      <c r="Q112">
        <v>0.65</v>
      </c>
      <c r="R112">
        <v>20103015</v>
      </c>
      <c r="S112" t="s">
        <v>119</v>
      </c>
      <c r="T112" t="s">
        <v>263</v>
      </c>
      <c r="U112">
        <v>29457881904.099998</v>
      </c>
      <c r="V112">
        <v>13.747198750000001</v>
      </c>
      <c r="W112" t="s">
        <v>264</v>
      </c>
      <c r="X112">
        <v>13.747198750000001</v>
      </c>
      <c r="Y112" t="b">
        <v>0</v>
      </c>
      <c r="Z112" t="b">
        <v>0</v>
      </c>
      <c r="AA112" t="b">
        <v>0</v>
      </c>
    </row>
    <row r="113" spans="1:27" x14ac:dyDescent="0.25">
      <c r="A113">
        <v>1429</v>
      </c>
      <c r="B113" t="s">
        <v>155</v>
      </c>
      <c r="C113" t="s">
        <v>54</v>
      </c>
      <c r="D113" t="s">
        <v>104</v>
      </c>
      <c r="E113" t="s">
        <v>108</v>
      </c>
      <c r="F113">
        <v>905838600</v>
      </c>
      <c r="G113">
        <v>278.19850000000002</v>
      </c>
      <c r="H113" t="s">
        <v>202</v>
      </c>
      <c r="I113">
        <v>252002939762.10001</v>
      </c>
      <c r="J113" t="s">
        <v>209</v>
      </c>
      <c r="K113">
        <v>3024616074.19348</v>
      </c>
      <c r="L113" t="s">
        <v>118</v>
      </c>
      <c r="M113" t="s">
        <v>216</v>
      </c>
      <c r="N113">
        <v>0.84961766999999999</v>
      </c>
      <c r="O113">
        <v>334.2</v>
      </c>
      <c r="P113">
        <v>319.97000000000003</v>
      </c>
      <c r="Q113">
        <v>1</v>
      </c>
      <c r="R113">
        <v>20101020</v>
      </c>
      <c r="S113" t="s">
        <v>119</v>
      </c>
      <c r="T113" t="s">
        <v>263</v>
      </c>
      <c r="U113">
        <v>246254185338.55801</v>
      </c>
      <c r="V113">
        <v>14.49333</v>
      </c>
      <c r="W113" t="s">
        <v>265</v>
      </c>
      <c r="X113">
        <v>14.49333</v>
      </c>
      <c r="Y113" t="b">
        <v>0</v>
      </c>
      <c r="Z113" t="b">
        <v>0</v>
      </c>
      <c r="AA113" t="b">
        <v>0</v>
      </c>
    </row>
    <row r="114" spans="1:27" x14ac:dyDescent="0.25">
      <c r="A114">
        <v>1432</v>
      </c>
      <c r="B114" t="s">
        <v>287</v>
      </c>
      <c r="C114" t="s">
        <v>356</v>
      </c>
      <c r="D114" t="s">
        <v>425</v>
      </c>
      <c r="E114" t="s">
        <v>110</v>
      </c>
      <c r="F114">
        <v>43056600</v>
      </c>
      <c r="G114">
        <v>412.8331</v>
      </c>
      <c r="H114" t="s">
        <v>202</v>
      </c>
      <c r="I114">
        <v>17775189653.459999</v>
      </c>
      <c r="J114" t="s">
        <v>209</v>
      </c>
      <c r="K114">
        <v>268192865.92347899</v>
      </c>
      <c r="L114" t="s">
        <v>118</v>
      </c>
      <c r="M114" t="s">
        <v>506</v>
      </c>
      <c r="N114">
        <v>0.84961766999999999</v>
      </c>
      <c r="O114">
        <v>500</v>
      </c>
      <c r="P114">
        <v>474.82</v>
      </c>
      <c r="Q114">
        <v>0.95</v>
      </c>
      <c r="R114">
        <v>20103015</v>
      </c>
      <c r="S114" t="s">
        <v>119</v>
      </c>
      <c r="T114" t="s">
        <v>263</v>
      </c>
      <c r="U114">
        <v>16501213274.93046</v>
      </c>
      <c r="V114">
        <v>22.634572500000001</v>
      </c>
      <c r="W114" t="s">
        <v>264</v>
      </c>
      <c r="X114">
        <v>22.634572500000001</v>
      </c>
      <c r="Y114" t="b">
        <v>0</v>
      </c>
      <c r="Z114" t="b">
        <v>0</v>
      </c>
      <c r="AA114" t="b">
        <v>0</v>
      </c>
    </row>
    <row r="115" spans="1:27" x14ac:dyDescent="0.25">
      <c r="A115">
        <v>1444</v>
      </c>
      <c r="B115" t="s">
        <v>199</v>
      </c>
      <c r="C115" t="s">
        <v>55</v>
      </c>
      <c r="D115" t="s">
        <v>105</v>
      </c>
      <c r="E115" t="s">
        <v>108</v>
      </c>
      <c r="F115">
        <v>163908020</v>
      </c>
      <c r="G115">
        <v>212.19839999999999</v>
      </c>
      <c r="H115" t="s">
        <v>202</v>
      </c>
      <c r="I115">
        <v>34781019591.167999</v>
      </c>
      <c r="J115" t="s">
        <v>209</v>
      </c>
      <c r="K115">
        <v>320962621.73235899</v>
      </c>
      <c r="L115" t="s">
        <v>118</v>
      </c>
      <c r="M115" t="s">
        <v>260</v>
      </c>
      <c r="N115">
        <v>0.84961766999999999</v>
      </c>
      <c r="O115">
        <v>219.3</v>
      </c>
      <c r="P115">
        <v>244.06</v>
      </c>
      <c r="Q115">
        <v>0.9</v>
      </c>
      <c r="R115">
        <v>20101025</v>
      </c>
      <c r="S115" t="s">
        <v>119</v>
      </c>
      <c r="T115" t="s">
        <v>263</v>
      </c>
      <c r="U115">
        <v>30588829344.36079</v>
      </c>
      <c r="V115">
        <v>13.81293</v>
      </c>
      <c r="W115" t="s">
        <v>264</v>
      </c>
      <c r="X115">
        <v>13.81293</v>
      </c>
      <c r="Y115" t="b">
        <v>0</v>
      </c>
      <c r="Z115" t="b">
        <v>0</v>
      </c>
      <c r="AA115" t="b">
        <v>0</v>
      </c>
    </row>
    <row r="116" spans="1:27" x14ac:dyDescent="0.25">
      <c r="A116">
        <v>1455</v>
      </c>
      <c r="B116" t="s">
        <v>173</v>
      </c>
      <c r="C116" t="s">
        <v>56</v>
      </c>
      <c r="D116" t="s">
        <v>106</v>
      </c>
      <c r="E116" t="s">
        <v>110</v>
      </c>
      <c r="F116">
        <v>253718830</v>
      </c>
      <c r="G116">
        <v>371.04730000000001</v>
      </c>
      <c r="H116" t="s">
        <v>202</v>
      </c>
      <c r="I116">
        <v>94141686830.658997</v>
      </c>
      <c r="J116" t="s">
        <v>209</v>
      </c>
      <c r="K116">
        <v>520677991.07000899</v>
      </c>
      <c r="L116" t="s">
        <v>118</v>
      </c>
      <c r="M116" t="s">
        <v>234</v>
      </c>
      <c r="N116">
        <v>0.84961766999999999</v>
      </c>
      <c r="O116">
        <v>454.96</v>
      </c>
      <c r="P116">
        <v>426.76</v>
      </c>
      <c r="Q116">
        <v>1</v>
      </c>
      <c r="R116">
        <v>20103015</v>
      </c>
      <c r="S116" t="s">
        <v>119</v>
      </c>
      <c r="T116" t="s">
        <v>263</v>
      </c>
      <c r="U116">
        <v>91994093143.459915</v>
      </c>
      <c r="V116">
        <v>20.318480000000001</v>
      </c>
      <c r="W116" t="s">
        <v>264</v>
      </c>
      <c r="X116">
        <v>20.318480000000001</v>
      </c>
      <c r="Y116" t="b">
        <v>0</v>
      </c>
      <c r="Z116" t="b">
        <v>0</v>
      </c>
      <c r="AA116" t="b">
        <v>0</v>
      </c>
    </row>
    <row r="117" spans="1:27" x14ac:dyDescent="0.25">
      <c r="A117">
        <v>1476</v>
      </c>
      <c r="B117" t="s">
        <v>277</v>
      </c>
      <c r="C117" t="s">
        <v>346</v>
      </c>
      <c r="D117" t="s">
        <v>415</v>
      </c>
      <c r="E117" t="s">
        <v>108</v>
      </c>
      <c r="F117">
        <v>59534740</v>
      </c>
      <c r="G117">
        <v>342.55529999999999</v>
      </c>
      <c r="H117" t="s">
        <v>202</v>
      </c>
      <c r="I117">
        <v>20393940721.122002</v>
      </c>
      <c r="J117" t="s">
        <v>209</v>
      </c>
      <c r="K117">
        <v>188301593.84522501</v>
      </c>
      <c r="L117" t="s">
        <v>118</v>
      </c>
      <c r="M117" t="s">
        <v>496</v>
      </c>
      <c r="N117">
        <v>0.84961766999999999</v>
      </c>
      <c r="O117">
        <v>378.53</v>
      </c>
      <c r="P117">
        <v>393.99</v>
      </c>
      <c r="Q117">
        <v>1</v>
      </c>
      <c r="R117">
        <v>20102010</v>
      </c>
      <c r="S117" t="s">
        <v>119</v>
      </c>
      <c r="T117" t="s">
        <v>263</v>
      </c>
      <c r="U117">
        <v>19928710412.974361</v>
      </c>
      <c r="V117">
        <v>9.5550174999999999</v>
      </c>
      <c r="W117" t="s">
        <v>264</v>
      </c>
      <c r="X117">
        <v>9.5550174999999999</v>
      </c>
      <c r="Y117" t="b">
        <v>0</v>
      </c>
      <c r="Z117" t="b">
        <v>0</v>
      </c>
      <c r="AA117" t="b">
        <v>0</v>
      </c>
    </row>
    <row r="118" spans="1:27" x14ac:dyDescent="0.25">
      <c r="A118">
        <v>1485</v>
      </c>
      <c r="B118" t="s">
        <v>286</v>
      </c>
      <c r="C118" t="s">
        <v>355</v>
      </c>
      <c r="D118" t="s">
        <v>424</v>
      </c>
      <c r="E118" t="s">
        <v>108</v>
      </c>
      <c r="F118">
        <v>71943410</v>
      </c>
      <c r="G118">
        <v>235.6823</v>
      </c>
      <c r="H118" t="s">
        <v>202</v>
      </c>
      <c r="I118">
        <v>16955788338.643</v>
      </c>
      <c r="J118" t="s">
        <v>209</v>
      </c>
      <c r="K118">
        <v>155056864.98104</v>
      </c>
      <c r="L118" t="s">
        <v>118</v>
      </c>
      <c r="M118" t="s">
        <v>505</v>
      </c>
      <c r="N118">
        <v>0.84961766999999999</v>
      </c>
      <c r="O118">
        <v>266.44</v>
      </c>
      <c r="P118">
        <v>271.07</v>
      </c>
      <c r="Q118">
        <v>1</v>
      </c>
      <c r="R118">
        <v>20102015</v>
      </c>
      <c r="S118" t="s">
        <v>119</v>
      </c>
      <c r="T118" t="s">
        <v>263</v>
      </c>
      <c r="U118">
        <v>16568989041.37715</v>
      </c>
      <c r="V118">
        <v>17.615561249999999</v>
      </c>
      <c r="W118" t="s">
        <v>264</v>
      </c>
      <c r="X118">
        <v>17.615561249999999</v>
      </c>
      <c r="Y118" t="b">
        <v>0</v>
      </c>
      <c r="Z118" t="b">
        <v>0</v>
      </c>
      <c r="AA118" t="b">
        <v>0</v>
      </c>
    </row>
    <row r="119" spans="1:27" x14ac:dyDescent="0.25">
      <c r="A119">
        <v>1510</v>
      </c>
      <c r="B119" t="s">
        <v>297</v>
      </c>
      <c r="C119" t="s">
        <v>366</v>
      </c>
      <c r="D119" t="s">
        <v>435</v>
      </c>
      <c r="E119" t="s">
        <v>113</v>
      </c>
      <c r="F119">
        <v>4107272500</v>
      </c>
      <c r="G119">
        <v>3.4127679999999998</v>
      </c>
      <c r="H119" t="s">
        <v>208</v>
      </c>
      <c r="I119">
        <v>14017168155.280001</v>
      </c>
      <c r="J119" t="s">
        <v>212</v>
      </c>
      <c r="K119">
        <v>166136780.19465801</v>
      </c>
      <c r="L119" t="s">
        <v>118</v>
      </c>
      <c r="M119" t="s">
        <v>516</v>
      </c>
      <c r="N119">
        <v>0.10921382</v>
      </c>
      <c r="O119">
        <v>32.06</v>
      </c>
      <c r="P119">
        <v>30.56</v>
      </c>
      <c r="Q119">
        <v>0.9</v>
      </c>
      <c r="R119">
        <v>20103010</v>
      </c>
      <c r="S119" t="s">
        <v>119</v>
      </c>
      <c r="T119" t="s">
        <v>263</v>
      </c>
      <c r="U119">
        <v>12337494570.09165</v>
      </c>
      <c r="V119">
        <v>9.1786406899999999</v>
      </c>
      <c r="W119" t="s">
        <v>264</v>
      </c>
      <c r="X119">
        <v>9.1786406899999999</v>
      </c>
      <c r="Y119" t="b">
        <v>0</v>
      </c>
      <c r="Z119" t="b">
        <v>0</v>
      </c>
      <c r="AA119" t="b">
        <v>0</v>
      </c>
    </row>
    <row r="120" spans="1:27" x14ac:dyDescent="0.25">
      <c r="A120">
        <v>1514</v>
      </c>
      <c r="B120" t="s">
        <v>326</v>
      </c>
      <c r="C120" t="s">
        <v>395</v>
      </c>
      <c r="D120" t="s">
        <v>464</v>
      </c>
      <c r="E120" t="s">
        <v>113</v>
      </c>
      <c r="F120">
        <v>4303147000</v>
      </c>
      <c r="G120">
        <v>1.0798909999999999</v>
      </c>
      <c r="H120" t="s">
        <v>208</v>
      </c>
      <c r="I120">
        <v>4646929716.9769993</v>
      </c>
      <c r="J120" t="s">
        <v>212</v>
      </c>
      <c r="K120">
        <v>175675180.98900601</v>
      </c>
      <c r="L120" t="s">
        <v>118</v>
      </c>
      <c r="M120" t="s">
        <v>545</v>
      </c>
      <c r="N120">
        <v>0.10921382</v>
      </c>
      <c r="O120">
        <v>9.1300000000000008</v>
      </c>
      <c r="P120">
        <v>9.67</v>
      </c>
      <c r="Q120">
        <v>0.8</v>
      </c>
      <c r="R120">
        <v>20103010</v>
      </c>
      <c r="S120" t="s">
        <v>119</v>
      </c>
      <c r="T120" t="s">
        <v>263</v>
      </c>
      <c r="U120">
        <v>3635634710.9529529</v>
      </c>
      <c r="V120">
        <v>33.529262500000002</v>
      </c>
      <c r="W120" t="s">
        <v>264</v>
      </c>
      <c r="X120">
        <v>33.529262500000002</v>
      </c>
      <c r="Y120" t="b">
        <v>0</v>
      </c>
      <c r="Z120" t="b">
        <v>0</v>
      </c>
      <c r="AA120" t="b">
        <v>0</v>
      </c>
    </row>
    <row r="121" spans="1:27" x14ac:dyDescent="0.25">
      <c r="A121">
        <v>1528</v>
      </c>
      <c r="B121" t="s">
        <v>319</v>
      </c>
      <c r="C121" t="s">
        <v>388</v>
      </c>
      <c r="D121" t="s">
        <v>457</v>
      </c>
      <c r="E121" t="s">
        <v>117</v>
      </c>
      <c r="F121">
        <v>71364730</v>
      </c>
      <c r="G121">
        <v>69.863010000000003</v>
      </c>
      <c r="H121" t="s">
        <v>205</v>
      </c>
      <c r="I121">
        <v>4985754845.6372995</v>
      </c>
      <c r="J121" t="s">
        <v>210</v>
      </c>
      <c r="K121">
        <v>23440171.295031201</v>
      </c>
      <c r="L121" t="s">
        <v>118</v>
      </c>
      <c r="M121" t="s">
        <v>538</v>
      </c>
      <c r="N121">
        <v>0.13384283</v>
      </c>
      <c r="O121">
        <v>469.6</v>
      </c>
      <c r="P121">
        <v>521.79999999999995</v>
      </c>
      <c r="Q121">
        <v>0.9</v>
      </c>
      <c r="R121">
        <v>20103010</v>
      </c>
      <c r="S121" t="s">
        <v>119</v>
      </c>
      <c r="T121" t="s">
        <v>263</v>
      </c>
      <c r="U121">
        <v>4485649360.109726</v>
      </c>
      <c r="V121">
        <v>27.901912500000002</v>
      </c>
      <c r="W121" t="s">
        <v>264</v>
      </c>
      <c r="X121">
        <v>27.901912500000002</v>
      </c>
      <c r="Y121" t="b">
        <v>0</v>
      </c>
      <c r="Z121" t="b">
        <v>0</v>
      </c>
      <c r="AA121" t="b">
        <v>0</v>
      </c>
    </row>
    <row r="122" spans="1:27" x14ac:dyDescent="0.25">
      <c r="A122">
        <v>1531</v>
      </c>
      <c r="B122" t="s">
        <v>290</v>
      </c>
      <c r="C122" t="s">
        <v>359</v>
      </c>
      <c r="D122" t="s">
        <v>428</v>
      </c>
      <c r="E122" t="s">
        <v>108</v>
      </c>
      <c r="F122">
        <v>198181550</v>
      </c>
      <c r="G122">
        <v>80.146069999999995</v>
      </c>
      <c r="H122" t="s">
        <v>202</v>
      </c>
      <c r="I122">
        <v>15883472379.008499</v>
      </c>
      <c r="J122" t="s">
        <v>209</v>
      </c>
      <c r="K122">
        <v>139012567.21401301</v>
      </c>
      <c r="L122" t="s">
        <v>118</v>
      </c>
      <c r="M122" t="s">
        <v>509</v>
      </c>
      <c r="N122">
        <v>0.84961766999999999</v>
      </c>
      <c r="O122">
        <v>90.91</v>
      </c>
      <c r="P122">
        <v>92.18</v>
      </c>
      <c r="Q122">
        <v>1</v>
      </c>
      <c r="R122">
        <v>20102010</v>
      </c>
      <c r="S122" t="s">
        <v>119</v>
      </c>
      <c r="T122" t="s">
        <v>263</v>
      </c>
      <c r="U122">
        <v>15521134439.22958</v>
      </c>
      <c r="V122">
        <v>24.086382499999999</v>
      </c>
      <c r="W122" t="s">
        <v>264</v>
      </c>
      <c r="X122">
        <v>24.086382499999999</v>
      </c>
      <c r="Y122" t="b">
        <v>0</v>
      </c>
      <c r="Z122" t="b">
        <v>0</v>
      </c>
      <c r="AA122" t="b">
        <v>0</v>
      </c>
    </row>
    <row r="123" spans="1:27" x14ac:dyDescent="0.25">
      <c r="A123">
        <v>1532</v>
      </c>
      <c r="B123" t="s">
        <v>185</v>
      </c>
      <c r="C123" t="s">
        <v>57</v>
      </c>
      <c r="D123" t="s">
        <v>107</v>
      </c>
      <c r="E123" t="s">
        <v>108</v>
      </c>
      <c r="F123">
        <v>440693200</v>
      </c>
      <c r="G123">
        <v>106.1253</v>
      </c>
      <c r="H123" t="s">
        <v>202</v>
      </c>
      <c r="I123">
        <v>46768698057.959999</v>
      </c>
      <c r="J123" t="s">
        <v>209</v>
      </c>
      <c r="K123">
        <v>405233298.62412399</v>
      </c>
      <c r="L123" t="s">
        <v>118</v>
      </c>
      <c r="M123" t="s">
        <v>246</v>
      </c>
      <c r="N123">
        <v>0.84961766999999999</v>
      </c>
      <c r="O123">
        <v>123.23</v>
      </c>
      <c r="P123">
        <v>122.06</v>
      </c>
      <c r="Q123">
        <v>1</v>
      </c>
      <c r="R123">
        <v>20103015</v>
      </c>
      <c r="S123" t="s">
        <v>119</v>
      </c>
      <c r="T123" t="s">
        <v>263</v>
      </c>
      <c r="U123">
        <v>45701794275.585098</v>
      </c>
      <c r="V123">
        <v>13.566376249999999</v>
      </c>
      <c r="W123" t="s">
        <v>264</v>
      </c>
      <c r="X123">
        <v>13.566376249999999</v>
      </c>
      <c r="Y123" t="b">
        <v>0</v>
      </c>
      <c r="Z123" t="b">
        <v>0</v>
      </c>
      <c r="AA123" t="b"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557</v>
      </c>
    </row>
    <row r="2" spans="1:1" x14ac:dyDescent="0.25">
      <c r="A2">
        <v>5075852181.5803061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Index Composition</vt:lpstr>
      <vt:lpstr>Inclusion</vt:lpstr>
      <vt:lpstr>Exclusion</vt:lpstr>
      <vt:lpstr>Top 50 Selection</vt:lpstr>
      <vt:lpstr>Eligible Universe</vt:lpstr>
      <vt:lpstr>Excluded Companies</vt:lpstr>
      <vt:lpstr>Health Care Universe</vt:lpstr>
      <vt:lpstr>Index Market 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2026-02-10T15:06:08Z</dcterms:created>
  <dcterms:modified xsi:type="dcterms:W3CDTF">2026-02-10T15:06:46Z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2026-02-10T15:06:46Z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0994923c-be7d-4cfe-bd9a-5249a6b4a116</vt:lpwstr>
  </property>
  <property fmtid="{D5CDD505-2E9C-101B-9397-08002B2CF9AE}" pid="8" name="MSIP_Label_ac0b9ce6-6e99-42a1-af95-429494370cbc_ContentBits">
    <vt:lpwstr>2</vt:lpwstr>
  </property>
</Properties>
</file>