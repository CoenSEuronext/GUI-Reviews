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8" documentId="11_50D10F98C66FA3FB226E2DCF978EE8B97E028114" xr6:coauthVersionLast="47" xr6:coauthVersionMax="47" xr10:uidLastSave="{103523C4-83CF-4A48-9568-8E0C36CAED35}"/>
  <bookViews>
    <workbookView xWindow="-315" yWindow="-16320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5" i="4" l="1"/>
  <c r="AC5" i="4"/>
  <c r="K11" i="1" l="1"/>
  <c r="L11" i="1"/>
  <c r="L16" i="1"/>
  <c r="K16" i="1"/>
  <c r="L13" i="1"/>
  <c r="K13" i="1"/>
  <c r="L18" i="1"/>
  <c r="K20" i="1"/>
  <c r="L20" i="1"/>
  <c r="L12" i="1"/>
  <c r="K15" i="1"/>
  <c r="L15" i="1"/>
  <c r="J6" i="1"/>
  <c r="J9" i="1"/>
  <c r="J16" i="1"/>
  <c r="J8" i="1"/>
  <c r="J7" i="1"/>
  <c r="J3" i="1"/>
  <c r="J18" i="1"/>
  <c r="J12" i="1"/>
  <c r="K2" i="1"/>
  <c r="J19" i="1"/>
  <c r="J10" i="1"/>
  <c r="J4" i="1"/>
  <c r="J15" i="1"/>
  <c r="J13" i="1"/>
  <c r="J20" i="1"/>
  <c r="J14" i="1"/>
  <c r="I2" i="1"/>
  <c r="J5" i="1"/>
  <c r="J17" i="1"/>
  <c r="J2" i="1"/>
  <c r="L19" i="1"/>
  <c r="J11" i="1"/>
  <c r="L17" i="1"/>
  <c r="K18" i="1"/>
  <c r="K17" i="1"/>
  <c r="K14" i="1"/>
  <c r="K10" i="1"/>
  <c r="K5" i="1"/>
  <c r="I6" i="1" l="1"/>
  <c r="I13" i="1"/>
  <c r="I5" i="1"/>
  <c r="I19" i="1"/>
  <c r="I17" i="1"/>
  <c r="I9" i="1"/>
  <c r="I8" i="1"/>
  <c r="I20" i="1"/>
  <c r="I14" i="1"/>
  <c r="I7" i="1"/>
  <c r="I11" i="1"/>
  <c r="I12" i="1"/>
  <c r="I15" i="1"/>
  <c r="I4" i="1"/>
  <c r="I18" i="1"/>
  <c r="I10" i="1"/>
  <c r="I3" i="1"/>
  <c r="I16" i="1"/>
  <c r="K19" i="1"/>
  <c r="L2" i="1"/>
  <c r="K12" i="1"/>
  <c r="L3" i="1"/>
  <c r="K6" i="1" l="1"/>
  <c r="L8" i="1"/>
  <c r="L5" i="1"/>
  <c r="K3" i="1"/>
  <c r="K4" i="1"/>
  <c r="K8" i="1"/>
  <c r="L10" i="1"/>
  <c r="L7" i="1"/>
  <c r="K9" i="1"/>
  <c r="L14" i="1"/>
  <c r="L4" i="1"/>
  <c r="K7" i="1"/>
  <c r="L9" i="1"/>
  <c r="L6" i="1"/>
  <c r="M3" i="1" l="1"/>
  <c r="M14" i="1"/>
  <c r="M11" i="1"/>
  <c r="M12" i="1"/>
  <c r="M9" i="1"/>
  <c r="M8" i="1"/>
  <c r="M6" i="1"/>
  <c r="M7" i="1"/>
  <c r="M18" i="1"/>
  <c r="M16" i="1"/>
  <c r="M19" i="1" l="1"/>
  <c r="M20" i="1"/>
  <c r="M2" i="1"/>
  <c r="M5" i="1" l="1"/>
  <c r="M15" i="1"/>
  <c r="M13" i="1" l="1"/>
  <c r="M4" i="1"/>
  <c r="M10" i="1" l="1"/>
  <c r="M17" i="1"/>
</calcChain>
</file>

<file path=xl/sharedStrings.xml><?xml version="1.0" encoding="utf-8"?>
<sst xmlns="http://schemas.openxmlformats.org/spreadsheetml/2006/main" count="299" uniqueCount="116">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</sst>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06\34)%20Euronext%20Eurozone%20Sector%20Indices\Template%20TECHP.xlsm" TargetMode="External"/><Relationship Id="rId1" Type="http://schemas.openxmlformats.org/officeDocument/2006/relationships/externalLinkPath" Target="file:///V:\PM-Indices-IndexOperations\Review%20Files\202506\34)%20Euronext%20Eurozone%20Sector%20Indices\Template%20TECHP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ront sheet"/>
      <sheetName val="Universe input"/>
      <sheetName val="Free Float"/>
      <sheetName val="ICB"/>
      <sheetName val="EOD AD stock"/>
      <sheetName val="EOD AD index"/>
      <sheetName val="Consolidated"/>
      <sheetName val="Ranking"/>
      <sheetName val="TECHP"/>
      <sheetName val="TECHP+"/>
      <sheetName val="TECHP-"/>
      <sheetName val="Extra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1">
          <cell r="C11" t="str">
            <v>FR0000071946</v>
          </cell>
          <cell r="D11" t="str">
            <v>XPAR</v>
          </cell>
          <cell r="E11">
            <v>35266866</v>
          </cell>
          <cell r="F11">
            <v>0.85</v>
          </cell>
          <cell r="G11">
            <v>1</v>
          </cell>
        </row>
        <row r="12">
          <cell r="C12" t="str">
            <v>ES0109067019</v>
          </cell>
          <cell r="D12" t="str">
            <v>XMAD</v>
          </cell>
          <cell r="E12">
            <v>450499200</v>
          </cell>
          <cell r="F12">
            <v>1</v>
          </cell>
          <cell r="G12">
            <v>1</v>
          </cell>
        </row>
        <row r="13">
          <cell r="C13" t="str">
            <v>NL0000334118</v>
          </cell>
          <cell r="D13" t="str">
            <v>XAMS</v>
          </cell>
          <cell r="E13">
            <v>49328548</v>
          </cell>
          <cell r="F13">
            <v>0.95</v>
          </cell>
          <cell r="G13">
            <v>1</v>
          </cell>
        </row>
        <row r="14">
          <cell r="C14" t="str">
            <v>NL0010273215</v>
          </cell>
          <cell r="D14" t="str">
            <v>XAMS</v>
          </cell>
          <cell r="E14">
            <v>393830692</v>
          </cell>
          <cell r="F14">
            <v>1</v>
          </cell>
          <cell r="G14">
            <v>0.44892979097570002</v>
          </cell>
        </row>
        <row r="15">
          <cell r="C15" t="str">
            <v>NL0012866412</v>
          </cell>
          <cell r="D15" t="str">
            <v>XAMS</v>
          </cell>
          <cell r="E15">
            <v>81146738</v>
          </cell>
          <cell r="F15">
            <v>0.9</v>
          </cell>
          <cell r="G15">
            <v>1</v>
          </cell>
        </row>
        <row r="16">
          <cell r="C16" t="str">
            <v>DE0005158703</v>
          </cell>
          <cell r="D16" t="str">
            <v>XETR</v>
          </cell>
          <cell r="E16">
            <v>126000000</v>
          </cell>
          <cell r="F16">
            <v>0.65</v>
          </cell>
          <cell r="G16">
            <v>1</v>
          </cell>
        </row>
        <row r="17">
          <cell r="C17" t="str">
            <v>FR0000125338</v>
          </cell>
          <cell r="D17" t="str">
            <v>XPAR</v>
          </cell>
          <cell r="E17">
            <v>171347471</v>
          </cell>
          <cell r="F17">
            <v>0.85</v>
          </cell>
          <cell r="G17">
            <v>1</v>
          </cell>
        </row>
        <row r="18">
          <cell r="C18" t="str">
            <v>FR0014003TT8</v>
          </cell>
          <cell r="D18" t="str">
            <v>XPAR</v>
          </cell>
          <cell r="E18">
            <v>1340433125</v>
          </cell>
          <cell r="F18">
            <v>0.5</v>
          </cell>
          <cell r="G18">
            <v>1</v>
          </cell>
        </row>
        <row r="19">
          <cell r="C19" t="str">
            <v>ES0118594417</v>
          </cell>
          <cell r="D19" t="str">
            <v>XMAD</v>
          </cell>
          <cell r="E19">
            <v>176654400</v>
          </cell>
          <cell r="F19">
            <v>0.45</v>
          </cell>
          <cell r="G19">
            <v>1</v>
          </cell>
        </row>
        <row r="20">
          <cell r="C20" t="str">
            <v>DE0006231004</v>
          </cell>
          <cell r="D20" t="str">
            <v>XETR</v>
          </cell>
          <cell r="E20">
            <v>1305921100</v>
          </cell>
          <cell r="F20">
            <v>1</v>
          </cell>
          <cell r="G20">
            <v>1</v>
          </cell>
        </row>
        <row r="21">
          <cell r="C21" t="str">
            <v>NL0012015705</v>
          </cell>
          <cell r="D21" t="str">
            <v>XAMS</v>
          </cell>
          <cell r="E21">
            <v>208967756</v>
          </cell>
          <cell r="F21">
            <v>0.8</v>
          </cell>
          <cell r="G21">
            <v>1</v>
          </cell>
        </row>
        <row r="22">
          <cell r="C22" t="str">
            <v>DE0006452907</v>
          </cell>
          <cell r="D22" t="str">
            <v>XETR</v>
          </cell>
          <cell r="E22">
            <v>115500000</v>
          </cell>
          <cell r="F22">
            <v>0.6</v>
          </cell>
          <cell r="G22">
            <v>1</v>
          </cell>
        </row>
        <row r="23">
          <cell r="C23" t="str">
            <v>NL0013654783</v>
          </cell>
          <cell r="D23" t="str">
            <v>XAMS</v>
          </cell>
          <cell r="E23">
            <v>2378947836</v>
          </cell>
          <cell r="F23">
            <v>0.55000000000000004</v>
          </cell>
          <cell r="G23">
            <v>1</v>
          </cell>
        </row>
        <row r="24">
          <cell r="C24" t="str">
            <v>GB00B2B0DG97</v>
          </cell>
          <cell r="D24" t="str">
            <v>XAMS</v>
          </cell>
          <cell r="E24">
            <v>1907070957</v>
          </cell>
          <cell r="F24">
            <v>1</v>
          </cell>
          <cell r="G24">
            <v>1</v>
          </cell>
        </row>
        <row r="25">
          <cell r="C25" t="str">
            <v>IT0005282865</v>
          </cell>
          <cell r="D25" t="str">
            <v>MTAA</v>
          </cell>
          <cell r="E25">
            <v>37411428</v>
          </cell>
          <cell r="F25">
            <v>0.65</v>
          </cell>
          <cell r="G25">
            <v>1</v>
          </cell>
        </row>
        <row r="26">
          <cell r="C26" t="str">
            <v>DE0007164600</v>
          </cell>
          <cell r="D26" t="str">
            <v>XETR</v>
          </cell>
          <cell r="E26">
            <v>1228504300</v>
          </cell>
          <cell r="F26">
            <v>0.95</v>
          </cell>
          <cell r="G26">
            <v>0.39403713024040998</v>
          </cell>
        </row>
        <row r="27">
          <cell r="C27" t="str">
            <v>DE000A12DM80</v>
          </cell>
          <cell r="D27" t="str">
            <v>XETR</v>
          </cell>
          <cell r="E27">
            <v>75000000</v>
          </cell>
          <cell r="F27">
            <v>0.95</v>
          </cell>
          <cell r="G27">
            <v>1</v>
          </cell>
        </row>
        <row r="28">
          <cell r="C28" t="str">
            <v>FR0000050809</v>
          </cell>
          <cell r="D28" t="str">
            <v>XPAR</v>
          </cell>
          <cell r="E28">
            <v>20547701</v>
          </cell>
          <cell r="F28">
            <v>0.75</v>
          </cell>
          <cell r="G28">
            <v>1</v>
          </cell>
        </row>
        <row r="29">
          <cell r="C29" t="str">
            <v>NL0000226223</v>
          </cell>
          <cell r="D29" t="str">
            <v>XPAR</v>
          </cell>
          <cell r="E29">
            <v>911281920</v>
          </cell>
          <cell r="F29">
            <v>0.7</v>
          </cell>
          <cell r="G29">
            <v>1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selection activeCell="P6" sqref="P6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3" x14ac:dyDescent="0.25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  <c r="I2" t="b">
        <f ca="1">'[1]TECHP+'!C11=B2</f>
        <v>1</v>
      </c>
      <c r="J2" t="b">
        <f ca="1">'[1]TECHP+'!D11=C2</f>
        <v>1</v>
      </c>
      <c r="K2" t="b">
        <f ca="1">'[1]TECHP+'!E11=D2</f>
        <v>1</v>
      </c>
      <c r="L2" t="b">
        <f ca="1">'[1]TECHP+'!F11=E2</f>
        <v>1</v>
      </c>
      <c r="M2" t="b">
        <f ca="1">'[1]TECHP+'!G11=F2</f>
        <v>1</v>
      </c>
    </row>
    <row r="3" spans="1:13" x14ac:dyDescent="0.25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0.99999999999999978</v>
      </c>
      <c r="G3" t="s">
        <v>51</v>
      </c>
      <c r="H3" t="s">
        <v>52</v>
      </c>
      <c r="I3" t="b">
        <f ca="1">'[1]TECHP+'!C12=B3</f>
        <v>1</v>
      </c>
      <c r="J3" t="b">
        <f ca="1">'[1]TECHP+'!D12=C3</f>
        <v>1</v>
      </c>
      <c r="K3" t="b">
        <f ca="1">'[1]TECHP+'!E12=D3</f>
        <v>1</v>
      </c>
      <c r="L3" t="b">
        <f ca="1">'[1]TECHP+'!F12=E3</f>
        <v>1</v>
      </c>
      <c r="M3" t="b">
        <f ca="1">'[1]TECHP+'!G12=F3</f>
        <v>1</v>
      </c>
    </row>
    <row r="4" spans="1:13" x14ac:dyDescent="0.25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  <c r="I4" t="b">
        <f ca="1">'[1]TECHP+'!C13=B4</f>
        <v>1</v>
      </c>
      <c r="J4" t="b">
        <f ca="1">'[1]TECHP+'!D13=C4</f>
        <v>1</v>
      </c>
      <c r="K4" t="b">
        <f ca="1">'[1]TECHP+'!E13=D4</f>
        <v>1</v>
      </c>
      <c r="L4" t="b">
        <f ca="1">'[1]TECHP+'!F13=E4</f>
        <v>1</v>
      </c>
      <c r="M4" t="b">
        <f ca="1">'[1]TECHP+'!G13=F4</f>
        <v>1</v>
      </c>
    </row>
    <row r="5" spans="1:13" x14ac:dyDescent="0.25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0.16172723166809769</v>
      </c>
      <c r="G5" t="s">
        <v>51</v>
      </c>
      <c r="H5" t="s">
        <v>52</v>
      </c>
      <c r="I5" t="b">
        <f ca="1">'[1]TECHP+'!C14=B5</f>
        <v>1</v>
      </c>
      <c r="J5" t="b">
        <f ca="1">'[1]TECHP+'!D14=C5</f>
        <v>1</v>
      </c>
      <c r="K5" t="b">
        <f ca="1">'[1]TECHP+'!E14=D5</f>
        <v>1</v>
      </c>
      <c r="L5" t="b">
        <f ca="1">'[1]TECHP+'!F14=E5</f>
        <v>1</v>
      </c>
      <c r="M5" t="b">
        <f ca="1">'[1]TECHP+'!G14=F5</f>
        <v>0</v>
      </c>
    </row>
    <row r="6" spans="1:13" x14ac:dyDescent="0.25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1</v>
      </c>
      <c r="G6" t="s">
        <v>51</v>
      </c>
      <c r="H6" t="s">
        <v>52</v>
      </c>
      <c r="I6" t="b">
        <f ca="1">'[1]TECHP+'!C15=B6</f>
        <v>1</v>
      </c>
      <c r="J6" t="b">
        <f ca="1">'[1]TECHP+'!D15=C6</f>
        <v>1</v>
      </c>
      <c r="K6" t="b">
        <f ca="1">'[1]TECHP+'!E15=D6</f>
        <v>1</v>
      </c>
      <c r="L6" t="b">
        <f ca="1">'[1]TECHP+'!F15=E6</f>
        <v>1</v>
      </c>
      <c r="M6" t="b">
        <f ca="1">'[1]TECHP+'!G15=F6</f>
        <v>1</v>
      </c>
    </row>
    <row r="7" spans="1:13" x14ac:dyDescent="0.25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0.99999999999999978</v>
      </c>
      <c r="G7" t="s">
        <v>51</v>
      </c>
      <c r="H7" t="s">
        <v>52</v>
      </c>
      <c r="I7" t="b">
        <f ca="1">'[1]TECHP+'!C16=B7</f>
        <v>1</v>
      </c>
      <c r="J7" t="b">
        <f ca="1">'[1]TECHP+'!D16=C7</f>
        <v>1</v>
      </c>
      <c r="K7" t="b">
        <f ca="1">'[1]TECHP+'!E16=D7</f>
        <v>1</v>
      </c>
      <c r="L7" t="b">
        <f ca="1">'[1]TECHP+'!F16=E7</f>
        <v>1</v>
      </c>
      <c r="M7" t="b">
        <f ca="1">'[1]TECHP+'!G16=F7</f>
        <v>1</v>
      </c>
    </row>
    <row r="8" spans="1:13" x14ac:dyDescent="0.25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0.99999999999999978</v>
      </c>
      <c r="G8" t="s">
        <v>51</v>
      </c>
      <c r="H8" t="s">
        <v>52</v>
      </c>
      <c r="I8" t="b">
        <f ca="1">'[1]TECHP+'!C17=B8</f>
        <v>1</v>
      </c>
      <c r="J8" t="b">
        <f ca="1">'[1]TECHP+'!D17=C8</f>
        <v>1</v>
      </c>
      <c r="K8" t="b">
        <f ca="1">'[1]TECHP+'!E17=D8</f>
        <v>1</v>
      </c>
      <c r="L8" t="b">
        <f ca="1">'[1]TECHP+'!F17=E8</f>
        <v>1</v>
      </c>
      <c r="M8" t="b">
        <f ca="1">'[1]TECHP+'!G17=F8</f>
        <v>1</v>
      </c>
    </row>
    <row r="9" spans="1:13" x14ac:dyDescent="0.25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1</v>
      </c>
      <c r="G9" t="s">
        <v>51</v>
      </c>
      <c r="H9" t="s">
        <v>52</v>
      </c>
      <c r="I9" t="b">
        <f ca="1">'[1]TECHP+'!C18=B9</f>
        <v>1</v>
      </c>
      <c r="J9" t="b">
        <f ca="1">'[1]TECHP+'!D18=C9</f>
        <v>1</v>
      </c>
      <c r="K9" t="b">
        <f ca="1">'[1]TECHP+'!E18=D9</f>
        <v>1</v>
      </c>
      <c r="L9" t="b">
        <f ca="1">'[1]TECHP+'!F18=E9</f>
        <v>1</v>
      </c>
      <c r="M9" t="b">
        <f ca="1">'[1]TECHP+'!G18=F9</f>
        <v>1</v>
      </c>
    </row>
    <row r="10" spans="1:13" x14ac:dyDescent="0.25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0.99999999999999978</v>
      </c>
      <c r="G10" t="s">
        <v>51</v>
      </c>
      <c r="H10" t="s">
        <v>52</v>
      </c>
      <c r="I10" t="b">
        <f ca="1">'[1]TECHP+'!C19=B10</f>
        <v>1</v>
      </c>
      <c r="J10" t="b">
        <f ca="1">'[1]TECHP+'!D19=C10</f>
        <v>1</v>
      </c>
      <c r="K10" t="b">
        <f ca="1">'[1]TECHP+'!E19=D10</f>
        <v>1</v>
      </c>
      <c r="L10" t="b">
        <f ca="1">'[1]TECHP+'!F19=E10</f>
        <v>1</v>
      </c>
      <c r="M10" t="b">
        <f ca="1">'[1]TECHP+'!G19=F10</f>
        <v>1</v>
      </c>
    </row>
    <row r="11" spans="1:13" x14ac:dyDescent="0.25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0.99999999999999978</v>
      </c>
      <c r="G11" t="s">
        <v>51</v>
      </c>
      <c r="H11" t="s">
        <v>52</v>
      </c>
      <c r="I11" t="b">
        <f ca="1">'[1]TECHP+'!C20=B11</f>
        <v>1</v>
      </c>
      <c r="J11" t="b">
        <f ca="1">'[1]TECHP+'!D20=C11</f>
        <v>1</v>
      </c>
      <c r="K11" t="b">
        <f ca="1">'[1]TECHP+'!E20=D11</f>
        <v>1</v>
      </c>
      <c r="L11" t="b">
        <f ca="1">'[1]TECHP+'!F20=E11</f>
        <v>1</v>
      </c>
      <c r="M11" t="b">
        <f ca="1">'[1]TECHP+'!G20=F11</f>
        <v>1</v>
      </c>
    </row>
    <row r="12" spans="1:13" x14ac:dyDescent="0.25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0.99999999999999978</v>
      </c>
      <c r="G12" t="s">
        <v>51</v>
      </c>
      <c r="H12" t="s">
        <v>52</v>
      </c>
      <c r="I12" t="b">
        <f ca="1">'[1]TECHP+'!C21=B12</f>
        <v>1</v>
      </c>
      <c r="J12" t="b">
        <f ca="1">'[1]TECHP+'!D21=C12</f>
        <v>1</v>
      </c>
      <c r="K12" t="b">
        <f ca="1">'[1]TECHP+'!E21=D12</f>
        <v>1</v>
      </c>
      <c r="L12" t="b">
        <f ca="1">'[1]TECHP+'!F21=E12</f>
        <v>1</v>
      </c>
      <c r="M12" t="b">
        <f ca="1">'[1]TECHP+'!G21=F12</f>
        <v>1</v>
      </c>
    </row>
    <row r="13" spans="1:13" x14ac:dyDescent="0.25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0.99999999999999978</v>
      </c>
      <c r="G13" t="s">
        <v>51</v>
      </c>
      <c r="H13" t="s">
        <v>52</v>
      </c>
      <c r="I13" t="b">
        <f ca="1">'[1]TECHP+'!C22=B13</f>
        <v>1</v>
      </c>
      <c r="J13" t="b">
        <f ca="1">'[1]TECHP+'!D22=C13</f>
        <v>1</v>
      </c>
      <c r="K13" t="b">
        <f ca="1">'[1]TECHP+'!E22=D13</f>
        <v>1</v>
      </c>
      <c r="L13" t="b">
        <f ca="1">'[1]TECHP+'!F22=E13</f>
        <v>1</v>
      </c>
      <c r="M13" t="b">
        <f ca="1">'[1]TECHP+'!G22=F13</f>
        <v>1</v>
      </c>
    </row>
    <row r="14" spans="1:13" x14ac:dyDescent="0.25">
      <c r="A14" t="s">
        <v>20</v>
      </c>
      <c r="B14" t="s">
        <v>39</v>
      </c>
      <c r="C14" t="s">
        <v>48</v>
      </c>
      <c r="D14">
        <v>2378947836</v>
      </c>
      <c r="E14">
        <v>0.55000000000000004</v>
      </c>
      <c r="F14">
        <v>1</v>
      </c>
      <c r="G14" t="s">
        <v>51</v>
      </c>
      <c r="H14" t="s">
        <v>52</v>
      </c>
      <c r="I14" t="b">
        <f ca="1">'[1]TECHP+'!C23=B14</f>
        <v>1</v>
      </c>
      <c r="J14" t="b">
        <f ca="1">'[1]TECHP+'!D23=C14</f>
        <v>1</v>
      </c>
      <c r="K14" t="b">
        <f ca="1">'[1]TECHP+'!E23=D14</f>
        <v>1</v>
      </c>
      <c r="L14" t="b">
        <f ca="1">'[1]TECHP+'!F23=E14</f>
        <v>1</v>
      </c>
      <c r="M14" t="b">
        <f ca="1">'[1]TECHP+'!G23=F14</f>
        <v>1</v>
      </c>
    </row>
    <row r="15" spans="1:13" x14ac:dyDescent="0.25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0.99999999999999978</v>
      </c>
      <c r="G15" t="s">
        <v>51</v>
      </c>
      <c r="H15" t="s">
        <v>52</v>
      </c>
      <c r="I15" t="b">
        <f ca="1">'[1]TECHP+'!C24=B15</f>
        <v>1</v>
      </c>
      <c r="J15" t="b">
        <f ca="1">'[1]TECHP+'!D24=C15</f>
        <v>1</v>
      </c>
      <c r="K15" t="b">
        <f ca="1">'[1]TECHP+'!E24=D15</f>
        <v>1</v>
      </c>
      <c r="L15" t="b">
        <f ca="1">'[1]TECHP+'!F24=E15</f>
        <v>1</v>
      </c>
      <c r="M15" t="b">
        <f ca="1">'[1]TECHP+'!G24=F15</f>
        <v>1</v>
      </c>
    </row>
    <row r="16" spans="1:13" x14ac:dyDescent="0.25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0.99999999999999978</v>
      </c>
      <c r="G16" t="s">
        <v>51</v>
      </c>
      <c r="H16" t="s">
        <v>52</v>
      </c>
      <c r="I16" t="b">
        <f ca="1">'[1]TECHP+'!C25=B16</f>
        <v>1</v>
      </c>
      <c r="J16" t="b">
        <f ca="1">'[1]TECHP+'!D25=C16</f>
        <v>1</v>
      </c>
      <c r="K16" t="b">
        <f ca="1">'[1]TECHP+'!E25=D16</f>
        <v>1</v>
      </c>
      <c r="L16" t="b">
        <f ca="1">'[1]TECHP+'!F25=E16</f>
        <v>1</v>
      </c>
      <c r="M16" t="b">
        <f ca="1">'[1]TECHP+'!G25=F16</f>
        <v>1</v>
      </c>
    </row>
    <row r="17" spans="1:13" x14ac:dyDescent="0.25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0.14195211707764049</v>
      </c>
      <c r="G17" t="s">
        <v>51</v>
      </c>
      <c r="H17" t="s">
        <v>52</v>
      </c>
      <c r="I17" t="b">
        <f ca="1">'[1]TECHP+'!C26=B17</f>
        <v>1</v>
      </c>
      <c r="J17" t="b">
        <f ca="1">'[1]TECHP+'!D26=C17</f>
        <v>1</v>
      </c>
      <c r="K17" t="b">
        <f ca="1">'[1]TECHP+'!E26=D17</f>
        <v>1</v>
      </c>
      <c r="L17" t="b">
        <f ca="1">'[1]TECHP+'!F26=E17</f>
        <v>1</v>
      </c>
      <c r="M17" t="b">
        <f ca="1">'[1]TECHP+'!G26=F17</f>
        <v>0</v>
      </c>
    </row>
    <row r="18" spans="1:13" x14ac:dyDescent="0.25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  <c r="I18" t="b">
        <f ca="1">'[1]TECHP+'!C27=B18</f>
        <v>1</v>
      </c>
      <c r="J18" t="b">
        <f ca="1">'[1]TECHP+'!D27=C18</f>
        <v>1</v>
      </c>
      <c r="K18" t="b">
        <f ca="1">'[1]TECHP+'!E27=D18</f>
        <v>1</v>
      </c>
      <c r="L18" t="b">
        <f ca="1">'[1]TECHP+'!F27=E18</f>
        <v>1</v>
      </c>
      <c r="M18" t="b">
        <f ca="1">'[1]TECHP+'!G27=F18</f>
        <v>1</v>
      </c>
    </row>
    <row r="19" spans="1:13" x14ac:dyDescent="0.25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1</v>
      </c>
      <c r="G19" t="s">
        <v>51</v>
      </c>
      <c r="H19" t="s">
        <v>52</v>
      </c>
      <c r="I19" t="b">
        <f ca="1">'[1]TECHP+'!C28=B19</f>
        <v>1</v>
      </c>
      <c r="J19" t="b">
        <f ca="1">'[1]TECHP+'!D28=C19</f>
        <v>1</v>
      </c>
      <c r="K19" t="b">
        <f ca="1">'[1]TECHP+'!E28=D19</f>
        <v>1</v>
      </c>
      <c r="L19" t="b">
        <f ca="1">'[1]TECHP+'!F28=E19</f>
        <v>1</v>
      </c>
      <c r="M19" t="b">
        <f ca="1">'[1]TECHP+'!G28=F19</f>
        <v>1</v>
      </c>
    </row>
    <row r="20" spans="1:13" x14ac:dyDescent="0.25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1</v>
      </c>
      <c r="G20" t="s">
        <v>51</v>
      </c>
      <c r="H20" t="s">
        <v>52</v>
      </c>
      <c r="I20" t="b">
        <f ca="1">'[1]TECHP+'!C29=B20</f>
        <v>1</v>
      </c>
      <c r="J20" t="b">
        <f ca="1">'[1]TECHP+'!D29=C20</f>
        <v>1</v>
      </c>
      <c r="K20" t="b">
        <f ca="1">'[1]TECHP+'!E29=D20</f>
        <v>1</v>
      </c>
      <c r="L20" t="b">
        <f ca="1">'[1]TECHP+'!F29=E20</f>
        <v>1</v>
      </c>
      <c r="M20" t="b">
        <f ca="1">'[1]TECHP+'!G29=F20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53</v>
      </c>
      <c r="C1" s="1" t="s">
        <v>2</v>
      </c>
    </row>
    <row r="2" spans="1:3" x14ac:dyDescent="0.25">
      <c r="A2" t="s">
        <v>8</v>
      </c>
      <c r="B2" t="s">
        <v>27</v>
      </c>
      <c r="C2" t="s">
        <v>46</v>
      </c>
    </row>
    <row r="3" spans="1:3" x14ac:dyDescent="0.25">
      <c r="A3" t="s">
        <v>16</v>
      </c>
      <c r="B3" t="s">
        <v>35</v>
      </c>
      <c r="C3" t="s">
        <v>47</v>
      </c>
    </row>
    <row r="4" spans="1:3" x14ac:dyDescent="0.25">
      <c r="A4" t="s">
        <v>21</v>
      </c>
      <c r="B4" t="s">
        <v>40</v>
      </c>
      <c r="C4" t="s">
        <v>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20"/>
  <sheetViews>
    <sheetView tabSelected="1" topLeftCell="E1" workbookViewId="0">
      <selection activeCell="AE16" sqref="AE16"/>
    </sheetView>
  </sheetViews>
  <sheetFormatPr defaultRowHeight="15" x14ac:dyDescent="0.25"/>
  <sheetData>
    <row r="1" spans="1:31" x14ac:dyDescent="0.25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5</v>
      </c>
      <c r="Z1" s="1" t="s">
        <v>73</v>
      </c>
      <c r="AA1" s="1" t="s">
        <v>6</v>
      </c>
      <c r="AB1" s="1" t="s">
        <v>74</v>
      </c>
    </row>
    <row r="2" spans="1:31" x14ac:dyDescent="0.25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71.849999999999994</v>
      </c>
      <c r="H2" t="s">
        <v>52</v>
      </c>
      <c r="I2">
        <v>2533924322.0999999</v>
      </c>
      <c r="J2" t="s">
        <v>94</v>
      </c>
      <c r="K2">
        <v>5352301.5060483897</v>
      </c>
      <c r="L2" t="s">
        <v>96</v>
      </c>
      <c r="M2">
        <v>1</v>
      </c>
      <c r="N2">
        <v>71</v>
      </c>
      <c r="O2">
        <v>71.849999999999994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2128355363.0999999</v>
      </c>
      <c r="X2">
        <v>4.8078124585031858E-3</v>
      </c>
      <c r="Y2">
        <v>1</v>
      </c>
      <c r="Z2">
        <v>4.8582569056197589E-3</v>
      </c>
      <c r="AA2" t="s">
        <v>51</v>
      </c>
      <c r="AB2" t="b">
        <v>1</v>
      </c>
    </row>
    <row r="3" spans="1:31" x14ac:dyDescent="0.25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72.319999999999993</v>
      </c>
      <c r="H3" t="s">
        <v>52</v>
      </c>
      <c r="I3">
        <v>32580102144</v>
      </c>
      <c r="J3" t="s">
        <v>95</v>
      </c>
      <c r="K3">
        <v>65225053.852419399</v>
      </c>
      <c r="L3" t="s">
        <v>97</v>
      </c>
      <c r="M3">
        <v>1</v>
      </c>
      <c r="N3">
        <v>70.239999999999995</v>
      </c>
      <c r="O3">
        <v>72.319999999999993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7.1479565414173593E-2</v>
      </c>
      <c r="Y3">
        <v>0.99999999999999978</v>
      </c>
      <c r="Z3">
        <v>7.222954207998003E-2</v>
      </c>
      <c r="AA3" t="s">
        <v>51</v>
      </c>
      <c r="AB3" t="b">
        <v>0</v>
      </c>
    </row>
    <row r="4" spans="1:31" x14ac:dyDescent="0.25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23070961899.599998</v>
      </c>
      <c r="J4" t="s">
        <v>95</v>
      </c>
      <c r="K4">
        <v>87402135.328225806</v>
      </c>
      <c r="L4" t="s">
        <v>98</v>
      </c>
      <c r="M4">
        <v>1</v>
      </c>
      <c r="N4">
        <v>520.79999999999995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5.5131053223286139E-2</v>
      </c>
      <c r="Y4">
        <v>1</v>
      </c>
      <c r="Z4">
        <v>5.5709498310902737E-2</v>
      </c>
      <c r="AA4" t="s">
        <v>51</v>
      </c>
      <c r="AB4" t="b">
        <v>0</v>
      </c>
    </row>
    <row r="5" spans="1:31" x14ac:dyDescent="0.25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253075602679.20001</v>
      </c>
      <c r="J5" t="s">
        <v>95</v>
      </c>
      <c r="K5">
        <v>553885525.13951695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0.59249837573360709</v>
      </c>
      <c r="Y5">
        <v>0.16172723166809769</v>
      </c>
      <c r="Z5">
        <v>9.6828515787202196E-2</v>
      </c>
      <c r="AA5" t="s">
        <v>51</v>
      </c>
      <c r="AB5" t="b">
        <v>0</v>
      </c>
      <c r="AC5">
        <f>X5*Y5</f>
        <v>9.5823122075240658E-2</v>
      </c>
      <c r="AD5">
        <v>0.44892979097570002</v>
      </c>
      <c r="AE5">
        <f>AD5*X5</f>
        <v>0.26599017197153002</v>
      </c>
    </row>
    <row r="6" spans="1:31" x14ac:dyDescent="0.25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8544751511.3999996</v>
      </c>
      <c r="J6" t="s">
        <v>95</v>
      </c>
      <c r="K6">
        <v>56350687.948225804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9264117343.7700005</v>
      </c>
      <c r="X6">
        <v>2.0927021659361941E-2</v>
      </c>
      <c r="Y6">
        <v>1</v>
      </c>
      <c r="Z6">
        <v>2.1146591795783549E-2</v>
      </c>
      <c r="AA6" t="s">
        <v>51</v>
      </c>
      <c r="AB6" t="b">
        <v>0</v>
      </c>
    </row>
    <row r="7" spans="1:31" x14ac:dyDescent="0.25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15846966.157741901</v>
      </c>
      <c r="L7" t="s">
        <v>101</v>
      </c>
      <c r="M7">
        <v>1</v>
      </c>
      <c r="N7">
        <v>37.119999999999997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6.8674458820425976E-3</v>
      </c>
      <c r="Y7">
        <v>0.99999999999999978</v>
      </c>
      <c r="Z7">
        <v>6.9395003795115918E-3</v>
      </c>
      <c r="AA7" t="s">
        <v>51</v>
      </c>
      <c r="AB7" t="b">
        <v>0</v>
      </c>
    </row>
    <row r="8" spans="1:31" x14ac:dyDescent="0.25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25170943489.900002</v>
      </c>
      <c r="J8" t="s">
        <v>95</v>
      </c>
      <c r="K8">
        <v>84309554.2024194</v>
      </c>
      <c r="L8" t="s">
        <v>102</v>
      </c>
      <c r="M8">
        <v>1</v>
      </c>
      <c r="N8">
        <v>150.19999999999999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4.9416266860232122E-2</v>
      </c>
      <c r="Y8">
        <v>0.99999999999999978</v>
      </c>
      <c r="Z8">
        <v>4.9934751364743242E-2</v>
      </c>
      <c r="AA8" t="s">
        <v>51</v>
      </c>
      <c r="AB8" t="b">
        <v>0</v>
      </c>
    </row>
    <row r="9" spans="1:31" x14ac:dyDescent="0.25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33.590000000000003</v>
      </c>
      <c r="H9" t="s">
        <v>52</v>
      </c>
      <c r="I9">
        <v>45025148668.750008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33.590000000000003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4.7947569326069202E-2</v>
      </c>
      <c r="Y9">
        <v>1</v>
      </c>
      <c r="Z9">
        <v>4.8450643987594202E-2</v>
      </c>
      <c r="AA9" t="s">
        <v>51</v>
      </c>
      <c r="AB9" t="b">
        <v>0</v>
      </c>
    </row>
    <row r="10" spans="1:31" x14ac:dyDescent="0.25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36161664.344838701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2841132715.1999998</v>
      </c>
      <c r="X10">
        <v>6.4179288389622892E-3</v>
      </c>
      <c r="Y10">
        <v>0.99999999999999978</v>
      </c>
      <c r="Z10">
        <v>6.4852669214497559E-3</v>
      </c>
      <c r="AA10" t="s">
        <v>51</v>
      </c>
      <c r="AB10" t="b">
        <v>1</v>
      </c>
    </row>
    <row r="11" spans="1:31" x14ac:dyDescent="0.25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172929889.08375001</v>
      </c>
      <c r="L11" t="s">
        <v>105</v>
      </c>
      <c r="M11">
        <v>1</v>
      </c>
      <c r="N11">
        <v>34.935000000000002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0.103057846431181</v>
      </c>
      <c r="Y11">
        <v>0.99999999999999978</v>
      </c>
      <c r="Z11">
        <v>0.1041391481934931</v>
      </c>
      <c r="AA11" t="s">
        <v>51</v>
      </c>
      <c r="AB11" t="b">
        <v>0</v>
      </c>
    </row>
    <row r="12" spans="1:31" x14ac:dyDescent="0.25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19.414999999999999</v>
      </c>
      <c r="H12" t="s">
        <v>52</v>
      </c>
      <c r="I12">
        <v>4057108982.7399998</v>
      </c>
      <c r="J12" t="s">
        <v>95</v>
      </c>
      <c r="K12">
        <v>33169597.683830701</v>
      </c>
      <c r="L12" t="s">
        <v>106</v>
      </c>
      <c r="M12">
        <v>1</v>
      </c>
      <c r="N12">
        <v>19.5</v>
      </c>
      <c r="O12">
        <v>19.414999999999999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3259896993.5999999</v>
      </c>
      <c r="X12">
        <v>7.3638893443241094E-3</v>
      </c>
      <c r="Y12">
        <v>0.99999999999999978</v>
      </c>
      <c r="Z12">
        <v>7.4411526173423946E-3</v>
      </c>
      <c r="AA12" t="s">
        <v>51</v>
      </c>
      <c r="AB12" t="b">
        <v>0</v>
      </c>
    </row>
    <row r="13" spans="1:31" x14ac:dyDescent="0.25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1.9239265765777079E-2</v>
      </c>
      <c r="Y13">
        <v>0.99999999999999978</v>
      </c>
      <c r="Z13">
        <v>1.9441127658864639E-2</v>
      </c>
      <c r="AA13" t="s">
        <v>51</v>
      </c>
      <c r="AB13" t="b">
        <v>0</v>
      </c>
    </row>
    <row r="14" spans="1:31" x14ac:dyDescent="0.25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45.134999999999998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46.615000000000002</v>
      </c>
      <c r="O14">
        <v>45.134999999999998</v>
      </c>
      <c r="P14">
        <v>0.55000000000000004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0.55000000000000004</v>
      </c>
      <c r="W14">
        <v>60992059356.327003</v>
      </c>
      <c r="X14">
        <v>0.1377769840164314</v>
      </c>
      <c r="Y14">
        <v>1</v>
      </c>
      <c r="Z14">
        <v>0.13922256531646859</v>
      </c>
      <c r="AA14" t="s">
        <v>51</v>
      </c>
      <c r="AB14" t="b">
        <v>0</v>
      </c>
    </row>
    <row r="15" spans="1:31" x14ac:dyDescent="0.25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93370194054.720001</v>
      </c>
      <c r="J15" t="s">
        <v>95</v>
      </c>
      <c r="K15">
        <v>47410533.484354801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87305708411.460007</v>
      </c>
      <c r="X15">
        <v>0.1972177578408188</v>
      </c>
      <c r="Y15">
        <v>0.99999999999999978</v>
      </c>
      <c r="Z15">
        <v>0.19928700260477691</v>
      </c>
      <c r="AA15" t="s">
        <v>51</v>
      </c>
      <c r="AB15" t="b">
        <v>1</v>
      </c>
    </row>
    <row r="16" spans="1:31" x14ac:dyDescent="0.25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5346093061.1999998</v>
      </c>
      <c r="J16" t="s">
        <v>95</v>
      </c>
      <c r="K16">
        <v>7160192.3854838703</v>
      </c>
      <c r="L16" t="s">
        <v>110</v>
      </c>
      <c r="M16">
        <v>1</v>
      </c>
      <c r="N16">
        <v>144.80000000000001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3521163603.3600011</v>
      </c>
      <c r="X16">
        <v>7.9540731468849043E-3</v>
      </c>
      <c r="Y16">
        <v>0.99999999999999978</v>
      </c>
      <c r="Z16">
        <v>8.0375287362371359E-3</v>
      </c>
      <c r="AA16" t="s">
        <v>51</v>
      </c>
      <c r="AB16" t="b">
        <v>0</v>
      </c>
    </row>
    <row r="17" spans="1:28" x14ac:dyDescent="0.25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525748192.38346797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0.67503834425259268</v>
      </c>
      <c r="Y17">
        <v>0.14195211707764049</v>
      </c>
      <c r="Z17">
        <v>9.6828515787202196E-2</v>
      </c>
      <c r="AA17" t="s">
        <v>51</v>
      </c>
      <c r="AB17" t="b">
        <v>0</v>
      </c>
    </row>
    <row r="18" spans="1:28" x14ac:dyDescent="0.25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20726573.073790301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1.8782746673314071E-2</v>
      </c>
      <c r="Y18">
        <v>1</v>
      </c>
      <c r="Z18">
        <v>1.8979818684638099E-2</v>
      </c>
      <c r="AA18" t="s">
        <v>51</v>
      </c>
      <c r="AB18" t="b">
        <v>0</v>
      </c>
    </row>
    <row r="19" spans="1:28" x14ac:dyDescent="0.25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3881460718.9000001</v>
      </c>
      <c r="J19" t="s">
        <v>95</v>
      </c>
      <c r="K19">
        <v>7129420.2451612996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7.2060657879957097E-3</v>
      </c>
      <c r="Y19">
        <v>1</v>
      </c>
      <c r="Z19">
        <v>7.2816731474130252E-3</v>
      </c>
      <c r="AA19" t="s">
        <v>51</v>
      </c>
      <c r="AB19" t="b">
        <v>0</v>
      </c>
    </row>
    <row r="20" spans="1:28" x14ac:dyDescent="0.25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19610786918.400002</v>
      </c>
      <c r="J20" t="s">
        <v>95</v>
      </c>
      <c r="K20">
        <v>70828427.253919393</v>
      </c>
      <c r="L20" t="s">
        <v>114</v>
      </c>
      <c r="M20">
        <v>1</v>
      </c>
      <c r="N20">
        <v>25.245000000000001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16103718449.280001</v>
      </c>
      <c r="X20">
        <v>3.6377223245232217E-2</v>
      </c>
      <c r="Y20">
        <v>1</v>
      </c>
      <c r="Z20">
        <v>3.6758899720777033E-2</v>
      </c>
      <c r="AA20" t="s">
        <v>51</v>
      </c>
      <c r="AB20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115</v>
      </c>
    </row>
    <row r="2" spans="1:1" x14ac:dyDescent="0.25">
      <c r="A2">
        <v>442686852174.47522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2025-08-05T15:16:23Z</dcterms:created>
  <dcterms:modified xsi:type="dcterms:W3CDTF">2025-08-05T15:20:14Z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2025-08-05T15:17:34Z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7b6fe6d1-21dc-4fb2-9281-02b0ac3f43a4</vt:lpwstr>
  </property>
  <property fmtid="{D5CDD505-2E9C-101B-9397-08002B2CF9AE}" pid="8" name="MSIP_Label_ac0b9ce6-6e99-42a1-af95-429494370cbc_ContentBits">
    <vt:lpwstr>2</vt:lpwstr>
  </property>
</Properties>
</file>