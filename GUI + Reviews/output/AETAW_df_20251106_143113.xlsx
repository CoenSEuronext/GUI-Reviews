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3601B42D58E93F3262E2E2D896791730C65C0D9D" xr6:coauthVersionLast="47" xr6:coauthVersionMax="47" xr10:uidLastSave="{7C9674C8-6C72-4884-9D29-5093C32A01FD}"/>
  <bookViews>
    <workbookView xWindow="-315" yWindow="-16320" windowWidth="29040" windowHeight="15720" activeTab="3" xr2:uid="{00000000-000D-0000-FFFF-FFFF00000000}"/>
  </bookViews>
  <sheets>
    <sheet name="AETA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definedNames>
    <definedName name="_xlnm._FilterDatabase" localSheetId="3" hidden="1">'Full Universe'!$A$1:$O$76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5" i="1" l="1"/>
  <c r="I73" i="1"/>
  <c r="I71" i="1"/>
  <c r="I69" i="1"/>
  <c r="I67" i="1"/>
  <c r="I65" i="1"/>
  <c r="I63" i="1"/>
  <c r="I61" i="1"/>
  <c r="I59" i="1"/>
  <c r="I51" i="1"/>
  <c r="I42" i="1"/>
  <c r="I34" i="1"/>
  <c r="I26" i="1"/>
  <c r="I18" i="1"/>
  <c r="I10" i="1"/>
  <c r="I58" i="1"/>
  <c r="I50" i="1"/>
  <c r="I39" i="1"/>
  <c r="I31" i="1"/>
  <c r="I23" i="1"/>
  <c r="I15" i="1"/>
  <c r="I53" i="1"/>
  <c r="I45" i="1"/>
  <c r="I40" i="1"/>
  <c r="I32" i="1"/>
  <c r="I24" i="1"/>
  <c r="I16" i="1"/>
  <c r="I52" i="1"/>
  <c r="I37" i="1"/>
  <c r="I29" i="1"/>
  <c r="I21" i="1"/>
  <c r="I13" i="1"/>
  <c r="I5" i="1"/>
  <c r="I76" i="1"/>
  <c r="I74" i="1"/>
  <c r="I72" i="1"/>
  <c r="I70" i="1"/>
  <c r="I68" i="1"/>
  <c r="I66" i="1"/>
  <c r="I64" i="1"/>
  <c r="I62" i="1"/>
  <c r="I60" i="1"/>
  <c r="I55" i="1"/>
  <c r="I47" i="1"/>
  <c r="I44" i="1"/>
  <c r="I38" i="1"/>
  <c r="I30" i="1"/>
  <c r="I22" i="1"/>
  <c r="I14" i="1"/>
  <c r="I6" i="1"/>
  <c r="I54" i="1"/>
  <c r="I46" i="1"/>
  <c r="I35" i="1"/>
  <c r="I27" i="1"/>
  <c r="I19" i="1"/>
  <c r="I11" i="1"/>
  <c r="I3" i="1"/>
  <c r="I57" i="1"/>
  <c r="I49" i="1"/>
  <c r="I43" i="1"/>
  <c r="I36" i="1"/>
  <c r="I28" i="1"/>
  <c r="I20" i="1"/>
  <c r="I12" i="1"/>
  <c r="I4" i="1"/>
  <c r="I56" i="1"/>
  <c r="I48" i="1"/>
  <c r="I41" i="1"/>
  <c r="I33" i="1"/>
  <c r="I25" i="1"/>
  <c r="I17" i="1"/>
  <c r="I2" i="1"/>
  <c r="I7" i="1" l="1"/>
  <c r="I9" i="1"/>
  <c r="I8" i="1"/>
</calcChain>
</file>

<file path=xl/sharedStrings.xml><?xml version="1.0" encoding="utf-8"?>
<sst xmlns="http://schemas.openxmlformats.org/spreadsheetml/2006/main" count="861" uniqueCount="176">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</sst>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9\92)%20AEXAWAT\Template%20AEXAT,%20AETAW.xlsm" TargetMode="External"/><Relationship Id="rId1" Type="http://schemas.openxmlformats.org/officeDocument/2006/relationships/externalLinkPath" Target="file:///V:\PM-Indices-IndexOperations\Review%20Files\202509\92)%20AEXAWAT\Template%20AEXAT,%20AETAW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sheet"/>
      <sheetName val="Universe input"/>
      <sheetName val="EOD AD stock"/>
      <sheetName val="EOD AD index"/>
      <sheetName val="Consolidated"/>
      <sheetName val="Ranking AEXAT"/>
      <sheetName val="Ranking AETAW"/>
      <sheetName val="AEXAT"/>
      <sheetName val="AETAW"/>
      <sheetName val="AEXAT+"/>
      <sheetName val="AETAW+"/>
      <sheetName val="AEXAT-"/>
      <sheetName val="AETAW-"/>
      <sheetName val="Extra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E11">
            <v>110580102</v>
          </cell>
        </row>
        <row r="12">
          <cell r="E12">
            <v>578968753</v>
          </cell>
        </row>
        <row r="13">
          <cell r="E13">
            <v>242694212</v>
          </cell>
        </row>
        <row r="14">
          <cell r="E14">
            <v>29589371</v>
          </cell>
        </row>
        <row r="15">
          <cell r="E15">
            <v>31508146</v>
          </cell>
        </row>
        <row r="16">
          <cell r="E16">
            <v>1652797432</v>
          </cell>
        </row>
        <row r="17">
          <cell r="E17">
            <v>907831622</v>
          </cell>
        </row>
        <row r="18">
          <cell r="E18">
            <v>262769869</v>
          </cell>
        </row>
        <row r="19">
          <cell r="E19">
            <v>171041675</v>
          </cell>
        </row>
        <row r="20">
          <cell r="E20">
            <v>21750000</v>
          </cell>
        </row>
        <row r="21">
          <cell r="E21">
            <v>611007738</v>
          </cell>
        </row>
        <row r="22">
          <cell r="E22">
            <v>32504164</v>
          </cell>
        </row>
        <row r="23">
          <cell r="E23">
            <v>73184570</v>
          </cell>
        </row>
        <row r="24">
          <cell r="E24">
            <v>90442091</v>
          </cell>
        </row>
        <row r="25">
          <cell r="E25">
            <v>852809772</v>
          </cell>
        </row>
        <row r="26">
          <cell r="E26">
            <v>49328548</v>
          </cell>
        </row>
        <row r="27">
          <cell r="E27">
            <v>393830692</v>
          </cell>
        </row>
        <row r="28">
          <cell r="E28">
            <v>209113565</v>
          </cell>
        </row>
        <row r="29">
          <cell r="E29">
            <v>20905671</v>
          </cell>
        </row>
        <row r="30">
          <cell r="E30">
            <v>84177321</v>
          </cell>
        </row>
        <row r="31">
          <cell r="E31">
            <v>272000000</v>
          </cell>
        </row>
        <row r="32">
          <cell r="E32">
            <v>66000000</v>
          </cell>
        </row>
        <row r="33">
          <cell r="E33">
            <v>81146738</v>
          </cell>
        </row>
        <row r="34">
          <cell r="E34">
            <v>50574624</v>
          </cell>
        </row>
        <row r="35">
          <cell r="E35">
            <v>58250309</v>
          </cell>
        </row>
        <row r="36">
          <cell r="E36">
            <v>479284361</v>
          </cell>
        </row>
        <row r="37">
          <cell r="E37">
            <v>1062984492</v>
          </cell>
        </row>
        <row r="38">
          <cell r="E38">
            <v>265676388</v>
          </cell>
        </row>
        <row r="39">
          <cell r="E39">
            <v>57690377</v>
          </cell>
        </row>
        <row r="40">
          <cell r="E40">
            <v>55528671</v>
          </cell>
        </row>
        <row r="41">
          <cell r="E41">
            <v>207779752</v>
          </cell>
        </row>
        <row r="42">
          <cell r="E42">
            <v>73313904</v>
          </cell>
        </row>
        <row r="43">
          <cell r="E43">
            <v>19450597</v>
          </cell>
        </row>
        <row r="44">
          <cell r="E44">
            <v>91300000</v>
          </cell>
        </row>
        <row r="45">
          <cell r="E45">
            <v>45671645</v>
          </cell>
        </row>
        <row r="46">
          <cell r="E46">
            <v>89283817</v>
          </cell>
        </row>
        <row r="47">
          <cell r="E47">
            <v>112730967</v>
          </cell>
        </row>
        <row r="48">
          <cell r="E48">
            <v>65897071</v>
          </cell>
        </row>
        <row r="49">
          <cell r="E49">
            <v>90370864</v>
          </cell>
        </row>
        <row r="50">
          <cell r="E50">
            <v>991811494</v>
          </cell>
        </row>
        <row r="51">
          <cell r="E51">
            <v>27478006</v>
          </cell>
        </row>
        <row r="52">
          <cell r="E52">
            <v>576002613</v>
          </cell>
        </row>
        <row r="53">
          <cell r="E53">
            <v>59107999</v>
          </cell>
        </row>
        <row r="54">
          <cell r="E54">
            <v>3021542868</v>
          </cell>
        </row>
        <row r="55">
          <cell r="E55">
            <v>500000000</v>
          </cell>
        </row>
        <row r="56">
          <cell r="E56">
            <v>488178642</v>
          </cell>
        </row>
        <row r="57">
          <cell r="E57">
            <v>208967756</v>
          </cell>
        </row>
        <row r="58">
          <cell r="E58">
            <v>15807427</v>
          </cell>
        </row>
        <row r="59">
          <cell r="E59">
            <v>3888930422</v>
          </cell>
        </row>
        <row r="60">
          <cell r="E60">
            <v>6692920</v>
          </cell>
        </row>
        <row r="61">
          <cell r="E61">
            <v>269000000</v>
          </cell>
        </row>
        <row r="62">
          <cell r="E62">
            <v>20155221</v>
          </cell>
        </row>
        <row r="63">
          <cell r="E63">
            <v>211357989</v>
          </cell>
        </row>
        <row r="64">
          <cell r="E64">
            <v>685147615</v>
          </cell>
        </row>
        <row r="65">
          <cell r="E65">
            <v>962920132</v>
          </cell>
        </row>
        <row r="66">
          <cell r="E66">
            <v>508680625</v>
          </cell>
        </row>
        <row r="67">
          <cell r="E67">
            <v>2378947836</v>
          </cell>
        </row>
        <row r="68">
          <cell r="E68">
            <v>180869312</v>
          </cell>
        </row>
        <row r="69">
          <cell r="E69">
            <v>1907070957</v>
          </cell>
        </row>
        <row r="70">
          <cell r="E70">
            <v>176361365</v>
          </cell>
        </row>
        <row r="71">
          <cell r="E71">
            <v>5977723229</v>
          </cell>
        </row>
        <row r="72">
          <cell r="E72">
            <v>29888612</v>
          </cell>
        </row>
        <row r="73">
          <cell r="E73">
            <v>128344238</v>
          </cell>
        </row>
        <row r="74">
          <cell r="E74">
            <v>44255015</v>
          </cell>
        </row>
        <row r="75">
          <cell r="E75">
            <v>70000000</v>
          </cell>
        </row>
        <row r="76">
          <cell r="E76">
            <v>42198429</v>
          </cell>
        </row>
        <row r="77">
          <cell r="E77">
            <v>125000000</v>
          </cell>
        </row>
        <row r="78">
          <cell r="E78">
            <v>1834099825</v>
          </cell>
        </row>
        <row r="79">
          <cell r="E79">
            <v>2637743772</v>
          </cell>
        </row>
        <row r="80">
          <cell r="E80">
            <v>43036928</v>
          </cell>
        </row>
        <row r="81">
          <cell r="E81">
            <v>19469032</v>
          </cell>
        </row>
        <row r="82">
          <cell r="E82">
            <v>117816148</v>
          </cell>
        </row>
        <row r="83">
          <cell r="E83">
            <v>232653901</v>
          </cell>
        </row>
        <row r="84">
          <cell r="E84">
            <v>46396667</v>
          </cell>
        </row>
        <row r="85">
          <cell r="E85">
            <v>238516153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workbookViewId="0">
      <selection activeCell="I2" sqref="I2:I76"/>
    </sheetView>
  </sheetViews>
  <sheetFormatPr defaultRowHeight="15" x14ac:dyDescent="0.25"/>
  <cols>
    <col min="1" max="1" width="20.85546875" bestFit="1" customWidth="1"/>
    <col min="2" max="2" width="1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0.99999999999999956</v>
      </c>
      <c r="G2" t="s">
        <v>161</v>
      </c>
      <c r="H2" t="s">
        <v>162</v>
      </c>
      <c r="I2" t="b">
        <f ca="1">D2='[1]AETAW+'!E11</f>
        <v>1</v>
      </c>
    </row>
    <row r="3" spans="1:9" x14ac:dyDescent="0.25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0.99999999999999956</v>
      </c>
      <c r="G3" t="s">
        <v>161</v>
      </c>
      <c r="H3" t="s">
        <v>162</v>
      </c>
      <c r="I3" t="b">
        <f ca="1">D3='[1]AETAW+'!E12</f>
        <v>1</v>
      </c>
    </row>
    <row r="4" spans="1:9" x14ac:dyDescent="0.25">
      <c r="A4" t="s">
        <v>10</v>
      </c>
      <c r="B4" t="s">
        <v>85</v>
      </c>
      <c r="C4" t="s">
        <v>158</v>
      </c>
      <c r="D4">
        <v>242694212</v>
      </c>
      <c r="E4">
        <v>0.60000000000000009</v>
      </c>
      <c r="F4">
        <v>0.99999999999999956</v>
      </c>
      <c r="G4" t="s">
        <v>161</v>
      </c>
      <c r="H4" t="s">
        <v>162</v>
      </c>
      <c r="I4" t="b">
        <f ca="1">D4='[1]AETAW+'!E13</f>
        <v>1</v>
      </c>
    </row>
    <row r="5" spans="1:9" x14ac:dyDescent="0.25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0.99999999999999944</v>
      </c>
      <c r="G5" t="s">
        <v>161</v>
      </c>
      <c r="H5" t="s">
        <v>162</v>
      </c>
      <c r="I5" t="b">
        <f ca="1">D5='[1]AETAW+'!E14</f>
        <v>1</v>
      </c>
    </row>
    <row r="6" spans="1:9" x14ac:dyDescent="0.25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0.66976985863459249</v>
      </c>
      <c r="G6" t="s">
        <v>161</v>
      </c>
      <c r="H6" t="s">
        <v>162</v>
      </c>
      <c r="I6" t="b">
        <f ca="1">D6='[1]AETAW+'!E15</f>
        <v>1</v>
      </c>
    </row>
    <row r="7" spans="1:9" x14ac:dyDescent="0.25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0.99999999999999933</v>
      </c>
      <c r="G7" t="s">
        <v>161</v>
      </c>
      <c r="H7" t="s">
        <v>162</v>
      </c>
      <c r="I7" t="b">
        <f ca="1">D7='[1]AETAW+'!E16</f>
        <v>1</v>
      </c>
    </row>
    <row r="8" spans="1:9" x14ac:dyDescent="0.25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0.94674256053699746</v>
      </c>
      <c r="G8" t="s">
        <v>161</v>
      </c>
      <c r="H8" t="s">
        <v>162</v>
      </c>
      <c r="I8" t="b">
        <f ca="1">D8='[1]AETAW+'!E17</f>
        <v>1</v>
      </c>
    </row>
    <row r="9" spans="1:9" x14ac:dyDescent="0.25">
      <c r="A9" t="s">
        <v>15</v>
      </c>
      <c r="B9" t="s">
        <v>90</v>
      </c>
      <c r="C9" t="s">
        <v>159</v>
      </c>
      <c r="D9">
        <v>262769869</v>
      </c>
      <c r="E9">
        <v>0.55000000000000004</v>
      </c>
      <c r="F9">
        <v>0.999999999999999</v>
      </c>
      <c r="G9" t="s">
        <v>161</v>
      </c>
      <c r="H9" t="s">
        <v>162</v>
      </c>
      <c r="I9" t="b">
        <f ca="1">D9='[1]AETAW+'!E18</f>
        <v>1</v>
      </c>
    </row>
    <row r="10" spans="1:9" x14ac:dyDescent="0.25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0.99999999999999967</v>
      </c>
      <c r="G10" t="s">
        <v>161</v>
      </c>
      <c r="H10" t="s">
        <v>162</v>
      </c>
      <c r="I10" t="b">
        <f ca="1">D10='[1]AETAW+'!E19</f>
        <v>1</v>
      </c>
    </row>
    <row r="11" spans="1:9" x14ac:dyDescent="0.25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</v>
      </c>
      <c r="G11" t="s">
        <v>161</v>
      </c>
      <c r="H11" t="s">
        <v>162</v>
      </c>
      <c r="I11" t="b">
        <f ca="1">D11='[1]AETAW+'!E20</f>
        <v>1</v>
      </c>
    </row>
    <row r="12" spans="1:9" x14ac:dyDescent="0.25">
      <c r="A12" t="s">
        <v>18</v>
      </c>
      <c r="B12" t="s">
        <v>93</v>
      </c>
      <c r="C12" t="s">
        <v>158</v>
      </c>
      <c r="D12">
        <v>611007738</v>
      </c>
      <c r="E12">
        <v>0.60000000000000009</v>
      </c>
      <c r="F12">
        <v>0.99999999999999967</v>
      </c>
      <c r="G12" t="s">
        <v>161</v>
      </c>
      <c r="H12" t="s">
        <v>162</v>
      </c>
      <c r="I12" t="b">
        <f ca="1">D12='[1]AETAW+'!E21</f>
        <v>1</v>
      </c>
    </row>
    <row r="13" spans="1:9" x14ac:dyDescent="0.25">
      <c r="A13" t="s">
        <v>19</v>
      </c>
      <c r="B13" t="s">
        <v>94</v>
      </c>
      <c r="C13" t="s">
        <v>158</v>
      </c>
      <c r="D13">
        <v>32504164</v>
      </c>
      <c r="E13">
        <v>0.95000000000000007</v>
      </c>
      <c r="F13">
        <v>0.99999999999999956</v>
      </c>
      <c r="G13" t="s">
        <v>161</v>
      </c>
      <c r="H13" t="s">
        <v>162</v>
      </c>
      <c r="I13" t="b">
        <f ca="1">D13='[1]AETAW+'!E22</f>
        <v>1</v>
      </c>
    </row>
    <row r="14" spans="1:9" x14ac:dyDescent="0.25">
      <c r="A14" t="s">
        <v>20</v>
      </c>
      <c r="B14" t="s">
        <v>95</v>
      </c>
      <c r="C14" t="s">
        <v>158</v>
      </c>
      <c r="D14">
        <v>73184570</v>
      </c>
      <c r="E14">
        <v>0.60000000000000009</v>
      </c>
      <c r="F14">
        <v>0.99999999999999956</v>
      </c>
      <c r="G14" t="s">
        <v>161</v>
      </c>
      <c r="H14" t="s">
        <v>162</v>
      </c>
      <c r="I14" t="b">
        <f ca="1">D14='[1]AETAW+'!E23</f>
        <v>1</v>
      </c>
    </row>
    <row r="15" spans="1:9" x14ac:dyDescent="0.25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0.99999999999999989</v>
      </c>
      <c r="G15" t="s">
        <v>161</v>
      </c>
      <c r="H15" t="s">
        <v>162</v>
      </c>
      <c r="I15" t="b">
        <f ca="1">D15='[1]AETAW+'!E24</f>
        <v>1</v>
      </c>
    </row>
    <row r="16" spans="1:9" x14ac:dyDescent="0.25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0.99999999999999911</v>
      </c>
      <c r="G16" t="s">
        <v>161</v>
      </c>
      <c r="H16" t="s">
        <v>162</v>
      </c>
      <c r="I16" t="b">
        <f ca="1">D16='[1]AETAW+'!E25</f>
        <v>1</v>
      </c>
    </row>
    <row r="17" spans="1:9" x14ac:dyDescent="0.25">
      <c r="A17" t="s">
        <v>23</v>
      </c>
      <c r="B17" t="s">
        <v>98</v>
      </c>
      <c r="C17" t="s">
        <v>158</v>
      </c>
      <c r="D17">
        <v>49328548</v>
      </c>
      <c r="E17">
        <v>0.95000000000000007</v>
      </c>
      <c r="F17">
        <v>0.99999999999999956</v>
      </c>
      <c r="G17" t="s">
        <v>161</v>
      </c>
      <c r="H17" t="s">
        <v>162</v>
      </c>
      <c r="I17" t="b">
        <f ca="1">D17='[1]AETAW+'!E26</f>
        <v>1</v>
      </c>
    </row>
    <row r="18" spans="1:9" x14ac:dyDescent="0.25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0.20023283745684259</v>
      </c>
      <c r="G18" t="s">
        <v>161</v>
      </c>
      <c r="H18" t="s">
        <v>162</v>
      </c>
      <c r="I18" t="b">
        <f ca="1">D18='[1]AETAW+'!E27</f>
        <v>1</v>
      </c>
    </row>
    <row r="19" spans="1:9" x14ac:dyDescent="0.25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0.99999999999999956</v>
      </c>
      <c r="G19" t="s">
        <v>161</v>
      </c>
      <c r="H19" t="s">
        <v>162</v>
      </c>
      <c r="I19" t="b">
        <f ca="1">D19='[1]AETAW+'!E28</f>
        <v>1</v>
      </c>
    </row>
    <row r="20" spans="1:9" x14ac:dyDescent="0.25">
      <c r="A20" t="s">
        <v>26</v>
      </c>
      <c r="B20" t="s">
        <v>101</v>
      </c>
      <c r="C20" t="s">
        <v>158</v>
      </c>
      <c r="D20">
        <v>20905671</v>
      </c>
      <c r="E20">
        <v>0.95000000000000007</v>
      </c>
      <c r="F20">
        <v>0.99999999999999989</v>
      </c>
      <c r="G20" t="s">
        <v>161</v>
      </c>
      <c r="H20" t="s">
        <v>162</v>
      </c>
      <c r="I20" t="b">
        <f ca="1">D20='[1]AETAW+'!E29</f>
        <v>1</v>
      </c>
    </row>
    <row r="21" spans="1:9" x14ac:dyDescent="0.25">
      <c r="A21" t="s">
        <v>27</v>
      </c>
      <c r="B21" t="s">
        <v>102</v>
      </c>
      <c r="C21" t="s">
        <v>158</v>
      </c>
      <c r="D21">
        <v>84177321</v>
      </c>
      <c r="E21">
        <v>0.25</v>
      </c>
      <c r="F21">
        <v>0.99999999999999944</v>
      </c>
      <c r="G21" t="s">
        <v>161</v>
      </c>
      <c r="H21" t="s">
        <v>162</v>
      </c>
      <c r="I21" t="b">
        <f ca="1">D21='[1]AETAW+'!E30</f>
        <v>1</v>
      </c>
    </row>
    <row r="22" spans="1:9" x14ac:dyDescent="0.25">
      <c r="A22" t="s">
        <v>28</v>
      </c>
      <c r="B22" t="s">
        <v>103</v>
      </c>
      <c r="C22" t="s">
        <v>158</v>
      </c>
      <c r="D22">
        <v>272000000</v>
      </c>
      <c r="E22">
        <v>0.95000000000000007</v>
      </c>
      <c r="F22">
        <v>0.99999999999999956</v>
      </c>
      <c r="G22" t="s">
        <v>161</v>
      </c>
      <c r="H22" t="s">
        <v>162</v>
      </c>
      <c r="I22" t="b">
        <f ca="1">D22='[1]AETAW+'!E31</f>
        <v>1</v>
      </c>
    </row>
    <row r="23" spans="1:9" x14ac:dyDescent="0.25">
      <c r="A23" t="s">
        <v>29</v>
      </c>
      <c r="B23" t="s">
        <v>104</v>
      </c>
      <c r="C23" t="s">
        <v>158</v>
      </c>
      <c r="D23">
        <v>66000000</v>
      </c>
      <c r="E23">
        <v>0.60000000000000009</v>
      </c>
      <c r="F23">
        <v>0.99999999999999944</v>
      </c>
      <c r="G23" t="s">
        <v>161</v>
      </c>
      <c r="H23" t="s">
        <v>162</v>
      </c>
      <c r="I23" t="b">
        <f ca="1">D23='[1]AETAW+'!E32</f>
        <v>1</v>
      </c>
    </row>
    <row r="24" spans="1:9" x14ac:dyDescent="0.25">
      <c r="A24" t="s">
        <v>30</v>
      </c>
      <c r="B24" t="s">
        <v>105</v>
      </c>
      <c r="C24" t="s">
        <v>158</v>
      </c>
      <c r="D24">
        <v>81146738</v>
      </c>
      <c r="E24">
        <v>0.9</v>
      </c>
      <c r="F24">
        <v>0.99999999999999956</v>
      </c>
      <c r="G24" t="s">
        <v>161</v>
      </c>
      <c r="H24" t="s">
        <v>162</v>
      </c>
      <c r="I24" t="b">
        <f ca="1">D24='[1]AETAW+'!E33</f>
        <v>1</v>
      </c>
    </row>
    <row r="25" spans="1:9" x14ac:dyDescent="0.25">
      <c r="A25" t="s">
        <v>31</v>
      </c>
      <c r="B25" t="s">
        <v>106</v>
      </c>
      <c r="C25" t="s">
        <v>158</v>
      </c>
      <c r="D25">
        <v>50574624</v>
      </c>
      <c r="E25">
        <v>0.4</v>
      </c>
      <c r="F25">
        <v>0.99999999999999989</v>
      </c>
      <c r="G25" t="s">
        <v>161</v>
      </c>
      <c r="H25" t="s">
        <v>162</v>
      </c>
      <c r="I25" t="b">
        <f ca="1">D25='[1]AETAW+'!E34</f>
        <v>1</v>
      </c>
    </row>
    <row r="26" spans="1:9" x14ac:dyDescent="0.25">
      <c r="A26" t="s">
        <v>32</v>
      </c>
      <c r="B26" t="s">
        <v>107</v>
      </c>
      <c r="C26" t="s">
        <v>158</v>
      </c>
      <c r="D26">
        <v>58250309</v>
      </c>
      <c r="E26">
        <v>0.9</v>
      </c>
      <c r="F26">
        <v>0.99999999999999956</v>
      </c>
      <c r="G26" t="s">
        <v>161</v>
      </c>
      <c r="H26" t="s">
        <v>162</v>
      </c>
      <c r="I26" t="b">
        <f ca="1">D26='[1]AETAW+'!E35</f>
        <v>1</v>
      </c>
    </row>
    <row r="27" spans="1:9" x14ac:dyDescent="0.25">
      <c r="A27" t="s">
        <v>33</v>
      </c>
      <c r="B27" t="s">
        <v>108</v>
      </c>
      <c r="C27" t="s">
        <v>158</v>
      </c>
      <c r="D27">
        <v>479284361</v>
      </c>
      <c r="E27">
        <v>0.25</v>
      </c>
      <c r="F27">
        <v>0.99999999999999956</v>
      </c>
      <c r="G27" t="s">
        <v>161</v>
      </c>
      <c r="H27" t="s">
        <v>162</v>
      </c>
      <c r="I27" t="b">
        <f ca="1">D27='[1]AETAW+'!E36</f>
        <v>1</v>
      </c>
    </row>
    <row r="28" spans="1:9" x14ac:dyDescent="0.25">
      <c r="A28" t="s">
        <v>34</v>
      </c>
      <c r="B28" t="s">
        <v>109</v>
      </c>
      <c r="C28" t="s">
        <v>158</v>
      </c>
      <c r="D28">
        <v>1062984492</v>
      </c>
      <c r="E28">
        <v>0.25</v>
      </c>
      <c r="F28">
        <v>0.99999999999999967</v>
      </c>
      <c r="G28" t="s">
        <v>161</v>
      </c>
      <c r="H28" t="s">
        <v>162</v>
      </c>
      <c r="I28" t="b">
        <f ca="1">D28='[1]AETAW+'!E37</f>
        <v>1</v>
      </c>
    </row>
    <row r="29" spans="1:9" x14ac:dyDescent="0.25">
      <c r="A29" t="s">
        <v>35</v>
      </c>
      <c r="B29" t="s">
        <v>110</v>
      </c>
      <c r="C29" t="s">
        <v>158</v>
      </c>
      <c r="D29">
        <v>265676388</v>
      </c>
      <c r="E29">
        <v>0.8</v>
      </c>
      <c r="F29">
        <v>0.99999999999999944</v>
      </c>
      <c r="G29" t="s">
        <v>161</v>
      </c>
      <c r="H29" t="s">
        <v>162</v>
      </c>
      <c r="I29" t="b">
        <f ca="1">D29='[1]AETAW+'!E38</f>
        <v>1</v>
      </c>
    </row>
    <row r="30" spans="1:9" x14ac:dyDescent="0.25">
      <c r="A30" t="s">
        <v>36</v>
      </c>
      <c r="B30" t="s">
        <v>111</v>
      </c>
      <c r="C30" t="s">
        <v>158</v>
      </c>
      <c r="D30">
        <v>57690377</v>
      </c>
      <c r="E30">
        <v>0.55000000000000004</v>
      </c>
      <c r="F30">
        <v>0.99999999999999933</v>
      </c>
      <c r="G30" t="s">
        <v>161</v>
      </c>
      <c r="H30" t="s">
        <v>162</v>
      </c>
      <c r="I30" t="b">
        <f ca="1">D30='[1]AETAW+'!E39</f>
        <v>1</v>
      </c>
    </row>
    <row r="31" spans="1:9" x14ac:dyDescent="0.25">
      <c r="A31" t="s">
        <v>37</v>
      </c>
      <c r="B31" t="s">
        <v>112</v>
      </c>
      <c r="C31" t="s">
        <v>158</v>
      </c>
      <c r="D31">
        <v>55528671</v>
      </c>
      <c r="E31">
        <v>0.8</v>
      </c>
      <c r="F31">
        <v>0.99999999999999956</v>
      </c>
      <c r="G31" t="s">
        <v>161</v>
      </c>
      <c r="H31" t="s">
        <v>162</v>
      </c>
      <c r="I31" t="b">
        <f ca="1">D31='[1]AETAW+'!E40</f>
        <v>1</v>
      </c>
    </row>
    <row r="32" spans="1:9" x14ac:dyDescent="0.25">
      <c r="A32" t="s">
        <v>38</v>
      </c>
      <c r="B32" t="s">
        <v>113</v>
      </c>
      <c r="C32" t="s">
        <v>158</v>
      </c>
      <c r="D32">
        <v>207779752</v>
      </c>
      <c r="E32">
        <v>0.45</v>
      </c>
      <c r="F32">
        <v>0.99999999999999933</v>
      </c>
      <c r="G32" t="s">
        <v>161</v>
      </c>
      <c r="H32" t="s">
        <v>162</v>
      </c>
      <c r="I32" t="b">
        <f ca="1">D32='[1]AETAW+'!E41</f>
        <v>1</v>
      </c>
    </row>
    <row r="33" spans="1:9" x14ac:dyDescent="0.25">
      <c r="A33" t="s">
        <v>39</v>
      </c>
      <c r="B33" t="s">
        <v>114</v>
      </c>
      <c r="C33" t="s">
        <v>160</v>
      </c>
      <c r="D33">
        <v>73313904</v>
      </c>
      <c r="E33">
        <v>0.9</v>
      </c>
      <c r="F33">
        <v>0.99999999999999956</v>
      </c>
      <c r="G33" t="s">
        <v>161</v>
      </c>
      <c r="H33" t="s">
        <v>162</v>
      </c>
      <c r="I33" t="b">
        <f ca="1">D33='[1]AETAW+'!E42</f>
        <v>1</v>
      </c>
    </row>
    <row r="34" spans="1:9" x14ac:dyDescent="0.25">
      <c r="A34" t="s">
        <v>40</v>
      </c>
      <c r="B34" t="s">
        <v>115</v>
      </c>
      <c r="C34" t="s">
        <v>158</v>
      </c>
      <c r="D34">
        <v>19450597</v>
      </c>
      <c r="E34">
        <v>0.25</v>
      </c>
      <c r="F34">
        <v>1</v>
      </c>
      <c r="G34" t="s">
        <v>161</v>
      </c>
      <c r="H34" t="s">
        <v>162</v>
      </c>
      <c r="I34" t="b">
        <f ca="1">D34='[1]AETAW+'!E43</f>
        <v>1</v>
      </c>
    </row>
    <row r="35" spans="1:9" x14ac:dyDescent="0.25">
      <c r="A35" t="s">
        <v>41</v>
      </c>
      <c r="B35" t="s">
        <v>116</v>
      </c>
      <c r="C35" t="s">
        <v>158</v>
      </c>
      <c r="D35">
        <v>91300000</v>
      </c>
      <c r="E35">
        <v>0.3</v>
      </c>
      <c r="F35">
        <v>0.99999999999999956</v>
      </c>
      <c r="G35" t="s">
        <v>161</v>
      </c>
      <c r="H35" t="s">
        <v>162</v>
      </c>
      <c r="I35" t="b">
        <f ca="1">D35='[1]AETAW+'!E44</f>
        <v>1</v>
      </c>
    </row>
    <row r="36" spans="1:9" x14ac:dyDescent="0.25">
      <c r="A36" t="s">
        <v>42</v>
      </c>
      <c r="B36" t="s">
        <v>117</v>
      </c>
      <c r="C36" t="s">
        <v>158</v>
      </c>
      <c r="D36">
        <v>45671645</v>
      </c>
      <c r="E36">
        <v>0.75</v>
      </c>
      <c r="F36">
        <v>0.99999999999999933</v>
      </c>
      <c r="G36" t="s">
        <v>161</v>
      </c>
      <c r="H36" t="s">
        <v>162</v>
      </c>
      <c r="I36" t="b">
        <f ca="1">D36='[1]AETAW+'!E45</f>
        <v>1</v>
      </c>
    </row>
    <row r="37" spans="1:9" x14ac:dyDescent="0.25">
      <c r="A37" t="s">
        <v>43</v>
      </c>
      <c r="B37" t="s">
        <v>118</v>
      </c>
      <c r="C37" t="s">
        <v>158</v>
      </c>
      <c r="D37">
        <v>89283817</v>
      </c>
      <c r="E37">
        <v>0.45</v>
      </c>
      <c r="F37">
        <v>0.99999999999999956</v>
      </c>
      <c r="G37" t="s">
        <v>161</v>
      </c>
      <c r="H37" t="s">
        <v>162</v>
      </c>
      <c r="I37" t="b">
        <f ca="1">D37='[1]AETAW+'!E46</f>
        <v>1</v>
      </c>
    </row>
    <row r="38" spans="1:9" x14ac:dyDescent="0.25">
      <c r="A38" t="s">
        <v>44</v>
      </c>
      <c r="B38" t="s">
        <v>119</v>
      </c>
      <c r="C38" t="s">
        <v>158</v>
      </c>
      <c r="D38">
        <v>112730967</v>
      </c>
      <c r="E38">
        <v>0.8</v>
      </c>
      <c r="F38">
        <v>0.99999999999999967</v>
      </c>
      <c r="G38" t="s">
        <v>161</v>
      </c>
      <c r="H38" t="s">
        <v>162</v>
      </c>
      <c r="I38" t="b">
        <f ca="1">D38='[1]AETAW+'!E47</f>
        <v>1</v>
      </c>
    </row>
    <row r="39" spans="1:9" x14ac:dyDescent="0.25">
      <c r="A39" t="s">
        <v>45</v>
      </c>
      <c r="B39" t="s">
        <v>120</v>
      </c>
      <c r="C39" t="s">
        <v>158</v>
      </c>
      <c r="D39">
        <v>65897071</v>
      </c>
      <c r="E39">
        <v>0.55000000000000004</v>
      </c>
      <c r="F39">
        <v>0.99999999999999911</v>
      </c>
      <c r="G39" t="s">
        <v>161</v>
      </c>
      <c r="H39" t="s">
        <v>162</v>
      </c>
      <c r="I39" t="b">
        <f ca="1">D39='[1]AETAW+'!E48</f>
        <v>1</v>
      </c>
    </row>
    <row r="40" spans="1:9" x14ac:dyDescent="0.25">
      <c r="A40" t="s">
        <v>46</v>
      </c>
      <c r="B40" t="s">
        <v>121</v>
      </c>
      <c r="C40" t="s">
        <v>158</v>
      </c>
      <c r="D40">
        <v>90370864</v>
      </c>
      <c r="E40">
        <v>0.25</v>
      </c>
      <c r="F40">
        <v>0.99999999999999944</v>
      </c>
      <c r="G40" t="s">
        <v>161</v>
      </c>
      <c r="H40" t="s">
        <v>162</v>
      </c>
      <c r="I40" t="b">
        <f ca="1">D40='[1]AETAW+'!E49</f>
        <v>1</v>
      </c>
    </row>
    <row r="41" spans="1:9" x14ac:dyDescent="0.25">
      <c r="A41" t="s">
        <v>47</v>
      </c>
      <c r="B41" t="s">
        <v>122</v>
      </c>
      <c r="C41" t="s">
        <v>158</v>
      </c>
      <c r="D41">
        <v>991811494</v>
      </c>
      <c r="E41">
        <v>0.60000000000000009</v>
      </c>
      <c r="F41">
        <v>0.99999999999999978</v>
      </c>
      <c r="G41" t="s">
        <v>161</v>
      </c>
      <c r="H41" t="s">
        <v>162</v>
      </c>
      <c r="I41" t="b">
        <f ca="1">D41='[1]AETAW+'!E50</f>
        <v>1</v>
      </c>
    </row>
    <row r="42" spans="1:9" x14ac:dyDescent="0.25">
      <c r="A42" t="s">
        <v>48</v>
      </c>
      <c r="B42" t="s">
        <v>123</v>
      </c>
      <c r="C42" t="s">
        <v>158</v>
      </c>
      <c r="D42">
        <v>27478006</v>
      </c>
      <c r="E42">
        <v>0.95000000000000007</v>
      </c>
      <c r="F42">
        <v>0.99999999999999956</v>
      </c>
      <c r="G42" t="s">
        <v>161</v>
      </c>
      <c r="H42" t="s">
        <v>162</v>
      </c>
      <c r="I42" t="b">
        <f ca="1">D42='[1]AETAW+'!E51</f>
        <v>1</v>
      </c>
    </row>
    <row r="43" spans="1:9" x14ac:dyDescent="0.25">
      <c r="A43" t="s">
        <v>49</v>
      </c>
      <c r="B43" t="s">
        <v>124</v>
      </c>
      <c r="C43" t="s">
        <v>158</v>
      </c>
      <c r="D43">
        <v>576002613</v>
      </c>
      <c r="E43">
        <v>0.5</v>
      </c>
      <c r="F43">
        <v>0.99999999999999911</v>
      </c>
      <c r="G43" t="s">
        <v>161</v>
      </c>
      <c r="H43" t="s">
        <v>162</v>
      </c>
      <c r="I43" t="b">
        <f ca="1">D43='[1]AETAW+'!E52</f>
        <v>1</v>
      </c>
    </row>
    <row r="44" spans="1:9" x14ac:dyDescent="0.25">
      <c r="A44" t="s">
        <v>50</v>
      </c>
      <c r="B44" t="s">
        <v>125</v>
      </c>
      <c r="C44" t="s">
        <v>158</v>
      </c>
      <c r="D44">
        <v>59107999</v>
      </c>
      <c r="E44">
        <v>0.95000000000000007</v>
      </c>
      <c r="F44">
        <v>0.99999999999999956</v>
      </c>
      <c r="G44" t="s">
        <v>161</v>
      </c>
      <c r="H44" t="s">
        <v>162</v>
      </c>
      <c r="I44" t="b">
        <f ca="1">D44='[1]AETAW+'!E53</f>
        <v>1</v>
      </c>
    </row>
    <row r="45" spans="1:9" x14ac:dyDescent="0.25">
      <c r="A45" t="s">
        <v>51</v>
      </c>
      <c r="B45" t="s">
        <v>126</v>
      </c>
      <c r="C45" t="s">
        <v>158</v>
      </c>
      <c r="D45">
        <v>3021542868</v>
      </c>
      <c r="E45">
        <v>1</v>
      </c>
      <c r="F45">
        <v>0.44825498462190361</v>
      </c>
      <c r="G45" t="s">
        <v>161</v>
      </c>
      <c r="H45" t="s">
        <v>162</v>
      </c>
      <c r="I45" t="b">
        <f ca="1">D45='[1]AETAW+'!E54</f>
        <v>1</v>
      </c>
    </row>
    <row r="46" spans="1:9" x14ac:dyDescent="0.25">
      <c r="A46" t="s">
        <v>52</v>
      </c>
      <c r="B46" t="s">
        <v>127</v>
      </c>
      <c r="C46" t="s">
        <v>158</v>
      </c>
      <c r="D46">
        <v>500000000</v>
      </c>
      <c r="E46">
        <v>0.5</v>
      </c>
      <c r="F46">
        <v>0.99999999999999956</v>
      </c>
      <c r="G46" t="s">
        <v>161</v>
      </c>
      <c r="H46" t="s">
        <v>162</v>
      </c>
      <c r="I46" t="b">
        <f ca="1">D46='[1]AETAW+'!E55</f>
        <v>1</v>
      </c>
    </row>
    <row r="47" spans="1:9" x14ac:dyDescent="0.25">
      <c r="A47" t="s">
        <v>53</v>
      </c>
      <c r="B47" t="s">
        <v>128</v>
      </c>
      <c r="C47" t="s">
        <v>158</v>
      </c>
      <c r="D47">
        <v>488178642</v>
      </c>
      <c r="E47">
        <v>0.3</v>
      </c>
      <c r="F47">
        <v>0.99999999999999978</v>
      </c>
      <c r="G47" t="s">
        <v>161</v>
      </c>
      <c r="H47" t="s">
        <v>162</v>
      </c>
      <c r="I47" t="b">
        <f ca="1">D47='[1]AETAW+'!E56</f>
        <v>1</v>
      </c>
    </row>
    <row r="48" spans="1:9" x14ac:dyDescent="0.25">
      <c r="A48" t="s">
        <v>54</v>
      </c>
      <c r="B48" t="s">
        <v>129</v>
      </c>
      <c r="C48" t="s">
        <v>158</v>
      </c>
      <c r="D48">
        <v>208967756</v>
      </c>
      <c r="E48">
        <v>0.85000000000000009</v>
      </c>
      <c r="F48">
        <v>0.99999999999999956</v>
      </c>
      <c r="G48" t="s">
        <v>161</v>
      </c>
      <c r="H48" t="s">
        <v>162</v>
      </c>
      <c r="I48" t="b">
        <f ca="1">D48='[1]AETAW+'!E57</f>
        <v>1</v>
      </c>
    </row>
    <row r="49" spans="1:9" x14ac:dyDescent="0.25">
      <c r="A49" t="s">
        <v>55</v>
      </c>
      <c r="B49" t="s">
        <v>130</v>
      </c>
      <c r="C49" t="s">
        <v>158</v>
      </c>
      <c r="D49">
        <v>15807427</v>
      </c>
      <c r="E49">
        <v>0.75</v>
      </c>
      <c r="F49">
        <v>0.99999999999999944</v>
      </c>
      <c r="G49" t="s">
        <v>161</v>
      </c>
      <c r="H49" t="s">
        <v>162</v>
      </c>
      <c r="I49" t="b">
        <f ca="1">D49='[1]AETAW+'!E58</f>
        <v>1</v>
      </c>
    </row>
    <row r="50" spans="1:9" x14ac:dyDescent="0.25">
      <c r="A50" t="s">
        <v>56</v>
      </c>
      <c r="B50" t="s">
        <v>131</v>
      </c>
      <c r="C50" t="s">
        <v>158</v>
      </c>
      <c r="D50">
        <v>3888930422</v>
      </c>
      <c r="E50">
        <v>1</v>
      </c>
      <c r="F50">
        <v>0.99999999999999944</v>
      </c>
      <c r="G50" t="s">
        <v>161</v>
      </c>
      <c r="H50" t="s">
        <v>162</v>
      </c>
      <c r="I50" t="b">
        <f ca="1">D50='[1]AETAW+'!E59</f>
        <v>1</v>
      </c>
    </row>
    <row r="51" spans="1:9" x14ac:dyDescent="0.25">
      <c r="A51" t="s">
        <v>57</v>
      </c>
      <c r="B51" t="s">
        <v>132</v>
      </c>
      <c r="C51" t="s">
        <v>158</v>
      </c>
      <c r="D51">
        <v>6692920</v>
      </c>
      <c r="E51">
        <v>0.45</v>
      </c>
      <c r="F51">
        <v>0.99999999999999978</v>
      </c>
      <c r="G51" t="s">
        <v>161</v>
      </c>
      <c r="H51" t="s">
        <v>162</v>
      </c>
      <c r="I51" t="b">
        <f ca="1">D51='[1]AETAW+'!E60</f>
        <v>1</v>
      </c>
    </row>
    <row r="52" spans="1:9" x14ac:dyDescent="0.25">
      <c r="A52" t="s">
        <v>58</v>
      </c>
      <c r="B52" t="s">
        <v>133</v>
      </c>
      <c r="C52" t="s">
        <v>158</v>
      </c>
      <c r="D52">
        <v>269000000</v>
      </c>
      <c r="E52">
        <v>0.95000000000000007</v>
      </c>
      <c r="F52">
        <v>0.99999999999999967</v>
      </c>
      <c r="G52" t="s">
        <v>161</v>
      </c>
      <c r="H52" t="s">
        <v>162</v>
      </c>
      <c r="I52" t="b">
        <f ca="1">D52='[1]AETAW+'!E61</f>
        <v>1</v>
      </c>
    </row>
    <row r="53" spans="1:9" x14ac:dyDescent="0.25">
      <c r="A53" t="s">
        <v>59</v>
      </c>
      <c r="B53" t="s">
        <v>134</v>
      </c>
      <c r="C53" t="s">
        <v>158</v>
      </c>
      <c r="D53">
        <v>20155221</v>
      </c>
      <c r="E53">
        <v>0.65</v>
      </c>
      <c r="F53">
        <v>0.99999999999999956</v>
      </c>
      <c r="G53" t="s">
        <v>161</v>
      </c>
      <c r="H53" t="s">
        <v>162</v>
      </c>
      <c r="I53" t="b">
        <f ca="1">D53='[1]AETAW+'!E62</f>
        <v>1</v>
      </c>
    </row>
    <row r="54" spans="1:9" x14ac:dyDescent="0.25">
      <c r="A54" t="s">
        <v>60</v>
      </c>
      <c r="B54" t="s">
        <v>135</v>
      </c>
      <c r="C54" t="s">
        <v>158</v>
      </c>
      <c r="D54">
        <v>211357989</v>
      </c>
      <c r="E54">
        <v>0.45</v>
      </c>
      <c r="F54">
        <v>0.99999999999999989</v>
      </c>
      <c r="G54" t="s">
        <v>161</v>
      </c>
      <c r="H54" t="s">
        <v>162</v>
      </c>
      <c r="I54" t="b">
        <f ca="1">D54='[1]AETAW+'!E63</f>
        <v>1</v>
      </c>
    </row>
    <row r="55" spans="1:9" x14ac:dyDescent="0.25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0.99999999999999956</v>
      </c>
      <c r="G55" t="s">
        <v>161</v>
      </c>
      <c r="H55" t="s">
        <v>162</v>
      </c>
      <c r="I55" t="b">
        <f ca="1">D55='[1]AETAW+'!E64</f>
        <v>1</v>
      </c>
    </row>
    <row r="56" spans="1:9" x14ac:dyDescent="0.25">
      <c r="A56" t="s">
        <v>62</v>
      </c>
      <c r="B56" t="s">
        <v>137</v>
      </c>
      <c r="C56" t="s">
        <v>158</v>
      </c>
      <c r="D56">
        <v>962920132</v>
      </c>
      <c r="E56">
        <v>0.8</v>
      </c>
      <c r="F56">
        <v>0.99999999999999967</v>
      </c>
      <c r="G56" t="s">
        <v>161</v>
      </c>
      <c r="H56" t="s">
        <v>162</v>
      </c>
      <c r="I56" t="b">
        <f ca="1">D56='[1]AETAW+'!E65</f>
        <v>1</v>
      </c>
    </row>
    <row r="57" spans="1:9" x14ac:dyDescent="0.25">
      <c r="A57" t="s">
        <v>63</v>
      </c>
      <c r="B57" t="s">
        <v>138</v>
      </c>
      <c r="C57" t="s">
        <v>158</v>
      </c>
      <c r="D57">
        <v>508680625</v>
      </c>
      <c r="E57">
        <v>0.70000000000000007</v>
      </c>
      <c r="F57">
        <v>0.99999999999999944</v>
      </c>
      <c r="G57" t="s">
        <v>161</v>
      </c>
      <c r="H57" t="s">
        <v>162</v>
      </c>
      <c r="I57" t="b">
        <f ca="1">D57='[1]AETAW+'!E66</f>
        <v>1</v>
      </c>
    </row>
    <row r="58" spans="1:9" x14ac:dyDescent="0.25">
      <c r="A58" t="s">
        <v>64</v>
      </c>
      <c r="B58" t="s">
        <v>139</v>
      </c>
      <c r="C58" t="s">
        <v>158</v>
      </c>
      <c r="D58">
        <v>2378947836</v>
      </c>
      <c r="E58">
        <v>0.55000000000000004</v>
      </c>
      <c r="F58">
        <v>0.72554603392393979</v>
      </c>
      <c r="G58" t="s">
        <v>161</v>
      </c>
      <c r="H58" t="s">
        <v>162</v>
      </c>
      <c r="I58" t="b">
        <f ca="1">D58='[1]AETAW+'!E67</f>
        <v>1</v>
      </c>
    </row>
    <row r="59" spans="1:9" x14ac:dyDescent="0.25">
      <c r="A59" t="s">
        <v>65</v>
      </c>
      <c r="B59" t="s">
        <v>140</v>
      </c>
      <c r="C59" t="s">
        <v>158</v>
      </c>
      <c r="D59">
        <v>180869312</v>
      </c>
      <c r="E59">
        <v>0.55000000000000004</v>
      </c>
      <c r="F59">
        <v>0.99999999999999956</v>
      </c>
      <c r="G59" t="s">
        <v>161</v>
      </c>
      <c r="H59" t="s">
        <v>162</v>
      </c>
      <c r="I59" t="b">
        <f ca="1">D59='[1]AETAW+'!E68</f>
        <v>1</v>
      </c>
    </row>
    <row r="60" spans="1:9" x14ac:dyDescent="0.25">
      <c r="A60" t="s">
        <v>66</v>
      </c>
      <c r="B60" t="s">
        <v>141</v>
      </c>
      <c r="C60" t="s">
        <v>158</v>
      </c>
      <c r="D60">
        <v>1907070957</v>
      </c>
      <c r="E60">
        <v>1</v>
      </c>
      <c r="F60">
        <v>0.38285338528016838</v>
      </c>
      <c r="G60" t="s">
        <v>161</v>
      </c>
      <c r="H60" t="s">
        <v>162</v>
      </c>
      <c r="I60" t="b">
        <f ca="1">D60='[1]AETAW+'!E69</f>
        <v>1</v>
      </c>
    </row>
    <row r="61" spans="1:9" x14ac:dyDescent="0.25">
      <c r="A61" t="s">
        <v>67</v>
      </c>
      <c r="B61" t="s">
        <v>142</v>
      </c>
      <c r="C61" t="s">
        <v>158</v>
      </c>
      <c r="D61">
        <v>176361365</v>
      </c>
      <c r="E61">
        <v>0.70000000000000007</v>
      </c>
      <c r="F61">
        <v>0.99999999999999956</v>
      </c>
      <c r="G61" t="s">
        <v>161</v>
      </c>
      <c r="H61" t="s">
        <v>162</v>
      </c>
      <c r="I61" t="b">
        <f ca="1">D61='[1]AETAW+'!E70</f>
        <v>1</v>
      </c>
    </row>
    <row r="62" spans="1:9" x14ac:dyDescent="0.25">
      <c r="A62" t="s">
        <v>68</v>
      </c>
      <c r="B62" t="s">
        <v>143</v>
      </c>
      <c r="C62" t="s">
        <v>158</v>
      </c>
      <c r="D62">
        <v>5977723229</v>
      </c>
      <c r="E62">
        <v>1</v>
      </c>
      <c r="F62">
        <v>0.32188275134809302</v>
      </c>
      <c r="G62" t="s">
        <v>161</v>
      </c>
      <c r="H62" t="s">
        <v>162</v>
      </c>
      <c r="I62" t="b">
        <f ca="1">D62='[1]AETAW+'!E71</f>
        <v>1</v>
      </c>
    </row>
    <row r="63" spans="1:9" x14ac:dyDescent="0.25">
      <c r="A63" t="s">
        <v>69</v>
      </c>
      <c r="B63" t="s">
        <v>144</v>
      </c>
      <c r="C63" t="s">
        <v>158</v>
      </c>
      <c r="D63">
        <v>29888612</v>
      </c>
      <c r="E63">
        <v>0.55000000000000004</v>
      </c>
      <c r="F63">
        <v>0.99999999999999944</v>
      </c>
      <c r="G63" t="s">
        <v>161</v>
      </c>
      <c r="H63" t="s">
        <v>162</v>
      </c>
      <c r="I63" t="b">
        <f ca="1">D63='[1]AETAW+'!E72</f>
        <v>1</v>
      </c>
    </row>
    <row r="64" spans="1:9" x14ac:dyDescent="0.25">
      <c r="A64" t="s">
        <v>70</v>
      </c>
      <c r="B64" t="s">
        <v>145</v>
      </c>
      <c r="C64" t="s">
        <v>158</v>
      </c>
      <c r="D64">
        <v>128344238</v>
      </c>
      <c r="E64">
        <v>0.9</v>
      </c>
      <c r="F64">
        <v>0.99999999999999911</v>
      </c>
      <c r="G64" t="s">
        <v>161</v>
      </c>
      <c r="H64" t="s">
        <v>162</v>
      </c>
      <c r="I64" t="b">
        <f ca="1">D64='[1]AETAW+'!E73</f>
        <v>1</v>
      </c>
    </row>
    <row r="65" spans="1:9" x14ac:dyDescent="0.25">
      <c r="A65" t="s">
        <v>71</v>
      </c>
      <c r="B65" t="s">
        <v>146</v>
      </c>
      <c r="C65" t="s">
        <v>158</v>
      </c>
      <c r="D65">
        <v>44255015</v>
      </c>
      <c r="E65">
        <v>0.45</v>
      </c>
      <c r="F65">
        <v>0.99999999999999967</v>
      </c>
      <c r="G65" t="s">
        <v>161</v>
      </c>
      <c r="H65" t="s">
        <v>162</v>
      </c>
      <c r="I65" t="b">
        <f ca="1">D65='[1]AETAW+'!E74</f>
        <v>1</v>
      </c>
    </row>
    <row r="66" spans="1:9" x14ac:dyDescent="0.25">
      <c r="A66" t="s">
        <v>72</v>
      </c>
      <c r="B66" t="s">
        <v>147</v>
      </c>
      <c r="C66" t="s">
        <v>158</v>
      </c>
      <c r="D66">
        <v>70000000</v>
      </c>
      <c r="E66">
        <v>0.35</v>
      </c>
      <c r="F66">
        <v>0.99999999999999944</v>
      </c>
      <c r="G66" t="s">
        <v>161</v>
      </c>
      <c r="H66" t="s">
        <v>162</v>
      </c>
      <c r="I66" t="b">
        <f ca="1">D66='[1]AETAW+'!E75</f>
        <v>1</v>
      </c>
    </row>
    <row r="67" spans="1:9" x14ac:dyDescent="0.25">
      <c r="A67" t="s">
        <v>73</v>
      </c>
      <c r="B67" t="s">
        <v>148</v>
      </c>
      <c r="C67" t="s">
        <v>158</v>
      </c>
      <c r="D67">
        <v>42198429</v>
      </c>
      <c r="E67">
        <v>0.70000000000000007</v>
      </c>
      <c r="F67">
        <v>0.99999999999999967</v>
      </c>
      <c r="G67" t="s">
        <v>161</v>
      </c>
      <c r="H67" t="s">
        <v>162</v>
      </c>
      <c r="I67" t="b">
        <f ca="1">D67='[1]AETAW+'!E76</f>
        <v>1</v>
      </c>
    </row>
    <row r="68" spans="1:9" x14ac:dyDescent="0.25">
      <c r="A68" t="s">
        <v>74</v>
      </c>
      <c r="B68" t="s">
        <v>149</v>
      </c>
      <c r="C68" t="s">
        <v>158</v>
      </c>
      <c r="D68">
        <v>125000000</v>
      </c>
      <c r="E68">
        <v>0.5</v>
      </c>
      <c r="F68">
        <v>0.99999999999999933</v>
      </c>
      <c r="G68" t="s">
        <v>161</v>
      </c>
      <c r="H68" t="s">
        <v>162</v>
      </c>
      <c r="I68" t="b">
        <f ca="1">D68='[1]AETAW+'!E77</f>
        <v>1</v>
      </c>
    </row>
    <row r="69" spans="1:9" x14ac:dyDescent="0.25">
      <c r="A69" t="s">
        <v>75</v>
      </c>
      <c r="B69" t="s">
        <v>150</v>
      </c>
      <c r="C69" t="s">
        <v>158</v>
      </c>
      <c r="D69">
        <v>1834099825</v>
      </c>
      <c r="E69">
        <v>0.60000000000000009</v>
      </c>
      <c r="F69">
        <v>0.99999999999999944</v>
      </c>
      <c r="G69" t="s">
        <v>161</v>
      </c>
      <c r="H69" t="s">
        <v>162</v>
      </c>
      <c r="I69" t="b">
        <f ca="1">D69='[1]AETAW+'!E78</f>
        <v>1</v>
      </c>
    </row>
    <row r="70" spans="1:9" x14ac:dyDescent="0.25">
      <c r="A70" t="s">
        <v>76</v>
      </c>
      <c r="B70" t="s">
        <v>151</v>
      </c>
      <c r="C70" t="s">
        <v>158</v>
      </c>
      <c r="D70">
        <v>2637743772</v>
      </c>
      <c r="E70">
        <v>1</v>
      </c>
      <c r="F70">
        <v>0.41872500657222861</v>
      </c>
      <c r="G70" t="s">
        <v>161</v>
      </c>
      <c r="H70" t="s">
        <v>162</v>
      </c>
      <c r="I70" t="b">
        <f ca="1">D70='[1]AETAW+'!E79</f>
        <v>1</v>
      </c>
    </row>
    <row r="71" spans="1:9" x14ac:dyDescent="0.25">
      <c r="A71" t="s">
        <v>77</v>
      </c>
      <c r="B71" t="s">
        <v>152</v>
      </c>
      <c r="C71" t="s">
        <v>158</v>
      </c>
      <c r="D71">
        <v>43036928</v>
      </c>
      <c r="E71">
        <v>0.70000000000000007</v>
      </c>
      <c r="F71">
        <v>0.99999999999999967</v>
      </c>
      <c r="G71" t="s">
        <v>161</v>
      </c>
      <c r="H71" t="s">
        <v>162</v>
      </c>
      <c r="I71" t="b">
        <f ca="1">D71='[1]AETAW+'!E80</f>
        <v>1</v>
      </c>
    </row>
    <row r="72" spans="1:9" x14ac:dyDescent="0.25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0.99999999999999956</v>
      </c>
      <c r="G72" t="s">
        <v>161</v>
      </c>
      <c r="H72" t="s">
        <v>162</v>
      </c>
      <c r="I72" t="b">
        <f ca="1">D72='[1]AETAW+'!E81</f>
        <v>1</v>
      </c>
    </row>
    <row r="73" spans="1:9" x14ac:dyDescent="0.25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0.99999999999999967</v>
      </c>
      <c r="G73" t="s">
        <v>161</v>
      </c>
      <c r="H73" t="s">
        <v>162</v>
      </c>
      <c r="I73" t="b">
        <f ca="1">D73='[1]AETAW+'!E82</f>
        <v>1</v>
      </c>
    </row>
    <row r="74" spans="1:9" x14ac:dyDescent="0.25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0.99999999999999933</v>
      </c>
      <c r="G74" t="s">
        <v>161</v>
      </c>
      <c r="H74" t="s">
        <v>162</v>
      </c>
      <c r="I74" t="b">
        <f ca="1">D74='[1]AETAW+'!E83</f>
        <v>1</v>
      </c>
    </row>
    <row r="75" spans="1:9" x14ac:dyDescent="0.25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0.99999999999999933</v>
      </c>
      <c r="G75" t="s">
        <v>161</v>
      </c>
      <c r="H75" t="s">
        <v>162</v>
      </c>
      <c r="I75" t="b">
        <f ca="1">D75='[1]AETAW+'!E84</f>
        <v>1</v>
      </c>
    </row>
    <row r="76" spans="1:9" x14ac:dyDescent="0.25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0.99999999999999944</v>
      </c>
      <c r="G76" t="s">
        <v>161</v>
      </c>
      <c r="H76" t="s">
        <v>162</v>
      </c>
      <c r="I76" t="b">
        <f ca="1">D76='[1]AETAW+'!E85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46</v>
      </c>
      <c r="B2" t="s">
        <v>121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164</v>
      </c>
      <c r="B2" t="s">
        <v>165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6"/>
  <sheetViews>
    <sheetView tabSelected="1" workbookViewId="0">
      <selection activeCell="N4" sqref="N4"/>
    </sheetView>
  </sheetViews>
  <sheetFormatPr defaultRowHeight="15" x14ac:dyDescent="0.25"/>
  <sheetData>
    <row r="1" spans="1:15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7</v>
      </c>
    </row>
    <row r="2" spans="1:15" x14ac:dyDescent="0.25">
      <c r="A2" t="s">
        <v>24</v>
      </c>
      <c r="B2" t="s">
        <v>99</v>
      </c>
      <c r="C2" t="s">
        <v>158</v>
      </c>
      <c r="D2">
        <v>393830692</v>
      </c>
      <c r="E2">
        <v>1</v>
      </c>
      <c r="F2">
        <v>0.20023283745684259</v>
      </c>
      <c r="G2" t="s">
        <v>161</v>
      </c>
      <c r="H2" t="s">
        <v>99</v>
      </c>
      <c r="I2">
        <v>1</v>
      </c>
      <c r="J2">
        <v>737</v>
      </c>
      <c r="K2">
        <v>646.20000000000005</v>
      </c>
      <c r="L2">
        <v>0.22835472933772</v>
      </c>
      <c r="M2">
        <v>290253220004</v>
      </c>
      <c r="N2">
        <v>0.24191979386017889</v>
      </c>
      <c r="O2" t="s">
        <v>162</v>
      </c>
    </row>
    <row r="3" spans="1:15" x14ac:dyDescent="0.25">
      <c r="A3" t="s">
        <v>68</v>
      </c>
      <c r="B3" t="s">
        <v>143</v>
      </c>
      <c r="C3" t="s">
        <v>158</v>
      </c>
      <c r="D3">
        <v>5977723229</v>
      </c>
      <c r="E3">
        <v>1</v>
      </c>
      <c r="F3">
        <v>0.32188275134809302</v>
      </c>
      <c r="G3" t="s">
        <v>161</v>
      </c>
      <c r="H3" t="s">
        <v>143</v>
      </c>
      <c r="I3">
        <v>1</v>
      </c>
      <c r="J3">
        <v>30.204999999999998</v>
      </c>
      <c r="K3">
        <v>31.225000000000001</v>
      </c>
      <c r="L3">
        <v>0.31206391163661001</v>
      </c>
      <c r="M3">
        <v>180557130131.94501</v>
      </c>
      <c r="N3">
        <v>0.15049047070314561</v>
      </c>
      <c r="O3" t="s">
        <v>162</v>
      </c>
    </row>
    <row r="4" spans="1:15" x14ac:dyDescent="0.25">
      <c r="A4" t="s">
        <v>76</v>
      </c>
      <c r="B4" t="s">
        <v>151</v>
      </c>
      <c r="C4" t="s">
        <v>158</v>
      </c>
      <c r="D4">
        <v>2637743772</v>
      </c>
      <c r="E4">
        <v>1</v>
      </c>
      <c r="F4">
        <v>0.41872500657222861</v>
      </c>
      <c r="G4" t="s">
        <v>161</v>
      </c>
      <c r="H4" t="s">
        <v>151</v>
      </c>
      <c r="I4">
        <v>1</v>
      </c>
      <c r="J4">
        <v>52.62</v>
      </c>
      <c r="K4">
        <v>53.98</v>
      </c>
      <c r="L4">
        <v>0.41955921840014998</v>
      </c>
      <c r="M4">
        <v>138798077282.64001</v>
      </c>
      <c r="N4">
        <v>0.11568520150764459</v>
      </c>
      <c r="O4" t="s">
        <v>162</v>
      </c>
    </row>
    <row r="5" spans="1:15" x14ac:dyDescent="0.25">
      <c r="A5" t="s">
        <v>66</v>
      </c>
      <c r="B5" t="s">
        <v>141</v>
      </c>
      <c r="C5" t="s">
        <v>158</v>
      </c>
      <c r="D5">
        <v>1907070957</v>
      </c>
      <c r="E5">
        <v>1</v>
      </c>
      <c r="F5">
        <v>0.38285338528016838</v>
      </c>
      <c r="G5" t="s">
        <v>161</v>
      </c>
      <c r="H5" t="s">
        <v>141</v>
      </c>
      <c r="I5">
        <v>1</v>
      </c>
      <c r="J5">
        <v>39.799999999999997</v>
      </c>
      <c r="K5">
        <v>41.38</v>
      </c>
      <c r="L5">
        <v>0.68832040881052003</v>
      </c>
      <c r="M5">
        <v>75901424088.599991</v>
      </c>
      <c r="N5">
        <v>6.3262198672438777E-2</v>
      </c>
      <c r="O5" t="s">
        <v>162</v>
      </c>
    </row>
    <row r="6" spans="1:15" x14ac:dyDescent="0.25">
      <c r="A6" t="s">
        <v>64</v>
      </c>
      <c r="B6" t="s">
        <v>139</v>
      </c>
      <c r="C6" t="s">
        <v>158</v>
      </c>
      <c r="D6">
        <v>2378947836</v>
      </c>
      <c r="E6">
        <v>0.55000000000000004</v>
      </c>
      <c r="F6">
        <v>0.72554603392393979</v>
      </c>
      <c r="G6" t="s">
        <v>161</v>
      </c>
      <c r="H6" t="s">
        <v>139</v>
      </c>
      <c r="I6">
        <v>1</v>
      </c>
      <c r="J6">
        <v>56.27</v>
      </c>
      <c r="K6">
        <v>53.61</v>
      </c>
      <c r="L6">
        <v>0.46691605553347998</v>
      </c>
      <c r="M6">
        <v>73624867102.446014</v>
      </c>
      <c r="N6">
        <v>6.1364737563157273E-2</v>
      </c>
      <c r="O6" t="s">
        <v>162</v>
      </c>
    </row>
    <row r="7" spans="1:15" x14ac:dyDescent="0.25">
      <c r="A7" t="s">
        <v>51</v>
      </c>
      <c r="B7" t="s">
        <v>126</v>
      </c>
      <c r="C7" t="s">
        <v>158</v>
      </c>
      <c r="D7">
        <v>3021542868</v>
      </c>
      <c r="E7">
        <v>1</v>
      </c>
      <c r="F7">
        <v>0.44825498462190361</v>
      </c>
      <c r="G7" t="s">
        <v>161</v>
      </c>
      <c r="H7" t="s">
        <v>126</v>
      </c>
      <c r="I7">
        <v>1</v>
      </c>
      <c r="J7">
        <v>21.454999999999998</v>
      </c>
      <c r="K7">
        <v>21.32</v>
      </c>
      <c r="L7">
        <v>0.52490646443552003</v>
      </c>
      <c r="M7">
        <v>64827202232.939987</v>
      </c>
      <c r="N7">
        <v>5.4032073788910423E-2</v>
      </c>
      <c r="O7" t="s">
        <v>162</v>
      </c>
    </row>
    <row r="8" spans="1:15" x14ac:dyDescent="0.25">
      <c r="A8" t="s">
        <v>12</v>
      </c>
      <c r="B8" t="s">
        <v>87</v>
      </c>
      <c r="C8" t="s">
        <v>158</v>
      </c>
      <c r="D8">
        <v>31508146</v>
      </c>
      <c r="E8">
        <v>1</v>
      </c>
      <c r="F8">
        <v>0.66976985863459249</v>
      </c>
      <c r="G8" t="s">
        <v>161</v>
      </c>
      <c r="H8" t="s">
        <v>87</v>
      </c>
      <c r="I8">
        <v>1</v>
      </c>
      <c r="J8">
        <v>1377</v>
      </c>
      <c r="K8">
        <v>1474.4</v>
      </c>
      <c r="L8">
        <v>0.62334879918012998</v>
      </c>
      <c r="M8">
        <v>43386717042</v>
      </c>
      <c r="N8">
        <v>3.6161892167555991E-2</v>
      </c>
      <c r="O8" t="s">
        <v>162</v>
      </c>
    </row>
    <row r="9" spans="1:15" x14ac:dyDescent="0.25">
      <c r="A9" t="s">
        <v>14</v>
      </c>
      <c r="B9" t="s">
        <v>89</v>
      </c>
      <c r="C9" t="s">
        <v>158</v>
      </c>
      <c r="D9">
        <v>907831622</v>
      </c>
      <c r="E9">
        <v>1</v>
      </c>
      <c r="F9">
        <v>0.94674256053699746</v>
      </c>
      <c r="G9" t="s">
        <v>161</v>
      </c>
      <c r="H9" t="s">
        <v>89</v>
      </c>
      <c r="I9">
        <v>1</v>
      </c>
      <c r="J9">
        <v>33.81</v>
      </c>
      <c r="K9">
        <v>35.049999999999997</v>
      </c>
      <c r="L9">
        <v>0.91277227752001</v>
      </c>
      <c r="M9">
        <v>30693787139.82</v>
      </c>
      <c r="N9">
        <v>2.5582609066494202E-2</v>
      </c>
      <c r="O9" t="s">
        <v>162</v>
      </c>
    </row>
    <row r="10" spans="1:15" x14ac:dyDescent="0.25">
      <c r="A10" t="s">
        <v>75</v>
      </c>
      <c r="B10" t="s">
        <v>150</v>
      </c>
      <c r="C10" t="s">
        <v>158</v>
      </c>
      <c r="D10">
        <v>1834099825</v>
      </c>
      <c r="E10">
        <v>0.60000000000000009</v>
      </c>
      <c r="F10">
        <v>0.99999999999999944</v>
      </c>
      <c r="G10" t="s">
        <v>161</v>
      </c>
      <c r="H10" t="s">
        <v>150</v>
      </c>
      <c r="I10">
        <v>1</v>
      </c>
      <c r="J10">
        <v>24.35</v>
      </c>
      <c r="K10">
        <v>24.81</v>
      </c>
      <c r="L10">
        <v>1</v>
      </c>
      <c r="M10">
        <v>26796198443.250011</v>
      </c>
      <c r="N10">
        <v>2.233405301597741E-2</v>
      </c>
      <c r="O10" t="s">
        <v>162</v>
      </c>
    </row>
    <row r="11" spans="1:15" x14ac:dyDescent="0.25">
      <c r="A11" t="s">
        <v>82</v>
      </c>
      <c r="B11" t="s">
        <v>157</v>
      </c>
      <c r="C11" t="s">
        <v>158</v>
      </c>
      <c r="D11">
        <v>238516153</v>
      </c>
      <c r="E11">
        <v>1</v>
      </c>
      <c r="F11">
        <v>0.99999999999999944</v>
      </c>
      <c r="G11" t="s">
        <v>161</v>
      </c>
      <c r="H11" t="s">
        <v>157</v>
      </c>
      <c r="I11">
        <v>1</v>
      </c>
      <c r="J11">
        <v>109.95</v>
      </c>
      <c r="K11">
        <v>115.3</v>
      </c>
      <c r="L11">
        <v>0.87701952662017002</v>
      </c>
      <c r="M11">
        <v>26224851022.349998</v>
      </c>
      <c r="N11">
        <v>2.185784727298937E-2</v>
      </c>
      <c r="O11" t="s">
        <v>162</v>
      </c>
    </row>
    <row r="12" spans="1:15" x14ac:dyDescent="0.25">
      <c r="A12" t="s">
        <v>23</v>
      </c>
      <c r="B12" t="s">
        <v>98</v>
      </c>
      <c r="C12" t="s">
        <v>158</v>
      </c>
      <c r="D12">
        <v>49328548</v>
      </c>
      <c r="E12">
        <v>0.95000000000000007</v>
      </c>
      <c r="F12">
        <v>0.99999999999999956</v>
      </c>
      <c r="G12" t="s">
        <v>161</v>
      </c>
      <c r="H12" t="s">
        <v>98</v>
      </c>
      <c r="I12">
        <v>1</v>
      </c>
      <c r="J12">
        <v>459.7</v>
      </c>
      <c r="K12">
        <v>409.7</v>
      </c>
      <c r="L12">
        <v>1</v>
      </c>
      <c r="M12">
        <v>21542516839.82</v>
      </c>
      <c r="N12">
        <v>1.7955222798378832E-2</v>
      </c>
      <c r="O12" t="s">
        <v>162</v>
      </c>
    </row>
    <row r="13" spans="1:15" x14ac:dyDescent="0.25">
      <c r="A13" t="s">
        <v>49</v>
      </c>
      <c r="B13" t="s">
        <v>124</v>
      </c>
      <c r="C13" t="s">
        <v>158</v>
      </c>
      <c r="D13">
        <v>576002613</v>
      </c>
      <c r="E13">
        <v>0.5</v>
      </c>
      <c r="F13">
        <v>0.99999999999999911</v>
      </c>
      <c r="G13" t="s">
        <v>161</v>
      </c>
      <c r="H13" t="s">
        <v>124</v>
      </c>
      <c r="I13">
        <v>1</v>
      </c>
      <c r="J13">
        <v>66.08</v>
      </c>
      <c r="K13">
        <v>70.86</v>
      </c>
      <c r="L13">
        <v>1</v>
      </c>
      <c r="M13">
        <v>19031126333.52</v>
      </c>
      <c r="N13">
        <v>1.5862033018854131E-2</v>
      </c>
      <c r="O13" t="s">
        <v>162</v>
      </c>
    </row>
    <row r="14" spans="1:15" x14ac:dyDescent="0.25">
      <c r="A14" t="s">
        <v>62</v>
      </c>
      <c r="B14" t="s">
        <v>137</v>
      </c>
      <c r="C14" t="s">
        <v>158</v>
      </c>
      <c r="D14">
        <v>962920132</v>
      </c>
      <c r="E14">
        <v>0.8</v>
      </c>
      <c r="F14">
        <v>0.99999999999999967</v>
      </c>
      <c r="G14" t="s">
        <v>161</v>
      </c>
      <c r="H14" t="s">
        <v>137</v>
      </c>
      <c r="I14">
        <v>1</v>
      </c>
      <c r="J14">
        <v>23.72</v>
      </c>
      <c r="K14">
        <v>24.07</v>
      </c>
      <c r="L14">
        <v>1</v>
      </c>
      <c r="M14">
        <v>18272372424.832001</v>
      </c>
      <c r="N14">
        <v>1.5229628013397599E-2</v>
      </c>
      <c r="O14" t="s">
        <v>162</v>
      </c>
    </row>
    <row r="15" spans="1:15" x14ac:dyDescent="0.25">
      <c r="A15" t="s">
        <v>35</v>
      </c>
      <c r="B15" t="s">
        <v>110</v>
      </c>
      <c r="C15" t="s">
        <v>158</v>
      </c>
      <c r="D15">
        <v>265676388</v>
      </c>
      <c r="E15">
        <v>0.8</v>
      </c>
      <c r="F15">
        <v>0.99999999999999944</v>
      </c>
      <c r="G15" t="s">
        <v>161</v>
      </c>
      <c r="H15" t="s">
        <v>110</v>
      </c>
      <c r="I15">
        <v>1</v>
      </c>
      <c r="J15">
        <v>76.3</v>
      </c>
      <c r="K15">
        <v>84.94</v>
      </c>
      <c r="L15">
        <v>1</v>
      </c>
      <c r="M15">
        <v>16216886723.52</v>
      </c>
      <c r="N15">
        <v>1.3516425048286341E-2</v>
      </c>
      <c r="O15" t="s">
        <v>162</v>
      </c>
    </row>
    <row r="16" spans="1:15" x14ac:dyDescent="0.25">
      <c r="A16" t="s">
        <v>56</v>
      </c>
      <c r="B16" t="s">
        <v>131</v>
      </c>
      <c r="C16" t="s">
        <v>158</v>
      </c>
      <c r="D16">
        <v>3888930422</v>
      </c>
      <c r="E16">
        <v>1</v>
      </c>
      <c r="F16">
        <v>0.99999999999999944</v>
      </c>
      <c r="G16" t="s">
        <v>161</v>
      </c>
      <c r="H16" t="s">
        <v>131</v>
      </c>
      <c r="I16">
        <v>1</v>
      </c>
      <c r="J16">
        <v>4.1420000000000003</v>
      </c>
      <c r="K16">
        <v>4.0620000000000003</v>
      </c>
      <c r="L16">
        <v>1</v>
      </c>
      <c r="M16">
        <v>16107949807.924</v>
      </c>
      <c r="N16">
        <v>1.342562848050189E-2</v>
      </c>
      <c r="O16" t="s">
        <v>162</v>
      </c>
    </row>
    <row r="17" spans="1:15" x14ac:dyDescent="0.25">
      <c r="A17" t="s">
        <v>9</v>
      </c>
      <c r="B17" t="s">
        <v>84</v>
      </c>
      <c r="C17" t="s">
        <v>158</v>
      </c>
      <c r="D17">
        <v>578968753</v>
      </c>
      <c r="E17">
        <v>1</v>
      </c>
      <c r="F17">
        <v>0.99999999999999956</v>
      </c>
      <c r="G17" t="s">
        <v>161</v>
      </c>
      <c r="H17" t="s">
        <v>84</v>
      </c>
      <c r="I17">
        <v>1</v>
      </c>
      <c r="J17">
        <v>25.66</v>
      </c>
      <c r="K17">
        <v>25.87</v>
      </c>
      <c r="L17">
        <v>1</v>
      </c>
      <c r="M17">
        <v>14856338201.98</v>
      </c>
      <c r="N17">
        <v>1.238243722254166E-2</v>
      </c>
      <c r="O17" t="s">
        <v>162</v>
      </c>
    </row>
    <row r="18" spans="1:15" x14ac:dyDescent="0.25">
      <c r="A18" t="s">
        <v>58</v>
      </c>
      <c r="B18" t="s">
        <v>133</v>
      </c>
      <c r="C18" t="s">
        <v>158</v>
      </c>
      <c r="D18">
        <v>269000000</v>
      </c>
      <c r="E18">
        <v>0.95000000000000007</v>
      </c>
      <c r="F18">
        <v>0.99999999999999967</v>
      </c>
      <c r="G18" t="s">
        <v>161</v>
      </c>
      <c r="H18" t="s">
        <v>133</v>
      </c>
      <c r="I18">
        <v>1</v>
      </c>
      <c r="J18">
        <v>57.6</v>
      </c>
      <c r="K18">
        <v>61.26</v>
      </c>
      <c r="L18">
        <v>1</v>
      </c>
      <c r="M18">
        <v>14719680000</v>
      </c>
      <c r="N18">
        <v>1.226853556091032E-2</v>
      </c>
      <c r="O18" t="s">
        <v>162</v>
      </c>
    </row>
    <row r="19" spans="1:15" x14ac:dyDescent="0.25">
      <c r="A19" t="s">
        <v>22</v>
      </c>
      <c r="B19" t="s">
        <v>97</v>
      </c>
      <c r="C19" t="s">
        <v>158</v>
      </c>
      <c r="D19">
        <v>852809772</v>
      </c>
      <c r="E19">
        <v>0.5</v>
      </c>
      <c r="F19">
        <v>0.99999999999999911</v>
      </c>
      <c r="G19" t="s">
        <v>161</v>
      </c>
      <c r="H19" t="s">
        <v>173</v>
      </c>
      <c r="I19">
        <v>1</v>
      </c>
      <c r="J19">
        <v>29.15</v>
      </c>
      <c r="K19">
        <v>29.16</v>
      </c>
      <c r="L19">
        <v>1</v>
      </c>
      <c r="M19">
        <v>12429702426.9</v>
      </c>
      <c r="N19">
        <v>1.035988868208792E-2</v>
      </c>
      <c r="O19" t="s">
        <v>162</v>
      </c>
    </row>
    <row r="20" spans="1:15" x14ac:dyDescent="0.25">
      <c r="A20" t="s">
        <v>16</v>
      </c>
      <c r="B20" t="s">
        <v>91</v>
      </c>
      <c r="C20" t="s">
        <v>158</v>
      </c>
      <c r="D20">
        <v>171041675</v>
      </c>
      <c r="E20">
        <v>1</v>
      </c>
      <c r="F20">
        <v>0.99999999999999967</v>
      </c>
      <c r="G20" t="s">
        <v>161</v>
      </c>
      <c r="H20" t="s">
        <v>91</v>
      </c>
      <c r="I20">
        <v>1</v>
      </c>
      <c r="J20">
        <v>61.16</v>
      </c>
      <c r="K20">
        <v>60.92</v>
      </c>
      <c r="L20">
        <v>1</v>
      </c>
      <c r="M20">
        <v>10460908843</v>
      </c>
      <c r="N20">
        <v>8.7189417256208473E-3</v>
      </c>
      <c r="O20" t="s">
        <v>162</v>
      </c>
    </row>
    <row r="21" spans="1:15" x14ac:dyDescent="0.25">
      <c r="A21" t="s">
        <v>30</v>
      </c>
      <c r="B21" t="s">
        <v>105</v>
      </c>
      <c r="C21" t="s">
        <v>158</v>
      </c>
      <c r="D21">
        <v>81146738</v>
      </c>
      <c r="E21">
        <v>0.9</v>
      </c>
      <c r="F21">
        <v>0.99999999999999956</v>
      </c>
      <c r="G21" t="s">
        <v>161</v>
      </c>
      <c r="H21" t="s">
        <v>105</v>
      </c>
      <c r="I21">
        <v>1</v>
      </c>
      <c r="J21">
        <v>115.65</v>
      </c>
      <c r="K21">
        <v>119</v>
      </c>
      <c r="L21">
        <v>1</v>
      </c>
      <c r="M21">
        <v>8446158224.7299995</v>
      </c>
      <c r="N21">
        <v>7.0396905729727226E-3</v>
      </c>
      <c r="O21" t="s">
        <v>162</v>
      </c>
    </row>
    <row r="22" spans="1:15" x14ac:dyDescent="0.25">
      <c r="A22" t="s">
        <v>13</v>
      </c>
      <c r="B22" t="s">
        <v>88</v>
      </c>
      <c r="C22" t="s">
        <v>158</v>
      </c>
      <c r="D22">
        <v>1652797432</v>
      </c>
      <c r="E22">
        <v>0.75</v>
      </c>
      <c r="F22">
        <v>0.99999999999999933</v>
      </c>
      <c r="G22" t="s">
        <v>161</v>
      </c>
      <c r="H22" t="s">
        <v>88</v>
      </c>
      <c r="I22">
        <v>1</v>
      </c>
      <c r="J22">
        <v>6.5620000000000003</v>
      </c>
      <c r="K22">
        <v>6.8559999999999999</v>
      </c>
      <c r="L22">
        <v>1</v>
      </c>
      <c r="M22">
        <v>8134242561.5880003</v>
      </c>
      <c r="N22">
        <v>6.7797156003331993E-3</v>
      </c>
      <c r="O22" t="s">
        <v>162</v>
      </c>
    </row>
    <row r="23" spans="1:15" x14ac:dyDescent="0.25">
      <c r="A23" t="s">
        <v>25</v>
      </c>
      <c r="B23" t="s">
        <v>100</v>
      </c>
      <c r="C23" t="s">
        <v>158</v>
      </c>
      <c r="D23">
        <v>209113565</v>
      </c>
      <c r="E23">
        <v>0.65</v>
      </c>
      <c r="F23">
        <v>0.99999999999999956</v>
      </c>
      <c r="G23" t="s">
        <v>161</v>
      </c>
      <c r="H23" t="s">
        <v>100</v>
      </c>
      <c r="I23">
        <v>1</v>
      </c>
      <c r="J23">
        <v>57.32</v>
      </c>
      <c r="K23">
        <v>63.26</v>
      </c>
      <c r="L23">
        <v>1</v>
      </c>
      <c r="M23">
        <v>7791153204.7700005</v>
      </c>
      <c r="N23">
        <v>6.4937580268878883E-3</v>
      </c>
      <c r="O23" t="s">
        <v>162</v>
      </c>
    </row>
    <row r="24" spans="1:15" x14ac:dyDescent="0.25">
      <c r="A24" t="s">
        <v>38</v>
      </c>
      <c r="B24" t="s">
        <v>113</v>
      </c>
      <c r="C24" t="s">
        <v>158</v>
      </c>
      <c r="D24">
        <v>207779752</v>
      </c>
      <c r="E24">
        <v>0.45</v>
      </c>
      <c r="F24">
        <v>0.99999999999999933</v>
      </c>
      <c r="G24" t="s">
        <v>161</v>
      </c>
      <c r="H24" t="s">
        <v>113</v>
      </c>
      <c r="I24">
        <v>1</v>
      </c>
      <c r="J24">
        <v>81.849999999999994</v>
      </c>
      <c r="K24">
        <v>87.25</v>
      </c>
      <c r="L24">
        <v>1</v>
      </c>
      <c r="M24">
        <v>7653047715.54</v>
      </c>
      <c r="N24">
        <v>6.3786500825728501E-3</v>
      </c>
      <c r="O24" t="s">
        <v>162</v>
      </c>
    </row>
    <row r="25" spans="1:15" x14ac:dyDescent="0.25">
      <c r="A25" t="s">
        <v>50</v>
      </c>
      <c r="B25" t="s">
        <v>125</v>
      </c>
      <c r="C25" t="s">
        <v>158</v>
      </c>
      <c r="D25">
        <v>59107999</v>
      </c>
      <c r="E25">
        <v>0.95000000000000007</v>
      </c>
      <c r="F25">
        <v>0.99999999999999956</v>
      </c>
      <c r="G25" t="s">
        <v>161</v>
      </c>
      <c r="H25" t="s">
        <v>125</v>
      </c>
      <c r="I25">
        <v>1</v>
      </c>
      <c r="J25">
        <v>91.22</v>
      </c>
      <c r="K25">
        <v>95.7</v>
      </c>
      <c r="L25">
        <v>1</v>
      </c>
      <c r="M25">
        <v>5122240085.3410006</v>
      </c>
      <c r="N25">
        <v>4.2692765493900922E-3</v>
      </c>
      <c r="O25" t="s">
        <v>162</v>
      </c>
    </row>
    <row r="26" spans="1:15" x14ac:dyDescent="0.25">
      <c r="A26" t="s">
        <v>53</v>
      </c>
      <c r="B26" t="s">
        <v>128</v>
      </c>
      <c r="C26" t="s">
        <v>158</v>
      </c>
      <c r="D26">
        <v>488178642</v>
      </c>
      <c r="E26">
        <v>0.3</v>
      </c>
      <c r="F26">
        <v>0.99999999999999978</v>
      </c>
      <c r="G26" t="s">
        <v>161</v>
      </c>
      <c r="H26" t="s">
        <v>128</v>
      </c>
      <c r="I26">
        <v>1</v>
      </c>
      <c r="J26">
        <v>31.14</v>
      </c>
      <c r="K26">
        <v>26.54</v>
      </c>
      <c r="L26">
        <v>1</v>
      </c>
      <c r="M26">
        <v>4560564873.5640001</v>
      </c>
      <c r="N26">
        <v>3.801132383934867E-3</v>
      </c>
      <c r="O26" t="s">
        <v>162</v>
      </c>
    </row>
    <row r="27" spans="1:15" x14ac:dyDescent="0.25">
      <c r="A27" t="s">
        <v>34</v>
      </c>
      <c r="B27" t="s">
        <v>109</v>
      </c>
      <c r="C27" t="s">
        <v>158</v>
      </c>
      <c r="D27">
        <v>1062984492</v>
      </c>
      <c r="E27">
        <v>0.25</v>
      </c>
      <c r="F27">
        <v>0.99999999999999967</v>
      </c>
      <c r="G27" t="s">
        <v>161</v>
      </c>
      <c r="H27" t="s">
        <v>109</v>
      </c>
      <c r="I27">
        <v>1</v>
      </c>
      <c r="J27">
        <v>14.95</v>
      </c>
      <c r="K27">
        <v>17.53</v>
      </c>
      <c r="L27">
        <v>1</v>
      </c>
      <c r="M27">
        <v>3972904538.8499999</v>
      </c>
      <c r="N27">
        <v>3.3113301793913472E-3</v>
      </c>
      <c r="O27" t="s">
        <v>162</v>
      </c>
    </row>
    <row r="28" spans="1:15" x14ac:dyDescent="0.25">
      <c r="A28" t="s">
        <v>80</v>
      </c>
      <c r="B28" t="s">
        <v>155</v>
      </c>
      <c r="C28" t="s">
        <v>160</v>
      </c>
      <c r="D28">
        <v>232653901</v>
      </c>
      <c r="E28">
        <v>0.8</v>
      </c>
      <c r="F28">
        <v>0.99999999999999933</v>
      </c>
      <c r="G28" t="s">
        <v>161</v>
      </c>
      <c r="H28" t="s">
        <v>155</v>
      </c>
      <c r="I28">
        <v>1</v>
      </c>
      <c r="J28">
        <v>20.98</v>
      </c>
      <c r="K28">
        <v>22.48</v>
      </c>
      <c r="L28">
        <v>1</v>
      </c>
      <c r="M28">
        <v>3904863074.3839998</v>
      </c>
      <c r="N28">
        <v>3.2546190874098951E-3</v>
      </c>
      <c r="O28" t="s">
        <v>162</v>
      </c>
    </row>
    <row r="29" spans="1:15" x14ac:dyDescent="0.25">
      <c r="A29" t="s">
        <v>54</v>
      </c>
      <c r="B29" t="s">
        <v>129</v>
      </c>
      <c r="C29" t="s">
        <v>158</v>
      </c>
      <c r="D29">
        <v>208967756</v>
      </c>
      <c r="E29">
        <v>0.85000000000000009</v>
      </c>
      <c r="F29">
        <v>0.99999999999999956</v>
      </c>
      <c r="G29" t="s">
        <v>161</v>
      </c>
      <c r="H29" t="s">
        <v>129</v>
      </c>
      <c r="I29">
        <v>1</v>
      </c>
      <c r="J29">
        <v>20.23</v>
      </c>
      <c r="K29">
        <v>20.149999999999999</v>
      </c>
      <c r="L29">
        <v>1</v>
      </c>
      <c r="M29">
        <v>3593305048.2979999</v>
      </c>
      <c r="N29">
        <v>2.994942197537077E-3</v>
      </c>
      <c r="O29" t="s">
        <v>162</v>
      </c>
    </row>
    <row r="30" spans="1:15" x14ac:dyDescent="0.25">
      <c r="A30" t="s">
        <v>65</v>
      </c>
      <c r="B30" t="s">
        <v>140</v>
      </c>
      <c r="C30" t="s">
        <v>158</v>
      </c>
      <c r="D30">
        <v>180869312</v>
      </c>
      <c r="E30">
        <v>0.55000000000000004</v>
      </c>
      <c r="F30">
        <v>0.99999999999999956</v>
      </c>
      <c r="G30" t="s">
        <v>161</v>
      </c>
      <c r="H30" t="s">
        <v>140</v>
      </c>
      <c r="I30">
        <v>1</v>
      </c>
      <c r="J30">
        <v>35.74</v>
      </c>
      <c r="K30">
        <v>41.69</v>
      </c>
      <c r="L30">
        <v>1</v>
      </c>
      <c r="M30">
        <v>3555348065.9840012</v>
      </c>
      <c r="N30">
        <v>2.963305872066405E-3</v>
      </c>
      <c r="O30" t="s">
        <v>162</v>
      </c>
    </row>
    <row r="31" spans="1:15" x14ac:dyDescent="0.25">
      <c r="A31" t="s">
        <v>21</v>
      </c>
      <c r="B31" t="s">
        <v>96</v>
      </c>
      <c r="C31" t="s">
        <v>158</v>
      </c>
      <c r="D31">
        <v>90442091</v>
      </c>
      <c r="E31">
        <v>0.8</v>
      </c>
      <c r="F31">
        <v>0.99999999999999989</v>
      </c>
      <c r="G31" t="s">
        <v>161</v>
      </c>
      <c r="H31" t="s">
        <v>96</v>
      </c>
      <c r="I31">
        <v>1</v>
      </c>
      <c r="J31">
        <v>43.12</v>
      </c>
      <c r="K31">
        <v>41.34</v>
      </c>
      <c r="L31">
        <v>1</v>
      </c>
      <c r="M31">
        <v>3119890371.1360002</v>
      </c>
      <c r="N31">
        <v>2.6003612826110138E-3</v>
      </c>
      <c r="O31" t="s">
        <v>162</v>
      </c>
    </row>
    <row r="32" spans="1:15" x14ac:dyDescent="0.25">
      <c r="A32" t="s">
        <v>46</v>
      </c>
      <c r="B32" t="s">
        <v>121</v>
      </c>
      <c r="C32" t="s">
        <v>158</v>
      </c>
      <c r="D32">
        <v>90370864</v>
      </c>
      <c r="E32">
        <v>0.25</v>
      </c>
      <c r="F32">
        <v>0.99999999999999944</v>
      </c>
      <c r="G32" t="s">
        <v>161</v>
      </c>
      <c r="H32" t="s">
        <v>121</v>
      </c>
      <c r="I32">
        <v>1</v>
      </c>
      <c r="J32">
        <v>138</v>
      </c>
      <c r="K32">
        <v>129.6</v>
      </c>
      <c r="L32">
        <v>0</v>
      </c>
      <c r="M32">
        <v>3117794808</v>
      </c>
      <c r="N32">
        <v>2.5986146759691478E-3</v>
      </c>
      <c r="O32" t="s">
        <v>162</v>
      </c>
    </row>
    <row r="33" spans="1:15" x14ac:dyDescent="0.25">
      <c r="A33" t="s">
        <v>8</v>
      </c>
      <c r="B33" t="s">
        <v>83</v>
      </c>
      <c r="C33" t="s">
        <v>158</v>
      </c>
      <c r="D33">
        <v>110580102</v>
      </c>
      <c r="E33">
        <v>0.9</v>
      </c>
      <c r="F33">
        <v>0.99999999999999956</v>
      </c>
      <c r="G33" t="s">
        <v>161</v>
      </c>
      <c r="H33" t="s">
        <v>83</v>
      </c>
      <c r="I33">
        <v>1</v>
      </c>
      <c r="J33">
        <v>28.44</v>
      </c>
      <c r="K33">
        <v>31.04</v>
      </c>
      <c r="L33">
        <v>1</v>
      </c>
      <c r="M33">
        <v>2830408290.7919998</v>
      </c>
      <c r="N33">
        <v>2.3590842170126678E-3</v>
      </c>
      <c r="O33" t="s">
        <v>162</v>
      </c>
    </row>
    <row r="34" spans="1:15" x14ac:dyDescent="0.25">
      <c r="A34" t="s">
        <v>52</v>
      </c>
      <c r="B34" t="s">
        <v>127</v>
      </c>
      <c r="C34" t="s">
        <v>158</v>
      </c>
      <c r="D34">
        <v>500000000</v>
      </c>
      <c r="E34">
        <v>0.5</v>
      </c>
      <c r="F34">
        <v>0.99999999999999956</v>
      </c>
      <c r="G34" t="s">
        <v>161</v>
      </c>
      <c r="H34" t="s">
        <v>127</v>
      </c>
      <c r="I34">
        <v>1</v>
      </c>
      <c r="J34">
        <v>10.91</v>
      </c>
      <c r="K34">
        <v>13.13</v>
      </c>
      <c r="L34">
        <v>1</v>
      </c>
      <c r="M34">
        <v>2727500000</v>
      </c>
      <c r="N34">
        <v>2.2733123778766171E-3</v>
      </c>
      <c r="O34" t="s">
        <v>162</v>
      </c>
    </row>
    <row r="35" spans="1:15" x14ac:dyDescent="0.25">
      <c r="A35" t="s">
        <v>67</v>
      </c>
      <c r="B35" t="s">
        <v>142</v>
      </c>
      <c r="C35" t="s">
        <v>158</v>
      </c>
      <c r="D35">
        <v>176361365</v>
      </c>
      <c r="E35">
        <v>0.70000000000000007</v>
      </c>
      <c r="F35">
        <v>0.99999999999999956</v>
      </c>
      <c r="G35" t="s">
        <v>161</v>
      </c>
      <c r="H35" t="s">
        <v>142</v>
      </c>
      <c r="I35">
        <v>1</v>
      </c>
      <c r="J35">
        <v>21.48</v>
      </c>
      <c r="K35">
        <v>23.64</v>
      </c>
      <c r="L35">
        <v>1</v>
      </c>
      <c r="M35">
        <v>2651769484.1399999</v>
      </c>
      <c r="N35">
        <v>2.2101926275237228E-3</v>
      </c>
      <c r="O35" t="s">
        <v>162</v>
      </c>
    </row>
    <row r="36" spans="1:15" x14ac:dyDescent="0.25">
      <c r="A36" t="s">
        <v>70</v>
      </c>
      <c r="B36" t="s">
        <v>145</v>
      </c>
      <c r="C36" t="s">
        <v>158</v>
      </c>
      <c r="D36">
        <v>128344238</v>
      </c>
      <c r="E36">
        <v>0.9</v>
      </c>
      <c r="F36">
        <v>0.99999999999999911</v>
      </c>
      <c r="G36" t="s">
        <v>161</v>
      </c>
      <c r="H36" t="s">
        <v>145</v>
      </c>
      <c r="I36">
        <v>1</v>
      </c>
      <c r="J36">
        <v>22.86</v>
      </c>
      <c r="K36">
        <v>23.22</v>
      </c>
      <c r="L36">
        <v>1</v>
      </c>
      <c r="M36">
        <v>2640554352.612</v>
      </c>
      <c r="N36">
        <v>2.200845057469784E-3</v>
      </c>
      <c r="O36" t="s">
        <v>162</v>
      </c>
    </row>
    <row r="37" spans="1:15" x14ac:dyDescent="0.25">
      <c r="A37" t="s">
        <v>79</v>
      </c>
      <c r="B37" t="s">
        <v>154</v>
      </c>
      <c r="C37" t="s">
        <v>158</v>
      </c>
      <c r="D37">
        <v>117816148</v>
      </c>
      <c r="E37">
        <v>0.5</v>
      </c>
      <c r="F37">
        <v>0.99999999999999967</v>
      </c>
      <c r="G37" t="s">
        <v>161</v>
      </c>
      <c r="H37" t="s">
        <v>154</v>
      </c>
      <c r="I37">
        <v>1</v>
      </c>
      <c r="J37">
        <v>38.92</v>
      </c>
      <c r="K37">
        <v>41.84</v>
      </c>
      <c r="L37">
        <v>1</v>
      </c>
      <c r="M37">
        <v>2292702240.0799999</v>
      </c>
      <c r="N37">
        <v>1.9109178299392519E-3</v>
      </c>
      <c r="O37" t="s">
        <v>162</v>
      </c>
    </row>
    <row r="38" spans="1:15" x14ac:dyDescent="0.25">
      <c r="A38" t="s">
        <v>18</v>
      </c>
      <c r="B38" t="s">
        <v>93</v>
      </c>
      <c r="C38" t="s">
        <v>158</v>
      </c>
      <c r="D38">
        <v>611007738</v>
      </c>
      <c r="E38">
        <v>0.60000000000000009</v>
      </c>
      <c r="F38">
        <v>0.99999999999999967</v>
      </c>
      <c r="G38" t="s">
        <v>161</v>
      </c>
      <c r="H38" t="s">
        <v>93</v>
      </c>
      <c r="I38">
        <v>1</v>
      </c>
      <c r="J38">
        <v>5.84</v>
      </c>
      <c r="K38">
        <v>6.28</v>
      </c>
      <c r="L38">
        <v>1</v>
      </c>
      <c r="M38">
        <v>2140971113.9519999</v>
      </c>
      <c r="N38">
        <v>1.7844532113742879E-3</v>
      </c>
      <c r="O38" t="s">
        <v>162</v>
      </c>
    </row>
    <row r="39" spans="1:15" x14ac:dyDescent="0.25">
      <c r="A39" t="s">
        <v>33</v>
      </c>
      <c r="B39" t="s">
        <v>108</v>
      </c>
      <c r="C39" t="s">
        <v>158</v>
      </c>
      <c r="D39">
        <v>479284361</v>
      </c>
      <c r="E39">
        <v>0.25</v>
      </c>
      <c r="F39">
        <v>0.99999999999999956</v>
      </c>
      <c r="G39" t="s">
        <v>161</v>
      </c>
      <c r="H39" t="s">
        <v>108</v>
      </c>
      <c r="I39">
        <v>1</v>
      </c>
      <c r="J39">
        <v>17.760000000000002</v>
      </c>
      <c r="K39">
        <v>18.940000000000001</v>
      </c>
      <c r="L39">
        <v>1</v>
      </c>
      <c r="M39">
        <v>2128022562.8399999</v>
      </c>
      <c r="N39">
        <v>1.773660873512335E-3</v>
      </c>
      <c r="O39" t="s">
        <v>162</v>
      </c>
    </row>
    <row r="40" spans="1:15" x14ac:dyDescent="0.25">
      <c r="A40" t="s">
        <v>28</v>
      </c>
      <c r="B40" t="s">
        <v>103</v>
      </c>
      <c r="C40" t="s">
        <v>158</v>
      </c>
      <c r="D40">
        <v>272000000</v>
      </c>
      <c r="E40">
        <v>0.95000000000000007</v>
      </c>
      <c r="F40">
        <v>0.99999999999999956</v>
      </c>
      <c r="G40" t="s">
        <v>161</v>
      </c>
      <c r="H40" t="s">
        <v>103</v>
      </c>
      <c r="I40">
        <v>1</v>
      </c>
      <c r="J40">
        <v>8.1850000000000005</v>
      </c>
      <c r="K40">
        <v>8</v>
      </c>
      <c r="L40">
        <v>1</v>
      </c>
      <c r="M40">
        <v>2115004000</v>
      </c>
      <c r="N40">
        <v>1.762810182386272E-3</v>
      </c>
      <c r="O40" t="s">
        <v>162</v>
      </c>
    </row>
    <row r="41" spans="1:15" x14ac:dyDescent="0.25">
      <c r="A41" t="s">
        <v>15</v>
      </c>
      <c r="B41" t="s">
        <v>90</v>
      </c>
      <c r="C41" t="s">
        <v>159</v>
      </c>
      <c r="D41">
        <v>262769869</v>
      </c>
      <c r="E41">
        <v>0.55000000000000004</v>
      </c>
      <c r="F41">
        <v>0.999999999999999</v>
      </c>
      <c r="G41" t="s">
        <v>161</v>
      </c>
      <c r="H41" t="s">
        <v>90</v>
      </c>
      <c r="I41">
        <v>1</v>
      </c>
      <c r="J41">
        <v>12.41</v>
      </c>
      <c r="K41">
        <v>14.93</v>
      </c>
      <c r="L41">
        <v>1</v>
      </c>
      <c r="M41">
        <v>1793535740.8594999</v>
      </c>
      <c r="N41">
        <v>1.4948733271714059E-3</v>
      </c>
      <c r="O41" t="s">
        <v>162</v>
      </c>
    </row>
    <row r="42" spans="1:15" x14ac:dyDescent="0.25">
      <c r="A42" t="s">
        <v>48</v>
      </c>
      <c r="B42" t="s">
        <v>123</v>
      </c>
      <c r="C42" t="s">
        <v>158</v>
      </c>
      <c r="D42">
        <v>27478006</v>
      </c>
      <c r="E42">
        <v>0.95000000000000007</v>
      </c>
      <c r="F42">
        <v>0.99999999999999956</v>
      </c>
      <c r="G42" t="s">
        <v>161</v>
      </c>
      <c r="H42" t="s">
        <v>123</v>
      </c>
      <c r="I42">
        <v>1</v>
      </c>
      <c r="J42">
        <v>60.1</v>
      </c>
      <c r="K42">
        <v>64.95</v>
      </c>
      <c r="L42">
        <v>1</v>
      </c>
      <c r="M42">
        <v>1568856752.5699999</v>
      </c>
      <c r="N42">
        <v>1.30760824004865E-3</v>
      </c>
      <c r="O42" t="s">
        <v>162</v>
      </c>
    </row>
    <row r="43" spans="1:15" x14ac:dyDescent="0.25">
      <c r="A43" t="s">
        <v>77</v>
      </c>
      <c r="B43" t="s">
        <v>152</v>
      </c>
      <c r="C43" t="s">
        <v>158</v>
      </c>
      <c r="D43">
        <v>43036928</v>
      </c>
      <c r="E43">
        <v>0.70000000000000007</v>
      </c>
      <c r="F43">
        <v>0.99999999999999967</v>
      </c>
      <c r="G43" t="s">
        <v>161</v>
      </c>
      <c r="H43" t="s">
        <v>152</v>
      </c>
      <c r="I43">
        <v>1</v>
      </c>
      <c r="J43">
        <v>49.3</v>
      </c>
      <c r="K43">
        <v>59.1</v>
      </c>
      <c r="L43">
        <v>1</v>
      </c>
      <c r="M43">
        <v>1485204385.28</v>
      </c>
      <c r="N43">
        <v>1.2378857975192141E-3</v>
      </c>
      <c r="O43" t="s">
        <v>162</v>
      </c>
    </row>
    <row r="44" spans="1:15" x14ac:dyDescent="0.25">
      <c r="A44" t="s">
        <v>39</v>
      </c>
      <c r="B44" t="s">
        <v>114</v>
      </c>
      <c r="C44" t="s">
        <v>160</v>
      </c>
      <c r="D44">
        <v>73313904</v>
      </c>
      <c r="E44">
        <v>0.9</v>
      </c>
      <c r="F44">
        <v>0.99999999999999956</v>
      </c>
      <c r="G44" t="s">
        <v>161</v>
      </c>
      <c r="H44" t="s">
        <v>114</v>
      </c>
      <c r="I44">
        <v>1</v>
      </c>
      <c r="J44">
        <v>19.579999999999998</v>
      </c>
      <c r="K44">
        <v>20.65</v>
      </c>
      <c r="L44">
        <v>1</v>
      </c>
      <c r="M44">
        <v>1291937616.2880001</v>
      </c>
      <c r="N44">
        <v>1.0768021171592751E-3</v>
      </c>
      <c r="O44" t="s">
        <v>162</v>
      </c>
    </row>
    <row r="45" spans="1:15" x14ac:dyDescent="0.25">
      <c r="A45" t="s">
        <v>20</v>
      </c>
      <c r="B45" t="s">
        <v>95</v>
      </c>
      <c r="C45" t="s">
        <v>158</v>
      </c>
      <c r="D45">
        <v>73184570</v>
      </c>
      <c r="E45">
        <v>0.60000000000000009</v>
      </c>
      <c r="F45">
        <v>0.99999999999999956</v>
      </c>
      <c r="G45" t="s">
        <v>161</v>
      </c>
      <c r="H45" t="s">
        <v>174</v>
      </c>
      <c r="I45">
        <v>1</v>
      </c>
      <c r="J45">
        <v>26.86</v>
      </c>
      <c r="K45">
        <v>26.48</v>
      </c>
      <c r="L45">
        <v>1</v>
      </c>
      <c r="M45">
        <v>1179442530.1199999</v>
      </c>
      <c r="N45">
        <v>9.8303989100491699E-4</v>
      </c>
      <c r="O45" t="s">
        <v>162</v>
      </c>
    </row>
    <row r="46" spans="1:15" x14ac:dyDescent="0.25">
      <c r="A46" t="s">
        <v>37</v>
      </c>
      <c r="B46" t="s">
        <v>112</v>
      </c>
      <c r="C46" t="s">
        <v>158</v>
      </c>
      <c r="D46">
        <v>55528671</v>
      </c>
      <c r="E46">
        <v>0.8</v>
      </c>
      <c r="F46">
        <v>0.99999999999999956</v>
      </c>
      <c r="G46" t="s">
        <v>161</v>
      </c>
      <c r="H46" t="s">
        <v>112</v>
      </c>
      <c r="I46">
        <v>1</v>
      </c>
      <c r="J46">
        <v>25.8</v>
      </c>
      <c r="K46">
        <v>28</v>
      </c>
      <c r="L46">
        <v>1</v>
      </c>
      <c r="M46">
        <v>1146111769.4400001</v>
      </c>
      <c r="N46">
        <v>9.5525942141082439E-4</v>
      </c>
      <c r="O46" t="s">
        <v>162</v>
      </c>
    </row>
    <row r="47" spans="1:15" x14ac:dyDescent="0.25">
      <c r="A47" t="s">
        <v>29</v>
      </c>
      <c r="B47" t="s">
        <v>104</v>
      </c>
      <c r="C47" t="s">
        <v>158</v>
      </c>
      <c r="D47">
        <v>66000000</v>
      </c>
      <c r="E47">
        <v>0.60000000000000009</v>
      </c>
      <c r="F47">
        <v>0.99999999999999944</v>
      </c>
      <c r="G47" t="s">
        <v>161</v>
      </c>
      <c r="H47" t="s">
        <v>104</v>
      </c>
      <c r="I47">
        <v>1</v>
      </c>
      <c r="J47">
        <v>25.9</v>
      </c>
      <c r="K47">
        <v>25.62</v>
      </c>
      <c r="L47">
        <v>1</v>
      </c>
      <c r="M47">
        <v>1025640000</v>
      </c>
      <c r="N47">
        <v>8.5484880192314341E-4</v>
      </c>
      <c r="O47" t="s">
        <v>162</v>
      </c>
    </row>
    <row r="48" spans="1:15" x14ac:dyDescent="0.25">
      <c r="A48" t="s">
        <v>73</v>
      </c>
      <c r="B48" t="s">
        <v>148</v>
      </c>
      <c r="C48" t="s">
        <v>158</v>
      </c>
      <c r="D48">
        <v>42198429</v>
      </c>
      <c r="E48">
        <v>0.70000000000000007</v>
      </c>
      <c r="F48">
        <v>0.99999999999999967</v>
      </c>
      <c r="G48" t="s">
        <v>161</v>
      </c>
      <c r="H48" t="s">
        <v>148</v>
      </c>
      <c r="I48">
        <v>1</v>
      </c>
      <c r="J48">
        <v>33.86</v>
      </c>
      <c r="K48">
        <v>34.76</v>
      </c>
      <c r="L48">
        <v>1</v>
      </c>
      <c r="M48">
        <v>1000187164.158</v>
      </c>
      <c r="N48">
        <v>8.3363441263930096E-4</v>
      </c>
      <c r="O48" t="s">
        <v>162</v>
      </c>
    </row>
    <row r="49" spans="1:15" x14ac:dyDescent="0.25">
      <c r="A49" t="s">
        <v>45</v>
      </c>
      <c r="B49" t="s">
        <v>120</v>
      </c>
      <c r="C49" t="s">
        <v>158</v>
      </c>
      <c r="D49">
        <v>65897071</v>
      </c>
      <c r="E49">
        <v>0.55000000000000004</v>
      </c>
      <c r="F49">
        <v>0.99999999999999911</v>
      </c>
      <c r="G49" t="s">
        <v>161</v>
      </c>
      <c r="H49" t="s">
        <v>120</v>
      </c>
      <c r="I49">
        <v>1</v>
      </c>
      <c r="J49">
        <v>27.02</v>
      </c>
      <c r="K49">
        <v>27.64</v>
      </c>
      <c r="L49">
        <v>1</v>
      </c>
      <c r="M49">
        <v>979296372.13100016</v>
      </c>
      <c r="N49">
        <v>8.1622238840515799E-4</v>
      </c>
      <c r="O49" t="s">
        <v>162</v>
      </c>
    </row>
    <row r="50" spans="1:15" x14ac:dyDescent="0.25">
      <c r="A50" t="s">
        <v>44</v>
      </c>
      <c r="B50" t="s">
        <v>119</v>
      </c>
      <c r="C50" t="s">
        <v>158</v>
      </c>
      <c r="D50">
        <v>112730967</v>
      </c>
      <c r="E50">
        <v>0.8</v>
      </c>
      <c r="F50">
        <v>0.99999999999999967</v>
      </c>
      <c r="G50" t="s">
        <v>161</v>
      </c>
      <c r="H50" t="s">
        <v>119</v>
      </c>
      <c r="I50">
        <v>1</v>
      </c>
      <c r="J50">
        <v>10.39</v>
      </c>
      <c r="K50">
        <v>12.14</v>
      </c>
      <c r="L50">
        <v>1</v>
      </c>
      <c r="M50">
        <v>937019797.70400012</v>
      </c>
      <c r="N50">
        <v>7.8098577614516853E-4</v>
      </c>
      <c r="O50" t="s">
        <v>162</v>
      </c>
    </row>
    <row r="51" spans="1:15" x14ac:dyDescent="0.25">
      <c r="A51" t="s">
        <v>47</v>
      </c>
      <c r="B51" t="s">
        <v>122</v>
      </c>
      <c r="C51" t="s">
        <v>158</v>
      </c>
      <c r="D51">
        <v>991811494</v>
      </c>
      <c r="E51">
        <v>0.60000000000000009</v>
      </c>
      <c r="F51">
        <v>0.99999999999999978</v>
      </c>
      <c r="G51" t="s">
        <v>161</v>
      </c>
      <c r="H51" t="s">
        <v>122</v>
      </c>
      <c r="I51">
        <v>1</v>
      </c>
      <c r="J51">
        <v>1.54</v>
      </c>
      <c r="K51">
        <v>1.5555000000000001</v>
      </c>
      <c r="L51">
        <v>1</v>
      </c>
      <c r="M51">
        <v>916433820.45600021</v>
      </c>
      <c r="N51">
        <v>7.6382780845000271E-4</v>
      </c>
      <c r="O51" t="s">
        <v>162</v>
      </c>
    </row>
    <row r="52" spans="1:15" x14ac:dyDescent="0.25">
      <c r="A52" t="s">
        <v>42</v>
      </c>
      <c r="B52" t="s">
        <v>117</v>
      </c>
      <c r="C52" t="s">
        <v>158</v>
      </c>
      <c r="D52">
        <v>45671645</v>
      </c>
      <c r="E52">
        <v>0.75</v>
      </c>
      <c r="F52">
        <v>0.99999999999999933</v>
      </c>
      <c r="G52" t="s">
        <v>161</v>
      </c>
      <c r="H52" t="s">
        <v>117</v>
      </c>
      <c r="I52">
        <v>1</v>
      </c>
      <c r="J52">
        <v>26.58</v>
      </c>
      <c r="K52">
        <v>25.14</v>
      </c>
      <c r="L52">
        <v>1</v>
      </c>
      <c r="M52">
        <v>910464243.07499993</v>
      </c>
      <c r="N52">
        <v>7.5885229455415664E-4</v>
      </c>
      <c r="O52" t="s">
        <v>162</v>
      </c>
    </row>
    <row r="53" spans="1:15" x14ac:dyDescent="0.25">
      <c r="A53" t="s">
        <v>32</v>
      </c>
      <c r="B53" t="s">
        <v>107</v>
      </c>
      <c r="C53" t="s">
        <v>158</v>
      </c>
      <c r="D53">
        <v>58250309</v>
      </c>
      <c r="E53">
        <v>0.9</v>
      </c>
      <c r="F53">
        <v>0.99999999999999956</v>
      </c>
      <c r="G53" t="s">
        <v>161</v>
      </c>
      <c r="H53" t="s">
        <v>107</v>
      </c>
      <c r="I53">
        <v>1</v>
      </c>
      <c r="J53">
        <v>16.88</v>
      </c>
      <c r="K53">
        <v>17.54</v>
      </c>
      <c r="L53">
        <v>1</v>
      </c>
      <c r="M53">
        <v>884938694.32799995</v>
      </c>
      <c r="N53">
        <v>7.3757730063347916E-4</v>
      </c>
      <c r="O53" t="s">
        <v>162</v>
      </c>
    </row>
    <row r="54" spans="1:15" x14ac:dyDescent="0.25">
      <c r="A54" t="s">
        <v>19</v>
      </c>
      <c r="B54" t="s">
        <v>94</v>
      </c>
      <c r="C54" t="s">
        <v>158</v>
      </c>
      <c r="D54">
        <v>32504164</v>
      </c>
      <c r="E54">
        <v>0.95000000000000007</v>
      </c>
      <c r="F54">
        <v>0.99999999999999956</v>
      </c>
      <c r="G54" t="s">
        <v>161</v>
      </c>
      <c r="H54" t="s">
        <v>94</v>
      </c>
      <c r="I54">
        <v>1</v>
      </c>
      <c r="J54">
        <v>27.38</v>
      </c>
      <c r="K54">
        <v>25.3</v>
      </c>
      <c r="L54">
        <v>1</v>
      </c>
      <c r="M54">
        <v>845465809.80400002</v>
      </c>
      <c r="N54">
        <v>7.0467750339098473E-4</v>
      </c>
      <c r="O54" t="s">
        <v>162</v>
      </c>
    </row>
    <row r="55" spans="1:15" x14ac:dyDescent="0.25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0.99999999999999956</v>
      </c>
      <c r="G55" t="s">
        <v>161</v>
      </c>
      <c r="H55" t="s">
        <v>136</v>
      </c>
      <c r="I55">
        <v>1</v>
      </c>
      <c r="J55">
        <v>1.214</v>
      </c>
      <c r="K55">
        <v>1.151</v>
      </c>
      <c r="L55">
        <v>1</v>
      </c>
      <c r="M55">
        <v>831769204.61000001</v>
      </c>
      <c r="N55">
        <v>6.9326167859816738E-4</v>
      </c>
      <c r="O55" t="s">
        <v>162</v>
      </c>
    </row>
    <row r="56" spans="1:15" x14ac:dyDescent="0.25">
      <c r="A56" t="s">
        <v>72</v>
      </c>
      <c r="B56" t="s">
        <v>147</v>
      </c>
      <c r="C56" t="s">
        <v>158</v>
      </c>
      <c r="D56">
        <v>70000000</v>
      </c>
      <c r="E56">
        <v>0.35</v>
      </c>
      <c r="F56">
        <v>0.99999999999999944</v>
      </c>
      <c r="G56" t="s">
        <v>161</v>
      </c>
      <c r="H56" t="s">
        <v>147</v>
      </c>
      <c r="I56">
        <v>1</v>
      </c>
      <c r="J56">
        <v>28.65</v>
      </c>
      <c r="K56">
        <v>24.8</v>
      </c>
      <c r="L56">
        <v>1</v>
      </c>
      <c r="M56">
        <v>701925000</v>
      </c>
      <c r="N56">
        <v>5.8503933669699156E-4</v>
      </c>
      <c r="O56" t="s">
        <v>162</v>
      </c>
    </row>
    <row r="57" spans="1:15" x14ac:dyDescent="0.25">
      <c r="A57" t="s">
        <v>81</v>
      </c>
      <c r="B57" t="s">
        <v>156</v>
      </c>
      <c r="C57" t="s">
        <v>158</v>
      </c>
      <c r="D57">
        <v>46396667</v>
      </c>
      <c r="E57">
        <v>0.8</v>
      </c>
      <c r="F57">
        <v>0.99999999999999933</v>
      </c>
      <c r="G57" t="s">
        <v>161</v>
      </c>
      <c r="H57" t="s">
        <v>156</v>
      </c>
      <c r="I57">
        <v>1</v>
      </c>
      <c r="J57">
        <v>18.48</v>
      </c>
      <c r="K57">
        <v>19</v>
      </c>
      <c r="L57">
        <v>1</v>
      </c>
      <c r="M57">
        <v>685928324.92800009</v>
      </c>
      <c r="N57">
        <v>5.7170645330705656E-4</v>
      </c>
      <c r="O57" t="s">
        <v>162</v>
      </c>
    </row>
    <row r="58" spans="1:15" x14ac:dyDescent="0.25">
      <c r="A58" t="s">
        <v>60</v>
      </c>
      <c r="B58" t="s">
        <v>135</v>
      </c>
      <c r="C58" t="s">
        <v>158</v>
      </c>
      <c r="D58">
        <v>211357989</v>
      </c>
      <c r="E58">
        <v>0.45</v>
      </c>
      <c r="F58">
        <v>0.99999999999999989</v>
      </c>
      <c r="G58" t="s">
        <v>161</v>
      </c>
      <c r="H58" t="s">
        <v>135</v>
      </c>
      <c r="I58">
        <v>1</v>
      </c>
      <c r="J58">
        <v>4.78</v>
      </c>
      <c r="K58">
        <v>5.0149999999999997</v>
      </c>
      <c r="L58">
        <v>1</v>
      </c>
      <c r="M58">
        <v>454631034.33899999</v>
      </c>
      <c r="N58">
        <v>3.7892515407138332E-4</v>
      </c>
      <c r="O58" t="s">
        <v>162</v>
      </c>
    </row>
    <row r="59" spans="1:15" x14ac:dyDescent="0.25">
      <c r="A59" t="s">
        <v>11</v>
      </c>
      <c r="B59" t="s">
        <v>86</v>
      </c>
      <c r="C59" t="s">
        <v>158</v>
      </c>
      <c r="D59">
        <v>29589371</v>
      </c>
      <c r="E59">
        <v>0.65</v>
      </c>
      <c r="F59">
        <v>0.99999999999999944</v>
      </c>
      <c r="G59" t="s">
        <v>161</v>
      </c>
      <c r="H59" t="s">
        <v>86</v>
      </c>
      <c r="I59">
        <v>1</v>
      </c>
      <c r="J59">
        <v>23.6</v>
      </c>
      <c r="K59">
        <v>22.65</v>
      </c>
      <c r="L59">
        <v>1</v>
      </c>
      <c r="M59">
        <v>453900951.1400001</v>
      </c>
      <c r="N59">
        <v>3.7831664548360468E-4</v>
      </c>
      <c r="O59" t="s">
        <v>162</v>
      </c>
    </row>
    <row r="60" spans="1:15" x14ac:dyDescent="0.25">
      <c r="A60" t="s">
        <v>63</v>
      </c>
      <c r="B60" t="s">
        <v>138</v>
      </c>
      <c r="C60" t="s">
        <v>158</v>
      </c>
      <c r="D60">
        <v>508680625</v>
      </c>
      <c r="E60">
        <v>0.70000000000000007</v>
      </c>
      <c r="F60">
        <v>0.99999999999999944</v>
      </c>
      <c r="G60" t="s">
        <v>161</v>
      </c>
      <c r="H60" t="s">
        <v>138</v>
      </c>
      <c r="I60">
        <v>1</v>
      </c>
      <c r="J60">
        <v>1.0029999999999999</v>
      </c>
      <c r="K60">
        <v>1.002</v>
      </c>
      <c r="L60">
        <v>1</v>
      </c>
      <c r="M60">
        <v>357144666.8125</v>
      </c>
      <c r="N60">
        <v>2.9767237094682921E-4</v>
      </c>
      <c r="O60" t="s">
        <v>162</v>
      </c>
    </row>
    <row r="61" spans="1:15" x14ac:dyDescent="0.25">
      <c r="A61" t="s">
        <v>74</v>
      </c>
      <c r="B61" t="s">
        <v>149</v>
      </c>
      <c r="C61" t="s">
        <v>158</v>
      </c>
      <c r="D61">
        <v>125000000</v>
      </c>
      <c r="E61">
        <v>0.5</v>
      </c>
      <c r="F61">
        <v>0.99999999999999933</v>
      </c>
      <c r="G61" t="s">
        <v>161</v>
      </c>
      <c r="H61" t="s">
        <v>149</v>
      </c>
      <c r="I61">
        <v>1</v>
      </c>
      <c r="J61">
        <v>5.48</v>
      </c>
      <c r="K61">
        <v>5.165</v>
      </c>
      <c r="L61">
        <v>1</v>
      </c>
      <c r="M61">
        <v>342500000</v>
      </c>
      <c r="N61">
        <v>2.8546635725856692E-4</v>
      </c>
      <c r="O61" t="s">
        <v>162</v>
      </c>
    </row>
    <row r="62" spans="1:15" x14ac:dyDescent="0.25">
      <c r="A62" t="s">
        <v>57</v>
      </c>
      <c r="B62" t="s">
        <v>132</v>
      </c>
      <c r="C62" t="s">
        <v>158</v>
      </c>
      <c r="D62">
        <v>6692920</v>
      </c>
      <c r="E62">
        <v>0.45</v>
      </c>
      <c r="F62">
        <v>0.99999999999999978</v>
      </c>
      <c r="G62" t="s">
        <v>161</v>
      </c>
      <c r="H62" t="s">
        <v>132</v>
      </c>
      <c r="I62">
        <v>1</v>
      </c>
      <c r="J62">
        <v>95.7</v>
      </c>
      <c r="K62">
        <v>90.9</v>
      </c>
      <c r="L62">
        <v>1</v>
      </c>
      <c r="M62">
        <v>288230599.80000001</v>
      </c>
      <c r="N62">
        <v>2.4023398357768711E-4</v>
      </c>
      <c r="O62" t="s">
        <v>162</v>
      </c>
    </row>
    <row r="63" spans="1:15" x14ac:dyDescent="0.25">
      <c r="A63" t="s">
        <v>59</v>
      </c>
      <c r="B63" t="s">
        <v>134</v>
      </c>
      <c r="C63" t="s">
        <v>158</v>
      </c>
      <c r="D63">
        <v>20155221</v>
      </c>
      <c r="E63">
        <v>0.65</v>
      </c>
      <c r="F63">
        <v>0.99999999999999956</v>
      </c>
      <c r="G63" t="s">
        <v>161</v>
      </c>
      <c r="H63" t="s">
        <v>134</v>
      </c>
      <c r="I63">
        <v>1</v>
      </c>
      <c r="J63">
        <v>21.1</v>
      </c>
      <c r="K63">
        <v>21.95</v>
      </c>
      <c r="L63">
        <v>1</v>
      </c>
      <c r="M63">
        <v>276428856.01499999</v>
      </c>
      <c r="N63">
        <v>2.3039748486935761E-4</v>
      </c>
      <c r="O63" t="s">
        <v>162</v>
      </c>
    </row>
    <row r="64" spans="1:15" x14ac:dyDescent="0.25">
      <c r="A64" t="s">
        <v>41</v>
      </c>
      <c r="B64" t="s">
        <v>116</v>
      </c>
      <c r="C64" t="s">
        <v>158</v>
      </c>
      <c r="D64">
        <v>91300000</v>
      </c>
      <c r="E64">
        <v>0.3</v>
      </c>
      <c r="F64">
        <v>0.99999999999999956</v>
      </c>
      <c r="G64" t="s">
        <v>161</v>
      </c>
      <c r="H64" t="s">
        <v>116</v>
      </c>
      <c r="I64">
        <v>1</v>
      </c>
      <c r="J64">
        <v>8.43</v>
      </c>
      <c r="K64">
        <v>9.1</v>
      </c>
      <c r="L64">
        <v>1</v>
      </c>
      <c r="M64">
        <v>230897700</v>
      </c>
      <c r="N64">
        <v>1.924482491047632E-4</v>
      </c>
      <c r="O64" t="s">
        <v>162</v>
      </c>
    </row>
    <row r="65" spans="1:15" x14ac:dyDescent="0.25">
      <c r="A65" t="s">
        <v>78</v>
      </c>
      <c r="B65" t="s">
        <v>153</v>
      </c>
      <c r="C65" t="s">
        <v>160</v>
      </c>
      <c r="D65">
        <v>19469032</v>
      </c>
      <c r="E65">
        <v>0.4</v>
      </c>
      <c r="F65">
        <v>0.99999999999999956</v>
      </c>
      <c r="G65" t="s">
        <v>161</v>
      </c>
      <c r="H65" t="s">
        <v>153</v>
      </c>
      <c r="I65">
        <v>1</v>
      </c>
      <c r="J65">
        <v>29.2</v>
      </c>
      <c r="K65">
        <v>28.6</v>
      </c>
      <c r="L65">
        <v>1</v>
      </c>
      <c r="M65">
        <v>227398293.75999999</v>
      </c>
      <c r="N65">
        <v>1.8953156953717E-4</v>
      </c>
      <c r="O65" t="s">
        <v>162</v>
      </c>
    </row>
    <row r="66" spans="1:15" x14ac:dyDescent="0.25">
      <c r="A66" t="s">
        <v>36</v>
      </c>
      <c r="B66" t="s">
        <v>111</v>
      </c>
      <c r="C66" t="s">
        <v>158</v>
      </c>
      <c r="D66">
        <v>57690377</v>
      </c>
      <c r="E66">
        <v>0.55000000000000004</v>
      </c>
      <c r="F66">
        <v>0.99999999999999933</v>
      </c>
      <c r="G66" t="s">
        <v>161</v>
      </c>
      <c r="H66" t="s">
        <v>111</v>
      </c>
      <c r="I66">
        <v>1</v>
      </c>
      <c r="J66">
        <v>7</v>
      </c>
      <c r="K66">
        <v>7.48</v>
      </c>
      <c r="L66">
        <v>1</v>
      </c>
      <c r="M66">
        <v>222107951.44999999</v>
      </c>
      <c r="N66">
        <v>1.851221834119537E-4</v>
      </c>
      <c r="O66" t="s">
        <v>162</v>
      </c>
    </row>
    <row r="67" spans="1:15" x14ac:dyDescent="0.25">
      <c r="A67" t="s">
        <v>71</v>
      </c>
      <c r="B67" t="s">
        <v>146</v>
      </c>
      <c r="C67" t="s">
        <v>158</v>
      </c>
      <c r="D67">
        <v>44255015</v>
      </c>
      <c r="E67">
        <v>0.45</v>
      </c>
      <c r="F67">
        <v>0.99999999999999967</v>
      </c>
      <c r="G67" t="s">
        <v>161</v>
      </c>
      <c r="H67" t="s">
        <v>146</v>
      </c>
      <c r="I67">
        <v>1</v>
      </c>
      <c r="J67">
        <v>11.08</v>
      </c>
      <c r="K67">
        <v>11.24</v>
      </c>
      <c r="L67">
        <v>1</v>
      </c>
      <c r="M67">
        <v>220655504.78999999</v>
      </c>
      <c r="N67">
        <v>1.839116004713914E-4</v>
      </c>
      <c r="O67" t="s">
        <v>162</v>
      </c>
    </row>
    <row r="68" spans="1:15" x14ac:dyDescent="0.25">
      <c r="A68" t="s">
        <v>17</v>
      </c>
      <c r="B68" t="s">
        <v>92</v>
      </c>
      <c r="C68" t="s">
        <v>158</v>
      </c>
      <c r="D68">
        <v>21750000</v>
      </c>
      <c r="E68">
        <v>1</v>
      </c>
      <c r="F68">
        <v>1</v>
      </c>
      <c r="G68" t="s">
        <v>161</v>
      </c>
      <c r="H68" t="s">
        <v>92</v>
      </c>
      <c r="I68">
        <v>1</v>
      </c>
      <c r="J68">
        <v>9.57</v>
      </c>
      <c r="K68">
        <v>10.645</v>
      </c>
      <c r="L68">
        <v>1</v>
      </c>
      <c r="M68">
        <v>208147500</v>
      </c>
      <c r="N68">
        <v>1.734864484597885E-4</v>
      </c>
      <c r="O68" t="s">
        <v>162</v>
      </c>
    </row>
    <row r="69" spans="1:15" x14ac:dyDescent="0.25">
      <c r="A69" t="s">
        <v>43</v>
      </c>
      <c r="B69" t="s">
        <v>118</v>
      </c>
      <c r="C69" t="s">
        <v>158</v>
      </c>
      <c r="D69">
        <v>89283817</v>
      </c>
      <c r="E69">
        <v>0.45</v>
      </c>
      <c r="F69">
        <v>0.99999999999999956</v>
      </c>
      <c r="G69" t="s">
        <v>161</v>
      </c>
      <c r="H69" t="s">
        <v>118</v>
      </c>
      <c r="I69">
        <v>1</v>
      </c>
      <c r="J69">
        <v>4.2300000000000004</v>
      </c>
      <c r="K69">
        <v>4.8049999999999997</v>
      </c>
      <c r="L69">
        <v>1</v>
      </c>
      <c r="M69">
        <v>169951745.6595</v>
      </c>
      <c r="N69">
        <v>1.4165111165883779E-4</v>
      </c>
      <c r="O69" t="s">
        <v>162</v>
      </c>
    </row>
    <row r="70" spans="1:15" x14ac:dyDescent="0.25">
      <c r="A70" t="s">
        <v>31</v>
      </c>
      <c r="B70" t="s">
        <v>106</v>
      </c>
      <c r="C70" t="s">
        <v>158</v>
      </c>
      <c r="D70">
        <v>50574624</v>
      </c>
      <c r="E70">
        <v>0.4</v>
      </c>
      <c r="F70">
        <v>0.99999999999999989</v>
      </c>
      <c r="G70" t="s">
        <v>161</v>
      </c>
      <c r="H70" t="s">
        <v>106</v>
      </c>
      <c r="I70">
        <v>1</v>
      </c>
      <c r="J70">
        <v>8.23</v>
      </c>
      <c r="K70">
        <v>8.6199999999999992</v>
      </c>
      <c r="L70">
        <v>1</v>
      </c>
      <c r="M70">
        <v>166491662.208</v>
      </c>
      <c r="N70">
        <v>1.3876720678669081E-4</v>
      </c>
      <c r="O70" t="s">
        <v>162</v>
      </c>
    </row>
    <row r="71" spans="1:15" x14ac:dyDescent="0.25">
      <c r="A71" t="s">
        <v>26</v>
      </c>
      <c r="B71" t="s">
        <v>101</v>
      </c>
      <c r="C71" t="s">
        <v>158</v>
      </c>
      <c r="D71">
        <v>20905671</v>
      </c>
      <c r="E71">
        <v>0.95000000000000007</v>
      </c>
      <c r="F71">
        <v>0.99999999999999989</v>
      </c>
      <c r="G71" t="s">
        <v>161</v>
      </c>
      <c r="H71" t="s">
        <v>101</v>
      </c>
      <c r="I71">
        <v>1</v>
      </c>
      <c r="J71">
        <v>8.16</v>
      </c>
      <c r="K71">
        <v>13.52</v>
      </c>
      <c r="L71">
        <v>1</v>
      </c>
      <c r="M71">
        <v>162060761.59200001</v>
      </c>
      <c r="N71">
        <v>1.3507414676267829E-4</v>
      </c>
      <c r="O71" t="s">
        <v>162</v>
      </c>
    </row>
    <row r="72" spans="1:15" x14ac:dyDescent="0.25">
      <c r="A72" t="s">
        <v>55</v>
      </c>
      <c r="B72" t="s">
        <v>130</v>
      </c>
      <c r="C72" t="s">
        <v>158</v>
      </c>
      <c r="D72">
        <v>15807427</v>
      </c>
      <c r="E72">
        <v>0.75</v>
      </c>
      <c r="F72">
        <v>0.99999999999999944</v>
      </c>
      <c r="G72" t="s">
        <v>161</v>
      </c>
      <c r="H72" t="s">
        <v>130</v>
      </c>
      <c r="I72">
        <v>1</v>
      </c>
      <c r="J72">
        <v>13.54</v>
      </c>
      <c r="K72">
        <v>11.38</v>
      </c>
      <c r="L72">
        <v>1</v>
      </c>
      <c r="M72">
        <v>160524421.185</v>
      </c>
      <c r="N72">
        <v>1.337936401948084E-4</v>
      </c>
      <c r="O72" t="s">
        <v>162</v>
      </c>
    </row>
    <row r="73" spans="1:15" x14ac:dyDescent="0.25">
      <c r="A73" t="s">
        <v>69</v>
      </c>
      <c r="B73" t="s">
        <v>144</v>
      </c>
      <c r="C73" t="s">
        <v>158</v>
      </c>
      <c r="D73">
        <v>29888612</v>
      </c>
      <c r="E73">
        <v>0.55000000000000004</v>
      </c>
      <c r="F73">
        <v>0.99999999999999944</v>
      </c>
      <c r="G73" t="s">
        <v>161</v>
      </c>
      <c r="H73" t="s">
        <v>144</v>
      </c>
      <c r="I73">
        <v>1</v>
      </c>
      <c r="J73">
        <v>7.95</v>
      </c>
      <c r="K73">
        <v>9.2200000000000006</v>
      </c>
      <c r="L73">
        <v>1</v>
      </c>
      <c r="M73">
        <v>130687955.97</v>
      </c>
      <c r="N73">
        <v>1.08925590447661E-4</v>
      </c>
      <c r="O73" t="s">
        <v>162</v>
      </c>
    </row>
    <row r="74" spans="1:15" x14ac:dyDescent="0.25">
      <c r="A74" t="s">
        <v>27</v>
      </c>
      <c r="B74" t="s">
        <v>102</v>
      </c>
      <c r="C74" t="s">
        <v>158</v>
      </c>
      <c r="D74">
        <v>84177321</v>
      </c>
      <c r="E74">
        <v>0.25</v>
      </c>
      <c r="F74">
        <v>0.99999999999999944</v>
      </c>
      <c r="G74" t="s">
        <v>161</v>
      </c>
      <c r="H74" t="s">
        <v>102</v>
      </c>
      <c r="I74">
        <v>1</v>
      </c>
      <c r="J74">
        <v>5.88</v>
      </c>
      <c r="K74">
        <v>5.88</v>
      </c>
      <c r="L74">
        <v>1</v>
      </c>
      <c r="M74">
        <v>123740661.87</v>
      </c>
      <c r="N74">
        <v>1.0313517077019841E-4</v>
      </c>
      <c r="O74" t="s">
        <v>162</v>
      </c>
    </row>
    <row r="75" spans="1:15" x14ac:dyDescent="0.25">
      <c r="A75" t="s">
        <v>10</v>
      </c>
      <c r="B75" t="s">
        <v>85</v>
      </c>
      <c r="C75" t="s">
        <v>158</v>
      </c>
      <c r="D75">
        <v>242694212</v>
      </c>
      <c r="E75">
        <v>0.60000000000000009</v>
      </c>
      <c r="F75">
        <v>0.99999999999999956</v>
      </c>
      <c r="G75" t="s">
        <v>161</v>
      </c>
      <c r="H75" t="s">
        <v>85</v>
      </c>
      <c r="I75">
        <v>1</v>
      </c>
      <c r="J75">
        <v>0.74</v>
      </c>
      <c r="K75">
        <v>0.70399999999999996</v>
      </c>
      <c r="L75">
        <v>1</v>
      </c>
      <c r="M75">
        <v>107756230.12800001</v>
      </c>
      <c r="N75">
        <v>8.9812491931550372E-5</v>
      </c>
      <c r="O75" t="s">
        <v>162</v>
      </c>
    </row>
    <row r="76" spans="1:15" x14ac:dyDescent="0.25">
      <c r="A76" t="s">
        <v>40</v>
      </c>
      <c r="B76" t="s">
        <v>115</v>
      </c>
      <c r="C76" t="s">
        <v>158</v>
      </c>
      <c r="D76">
        <v>19450597</v>
      </c>
      <c r="E76">
        <v>0.25</v>
      </c>
      <c r="F76">
        <v>1</v>
      </c>
      <c r="G76" t="s">
        <v>161</v>
      </c>
      <c r="H76" t="s">
        <v>115</v>
      </c>
      <c r="I76">
        <v>1</v>
      </c>
      <c r="J76">
        <v>21.45</v>
      </c>
      <c r="K76">
        <v>21.7</v>
      </c>
      <c r="L76">
        <v>1</v>
      </c>
      <c r="M76">
        <v>104303826.41249999</v>
      </c>
      <c r="N76">
        <v>8.6934987953594955E-5</v>
      </c>
      <c r="O76" t="s">
        <v>162</v>
      </c>
    </row>
  </sheetData>
  <autoFilter ref="A1:O76" xr:uid="{00000000-0001-0000-0300-000000000000}">
    <sortState xmlns:xlrd2="http://schemas.microsoft.com/office/spreadsheetml/2017/richdata2" ref="A2:O76">
      <sortCondition descending="1" ref="N1:N7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175</v>
      </c>
    </row>
    <row r="2" spans="1:1" x14ac:dyDescent="0.25">
      <c r="A2">
        <v>653861949455.25317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2025-11-06T13:31:13Z</dcterms:created>
  <dcterms:modified xsi:type="dcterms:W3CDTF">2025-11-06T13:32:44Z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2025-11-06T13:32:10Z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ca85d8a1-d1ae-4dbd-ae6b-29bf5b17668e</vt:lpwstr>
  </property>
  <property fmtid="{D5CDD505-2E9C-101B-9397-08002B2CF9AE}" pid="8" name="MSIP_Label_ac0b9ce6-6e99-42a1-af95-429494370cbc_ContentBits">
    <vt:lpwstr>2</vt:lpwstr>
  </property>
</Properties>
</file>