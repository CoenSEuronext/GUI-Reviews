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60" documentId="11_411B63724AF0C8A931B4A1FD7B1567444044E3F8" xr6:coauthVersionLast="47" xr6:coauthVersionMax="47" xr10:uidLastSave="{65851CE0-E8C8-4377-A903-2A785A5C9186}"/>
  <bookViews>
    <workbookView xWindow="-29370" yWindow="195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externalReferences>
    <externalReference r:id="rId9"/>
  </externalReferences>
  <definedNames>
    <definedName name="_xlnm._FilterDatabase" localSheetId="5" hidden="1">'Company Iterations'!$A$7:$M$27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6" l="1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J7" i="6"/>
  <c r="J27" i="6" s="1"/>
  <c r="J11" i="6" l="1"/>
  <c r="J12" i="6"/>
  <c r="J13" i="6"/>
  <c r="J14" i="6"/>
  <c r="K5" i="6" s="1"/>
  <c r="J15" i="6"/>
  <c r="J16" i="6"/>
  <c r="J17" i="6"/>
  <c r="I5" i="6" s="1"/>
  <c r="J18" i="6"/>
  <c r="J19" i="6"/>
  <c r="J20" i="6"/>
  <c r="J21" i="6"/>
  <c r="J22" i="6"/>
  <c r="J23" i="6"/>
  <c r="J24" i="6"/>
  <c r="J25" i="6"/>
  <c r="J26" i="6"/>
  <c r="K2" i="6" l="1"/>
  <c r="K3" i="6"/>
  <c r="I3" i="6"/>
  <c r="I4" i="6"/>
  <c r="I2" i="6"/>
  <c r="K4" i="6"/>
  <c r="K1" i="6" s="1"/>
  <c r="L4" i="6" s="1"/>
  <c r="K23" i="6" l="1"/>
  <c r="K26" i="6"/>
  <c r="K11" i="6"/>
  <c r="K15" i="6"/>
  <c r="K17" i="6"/>
  <c r="K18" i="6"/>
  <c r="K10" i="6"/>
  <c r="L10" i="6" s="1"/>
  <c r="K22" i="6"/>
  <c r="K13" i="6"/>
  <c r="L5" i="6"/>
  <c r="K14" i="6" s="1"/>
  <c r="L3" i="6"/>
  <c r="L2" i="6"/>
  <c r="K24" i="6" l="1"/>
  <c r="K21" i="6"/>
  <c r="K19" i="6"/>
  <c r="K16" i="6"/>
  <c r="K27" i="6"/>
  <c r="K25" i="6"/>
  <c r="K20" i="6"/>
  <c r="K12" i="6"/>
  <c r="M7" i="6"/>
  <c r="L7" i="6"/>
  <c r="M10" i="6" l="1"/>
  <c r="M27" i="6"/>
  <c r="M18" i="6"/>
  <c r="M15" i="6"/>
  <c r="M12" i="6"/>
  <c r="O3" i="6" s="1"/>
  <c r="M26" i="6"/>
  <c r="M25" i="6"/>
  <c r="M24" i="6"/>
  <c r="M23" i="6"/>
  <c r="M22" i="6"/>
  <c r="M21" i="6"/>
  <c r="M20" i="6"/>
  <c r="M19" i="6"/>
  <c r="M17" i="6"/>
  <c r="M16" i="6"/>
  <c r="O2" i="6" s="1"/>
  <c r="M14" i="6"/>
  <c r="O5" i="6" s="1"/>
  <c r="P6" i="6" l="1"/>
  <c r="O4" i="6"/>
</calcChain>
</file>

<file path=xl/sharedStrings.xml><?xml version="1.0" encoding="utf-8"?>
<sst xmlns="http://schemas.openxmlformats.org/spreadsheetml/2006/main" count="534" uniqueCount="119">
  <si>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</si>
  <si>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</si>
  <si>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</si>
  <si>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</si>
  <si>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</si>
  <si>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</si>
  <si>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</si>
  <si>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</si>
  <si>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</si>
  <si>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</si>
  <si>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</si>
  <si>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</si>
  <si>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</si>
  <si>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</si>
  <si>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</si>
  <si>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</si>
  <si>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</si>
  <si>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</si>
  <si>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</si>
  <si>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</si>
  <si>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</si>
  <si>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</si>
  <si>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</si>
  <si>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</si>
  <si>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</si>
  <si>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</si>
  <si>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</si>
  <si>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</si>
  <si>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</si>
  <si>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</si>
  <si>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</si>
  <si>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</si>
  <si>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</si>
  <si>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</si>
  <si>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</si>
  <si>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</si>
  <si>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</si>
  <si>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</si>
  <si>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</si>
  <si>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</si>
  <si>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</si>
  <si>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</si>
  <si>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</si>
  <si>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</si>
  <si>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</si>
  <si>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</si>
  <si>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</si>
  <si>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</si>
  <si>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</si>
  <si>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</si>
  <si>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</si>
  <si>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</si>
  <si>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</si>
  <si>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</si>
  <si>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</si>
  <si>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</si>
  <si>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</si>
  <si>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</si>
  <si>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</si>
  <si>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</si>
  <si>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</si>
  <si>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</si>
  <si>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</si>
  <si>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</si>
  <si>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</si>
  <si>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</si>
  <si>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</si>
  <si>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</si>
  <si>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</si>
  <si>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</si>
  <si>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</si>
  <si>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</si>
  <si>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</si>
  <si>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</si>
  <si>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</si>
  <si>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</si>
  <si>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</si>
  <si>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</si>
  <si>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</si>
  <si>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</si>
  <si>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</si>
  <si>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</si>
  <si>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</si>
  <si>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</si>
  <si>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</si>
  <si>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</si>
  <si>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</si>
  <si>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</si>
  <si>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</si>
  <si>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</si>
  <si>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</si>
  <si>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</si>
  <si>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</si>
  <si>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</si>
  <si>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</si>
  <si>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</si>
  <si>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</si>
  <si>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</si>
  <si>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</si>
  <si>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</si>
  <si>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</si>
  <si>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</si>
  <si>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</si>
  <si>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</si>
  <si>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</si>
  <si>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</si>
  <si>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</si>
  <si>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</si>
  <si>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</si>
  <si>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</si>
  <si>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</si>
  <si>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</si>
  <si>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</si>
  <si>
    <t>Method 1 redistribute not within sector</t>
  </si>
  <si>
    <t>To redist</t>
  </si>
  <si>
    <t>R1S1</t>
  </si>
  <si>
    <t>R1S2</t>
  </si>
  <si>
    <t>R2S1</t>
  </si>
  <si>
    <t>R2S2 not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</si>
</sst>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Fill="1"/>
    <xf numFmtId="0" fontId="0" fillId="0" borderId="0" xfId="0" applyNumberForma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2" borderId="0" xfId="1" applyNumberFormat="1" applyBorder="1"/>
    <xf numFmtId="0" fontId="0" fillId="0" borderId="7" xfId="0" applyBorder="1"/>
    <xf numFmtId="0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1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output/ES2PR_df_20251119_164326.xlsx" TargetMode="External"/><Relationship Id="rId1" Type="http://schemas.openxmlformats.org/officeDocument/2006/relationships/externalLinkPath" Target="ES2PR_df_20251119_164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Capping Iterations"/>
      <sheetName val="Company Iterations"/>
      <sheetName val="Sector Summary"/>
      <sheetName val="Index Market Cap"/>
    </sheetNames>
    <sheetDataSet>
      <sheetData sheetId="0"/>
      <sheetData sheetId="1"/>
      <sheetData sheetId="2"/>
      <sheetData sheetId="3"/>
      <sheetData sheetId="4"/>
      <sheetData sheetId="5">
        <row r="7">
          <cell r="B7" t="str">
            <v>ASML HOLDING</v>
          </cell>
          <cell r="K7">
            <v>0.1</v>
          </cell>
        </row>
        <row r="8">
          <cell r="B8" t="str">
            <v>INFINEON TECHNOLOGIE</v>
          </cell>
          <cell r="K8">
            <v>6.3735624896461979E-2</v>
          </cell>
        </row>
        <row r="9">
          <cell r="B9" t="str">
            <v>ASM INTERNATIONAL</v>
          </cell>
          <cell r="K9">
            <v>3.2201682584090938E-2</v>
          </cell>
        </row>
        <row r="10">
          <cell r="B10" t="str">
            <v>STMICROELECTRONICS</v>
          </cell>
          <cell r="K10">
            <v>2.2045540309844135E-2</v>
          </cell>
        </row>
        <row r="11">
          <cell r="B11" t="str">
            <v>BE SEMICONDUCTOR</v>
          </cell>
          <cell r="K11">
            <v>1.2625289246845355E-2</v>
          </cell>
        </row>
        <row r="12">
          <cell r="B12" t="str">
            <v>BANCO SANTANDER CENT</v>
          </cell>
          <cell r="K12">
            <v>9.0885075196946372E-2</v>
          </cell>
        </row>
        <row r="13">
          <cell r="B13" t="str">
            <v>UNICREDIT</v>
          </cell>
          <cell r="K13">
            <v>0.11185312522168707</v>
          </cell>
        </row>
        <row r="14">
          <cell r="B14" t="str">
            <v>BBVA</v>
          </cell>
          <cell r="K14">
            <v>0.10344601225046268</v>
          </cell>
        </row>
        <row r="15">
          <cell r="B15" t="str">
            <v>DEUTSCHE BANK</v>
          </cell>
          <cell r="K15">
            <v>6.6944029667420996E-2</v>
          </cell>
        </row>
        <row r="16">
          <cell r="B16" t="str">
            <v>SOCIETE GENERALE</v>
          </cell>
          <cell r="K16">
            <v>4.4700065999355408E-2</v>
          </cell>
        </row>
        <row r="17">
          <cell r="B17" t="str">
            <v>CAIXABANK</v>
          </cell>
          <cell r="K17">
            <v>3.4054558811281374E-2</v>
          </cell>
        </row>
        <row r="18">
          <cell r="B18" t="str">
            <v>BANCO BPM</v>
          </cell>
          <cell r="K18">
            <v>1.6020441875464773E-2</v>
          </cell>
        </row>
        <row r="19">
          <cell r="B19" t="str">
            <v>COMMERZBANK AG</v>
          </cell>
          <cell r="K19">
            <v>2.5292885333661436E-2</v>
          </cell>
        </row>
        <row r="20">
          <cell r="B20" t="str">
            <v>BANCA MONTE PASCHI SIENA</v>
          </cell>
          <cell r="K20">
            <v>6.8038056437198192E-3</v>
          </cell>
        </row>
        <row r="21">
          <cell r="B21" t="str">
            <v>SCHNEIDER ELECTRIC</v>
          </cell>
          <cell r="K21">
            <v>0.1</v>
          </cell>
        </row>
        <row r="22">
          <cell r="B22" t="str">
            <v>PRYSMIAN</v>
          </cell>
          <cell r="K22">
            <v>3.7052190479942654E-2</v>
          </cell>
        </row>
        <row r="23">
          <cell r="B23" t="str">
            <v>DAIMLER TRUCK HLDNG</v>
          </cell>
          <cell r="K23">
            <v>3.0163727224849304E-2</v>
          </cell>
        </row>
        <row r="24">
          <cell r="B24" t="str">
            <v>ALSTOM</v>
          </cell>
          <cell r="K24">
            <v>1.1625968983008578E-2</v>
          </cell>
        </row>
        <row r="25">
          <cell r="B25" t="str">
            <v>IVECO GROUP</v>
          </cell>
          <cell r="K25">
            <v>5.0877242503976593E-3</v>
          </cell>
        </row>
        <row r="26">
          <cell r="B26" t="str">
            <v>SIEMENS ENERGY AG</v>
          </cell>
          <cell r="K26">
            <v>8.5462252024559246E-2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O19" sqref="O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0.75693533858523665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0.75693533858523665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0.47785391589138387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0.70973164437374336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0.75693533858523665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0.75693533858523665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0.75693533858523665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0.75693533858523665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0.65638674138889574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>
      <selection activeCell="H17" sqref="H17"/>
    </sheetView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0.2262546816616017</v>
      </c>
      <c r="R2">
        <v>0.26027174882911641</v>
      </c>
      <c r="S2" t="b">
        <v>1</v>
      </c>
      <c r="T2">
        <v>65671149893.259857</v>
      </c>
      <c r="U2">
        <v>0.1</v>
      </c>
      <c r="V2" t="s">
        <v>94</v>
      </c>
      <c r="W2">
        <v>0.38421380902794727</v>
      </c>
      <c r="X2">
        <v>0.1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0.50139086646538233</v>
      </c>
      <c r="R3">
        <v>0.11744869245819391</v>
      </c>
      <c r="S3" t="b">
        <v>1</v>
      </c>
      <c r="T3">
        <v>65671149893.25985</v>
      </c>
      <c r="U3">
        <v>0.1</v>
      </c>
      <c r="V3" t="s">
        <v>95</v>
      </c>
      <c r="W3">
        <v>0.85143561760464181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0.47785391589138387</v>
      </c>
      <c r="R4">
        <v>0.1120010324722643</v>
      </c>
      <c r="S4" t="b">
        <v>1</v>
      </c>
      <c r="T4">
        <v>59685273963.188591</v>
      </c>
      <c r="U4">
        <v>9.0885075196946385E-2</v>
      </c>
      <c r="V4" t="s">
        <v>96</v>
      </c>
      <c r="W4">
        <v>0.81146640518204993</v>
      </c>
      <c r="X4">
        <v>9.0885075196946399E-2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0.65638674138889574</v>
      </c>
      <c r="R5">
        <v>8.9714946941547566E-2</v>
      </c>
      <c r="S5" t="b">
        <v>1</v>
      </c>
      <c r="T5">
        <v>65671149893.259857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3.5785998377671213E-2</v>
      </c>
      <c r="V6" t="s">
        <v>95</v>
      </c>
      <c r="W6">
        <v>1.6981474425470571</v>
      </c>
      <c r="X6">
        <v>3.5785998377671213E-2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0.70973164437374336</v>
      </c>
      <c r="R7">
        <v>8.2971785383476479E-2</v>
      </c>
      <c r="S7" t="b">
        <v>1</v>
      </c>
      <c r="T7">
        <v>65671149893.25985</v>
      </c>
      <c r="U7">
        <v>0.1</v>
      </c>
      <c r="V7" t="s">
        <v>96</v>
      </c>
      <c r="W7">
        <v>1.2052289767879889</v>
      </c>
      <c r="X7">
        <v>0.1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9.5183398328792634E-2</v>
      </c>
      <c r="V8" t="s">
        <v>97</v>
      </c>
      <c r="W8">
        <v>1.6981474425470571</v>
      </c>
      <c r="X8">
        <v>9.5183398328792648E-2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0.75693533858523665</v>
      </c>
      <c r="R9">
        <v>5.3694342985613687E-2</v>
      </c>
      <c r="S9" t="b">
        <v>0</v>
      </c>
      <c r="T9">
        <v>45324949634.690788</v>
      </c>
      <c r="U9">
        <v>6.9018053907021204E-2</v>
      </c>
      <c r="V9" t="s">
        <v>96</v>
      </c>
      <c r="W9">
        <v>1.2853878093920099</v>
      </c>
      <c r="X9">
        <v>6.9018053907021232E-2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6.4927025009160352E-2</v>
      </c>
      <c r="V10" t="s">
        <v>94</v>
      </c>
      <c r="W10">
        <v>1.6981474425470571</v>
      </c>
      <c r="X10">
        <v>6.4927025009160352E-2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0.75693533858523665</v>
      </c>
      <c r="R11">
        <v>3.5852945918745771E-2</v>
      </c>
      <c r="S11" t="b">
        <v>0</v>
      </c>
      <c r="T11">
        <v>30264509772.618679</v>
      </c>
      <c r="U11">
        <v>4.6084939614746828E-2</v>
      </c>
      <c r="V11" t="s">
        <v>96</v>
      </c>
      <c r="W11">
        <v>1.2853878093920099</v>
      </c>
      <c r="X11">
        <v>4.6084939614746842E-2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0.75693533858523665</v>
      </c>
      <c r="R12">
        <v>2.7314417284422469E-2</v>
      </c>
      <c r="S12" t="b">
        <v>0</v>
      </c>
      <c r="T12">
        <v>23056890519.157291</v>
      </c>
      <c r="U12">
        <v>3.5109618998043053E-2</v>
      </c>
      <c r="V12" t="s">
        <v>96</v>
      </c>
      <c r="W12">
        <v>1.2853878093920099</v>
      </c>
      <c r="X12">
        <v>3.5109618998043053E-2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3.2803623622906918E-2</v>
      </c>
      <c r="V13" t="s">
        <v>94</v>
      </c>
      <c r="W13">
        <v>1.6981474425470571</v>
      </c>
      <c r="X13">
        <v>3.2803623622906918E-2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2.9132935989771069E-2</v>
      </c>
      <c r="V14" t="s">
        <v>95</v>
      </c>
      <c r="W14">
        <v>1.6981474425470571</v>
      </c>
      <c r="X14">
        <v>2.9132935989771069E-2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2.2457634162415779E-2</v>
      </c>
      <c r="V15" t="s">
        <v>94</v>
      </c>
      <c r="W15">
        <v>1.6981474425470571</v>
      </c>
      <c r="X15">
        <v>2.245763416241579E-2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0.75693533858523665</v>
      </c>
      <c r="R16">
        <v>1.284964626593015E-2</v>
      </c>
      <c r="S16" t="b">
        <v>0</v>
      </c>
      <c r="T16">
        <v>10846758474.778641</v>
      </c>
      <c r="U16">
        <v>1.6516778665226169E-2</v>
      </c>
      <c r="V16" t="s">
        <v>96</v>
      </c>
      <c r="W16">
        <v>1.2853878093920099</v>
      </c>
      <c r="X16">
        <v>1.6516778665226179E-2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0.75693533858523665</v>
      </c>
      <c r="R17">
        <v>2.0286870493879769E-2</v>
      </c>
      <c r="S17" t="b">
        <v>0</v>
      </c>
      <c r="T17">
        <v>17124734790.53384</v>
      </c>
      <c r="U17">
        <v>2.607649602354753E-2</v>
      </c>
      <c r="V17" t="s">
        <v>96</v>
      </c>
      <c r="W17">
        <v>1.2853878093920099</v>
      </c>
      <c r="X17">
        <v>2.607649602354753E-2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1.2861291813007939E-2</v>
      </c>
      <c r="V18" t="s">
        <v>94</v>
      </c>
      <c r="W18">
        <v>1.6981474425470571</v>
      </c>
      <c r="X18">
        <v>1.2861291813007939E-2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1.1228672361220261E-2</v>
      </c>
      <c r="V19" t="s">
        <v>95</v>
      </c>
      <c r="W19">
        <v>1.6981474425470571</v>
      </c>
      <c r="X19">
        <v>1.1228672361220269E-2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0.75693533858523665</v>
      </c>
      <c r="R20">
        <v>5.4571837945264238E-3</v>
      </c>
      <c r="S20" t="b">
        <v>0</v>
      </c>
      <c r="T20">
        <v>4606566853.801199</v>
      </c>
      <c r="U20">
        <v>7.0145975230958956E-3</v>
      </c>
      <c r="V20" t="s">
        <v>96</v>
      </c>
      <c r="W20">
        <v>1.2853878093920099</v>
      </c>
      <c r="X20">
        <v>7.0145975230958973E-3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4.9138604064266614E-3</v>
      </c>
      <c r="V21" t="s">
        <v>95</v>
      </c>
      <c r="W21">
        <v>1.6981474425470571</v>
      </c>
      <c r="X21">
        <v>4.9138604064266622E-3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activeCell="O4" sqref="O4"/>
    </sheetView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0.99999999999999978</v>
      </c>
    </row>
    <row r="4" spans="1:9" x14ac:dyDescent="0.25">
      <c r="A4">
        <v>3</v>
      </c>
      <c r="B4">
        <v>0.1</v>
      </c>
      <c r="C4">
        <v>0.49070555992862708</v>
      </c>
      <c r="D4">
        <v>0</v>
      </c>
      <c r="E4">
        <v>5</v>
      </c>
      <c r="F4">
        <v>0</v>
      </c>
      <c r="G4">
        <v>0.99999999999999989</v>
      </c>
    </row>
    <row r="5" spans="1:9" x14ac:dyDescent="0.25">
      <c r="A5" t="s">
        <v>107</v>
      </c>
      <c r="B5">
        <v>0.1</v>
      </c>
      <c r="C5">
        <v>0.49070555992862719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abSelected="1" workbookViewId="0">
      <selection activeCell="P15" sqref="P15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5.85546875" customWidth="1"/>
    <col min="6" max="6" width="14.85546875" bestFit="1" customWidth="1"/>
    <col min="7" max="7" width="9.5703125" hidden="1" customWidth="1"/>
    <col min="8" max="8" width="20" hidden="1" customWidth="1"/>
    <col min="9" max="9" width="13.7109375" bestFit="1" customWidth="1"/>
  </cols>
  <sheetData>
    <row r="1" spans="1:16" x14ac:dyDescent="0.25">
      <c r="I1" s="5"/>
      <c r="J1" s="6" t="s">
        <v>114</v>
      </c>
      <c r="K1" s="6">
        <f>K4-0.5</f>
        <v>5.0145333451624197E-2</v>
      </c>
      <c r="L1" s="7"/>
      <c r="M1" s="5"/>
      <c r="N1" s="6" t="s">
        <v>114</v>
      </c>
      <c r="O1" s="6">
        <v>0</v>
      </c>
      <c r="P1" s="7"/>
    </row>
    <row r="2" spans="1:16" x14ac:dyDescent="0.25">
      <c r="A2" t="s">
        <v>113</v>
      </c>
      <c r="I2" s="8">
        <f ca="1">SUMIF($D$8:$D$27,J2,$J$11:$J$27)</f>
        <v>0.18155670976142266</v>
      </c>
      <c r="J2" s="9">
        <v>1010</v>
      </c>
      <c r="K2" s="9">
        <f>SUMIF($D$8:$D$27,J2,$J$8:$J$27)</f>
        <v>0.20748029318046168</v>
      </c>
      <c r="L2" s="10">
        <f>K2/($K$2+$K$3+$K$5)*$K$1</f>
        <v>2.3127843856780746E-2</v>
      </c>
      <c r="M2" s="8"/>
      <c r="N2" s="9">
        <v>1010</v>
      </c>
      <c r="O2" s="9">
        <f>SUMIF($D$8:$D$27,N2,$M$8:$M$27)</f>
        <v>0.23402559709515189</v>
      </c>
      <c r="P2" s="10"/>
    </row>
    <row r="3" spans="1:16" x14ac:dyDescent="0.25">
      <c r="I3" s="8">
        <f ca="1">SUMIF($D$8:$D$27,J3,$J$11:$J$27)</f>
        <v>0.23039611190889148</v>
      </c>
      <c r="J3" s="11">
        <v>5020</v>
      </c>
      <c r="K3" s="9">
        <f>SUMIF($D$8:$D$27,J3,$J$8:$J$27)</f>
        <v>0.16548318759395128</v>
      </c>
      <c r="L3" s="10">
        <f>K3/($K$2+$K$3+$K$5)*$K$1</f>
        <v>1.8446423344246912E-2</v>
      </c>
      <c r="M3" s="8"/>
      <c r="N3" s="9">
        <v>5020</v>
      </c>
      <c r="O3" s="9">
        <f t="shared" ref="O3:O5" si="0">SUMIF($D$8:$D$27,N3,$M$8:$M$27)</f>
        <v>0.18612569228170123</v>
      </c>
      <c r="P3" s="10"/>
    </row>
    <row r="4" spans="1:16" x14ac:dyDescent="0.25">
      <c r="I4" s="8">
        <f ca="1">SUMIF($D$8:$D$27,J4,$J$11:$J$27)</f>
        <v>0.43886411290063576</v>
      </c>
      <c r="J4" s="11">
        <v>3010</v>
      </c>
      <c r="K4" s="9">
        <f t="shared" ref="K3:K5" si="1">SUMIF($D$8:$D$27,J4,$J$8:$J$27)</f>
        <v>0.5501453334516242</v>
      </c>
      <c r="L4" s="10">
        <f>-K1</f>
        <v>-5.0145333451624197E-2</v>
      </c>
      <c r="M4" s="8"/>
      <c r="N4" s="9">
        <v>3010</v>
      </c>
      <c r="O4" s="9">
        <f t="shared" si="0"/>
        <v>0.49215027454927635</v>
      </c>
      <c r="P4" s="10"/>
    </row>
    <row r="5" spans="1:16" ht="15.75" thickBot="1" x14ac:dyDescent="0.3">
      <c r="I5" s="12">
        <f ca="1">SUMIF($D$8:$D$27,J5,$J$11:$J$27)</f>
        <v>4.9183065429049988E-2</v>
      </c>
      <c r="J5" s="13">
        <v>6010</v>
      </c>
      <c r="K5" s="14">
        <f t="shared" si="1"/>
        <v>7.6891185773962714E-2</v>
      </c>
      <c r="L5" s="15">
        <f>K5/($K$2+$K$3+$K$5)*$K$1</f>
        <v>8.5710662505965405E-3</v>
      </c>
      <c r="M5" s="12"/>
      <c r="N5" s="14">
        <v>6010</v>
      </c>
      <c r="O5" s="14">
        <f t="shared" si="0"/>
        <v>8.7698436073870373E-2</v>
      </c>
      <c r="P5" s="15"/>
    </row>
    <row r="6" spans="1:16" x14ac:dyDescent="0.25">
      <c r="J6" s="16" t="s">
        <v>115</v>
      </c>
      <c r="K6" s="16" t="s">
        <v>116</v>
      </c>
      <c r="L6" s="16"/>
      <c r="M6" s="16" t="s">
        <v>117</v>
      </c>
      <c r="N6" s="16" t="s">
        <v>118</v>
      </c>
      <c r="O6" s="16"/>
      <c r="P6">
        <f>SUMIF($D$8:$D$27,D10,M8:M27)</f>
        <v>0.49215027454927635</v>
      </c>
    </row>
    <row r="7" spans="1:16" x14ac:dyDescent="0.25">
      <c r="A7" s="1" t="s">
        <v>98</v>
      </c>
      <c r="B7" s="1" t="s">
        <v>0</v>
      </c>
      <c r="C7" s="1" t="s">
        <v>55</v>
      </c>
      <c r="D7" s="1" t="s">
        <v>70</v>
      </c>
      <c r="E7" s="1" t="s">
        <v>5</v>
      </c>
      <c r="F7" s="1" t="s">
        <v>69</v>
      </c>
      <c r="G7" s="1" t="s">
        <v>67</v>
      </c>
      <c r="H7" s="1" t="s">
        <v>108</v>
      </c>
      <c r="I7" s="1" t="s">
        <v>109</v>
      </c>
      <c r="J7">
        <f>SUMIF($F$8:$F$27,"&gt;0.1",$F$8:$F$27)-0.3</f>
        <v>0.1897214737595746</v>
      </c>
      <c r="L7">
        <f>SUMIF($L$8:$L$27,"&gt;0.1",$L$8:$L$27)-0.2</f>
        <v>1.5299137472149726E-2</v>
      </c>
      <c r="M7">
        <f>(L10+L12+SUM($L$14:$L$27))</f>
        <v>0.58470086252784992</v>
      </c>
    </row>
    <row r="8" spans="1:16" x14ac:dyDescent="0.25">
      <c r="A8">
        <v>1</v>
      </c>
      <c r="B8" t="s">
        <v>10</v>
      </c>
      <c r="C8" t="s">
        <v>30</v>
      </c>
      <c r="D8" s="2">
        <v>1010</v>
      </c>
      <c r="E8">
        <v>1</v>
      </c>
      <c r="F8">
        <v>0.26027174882911641</v>
      </c>
      <c r="G8" t="b">
        <v>0</v>
      </c>
      <c r="H8" t="b">
        <v>1</v>
      </c>
      <c r="I8">
        <v>0.33862158540628051</v>
      </c>
      <c r="J8">
        <v>0.1</v>
      </c>
      <c r="L8">
        <v>0.1</v>
      </c>
      <c r="M8">
        <v>0.1</v>
      </c>
    </row>
    <row r="9" spans="1:16" x14ac:dyDescent="0.25">
      <c r="A9">
        <v>1</v>
      </c>
      <c r="B9" t="s">
        <v>23</v>
      </c>
      <c r="C9" t="s">
        <v>43</v>
      </c>
      <c r="D9" s="2">
        <v>5020</v>
      </c>
      <c r="E9">
        <v>1</v>
      </c>
      <c r="F9">
        <v>0.11744869245819391</v>
      </c>
      <c r="G9" t="b">
        <v>0</v>
      </c>
      <c r="H9" t="b">
        <v>1</v>
      </c>
      <c r="I9">
        <v>0.16518392739957499</v>
      </c>
      <c r="J9">
        <v>0.1</v>
      </c>
      <c r="L9">
        <v>0.1</v>
      </c>
      <c r="M9">
        <v>0.1</v>
      </c>
    </row>
    <row r="10" spans="1:16" x14ac:dyDescent="0.25">
      <c r="A10">
        <v>1</v>
      </c>
      <c r="B10" t="s">
        <v>13</v>
      </c>
      <c r="C10" t="s">
        <v>33</v>
      </c>
      <c r="D10" s="2">
        <v>3010</v>
      </c>
      <c r="E10">
        <v>1</v>
      </c>
      <c r="F10">
        <v>0.1120010324722643</v>
      </c>
      <c r="G10" t="b">
        <v>0</v>
      </c>
      <c r="H10" t="b">
        <v>1</v>
      </c>
      <c r="I10">
        <v>0.44014317154040672</v>
      </c>
      <c r="J10">
        <v>0.1</v>
      </c>
      <c r="K10">
        <f>J10+J10/SUMIF($D$8:$D$27,D10,$J$8:$J$27)*$L$4</f>
        <v>9.0885075196946372E-2</v>
      </c>
      <c r="L10">
        <f>K10</f>
        <v>9.0885075196946372E-2</v>
      </c>
      <c r="M10">
        <f>L10/$M$7*$L$7+L10</f>
        <v>9.3263151489827709E-2</v>
      </c>
    </row>
    <row r="11" spans="1:16" x14ac:dyDescent="0.25">
      <c r="A11">
        <v>1</v>
      </c>
      <c r="B11" t="s">
        <v>27</v>
      </c>
      <c r="C11" t="s">
        <v>47</v>
      </c>
      <c r="D11" s="2">
        <v>3010</v>
      </c>
      <c r="E11">
        <v>1</v>
      </c>
      <c r="F11">
        <v>8.9714946941547566E-2</v>
      </c>
      <c r="G11" t="b">
        <v>0</v>
      </c>
      <c r="H11" t="b">
        <v>0</v>
      </c>
      <c r="I11">
        <v>0.44014317154040672</v>
      </c>
      <c r="J11">
        <f>F11/SUM($F$11:$F$27)*$J$7+F11</f>
        <v>0.12307094974538263</v>
      </c>
      <c r="K11">
        <f>J11+J11/SUMIF($D$8:$D$27,D11,$J$8:$J$27)*$L$4</f>
        <v>0.11185312522168708</v>
      </c>
      <c r="L11">
        <f>_xlfn.XLOOKUP(B11,'[1]Company Iterations'!$B$7:$B$26,'[1]Company Iterations'!$K$7:$K$26)</f>
        <v>0.11185312522168707</v>
      </c>
      <c r="M11">
        <v>0.1</v>
      </c>
    </row>
    <row r="12" spans="1:16" s="3" customFormat="1" x14ac:dyDescent="0.25">
      <c r="A12" s="3">
        <v>1</v>
      </c>
      <c r="B12" s="3" t="s">
        <v>22</v>
      </c>
      <c r="C12" s="3" t="s">
        <v>42</v>
      </c>
      <c r="D12" s="4">
        <v>5020</v>
      </c>
      <c r="E12" s="3">
        <v>1</v>
      </c>
      <c r="F12" s="3">
        <v>2.1073551966721851E-2</v>
      </c>
      <c r="G12" s="3" t="b">
        <v>0</v>
      </c>
      <c r="H12" s="3" t="b">
        <v>0</v>
      </c>
      <c r="I12" s="3">
        <v>0.16518392739957499</v>
      </c>
      <c r="J12" s="3">
        <f t="shared" ref="J12:J27" si="2">F12/SUM($F$11:$F$27)*$J$7+F12</f>
        <v>2.8908695189252216E-2</v>
      </c>
      <c r="K12" s="3">
        <f>J12/($J$12+$J$20+$J$25+$J$27)*$L$3+J12</f>
        <v>3.7052190479942654E-2</v>
      </c>
      <c r="L12" s="3">
        <f>_xlfn.XLOOKUP(B12,'[1]Company Iterations'!$B$7:$B$26,'[1]Company Iterations'!$K$7:$K$26)</f>
        <v>3.7052190479942654E-2</v>
      </c>
      <c r="M12">
        <f>L12/$M$7*$L$7+L12</f>
        <v>3.8021688888660872E-2</v>
      </c>
    </row>
    <row r="13" spans="1:16" s="3" customFormat="1" x14ac:dyDescent="0.25">
      <c r="A13" s="3">
        <v>1</v>
      </c>
      <c r="B13" s="3" t="s">
        <v>14</v>
      </c>
      <c r="C13" s="3" t="s">
        <v>34</v>
      </c>
      <c r="D13" s="4">
        <v>3010</v>
      </c>
      <c r="E13" s="3">
        <v>1</v>
      </c>
      <c r="F13" s="3">
        <v>8.2971785383476479E-2</v>
      </c>
      <c r="G13" s="3" t="b">
        <v>0</v>
      </c>
      <c r="H13" s="3" t="b">
        <v>0</v>
      </c>
      <c r="I13" s="3">
        <v>0.44014317154040672</v>
      </c>
      <c r="J13" s="3">
        <f t="shared" si="2"/>
        <v>0.11382068180754319</v>
      </c>
      <c r="K13" s="3">
        <f>J13+J13/SUMIF($D$8:$D$27,D13,$J$8:$J$27)*$L$4</f>
        <v>0.10344601225046268</v>
      </c>
      <c r="L13" s="3">
        <f>_xlfn.XLOOKUP(B13,'[1]Company Iterations'!$B$7:$B$26,'[1]Company Iterations'!$K$7:$K$26)</f>
        <v>0.10344601225046268</v>
      </c>
      <c r="M13">
        <v>0.1</v>
      </c>
    </row>
    <row r="14" spans="1:16" s="3" customFormat="1" x14ac:dyDescent="0.25">
      <c r="A14" s="3">
        <v>1</v>
      </c>
      <c r="B14" s="3" t="s">
        <v>24</v>
      </c>
      <c r="C14" s="3" t="s">
        <v>44</v>
      </c>
      <c r="D14" s="4">
        <v>6010</v>
      </c>
      <c r="E14" s="3">
        <v>1</v>
      </c>
      <c r="F14" s="3">
        <v>5.605131565373779E-2</v>
      </c>
      <c r="G14" s="3" t="b">
        <v>0</v>
      </c>
      <c r="H14" s="3" t="b">
        <v>0</v>
      </c>
      <c r="I14" s="3">
        <v>5.605131565373779E-2</v>
      </c>
      <c r="J14" s="3">
        <f t="shared" si="2"/>
        <v>7.6891185773962714E-2</v>
      </c>
      <c r="K14" s="3">
        <f>J14+J14/SUMIF($D$8:$D$27,D14,$J$8:$J$27)*$L$5</f>
        <v>8.546225202455926E-2</v>
      </c>
      <c r="L14" s="3">
        <f>_xlfn.XLOOKUP(B14,'[1]Company Iterations'!$B$7:$B$26,'[1]Company Iterations'!$K$7:$K$26)</f>
        <v>8.5462252024559246E-2</v>
      </c>
      <c r="M14">
        <f t="shared" ref="M14:M27" si="3">L14/$M$7*$L$7+L14</f>
        <v>8.7698436073870373E-2</v>
      </c>
    </row>
    <row r="15" spans="1:16" s="3" customFormat="1" x14ac:dyDescent="0.25">
      <c r="A15" s="3">
        <v>1</v>
      </c>
      <c r="B15" s="3" t="s">
        <v>19</v>
      </c>
      <c r="C15" s="3" t="s">
        <v>39</v>
      </c>
      <c r="D15" s="4">
        <v>3010</v>
      </c>
      <c r="E15" s="3">
        <v>1</v>
      </c>
      <c r="F15" s="3">
        <v>5.3694342985613687E-2</v>
      </c>
      <c r="G15" s="3" t="b">
        <v>0</v>
      </c>
      <c r="H15" s="3" t="b">
        <v>0</v>
      </c>
      <c r="I15" s="3">
        <v>0.44014317154040672</v>
      </c>
      <c r="J15" s="3">
        <f t="shared" si="2"/>
        <v>7.3657891047957516E-2</v>
      </c>
      <c r="K15" s="3">
        <f>J15+J15/SUMIF($D$8:$D$27,D15,$J$8:$J$27)*$L$4</f>
        <v>6.6944029667421009E-2</v>
      </c>
      <c r="L15" s="3">
        <f>_xlfn.XLOOKUP(B15,'[1]Company Iterations'!$B$7:$B$26,'[1]Company Iterations'!$K$7:$K$26)</f>
        <v>6.6944029667420996E-2</v>
      </c>
      <c r="M15">
        <f t="shared" si="3"/>
        <v>6.8695670512268839E-2</v>
      </c>
    </row>
    <row r="16" spans="1:16" s="3" customFormat="1" x14ac:dyDescent="0.25">
      <c r="A16" s="3">
        <v>1</v>
      </c>
      <c r="B16" s="3" t="s">
        <v>20</v>
      </c>
      <c r="C16" s="3" t="s">
        <v>40</v>
      </c>
      <c r="D16" s="4">
        <v>1010</v>
      </c>
      <c r="E16" s="3">
        <v>1</v>
      </c>
      <c r="F16" s="3">
        <v>3.8234032795041693E-2</v>
      </c>
      <c r="G16" s="3" t="b">
        <v>0</v>
      </c>
      <c r="H16" s="3" t="b">
        <v>0</v>
      </c>
      <c r="I16" s="3">
        <v>0.33862158540628051</v>
      </c>
      <c r="J16" s="3">
        <f t="shared" si="2"/>
        <v>5.2449440021936196E-2</v>
      </c>
      <c r="K16" s="3">
        <f>J16/($J$16+$J$19+$J$21+$J$24)*$L$2+J16</f>
        <v>6.3735624896462006E-2</v>
      </c>
      <c r="L16" s="3">
        <f>_xlfn.XLOOKUP(B16,'[1]Company Iterations'!$B$7:$B$26,'[1]Company Iterations'!$K$7:$K$26)</f>
        <v>6.3735624896461979E-2</v>
      </c>
      <c r="M16" s="3">
        <f t="shared" si="3"/>
        <v>6.540331541935375E-2</v>
      </c>
    </row>
    <row r="17" spans="1:13" s="3" customFormat="1" x14ac:dyDescent="0.25">
      <c r="A17" s="3">
        <v>1</v>
      </c>
      <c r="B17" s="3" t="s">
        <v>25</v>
      </c>
      <c r="C17" s="3" t="s">
        <v>45</v>
      </c>
      <c r="D17" s="4">
        <v>3010</v>
      </c>
      <c r="E17" s="3">
        <v>1</v>
      </c>
      <c r="F17" s="3">
        <v>3.5852945918745771E-2</v>
      </c>
      <c r="G17" s="3" t="b">
        <v>0</v>
      </c>
      <c r="H17" s="3" t="b">
        <v>0</v>
      </c>
      <c r="I17" s="3">
        <v>0.44014317154040672</v>
      </c>
      <c r="J17" s="3">
        <f t="shared" si="2"/>
        <v>4.9183065429049988E-2</v>
      </c>
      <c r="K17" s="3">
        <f>J17+J17/SUMIF($D$8:$D$27,D17,$J$8:$J$27)*$L$4</f>
        <v>4.4700065999355415E-2</v>
      </c>
      <c r="L17" s="3">
        <f>_xlfn.XLOOKUP(B17,'[1]Company Iterations'!$B$7:$B$26,'[1]Company Iterations'!$K$7:$K$26)</f>
        <v>4.4700065999355408E-2</v>
      </c>
      <c r="M17" s="3">
        <f t="shared" si="3"/>
        <v>4.5869676818435963E-2</v>
      </c>
    </row>
    <row r="18" spans="1:13" s="3" customFormat="1" x14ac:dyDescent="0.25">
      <c r="A18" s="3">
        <v>1</v>
      </c>
      <c r="B18" s="3" t="s">
        <v>16</v>
      </c>
      <c r="C18" s="3" t="s">
        <v>36</v>
      </c>
      <c r="D18" s="4">
        <v>3010</v>
      </c>
      <c r="E18" s="3">
        <v>1</v>
      </c>
      <c r="F18" s="3">
        <v>2.7314417284422469E-2</v>
      </c>
      <c r="G18" s="3" t="b">
        <v>0</v>
      </c>
      <c r="H18" s="3" t="b">
        <v>0</v>
      </c>
      <c r="I18" s="3">
        <v>0.44014317154040672</v>
      </c>
      <c r="J18" s="3">
        <f t="shared" si="2"/>
        <v>3.7469913225560682E-2</v>
      </c>
      <c r="K18" s="3">
        <f>J18+J18/SUMIF($D$8:$D$27,D18,$J$8:$J$27)*$L$4</f>
        <v>3.4054558811281381E-2</v>
      </c>
      <c r="L18" s="3">
        <f>_xlfn.XLOOKUP(B18,'[1]Company Iterations'!$B$7:$B$26,'[1]Company Iterations'!$K$7:$K$26)</f>
        <v>3.4054558811281374E-2</v>
      </c>
      <c r="M18" s="3">
        <f t="shared" si="3"/>
        <v>3.4945621934661643E-2</v>
      </c>
    </row>
    <row r="19" spans="1:13" s="3" customFormat="1" x14ac:dyDescent="0.25">
      <c r="A19" s="3">
        <v>1</v>
      </c>
      <c r="B19" s="3" t="s">
        <v>9</v>
      </c>
      <c r="C19" s="3" t="s">
        <v>29</v>
      </c>
      <c r="D19" s="4">
        <v>1010</v>
      </c>
      <c r="E19" s="3">
        <v>1</v>
      </c>
      <c r="F19" s="3">
        <v>1.9317300018250869E-2</v>
      </c>
      <c r="G19" s="3" t="b">
        <v>0</v>
      </c>
      <c r="H19" s="3" t="b">
        <v>0</v>
      </c>
      <c r="I19" s="3">
        <v>0.33862158540628051</v>
      </c>
      <c r="J19" s="3">
        <f t="shared" si="2"/>
        <v>2.6499469049584234E-2</v>
      </c>
      <c r="K19" s="3">
        <f>J19/($J$16+$J$19+$J$21+$J$24)*$L$2+J19</f>
        <v>3.2201682584090945E-2</v>
      </c>
      <c r="L19" s="3">
        <f>_xlfn.XLOOKUP(B19,'[1]Company Iterations'!$B$7:$B$26,'[1]Company Iterations'!$K$7:$K$26)</f>
        <v>3.2201682584090938E-2</v>
      </c>
      <c r="M19" s="3">
        <f t="shared" si="3"/>
        <v>3.3044263808545811E-2</v>
      </c>
    </row>
    <row r="20" spans="1:13" s="3" customFormat="1" x14ac:dyDescent="0.25">
      <c r="A20" s="3">
        <v>1</v>
      </c>
      <c r="B20" s="3" t="s">
        <v>18</v>
      </c>
      <c r="C20" s="3" t="s">
        <v>38</v>
      </c>
      <c r="D20" s="4">
        <v>5020</v>
      </c>
      <c r="E20" s="3">
        <v>1</v>
      </c>
      <c r="F20" s="3">
        <v>1.7155716435361162E-2</v>
      </c>
      <c r="G20" s="3" t="b">
        <v>0</v>
      </c>
      <c r="H20" s="3" t="b">
        <v>0</v>
      </c>
      <c r="I20" s="3">
        <v>0.16518392739957499</v>
      </c>
      <c r="J20" s="3">
        <f t="shared" si="2"/>
        <v>2.353420903919165E-2</v>
      </c>
      <c r="K20" s="3">
        <f>J20/($J$12+$J$20+$J$25+$J$27)*$L$3+J20</f>
        <v>3.0163727224849304E-2</v>
      </c>
      <c r="L20" s="3">
        <f>_xlfn.XLOOKUP(B20,'[1]Company Iterations'!$B$7:$B$26,'[1]Company Iterations'!$K$7:$K$26)</f>
        <v>3.0163727224849304E-2</v>
      </c>
      <c r="M20" s="3">
        <f t="shared" si="3"/>
        <v>3.0952983815801253E-2</v>
      </c>
    </row>
    <row r="21" spans="1:13" s="3" customFormat="1" x14ac:dyDescent="0.25">
      <c r="A21" s="3">
        <v>1</v>
      </c>
      <c r="B21" s="3" t="s">
        <v>26</v>
      </c>
      <c r="C21" s="3" t="s">
        <v>46</v>
      </c>
      <c r="D21" s="4">
        <v>1010</v>
      </c>
      <c r="E21" s="3">
        <v>1</v>
      </c>
      <c r="F21" s="3">
        <v>1.322478460923953E-2</v>
      </c>
      <c r="G21" s="3" t="b">
        <v>0</v>
      </c>
      <c r="H21" s="3" t="b">
        <v>0</v>
      </c>
      <c r="I21" s="3">
        <v>0.33862158540628051</v>
      </c>
      <c r="J21" s="3">
        <f t="shared" si="2"/>
        <v>1.8141757394090168E-2</v>
      </c>
      <c r="K21" s="3">
        <f>J21/($J$16+$J$19+$J$21+$J$24)*$L$2+J21</f>
        <v>2.2045540309844142E-2</v>
      </c>
      <c r="L21" s="3">
        <f>_xlfn.XLOOKUP(B21,'[1]Company Iterations'!$B$7:$B$26,'[1]Company Iterations'!$K$7:$K$26)</f>
        <v>2.2045540309844135E-2</v>
      </c>
      <c r="M21" s="3">
        <f t="shared" si="3"/>
        <v>2.2622378439327927E-2</v>
      </c>
    </row>
    <row r="22" spans="1:13" s="3" customFormat="1" x14ac:dyDescent="0.25">
      <c r="A22" s="3">
        <v>1</v>
      </c>
      <c r="B22" s="3" t="s">
        <v>12</v>
      </c>
      <c r="C22" s="3" t="s">
        <v>32</v>
      </c>
      <c r="D22" s="4">
        <v>3010</v>
      </c>
      <c r="E22" s="3">
        <v>1</v>
      </c>
      <c r="F22" s="3">
        <v>1.284964626593015E-2</v>
      </c>
      <c r="G22" s="3" t="b">
        <v>0</v>
      </c>
      <c r="H22" s="3" t="b">
        <v>0</v>
      </c>
      <c r="I22" s="3">
        <v>0.44014317154040672</v>
      </c>
      <c r="J22" s="3">
        <f t="shared" si="2"/>
        <v>1.7627142675239862E-2</v>
      </c>
      <c r="K22" s="3">
        <f>J22+J22/SUMIF($D$8:$D$27,D22,$J$8:$J$27)*$L$4</f>
        <v>1.6020441875464773E-2</v>
      </c>
      <c r="L22" s="3">
        <f>_xlfn.XLOOKUP(B22,'[1]Company Iterations'!$B$7:$B$26,'[1]Company Iterations'!$K$7:$K$26)</f>
        <v>1.6020441875464773E-2</v>
      </c>
      <c r="M22" s="3">
        <f t="shared" si="3"/>
        <v>1.643962877653702E-2</v>
      </c>
    </row>
    <row r="23" spans="1:13" s="3" customFormat="1" x14ac:dyDescent="0.25">
      <c r="A23" s="3">
        <v>1</v>
      </c>
      <c r="B23" s="3" t="s">
        <v>17</v>
      </c>
      <c r="C23" s="3" t="s">
        <v>37</v>
      </c>
      <c r="D23" s="4">
        <v>3010</v>
      </c>
      <c r="E23" s="3">
        <v>1</v>
      </c>
      <c r="F23" s="3">
        <v>2.0286870493879769E-2</v>
      </c>
      <c r="G23" s="3" t="b">
        <v>0</v>
      </c>
      <c r="H23" s="3" t="b">
        <v>0</v>
      </c>
      <c r="I23" s="3">
        <v>0.44014317154040672</v>
      </c>
      <c r="J23" s="3">
        <f t="shared" si="2"/>
        <v>2.7829525671681732E-2</v>
      </c>
      <c r="K23" s="3">
        <f>J23+J23/SUMIF($D$8:$D$27,D23,$J$8:$J$27)*$L$4</f>
        <v>2.5292885333661436E-2</v>
      </c>
      <c r="L23" s="3">
        <f>_xlfn.XLOOKUP(B23,'[1]Company Iterations'!$B$7:$B$26,'[1]Company Iterations'!$K$7:$K$26)</f>
        <v>2.5292885333661436E-2</v>
      </c>
      <c r="M23" s="3">
        <f t="shared" si="3"/>
        <v>2.5954692686081023E-2</v>
      </c>
    </row>
    <row r="24" spans="1:13" s="3" customFormat="1" x14ac:dyDescent="0.25">
      <c r="A24" s="3">
        <v>1</v>
      </c>
      <c r="B24" s="3" t="s">
        <v>15</v>
      </c>
      <c r="C24" s="3" t="s">
        <v>35</v>
      </c>
      <c r="D24" s="4">
        <v>1010</v>
      </c>
      <c r="E24" s="3">
        <v>1</v>
      </c>
      <c r="F24" s="3">
        <v>7.5737191546319717E-3</v>
      </c>
      <c r="G24" s="3" t="b">
        <v>0</v>
      </c>
      <c r="H24" s="3" t="b">
        <v>0</v>
      </c>
      <c r="I24" s="3">
        <v>0.33862158540628051</v>
      </c>
      <c r="J24" s="3">
        <f t="shared" si="2"/>
        <v>1.0389626714851118E-2</v>
      </c>
      <c r="K24" s="3">
        <f>J24/($J$16+$J$19+$J$21+$J$24)*$L$2+J24</f>
        <v>1.2625289246845361E-2</v>
      </c>
      <c r="L24" s="3">
        <f>_xlfn.XLOOKUP(B24,'[1]Company Iterations'!$B$7:$B$26,'[1]Company Iterations'!$K$7:$K$26)</f>
        <v>1.2625289246845355E-2</v>
      </c>
      <c r="M24" s="3">
        <f t="shared" si="3"/>
        <v>1.2955639427924385E-2</v>
      </c>
    </row>
    <row r="25" spans="1:13" s="3" customFormat="1" x14ac:dyDescent="0.25">
      <c r="A25" s="3">
        <v>1</v>
      </c>
      <c r="B25" s="3" t="s">
        <v>8</v>
      </c>
      <c r="C25" s="3" t="s">
        <v>28</v>
      </c>
      <c r="D25" s="4">
        <v>5020</v>
      </c>
      <c r="E25" s="3">
        <v>1</v>
      </c>
      <c r="F25" s="3">
        <v>6.6123070823451849E-3</v>
      </c>
      <c r="G25" s="3" t="b">
        <v>0</v>
      </c>
      <c r="H25" s="3" t="b">
        <v>0</v>
      </c>
      <c r="I25" s="3">
        <v>0.16518392739957499</v>
      </c>
      <c r="J25" s="3">
        <f t="shared" si="2"/>
        <v>9.0707617891425604E-3</v>
      </c>
      <c r="K25" s="3">
        <f>J25/($J$12+$J$20+$J$25+$J$27)*$L$3+J25</f>
        <v>1.1625968983008578E-2</v>
      </c>
      <c r="L25" s="3">
        <f>_xlfn.XLOOKUP(B25,'[1]Company Iterations'!$B$7:$B$26,'[1]Company Iterations'!$K$7:$K$26)</f>
        <v>1.1625968983008578E-2</v>
      </c>
      <c r="M25" s="3">
        <f t="shared" si="3"/>
        <v>1.1930171198392731E-2</v>
      </c>
    </row>
    <row r="26" spans="1:13" s="3" customFormat="1" x14ac:dyDescent="0.25">
      <c r="A26" s="3">
        <v>1</v>
      </c>
      <c r="B26" s="3" t="s">
        <v>11</v>
      </c>
      <c r="C26" s="3" t="s">
        <v>31</v>
      </c>
      <c r="D26" s="4">
        <v>3010</v>
      </c>
      <c r="E26" s="3">
        <v>1</v>
      </c>
      <c r="F26" s="3">
        <v>5.4571837945264238E-3</v>
      </c>
      <c r="G26" s="3" t="b">
        <v>0</v>
      </c>
      <c r="H26" s="3" t="b">
        <v>0</v>
      </c>
      <c r="I26" s="3">
        <v>0.44014317154040672</v>
      </c>
      <c r="J26" s="3">
        <f t="shared" si="2"/>
        <v>7.4861638492085651E-3</v>
      </c>
      <c r="K26" s="3">
        <f>J26+J26/SUMIF($D$8:$D$27,D26,$J$8:$J$27)*$L$4</f>
        <v>6.8038056437198192E-3</v>
      </c>
      <c r="L26" s="3">
        <f>_xlfn.XLOOKUP(B26,'[1]Company Iterations'!$B$7:$B$26,'[1]Company Iterations'!$K$7:$K$26)</f>
        <v>6.8038056437198192E-3</v>
      </c>
      <c r="M26" s="3">
        <f t="shared" si="3"/>
        <v>6.9818323314641013E-3</v>
      </c>
    </row>
    <row r="27" spans="1:13" s="3" customFormat="1" x14ac:dyDescent="0.25">
      <c r="A27" s="3">
        <v>1</v>
      </c>
      <c r="B27" s="3" t="s">
        <v>21</v>
      </c>
      <c r="C27" s="3" t="s">
        <v>41</v>
      </c>
      <c r="D27" s="4">
        <v>5020</v>
      </c>
      <c r="E27" s="3">
        <v>1</v>
      </c>
      <c r="F27" s="3">
        <v>2.8936594569528942E-3</v>
      </c>
      <c r="G27" s="3" t="b">
        <v>0</v>
      </c>
      <c r="H27" s="3" t="b">
        <v>0</v>
      </c>
      <c r="I27" s="3">
        <v>0.16518392739957499</v>
      </c>
      <c r="J27" s="3">
        <f t="shared" si="2"/>
        <v>3.9695215763648501E-3</v>
      </c>
      <c r="K27" s="3">
        <f>J27/($J$12+$J$20+$J$25+$J$27)*$L$3+J27</f>
        <v>5.0877242503976593E-3</v>
      </c>
      <c r="L27" s="3">
        <f>_xlfn.XLOOKUP(B27,'[1]Company Iterations'!$B$7:$B$26,'[1]Company Iterations'!$K$7:$K$26)</f>
        <v>5.0877242503976593E-3</v>
      </c>
      <c r="M27" s="3">
        <f t="shared" si="3"/>
        <v>5.2208483788463598E-3</v>
      </c>
    </row>
    <row r="29" spans="1:13" x14ac:dyDescent="0.25">
      <c r="A29">
        <v>2</v>
      </c>
      <c r="B29" t="s">
        <v>10</v>
      </c>
      <c r="C29" t="s">
        <v>30</v>
      </c>
      <c r="D29" t="s">
        <v>94</v>
      </c>
      <c r="E29">
        <v>0.38421380902794727</v>
      </c>
      <c r="F29">
        <v>0.1</v>
      </c>
      <c r="G29" t="b">
        <v>1</v>
      </c>
      <c r="H29" t="b">
        <v>0</v>
      </c>
      <c r="I29">
        <v>0.22905137374288559</v>
      </c>
      <c r="J29">
        <f>_xlfn.XLOOKUP(B29,$B$8:$B$27,$L$8:$L$27)</f>
        <v>0.1</v>
      </c>
    </row>
    <row r="30" spans="1:13" x14ac:dyDescent="0.25">
      <c r="A30">
        <v>2</v>
      </c>
      <c r="B30" t="s">
        <v>23</v>
      </c>
      <c r="C30" t="s">
        <v>43</v>
      </c>
      <c r="D30" t="s">
        <v>95</v>
      </c>
      <c r="E30">
        <v>0.85143561760464181</v>
      </c>
      <c r="F30">
        <v>0.1</v>
      </c>
      <c r="G30" t="b">
        <v>1</v>
      </c>
      <c r="H30" t="b">
        <v>0</v>
      </c>
      <c r="I30">
        <v>0.17862553279300791</v>
      </c>
      <c r="J30">
        <f t="shared" ref="J30:J48" si="4">_xlfn.XLOOKUP(B30,$B$8:$B$27,$L$8:$L$27)</f>
        <v>0.1</v>
      </c>
    </row>
    <row r="31" spans="1:13" x14ac:dyDescent="0.25">
      <c r="A31">
        <v>2</v>
      </c>
      <c r="B31" t="s">
        <v>13</v>
      </c>
      <c r="C31" t="s">
        <v>33</v>
      </c>
      <c r="D31" t="s">
        <v>96</v>
      </c>
      <c r="E31">
        <v>0.81146640518204993</v>
      </c>
      <c r="F31">
        <v>9.0885075196946385E-2</v>
      </c>
      <c r="G31" t="b">
        <v>1</v>
      </c>
      <c r="H31" t="b">
        <v>0</v>
      </c>
      <c r="I31">
        <v>0.5</v>
      </c>
      <c r="J31">
        <f t="shared" si="4"/>
        <v>9.0885075196946372E-2</v>
      </c>
    </row>
    <row r="32" spans="1:13" x14ac:dyDescent="0.25">
      <c r="A32">
        <v>2</v>
      </c>
      <c r="B32" t="s">
        <v>27</v>
      </c>
      <c r="C32" t="s">
        <v>47</v>
      </c>
      <c r="D32" t="s">
        <v>96</v>
      </c>
      <c r="E32">
        <v>1.24676131497423</v>
      </c>
      <c r="F32">
        <v>0.1118531252216871</v>
      </c>
      <c r="G32" t="b">
        <v>0</v>
      </c>
      <c r="H32" t="b">
        <v>1</v>
      </c>
      <c r="I32">
        <v>0.5</v>
      </c>
      <c r="J32">
        <f t="shared" si="4"/>
        <v>0.11185312522168707</v>
      </c>
    </row>
    <row r="33" spans="1:10" x14ac:dyDescent="0.25">
      <c r="A33">
        <v>2</v>
      </c>
      <c r="B33" t="s">
        <v>22</v>
      </c>
      <c r="C33" t="s">
        <v>42</v>
      </c>
      <c r="D33" t="s">
        <v>95</v>
      </c>
      <c r="E33">
        <v>1.6471173314546399</v>
      </c>
      <c r="F33">
        <v>3.4710612679697578E-2</v>
      </c>
      <c r="G33" t="b">
        <v>0</v>
      </c>
      <c r="H33" t="b">
        <v>0</v>
      </c>
      <c r="I33">
        <v>0.17862553279300791</v>
      </c>
      <c r="J33">
        <f t="shared" si="4"/>
        <v>3.7052190479942654E-2</v>
      </c>
    </row>
    <row r="34" spans="1:10" x14ac:dyDescent="0.25">
      <c r="A34">
        <v>2</v>
      </c>
      <c r="B34" t="s">
        <v>14</v>
      </c>
      <c r="C34" t="s">
        <v>34</v>
      </c>
      <c r="D34" t="s">
        <v>96</v>
      </c>
      <c r="E34">
        <v>1.24676131497423</v>
      </c>
      <c r="F34">
        <v>0.1034460122504627</v>
      </c>
      <c r="G34" t="b">
        <v>0</v>
      </c>
      <c r="H34" t="b">
        <v>1</v>
      </c>
      <c r="I34">
        <v>0.5</v>
      </c>
      <c r="J34">
        <f t="shared" si="4"/>
        <v>0.10344601225046268</v>
      </c>
    </row>
    <row r="35" spans="1:10" x14ac:dyDescent="0.25">
      <c r="A35">
        <v>2</v>
      </c>
      <c r="B35" t="s">
        <v>24</v>
      </c>
      <c r="C35" t="s">
        <v>44</v>
      </c>
      <c r="D35" t="s">
        <v>97</v>
      </c>
      <c r="E35">
        <v>1.6471173314546399</v>
      </c>
      <c r="F35">
        <v>9.2323093464106304E-2</v>
      </c>
      <c r="G35" t="b">
        <v>0</v>
      </c>
      <c r="H35" t="b">
        <v>0</v>
      </c>
      <c r="I35">
        <v>9.2323093464106304E-2</v>
      </c>
      <c r="J35">
        <f t="shared" si="4"/>
        <v>8.5462252024559246E-2</v>
      </c>
    </row>
    <row r="36" spans="1:10" x14ac:dyDescent="0.25">
      <c r="A36">
        <v>2</v>
      </c>
      <c r="B36" t="s">
        <v>19</v>
      </c>
      <c r="C36" t="s">
        <v>39</v>
      </c>
      <c r="D36" t="s">
        <v>96</v>
      </c>
      <c r="E36">
        <v>1.24676131497423</v>
      </c>
      <c r="F36">
        <v>6.6944029667421023E-2</v>
      </c>
      <c r="G36" t="b">
        <v>0</v>
      </c>
      <c r="H36" t="b">
        <v>0</v>
      </c>
      <c r="I36">
        <v>0.5</v>
      </c>
      <c r="J36">
        <f t="shared" si="4"/>
        <v>6.6944029667420996E-2</v>
      </c>
    </row>
    <row r="37" spans="1:10" x14ac:dyDescent="0.25">
      <c r="A37">
        <v>2</v>
      </c>
      <c r="B37" t="s">
        <v>20</v>
      </c>
      <c r="C37" t="s">
        <v>40</v>
      </c>
      <c r="D37" t="s">
        <v>94</v>
      </c>
      <c r="E37">
        <v>1.6471173314546399</v>
      </c>
      <c r="F37">
        <v>6.2975938068118284E-2</v>
      </c>
      <c r="G37" t="b">
        <v>0</v>
      </c>
      <c r="H37" t="b">
        <v>0</v>
      </c>
      <c r="I37">
        <v>0.22905137374288559</v>
      </c>
      <c r="J37">
        <f t="shared" si="4"/>
        <v>6.3735624896461979E-2</v>
      </c>
    </row>
    <row r="38" spans="1:10" x14ac:dyDescent="0.25">
      <c r="A38">
        <v>2</v>
      </c>
      <c r="B38" t="s">
        <v>25</v>
      </c>
      <c r="C38" t="s">
        <v>45</v>
      </c>
      <c r="D38" t="s">
        <v>96</v>
      </c>
      <c r="E38">
        <v>1.24676131497423</v>
      </c>
      <c r="F38">
        <v>4.4700065999355422E-2</v>
      </c>
      <c r="G38" t="b">
        <v>0</v>
      </c>
      <c r="H38" t="b">
        <v>0</v>
      </c>
      <c r="I38">
        <v>0.5</v>
      </c>
      <c r="J38">
        <f t="shared" si="4"/>
        <v>4.4700065999355408E-2</v>
      </c>
    </row>
    <row r="39" spans="1:10" x14ac:dyDescent="0.25">
      <c r="A39">
        <v>2</v>
      </c>
      <c r="B39" t="s">
        <v>16</v>
      </c>
      <c r="C39" t="s">
        <v>36</v>
      </c>
      <c r="D39" t="s">
        <v>96</v>
      </c>
      <c r="E39">
        <v>1.24676131497423</v>
      </c>
      <c r="F39">
        <v>3.4054558811281381E-2</v>
      </c>
      <c r="G39" t="b">
        <v>0</v>
      </c>
      <c r="H39" t="b">
        <v>0</v>
      </c>
      <c r="I39">
        <v>0.5</v>
      </c>
      <c r="J39">
        <f t="shared" si="4"/>
        <v>3.4054558811281374E-2</v>
      </c>
    </row>
    <row r="40" spans="1:10" x14ac:dyDescent="0.25">
      <c r="A40">
        <v>2</v>
      </c>
      <c r="B40" t="s">
        <v>9</v>
      </c>
      <c r="C40" t="s">
        <v>29</v>
      </c>
      <c r="D40" t="s">
        <v>94</v>
      </c>
      <c r="E40">
        <v>1.6471173314546399</v>
      </c>
      <c r="F40">
        <v>3.1817859656970038E-2</v>
      </c>
      <c r="G40" t="b">
        <v>0</v>
      </c>
      <c r="H40" t="b">
        <v>0</v>
      </c>
      <c r="I40">
        <v>0.22905137374288559</v>
      </c>
      <c r="J40">
        <f t="shared" si="4"/>
        <v>3.2201682584090938E-2</v>
      </c>
    </row>
    <row r="41" spans="1:10" x14ac:dyDescent="0.25">
      <c r="A41">
        <v>2</v>
      </c>
      <c r="B41" t="s">
        <v>18</v>
      </c>
      <c r="C41" t="s">
        <v>38</v>
      </c>
      <c r="D41" t="s">
        <v>95</v>
      </c>
      <c r="E41">
        <v>1.6471173314546399</v>
      </c>
      <c r="F41">
        <v>2.825747787420459E-2</v>
      </c>
      <c r="G41" t="b">
        <v>0</v>
      </c>
      <c r="H41" t="b">
        <v>0</v>
      </c>
      <c r="I41">
        <v>0.17862553279300791</v>
      </c>
      <c r="J41">
        <f t="shared" si="4"/>
        <v>3.0163727224849304E-2</v>
      </c>
    </row>
    <row r="42" spans="1:10" x14ac:dyDescent="0.25">
      <c r="A42">
        <v>2</v>
      </c>
      <c r="B42" t="s">
        <v>26</v>
      </c>
      <c r="C42" t="s">
        <v>46</v>
      </c>
      <c r="D42" t="s">
        <v>94</v>
      </c>
      <c r="E42">
        <v>1.6471173314546399</v>
      </c>
      <c r="F42">
        <v>2.178277193463302E-2</v>
      </c>
      <c r="G42" t="b">
        <v>0</v>
      </c>
      <c r="H42" t="b">
        <v>0</v>
      </c>
      <c r="I42">
        <v>0.22905137374288559</v>
      </c>
      <c r="J42">
        <f t="shared" si="4"/>
        <v>2.2045540309844135E-2</v>
      </c>
    </row>
    <row r="43" spans="1:10" x14ac:dyDescent="0.25">
      <c r="A43">
        <v>2</v>
      </c>
      <c r="B43" t="s">
        <v>12</v>
      </c>
      <c r="C43" t="s">
        <v>32</v>
      </c>
      <c r="D43" t="s">
        <v>96</v>
      </c>
      <c r="E43">
        <v>1.24676131497423</v>
      </c>
      <c r="F43">
        <v>1.602044187546477E-2</v>
      </c>
      <c r="G43" t="b">
        <v>0</v>
      </c>
      <c r="H43" t="b">
        <v>0</v>
      </c>
      <c r="I43">
        <v>0.5</v>
      </c>
      <c r="J43">
        <f t="shared" si="4"/>
        <v>1.6020441875464773E-2</v>
      </c>
    </row>
    <row r="44" spans="1:10" x14ac:dyDescent="0.25">
      <c r="A44">
        <v>2</v>
      </c>
      <c r="B44" t="s">
        <v>17</v>
      </c>
      <c r="C44" t="s">
        <v>37</v>
      </c>
      <c r="D44" t="s">
        <v>96</v>
      </c>
      <c r="E44">
        <v>1.24676131497423</v>
      </c>
      <c r="F44">
        <v>2.529288533366144E-2</v>
      </c>
      <c r="G44" t="b">
        <v>0</v>
      </c>
      <c r="H44" t="b">
        <v>0</v>
      </c>
      <c r="I44">
        <v>0.5</v>
      </c>
      <c r="J44">
        <f t="shared" si="4"/>
        <v>2.5292885333661436E-2</v>
      </c>
    </row>
    <row r="45" spans="1:10" x14ac:dyDescent="0.25">
      <c r="A45">
        <v>2</v>
      </c>
      <c r="B45" t="s">
        <v>15</v>
      </c>
      <c r="C45" t="s">
        <v>35</v>
      </c>
      <c r="D45" t="s">
        <v>94</v>
      </c>
      <c r="E45">
        <v>1.6471173314546399</v>
      </c>
      <c r="F45">
        <v>1.247480408316431E-2</v>
      </c>
      <c r="G45" t="b">
        <v>0</v>
      </c>
      <c r="H45" t="b">
        <v>0</v>
      </c>
      <c r="I45">
        <v>0.22905137374288559</v>
      </c>
      <c r="J45">
        <f t="shared" si="4"/>
        <v>1.2625289246845355E-2</v>
      </c>
    </row>
    <row r="46" spans="1:10" x14ac:dyDescent="0.25">
      <c r="A46">
        <v>2</v>
      </c>
      <c r="B46" t="s">
        <v>8</v>
      </c>
      <c r="C46" t="s">
        <v>28</v>
      </c>
      <c r="D46" t="s">
        <v>95</v>
      </c>
      <c r="E46">
        <v>1.6471173314546399</v>
      </c>
      <c r="F46">
        <v>1.089124559623102E-2</v>
      </c>
      <c r="G46" t="b">
        <v>0</v>
      </c>
      <c r="H46" t="b">
        <v>0</v>
      </c>
      <c r="I46">
        <v>0.17862553279300791</v>
      </c>
      <c r="J46">
        <f t="shared" si="4"/>
        <v>1.1625968983008578E-2</v>
      </c>
    </row>
    <row r="47" spans="1:10" x14ac:dyDescent="0.25">
      <c r="A47">
        <v>2</v>
      </c>
      <c r="B47" t="s">
        <v>11</v>
      </c>
      <c r="C47" t="s">
        <v>31</v>
      </c>
      <c r="D47" t="s">
        <v>96</v>
      </c>
      <c r="E47">
        <v>1.24676131497423</v>
      </c>
      <c r="F47">
        <v>6.8038056437198201E-3</v>
      </c>
      <c r="G47" t="b">
        <v>0</v>
      </c>
      <c r="H47" t="b">
        <v>0</v>
      </c>
      <c r="I47">
        <v>0.5</v>
      </c>
      <c r="J47">
        <f t="shared" si="4"/>
        <v>6.8038056437198192E-3</v>
      </c>
    </row>
    <row r="48" spans="1:10" x14ac:dyDescent="0.25">
      <c r="A48">
        <v>2</v>
      </c>
      <c r="B48" t="s">
        <v>21</v>
      </c>
      <c r="C48" t="s">
        <v>41</v>
      </c>
      <c r="D48" t="s">
        <v>95</v>
      </c>
      <c r="E48">
        <v>1.6471173314546399</v>
      </c>
      <c r="F48">
        <v>4.7661966428747338E-3</v>
      </c>
      <c r="G48" t="b">
        <v>0</v>
      </c>
      <c r="H48" t="b">
        <v>0</v>
      </c>
      <c r="I48">
        <v>0.17862553279300791</v>
      </c>
      <c r="J48">
        <f t="shared" si="4"/>
        <v>5.0877242503976593E-3</v>
      </c>
    </row>
    <row r="49" spans="1:10" x14ac:dyDescent="0.25">
      <c r="A49">
        <v>3</v>
      </c>
      <c r="B49" t="s">
        <v>10</v>
      </c>
      <c r="C49" t="s">
        <v>30</v>
      </c>
      <c r="D49" t="s">
        <v>94</v>
      </c>
      <c r="E49">
        <v>0.38421380902794727</v>
      </c>
      <c r="F49">
        <v>0.1</v>
      </c>
      <c r="G49" t="b">
        <v>1</v>
      </c>
      <c r="H49" t="b">
        <v>0</v>
      </c>
      <c r="I49">
        <v>0.23304957460749101</v>
      </c>
      <c r="J49">
        <f>_xlfn.XLOOKUP(B49,$B$8:$B$27,$M$8:$M$27)</f>
        <v>0.1</v>
      </c>
    </row>
    <row r="50" spans="1:10" x14ac:dyDescent="0.25">
      <c r="A50">
        <v>3</v>
      </c>
      <c r="B50" t="s">
        <v>23</v>
      </c>
      <c r="C50" t="s">
        <v>43</v>
      </c>
      <c r="D50" t="s">
        <v>95</v>
      </c>
      <c r="E50">
        <v>0.85143561760464181</v>
      </c>
      <c r="F50">
        <v>0.1</v>
      </c>
      <c r="G50" t="b">
        <v>1</v>
      </c>
      <c r="H50" t="b">
        <v>0</v>
      </c>
      <c r="I50">
        <v>0.18106146713508919</v>
      </c>
      <c r="J50">
        <f t="shared" ref="J50:J68" si="5">_xlfn.XLOOKUP(B50,$B$8:$B$27,$M$8:$M$27)</f>
        <v>0.1</v>
      </c>
    </row>
    <row r="51" spans="1:10" x14ac:dyDescent="0.25">
      <c r="A51">
        <v>3</v>
      </c>
      <c r="B51" t="s">
        <v>13</v>
      </c>
      <c r="C51" t="s">
        <v>33</v>
      </c>
      <c r="D51" t="s">
        <v>96</v>
      </c>
      <c r="E51">
        <v>0.81146640518204993</v>
      </c>
      <c r="F51">
        <v>9.0885075196946385E-2</v>
      </c>
      <c r="G51" t="b">
        <v>1</v>
      </c>
      <c r="H51" t="b">
        <v>0</v>
      </c>
      <c r="I51">
        <v>0.49070555992862708</v>
      </c>
      <c r="J51">
        <f t="shared" si="5"/>
        <v>9.3263151489827709E-2</v>
      </c>
    </row>
    <row r="52" spans="1:10" x14ac:dyDescent="0.25">
      <c r="A52">
        <v>3</v>
      </c>
      <c r="B52" t="s">
        <v>27</v>
      </c>
      <c r="C52" t="s">
        <v>47</v>
      </c>
      <c r="D52" t="s">
        <v>96</v>
      </c>
      <c r="E52">
        <v>1.11464146621135</v>
      </c>
      <c r="F52">
        <v>0.1</v>
      </c>
      <c r="G52" t="b">
        <v>1</v>
      </c>
      <c r="H52" t="b">
        <v>0</v>
      </c>
      <c r="I52">
        <v>0.49070555992862708</v>
      </c>
      <c r="J52">
        <f t="shared" si="5"/>
        <v>0.1</v>
      </c>
    </row>
    <row r="53" spans="1:10" x14ac:dyDescent="0.25">
      <c r="A53">
        <v>3</v>
      </c>
      <c r="B53" t="s">
        <v>22</v>
      </c>
      <c r="C53" t="s">
        <v>42</v>
      </c>
      <c r="D53" t="s">
        <v>95</v>
      </c>
      <c r="E53">
        <v>1.6981474425470571</v>
      </c>
      <c r="F53">
        <v>3.5785998377671213E-2</v>
      </c>
      <c r="G53" t="b">
        <v>0</v>
      </c>
      <c r="H53" t="b">
        <v>0</v>
      </c>
      <c r="I53">
        <v>0.18106146713508919</v>
      </c>
      <c r="J53">
        <f t="shared" si="5"/>
        <v>3.8021688888660872E-2</v>
      </c>
    </row>
    <row r="54" spans="1:10" x14ac:dyDescent="0.25">
      <c r="A54">
        <v>3</v>
      </c>
      <c r="B54" t="s">
        <v>14</v>
      </c>
      <c r="C54" t="s">
        <v>34</v>
      </c>
      <c r="D54" t="s">
        <v>96</v>
      </c>
      <c r="E54">
        <v>1.2052289767879889</v>
      </c>
      <c r="F54">
        <v>0.1</v>
      </c>
      <c r="G54" t="b">
        <v>1</v>
      </c>
      <c r="H54" t="b">
        <v>0</v>
      </c>
      <c r="I54">
        <v>0.49070555992862708</v>
      </c>
      <c r="J54">
        <f t="shared" si="5"/>
        <v>0.1</v>
      </c>
    </row>
    <row r="55" spans="1:10" x14ac:dyDescent="0.25">
      <c r="A55">
        <v>3</v>
      </c>
      <c r="B55" t="s">
        <v>24</v>
      </c>
      <c r="C55" t="s">
        <v>44</v>
      </c>
      <c r="D55" t="s">
        <v>97</v>
      </c>
      <c r="E55">
        <v>1.6981474425470571</v>
      </c>
      <c r="F55">
        <v>9.5183398328792634E-2</v>
      </c>
      <c r="G55" t="b">
        <v>0</v>
      </c>
      <c r="H55" t="b">
        <v>0</v>
      </c>
      <c r="I55">
        <v>9.5183398328792634E-2</v>
      </c>
      <c r="J55">
        <f t="shared" si="5"/>
        <v>8.7698436073870373E-2</v>
      </c>
    </row>
    <row r="56" spans="1:10" x14ac:dyDescent="0.25">
      <c r="A56">
        <v>3</v>
      </c>
      <c r="B56" t="s">
        <v>19</v>
      </c>
      <c r="C56" t="s">
        <v>39</v>
      </c>
      <c r="D56" t="s">
        <v>96</v>
      </c>
      <c r="E56">
        <v>1.2853878093920099</v>
      </c>
      <c r="F56">
        <v>6.9018053907021204E-2</v>
      </c>
      <c r="G56" t="b">
        <v>0</v>
      </c>
      <c r="H56" t="b">
        <v>0</v>
      </c>
      <c r="I56">
        <v>0.49070555992862708</v>
      </c>
      <c r="J56">
        <f t="shared" si="5"/>
        <v>6.8695670512268839E-2</v>
      </c>
    </row>
    <row r="57" spans="1:10" x14ac:dyDescent="0.25">
      <c r="A57">
        <v>3</v>
      </c>
      <c r="B57" t="s">
        <v>20</v>
      </c>
      <c r="C57" t="s">
        <v>40</v>
      </c>
      <c r="D57" t="s">
        <v>94</v>
      </c>
      <c r="E57">
        <v>1.6981474425470571</v>
      </c>
      <c r="F57">
        <v>6.4927025009160352E-2</v>
      </c>
      <c r="G57" t="b">
        <v>0</v>
      </c>
      <c r="H57" t="b">
        <v>0</v>
      </c>
      <c r="I57">
        <v>0.23304957460749101</v>
      </c>
      <c r="J57">
        <f t="shared" si="5"/>
        <v>6.540331541935375E-2</v>
      </c>
    </row>
    <row r="58" spans="1:10" x14ac:dyDescent="0.25">
      <c r="A58">
        <v>3</v>
      </c>
      <c r="B58" t="s">
        <v>25</v>
      </c>
      <c r="C58" t="s">
        <v>45</v>
      </c>
      <c r="D58" t="s">
        <v>96</v>
      </c>
      <c r="E58">
        <v>1.2853878093920099</v>
      </c>
      <c r="F58">
        <v>4.6084939614746828E-2</v>
      </c>
      <c r="G58" t="b">
        <v>0</v>
      </c>
      <c r="H58" t="b">
        <v>0</v>
      </c>
      <c r="I58">
        <v>0.49070555992862708</v>
      </c>
      <c r="J58">
        <f t="shared" si="5"/>
        <v>4.5869676818435963E-2</v>
      </c>
    </row>
    <row r="59" spans="1:10" x14ac:dyDescent="0.25">
      <c r="A59">
        <v>3</v>
      </c>
      <c r="B59" t="s">
        <v>16</v>
      </c>
      <c r="C59" t="s">
        <v>36</v>
      </c>
      <c r="D59" t="s">
        <v>96</v>
      </c>
      <c r="E59">
        <v>1.2853878093920099</v>
      </c>
      <c r="F59">
        <v>3.5109618998043053E-2</v>
      </c>
      <c r="G59" t="b">
        <v>0</v>
      </c>
      <c r="H59" t="b">
        <v>0</v>
      </c>
      <c r="I59">
        <v>0.49070555992862708</v>
      </c>
      <c r="J59">
        <f t="shared" si="5"/>
        <v>3.4945621934661643E-2</v>
      </c>
    </row>
    <row r="60" spans="1:10" x14ac:dyDescent="0.25">
      <c r="A60">
        <v>3</v>
      </c>
      <c r="B60" t="s">
        <v>9</v>
      </c>
      <c r="C60" t="s">
        <v>29</v>
      </c>
      <c r="D60" t="s">
        <v>94</v>
      </c>
      <c r="E60">
        <v>1.6981474425470571</v>
      </c>
      <c r="F60">
        <v>3.2803623622906918E-2</v>
      </c>
      <c r="G60" t="b">
        <v>0</v>
      </c>
      <c r="H60" t="b">
        <v>0</v>
      </c>
      <c r="I60">
        <v>0.23304957460749101</v>
      </c>
      <c r="J60">
        <f t="shared" si="5"/>
        <v>3.3044263808545811E-2</v>
      </c>
    </row>
    <row r="61" spans="1:10" x14ac:dyDescent="0.25">
      <c r="A61">
        <v>3</v>
      </c>
      <c r="B61" t="s">
        <v>18</v>
      </c>
      <c r="C61" t="s">
        <v>38</v>
      </c>
      <c r="D61" t="s">
        <v>95</v>
      </c>
      <c r="E61">
        <v>1.6981474425470571</v>
      </c>
      <c r="F61">
        <v>2.9132935989771069E-2</v>
      </c>
      <c r="G61" t="b">
        <v>0</v>
      </c>
      <c r="H61" t="b">
        <v>0</v>
      </c>
      <c r="I61">
        <v>0.18106146713508919</v>
      </c>
      <c r="J61">
        <f t="shared" si="5"/>
        <v>3.0952983815801253E-2</v>
      </c>
    </row>
    <row r="62" spans="1:10" x14ac:dyDescent="0.25">
      <c r="A62">
        <v>3</v>
      </c>
      <c r="B62" t="s">
        <v>26</v>
      </c>
      <c r="C62" t="s">
        <v>46</v>
      </c>
      <c r="D62" t="s">
        <v>94</v>
      </c>
      <c r="E62">
        <v>1.6981474425470571</v>
      </c>
      <c r="F62">
        <v>2.2457634162415779E-2</v>
      </c>
      <c r="G62" t="b">
        <v>0</v>
      </c>
      <c r="H62" t="b">
        <v>0</v>
      </c>
      <c r="I62">
        <v>0.23304957460749101</v>
      </c>
      <c r="J62">
        <f t="shared" si="5"/>
        <v>2.2622378439327927E-2</v>
      </c>
    </row>
    <row r="63" spans="1:10" x14ac:dyDescent="0.25">
      <c r="A63">
        <v>3</v>
      </c>
      <c r="B63" t="s">
        <v>12</v>
      </c>
      <c r="C63" t="s">
        <v>32</v>
      </c>
      <c r="D63" t="s">
        <v>96</v>
      </c>
      <c r="E63">
        <v>1.2853878093920099</v>
      </c>
      <c r="F63">
        <v>1.6516778665226169E-2</v>
      </c>
      <c r="G63" t="b">
        <v>0</v>
      </c>
      <c r="H63" t="b">
        <v>0</v>
      </c>
      <c r="I63">
        <v>0.49070555992862708</v>
      </c>
      <c r="J63">
        <f t="shared" si="5"/>
        <v>1.643962877653702E-2</v>
      </c>
    </row>
    <row r="64" spans="1:10" x14ac:dyDescent="0.25">
      <c r="A64">
        <v>3</v>
      </c>
      <c r="B64" t="s">
        <v>17</v>
      </c>
      <c r="C64" t="s">
        <v>37</v>
      </c>
      <c r="D64" t="s">
        <v>96</v>
      </c>
      <c r="E64">
        <v>1.2853878093920099</v>
      </c>
      <c r="F64">
        <v>2.607649602354753E-2</v>
      </c>
      <c r="G64" t="b">
        <v>0</v>
      </c>
      <c r="H64" t="b">
        <v>0</v>
      </c>
      <c r="I64">
        <v>0.49070555992862708</v>
      </c>
      <c r="J64">
        <f t="shared" si="5"/>
        <v>2.5954692686081023E-2</v>
      </c>
    </row>
    <row r="65" spans="1:10" x14ac:dyDescent="0.25">
      <c r="A65">
        <v>3</v>
      </c>
      <c r="B65" t="s">
        <v>15</v>
      </c>
      <c r="C65" t="s">
        <v>35</v>
      </c>
      <c r="D65" t="s">
        <v>94</v>
      </c>
      <c r="E65">
        <v>1.6981474425470571</v>
      </c>
      <c r="F65">
        <v>1.2861291813007939E-2</v>
      </c>
      <c r="G65" t="b">
        <v>0</v>
      </c>
      <c r="H65" t="b">
        <v>0</v>
      </c>
      <c r="I65">
        <v>0.23304957460749101</v>
      </c>
      <c r="J65">
        <f t="shared" si="5"/>
        <v>1.2955639427924385E-2</v>
      </c>
    </row>
    <row r="66" spans="1:10" x14ac:dyDescent="0.25">
      <c r="A66">
        <v>3</v>
      </c>
      <c r="B66" t="s">
        <v>8</v>
      </c>
      <c r="C66" t="s">
        <v>28</v>
      </c>
      <c r="D66" t="s">
        <v>95</v>
      </c>
      <c r="E66">
        <v>1.6981474425470571</v>
      </c>
      <c r="F66">
        <v>1.1228672361220261E-2</v>
      </c>
      <c r="G66" t="b">
        <v>0</v>
      </c>
      <c r="H66" t="b">
        <v>0</v>
      </c>
      <c r="I66">
        <v>0.18106146713508919</v>
      </c>
      <c r="J66">
        <f t="shared" si="5"/>
        <v>1.1930171198392731E-2</v>
      </c>
    </row>
    <row r="67" spans="1:10" x14ac:dyDescent="0.25">
      <c r="A67">
        <v>3</v>
      </c>
      <c r="B67" t="s">
        <v>11</v>
      </c>
      <c r="C67" t="s">
        <v>31</v>
      </c>
      <c r="D67" t="s">
        <v>96</v>
      </c>
      <c r="E67">
        <v>1.2853878093920099</v>
      </c>
      <c r="F67">
        <v>7.0145975230958956E-3</v>
      </c>
      <c r="G67" t="b">
        <v>0</v>
      </c>
      <c r="H67" t="b">
        <v>0</v>
      </c>
      <c r="I67">
        <v>0.49070555992862708</v>
      </c>
      <c r="J67">
        <f t="shared" si="5"/>
        <v>6.9818323314641013E-3</v>
      </c>
    </row>
    <row r="68" spans="1:10" x14ac:dyDescent="0.25">
      <c r="A68">
        <v>3</v>
      </c>
      <c r="B68" t="s">
        <v>21</v>
      </c>
      <c r="C68" t="s">
        <v>41</v>
      </c>
      <c r="D68" t="s">
        <v>95</v>
      </c>
      <c r="E68">
        <v>1.6981474425470571</v>
      </c>
      <c r="F68">
        <v>4.9138604064266614E-3</v>
      </c>
      <c r="G68" t="b">
        <v>0</v>
      </c>
      <c r="H68" t="b">
        <v>0</v>
      </c>
      <c r="I68">
        <v>0.18106146713508919</v>
      </c>
      <c r="J68">
        <f t="shared" si="5"/>
        <v>5.2208483788463598E-3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0.23304957460749101</v>
      </c>
      <c r="C2">
        <v>5</v>
      </c>
      <c r="D2" t="b">
        <v>1</v>
      </c>
    </row>
    <row r="3" spans="1:4" x14ac:dyDescent="0.25">
      <c r="A3" t="s">
        <v>96</v>
      </c>
      <c r="B3">
        <v>0.49070555992862719</v>
      </c>
      <c r="C3">
        <v>9</v>
      </c>
      <c r="D3" t="b">
        <v>1</v>
      </c>
    </row>
    <row r="4" spans="1:4" x14ac:dyDescent="0.25">
      <c r="A4" t="s">
        <v>95</v>
      </c>
      <c r="B4">
        <v>0.18106146713508919</v>
      </c>
      <c r="C4">
        <v>5</v>
      </c>
      <c r="D4" t="b">
        <v>1</v>
      </c>
    </row>
    <row r="5" spans="1:4" x14ac:dyDescent="0.25">
      <c r="A5" t="s">
        <v>97</v>
      </c>
      <c r="B5">
        <v>9.5183398328792648E-2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2025-11-19T16:57:53Z</dcterms:created>
  <dcterms:modified xsi:type="dcterms:W3CDTF">2025-11-19T17:49:47Z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2025-11-19T17:14:03Z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3dae7686-e553-4b76-b726-8c09c6f845a4</vt:lpwstr>
  </property>
  <property fmtid="{D5CDD505-2E9C-101B-9397-08002B2CF9AE}" pid="8" name="MSIP_Label_ac0b9ce6-6e99-42a1-af95-429494370cbc_ContentBits">
    <vt:lpwstr>2</vt:lpwstr>
  </property>
</Properties>
</file>