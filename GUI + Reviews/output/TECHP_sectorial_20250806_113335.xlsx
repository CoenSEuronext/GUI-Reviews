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output/"/>
    </mc:Choice>
  </mc:AlternateContent>
  <xr:revisionPtr revIDLastSave="10" documentId="11_B3DAD50047E7B1826D045AA645CAEC143F429D4C" xr6:coauthVersionLast="47" xr6:coauthVersionMax="47" xr10:uidLastSave="{3F8DC7FD-9E77-4064-A442-0A86FA0EE6D6}"/>
  <bookViews>
    <workbookView xWindow="-29115" yWindow="-16005" windowWidth="29040" windowHeight="15720" xr2:uid="{00000000-000D-0000-FFFF-FFFF00000000}"/>
  </bookViews>
  <sheets>
    <sheet name="Index Composition" sheetId="1" r:id="rId1"/>
    <sheet name="Inclusion" sheetId="2" r:id="rId2"/>
    <sheet name="Exclusion" sheetId="3" r:id="rId3"/>
    <sheet name="Full Universe" sheetId="4" r:id="rId4"/>
    <sheet name="Index Info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</calcChain>
</file>

<file path=xl/sharedStrings.xml><?xml version="1.0" encoding="utf-8"?>
<sst xmlns="http://schemas.openxmlformats.org/spreadsheetml/2006/main" count="304" uniqueCount="121">
  <si>
    <t>Company</t>
  </si>
  <si>
    <t>ISIN Code</t>
  </si>
  <si>
    <t>MIC</t>
  </si>
  <si>
    <t>Number of Shares</t>
  </si>
  <si>
    <t>Free Float</t>
  </si>
  <si>
    <t>Capping Factor</t>
  </si>
  <si>
    <t>Effective Date of Review</t>
  </si>
  <si>
    <t>Currency</t>
  </si>
  <si>
    <t>ALTEN</t>
  </si>
  <si>
    <t>AMADEUS IT GROUP</t>
  </si>
  <si>
    <t>ASM INTERNATIONAL</t>
  </si>
  <si>
    <t>ASML HOLDING</t>
  </si>
  <si>
    <t>BE SEMICONDUCTOR</t>
  </si>
  <si>
    <t>BECHTLE AG</t>
  </si>
  <si>
    <t>CAPGEMINI</t>
  </si>
  <si>
    <t>DASSAULT SYSTEMES</t>
  </si>
  <si>
    <t>INDRA SISTEMAS SA</t>
  </si>
  <si>
    <t>INFINEON TECHNOLOGIE</t>
  </si>
  <si>
    <t>JUST EAT TAKEAWAY</t>
  </si>
  <si>
    <t>NEMETSCHEK SE</t>
  </si>
  <si>
    <t>PROSUS</t>
  </si>
  <si>
    <t>RELX</t>
  </si>
  <si>
    <t>REPLY</t>
  </si>
  <si>
    <t>SAP</t>
  </si>
  <si>
    <t>SCOUT24 SE</t>
  </si>
  <si>
    <t>SOPRA STERIA GROUP</t>
  </si>
  <si>
    <t>STMICROELECTRONICS</t>
  </si>
  <si>
    <t>FR0000071946</t>
  </si>
  <si>
    <t>ES0109067019</t>
  </si>
  <si>
    <t>NL0000334118</t>
  </si>
  <si>
    <t>NL0010273215</t>
  </si>
  <si>
    <t>NL0012866412</t>
  </si>
  <si>
    <t>DE0005158703</t>
  </si>
  <si>
    <t>FR0000125338</t>
  </si>
  <si>
    <t>FR0014003TT8</t>
  </si>
  <si>
    <t>ES0118594417</t>
  </si>
  <si>
    <t>DE0006231004</t>
  </si>
  <si>
    <t>NL0012015705</t>
  </si>
  <si>
    <t>DE0006452907</t>
  </si>
  <si>
    <t>NL0013654783</t>
  </si>
  <si>
    <t>GB00B2B0DG97</t>
  </si>
  <si>
    <t>IT0005282865</t>
  </si>
  <si>
    <t>DE0007164600</t>
  </si>
  <si>
    <t>DE000A12DM80</t>
  </si>
  <si>
    <t>FR0000050809</t>
  </si>
  <si>
    <t>NL0000226223</t>
  </si>
  <si>
    <t>XPAR</t>
  </si>
  <si>
    <t>XMAD</t>
  </si>
  <si>
    <t>XAMS</t>
  </si>
  <si>
    <t>XETR</t>
  </si>
  <si>
    <t>MTAA</t>
  </si>
  <si>
    <t>23-Jun-25</t>
  </si>
  <si>
    <t>EUR</t>
  </si>
  <si>
    <t>ISIN code</t>
  </si>
  <si>
    <t>Rank</t>
  </si>
  <si>
    <t>Ticker</t>
  </si>
  <si>
    <t xml:space="preserve">Price (EUR) </t>
  </si>
  <si>
    <t>Currency (Local)</t>
  </si>
  <si>
    <t>Mcap in EUR</t>
  </si>
  <si>
    <t>index</t>
  </si>
  <si>
    <t>3 months ADTV</t>
  </si>
  <si>
    <t>#Symbol</t>
  </si>
  <si>
    <t>FX/Index Ccy</t>
  </si>
  <si>
    <t>Close Prc_EOD</t>
  </si>
  <si>
    <t>Close Prc_CO</t>
  </si>
  <si>
    <t>Free Float Round:</t>
  </si>
  <si>
    <t>Subsector Code</t>
  </si>
  <si>
    <t>Industry Code</t>
  </si>
  <si>
    <t>Exclusion_XTSE</t>
  </si>
  <si>
    <t>Exclusion_3m_ADTV</t>
  </si>
  <si>
    <t>General_Exclusion</t>
  </si>
  <si>
    <t>Original Market Cap</t>
  </si>
  <si>
    <t>Weight</t>
  </si>
  <si>
    <t>Capped Weight</t>
  </si>
  <si>
    <t>Inclusion</t>
  </si>
  <si>
    <t>ATE-FR</t>
  </si>
  <si>
    <t>AMS-ES</t>
  </si>
  <si>
    <t>ASM-NL</t>
  </si>
  <si>
    <t>ASML-NL</t>
  </si>
  <si>
    <t>BESI-NL</t>
  </si>
  <si>
    <t>BC8-DE</t>
  </si>
  <si>
    <t>CAP-FR</t>
  </si>
  <si>
    <t>DSY-FR</t>
  </si>
  <si>
    <t>IDR-ES</t>
  </si>
  <si>
    <t>IFX-DE</t>
  </si>
  <si>
    <t>TKWY-NL</t>
  </si>
  <si>
    <t>NEM-DE</t>
  </si>
  <si>
    <t>PRX-NL</t>
  </si>
  <si>
    <t>REN-NL</t>
  </si>
  <si>
    <t>REY-IT</t>
  </si>
  <si>
    <t>SAP-DE</t>
  </si>
  <si>
    <t>G24-DE</t>
  </si>
  <si>
    <t>SOP-FR</t>
  </si>
  <si>
    <t>STMPA-FR</t>
  </si>
  <si>
    <t>EZ300</t>
  </si>
  <si>
    <t>EU500;EZ300</t>
  </si>
  <si>
    <t>LTEN.PA</t>
  </si>
  <si>
    <t>AMA.MC</t>
  </si>
  <si>
    <t>ASMI.AS</t>
  </si>
  <si>
    <t>ASML.AS</t>
  </si>
  <si>
    <t>BESI.AS</t>
  </si>
  <si>
    <t>BC8G.DE</t>
  </si>
  <si>
    <t>CAPP.PA</t>
  </si>
  <si>
    <t>DAST.PA</t>
  </si>
  <si>
    <t>IDR.MC</t>
  </si>
  <si>
    <t>IFXGn.DE</t>
  </si>
  <si>
    <t>TKWY.AS</t>
  </si>
  <si>
    <t>NEKG.DE</t>
  </si>
  <si>
    <t>PRX.AS</t>
  </si>
  <si>
    <t>REL.AS</t>
  </si>
  <si>
    <t>REY.MI</t>
  </si>
  <si>
    <t>SAPG.DE</t>
  </si>
  <si>
    <t>G24n.DE</t>
  </si>
  <si>
    <t>SOPR.PA</t>
  </si>
  <si>
    <t>STMPA.PA</t>
  </si>
  <si>
    <t>Metric</t>
  </si>
  <si>
    <t>Value</t>
  </si>
  <si>
    <t>Index Market Cap</t>
  </si>
  <si>
    <t>Selected Companies Market Cap</t>
  </si>
  <si>
    <t>Coverage Ratio</t>
  </si>
  <si>
    <t>Number of Companies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</si>
</sst>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workbookViewId="0">
      <selection activeCell="J16" sqref="J16"/>
    </sheetView>
  </sheetViews>
  <sheetFormatPr defaultRowHeight="15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0" x14ac:dyDescent="0.25">
      <c r="A2" t="s">
        <v>8</v>
      </c>
      <c r="B2" t="s">
        <v>27</v>
      </c>
      <c r="C2" t="s">
        <v>46</v>
      </c>
      <c r="D2">
        <v>35266866</v>
      </c>
      <c r="E2">
        <v>0.85</v>
      </c>
      <c r="F2">
        <v>1</v>
      </c>
      <c r="G2" t="s">
        <v>51</v>
      </c>
      <c r="H2" t="s">
        <v>52</v>
      </c>
    </row>
    <row r="3" spans="1:10" x14ac:dyDescent="0.25">
      <c r="A3" t="s">
        <v>9</v>
      </c>
      <c r="B3" t="s">
        <v>28</v>
      </c>
      <c r="C3" t="s">
        <v>47</v>
      </c>
      <c r="D3">
        <v>450499200</v>
      </c>
      <c r="E3">
        <v>1</v>
      </c>
      <c r="F3">
        <v>0.99999999999999989</v>
      </c>
      <c r="G3" t="s">
        <v>51</v>
      </c>
      <c r="H3" t="s">
        <v>52</v>
      </c>
    </row>
    <row r="4" spans="1:10" x14ac:dyDescent="0.25">
      <c r="A4" t="s">
        <v>10</v>
      </c>
      <c r="B4" t="s">
        <v>29</v>
      </c>
      <c r="C4" t="s">
        <v>48</v>
      </c>
      <c r="D4">
        <v>49328548</v>
      </c>
      <c r="E4">
        <v>0.95</v>
      </c>
      <c r="F4">
        <v>1</v>
      </c>
      <c r="G4" t="s">
        <v>51</v>
      </c>
      <c r="H4" t="s">
        <v>52</v>
      </c>
    </row>
    <row r="5" spans="1:10" x14ac:dyDescent="0.25">
      <c r="A5" t="s">
        <v>11</v>
      </c>
      <c r="B5" t="s">
        <v>30</v>
      </c>
      <c r="C5" t="s">
        <v>48</v>
      </c>
      <c r="D5">
        <v>393830692</v>
      </c>
      <c r="E5">
        <v>1</v>
      </c>
      <c r="F5">
        <v>0.44892979097570018</v>
      </c>
      <c r="G5" t="s">
        <v>51</v>
      </c>
      <c r="H5" t="s">
        <v>52</v>
      </c>
    </row>
    <row r="6" spans="1:10" x14ac:dyDescent="0.25">
      <c r="A6" t="s">
        <v>12</v>
      </c>
      <c r="B6" t="s">
        <v>31</v>
      </c>
      <c r="C6" t="s">
        <v>48</v>
      </c>
      <c r="D6">
        <v>81146738</v>
      </c>
      <c r="E6">
        <v>0.9</v>
      </c>
      <c r="F6">
        <v>0.99999999999999989</v>
      </c>
      <c r="G6" t="s">
        <v>51</v>
      </c>
      <c r="H6" t="s">
        <v>52</v>
      </c>
    </row>
    <row r="7" spans="1:10" x14ac:dyDescent="0.25">
      <c r="A7" t="s">
        <v>13</v>
      </c>
      <c r="B7" t="s">
        <v>32</v>
      </c>
      <c r="C7" t="s">
        <v>49</v>
      </c>
      <c r="D7">
        <v>126000000</v>
      </c>
      <c r="E7">
        <v>0.65</v>
      </c>
      <c r="F7">
        <v>1</v>
      </c>
      <c r="G7" t="s">
        <v>51</v>
      </c>
      <c r="H7" t="s">
        <v>52</v>
      </c>
    </row>
    <row r="8" spans="1:10" x14ac:dyDescent="0.25">
      <c r="A8" t="s">
        <v>14</v>
      </c>
      <c r="B8" t="s">
        <v>33</v>
      </c>
      <c r="C8" t="s">
        <v>46</v>
      </c>
      <c r="D8">
        <v>171347471</v>
      </c>
      <c r="E8">
        <v>0.85</v>
      </c>
      <c r="F8">
        <v>0.99999999999999989</v>
      </c>
      <c r="G8" t="s">
        <v>51</v>
      </c>
      <c r="H8" t="s">
        <v>52</v>
      </c>
    </row>
    <row r="9" spans="1:10" x14ac:dyDescent="0.25">
      <c r="A9" t="s">
        <v>15</v>
      </c>
      <c r="B9" t="s">
        <v>34</v>
      </c>
      <c r="C9" t="s">
        <v>46</v>
      </c>
      <c r="D9">
        <v>1340433125</v>
      </c>
      <c r="E9">
        <v>0.5</v>
      </c>
      <c r="F9">
        <v>0.99999999999999989</v>
      </c>
      <c r="G9" t="s">
        <v>51</v>
      </c>
      <c r="H9" t="s">
        <v>52</v>
      </c>
    </row>
    <row r="10" spans="1:10" x14ac:dyDescent="0.25">
      <c r="A10" t="s">
        <v>16</v>
      </c>
      <c r="B10" t="s">
        <v>35</v>
      </c>
      <c r="C10" t="s">
        <v>47</v>
      </c>
      <c r="D10">
        <v>176654400</v>
      </c>
      <c r="E10">
        <v>0.45</v>
      </c>
      <c r="F10">
        <v>1</v>
      </c>
      <c r="G10" t="s">
        <v>51</v>
      </c>
      <c r="H10" t="s">
        <v>52</v>
      </c>
    </row>
    <row r="11" spans="1:10" x14ac:dyDescent="0.25">
      <c r="A11" t="s">
        <v>17</v>
      </c>
      <c r="B11" t="s">
        <v>36</v>
      </c>
      <c r="C11" t="s">
        <v>49</v>
      </c>
      <c r="D11">
        <v>1305921100</v>
      </c>
      <c r="E11">
        <v>1</v>
      </c>
      <c r="F11">
        <v>0.99999999999999989</v>
      </c>
      <c r="G11" t="s">
        <v>51</v>
      </c>
      <c r="H11" t="s">
        <v>52</v>
      </c>
    </row>
    <row r="12" spans="1:10" x14ac:dyDescent="0.25">
      <c r="A12" t="s">
        <v>18</v>
      </c>
      <c r="B12" t="s">
        <v>37</v>
      </c>
      <c r="C12" t="s">
        <v>48</v>
      </c>
      <c r="D12">
        <v>208967756</v>
      </c>
      <c r="E12">
        <v>0.8</v>
      </c>
      <c r="F12">
        <v>1</v>
      </c>
      <c r="G12" t="s">
        <v>51</v>
      </c>
      <c r="H12" t="s">
        <v>52</v>
      </c>
    </row>
    <row r="13" spans="1:10" x14ac:dyDescent="0.25">
      <c r="A13" t="s">
        <v>19</v>
      </c>
      <c r="B13" t="s">
        <v>38</v>
      </c>
      <c r="C13" t="s">
        <v>49</v>
      </c>
      <c r="D13">
        <v>115500000</v>
      </c>
      <c r="E13">
        <v>0.6</v>
      </c>
      <c r="F13">
        <v>1</v>
      </c>
      <c r="G13" t="s">
        <v>51</v>
      </c>
      <c r="H13" t="s">
        <v>52</v>
      </c>
    </row>
    <row r="14" spans="1:10" x14ac:dyDescent="0.25">
      <c r="A14" t="s">
        <v>20</v>
      </c>
      <c r="B14" t="s">
        <v>39</v>
      </c>
      <c r="C14" t="s">
        <v>48</v>
      </c>
      <c r="D14">
        <v>2378947836</v>
      </c>
      <c r="E14">
        <v>0.55000000000000004</v>
      </c>
      <c r="F14">
        <v>1</v>
      </c>
      <c r="G14" t="s">
        <v>51</v>
      </c>
      <c r="H14" t="s">
        <v>52</v>
      </c>
    </row>
    <row r="15" spans="1:10" x14ac:dyDescent="0.25">
      <c r="A15" t="s">
        <v>21</v>
      </c>
      <c r="B15" t="s">
        <v>40</v>
      </c>
      <c r="C15" t="s">
        <v>48</v>
      </c>
      <c r="D15">
        <v>1907070957</v>
      </c>
      <c r="E15">
        <v>1</v>
      </c>
      <c r="F15">
        <v>0.99999999999999989</v>
      </c>
      <c r="G15" t="s">
        <v>51</v>
      </c>
      <c r="H15" t="s">
        <v>52</v>
      </c>
    </row>
    <row r="16" spans="1:10" x14ac:dyDescent="0.25">
      <c r="A16" t="s">
        <v>22</v>
      </c>
      <c r="B16" t="s">
        <v>41</v>
      </c>
      <c r="C16" t="s">
        <v>50</v>
      </c>
      <c r="D16">
        <v>37411428</v>
      </c>
      <c r="E16">
        <v>0.65</v>
      </c>
      <c r="F16">
        <v>1</v>
      </c>
      <c r="G16" t="s">
        <v>51</v>
      </c>
      <c r="H16" t="s">
        <v>52</v>
      </c>
      <c r="J16">
        <f>0.7*7.30767</f>
        <v>5.1153689999999994</v>
      </c>
    </row>
    <row r="17" spans="1:8" x14ac:dyDescent="0.25">
      <c r="A17" t="s">
        <v>23</v>
      </c>
      <c r="B17" t="s">
        <v>42</v>
      </c>
      <c r="C17" t="s">
        <v>49</v>
      </c>
      <c r="D17">
        <v>1228504300</v>
      </c>
      <c r="E17">
        <v>0.95</v>
      </c>
      <c r="F17">
        <v>0.39403713024041082</v>
      </c>
      <c r="G17" t="s">
        <v>51</v>
      </c>
      <c r="H17" t="s">
        <v>52</v>
      </c>
    </row>
    <row r="18" spans="1:8" x14ac:dyDescent="0.25">
      <c r="A18" t="s">
        <v>24</v>
      </c>
      <c r="B18" t="s">
        <v>43</v>
      </c>
      <c r="C18" t="s">
        <v>49</v>
      </c>
      <c r="D18">
        <v>75000000</v>
      </c>
      <c r="E18">
        <v>0.95</v>
      </c>
      <c r="F18">
        <v>1</v>
      </c>
      <c r="G18" t="s">
        <v>51</v>
      </c>
      <c r="H18" t="s">
        <v>52</v>
      </c>
    </row>
    <row r="19" spans="1:8" x14ac:dyDescent="0.25">
      <c r="A19" t="s">
        <v>25</v>
      </c>
      <c r="B19" t="s">
        <v>44</v>
      </c>
      <c r="C19" t="s">
        <v>46</v>
      </c>
      <c r="D19">
        <v>20547701</v>
      </c>
      <c r="E19">
        <v>0.75</v>
      </c>
      <c r="F19">
        <v>0.99999999999999989</v>
      </c>
      <c r="G19" t="s">
        <v>51</v>
      </c>
      <c r="H19" t="s">
        <v>52</v>
      </c>
    </row>
    <row r="20" spans="1:8" x14ac:dyDescent="0.25">
      <c r="A20" t="s">
        <v>26</v>
      </c>
      <c r="B20" t="s">
        <v>45</v>
      </c>
      <c r="C20" t="s">
        <v>46</v>
      </c>
      <c r="D20">
        <v>911281920</v>
      </c>
      <c r="E20">
        <v>0.7</v>
      </c>
      <c r="F20">
        <v>0.99999999999999989</v>
      </c>
      <c r="G20" t="s">
        <v>51</v>
      </c>
      <c r="H20" t="s">
        <v>52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53</v>
      </c>
      <c r="C1" s="1" t="s">
        <v>2</v>
      </c>
    </row>
    <row r="2" spans="1:3" x14ac:dyDescent="0.25">
      <c r="A2" t="s">
        <v>8</v>
      </c>
      <c r="B2" t="s">
        <v>27</v>
      </c>
      <c r="C2" t="s">
        <v>46</v>
      </c>
    </row>
    <row r="3" spans="1:3" x14ac:dyDescent="0.25">
      <c r="A3" t="s">
        <v>16</v>
      </c>
      <c r="B3" t="s">
        <v>35</v>
      </c>
      <c r="C3" t="s">
        <v>47</v>
      </c>
    </row>
    <row r="4" spans="1:3" x14ac:dyDescent="0.25">
      <c r="A4" t="s">
        <v>21</v>
      </c>
      <c r="B4" t="s">
        <v>40</v>
      </c>
      <c r="C4" t="s">
        <v>48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53</v>
      </c>
      <c r="C1" s="1" t="s">
        <v>2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20"/>
  <sheetViews>
    <sheetView workbookViewId="0"/>
  </sheetViews>
  <sheetFormatPr defaultRowHeight="15" x14ac:dyDescent="0.25"/>
  <sheetData>
    <row r="1" spans="1:28" x14ac:dyDescent="0.25">
      <c r="A1" s="1" t="s">
        <v>54</v>
      </c>
      <c r="B1" s="1" t="s">
        <v>55</v>
      </c>
      <c r="C1" s="1" t="s">
        <v>0</v>
      </c>
      <c r="D1" s="1" t="s">
        <v>53</v>
      </c>
      <c r="E1" s="1" t="s">
        <v>2</v>
      </c>
      <c r="F1" s="1" t="s">
        <v>3</v>
      </c>
      <c r="G1" s="1" t="s">
        <v>56</v>
      </c>
      <c r="H1" s="1" t="s">
        <v>57</v>
      </c>
      <c r="I1" s="1" t="s">
        <v>58</v>
      </c>
      <c r="J1" s="1" t="s">
        <v>59</v>
      </c>
      <c r="K1" s="1" t="s">
        <v>60</v>
      </c>
      <c r="L1" s="1" t="s">
        <v>61</v>
      </c>
      <c r="M1" s="1" t="s">
        <v>62</v>
      </c>
      <c r="N1" s="1" t="s">
        <v>63</v>
      </c>
      <c r="O1" s="1" t="s">
        <v>64</v>
      </c>
      <c r="P1" s="1" t="s">
        <v>65</v>
      </c>
      <c r="Q1" s="1" t="s">
        <v>66</v>
      </c>
      <c r="R1" s="1" t="s">
        <v>67</v>
      </c>
      <c r="S1" s="1" t="s">
        <v>68</v>
      </c>
      <c r="T1" s="1" t="s">
        <v>69</v>
      </c>
      <c r="U1" s="1" t="s">
        <v>70</v>
      </c>
      <c r="V1" s="1" t="s">
        <v>4</v>
      </c>
      <c r="W1" s="1" t="s">
        <v>71</v>
      </c>
      <c r="X1" s="1" t="s">
        <v>72</v>
      </c>
      <c r="Y1" s="1" t="s">
        <v>73</v>
      </c>
      <c r="Z1" s="1" t="s">
        <v>5</v>
      </c>
      <c r="AA1" s="1" t="s">
        <v>6</v>
      </c>
      <c r="AB1" s="1" t="s">
        <v>74</v>
      </c>
    </row>
    <row r="2" spans="1:28" x14ac:dyDescent="0.25">
      <c r="A2">
        <v>67</v>
      </c>
      <c r="B2" t="s">
        <v>75</v>
      </c>
      <c r="C2" t="s">
        <v>8</v>
      </c>
      <c r="D2" t="s">
        <v>27</v>
      </c>
      <c r="E2" t="s">
        <v>46</v>
      </c>
      <c r="F2">
        <v>35266866</v>
      </c>
      <c r="G2">
        <v>71.849999999999994</v>
      </c>
      <c r="H2" t="s">
        <v>52</v>
      </c>
      <c r="I2">
        <v>2533924322.0999999</v>
      </c>
      <c r="J2" t="s">
        <v>94</v>
      </c>
      <c r="K2">
        <v>5352301.5060483897</v>
      </c>
      <c r="L2" t="s">
        <v>96</v>
      </c>
      <c r="M2">
        <v>1</v>
      </c>
      <c r="N2">
        <v>71</v>
      </c>
      <c r="O2">
        <v>71.849999999999994</v>
      </c>
      <c r="P2">
        <v>0.85</v>
      </c>
      <c r="Q2">
        <v>10101010</v>
      </c>
      <c r="R2">
        <v>10</v>
      </c>
      <c r="S2" t="b">
        <v>0</v>
      </c>
      <c r="T2" t="b">
        <v>0</v>
      </c>
      <c r="U2" t="b">
        <v>0</v>
      </c>
      <c r="V2">
        <v>0.85</v>
      </c>
      <c r="W2">
        <v>2128355363.0999999</v>
      </c>
      <c r="X2">
        <v>2.3276667227004151E-3</v>
      </c>
      <c r="Y2">
        <v>3.6150301515785201E-3</v>
      </c>
      <c r="Z2">
        <v>1</v>
      </c>
      <c r="AA2" t="s">
        <v>51</v>
      </c>
      <c r="AB2" t="b">
        <v>1</v>
      </c>
    </row>
    <row r="3" spans="1:28" x14ac:dyDescent="0.25">
      <c r="A3">
        <v>70</v>
      </c>
      <c r="B3" t="s">
        <v>76</v>
      </c>
      <c r="C3" t="s">
        <v>9</v>
      </c>
      <c r="D3" t="s">
        <v>28</v>
      </c>
      <c r="E3" t="s">
        <v>47</v>
      </c>
      <c r="F3">
        <v>450499200</v>
      </c>
      <c r="G3">
        <v>72.319999999999993</v>
      </c>
      <c r="H3" t="s">
        <v>52</v>
      </c>
      <c r="I3">
        <v>32580102144</v>
      </c>
      <c r="J3" t="s">
        <v>95</v>
      </c>
      <c r="K3">
        <v>65225053.852419399</v>
      </c>
      <c r="L3" t="s">
        <v>97</v>
      </c>
      <c r="M3">
        <v>1</v>
      </c>
      <c r="N3">
        <v>70.239999999999995</v>
      </c>
      <c r="O3">
        <v>72.319999999999993</v>
      </c>
      <c r="P3">
        <v>1</v>
      </c>
      <c r="Q3">
        <v>10101010</v>
      </c>
      <c r="R3">
        <v>10</v>
      </c>
      <c r="S3" t="b">
        <v>0</v>
      </c>
      <c r="T3" t="b">
        <v>0</v>
      </c>
      <c r="U3" t="b">
        <v>0</v>
      </c>
      <c r="V3">
        <v>1</v>
      </c>
      <c r="W3">
        <v>31643063808</v>
      </c>
      <c r="X3">
        <v>3.4606301140843287E-2</v>
      </c>
      <c r="Y3">
        <v>5.3746019925746957E-2</v>
      </c>
      <c r="Z3">
        <v>0.99999999999999989</v>
      </c>
      <c r="AA3" t="s">
        <v>51</v>
      </c>
      <c r="AB3" t="b">
        <v>0</v>
      </c>
    </row>
    <row r="4" spans="1:28" x14ac:dyDescent="0.25">
      <c r="A4">
        <v>118</v>
      </c>
      <c r="B4" t="s">
        <v>77</v>
      </c>
      <c r="C4" t="s">
        <v>10</v>
      </c>
      <c r="D4" t="s">
        <v>29</v>
      </c>
      <c r="E4" t="s">
        <v>48</v>
      </c>
      <c r="F4">
        <v>49328548</v>
      </c>
      <c r="G4">
        <v>467.7</v>
      </c>
      <c r="H4" t="s">
        <v>52</v>
      </c>
      <c r="I4">
        <v>23070961899.599998</v>
      </c>
      <c r="J4" t="s">
        <v>95</v>
      </c>
      <c r="K4">
        <v>87402135.328225806</v>
      </c>
      <c r="L4" t="s">
        <v>98</v>
      </c>
      <c r="M4">
        <v>1</v>
      </c>
      <c r="N4">
        <v>520.79999999999995</v>
      </c>
      <c r="O4">
        <v>467.7</v>
      </c>
      <c r="P4">
        <v>0.95</v>
      </c>
      <c r="Q4">
        <v>10102020</v>
      </c>
      <c r="R4">
        <v>10</v>
      </c>
      <c r="S4" t="b">
        <v>0</v>
      </c>
      <c r="T4" t="b">
        <v>0</v>
      </c>
      <c r="U4" t="b">
        <v>0</v>
      </c>
      <c r="V4">
        <v>0.95</v>
      </c>
      <c r="W4">
        <v>24405792408.48</v>
      </c>
      <c r="X4">
        <v>2.6691290286980231E-2</v>
      </c>
      <c r="Y4">
        <v>4.1453451317131379E-2</v>
      </c>
      <c r="Z4">
        <v>1</v>
      </c>
      <c r="AA4" t="s">
        <v>51</v>
      </c>
      <c r="AB4" t="b">
        <v>0</v>
      </c>
    </row>
    <row r="5" spans="1:28" x14ac:dyDescent="0.25">
      <c r="A5">
        <v>119</v>
      </c>
      <c r="B5" t="s">
        <v>78</v>
      </c>
      <c r="C5" t="s">
        <v>11</v>
      </c>
      <c r="D5" t="s">
        <v>30</v>
      </c>
      <c r="E5" t="s">
        <v>48</v>
      </c>
      <c r="F5">
        <v>393830692</v>
      </c>
      <c r="G5">
        <v>642.6</v>
      </c>
      <c r="H5" t="s">
        <v>52</v>
      </c>
      <c r="I5">
        <v>253075602679.20001</v>
      </c>
      <c r="J5" t="s">
        <v>95</v>
      </c>
      <c r="K5">
        <v>553885525.13951695</v>
      </c>
      <c r="L5" t="s">
        <v>99</v>
      </c>
      <c r="M5">
        <v>1</v>
      </c>
      <c r="N5">
        <v>666</v>
      </c>
      <c r="O5">
        <v>642.6</v>
      </c>
      <c r="P5">
        <v>1</v>
      </c>
      <c r="Q5">
        <v>10102020</v>
      </c>
      <c r="R5">
        <v>10</v>
      </c>
      <c r="S5" t="b">
        <v>0</v>
      </c>
      <c r="T5" t="b">
        <v>0</v>
      </c>
      <c r="U5" t="b">
        <v>0</v>
      </c>
      <c r="V5">
        <v>1</v>
      </c>
      <c r="W5">
        <v>262291240872</v>
      </c>
      <c r="X5">
        <v>0.28685369164306612</v>
      </c>
      <c r="Y5">
        <v>0.2</v>
      </c>
      <c r="Z5">
        <v>0.44892979097570018</v>
      </c>
      <c r="AA5" t="s">
        <v>51</v>
      </c>
      <c r="AB5" t="b">
        <v>0</v>
      </c>
    </row>
    <row r="6" spans="1:28" x14ac:dyDescent="0.25">
      <c r="A6">
        <v>181</v>
      </c>
      <c r="B6" t="s">
        <v>79</v>
      </c>
      <c r="C6" t="s">
        <v>12</v>
      </c>
      <c r="D6" t="s">
        <v>31</v>
      </c>
      <c r="E6" t="s">
        <v>48</v>
      </c>
      <c r="F6">
        <v>81146738</v>
      </c>
      <c r="G6">
        <v>105.3</v>
      </c>
      <c r="H6" t="s">
        <v>52</v>
      </c>
      <c r="I6">
        <v>8544751511.3999996</v>
      </c>
      <c r="J6" t="s">
        <v>95</v>
      </c>
      <c r="K6">
        <v>56350687.948225804</v>
      </c>
      <c r="L6" t="s">
        <v>100</v>
      </c>
      <c r="M6">
        <v>1</v>
      </c>
      <c r="N6">
        <v>126.85</v>
      </c>
      <c r="O6">
        <v>105.3</v>
      </c>
      <c r="P6">
        <v>0.9</v>
      </c>
      <c r="Q6">
        <v>10102010</v>
      </c>
      <c r="R6">
        <v>10</v>
      </c>
      <c r="S6" t="b">
        <v>0</v>
      </c>
      <c r="T6" t="b">
        <v>0</v>
      </c>
      <c r="U6" t="b">
        <v>0</v>
      </c>
      <c r="V6">
        <v>0.9</v>
      </c>
      <c r="W6">
        <v>9264117343.7700005</v>
      </c>
      <c r="X6">
        <v>1.0131662235613251E-2</v>
      </c>
      <c r="Y6">
        <v>1.5735184126729189E-2</v>
      </c>
      <c r="Z6">
        <v>0.99999999999999989</v>
      </c>
      <c r="AA6" t="s">
        <v>51</v>
      </c>
      <c r="AB6" t="b">
        <v>0</v>
      </c>
    </row>
    <row r="7" spans="1:28" x14ac:dyDescent="0.25">
      <c r="A7">
        <v>183</v>
      </c>
      <c r="B7" t="s">
        <v>80</v>
      </c>
      <c r="C7" t="s">
        <v>13</v>
      </c>
      <c r="D7" t="s">
        <v>32</v>
      </c>
      <c r="E7" t="s">
        <v>49</v>
      </c>
      <c r="F7">
        <v>126000000</v>
      </c>
      <c r="G7">
        <v>38.56</v>
      </c>
      <c r="H7" t="s">
        <v>52</v>
      </c>
      <c r="I7">
        <v>4858560000</v>
      </c>
      <c r="J7" t="s">
        <v>95</v>
      </c>
      <c r="K7">
        <v>15846966.157741901</v>
      </c>
      <c r="L7" t="s">
        <v>101</v>
      </c>
      <c r="M7">
        <v>1</v>
      </c>
      <c r="N7">
        <v>37.119999999999997</v>
      </c>
      <c r="O7">
        <v>38.56</v>
      </c>
      <c r="P7">
        <v>0.65</v>
      </c>
      <c r="Q7">
        <v>10101010</v>
      </c>
      <c r="R7">
        <v>10</v>
      </c>
      <c r="S7" t="b">
        <v>0</v>
      </c>
      <c r="T7" t="b">
        <v>0</v>
      </c>
      <c r="U7" t="b">
        <v>0</v>
      </c>
      <c r="V7">
        <v>0.65</v>
      </c>
      <c r="W7">
        <v>3040128000</v>
      </c>
      <c r="X7">
        <v>3.3248229600355921E-3</v>
      </c>
      <c r="Y7">
        <v>5.1636839294781503E-3</v>
      </c>
      <c r="Z7">
        <v>1</v>
      </c>
      <c r="AA7" t="s">
        <v>51</v>
      </c>
      <c r="AB7" t="b">
        <v>0</v>
      </c>
    </row>
    <row r="8" spans="1:28" x14ac:dyDescent="0.25">
      <c r="A8">
        <v>240</v>
      </c>
      <c r="B8" t="s">
        <v>81</v>
      </c>
      <c r="C8" t="s">
        <v>14</v>
      </c>
      <c r="D8" t="s">
        <v>33</v>
      </c>
      <c r="E8" t="s">
        <v>46</v>
      </c>
      <c r="F8">
        <v>171347471</v>
      </c>
      <c r="G8">
        <v>146.9</v>
      </c>
      <c r="H8" t="s">
        <v>52</v>
      </c>
      <c r="I8">
        <v>25170943489.900002</v>
      </c>
      <c r="J8" t="s">
        <v>95</v>
      </c>
      <c r="K8">
        <v>84309554.2024194</v>
      </c>
      <c r="L8" t="s">
        <v>102</v>
      </c>
      <c r="M8">
        <v>1</v>
      </c>
      <c r="N8">
        <v>150.19999999999999</v>
      </c>
      <c r="O8">
        <v>146.9</v>
      </c>
      <c r="P8">
        <v>0.85</v>
      </c>
      <c r="Q8">
        <v>10101010</v>
      </c>
      <c r="R8">
        <v>10</v>
      </c>
      <c r="S8" t="b">
        <v>0</v>
      </c>
      <c r="T8" t="b">
        <v>0</v>
      </c>
      <c r="U8" t="b">
        <v>0</v>
      </c>
      <c r="V8">
        <v>0.85</v>
      </c>
      <c r="W8">
        <v>21875931622.57</v>
      </c>
      <c r="X8">
        <v>2.3924518879102911E-2</v>
      </c>
      <c r="Y8">
        <v>3.7156460702255811E-2</v>
      </c>
      <c r="Z8">
        <v>0.99999999999999989</v>
      </c>
      <c r="AA8" t="s">
        <v>51</v>
      </c>
      <c r="AB8" t="b">
        <v>0</v>
      </c>
    </row>
    <row r="9" spans="1:28" x14ac:dyDescent="0.25">
      <c r="A9">
        <v>373</v>
      </c>
      <c r="B9" t="s">
        <v>82</v>
      </c>
      <c r="C9" t="s">
        <v>15</v>
      </c>
      <c r="D9" t="s">
        <v>34</v>
      </c>
      <c r="E9" t="s">
        <v>46</v>
      </c>
      <c r="F9">
        <v>1340433125</v>
      </c>
      <c r="G9">
        <v>33.590000000000003</v>
      </c>
      <c r="H9" t="s">
        <v>52</v>
      </c>
      <c r="I9">
        <v>45025148668.750008</v>
      </c>
      <c r="J9" t="s">
        <v>95</v>
      </c>
      <c r="K9">
        <v>59659140.1269354</v>
      </c>
      <c r="L9" t="s">
        <v>103</v>
      </c>
      <c r="M9">
        <v>1</v>
      </c>
      <c r="N9">
        <v>31.67</v>
      </c>
      <c r="O9">
        <v>33.590000000000003</v>
      </c>
      <c r="P9">
        <v>0.5</v>
      </c>
      <c r="Q9">
        <v>10101015</v>
      </c>
      <c r="R9">
        <v>10</v>
      </c>
      <c r="S9" t="b">
        <v>0</v>
      </c>
      <c r="T9" t="b">
        <v>0</v>
      </c>
      <c r="U9" t="b">
        <v>0</v>
      </c>
      <c r="V9">
        <v>0.5</v>
      </c>
      <c r="W9">
        <v>21225758534.375</v>
      </c>
      <c r="X9">
        <v>2.321345986723632E-2</v>
      </c>
      <c r="Y9">
        <v>3.6052136039974592E-2</v>
      </c>
      <c r="Z9">
        <v>0.99999999999999989</v>
      </c>
      <c r="AA9" t="s">
        <v>51</v>
      </c>
      <c r="AB9" t="b">
        <v>0</v>
      </c>
    </row>
    <row r="10" spans="1:28" x14ac:dyDescent="0.25">
      <c r="A10">
        <v>646</v>
      </c>
      <c r="B10" t="s">
        <v>83</v>
      </c>
      <c r="C10" t="s">
        <v>16</v>
      </c>
      <c r="D10" t="s">
        <v>35</v>
      </c>
      <c r="E10" t="s">
        <v>47</v>
      </c>
      <c r="F10">
        <v>176654400</v>
      </c>
      <c r="G10">
        <v>34.68</v>
      </c>
      <c r="H10" t="s">
        <v>52</v>
      </c>
      <c r="I10">
        <v>6126374592</v>
      </c>
      <c r="J10" t="s">
        <v>94</v>
      </c>
      <c r="K10">
        <v>36161664.344838701</v>
      </c>
      <c r="L10" t="s">
        <v>104</v>
      </c>
      <c r="M10">
        <v>1</v>
      </c>
      <c r="N10">
        <v>35.74</v>
      </c>
      <c r="O10">
        <v>34.68</v>
      </c>
      <c r="P10">
        <v>0.45</v>
      </c>
      <c r="Q10">
        <v>10101010</v>
      </c>
      <c r="R10">
        <v>10</v>
      </c>
      <c r="S10" t="b">
        <v>0</v>
      </c>
      <c r="T10" t="b">
        <v>0</v>
      </c>
      <c r="U10" t="b">
        <v>0</v>
      </c>
      <c r="V10">
        <v>0.45</v>
      </c>
      <c r="W10">
        <v>2841132715.1999998</v>
      </c>
      <c r="X10">
        <v>3.107192619523001E-3</v>
      </c>
      <c r="Y10">
        <v>4.8256887022496628E-3</v>
      </c>
      <c r="Z10">
        <v>1</v>
      </c>
      <c r="AA10" t="s">
        <v>51</v>
      </c>
      <c r="AB10" t="b">
        <v>1</v>
      </c>
    </row>
    <row r="11" spans="1:28" x14ac:dyDescent="0.25">
      <c r="A11">
        <v>649</v>
      </c>
      <c r="B11" t="s">
        <v>84</v>
      </c>
      <c r="C11" t="s">
        <v>17</v>
      </c>
      <c r="D11" t="s">
        <v>36</v>
      </c>
      <c r="E11" t="s">
        <v>49</v>
      </c>
      <c r="F11">
        <v>1305921100</v>
      </c>
      <c r="G11">
        <v>33.39</v>
      </c>
      <c r="H11" t="s">
        <v>52</v>
      </c>
      <c r="I11">
        <v>43604705529</v>
      </c>
      <c r="J11" t="s">
        <v>95</v>
      </c>
      <c r="K11">
        <v>172929889.08375001</v>
      </c>
      <c r="L11" t="s">
        <v>105</v>
      </c>
      <c r="M11">
        <v>1</v>
      </c>
      <c r="N11">
        <v>34.935000000000002</v>
      </c>
      <c r="O11">
        <v>33.39</v>
      </c>
      <c r="P11">
        <v>1</v>
      </c>
      <c r="Q11">
        <v>10102010</v>
      </c>
      <c r="R11">
        <v>10</v>
      </c>
      <c r="S11" t="b">
        <v>0</v>
      </c>
      <c r="T11" t="b">
        <v>0</v>
      </c>
      <c r="U11" t="b">
        <v>0</v>
      </c>
      <c r="V11">
        <v>1</v>
      </c>
      <c r="W11">
        <v>45622353628.5</v>
      </c>
      <c r="X11">
        <v>4.9894691550783347E-2</v>
      </c>
      <c r="Y11">
        <v>7.7489965638438449E-2</v>
      </c>
      <c r="Z11">
        <v>0.99999999999999989</v>
      </c>
      <c r="AA11" t="s">
        <v>51</v>
      </c>
      <c r="AB11" t="b">
        <v>0</v>
      </c>
    </row>
    <row r="12" spans="1:28" x14ac:dyDescent="0.25">
      <c r="A12">
        <v>717</v>
      </c>
      <c r="B12" t="s">
        <v>85</v>
      </c>
      <c r="C12" t="s">
        <v>18</v>
      </c>
      <c r="D12" t="s">
        <v>37</v>
      </c>
      <c r="E12" t="s">
        <v>48</v>
      </c>
      <c r="F12">
        <v>208967756</v>
      </c>
      <c r="G12">
        <v>19.414999999999999</v>
      </c>
      <c r="H12" t="s">
        <v>52</v>
      </c>
      <c r="I12">
        <v>4057108982.7399998</v>
      </c>
      <c r="J12" t="s">
        <v>95</v>
      </c>
      <c r="K12">
        <v>33169597.683830701</v>
      </c>
      <c r="L12" t="s">
        <v>106</v>
      </c>
      <c r="M12">
        <v>1</v>
      </c>
      <c r="N12">
        <v>19.5</v>
      </c>
      <c r="O12">
        <v>19.414999999999999</v>
      </c>
      <c r="P12">
        <v>0.8</v>
      </c>
      <c r="Q12">
        <v>10101020</v>
      </c>
      <c r="R12">
        <v>10</v>
      </c>
      <c r="S12" t="b">
        <v>0</v>
      </c>
      <c r="T12" t="b">
        <v>0</v>
      </c>
      <c r="U12" t="b">
        <v>0</v>
      </c>
      <c r="V12">
        <v>0.8</v>
      </c>
      <c r="W12">
        <v>3259896993.5999999</v>
      </c>
      <c r="X12">
        <v>3.5651723781604848E-3</v>
      </c>
      <c r="Y12">
        <v>5.5369634823291842E-3</v>
      </c>
      <c r="Z12">
        <v>1</v>
      </c>
      <c r="AA12" t="s">
        <v>51</v>
      </c>
      <c r="AB12" t="b">
        <v>0</v>
      </c>
    </row>
    <row r="13" spans="1:28" x14ac:dyDescent="0.25">
      <c r="A13">
        <v>923</v>
      </c>
      <c r="B13" t="s">
        <v>86</v>
      </c>
      <c r="C13" t="s">
        <v>19</v>
      </c>
      <c r="D13" t="s">
        <v>38</v>
      </c>
      <c r="E13" t="s">
        <v>49</v>
      </c>
      <c r="F13">
        <v>115500000</v>
      </c>
      <c r="G13">
        <v>117.6</v>
      </c>
      <c r="H13" t="s">
        <v>52</v>
      </c>
      <c r="I13">
        <v>13582800000</v>
      </c>
      <c r="J13" t="s">
        <v>95</v>
      </c>
      <c r="K13">
        <v>17670885.9104839</v>
      </c>
      <c r="L13" t="s">
        <v>107</v>
      </c>
      <c r="M13">
        <v>1</v>
      </c>
      <c r="N13">
        <v>122.9</v>
      </c>
      <c r="O13">
        <v>117.6</v>
      </c>
      <c r="P13">
        <v>0.6</v>
      </c>
      <c r="Q13">
        <v>10101015</v>
      </c>
      <c r="R13">
        <v>10</v>
      </c>
      <c r="S13" t="b">
        <v>0</v>
      </c>
      <c r="T13" t="b">
        <v>0</v>
      </c>
      <c r="U13" t="b">
        <v>0</v>
      </c>
      <c r="V13">
        <v>0.6</v>
      </c>
      <c r="W13">
        <v>8516970000</v>
      </c>
      <c r="X13">
        <v>9.314547744678622E-3</v>
      </c>
      <c r="Y13">
        <v>1.4466147845369509E-2</v>
      </c>
      <c r="Z13">
        <v>1</v>
      </c>
      <c r="AA13" t="s">
        <v>51</v>
      </c>
      <c r="AB13" t="b">
        <v>0</v>
      </c>
    </row>
    <row r="14" spans="1:28" x14ac:dyDescent="0.25">
      <c r="A14">
        <v>1063</v>
      </c>
      <c r="B14" t="s">
        <v>87</v>
      </c>
      <c r="C14" t="s">
        <v>20</v>
      </c>
      <c r="D14" t="s">
        <v>39</v>
      </c>
      <c r="E14" t="s">
        <v>48</v>
      </c>
      <c r="F14">
        <v>2378947836</v>
      </c>
      <c r="G14">
        <v>45.134999999999998</v>
      </c>
      <c r="H14" t="s">
        <v>52</v>
      </c>
      <c r="I14">
        <v>107373810577.86</v>
      </c>
      <c r="J14" t="s">
        <v>95</v>
      </c>
      <c r="K14">
        <v>158209568.073266</v>
      </c>
      <c r="L14" t="s">
        <v>108</v>
      </c>
      <c r="M14">
        <v>1</v>
      </c>
      <c r="N14">
        <v>46.615000000000002</v>
      </c>
      <c r="O14">
        <v>45.134999999999998</v>
      </c>
      <c r="P14">
        <v>0.55000000000000004</v>
      </c>
      <c r="Q14">
        <v>10101020</v>
      </c>
      <c r="R14">
        <v>10</v>
      </c>
      <c r="S14" t="b">
        <v>0</v>
      </c>
      <c r="T14" t="b">
        <v>0</v>
      </c>
      <c r="U14" t="b">
        <v>0</v>
      </c>
      <c r="V14">
        <v>0.55000000000000004</v>
      </c>
      <c r="W14">
        <v>60992059356.327003</v>
      </c>
      <c r="X14">
        <v>6.6703704359740656E-2</v>
      </c>
      <c r="Y14">
        <v>0.10359554489943951</v>
      </c>
      <c r="Z14">
        <v>1</v>
      </c>
      <c r="AA14" t="s">
        <v>51</v>
      </c>
      <c r="AB14" t="b">
        <v>0</v>
      </c>
    </row>
    <row r="15" spans="1:28" x14ac:dyDescent="0.25">
      <c r="A15">
        <v>1100</v>
      </c>
      <c r="B15" t="s">
        <v>88</v>
      </c>
      <c r="C15" t="s">
        <v>21</v>
      </c>
      <c r="D15" t="s">
        <v>40</v>
      </c>
      <c r="E15" t="s">
        <v>48</v>
      </c>
      <c r="F15">
        <v>1907070957</v>
      </c>
      <c r="G15">
        <v>48.96</v>
      </c>
      <c r="H15" t="s">
        <v>52</v>
      </c>
      <c r="I15">
        <v>93370194054.720001</v>
      </c>
      <c r="J15" t="s">
        <v>95</v>
      </c>
      <c r="K15">
        <v>47410533.484354801</v>
      </c>
      <c r="L15" t="s">
        <v>109</v>
      </c>
      <c r="M15">
        <v>1</v>
      </c>
      <c r="N15">
        <v>45.78</v>
      </c>
      <c r="O15">
        <v>48.96</v>
      </c>
      <c r="P15">
        <v>1</v>
      </c>
      <c r="Q15">
        <v>10101010</v>
      </c>
      <c r="R15">
        <v>10</v>
      </c>
      <c r="S15" t="b">
        <v>0</v>
      </c>
      <c r="T15" t="b">
        <v>0</v>
      </c>
      <c r="U15" t="b">
        <v>0</v>
      </c>
      <c r="V15">
        <v>1</v>
      </c>
      <c r="W15">
        <v>87305708411.460007</v>
      </c>
      <c r="X15">
        <v>9.5481513893031708E-2</v>
      </c>
      <c r="Y15">
        <v>0.1482895073746768</v>
      </c>
      <c r="Z15">
        <v>0.99999999999999989</v>
      </c>
      <c r="AA15" t="s">
        <v>51</v>
      </c>
      <c r="AB15" t="b">
        <v>1</v>
      </c>
    </row>
    <row r="16" spans="1:28" x14ac:dyDescent="0.25">
      <c r="A16">
        <v>1105</v>
      </c>
      <c r="B16" t="s">
        <v>89</v>
      </c>
      <c r="C16" t="s">
        <v>22</v>
      </c>
      <c r="D16" t="s">
        <v>41</v>
      </c>
      <c r="E16" t="s">
        <v>50</v>
      </c>
      <c r="F16">
        <v>37411428</v>
      </c>
      <c r="G16">
        <v>142.9</v>
      </c>
      <c r="H16" t="s">
        <v>52</v>
      </c>
      <c r="I16">
        <v>5346093061.1999998</v>
      </c>
      <c r="J16" t="s">
        <v>95</v>
      </c>
      <c r="K16">
        <v>7160192.3854838703</v>
      </c>
      <c r="L16" t="s">
        <v>110</v>
      </c>
      <c r="M16">
        <v>1</v>
      </c>
      <c r="N16">
        <v>144.80000000000001</v>
      </c>
      <c r="O16">
        <v>142.9</v>
      </c>
      <c r="P16">
        <v>0.65</v>
      </c>
      <c r="Q16">
        <v>10101020</v>
      </c>
      <c r="R16">
        <v>10</v>
      </c>
      <c r="S16" t="b">
        <v>0</v>
      </c>
      <c r="T16" t="b">
        <v>0</v>
      </c>
      <c r="U16" t="b">
        <v>0</v>
      </c>
      <c r="V16">
        <v>0.65</v>
      </c>
      <c r="W16">
        <v>3521163603.3600011</v>
      </c>
      <c r="X16">
        <v>3.8509054863785299E-3</v>
      </c>
      <c r="Y16">
        <v>5.9807270982450119E-3</v>
      </c>
      <c r="Z16">
        <v>1</v>
      </c>
      <c r="AA16" t="s">
        <v>51</v>
      </c>
      <c r="AB16" t="b">
        <v>0</v>
      </c>
    </row>
    <row r="17" spans="1:28" x14ac:dyDescent="0.25">
      <c r="A17">
        <v>1161</v>
      </c>
      <c r="B17" t="s">
        <v>90</v>
      </c>
      <c r="C17" t="s">
        <v>23</v>
      </c>
      <c r="D17" t="s">
        <v>42</v>
      </c>
      <c r="E17" t="s">
        <v>49</v>
      </c>
      <c r="F17">
        <v>1228504300</v>
      </c>
      <c r="G17">
        <v>260.55</v>
      </c>
      <c r="H17" t="s">
        <v>52</v>
      </c>
      <c r="I17">
        <v>320086795365</v>
      </c>
      <c r="J17" t="s">
        <v>95</v>
      </c>
      <c r="K17">
        <v>525748192.38346797</v>
      </c>
      <c r="L17" t="s">
        <v>111</v>
      </c>
      <c r="M17">
        <v>1</v>
      </c>
      <c r="N17">
        <v>256.05</v>
      </c>
      <c r="O17">
        <v>260.55</v>
      </c>
      <c r="P17">
        <v>0.95</v>
      </c>
      <c r="Q17">
        <v>10101015</v>
      </c>
      <c r="R17">
        <v>10</v>
      </c>
      <c r="S17" t="b">
        <v>0</v>
      </c>
      <c r="T17" t="b">
        <v>0</v>
      </c>
      <c r="U17" t="b">
        <v>0</v>
      </c>
      <c r="V17">
        <v>0.95</v>
      </c>
      <c r="W17">
        <v>298830599714.25</v>
      </c>
      <c r="X17">
        <v>0.32681480486714498</v>
      </c>
      <c r="Y17">
        <v>0.2</v>
      </c>
      <c r="Z17">
        <v>0.39403713024041082</v>
      </c>
      <c r="AA17" t="s">
        <v>51</v>
      </c>
      <c r="AB17" t="b">
        <v>0</v>
      </c>
    </row>
    <row r="18" spans="1:28" x14ac:dyDescent="0.25">
      <c r="A18">
        <v>1174</v>
      </c>
      <c r="B18" t="s">
        <v>91</v>
      </c>
      <c r="C18" t="s">
        <v>24</v>
      </c>
      <c r="D18" t="s">
        <v>43</v>
      </c>
      <c r="E18" t="s">
        <v>49</v>
      </c>
      <c r="F18">
        <v>75000000</v>
      </c>
      <c r="G18">
        <v>118.7</v>
      </c>
      <c r="H18" t="s">
        <v>52</v>
      </c>
      <c r="I18">
        <v>8902500000</v>
      </c>
      <c r="J18" t="s">
        <v>95</v>
      </c>
      <c r="K18">
        <v>20726573.073790301</v>
      </c>
      <c r="L18" t="s">
        <v>112</v>
      </c>
      <c r="M18">
        <v>1</v>
      </c>
      <c r="N18">
        <v>116.7</v>
      </c>
      <c r="O18">
        <v>118.7</v>
      </c>
      <c r="P18">
        <v>0.95</v>
      </c>
      <c r="Q18">
        <v>10101020</v>
      </c>
      <c r="R18">
        <v>10</v>
      </c>
      <c r="S18" t="b">
        <v>0</v>
      </c>
      <c r="T18" t="b">
        <v>0</v>
      </c>
      <c r="U18" t="b">
        <v>0</v>
      </c>
      <c r="V18">
        <v>0.95</v>
      </c>
      <c r="W18">
        <v>8314875000</v>
      </c>
      <c r="X18">
        <v>9.0935274139200516E-3</v>
      </c>
      <c r="Y18">
        <v>1.4122887724832519E-2</v>
      </c>
      <c r="Z18">
        <v>1</v>
      </c>
      <c r="AA18" t="s">
        <v>51</v>
      </c>
      <c r="AB18" t="b">
        <v>0</v>
      </c>
    </row>
    <row r="19" spans="1:28" x14ac:dyDescent="0.25">
      <c r="A19">
        <v>1253</v>
      </c>
      <c r="B19" t="s">
        <v>92</v>
      </c>
      <c r="C19" t="s">
        <v>25</v>
      </c>
      <c r="D19" t="s">
        <v>44</v>
      </c>
      <c r="E19" t="s">
        <v>46</v>
      </c>
      <c r="F19">
        <v>20547701</v>
      </c>
      <c r="G19">
        <v>188.9</v>
      </c>
      <c r="H19" t="s">
        <v>52</v>
      </c>
      <c r="I19">
        <v>3881460718.9000001</v>
      </c>
      <c r="J19" t="s">
        <v>95</v>
      </c>
      <c r="K19">
        <v>7129420.2451612996</v>
      </c>
      <c r="L19" t="s">
        <v>113</v>
      </c>
      <c r="M19">
        <v>1</v>
      </c>
      <c r="N19">
        <v>207</v>
      </c>
      <c r="O19">
        <v>188.9</v>
      </c>
      <c r="P19">
        <v>0.75</v>
      </c>
      <c r="Q19">
        <v>10101010</v>
      </c>
      <c r="R19">
        <v>10</v>
      </c>
      <c r="S19" t="b">
        <v>0</v>
      </c>
      <c r="T19" t="b">
        <v>0</v>
      </c>
      <c r="U19" t="b">
        <v>0</v>
      </c>
      <c r="V19">
        <v>0.75</v>
      </c>
      <c r="W19">
        <v>3190030580.25</v>
      </c>
      <c r="X19">
        <v>3.4887632745828011E-3</v>
      </c>
      <c r="Y19">
        <v>5.4182947697533727E-3</v>
      </c>
      <c r="Z19">
        <v>0.99999999999999989</v>
      </c>
      <c r="AA19" t="s">
        <v>51</v>
      </c>
      <c r="AB19" t="b">
        <v>0</v>
      </c>
    </row>
    <row r="20" spans="1:28" x14ac:dyDescent="0.25">
      <c r="A20">
        <v>1274</v>
      </c>
      <c r="B20" t="s">
        <v>93</v>
      </c>
      <c r="C20" t="s">
        <v>26</v>
      </c>
      <c r="D20" t="s">
        <v>45</v>
      </c>
      <c r="E20" t="s">
        <v>46</v>
      </c>
      <c r="F20">
        <v>911281920</v>
      </c>
      <c r="G20">
        <v>21.52</v>
      </c>
      <c r="H20" t="s">
        <v>52</v>
      </c>
      <c r="I20">
        <v>19610786918.400002</v>
      </c>
      <c r="J20" t="s">
        <v>95</v>
      </c>
      <c r="K20">
        <v>70828427.253919393</v>
      </c>
      <c r="L20" t="s">
        <v>114</v>
      </c>
      <c r="M20">
        <v>1</v>
      </c>
      <c r="N20">
        <v>25.245000000000001</v>
      </c>
      <c r="O20">
        <v>21.52</v>
      </c>
      <c r="P20">
        <v>0.7</v>
      </c>
      <c r="Q20">
        <v>10102010</v>
      </c>
      <c r="R20">
        <v>10</v>
      </c>
      <c r="S20" t="b">
        <v>0</v>
      </c>
      <c r="T20" t="b">
        <v>0</v>
      </c>
      <c r="U20" t="b">
        <v>0</v>
      </c>
      <c r="V20">
        <v>0.7</v>
      </c>
      <c r="W20">
        <v>16103718449.280001</v>
      </c>
      <c r="X20">
        <v>1.7611762676477731E-2</v>
      </c>
      <c r="Y20">
        <v>2.7352306271771432E-2</v>
      </c>
      <c r="Z20">
        <v>0.99999999999999989</v>
      </c>
      <c r="AA20" t="s">
        <v>51</v>
      </c>
      <c r="AB20" t="b">
        <v>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/>
  </sheetViews>
  <sheetFormatPr defaultRowHeight="15" x14ac:dyDescent="0.25"/>
  <sheetData>
    <row r="1" spans="1:2" x14ac:dyDescent="0.25">
      <c r="A1" s="1" t="s">
        <v>115</v>
      </c>
      <c r="B1" s="1" t="s">
        <v>116</v>
      </c>
    </row>
    <row r="2" spans="1:2" x14ac:dyDescent="0.25">
      <c r="A2" t="s">
        <v>117</v>
      </c>
      <c r="B2">
        <v>442686852174.47522</v>
      </c>
    </row>
    <row r="3" spans="1:2" x14ac:dyDescent="0.25">
      <c r="A3" t="s">
        <v>118</v>
      </c>
      <c r="B3">
        <v>914372896404.52197</v>
      </c>
    </row>
    <row r="4" spans="1:2" x14ac:dyDescent="0.25">
      <c r="A4" t="s">
        <v>119</v>
      </c>
      <c r="B4">
        <v>2.0655072359007902</v>
      </c>
    </row>
    <row r="5" spans="1:2" x14ac:dyDescent="0.25">
      <c r="A5" t="s">
        <v>120</v>
      </c>
      <c r="B5">
        <v>19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Index Composition</vt:lpstr>
      <vt:lpstr>Inclusion</vt:lpstr>
      <vt:lpstr>Exclusion</vt:lpstr>
      <vt:lpstr>Full Universe</vt:lpstr>
      <vt:lpstr>Index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Coen Sonneveld</cp:lastModifiedBy>
  <dcterms:created xsi:type="dcterms:W3CDTF">2025-08-06T09:33:35Z</dcterms:created>
  <dcterms:modified xsi:type="dcterms:W3CDTF">2025-08-06T09:37:41Z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2025-08-06T09:35:37Z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b6592346-a368-4b43-bf12-fb618b4f0c0e</vt:lpwstr>
  </property>
  <property fmtid="{D5CDD505-2E9C-101B-9397-08002B2CF9AE}" pid="8" name="MSIP_Label_ac0b9ce6-6e99-42a1-af95-429494370cbc_ContentBits">
    <vt:lpwstr>2</vt:lpwstr>
  </property>
</Properties>
</file>