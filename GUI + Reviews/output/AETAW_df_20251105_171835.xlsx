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660995CD1BF32CEAA0E2ECAC8E7B3964C65C0C7F" xr6:coauthVersionLast="47" xr6:coauthVersionMax="47" xr10:uidLastSave="{FF284AE9-B23C-4BB9-BCCE-F4DDFBA25CA2}"/>
  <bookViews>
    <workbookView xWindow="-29115" yWindow="-16005" windowWidth="29040" windowHeight="15720" xr2:uid="{00000000-000D-0000-FFFF-FFFF00000000}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0" hidden="1">'AETAW Composition'!$A$1:$I$76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" l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73" i="1"/>
  <c r="I72" i="1"/>
  <c r="I13" i="1"/>
  <c r="I71" i="1"/>
  <c r="I70" i="1"/>
  <c r="I69" i="1"/>
  <c r="I4" i="1"/>
  <c r="I68" i="1"/>
  <c r="I67" i="1"/>
  <c r="I66" i="1"/>
  <c r="I65" i="1"/>
  <c r="I64" i="1"/>
  <c r="I63" i="1"/>
  <c r="I62" i="1"/>
  <c r="I3" i="1"/>
  <c r="I61" i="1"/>
  <c r="I5" i="1"/>
  <c r="I60" i="1"/>
  <c r="I6" i="1"/>
  <c r="I59" i="1"/>
  <c r="I58" i="1"/>
  <c r="I12" i="1"/>
  <c r="I57" i="1"/>
  <c r="I56" i="1"/>
  <c r="I55" i="1"/>
  <c r="I54" i="1"/>
  <c r="I53" i="1"/>
  <c r="I52" i="1"/>
  <c r="I51" i="1"/>
  <c r="I50" i="1"/>
  <c r="I49" i="1"/>
  <c r="I7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76" i="1"/>
  <c r="I75" i="1"/>
  <c r="I33" i="1"/>
  <c r="I32" i="1"/>
  <c r="I31" i="1"/>
  <c r="I30" i="1"/>
  <c r="I29" i="1"/>
  <c r="I28" i="1"/>
  <c r="I27" i="1"/>
  <c r="I11" i="1"/>
  <c r="I26" i="1"/>
  <c r="I2" i="1"/>
  <c r="I74" i="1"/>
  <c r="I25" i="1"/>
  <c r="I24" i="1"/>
  <c r="I23" i="1"/>
  <c r="I22" i="1"/>
  <c r="I10" i="1"/>
  <c r="I21" i="1"/>
  <c r="I20" i="1"/>
  <c r="I19" i="1"/>
  <c r="I18" i="1"/>
  <c r="I17" i="1"/>
  <c r="I8" i="1"/>
  <c r="I16" i="1"/>
  <c r="I15" i="1"/>
  <c r="I9" i="1"/>
  <c r="I14" i="1"/>
</calcChain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<sst xmlns="http://schemas.openxmlformats.org/spreadsheetml/2006/main" count="861" uniqueCount="176">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</sst>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IE\LRO5SV1J\export_11_05_2025%252017_19_41_0%5b1%5d.csv" TargetMode="External"/><Relationship Id="rId1" Type="http://schemas.openxmlformats.org/officeDocument/2006/relationships/externalLinkPath" Target="file:///C:\Users\CSonneveld\AppData\Local\Microsoft\Windows\INetCache\IE\LRO5SV1J\export_11_05_2025%252017_19_41_0%5b1%5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11_05_2025%2017_19_41_0("/>
    </sheetNames>
    <sheetDataSet>
      <sheetData sheetId="0">
        <row r="2">
          <cell r="B2" t="str">
            <v>BE0003754687</v>
          </cell>
          <cell r="G2">
            <v>19469032</v>
          </cell>
        </row>
        <row r="3">
          <cell r="B3" t="str">
            <v>BE0003818359</v>
          </cell>
          <cell r="G3">
            <v>65897071</v>
          </cell>
        </row>
        <row r="4">
          <cell r="B4" t="str">
            <v>BE0003874915</v>
          </cell>
          <cell r="G4">
            <v>73313904</v>
          </cell>
        </row>
        <row r="5">
          <cell r="B5" t="str">
            <v>BE0974349814</v>
          </cell>
          <cell r="G5">
            <v>232653901</v>
          </cell>
        </row>
        <row r="6">
          <cell r="B6" t="str">
            <v>BMG0112X1056</v>
          </cell>
          <cell r="G6">
            <v>1652797432</v>
          </cell>
        </row>
        <row r="7">
          <cell r="B7" t="str">
            <v>BMG3602E1084</v>
          </cell>
          <cell r="G7">
            <v>45671645</v>
          </cell>
        </row>
        <row r="8">
          <cell r="B8" t="str">
            <v>BMG455841020</v>
          </cell>
          <cell r="G8">
            <v>90370864</v>
          </cell>
        </row>
        <row r="9">
          <cell r="B9" t="str">
            <v>CH1216478797</v>
          </cell>
          <cell r="G9">
            <v>265676388</v>
          </cell>
        </row>
        <row r="10">
          <cell r="B10" t="str">
            <v>CY0200751713</v>
          </cell>
          <cell r="G10">
            <v>70000000</v>
          </cell>
        </row>
        <row r="11">
          <cell r="B11" t="str">
            <v>FR001400J770</v>
          </cell>
          <cell r="G11">
            <v>262769869</v>
          </cell>
        </row>
        <row r="12">
          <cell r="B12" t="str">
            <v>GB00BNTJ3546</v>
          </cell>
          <cell r="G12">
            <v>611007738</v>
          </cell>
        </row>
        <row r="13">
          <cell r="B13" t="str">
            <v>GB00BN0VZ646</v>
          </cell>
          <cell r="G13">
            <v>91300000</v>
          </cell>
        </row>
        <row r="14">
          <cell r="B14" t="str">
            <v>GB00BP6MXD84</v>
          </cell>
          <cell r="G14">
            <v>5977723229</v>
          </cell>
        </row>
        <row r="15">
          <cell r="B15" t="str">
            <v>GB00BQQFX454</v>
          </cell>
          <cell r="G15">
            <v>242694212</v>
          </cell>
        </row>
        <row r="16">
          <cell r="B16" t="str">
            <v>GB00B10RZP78</v>
          </cell>
          <cell r="G16">
            <v>2637743772</v>
          </cell>
        </row>
        <row r="17">
          <cell r="B17" t="str">
            <v>GB00B2B0DG97</v>
          </cell>
          <cell r="G17">
            <v>1907070957</v>
          </cell>
        </row>
        <row r="18">
          <cell r="B18" t="str">
            <v>JE00BRX98089</v>
          </cell>
          <cell r="G18">
            <v>1062984492</v>
          </cell>
        </row>
        <row r="19">
          <cell r="B19" t="str">
            <v>LU1789205884</v>
          </cell>
          <cell r="G19">
            <v>84177321</v>
          </cell>
        </row>
        <row r="20">
          <cell r="B20" t="str">
            <v>LU2290522684</v>
          </cell>
          <cell r="G20">
            <v>500000000</v>
          </cell>
        </row>
        <row r="21">
          <cell r="B21" t="str">
            <v>NL0000009082</v>
          </cell>
          <cell r="G21">
            <v>3888930422</v>
          </cell>
        </row>
        <row r="22">
          <cell r="B22" t="str">
            <v>NL0000009165</v>
          </cell>
          <cell r="G22">
            <v>576002613</v>
          </cell>
        </row>
        <row r="23">
          <cell r="B23" t="str">
            <v>NL0000009538</v>
          </cell>
          <cell r="G23">
            <v>962920132</v>
          </cell>
        </row>
        <row r="24">
          <cell r="B24" t="str">
            <v>NL0000289213</v>
          </cell>
          <cell r="G24">
            <v>46396667</v>
          </cell>
        </row>
        <row r="25">
          <cell r="B25" t="str">
            <v>NL0000302636</v>
          </cell>
          <cell r="G25">
            <v>43036928</v>
          </cell>
        </row>
        <row r="26">
          <cell r="B26" t="str">
            <v>NL0000313286</v>
          </cell>
          <cell r="G26">
            <v>29589371</v>
          </cell>
        </row>
        <row r="27">
          <cell r="B27" t="str">
            <v>NL0000334118</v>
          </cell>
          <cell r="G27">
            <v>49328548</v>
          </cell>
        </row>
        <row r="28">
          <cell r="B28" t="str">
            <v>NL0000337319</v>
          </cell>
          <cell r="G28">
            <v>272000000</v>
          </cell>
        </row>
        <row r="29">
          <cell r="B29" t="str">
            <v>NL0000360618</v>
          </cell>
          <cell r="G29">
            <v>176361365</v>
          </cell>
        </row>
        <row r="30">
          <cell r="B30" t="str">
            <v>NL0000371243</v>
          </cell>
          <cell r="G30">
            <v>6692920</v>
          </cell>
        </row>
        <row r="31">
          <cell r="B31" t="str">
            <v>NL0000379121</v>
          </cell>
          <cell r="G31">
            <v>180869312</v>
          </cell>
        </row>
        <row r="32">
          <cell r="B32" t="str">
            <v>NL0000395903</v>
          </cell>
          <cell r="G32">
            <v>238516153</v>
          </cell>
        </row>
        <row r="33">
          <cell r="B33" t="str">
            <v>NL0000817179</v>
          </cell>
          <cell r="G33">
            <v>44255015</v>
          </cell>
        </row>
        <row r="34">
          <cell r="B34" t="str">
            <v>NL0000852523</v>
          </cell>
          <cell r="G34">
            <v>42198429</v>
          </cell>
        </row>
        <row r="35">
          <cell r="B35" t="str">
            <v>NL0000852531</v>
          </cell>
          <cell r="G35">
            <v>15807427</v>
          </cell>
        </row>
        <row r="36">
          <cell r="B36" t="str">
            <v>NL0000852564</v>
          </cell>
          <cell r="G36">
            <v>110580102</v>
          </cell>
        </row>
        <row r="37">
          <cell r="B37" t="str">
            <v>NL0000888691</v>
          </cell>
          <cell r="G37">
            <v>32504164</v>
          </cell>
        </row>
        <row r="38">
          <cell r="B38" t="str">
            <v>NL0006237562</v>
          </cell>
          <cell r="G38">
            <v>90442091</v>
          </cell>
        </row>
        <row r="39">
          <cell r="B39" t="str">
            <v>NL0009269109</v>
          </cell>
          <cell r="G39">
            <v>27478006</v>
          </cell>
        </row>
        <row r="40">
          <cell r="B40" t="str">
            <v>NL0009432491</v>
          </cell>
          <cell r="G40">
            <v>117816148</v>
          </cell>
        </row>
        <row r="41">
          <cell r="B41" t="str">
            <v>NL0009739416</v>
          </cell>
          <cell r="G41">
            <v>508680625</v>
          </cell>
        </row>
        <row r="42">
          <cell r="B42" t="str">
            <v>NL0010273215</v>
          </cell>
          <cell r="G42">
            <v>393830692</v>
          </cell>
        </row>
        <row r="43">
          <cell r="B43" t="str">
            <v>NL0010391025</v>
          </cell>
          <cell r="G43">
            <v>685147615</v>
          </cell>
        </row>
        <row r="44">
          <cell r="B44" t="str">
            <v>NL0010558797</v>
          </cell>
          <cell r="G44">
            <v>211357989</v>
          </cell>
        </row>
        <row r="45">
          <cell r="B45" t="str">
            <v>NL0010583399</v>
          </cell>
          <cell r="G45">
            <v>58250309</v>
          </cell>
        </row>
        <row r="46">
          <cell r="B46" t="str">
            <v>NL0010773842</v>
          </cell>
          <cell r="G46">
            <v>269000000</v>
          </cell>
        </row>
        <row r="47">
          <cell r="B47" t="str">
            <v>NL0010776944</v>
          </cell>
          <cell r="G47">
            <v>50574624</v>
          </cell>
        </row>
        <row r="48">
          <cell r="B48" t="str">
            <v>NL0010801007</v>
          </cell>
          <cell r="G48">
            <v>59107999</v>
          </cell>
        </row>
        <row r="49">
          <cell r="B49" t="str">
            <v>NL0011540547</v>
          </cell>
          <cell r="G49">
            <v>578968753</v>
          </cell>
        </row>
        <row r="50">
          <cell r="B50" t="str">
            <v>NL0011660485</v>
          </cell>
          <cell r="G50">
            <v>29888612</v>
          </cell>
        </row>
        <row r="51">
          <cell r="B51" t="str">
            <v>NL0011794037</v>
          </cell>
          <cell r="G51">
            <v>907831622</v>
          </cell>
        </row>
        <row r="52">
          <cell r="B52" t="str">
            <v>NL0011821202</v>
          </cell>
          <cell r="G52">
            <v>3021542868</v>
          </cell>
        </row>
        <row r="53">
          <cell r="B53" t="str">
            <v>NL0011821392</v>
          </cell>
          <cell r="G53">
            <v>128344238</v>
          </cell>
        </row>
        <row r="54">
          <cell r="B54" t="str">
            <v>NL0011832811</v>
          </cell>
          <cell r="G54">
            <v>89283817</v>
          </cell>
        </row>
        <row r="55">
          <cell r="B55" t="str">
            <v>NL0011872643</v>
          </cell>
          <cell r="G55">
            <v>209113565</v>
          </cell>
        </row>
        <row r="56">
          <cell r="B56" t="str">
            <v>NL0011872650</v>
          </cell>
          <cell r="G56">
            <v>66000000</v>
          </cell>
        </row>
        <row r="57">
          <cell r="B57" t="str">
            <v>NL0012059018</v>
          </cell>
          <cell r="G57">
            <v>207779752</v>
          </cell>
        </row>
        <row r="58">
          <cell r="B58" t="str">
            <v>NL0012365084</v>
          </cell>
          <cell r="G58">
            <v>20155221</v>
          </cell>
        </row>
        <row r="59">
          <cell r="B59" t="str">
            <v>NL0012817175</v>
          </cell>
          <cell r="G59">
            <v>21750000</v>
          </cell>
        </row>
        <row r="60">
          <cell r="B60" t="str">
            <v>NL0012866412</v>
          </cell>
          <cell r="G60">
            <v>81146738</v>
          </cell>
        </row>
        <row r="61">
          <cell r="B61" t="str">
            <v>NL0012969182</v>
          </cell>
          <cell r="G61">
            <v>31508146</v>
          </cell>
        </row>
        <row r="62">
          <cell r="B62" t="str">
            <v>NL0013267909</v>
          </cell>
          <cell r="G62">
            <v>171041675</v>
          </cell>
        </row>
        <row r="63">
          <cell r="B63" t="str">
            <v>NL0013332471</v>
          </cell>
          <cell r="G63">
            <v>125000000</v>
          </cell>
        </row>
        <row r="64">
          <cell r="B64" t="str">
            <v>NL0013654783</v>
          </cell>
          <cell r="G64">
            <v>2378947836</v>
          </cell>
        </row>
        <row r="65">
          <cell r="B65" t="str">
            <v>NL0013654809</v>
          </cell>
          <cell r="G65">
            <v>19450597</v>
          </cell>
        </row>
        <row r="66">
          <cell r="B66" t="str">
            <v>NL0014332678</v>
          </cell>
          <cell r="G66">
            <v>488178642</v>
          </cell>
        </row>
        <row r="67">
          <cell r="B67" t="str">
            <v>NL0015000GX8</v>
          </cell>
          <cell r="G67">
            <v>57690377</v>
          </cell>
        </row>
        <row r="68">
          <cell r="B68" t="str">
            <v>NL0015000IY2</v>
          </cell>
          <cell r="G68">
            <v>1834099825</v>
          </cell>
        </row>
        <row r="69">
          <cell r="B69" t="str">
            <v>NL0015000K93</v>
          </cell>
          <cell r="G69">
            <v>55528671</v>
          </cell>
        </row>
        <row r="70">
          <cell r="B70" t="str">
            <v>NL00150003E1</v>
          </cell>
          <cell r="G70">
            <v>112730967</v>
          </cell>
        </row>
        <row r="71">
          <cell r="B71" t="str">
            <v>NL00150006R6</v>
          </cell>
          <cell r="G71">
            <v>479284361</v>
          </cell>
        </row>
        <row r="72">
          <cell r="B72" t="str">
            <v>NL0015002AH0</v>
          </cell>
          <cell r="G72">
            <v>991811494</v>
          </cell>
        </row>
        <row r="73">
          <cell r="B73" t="str">
            <v>NL0015002IE0</v>
          </cell>
          <cell r="G73">
            <v>20905671</v>
          </cell>
        </row>
        <row r="74">
          <cell r="B74" t="str">
            <v>NSCNL00APAM5</v>
          </cell>
          <cell r="G74">
            <v>73184570</v>
          </cell>
        </row>
        <row r="75">
          <cell r="B75" t="str">
            <v>NSCNL000AMT7</v>
          </cell>
          <cell r="G75">
            <v>852809772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H2" sqref="H2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0.1032996211258007</v>
      </c>
      <c r="G2" t="s">
        <v>161</v>
      </c>
      <c r="H2" t="s">
        <v>162</v>
      </c>
      <c r="I2">
        <f>_xlfn.XLOOKUP(B2,'[1]export_11_05_2025%2017_19_41_0('!$B$2:$B$75,'[1]export_11_05_2025%2017_19_41_0('!$G$2:$G$75)</f>
        <v>393830692</v>
      </c>
      <c r="J2" t="b">
        <f>I2=D2</f>
        <v>1</v>
      </c>
    </row>
    <row r="3" spans="1:10" x14ac:dyDescent="0.25">
      <c r="A3" t="s">
        <v>68</v>
      </c>
      <c r="B3" t="s">
        <v>143</v>
      </c>
      <c r="C3" t="s">
        <v>158</v>
      </c>
      <c r="D3">
        <v>5977723229</v>
      </c>
      <c r="E3">
        <v>1</v>
      </c>
      <c r="F3">
        <v>0.16605850810237341</v>
      </c>
      <c r="G3" t="s">
        <v>161</v>
      </c>
      <c r="H3" t="s">
        <v>162</v>
      </c>
      <c r="I3">
        <f>_xlfn.XLOOKUP(B3,'[1]export_11_05_2025%2017_19_41_0('!$B$2:$B$75,'[1]export_11_05_2025%2017_19_41_0('!$G$2:$G$75)</f>
        <v>5977723229</v>
      </c>
      <c r="J3" t="b">
        <f t="shared" ref="J3:J66" si="0">I3=D3</f>
        <v>1</v>
      </c>
    </row>
    <row r="4" spans="1:10" x14ac:dyDescent="0.25">
      <c r="A4" t="s">
        <v>76</v>
      </c>
      <c r="B4" t="s">
        <v>151</v>
      </c>
      <c r="C4" t="s">
        <v>158</v>
      </c>
      <c r="D4">
        <v>2637743772</v>
      </c>
      <c r="E4">
        <v>1</v>
      </c>
      <c r="F4">
        <v>0.21601918588469499</v>
      </c>
      <c r="G4" t="s">
        <v>161</v>
      </c>
      <c r="H4" t="s">
        <v>162</v>
      </c>
      <c r="I4">
        <f>_xlfn.XLOOKUP(B4,'[1]export_11_05_2025%2017_19_41_0('!$B$2:$B$75,'[1]export_11_05_2025%2017_19_41_0('!$G$2:$G$75)</f>
        <v>2637743772</v>
      </c>
      <c r="J4" t="b">
        <f t="shared" si="0"/>
        <v>1</v>
      </c>
    </row>
    <row r="5" spans="1:10" x14ac:dyDescent="0.25">
      <c r="A5" t="s">
        <v>66</v>
      </c>
      <c r="B5" t="s">
        <v>141</v>
      </c>
      <c r="C5" t="s">
        <v>158</v>
      </c>
      <c r="D5">
        <v>1907070957</v>
      </c>
      <c r="E5">
        <v>1</v>
      </c>
      <c r="F5">
        <v>0.39502615421230503</v>
      </c>
      <c r="G5" t="s">
        <v>161</v>
      </c>
      <c r="H5" t="s">
        <v>162</v>
      </c>
      <c r="I5">
        <f>_xlfn.XLOOKUP(B5,'[1]export_11_05_2025%2017_19_41_0('!$B$2:$B$75,'[1]export_11_05_2025%2017_19_41_0('!$G$2:$G$75)</f>
        <v>1907070957</v>
      </c>
      <c r="J5" t="b">
        <f t="shared" si="0"/>
        <v>1</v>
      </c>
    </row>
    <row r="6" spans="1:10" x14ac:dyDescent="0.25">
      <c r="A6" t="s">
        <v>64</v>
      </c>
      <c r="B6" t="s">
        <v>139</v>
      </c>
      <c r="C6" t="s">
        <v>158</v>
      </c>
      <c r="D6">
        <v>2378947836</v>
      </c>
      <c r="E6">
        <v>0.55000000000000004</v>
      </c>
      <c r="F6">
        <v>0.40724077118178931</v>
      </c>
      <c r="G6" t="s">
        <v>161</v>
      </c>
      <c r="H6" t="s">
        <v>162</v>
      </c>
      <c r="I6">
        <f>_xlfn.XLOOKUP(B6,'[1]export_11_05_2025%2017_19_41_0('!$B$2:$B$75,'[1]export_11_05_2025%2017_19_41_0('!$G$2:$G$75)</f>
        <v>2378947836</v>
      </c>
      <c r="J6" t="b">
        <f t="shared" si="0"/>
        <v>1</v>
      </c>
    </row>
    <row r="7" spans="1:10" x14ac:dyDescent="0.25">
      <c r="A7" t="s">
        <v>51</v>
      </c>
      <c r="B7" t="s">
        <v>126</v>
      </c>
      <c r="C7" t="s">
        <v>158</v>
      </c>
      <c r="D7">
        <v>3021542868</v>
      </c>
      <c r="E7">
        <v>1</v>
      </c>
      <c r="F7">
        <v>0.41581090352492989</v>
      </c>
      <c r="G7" t="s">
        <v>161</v>
      </c>
      <c r="H7" t="s">
        <v>162</v>
      </c>
      <c r="I7">
        <f>_xlfn.XLOOKUP(B7,'[1]export_11_05_2025%2017_19_41_0('!$B$2:$B$75,'[1]export_11_05_2025%2017_19_41_0('!$G$2:$G$75)</f>
        <v>3021542868</v>
      </c>
      <c r="J7" t="b">
        <f t="shared" si="0"/>
        <v>1</v>
      </c>
    </row>
    <row r="8" spans="1:10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0.74004206253092242</v>
      </c>
      <c r="G8" t="s">
        <v>161</v>
      </c>
      <c r="H8" t="s">
        <v>162</v>
      </c>
      <c r="I8">
        <f>_xlfn.XLOOKUP(B8,'[1]export_11_05_2025%2017_19_41_0('!$B$2:$B$75,'[1]export_11_05_2025%2017_19_41_0('!$G$2:$G$75)</f>
        <v>31508146</v>
      </c>
      <c r="J8" t="b">
        <f t="shared" si="0"/>
        <v>1</v>
      </c>
    </row>
    <row r="9" spans="1:10" x14ac:dyDescent="0.25">
      <c r="A9" t="s">
        <v>9</v>
      </c>
      <c r="B9" t="s">
        <v>84</v>
      </c>
      <c r="C9" t="s">
        <v>158</v>
      </c>
      <c r="D9">
        <v>578968753</v>
      </c>
      <c r="E9">
        <v>1</v>
      </c>
      <c r="F9">
        <v>0.99999999999999956</v>
      </c>
      <c r="G9" t="s">
        <v>161</v>
      </c>
      <c r="H9" t="s">
        <v>162</v>
      </c>
      <c r="I9">
        <f>_xlfn.XLOOKUP(B9,'[1]export_11_05_2025%2017_19_41_0('!$B$2:$B$75,'[1]export_11_05_2025%2017_19_41_0('!$G$2:$G$75)</f>
        <v>578968753</v>
      </c>
      <c r="J9" t="b">
        <f t="shared" si="0"/>
        <v>1</v>
      </c>
    </row>
    <row r="10" spans="1:10" x14ac:dyDescent="0.25">
      <c r="A10" t="s">
        <v>18</v>
      </c>
      <c r="B10" t="s">
        <v>93</v>
      </c>
      <c r="C10" t="s">
        <v>158</v>
      </c>
      <c r="D10">
        <v>611007738</v>
      </c>
      <c r="E10">
        <v>0.60000000000000009</v>
      </c>
      <c r="F10">
        <v>0.99999999999999956</v>
      </c>
      <c r="G10" t="s">
        <v>161</v>
      </c>
      <c r="H10" t="s">
        <v>162</v>
      </c>
      <c r="I10">
        <f>_xlfn.XLOOKUP(B10,'[1]export_11_05_2025%2017_19_41_0('!$B$2:$B$75,'[1]export_11_05_2025%2017_19_41_0('!$G$2:$G$75)</f>
        <v>611007738</v>
      </c>
      <c r="J10" t="b">
        <f t="shared" si="0"/>
        <v>1</v>
      </c>
    </row>
    <row r="11" spans="1:10" x14ac:dyDescent="0.25">
      <c r="A11" t="s">
        <v>26</v>
      </c>
      <c r="B11" t="s">
        <v>101</v>
      </c>
      <c r="C11" t="s">
        <v>158</v>
      </c>
      <c r="D11">
        <v>20905671</v>
      </c>
      <c r="E11">
        <v>0.95000000000000007</v>
      </c>
      <c r="F11">
        <v>0.99999999999999956</v>
      </c>
      <c r="G11" t="s">
        <v>161</v>
      </c>
      <c r="H11" t="s">
        <v>162</v>
      </c>
      <c r="I11">
        <f>_xlfn.XLOOKUP(B11,'[1]export_11_05_2025%2017_19_41_0('!$B$2:$B$75,'[1]export_11_05_2025%2017_19_41_0('!$G$2:$G$75)</f>
        <v>20905671</v>
      </c>
      <c r="J11" t="b">
        <f t="shared" si="0"/>
        <v>1</v>
      </c>
    </row>
    <row r="12" spans="1:10" x14ac:dyDescent="0.25">
      <c r="A12" t="s">
        <v>61</v>
      </c>
      <c r="B12" t="s">
        <v>136</v>
      </c>
      <c r="C12" t="s">
        <v>158</v>
      </c>
      <c r="D12">
        <v>685147615</v>
      </c>
      <c r="E12">
        <v>1</v>
      </c>
      <c r="F12">
        <v>0.99999999999999956</v>
      </c>
      <c r="G12" t="s">
        <v>161</v>
      </c>
      <c r="H12" t="s">
        <v>162</v>
      </c>
      <c r="I12">
        <f>_xlfn.XLOOKUP(B12,'[1]export_11_05_2025%2017_19_41_0('!$B$2:$B$75,'[1]export_11_05_2025%2017_19_41_0('!$G$2:$G$75)</f>
        <v>685147615</v>
      </c>
      <c r="J12" t="b">
        <f t="shared" si="0"/>
        <v>1</v>
      </c>
    </row>
    <row r="13" spans="1:10" x14ac:dyDescent="0.25">
      <c r="A13" t="s">
        <v>80</v>
      </c>
      <c r="B13" t="s">
        <v>155</v>
      </c>
      <c r="C13" t="s">
        <v>160</v>
      </c>
      <c r="D13">
        <v>232653901</v>
      </c>
      <c r="E13">
        <v>0.8</v>
      </c>
      <c r="F13">
        <v>0.99999999999999956</v>
      </c>
      <c r="G13" t="s">
        <v>161</v>
      </c>
      <c r="H13" t="s">
        <v>162</v>
      </c>
      <c r="I13">
        <f>_xlfn.XLOOKUP(B13,'[1]export_11_05_2025%2017_19_41_0('!$B$2:$B$75,'[1]export_11_05_2025%2017_19_41_0('!$G$2:$G$75)</f>
        <v>232653901</v>
      </c>
      <c r="J13" t="b">
        <f t="shared" si="0"/>
        <v>1</v>
      </c>
    </row>
    <row r="14" spans="1:10" x14ac:dyDescent="0.25">
      <c r="A14" t="s">
        <v>8</v>
      </c>
      <c r="B14" t="s">
        <v>83</v>
      </c>
      <c r="C14" t="s">
        <v>158</v>
      </c>
      <c r="D14">
        <v>110580102</v>
      </c>
      <c r="E14">
        <v>0.9</v>
      </c>
      <c r="F14">
        <v>0.99999999999999978</v>
      </c>
      <c r="G14" t="s">
        <v>161</v>
      </c>
      <c r="H14" t="s">
        <v>162</v>
      </c>
      <c r="I14">
        <f>_xlfn.XLOOKUP(B14,'[1]export_11_05_2025%2017_19_41_0('!$B$2:$B$75,'[1]export_11_05_2025%2017_19_41_0('!$G$2:$G$75)</f>
        <v>110580102</v>
      </c>
      <c r="J14" t="b">
        <f t="shared" si="0"/>
        <v>1</v>
      </c>
    </row>
    <row r="15" spans="1:10" x14ac:dyDescent="0.25">
      <c r="A15" t="s">
        <v>10</v>
      </c>
      <c r="B15" t="s">
        <v>85</v>
      </c>
      <c r="C15" t="s">
        <v>158</v>
      </c>
      <c r="D15">
        <v>242694212</v>
      </c>
      <c r="E15">
        <v>0.60000000000000009</v>
      </c>
      <c r="F15">
        <v>0.99999999999999978</v>
      </c>
      <c r="G15" t="s">
        <v>161</v>
      </c>
      <c r="H15" t="s">
        <v>162</v>
      </c>
      <c r="I15">
        <f>_xlfn.XLOOKUP(B15,'[1]export_11_05_2025%2017_19_41_0('!$B$2:$B$75,'[1]export_11_05_2025%2017_19_41_0('!$G$2:$G$75)</f>
        <v>242694212</v>
      </c>
      <c r="J15" t="b">
        <f t="shared" si="0"/>
        <v>1</v>
      </c>
    </row>
    <row r="16" spans="1:10" x14ac:dyDescent="0.25">
      <c r="A16" t="s">
        <v>11</v>
      </c>
      <c r="B16" t="s">
        <v>86</v>
      </c>
      <c r="C16" t="s">
        <v>158</v>
      </c>
      <c r="D16">
        <v>29589371</v>
      </c>
      <c r="E16">
        <v>0.65</v>
      </c>
      <c r="F16">
        <v>0.99999999999999978</v>
      </c>
      <c r="G16" t="s">
        <v>161</v>
      </c>
      <c r="H16" t="s">
        <v>162</v>
      </c>
      <c r="I16">
        <f>_xlfn.XLOOKUP(B16,'[1]export_11_05_2025%2017_19_41_0('!$B$2:$B$75,'[1]export_11_05_2025%2017_19_41_0('!$G$2:$G$75)</f>
        <v>29589371</v>
      </c>
      <c r="J16" t="b">
        <f t="shared" si="0"/>
        <v>1</v>
      </c>
    </row>
    <row r="17" spans="1:10" x14ac:dyDescent="0.25">
      <c r="A17" t="s">
        <v>13</v>
      </c>
      <c r="B17" t="s">
        <v>88</v>
      </c>
      <c r="C17" t="s">
        <v>158</v>
      </c>
      <c r="D17">
        <v>1652797432</v>
      </c>
      <c r="E17">
        <v>0.75</v>
      </c>
      <c r="F17">
        <v>0.99999999999999978</v>
      </c>
      <c r="G17" t="s">
        <v>161</v>
      </c>
      <c r="H17" t="s">
        <v>162</v>
      </c>
      <c r="I17">
        <f>_xlfn.XLOOKUP(B17,'[1]export_11_05_2025%2017_19_41_0('!$B$2:$B$75,'[1]export_11_05_2025%2017_19_41_0('!$G$2:$G$75)</f>
        <v>1652797432</v>
      </c>
      <c r="J17" t="b">
        <f t="shared" si="0"/>
        <v>1</v>
      </c>
    </row>
    <row r="18" spans="1:10" x14ac:dyDescent="0.25">
      <c r="A18" t="s">
        <v>14</v>
      </c>
      <c r="B18" t="s">
        <v>89</v>
      </c>
      <c r="C18" t="s">
        <v>158</v>
      </c>
      <c r="D18">
        <v>907831622</v>
      </c>
      <c r="E18">
        <v>1</v>
      </c>
      <c r="F18">
        <v>0.99999999999999978</v>
      </c>
      <c r="G18" t="s">
        <v>161</v>
      </c>
      <c r="H18" t="s">
        <v>162</v>
      </c>
      <c r="I18">
        <f>_xlfn.XLOOKUP(B18,'[1]export_11_05_2025%2017_19_41_0('!$B$2:$B$75,'[1]export_11_05_2025%2017_19_41_0('!$G$2:$G$75)</f>
        <v>907831622</v>
      </c>
      <c r="J18" t="b">
        <f t="shared" si="0"/>
        <v>1</v>
      </c>
    </row>
    <row r="19" spans="1:10" x14ac:dyDescent="0.25">
      <c r="A19" t="s">
        <v>15</v>
      </c>
      <c r="B19" t="s">
        <v>90</v>
      </c>
      <c r="C19" t="s">
        <v>159</v>
      </c>
      <c r="D19">
        <v>262769869</v>
      </c>
      <c r="E19">
        <v>0.55000000000000004</v>
      </c>
      <c r="F19">
        <v>0.99999999999999978</v>
      </c>
      <c r="G19" t="s">
        <v>161</v>
      </c>
      <c r="H19" t="s">
        <v>162</v>
      </c>
      <c r="I19">
        <f>_xlfn.XLOOKUP(B19,'[1]export_11_05_2025%2017_19_41_0('!$B$2:$B$75,'[1]export_11_05_2025%2017_19_41_0('!$G$2:$G$75)</f>
        <v>262769869</v>
      </c>
      <c r="J19" t="b">
        <f t="shared" si="0"/>
        <v>1</v>
      </c>
    </row>
    <row r="20" spans="1:10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162</v>
      </c>
      <c r="I20">
        <f>_xlfn.XLOOKUP(B20,'[1]export_11_05_2025%2017_19_41_0('!$B$2:$B$75,'[1]export_11_05_2025%2017_19_41_0('!$G$2:$G$75)</f>
        <v>171041675</v>
      </c>
      <c r="J20" t="b">
        <f t="shared" si="0"/>
        <v>1</v>
      </c>
    </row>
    <row r="21" spans="1:10" x14ac:dyDescent="0.25">
      <c r="A21" t="s">
        <v>17</v>
      </c>
      <c r="B21" t="s">
        <v>92</v>
      </c>
      <c r="C21" t="s">
        <v>158</v>
      </c>
      <c r="D21">
        <v>21750000</v>
      </c>
      <c r="E21">
        <v>1</v>
      </c>
      <c r="F21">
        <v>0.99999999999999978</v>
      </c>
      <c r="G21" t="s">
        <v>161</v>
      </c>
      <c r="H21" t="s">
        <v>162</v>
      </c>
      <c r="I21">
        <f>_xlfn.XLOOKUP(B21,'[1]export_11_05_2025%2017_19_41_0('!$B$2:$B$75,'[1]export_11_05_2025%2017_19_41_0('!$G$2:$G$75)</f>
        <v>21750000</v>
      </c>
      <c r="J21" t="b">
        <f t="shared" si="0"/>
        <v>1</v>
      </c>
    </row>
    <row r="22" spans="1:10" x14ac:dyDescent="0.25">
      <c r="A22" t="s">
        <v>19</v>
      </c>
      <c r="B22" t="s">
        <v>94</v>
      </c>
      <c r="C22" t="s">
        <v>158</v>
      </c>
      <c r="D22">
        <v>32504164</v>
      </c>
      <c r="E22">
        <v>0.95000000000000007</v>
      </c>
      <c r="F22">
        <v>0.99999999999999978</v>
      </c>
      <c r="G22" t="s">
        <v>161</v>
      </c>
      <c r="H22" t="s">
        <v>162</v>
      </c>
      <c r="I22">
        <f>_xlfn.XLOOKUP(B22,'[1]export_11_05_2025%2017_19_41_0('!$B$2:$B$75,'[1]export_11_05_2025%2017_19_41_0('!$G$2:$G$75)</f>
        <v>32504164</v>
      </c>
      <c r="J22" t="b">
        <f t="shared" si="0"/>
        <v>1</v>
      </c>
    </row>
    <row r="23" spans="1:10" x14ac:dyDescent="0.25">
      <c r="A23" t="s">
        <v>20</v>
      </c>
      <c r="B23" t="s">
        <v>174</v>
      </c>
      <c r="C23" t="s">
        <v>158</v>
      </c>
      <c r="D23">
        <v>73184570</v>
      </c>
      <c r="E23">
        <v>0.60000000000000009</v>
      </c>
      <c r="F23">
        <v>0.99999999999999978</v>
      </c>
      <c r="G23" t="s">
        <v>161</v>
      </c>
      <c r="H23" t="s">
        <v>162</v>
      </c>
      <c r="I23">
        <f>_xlfn.XLOOKUP(B23,'[1]export_11_05_2025%2017_19_41_0('!$B$2:$B$75,'[1]export_11_05_2025%2017_19_41_0('!$G$2:$G$75)</f>
        <v>73184570</v>
      </c>
      <c r="J23" t="b">
        <f t="shared" si="0"/>
        <v>1</v>
      </c>
    </row>
    <row r="24" spans="1:10" x14ac:dyDescent="0.25">
      <c r="A24" t="s">
        <v>21</v>
      </c>
      <c r="B24" t="s">
        <v>96</v>
      </c>
      <c r="C24" t="s">
        <v>158</v>
      </c>
      <c r="D24">
        <v>90442091</v>
      </c>
      <c r="E24">
        <v>0.8</v>
      </c>
      <c r="F24">
        <v>0.99999999999999978</v>
      </c>
      <c r="G24" t="s">
        <v>161</v>
      </c>
      <c r="H24" t="s">
        <v>162</v>
      </c>
      <c r="I24">
        <f>_xlfn.XLOOKUP(B24,'[1]export_11_05_2025%2017_19_41_0('!$B$2:$B$75,'[1]export_11_05_2025%2017_19_41_0('!$G$2:$G$75)</f>
        <v>90442091</v>
      </c>
      <c r="J24" t="b">
        <f t="shared" si="0"/>
        <v>1</v>
      </c>
    </row>
    <row r="25" spans="1:10" x14ac:dyDescent="0.25">
      <c r="A25" t="s">
        <v>22</v>
      </c>
      <c r="B25" t="s">
        <v>173</v>
      </c>
      <c r="C25" t="s">
        <v>158</v>
      </c>
      <c r="D25">
        <v>852809772</v>
      </c>
      <c r="E25">
        <v>0.5</v>
      </c>
      <c r="F25">
        <v>0.99999999999999978</v>
      </c>
      <c r="G25" t="s">
        <v>161</v>
      </c>
      <c r="H25" t="s">
        <v>162</v>
      </c>
      <c r="I25">
        <f>_xlfn.XLOOKUP(B25,'[1]export_11_05_2025%2017_19_41_0('!$B$2:$B$75,'[1]export_11_05_2025%2017_19_41_0('!$G$2:$G$75)</f>
        <v>852809772</v>
      </c>
      <c r="J25" t="b">
        <f t="shared" si="0"/>
        <v>1</v>
      </c>
    </row>
    <row r="26" spans="1:10" x14ac:dyDescent="0.25">
      <c r="A26" t="s">
        <v>25</v>
      </c>
      <c r="B26" t="s">
        <v>100</v>
      </c>
      <c r="C26" t="s">
        <v>158</v>
      </c>
      <c r="D26">
        <v>209113565</v>
      </c>
      <c r="E26">
        <v>0.65</v>
      </c>
      <c r="F26">
        <v>0.99999999999999978</v>
      </c>
      <c r="G26" t="s">
        <v>161</v>
      </c>
      <c r="H26" t="s">
        <v>162</v>
      </c>
      <c r="I26">
        <f>_xlfn.XLOOKUP(B26,'[1]export_11_05_2025%2017_19_41_0('!$B$2:$B$75,'[1]export_11_05_2025%2017_19_41_0('!$G$2:$G$75)</f>
        <v>209113565</v>
      </c>
      <c r="J26" t="b">
        <f t="shared" si="0"/>
        <v>1</v>
      </c>
    </row>
    <row r="27" spans="1:10" x14ac:dyDescent="0.25">
      <c r="A27" t="s">
        <v>27</v>
      </c>
      <c r="B27" t="s">
        <v>102</v>
      </c>
      <c r="C27" t="s">
        <v>158</v>
      </c>
      <c r="D27">
        <v>84177321</v>
      </c>
      <c r="E27">
        <v>0.25</v>
      </c>
      <c r="F27">
        <v>0.99999999999999978</v>
      </c>
      <c r="G27" t="s">
        <v>161</v>
      </c>
      <c r="H27" t="s">
        <v>162</v>
      </c>
      <c r="I27">
        <f>_xlfn.XLOOKUP(B27,'[1]export_11_05_2025%2017_19_41_0('!$B$2:$B$75,'[1]export_11_05_2025%2017_19_41_0('!$G$2:$G$75)</f>
        <v>84177321</v>
      </c>
      <c r="J27" t="b">
        <f t="shared" si="0"/>
        <v>1</v>
      </c>
    </row>
    <row r="28" spans="1:10" x14ac:dyDescent="0.25">
      <c r="A28" t="s">
        <v>28</v>
      </c>
      <c r="B28" t="s">
        <v>103</v>
      </c>
      <c r="C28" t="s">
        <v>158</v>
      </c>
      <c r="D28">
        <v>272000000</v>
      </c>
      <c r="E28">
        <v>0.95000000000000007</v>
      </c>
      <c r="F28">
        <v>0.99999999999999978</v>
      </c>
      <c r="G28" t="s">
        <v>161</v>
      </c>
      <c r="H28" t="s">
        <v>162</v>
      </c>
      <c r="I28">
        <f>_xlfn.XLOOKUP(B28,'[1]export_11_05_2025%2017_19_41_0('!$B$2:$B$75,'[1]export_11_05_2025%2017_19_41_0('!$G$2:$G$75)</f>
        <v>272000000</v>
      </c>
      <c r="J28" t="b">
        <f t="shared" si="0"/>
        <v>1</v>
      </c>
    </row>
    <row r="29" spans="1:10" x14ac:dyDescent="0.25">
      <c r="A29" t="s">
        <v>29</v>
      </c>
      <c r="B29" t="s">
        <v>104</v>
      </c>
      <c r="C29" t="s">
        <v>158</v>
      </c>
      <c r="D29">
        <v>66000000</v>
      </c>
      <c r="E29">
        <v>0.60000000000000009</v>
      </c>
      <c r="F29">
        <v>0.99999999999999978</v>
      </c>
      <c r="G29" t="s">
        <v>161</v>
      </c>
      <c r="H29" t="s">
        <v>162</v>
      </c>
      <c r="I29">
        <f>_xlfn.XLOOKUP(B29,'[1]export_11_05_2025%2017_19_41_0('!$B$2:$B$75,'[1]export_11_05_2025%2017_19_41_0('!$G$2:$G$75)</f>
        <v>66000000</v>
      </c>
      <c r="J29" t="b">
        <f t="shared" si="0"/>
        <v>1</v>
      </c>
    </row>
    <row r="30" spans="1:10" x14ac:dyDescent="0.25">
      <c r="A30" t="s">
        <v>30</v>
      </c>
      <c r="B30" t="s">
        <v>105</v>
      </c>
      <c r="C30" t="s">
        <v>158</v>
      </c>
      <c r="D30">
        <v>81146738</v>
      </c>
      <c r="E30">
        <v>0.9</v>
      </c>
      <c r="F30">
        <v>0.99999999999999978</v>
      </c>
      <c r="G30" t="s">
        <v>161</v>
      </c>
      <c r="H30" t="s">
        <v>162</v>
      </c>
      <c r="I30">
        <f>_xlfn.XLOOKUP(B30,'[1]export_11_05_2025%2017_19_41_0('!$B$2:$B$75,'[1]export_11_05_2025%2017_19_41_0('!$G$2:$G$75)</f>
        <v>81146738</v>
      </c>
      <c r="J30" t="b">
        <f t="shared" si="0"/>
        <v>1</v>
      </c>
    </row>
    <row r="31" spans="1:10" x14ac:dyDescent="0.25">
      <c r="A31" t="s">
        <v>31</v>
      </c>
      <c r="B31" t="s">
        <v>106</v>
      </c>
      <c r="C31" t="s">
        <v>158</v>
      </c>
      <c r="D31">
        <v>50574624</v>
      </c>
      <c r="E31">
        <v>0.4</v>
      </c>
      <c r="F31">
        <v>0.99999999999999978</v>
      </c>
      <c r="G31" t="s">
        <v>161</v>
      </c>
      <c r="H31" t="s">
        <v>162</v>
      </c>
      <c r="I31">
        <f>_xlfn.XLOOKUP(B31,'[1]export_11_05_2025%2017_19_41_0('!$B$2:$B$75,'[1]export_11_05_2025%2017_19_41_0('!$G$2:$G$75)</f>
        <v>50574624</v>
      </c>
      <c r="J31" t="b">
        <f t="shared" si="0"/>
        <v>1</v>
      </c>
    </row>
    <row r="32" spans="1:10" x14ac:dyDescent="0.25">
      <c r="A32" t="s">
        <v>32</v>
      </c>
      <c r="B32" t="s">
        <v>107</v>
      </c>
      <c r="C32" t="s">
        <v>158</v>
      </c>
      <c r="D32">
        <v>58250309</v>
      </c>
      <c r="E32">
        <v>0.9</v>
      </c>
      <c r="F32">
        <v>0.99999999999999978</v>
      </c>
      <c r="G32" t="s">
        <v>161</v>
      </c>
      <c r="H32" t="s">
        <v>162</v>
      </c>
      <c r="I32">
        <f>_xlfn.XLOOKUP(B32,'[1]export_11_05_2025%2017_19_41_0('!$B$2:$B$75,'[1]export_11_05_2025%2017_19_41_0('!$G$2:$G$75)</f>
        <v>58250309</v>
      </c>
      <c r="J32" t="b">
        <f t="shared" si="0"/>
        <v>1</v>
      </c>
    </row>
    <row r="33" spans="1:10" x14ac:dyDescent="0.25">
      <c r="A33" t="s">
        <v>33</v>
      </c>
      <c r="B33" t="s">
        <v>108</v>
      </c>
      <c r="C33" t="s">
        <v>158</v>
      </c>
      <c r="D33">
        <v>479284361</v>
      </c>
      <c r="E33">
        <v>0.25</v>
      </c>
      <c r="F33">
        <v>0.99999999999999978</v>
      </c>
      <c r="G33" t="s">
        <v>161</v>
      </c>
      <c r="H33" t="s">
        <v>162</v>
      </c>
      <c r="I33">
        <f>_xlfn.XLOOKUP(B33,'[1]export_11_05_2025%2017_19_41_0('!$B$2:$B$75,'[1]export_11_05_2025%2017_19_41_0('!$G$2:$G$75)</f>
        <v>479284361</v>
      </c>
      <c r="J33" t="b">
        <f t="shared" si="0"/>
        <v>1</v>
      </c>
    </row>
    <row r="34" spans="1:10" x14ac:dyDescent="0.25">
      <c r="A34" t="s">
        <v>36</v>
      </c>
      <c r="B34" t="s">
        <v>111</v>
      </c>
      <c r="C34" t="s">
        <v>158</v>
      </c>
      <c r="D34">
        <v>57690377</v>
      </c>
      <c r="E34">
        <v>0.55000000000000004</v>
      </c>
      <c r="F34">
        <v>0.99999999999999978</v>
      </c>
      <c r="G34" t="s">
        <v>161</v>
      </c>
      <c r="H34" t="s">
        <v>162</v>
      </c>
      <c r="I34">
        <f>_xlfn.XLOOKUP(B34,'[1]export_11_05_2025%2017_19_41_0('!$B$2:$B$75,'[1]export_11_05_2025%2017_19_41_0('!$G$2:$G$75)</f>
        <v>57690377</v>
      </c>
      <c r="J34" t="b">
        <f t="shared" si="0"/>
        <v>1</v>
      </c>
    </row>
    <row r="35" spans="1:10" x14ac:dyDescent="0.25">
      <c r="A35" t="s">
        <v>37</v>
      </c>
      <c r="B35" t="s">
        <v>112</v>
      </c>
      <c r="C35" t="s">
        <v>158</v>
      </c>
      <c r="D35">
        <v>55528671</v>
      </c>
      <c r="E35">
        <v>0.8</v>
      </c>
      <c r="F35">
        <v>0.99999999999999978</v>
      </c>
      <c r="G35" t="s">
        <v>161</v>
      </c>
      <c r="H35" t="s">
        <v>162</v>
      </c>
      <c r="I35">
        <f>_xlfn.XLOOKUP(B35,'[1]export_11_05_2025%2017_19_41_0('!$B$2:$B$75,'[1]export_11_05_2025%2017_19_41_0('!$G$2:$G$75)</f>
        <v>55528671</v>
      </c>
      <c r="J35" t="b">
        <f t="shared" si="0"/>
        <v>1</v>
      </c>
    </row>
    <row r="36" spans="1:10" x14ac:dyDescent="0.25">
      <c r="A36" t="s">
        <v>38</v>
      </c>
      <c r="B36" t="s">
        <v>113</v>
      </c>
      <c r="C36" t="s">
        <v>158</v>
      </c>
      <c r="D36">
        <v>207779752</v>
      </c>
      <c r="E36">
        <v>0.45</v>
      </c>
      <c r="F36">
        <v>0.99999999999999978</v>
      </c>
      <c r="G36" t="s">
        <v>161</v>
      </c>
      <c r="H36" t="s">
        <v>162</v>
      </c>
      <c r="I36">
        <f>_xlfn.XLOOKUP(B36,'[1]export_11_05_2025%2017_19_41_0('!$B$2:$B$75,'[1]export_11_05_2025%2017_19_41_0('!$G$2:$G$75)</f>
        <v>207779752</v>
      </c>
      <c r="J36" t="b">
        <f t="shared" si="0"/>
        <v>1</v>
      </c>
    </row>
    <row r="37" spans="1:10" x14ac:dyDescent="0.25">
      <c r="A37" t="s">
        <v>39</v>
      </c>
      <c r="B37" t="s">
        <v>114</v>
      </c>
      <c r="C37" t="s">
        <v>160</v>
      </c>
      <c r="D37">
        <v>73313904</v>
      </c>
      <c r="E37">
        <v>0.9</v>
      </c>
      <c r="F37">
        <v>0.99999999999999978</v>
      </c>
      <c r="G37" t="s">
        <v>161</v>
      </c>
      <c r="H37" t="s">
        <v>162</v>
      </c>
      <c r="I37">
        <f>_xlfn.XLOOKUP(B37,'[1]export_11_05_2025%2017_19_41_0('!$B$2:$B$75,'[1]export_11_05_2025%2017_19_41_0('!$G$2:$G$75)</f>
        <v>73313904</v>
      </c>
      <c r="J37" t="b">
        <f t="shared" si="0"/>
        <v>1</v>
      </c>
    </row>
    <row r="38" spans="1:10" x14ac:dyDescent="0.25">
      <c r="A38" t="s">
        <v>40</v>
      </c>
      <c r="B38" t="s">
        <v>115</v>
      </c>
      <c r="C38" t="s">
        <v>158</v>
      </c>
      <c r="D38">
        <v>19450597</v>
      </c>
      <c r="E38">
        <v>0.25</v>
      </c>
      <c r="F38">
        <v>0.99999999999999978</v>
      </c>
      <c r="G38" t="s">
        <v>161</v>
      </c>
      <c r="H38" t="s">
        <v>162</v>
      </c>
      <c r="I38">
        <f>_xlfn.XLOOKUP(B38,'[1]export_11_05_2025%2017_19_41_0('!$B$2:$B$75,'[1]export_11_05_2025%2017_19_41_0('!$G$2:$G$75)</f>
        <v>19450597</v>
      </c>
      <c r="J38" t="b">
        <f t="shared" si="0"/>
        <v>1</v>
      </c>
    </row>
    <row r="39" spans="1:10" x14ac:dyDescent="0.25">
      <c r="A39" t="s">
        <v>41</v>
      </c>
      <c r="B39" t="s">
        <v>116</v>
      </c>
      <c r="C39" t="s">
        <v>158</v>
      </c>
      <c r="D39">
        <v>91300000</v>
      </c>
      <c r="E39">
        <v>0.3</v>
      </c>
      <c r="F39">
        <v>0.99999999999999978</v>
      </c>
      <c r="G39" t="s">
        <v>161</v>
      </c>
      <c r="H39" t="s">
        <v>162</v>
      </c>
      <c r="I39">
        <f>_xlfn.XLOOKUP(B39,'[1]export_11_05_2025%2017_19_41_0('!$B$2:$B$75,'[1]export_11_05_2025%2017_19_41_0('!$G$2:$G$75)</f>
        <v>91300000</v>
      </c>
      <c r="J39" t="b">
        <f t="shared" si="0"/>
        <v>1</v>
      </c>
    </row>
    <row r="40" spans="1:10" x14ac:dyDescent="0.25">
      <c r="A40" t="s">
        <v>42</v>
      </c>
      <c r="B40" t="s">
        <v>117</v>
      </c>
      <c r="C40" t="s">
        <v>158</v>
      </c>
      <c r="D40">
        <v>45671645</v>
      </c>
      <c r="E40">
        <v>0.75</v>
      </c>
      <c r="F40">
        <v>0.99999999999999978</v>
      </c>
      <c r="G40" t="s">
        <v>161</v>
      </c>
      <c r="H40" t="s">
        <v>162</v>
      </c>
      <c r="I40">
        <f>_xlfn.XLOOKUP(B40,'[1]export_11_05_2025%2017_19_41_0('!$B$2:$B$75,'[1]export_11_05_2025%2017_19_41_0('!$G$2:$G$75)</f>
        <v>45671645</v>
      </c>
      <c r="J40" t="b">
        <f t="shared" si="0"/>
        <v>1</v>
      </c>
    </row>
    <row r="41" spans="1:10" x14ac:dyDescent="0.25">
      <c r="A41" t="s">
        <v>43</v>
      </c>
      <c r="B41" t="s">
        <v>118</v>
      </c>
      <c r="C41" t="s">
        <v>158</v>
      </c>
      <c r="D41">
        <v>89283817</v>
      </c>
      <c r="E41">
        <v>0.45</v>
      </c>
      <c r="F41">
        <v>0.99999999999999978</v>
      </c>
      <c r="G41" t="s">
        <v>161</v>
      </c>
      <c r="H41" t="s">
        <v>162</v>
      </c>
      <c r="I41">
        <f>_xlfn.XLOOKUP(B41,'[1]export_11_05_2025%2017_19_41_0('!$B$2:$B$75,'[1]export_11_05_2025%2017_19_41_0('!$G$2:$G$75)</f>
        <v>89283817</v>
      </c>
      <c r="J41" t="b">
        <f t="shared" si="0"/>
        <v>1</v>
      </c>
    </row>
    <row r="42" spans="1:10" x14ac:dyDescent="0.25">
      <c r="A42" t="s">
        <v>44</v>
      </c>
      <c r="B42" t="s">
        <v>119</v>
      </c>
      <c r="C42" t="s">
        <v>158</v>
      </c>
      <c r="D42">
        <v>112730967</v>
      </c>
      <c r="E42">
        <v>0.8</v>
      </c>
      <c r="F42">
        <v>0.99999999999999978</v>
      </c>
      <c r="G42" t="s">
        <v>161</v>
      </c>
      <c r="H42" t="s">
        <v>162</v>
      </c>
      <c r="I42">
        <f>_xlfn.XLOOKUP(B42,'[1]export_11_05_2025%2017_19_41_0('!$B$2:$B$75,'[1]export_11_05_2025%2017_19_41_0('!$G$2:$G$75)</f>
        <v>112730967</v>
      </c>
      <c r="J42" t="b">
        <f t="shared" si="0"/>
        <v>1</v>
      </c>
    </row>
    <row r="43" spans="1:10" x14ac:dyDescent="0.25">
      <c r="A43" t="s">
        <v>45</v>
      </c>
      <c r="B43" t="s">
        <v>120</v>
      </c>
      <c r="C43" t="s">
        <v>158</v>
      </c>
      <c r="D43">
        <v>65897071</v>
      </c>
      <c r="E43">
        <v>0.55000000000000004</v>
      </c>
      <c r="F43">
        <v>0.99999999999999978</v>
      </c>
      <c r="G43" t="s">
        <v>161</v>
      </c>
      <c r="H43" t="s">
        <v>162</v>
      </c>
      <c r="I43">
        <f>_xlfn.XLOOKUP(B43,'[1]export_11_05_2025%2017_19_41_0('!$B$2:$B$75,'[1]export_11_05_2025%2017_19_41_0('!$G$2:$G$75)</f>
        <v>65897071</v>
      </c>
      <c r="J43" t="b">
        <f t="shared" si="0"/>
        <v>1</v>
      </c>
    </row>
    <row r="44" spans="1:10" x14ac:dyDescent="0.25">
      <c r="A44" t="s">
        <v>46</v>
      </c>
      <c r="B44" t="s">
        <v>121</v>
      </c>
      <c r="C44" t="s">
        <v>158</v>
      </c>
      <c r="D44">
        <v>90370864</v>
      </c>
      <c r="E44">
        <v>0.25</v>
      </c>
      <c r="F44">
        <v>0.99999999999999978</v>
      </c>
      <c r="G44" t="s">
        <v>161</v>
      </c>
      <c r="H44" t="s">
        <v>162</v>
      </c>
      <c r="I44">
        <f>_xlfn.XLOOKUP(B44,'[1]export_11_05_2025%2017_19_41_0('!$B$2:$B$75,'[1]export_11_05_2025%2017_19_41_0('!$G$2:$G$75)</f>
        <v>90370864</v>
      </c>
      <c r="J44" t="b">
        <f t="shared" si="0"/>
        <v>1</v>
      </c>
    </row>
    <row r="45" spans="1:10" x14ac:dyDescent="0.25">
      <c r="A45" t="s">
        <v>47</v>
      </c>
      <c r="B45" t="s">
        <v>122</v>
      </c>
      <c r="C45" t="s">
        <v>158</v>
      </c>
      <c r="D45">
        <v>991811494</v>
      </c>
      <c r="E45">
        <v>0.60000000000000009</v>
      </c>
      <c r="F45">
        <v>0.99999999999999978</v>
      </c>
      <c r="G45" t="s">
        <v>161</v>
      </c>
      <c r="H45" t="s">
        <v>162</v>
      </c>
      <c r="I45">
        <f>_xlfn.XLOOKUP(B45,'[1]export_11_05_2025%2017_19_41_0('!$B$2:$B$75,'[1]export_11_05_2025%2017_19_41_0('!$G$2:$G$75)</f>
        <v>991811494</v>
      </c>
      <c r="J45" t="b">
        <f t="shared" si="0"/>
        <v>1</v>
      </c>
    </row>
    <row r="46" spans="1:10" x14ac:dyDescent="0.25">
      <c r="A46" t="s">
        <v>48</v>
      </c>
      <c r="B46" t="s">
        <v>123</v>
      </c>
      <c r="C46" t="s">
        <v>158</v>
      </c>
      <c r="D46">
        <v>27478006</v>
      </c>
      <c r="E46">
        <v>0.95000000000000007</v>
      </c>
      <c r="F46">
        <v>0.99999999999999978</v>
      </c>
      <c r="G46" t="s">
        <v>161</v>
      </c>
      <c r="H46" t="s">
        <v>162</v>
      </c>
      <c r="I46">
        <f>_xlfn.XLOOKUP(B46,'[1]export_11_05_2025%2017_19_41_0('!$B$2:$B$75,'[1]export_11_05_2025%2017_19_41_0('!$G$2:$G$75)</f>
        <v>27478006</v>
      </c>
      <c r="J46" t="b">
        <f t="shared" si="0"/>
        <v>1</v>
      </c>
    </row>
    <row r="47" spans="1:10" x14ac:dyDescent="0.25">
      <c r="A47" t="s">
        <v>49</v>
      </c>
      <c r="B47" t="s">
        <v>124</v>
      </c>
      <c r="C47" t="s">
        <v>158</v>
      </c>
      <c r="D47">
        <v>576002613</v>
      </c>
      <c r="E47">
        <v>0.5</v>
      </c>
      <c r="F47">
        <v>0.99999999999999978</v>
      </c>
      <c r="G47" t="s">
        <v>161</v>
      </c>
      <c r="H47" t="s">
        <v>162</v>
      </c>
      <c r="I47">
        <f>_xlfn.XLOOKUP(B47,'[1]export_11_05_2025%2017_19_41_0('!$B$2:$B$75,'[1]export_11_05_2025%2017_19_41_0('!$G$2:$G$75)</f>
        <v>576002613</v>
      </c>
      <c r="J47" t="b">
        <f t="shared" si="0"/>
        <v>1</v>
      </c>
    </row>
    <row r="48" spans="1:10" x14ac:dyDescent="0.25">
      <c r="A48" t="s">
        <v>50</v>
      </c>
      <c r="B48" t="s">
        <v>125</v>
      </c>
      <c r="C48" t="s">
        <v>158</v>
      </c>
      <c r="D48">
        <v>59107999</v>
      </c>
      <c r="E48">
        <v>0.95000000000000007</v>
      </c>
      <c r="F48">
        <v>0.99999999999999978</v>
      </c>
      <c r="G48" t="s">
        <v>161</v>
      </c>
      <c r="H48" t="s">
        <v>162</v>
      </c>
      <c r="I48">
        <f>_xlfn.XLOOKUP(B48,'[1]export_11_05_2025%2017_19_41_0('!$B$2:$B$75,'[1]export_11_05_2025%2017_19_41_0('!$G$2:$G$75)</f>
        <v>59107999</v>
      </c>
      <c r="J48" t="b">
        <f t="shared" si="0"/>
        <v>1</v>
      </c>
    </row>
    <row r="49" spans="1:10" x14ac:dyDescent="0.25">
      <c r="A49" t="s">
        <v>52</v>
      </c>
      <c r="B49" t="s">
        <v>127</v>
      </c>
      <c r="C49" t="s">
        <v>158</v>
      </c>
      <c r="D49">
        <v>500000000</v>
      </c>
      <c r="E49">
        <v>0.5</v>
      </c>
      <c r="F49">
        <v>0.99999999999999978</v>
      </c>
      <c r="G49" t="s">
        <v>161</v>
      </c>
      <c r="H49" t="s">
        <v>162</v>
      </c>
      <c r="I49">
        <f>_xlfn.XLOOKUP(B49,'[1]export_11_05_2025%2017_19_41_0('!$B$2:$B$75,'[1]export_11_05_2025%2017_19_41_0('!$G$2:$G$75)</f>
        <v>500000000</v>
      </c>
      <c r="J49" t="b">
        <f t="shared" si="0"/>
        <v>1</v>
      </c>
    </row>
    <row r="50" spans="1:10" x14ac:dyDescent="0.25">
      <c r="A50" t="s">
        <v>53</v>
      </c>
      <c r="B50" t="s">
        <v>128</v>
      </c>
      <c r="C50" t="s">
        <v>158</v>
      </c>
      <c r="D50">
        <v>488178642</v>
      </c>
      <c r="E50">
        <v>0.3</v>
      </c>
      <c r="F50">
        <v>0.99999999999999978</v>
      </c>
      <c r="G50" t="s">
        <v>161</v>
      </c>
      <c r="H50" t="s">
        <v>162</v>
      </c>
      <c r="I50">
        <f>_xlfn.XLOOKUP(B50,'[1]export_11_05_2025%2017_19_41_0('!$B$2:$B$75,'[1]export_11_05_2025%2017_19_41_0('!$G$2:$G$75)</f>
        <v>488178642</v>
      </c>
      <c r="J50" t="b">
        <f t="shared" si="0"/>
        <v>1</v>
      </c>
    </row>
    <row r="51" spans="1:10" x14ac:dyDescent="0.25">
      <c r="A51" t="s">
        <v>54</v>
      </c>
      <c r="B51" t="s">
        <v>129</v>
      </c>
      <c r="C51" t="s">
        <v>158</v>
      </c>
      <c r="D51">
        <v>208967756</v>
      </c>
      <c r="E51">
        <v>0.85000000000000009</v>
      </c>
      <c r="F51">
        <v>0.99999999999999978</v>
      </c>
      <c r="G51" t="s">
        <v>161</v>
      </c>
      <c r="H51" t="s">
        <v>162</v>
      </c>
      <c r="I51" t="e">
        <f>_xlfn.XLOOKUP(B51,'[1]export_11_05_2025%2017_19_41_0('!$B$2:$B$75,'[1]export_11_05_2025%2017_19_41_0('!$G$2:$G$75)</f>
        <v>#N/A</v>
      </c>
      <c r="J51" t="e">
        <f t="shared" si="0"/>
        <v>#N/A</v>
      </c>
    </row>
    <row r="52" spans="1:10" x14ac:dyDescent="0.25">
      <c r="A52" t="s">
        <v>55</v>
      </c>
      <c r="B52" t="s">
        <v>130</v>
      </c>
      <c r="C52" t="s">
        <v>158</v>
      </c>
      <c r="D52">
        <v>15807427</v>
      </c>
      <c r="E52">
        <v>0.75</v>
      </c>
      <c r="F52">
        <v>0.99999999999999978</v>
      </c>
      <c r="G52" t="s">
        <v>161</v>
      </c>
      <c r="H52" t="s">
        <v>162</v>
      </c>
      <c r="I52">
        <f>_xlfn.XLOOKUP(B52,'[1]export_11_05_2025%2017_19_41_0('!$B$2:$B$75,'[1]export_11_05_2025%2017_19_41_0('!$G$2:$G$75)</f>
        <v>15807427</v>
      </c>
      <c r="J52" t="b">
        <f t="shared" si="0"/>
        <v>1</v>
      </c>
    </row>
    <row r="53" spans="1:10" x14ac:dyDescent="0.25">
      <c r="A53" t="s">
        <v>56</v>
      </c>
      <c r="B53" t="s">
        <v>131</v>
      </c>
      <c r="C53" t="s">
        <v>158</v>
      </c>
      <c r="D53">
        <v>3888930422</v>
      </c>
      <c r="E53">
        <v>1</v>
      </c>
      <c r="F53">
        <v>0.99999999999999978</v>
      </c>
      <c r="G53" t="s">
        <v>161</v>
      </c>
      <c r="H53" t="s">
        <v>162</v>
      </c>
      <c r="I53">
        <f>_xlfn.XLOOKUP(B53,'[1]export_11_05_2025%2017_19_41_0('!$B$2:$B$75,'[1]export_11_05_2025%2017_19_41_0('!$G$2:$G$75)</f>
        <v>3888930422</v>
      </c>
      <c r="J53" t="b">
        <f t="shared" si="0"/>
        <v>1</v>
      </c>
    </row>
    <row r="54" spans="1:10" x14ac:dyDescent="0.25">
      <c r="A54" t="s">
        <v>57</v>
      </c>
      <c r="B54" t="s">
        <v>132</v>
      </c>
      <c r="C54" t="s">
        <v>158</v>
      </c>
      <c r="D54">
        <v>6692920</v>
      </c>
      <c r="E54">
        <v>0.45</v>
      </c>
      <c r="F54">
        <v>0.99999999999999978</v>
      </c>
      <c r="G54" t="s">
        <v>161</v>
      </c>
      <c r="H54" t="s">
        <v>162</v>
      </c>
      <c r="I54">
        <f>_xlfn.XLOOKUP(B54,'[1]export_11_05_2025%2017_19_41_0('!$B$2:$B$75,'[1]export_11_05_2025%2017_19_41_0('!$G$2:$G$75)</f>
        <v>6692920</v>
      </c>
      <c r="J54" t="b">
        <f t="shared" si="0"/>
        <v>1</v>
      </c>
    </row>
    <row r="55" spans="1:10" x14ac:dyDescent="0.25">
      <c r="A55" t="s">
        <v>58</v>
      </c>
      <c r="B55" t="s">
        <v>133</v>
      </c>
      <c r="C55" t="s">
        <v>158</v>
      </c>
      <c r="D55">
        <v>269000000</v>
      </c>
      <c r="E55">
        <v>0.95000000000000007</v>
      </c>
      <c r="F55">
        <v>0.99999999999999978</v>
      </c>
      <c r="G55" t="s">
        <v>161</v>
      </c>
      <c r="H55" t="s">
        <v>162</v>
      </c>
      <c r="I55">
        <f>_xlfn.XLOOKUP(B55,'[1]export_11_05_2025%2017_19_41_0('!$B$2:$B$75,'[1]export_11_05_2025%2017_19_41_0('!$G$2:$G$75)</f>
        <v>269000000</v>
      </c>
      <c r="J55" t="b">
        <f t="shared" si="0"/>
        <v>1</v>
      </c>
    </row>
    <row r="56" spans="1:10" x14ac:dyDescent="0.25">
      <c r="A56" t="s">
        <v>59</v>
      </c>
      <c r="B56" t="s">
        <v>134</v>
      </c>
      <c r="C56" t="s">
        <v>158</v>
      </c>
      <c r="D56">
        <v>20155221</v>
      </c>
      <c r="E56">
        <v>0.65</v>
      </c>
      <c r="F56">
        <v>0.99999999999999978</v>
      </c>
      <c r="G56" t="s">
        <v>161</v>
      </c>
      <c r="H56" t="s">
        <v>162</v>
      </c>
      <c r="I56">
        <f>_xlfn.XLOOKUP(B56,'[1]export_11_05_2025%2017_19_41_0('!$B$2:$B$75,'[1]export_11_05_2025%2017_19_41_0('!$G$2:$G$75)</f>
        <v>20155221</v>
      </c>
      <c r="J56" t="b">
        <f t="shared" si="0"/>
        <v>1</v>
      </c>
    </row>
    <row r="57" spans="1:10" x14ac:dyDescent="0.25">
      <c r="A57" t="s">
        <v>60</v>
      </c>
      <c r="B57" t="s">
        <v>135</v>
      </c>
      <c r="C57" t="s">
        <v>158</v>
      </c>
      <c r="D57">
        <v>211357989</v>
      </c>
      <c r="E57">
        <v>0.45</v>
      </c>
      <c r="F57">
        <v>0.99999999999999978</v>
      </c>
      <c r="G57" t="s">
        <v>161</v>
      </c>
      <c r="H57" t="s">
        <v>162</v>
      </c>
      <c r="I57">
        <f>_xlfn.XLOOKUP(B57,'[1]export_11_05_2025%2017_19_41_0('!$B$2:$B$75,'[1]export_11_05_2025%2017_19_41_0('!$G$2:$G$75)</f>
        <v>211357989</v>
      </c>
      <c r="J57" t="b">
        <f t="shared" si="0"/>
        <v>1</v>
      </c>
    </row>
    <row r="58" spans="1:10" x14ac:dyDescent="0.25">
      <c r="A58" t="s">
        <v>62</v>
      </c>
      <c r="B58" t="s">
        <v>137</v>
      </c>
      <c r="C58" t="s">
        <v>158</v>
      </c>
      <c r="D58">
        <v>962920132</v>
      </c>
      <c r="E58">
        <v>0.8</v>
      </c>
      <c r="F58">
        <v>0.99999999999999978</v>
      </c>
      <c r="G58" t="s">
        <v>161</v>
      </c>
      <c r="H58" t="s">
        <v>162</v>
      </c>
      <c r="I58">
        <f>_xlfn.XLOOKUP(B58,'[1]export_11_05_2025%2017_19_41_0('!$B$2:$B$75,'[1]export_11_05_2025%2017_19_41_0('!$G$2:$G$75)</f>
        <v>962920132</v>
      </c>
      <c r="J58" t="b">
        <f t="shared" si="0"/>
        <v>1</v>
      </c>
    </row>
    <row r="59" spans="1:10" x14ac:dyDescent="0.25">
      <c r="A59" t="s">
        <v>63</v>
      </c>
      <c r="B59" t="s">
        <v>138</v>
      </c>
      <c r="C59" t="s">
        <v>158</v>
      </c>
      <c r="D59">
        <v>508680625</v>
      </c>
      <c r="E59">
        <v>0.70000000000000007</v>
      </c>
      <c r="F59">
        <v>0.99999999999999978</v>
      </c>
      <c r="G59" t="s">
        <v>161</v>
      </c>
      <c r="H59" t="s">
        <v>162</v>
      </c>
      <c r="I59">
        <f>_xlfn.XLOOKUP(B59,'[1]export_11_05_2025%2017_19_41_0('!$B$2:$B$75,'[1]export_11_05_2025%2017_19_41_0('!$G$2:$G$75)</f>
        <v>508680625</v>
      </c>
      <c r="J59" t="b">
        <f t="shared" si="0"/>
        <v>1</v>
      </c>
    </row>
    <row r="60" spans="1:10" x14ac:dyDescent="0.25">
      <c r="A60" t="s">
        <v>65</v>
      </c>
      <c r="B60" t="s">
        <v>140</v>
      </c>
      <c r="C60" t="s">
        <v>158</v>
      </c>
      <c r="D60">
        <v>180869312</v>
      </c>
      <c r="E60">
        <v>0.55000000000000004</v>
      </c>
      <c r="F60">
        <v>0.99999999999999978</v>
      </c>
      <c r="G60" t="s">
        <v>161</v>
      </c>
      <c r="H60" t="s">
        <v>162</v>
      </c>
      <c r="I60">
        <f>_xlfn.XLOOKUP(B60,'[1]export_11_05_2025%2017_19_41_0('!$B$2:$B$75,'[1]export_11_05_2025%2017_19_41_0('!$G$2:$G$75)</f>
        <v>180869312</v>
      </c>
      <c r="J60" t="b">
        <f t="shared" si="0"/>
        <v>1</v>
      </c>
    </row>
    <row r="61" spans="1:10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0.99999999999999978</v>
      </c>
      <c r="G61" t="s">
        <v>161</v>
      </c>
      <c r="H61" t="s">
        <v>162</v>
      </c>
      <c r="I61">
        <f>_xlfn.XLOOKUP(B61,'[1]export_11_05_2025%2017_19_41_0('!$B$2:$B$75,'[1]export_11_05_2025%2017_19_41_0('!$G$2:$G$75)</f>
        <v>176361365</v>
      </c>
      <c r="J61" t="b">
        <f t="shared" si="0"/>
        <v>1</v>
      </c>
    </row>
    <row r="62" spans="1:10" x14ac:dyDescent="0.25">
      <c r="A62" t="s">
        <v>69</v>
      </c>
      <c r="B62" t="s">
        <v>144</v>
      </c>
      <c r="C62" t="s">
        <v>158</v>
      </c>
      <c r="D62">
        <v>29888612</v>
      </c>
      <c r="E62">
        <v>0.55000000000000004</v>
      </c>
      <c r="F62">
        <v>0.99999999999999978</v>
      </c>
      <c r="G62" t="s">
        <v>161</v>
      </c>
      <c r="H62" t="s">
        <v>162</v>
      </c>
      <c r="I62">
        <f>_xlfn.XLOOKUP(B62,'[1]export_11_05_2025%2017_19_41_0('!$B$2:$B$75,'[1]export_11_05_2025%2017_19_41_0('!$G$2:$G$75)</f>
        <v>29888612</v>
      </c>
      <c r="J62" t="b">
        <f t="shared" si="0"/>
        <v>1</v>
      </c>
    </row>
    <row r="63" spans="1:10" x14ac:dyDescent="0.25">
      <c r="A63" t="s">
        <v>70</v>
      </c>
      <c r="B63" t="s">
        <v>145</v>
      </c>
      <c r="C63" t="s">
        <v>158</v>
      </c>
      <c r="D63">
        <v>128344238</v>
      </c>
      <c r="E63">
        <v>0.9</v>
      </c>
      <c r="F63">
        <v>0.99999999999999978</v>
      </c>
      <c r="G63" t="s">
        <v>161</v>
      </c>
      <c r="H63" t="s">
        <v>162</v>
      </c>
      <c r="I63">
        <f>_xlfn.XLOOKUP(B63,'[1]export_11_05_2025%2017_19_41_0('!$B$2:$B$75,'[1]export_11_05_2025%2017_19_41_0('!$G$2:$G$75)</f>
        <v>128344238</v>
      </c>
      <c r="J63" t="b">
        <f t="shared" si="0"/>
        <v>1</v>
      </c>
    </row>
    <row r="64" spans="1:10" x14ac:dyDescent="0.25">
      <c r="A64" t="s">
        <v>71</v>
      </c>
      <c r="B64" t="s">
        <v>146</v>
      </c>
      <c r="C64" t="s">
        <v>158</v>
      </c>
      <c r="D64">
        <v>44255015</v>
      </c>
      <c r="E64">
        <v>0.45</v>
      </c>
      <c r="F64">
        <v>0.99999999999999978</v>
      </c>
      <c r="G64" t="s">
        <v>161</v>
      </c>
      <c r="H64" t="s">
        <v>162</v>
      </c>
      <c r="I64">
        <f>_xlfn.XLOOKUP(B64,'[1]export_11_05_2025%2017_19_41_0('!$B$2:$B$75,'[1]export_11_05_2025%2017_19_41_0('!$G$2:$G$75)</f>
        <v>44255015</v>
      </c>
      <c r="J64" t="b">
        <f t="shared" si="0"/>
        <v>1</v>
      </c>
    </row>
    <row r="65" spans="1:10" x14ac:dyDescent="0.25">
      <c r="A65" t="s">
        <v>72</v>
      </c>
      <c r="B65" t="s">
        <v>147</v>
      </c>
      <c r="C65" t="s">
        <v>158</v>
      </c>
      <c r="D65">
        <v>70000000</v>
      </c>
      <c r="E65">
        <v>0.35</v>
      </c>
      <c r="F65">
        <v>0.99999999999999978</v>
      </c>
      <c r="G65" t="s">
        <v>161</v>
      </c>
      <c r="H65" t="s">
        <v>162</v>
      </c>
      <c r="I65">
        <f>_xlfn.XLOOKUP(B65,'[1]export_11_05_2025%2017_19_41_0('!$B$2:$B$75,'[1]export_11_05_2025%2017_19_41_0('!$G$2:$G$75)</f>
        <v>70000000</v>
      </c>
      <c r="J65" t="b">
        <f t="shared" si="0"/>
        <v>1</v>
      </c>
    </row>
    <row r="66" spans="1:10" x14ac:dyDescent="0.25">
      <c r="A66" t="s">
        <v>73</v>
      </c>
      <c r="B66" t="s">
        <v>148</v>
      </c>
      <c r="C66" t="s">
        <v>158</v>
      </c>
      <c r="D66">
        <v>42198429</v>
      </c>
      <c r="E66">
        <v>0.70000000000000007</v>
      </c>
      <c r="F66">
        <v>0.99999999999999978</v>
      </c>
      <c r="G66" t="s">
        <v>161</v>
      </c>
      <c r="H66" t="s">
        <v>162</v>
      </c>
      <c r="I66">
        <f>_xlfn.XLOOKUP(B66,'[1]export_11_05_2025%2017_19_41_0('!$B$2:$B$75,'[1]export_11_05_2025%2017_19_41_0('!$G$2:$G$75)</f>
        <v>42198429</v>
      </c>
      <c r="J66" t="b">
        <f t="shared" si="0"/>
        <v>1</v>
      </c>
    </row>
    <row r="67" spans="1:10" x14ac:dyDescent="0.25">
      <c r="A67" t="s">
        <v>74</v>
      </c>
      <c r="B67" t="s">
        <v>149</v>
      </c>
      <c r="C67" t="s">
        <v>158</v>
      </c>
      <c r="D67">
        <v>125000000</v>
      </c>
      <c r="E67">
        <v>0.5</v>
      </c>
      <c r="F67">
        <v>0.99999999999999978</v>
      </c>
      <c r="G67" t="s">
        <v>161</v>
      </c>
      <c r="H67" t="s">
        <v>162</v>
      </c>
      <c r="I67">
        <f>_xlfn.XLOOKUP(B67,'[1]export_11_05_2025%2017_19_41_0('!$B$2:$B$75,'[1]export_11_05_2025%2017_19_41_0('!$G$2:$G$75)</f>
        <v>125000000</v>
      </c>
      <c r="J67" t="b">
        <f t="shared" ref="J67:J76" si="1">I67=D67</f>
        <v>1</v>
      </c>
    </row>
    <row r="68" spans="1:10" x14ac:dyDescent="0.25">
      <c r="A68" t="s">
        <v>75</v>
      </c>
      <c r="B68" t="s">
        <v>150</v>
      </c>
      <c r="C68" t="s">
        <v>158</v>
      </c>
      <c r="D68">
        <v>1834099825</v>
      </c>
      <c r="E68">
        <v>0.60000000000000009</v>
      </c>
      <c r="F68">
        <v>0.99999999999999978</v>
      </c>
      <c r="G68" t="s">
        <v>161</v>
      </c>
      <c r="H68" t="s">
        <v>162</v>
      </c>
      <c r="I68">
        <f>_xlfn.XLOOKUP(B68,'[1]export_11_05_2025%2017_19_41_0('!$B$2:$B$75,'[1]export_11_05_2025%2017_19_41_0('!$G$2:$G$75)</f>
        <v>1834099825</v>
      </c>
      <c r="J68" t="b">
        <f t="shared" si="1"/>
        <v>1</v>
      </c>
    </row>
    <row r="69" spans="1:10" x14ac:dyDescent="0.25">
      <c r="A69" t="s">
        <v>77</v>
      </c>
      <c r="B69" t="s">
        <v>152</v>
      </c>
      <c r="C69" t="s">
        <v>158</v>
      </c>
      <c r="D69">
        <v>43036928</v>
      </c>
      <c r="E69">
        <v>0.70000000000000007</v>
      </c>
      <c r="F69">
        <v>0.99999999999999978</v>
      </c>
      <c r="G69" t="s">
        <v>161</v>
      </c>
      <c r="H69" t="s">
        <v>162</v>
      </c>
      <c r="I69">
        <f>_xlfn.XLOOKUP(B69,'[1]export_11_05_2025%2017_19_41_0('!$B$2:$B$75,'[1]export_11_05_2025%2017_19_41_0('!$G$2:$G$75)</f>
        <v>43036928</v>
      </c>
      <c r="J69" t="b">
        <f t="shared" si="1"/>
        <v>1</v>
      </c>
    </row>
    <row r="70" spans="1:10" x14ac:dyDescent="0.25">
      <c r="A70" t="s">
        <v>78</v>
      </c>
      <c r="B70" t="s">
        <v>153</v>
      </c>
      <c r="C70" t="s">
        <v>160</v>
      </c>
      <c r="D70">
        <v>19469032</v>
      </c>
      <c r="E70">
        <v>0.4</v>
      </c>
      <c r="F70">
        <v>0.99999999999999978</v>
      </c>
      <c r="G70" t="s">
        <v>161</v>
      </c>
      <c r="H70" t="s">
        <v>162</v>
      </c>
      <c r="I70">
        <f>_xlfn.XLOOKUP(B70,'[1]export_11_05_2025%2017_19_41_0('!$B$2:$B$75,'[1]export_11_05_2025%2017_19_41_0('!$G$2:$G$75)</f>
        <v>19469032</v>
      </c>
      <c r="J70" t="b">
        <f t="shared" si="1"/>
        <v>1</v>
      </c>
    </row>
    <row r="71" spans="1:10" x14ac:dyDescent="0.25">
      <c r="A71" t="s">
        <v>79</v>
      </c>
      <c r="B71" t="s">
        <v>154</v>
      </c>
      <c r="C71" t="s">
        <v>158</v>
      </c>
      <c r="D71">
        <v>117816148</v>
      </c>
      <c r="E71">
        <v>0.5</v>
      </c>
      <c r="F71">
        <v>0.99999999999999978</v>
      </c>
      <c r="G71" t="s">
        <v>161</v>
      </c>
      <c r="H71" t="s">
        <v>162</v>
      </c>
      <c r="I71">
        <f>_xlfn.XLOOKUP(B71,'[1]export_11_05_2025%2017_19_41_0('!$B$2:$B$75,'[1]export_11_05_2025%2017_19_41_0('!$G$2:$G$75)</f>
        <v>117816148</v>
      </c>
      <c r="J71" t="b">
        <f t="shared" si="1"/>
        <v>1</v>
      </c>
    </row>
    <row r="72" spans="1:10" x14ac:dyDescent="0.25">
      <c r="A72" t="s">
        <v>81</v>
      </c>
      <c r="B72" t="s">
        <v>156</v>
      </c>
      <c r="C72" t="s">
        <v>158</v>
      </c>
      <c r="D72">
        <v>46396667</v>
      </c>
      <c r="E72">
        <v>0.8</v>
      </c>
      <c r="F72">
        <v>0.99999999999999978</v>
      </c>
      <c r="G72" t="s">
        <v>161</v>
      </c>
      <c r="H72" t="s">
        <v>162</v>
      </c>
      <c r="I72">
        <f>_xlfn.XLOOKUP(B72,'[1]export_11_05_2025%2017_19_41_0('!$B$2:$B$75,'[1]export_11_05_2025%2017_19_41_0('!$G$2:$G$75)</f>
        <v>46396667</v>
      </c>
      <c r="J72" t="b">
        <f t="shared" si="1"/>
        <v>1</v>
      </c>
    </row>
    <row r="73" spans="1:10" x14ac:dyDescent="0.25">
      <c r="A73" t="s">
        <v>82</v>
      </c>
      <c r="B73" t="s">
        <v>157</v>
      </c>
      <c r="C73" t="s">
        <v>158</v>
      </c>
      <c r="D73">
        <v>238516153</v>
      </c>
      <c r="E73">
        <v>1</v>
      </c>
      <c r="F73">
        <v>0.99999999999999978</v>
      </c>
      <c r="G73" t="s">
        <v>161</v>
      </c>
      <c r="H73" t="s">
        <v>162</v>
      </c>
      <c r="I73">
        <f>_xlfn.XLOOKUP(B73,'[1]export_11_05_2025%2017_19_41_0('!$B$2:$B$75,'[1]export_11_05_2025%2017_19_41_0('!$G$2:$G$75)</f>
        <v>238516153</v>
      </c>
      <c r="J73" t="b">
        <f t="shared" si="1"/>
        <v>1</v>
      </c>
    </row>
    <row r="74" spans="1:10" x14ac:dyDescent="0.25">
      <c r="A74" t="s">
        <v>23</v>
      </c>
      <c r="B74" t="s">
        <v>98</v>
      </c>
      <c r="C74" t="s">
        <v>158</v>
      </c>
      <c r="D74">
        <v>49328548</v>
      </c>
      <c r="E74">
        <v>0.95000000000000007</v>
      </c>
      <c r="F74">
        <v>1</v>
      </c>
      <c r="G74" t="s">
        <v>161</v>
      </c>
      <c r="H74" t="s">
        <v>162</v>
      </c>
      <c r="I74">
        <f>_xlfn.XLOOKUP(B74,'[1]export_11_05_2025%2017_19_41_0('!$B$2:$B$75,'[1]export_11_05_2025%2017_19_41_0('!$G$2:$G$75)</f>
        <v>49328548</v>
      </c>
      <c r="J74" t="b">
        <f t="shared" si="1"/>
        <v>1</v>
      </c>
    </row>
    <row r="75" spans="1:10" x14ac:dyDescent="0.25">
      <c r="A75" t="s">
        <v>34</v>
      </c>
      <c r="B75" t="s">
        <v>109</v>
      </c>
      <c r="C75" t="s">
        <v>158</v>
      </c>
      <c r="D75">
        <v>1062984492</v>
      </c>
      <c r="E75">
        <v>0.25</v>
      </c>
      <c r="F75">
        <v>1</v>
      </c>
      <c r="G75" t="s">
        <v>161</v>
      </c>
      <c r="H75" t="s">
        <v>162</v>
      </c>
      <c r="I75">
        <f>_xlfn.XLOOKUP(B75,'[1]export_11_05_2025%2017_19_41_0('!$B$2:$B$75,'[1]export_11_05_2025%2017_19_41_0('!$G$2:$G$75)</f>
        <v>1062984492</v>
      </c>
      <c r="J75" t="b">
        <f t="shared" si="1"/>
        <v>1</v>
      </c>
    </row>
    <row r="76" spans="1:10" x14ac:dyDescent="0.25">
      <c r="A76" t="s">
        <v>35</v>
      </c>
      <c r="B76" t="s">
        <v>110</v>
      </c>
      <c r="C76" t="s">
        <v>158</v>
      </c>
      <c r="D76">
        <v>265676388</v>
      </c>
      <c r="E76">
        <v>0.8</v>
      </c>
      <c r="F76">
        <v>1</v>
      </c>
      <c r="G76" t="s">
        <v>161</v>
      </c>
      <c r="H76" t="s">
        <v>162</v>
      </c>
      <c r="I76">
        <f>_xlfn.XLOOKUP(B76,'[1]export_11_05_2025%2017_19_41_0('!$B$2:$B$75,'[1]export_11_05_2025%2017_19_41_0('!$G$2:$G$75)</f>
        <v>265676388</v>
      </c>
      <c r="J76" t="b">
        <f t="shared" si="1"/>
        <v>1</v>
      </c>
    </row>
  </sheetData>
  <autoFilter ref="A1:I76" xr:uid="{00000000-0001-0000-0000-000000000000}">
    <sortState xmlns:xlrd2="http://schemas.microsoft.com/office/spreadsheetml/2017/richdata2" ref="A2:I76">
      <sortCondition ref="F1:F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0.99999999999999956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1.238243722254166E-2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0.74004206253092242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0.62334879918012998</v>
      </c>
      <c r="M3">
        <v>43386717042</v>
      </c>
      <c r="N3">
        <v>3.6161892167555991E-2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0.99999999999999978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8134242561.5880003</v>
      </c>
      <c r="N4">
        <v>6.7797156003331993E-3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0.99999999999999978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0.91277227752001</v>
      </c>
      <c r="M5">
        <v>30693787139.82</v>
      </c>
      <c r="N5">
        <v>2.5582609066494202E-2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0.99999999999999978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8.7189417256208473E-3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0.99999999999999978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1.035988868208792E-2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0.95000000000000007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1.7955222798378832E-2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0.1032996211258007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0.22835472933772</v>
      </c>
      <c r="M9">
        <v>290253220004</v>
      </c>
      <c r="N9">
        <v>0.24191979386017889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0.99999999999999978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7791153204.7700005</v>
      </c>
      <c r="N10">
        <v>6.4937580268878883E-3</v>
      </c>
      <c r="O10" t="s">
        <v>162</v>
      </c>
    </row>
    <row r="11" spans="1:15" x14ac:dyDescent="0.2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0.99999999999999978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8446158224.7299995</v>
      </c>
      <c r="N11">
        <v>7.0396905729727226E-3</v>
      </c>
      <c r="O11" t="s">
        <v>162</v>
      </c>
    </row>
    <row r="12" spans="1:15" x14ac:dyDescent="0.2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3972904538.8499999</v>
      </c>
      <c r="N12">
        <v>3.3113301793913472E-3</v>
      </c>
      <c r="O12" t="s">
        <v>162</v>
      </c>
    </row>
    <row r="13" spans="1:15" x14ac:dyDescent="0.2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1.3516425048286341E-2</v>
      </c>
      <c r="O13" t="s">
        <v>162</v>
      </c>
    </row>
    <row r="14" spans="1:15" x14ac:dyDescent="0.2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0.99999999999999978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7653047715.54</v>
      </c>
      <c r="N14">
        <v>6.3786500825728501E-3</v>
      </c>
      <c r="O14" t="s">
        <v>162</v>
      </c>
    </row>
    <row r="15" spans="1:15" x14ac:dyDescent="0.2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0.99999999999999978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1.5862033018854131E-2</v>
      </c>
      <c r="O15" t="s">
        <v>162</v>
      </c>
    </row>
    <row r="16" spans="1:15" x14ac:dyDescent="0.25">
      <c r="A16" t="s">
        <v>50</v>
      </c>
      <c r="B16" t="s">
        <v>125</v>
      </c>
      <c r="C16" t="s">
        <v>158</v>
      </c>
      <c r="D16">
        <v>59107999</v>
      </c>
      <c r="E16">
        <v>0.95000000000000007</v>
      </c>
      <c r="F16">
        <v>0.99999999999999978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5122240085.3410006</v>
      </c>
      <c r="N16">
        <v>4.2692765493900922E-3</v>
      </c>
      <c r="O16" t="s">
        <v>162</v>
      </c>
    </row>
    <row r="17" spans="1:15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0.41581090352492989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0.52490646443552003</v>
      </c>
      <c r="M17">
        <v>64827202232.939987</v>
      </c>
      <c r="N17">
        <v>5.4032073788910423E-2</v>
      </c>
      <c r="O17" t="s">
        <v>162</v>
      </c>
    </row>
    <row r="18" spans="1:15" x14ac:dyDescent="0.2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0.99999999999999978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2.2733123778766171E-3</v>
      </c>
      <c r="O18" t="s">
        <v>162</v>
      </c>
    </row>
    <row r="19" spans="1:15" x14ac:dyDescent="0.2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0.99999999999999978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4560564873.5640001</v>
      </c>
      <c r="N19">
        <v>3.801132383934867E-3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208967756</v>
      </c>
      <c r="E20">
        <v>0.85000000000000009</v>
      </c>
      <c r="F20">
        <v>0.99999999999999978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3593305048.2979999</v>
      </c>
      <c r="N20">
        <v>2.994942197537077E-3</v>
      </c>
      <c r="O20" t="s">
        <v>162</v>
      </c>
    </row>
    <row r="21" spans="1:15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0.99999999999999978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1.342562848050189E-2</v>
      </c>
      <c r="O21" t="s">
        <v>162</v>
      </c>
    </row>
    <row r="22" spans="1:15" x14ac:dyDescent="0.25">
      <c r="A22" t="s">
        <v>58</v>
      </c>
      <c r="B22" t="s">
        <v>133</v>
      </c>
      <c r="C22" t="s">
        <v>158</v>
      </c>
      <c r="D22">
        <v>269000000</v>
      </c>
      <c r="E22">
        <v>0.95000000000000007</v>
      </c>
      <c r="F22">
        <v>0.99999999999999978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1.226853556091032E-2</v>
      </c>
      <c r="O22" t="s">
        <v>162</v>
      </c>
    </row>
    <row r="23" spans="1:15" x14ac:dyDescent="0.2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18272372424.832001</v>
      </c>
      <c r="N23">
        <v>1.5229628013397599E-2</v>
      </c>
      <c r="O23" t="s">
        <v>162</v>
      </c>
    </row>
    <row r="24" spans="1:15" x14ac:dyDescent="0.25">
      <c r="A24" t="s">
        <v>64</v>
      </c>
      <c r="B24" t="s">
        <v>139</v>
      </c>
      <c r="C24" t="s">
        <v>158</v>
      </c>
      <c r="D24">
        <v>2378947836</v>
      </c>
      <c r="E24">
        <v>0.55000000000000004</v>
      </c>
      <c r="F24">
        <v>0.40724077118178931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0.46691605553347998</v>
      </c>
      <c r="M24">
        <v>73624867102.446014</v>
      </c>
      <c r="N24">
        <v>6.1364737563157273E-2</v>
      </c>
      <c r="O24" t="s">
        <v>162</v>
      </c>
    </row>
    <row r="25" spans="1:15" x14ac:dyDescent="0.25">
      <c r="A25" t="s">
        <v>65</v>
      </c>
      <c r="B25" t="s">
        <v>140</v>
      </c>
      <c r="C25" t="s">
        <v>158</v>
      </c>
      <c r="D25">
        <v>180869312</v>
      </c>
      <c r="E25">
        <v>0.55000000000000004</v>
      </c>
      <c r="F25">
        <v>0.99999999999999978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3555348065.9840012</v>
      </c>
      <c r="N25">
        <v>2.963305872066405E-3</v>
      </c>
      <c r="O25" t="s">
        <v>162</v>
      </c>
    </row>
    <row r="26" spans="1:15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0.39502615421230503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0.68832040881052003</v>
      </c>
      <c r="M26">
        <v>75901424088.599991</v>
      </c>
      <c r="N26">
        <v>6.3262198672438777E-2</v>
      </c>
      <c r="O26" t="s">
        <v>162</v>
      </c>
    </row>
    <row r="27" spans="1:15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0.16605850810237341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0.31206391163661001</v>
      </c>
      <c r="M27">
        <v>180557130131.94501</v>
      </c>
      <c r="N27">
        <v>0.15049047070314561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0.60000000000000009</v>
      </c>
      <c r="F28">
        <v>0.99999999999999978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26796198443.250011</v>
      </c>
      <c r="N28">
        <v>2.233405301597741E-2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0.21601918588469499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0.41955921840014998</v>
      </c>
      <c r="M29">
        <v>138798077282.64001</v>
      </c>
      <c r="N29">
        <v>0.11568520150764459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0.99999999999999956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3904863074.3839998</v>
      </c>
      <c r="N30">
        <v>3.2546190874098951E-3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0.99999999999999978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0.87701952662017002</v>
      </c>
      <c r="M31">
        <v>26224851022.349998</v>
      </c>
      <c r="N31">
        <v>2.185784727298937E-2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0.99999999999999978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2830408290.7919998</v>
      </c>
      <c r="N32">
        <v>2.3590842170126678E-3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0.99999999999999978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1793535740.8594999</v>
      </c>
      <c r="N33">
        <v>1.4948733271714059E-3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0.60000000000000009</v>
      </c>
      <c r="F34">
        <v>0.99999999999999956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2140971113.9519999</v>
      </c>
      <c r="N34">
        <v>1.7844532113742879E-3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0.95000000000000007</v>
      </c>
      <c r="F35">
        <v>0.99999999999999978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845465809.80400002</v>
      </c>
      <c r="N35">
        <v>7.0467750339098473E-4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0.60000000000000009</v>
      </c>
      <c r="F36">
        <v>0.99999999999999978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1179442530.1199999</v>
      </c>
      <c r="N36">
        <v>9.8303989100491699E-4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0.99999999999999978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3119890371.1360002</v>
      </c>
      <c r="N37">
        <v>2.6003612826110138E-3</v>
      </c>
      <c r="O37" t="s">
        <v>162</v>
      </c>
    </row>
    <row r="38" spans="1:15" x14ac:dyDescent="0.25">
      <c r="A38" t="s">
        <v>28</v>
      </c>
      <c r="B38" t="s">
        <v>103</v>
      </c>
      <c r="C38" t="s">
        <v>158</v>
      </c>
      <c r="D38">
        <v>272000000</v>
      </c>
      <c r="E38">
        <v>0.95000000000000007</v>
      </c>
      <c r="F38">
        <v>0.99999999999999978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2115004000</v>
      </c>
      <c r="N38">
        <v>1.762810182386272E-3</v>
      </c>
      <c r="O38" t="s">
        <v>162</v>
      </c>
    </row>
    <row r="39" spans="1:15" x14ac:dyDescent="0.25">
      <c r="A39" t="s">
        <v>29</v>
      </c>
      <c r="B39" t="s">
        <v>104</v>
      </c>
      <c r="C39" t="s">
        <v>158</v>
      </c>
      <c r="D39">
        <v>66000000</v>
      </c>
      <c r="E39">
        <v>0.60000000000000009</v>
      </c>
      <c r="F39">
        <v>0.99999999999999978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8.5484880192314341E-4</v>
      </c>
      <c r="O39" t="s">
        <v>162</v>
      </c>
    </row>
    <row r="40" spans="1:15" x14ac:dyDescent="0.2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0.99999999999999978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884938694.32799995</v>
      </c>
      <c r="N40">
        <v>7.3757730063347916E-4</v>
      </c>
      <c r="O40" t="s">
        <v>162</v>
      </c>
    </row>
    <row r="41" spans="1:15" x14ac:dyDescent="0.2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0.99999999999999978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2128022562.8399999</v>
      </c>
      <c r="N41">
        <v>1.773660873512335E-3</v>
      </c>
      <c r="O41" t="s">
        <v>162</v>
      </c>
    </row>
    <row r="42" spans="1:15" x14ac:dyDescent="0.2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0.99999999999999978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1146111769.4400001</v>
      </c>
      <c r="N42">
        <v>9.5525942141082439E-4</v>
      </c>
      <c r="O42" t="s">
        <v>162</v>
      </c>
    </row>
    <row r="43" spans="1:15" x14ac:dyDescent="0.2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0.99999999999999978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1291937616.2880001</v>
      </c>
      <c r="N43">
        <v>1.0768021171592751E-3</v>
      </c>
      <c r="O43" t="s">
        <v>162</v>
      </c>
    </row>
    <row r="44" spans="1:15" x14ac:dyDescent="0.2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0.99999999999999978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910464243.07499993</v>
      </c>
      <c r="N44">
        <v>7.5885229455415664E-4</v>
      </c>
      <c r="O44" t="s">
        <v>162</v>
      </c>
    </row>
    <row r="45" spans="1:15" x14ac:dyDescent="0.2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0.99999999999999978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937019797.70400012</v>
      </c>
      <c r="N45">
        <v>7.8098577614516853E-4</v>
      </c>
      <c r="O45" t="s">
        <v>162</v>
      </c>
    </row>
    <row r="46" spans="1:15" x14ac:dyDescent="0.25">
      <c r="A46" t="s">
        <v>45</v>
      </c>
      <c r="B46" t="s">
        <v>120</v>
      </c>
      <c r="C46" t="s">
        <v>158</v>
      </c>
      <c r="D46">
        <v>65897071</v>
      </c>
      <c r="E46">
        <v>0.55000000000000004</v>
      </c>
      <c r="F46">
        <v>0.99999999999999978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979296372.13100016</v>
      </c>
      <c r="N46">
        <v>8.1622238840515799E-4</v>
      </c>
      <c r="O46" t="s">
        <v>162</v>
      </c>
    </row>
    <row r="47" spans="1:15" x14ac:dyDescent="0.2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0.99999999999999978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2.5986146759691478E-3</v>
      </c>
      <c r="O47" t="s">
        <v>162</v>
      </c>
    </row>
    <row r="48" spans="1:15" x14ac:dyDescent="0.25">
      <c r="A48" t="s">
        <v>47</v>
      </c>
      <c r="B48" t="s">
        <v>122</v>
      </c>
      <c r="C48" t="s">
        <v>158</v>
      </c>
      <c r="D48">
        <v>991811494</v>
      </c>
      <c r="E48">
        <v>0.60000000000000009</v>
      </c>
      <c r="F48">
        <v>0.99999999999999978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916433820.45600021</v>
      </c>
      <c r="N48">
        <v>7.6382780845000271E-4</v>
      </c>
      <c r="O48" t="s">
        <v>162</v>
      </c>
    </row>
    <row r="49" spans="1:15" x14ac:dyDescent="0.25">
      <c r="A49" t="s">
        <v>48</v>
      </c>
      <c r="B49" t="s">
        <v>123</v>
      </c>
      <c r="C49" t="s">
        <v>158</v>
      </c>
      <c r="D49">
        <v>27478006</v>
      </c>
      <c r="E49">
        <v>0.95000000000000007</v>
      </c>
      <c r="F49">
        <v>0.99999999999999978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1568856752.5699999</v>
      </c>
      <c r="N49">
        <v>1.30760824004865E-3</v>
      </c>
      <c r="O49" t="s">
        <v>162</v>
      </c>
    </row>
    <row r="50" spans="1:15" x14ac:dyDescent="0.2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0.99999999999999978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454631034.33899999</v>
      </c>
      <c r="N50">
        <v>3.7892515407138332E-4</v>
      </c>
      <c r="O50" t="s">
        <v>162</v>
      </c>
    </row>
    <row r="51" spans="1:15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0.99999999999999956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6.9326167859816738E-4</v>
      </c>
      <c r="O51" t="s">
        <v>162</v>
      </c>
    </row>
    <row r="52" spans="1:15" x14ac:dyDescent="0.25">
      <c r="A52" t="s">
        <v>67</v>
      </c>
      <c r="B52" t="s">
        <v>142</v>
      </c>
      <c r="C52" t="s">
        <v>158</v>
      </c>
      <c r="D52">
        <v>176361365</v>
      </c>
      <c r="E52">
        <v>0.70000000000000007</v>
      </c>
      <c r="F52">
        <v>0.99999999999999978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2651769484.1399999</v>
      </c>
      <c r="N52">
        <v>2.2101926275237228E-3</v>
      </c>
      <c r="O52" t="s">
        <v>162</v>
      </c>
    </row>
    <row r="53" spans="1:15" x14ac:dyDescent="0.2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0.99999999999999978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2.200845057469784E-3</v>
      </c>
      <c r="O53" t="s">
        <v>162</v>
      </c>
    </row>
    <row r="54" spans="1:15" x14ac:dyDescent="0.25">
      <c r="A54" t="s">
        <v>73</v>
      </c>
      <c r="B54" t="s">
        <v>148</v>
      </c>
      <c r="C54" t="s">
        <v>158</v>
      </c>
      <c r="D54">
        <v>42198429</v>
      </c>
      <c r="E54">
        <v>0.70000000000000007</v>
      </c>
      <c r="F54">
        <v>0.99999999999999978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8.3363441263930096E-4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0.70000000000000007</v>
      </c>
      <c r="F55">
        <v>0.99999999999999978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1.2378857975192141E-3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2292702240.0799999</v>
      </c>
      <c r="N56">
        <v>1.9109178299392519E-3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0.60000000000000009</v>
      </c>
      <c r="F57">
        <v>0.99999999999999978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107756230.12800001</v>
      </c>
      <c r="N57">
        <v>8.9812491931550372E-5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3.7831664548360468E-4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0.99999999999999978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1.734864484597885E-4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20905671</v>
      </c>
      <c r="E60">
        <v>0.95000000000000007</v>
      </c>
      <c r="F60">
        <v>0.99999999999999956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162060761.59200001</v>
      </c>
      <c r="N60">
        <v>1.3507414676267829E-4</v>
      </c>
      <c r="O60" t="s">
        <v>162</v>
      </c>
    </row>
    <row r="61" spans="1:15" x14ac:dyDescent="0.2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0.99999999999999978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1.0313517077019841E-4</v>
      </c>
      <c r="O61" t="s">
        <v>162</v>
      </c>
    </row>
    <row r="62" spans="1:15" x14ac:dyDescent="0.2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0.99999999999999978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166491662.208</v>
      </c>
      <c r="N62">
        <v>1.3876720678669081E-4</v>
      </c>
      <c r="O62" t="s">
        <v>162</v>
      </c>
    </row>
    <row r="63" spans="1:15" x14ac:dyDescent="0.25">
      <c r="A63" t="s">
        <v>36</v>
      </c>
      <c r="B63" t="s">
        <v>111</v>
      </c>
      <c r="C63" t="s">
        <v>158</v>
      </c>
      <c r="D63">
        <v>57690377</v>
      </c>
      <c r="E63">
        <v>0.55000000000000004</v>
      </c>
      <c r="F63">
        <v>0.99999999999999978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222107951.44999999</v>
      </c>
      <c r="N63">
        <v>1.851221834119537E-4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0.99999999999999978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104303826.41249999</v>
      </c>
      <c r="N64">
        <v>8.6934987953594955E-5</v>
      </c>
      <c r="O64" t="s">
        <v>162</v>
      </c>
    </row>
    <row r="65" spans="1:15" x14ac:dyDescent="0.2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1.924482491047632E-4</v>
      </c>
      <c r="O65" t="s">
        <v>162</v>
      </c>
    </row>
    <row r="66" spans="1:15" x14ac:dyDescent="0.2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0.99999999999999978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169951745.6595</v>
      </c>
      <c r="N66">
        <v>1.4165111165883779E-4</v>
      </c>
      <c r="O66" t="s">
        <v>162</v>
      </c>
    </row>
    <row r="67" spans="1:15" x14ac:dyDescent="0.2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0.99999999999999978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1.337936401948084E-4</v>
      </c>
      <c r="O67" t="s">
        <v>162</v>
      </c>
    </row>
    <row r="68" spans="1:15" x14ac:dyDescent="0.2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0.99999999999999978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288230599.80000001</v>
      </c>
      <c r="N68">
        <v>2.4023398357768711E-4</v>
      </c>
      <c r="O68" t="s">
        <v>162</v>
      </c>
    </row>
    <row r="69" spans="1:15" x14ac:dyDescent="0.2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0.99999999999999978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276428856.01499999</v>
      </c>
      <c r="N69">
        <v>2.3039748486935761E-4</v>
      </c>
      <c r="O69" t="s">
        <v>162</v>
      </c>
    </row>
    <row r="70" spans="1:15" x14ac:dyDescent="0.25">
      <c r="A70" t="s">
        <v>63</v>
      </c>
      <c r="B70" t="s">
        <v>138</v>
      </c>
      <c r="C70" t="s">
        <v>158</v>
      </c>
      <c r="D70">
        <v>508680625</v>
      </c>
      <c r="E70">
        <v>0.70000000000000007</v>
      </c>
      <c r="F70">
        <v>0.99999999999999978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357144666.8125</v>
      </c>
      <c r="N70">
        <v>2.9767237094682921E-4</v>
      </c>
      <c r="O70" t="s">
        <v>162</v>
      </c>
    </row>
    <row r="71" spans="1:15" x14ac:dyDescent="0.25">
      <c r="A71" t="s">
        <v>69</v>
      </c>
      <c r="B71" t="s">
        <v>144</v>
      </c>
      <c r="C71" t="s">
        <v>158</v>
      </c>
      <c r="D71">
        <v>29888612</v>
      </c>
      <c r="E71">
        <v>0.55000000000000004</v>
      </c>
      <c r="F71">
        <v>0.99999999999999978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130687955.97</v>
      </c>
      <c r="N71">
        <v>1.08925590447661E-4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220655504.78999999</v>
      </c>
      <c r="N72">
        <v>1.839116004713914E-4</v>
      </c>
      <c r="O72" t="s">
        <v>162</v>
      </c>
    </row>
    <row r="73" spans="1:15" x14ac:dyDescent="0.2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0.99999999999999978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5.8503933669699156E-4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0.99999999999999978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2.8546635725856692E-4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0.99999999999999978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227398293.75999999</v>
      </c>
      <c r="N75">
        <v>1.8953156953717E-4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685928324.92800009</v>
      </c>
      <c r="N76">
        <v>5.7170645330705656E-4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653861949455.25317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2025-11-05T16:18:35Z</dcterms:created>
  <dcterms:modified xsi:type="dcterms:W3CDTF">2025-11-05T16:23:06Z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2025-11-05T16:19:02Z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6ac5893b-6fb2-431d-9ef6-502b9044dec1</vt:lpwstr>
  </property>
  <property fmtid="{D5CDD505-2E9C-101B-9397-08002B2CF9AE}" pid="8" name="MSIP_Label_ac0b9ce6-6e99-42a1-af95-429494370cbc_ContentBits">
    <vt:lpwstr>2</vt:lpwstr>
  </property>
</Properties>
</file>