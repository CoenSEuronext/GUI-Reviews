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36A97D39097E7289BC2C52975EB5AA300709BD19" xr6:coauthVersionLast="47" xr6:coauthVersionMax="47" xr10:uidLastSave="{3A820D1B-C730-4118-9E54-E7DF41984C5C}"/>
  <bookViews>
    <workbookView xWindow="-29115" yWindow="-16005" windowWidth="29040" windowHeight="15720" activeTab="4" xr2:uid="{00000000-000D-0000-FFFF-FFFF00000000}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1" i="5" l="1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S2" i="5"/>
</calcChain>
</file>

<file path=xl/sharedStrings.xml><?xml version="1.0" encoding="utf-8"?>
<sst xmlns="http://schemas.openxmlformats.org/spreadsheetml/2006/main" count="951" uniqueCount="210">
  <si>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</si>
  <si>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</si>
  <si>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</si>
  <si>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</si>
  <si>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</si>
  <si>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</si>
  <si>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</si>
  <si>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</si>
  <si>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</si>
  <si>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</si>
  <si>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</si>
  <si>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</si>
  <si>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</si>
  <si>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</si>
  <si>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</si>
  <si>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</si>
  <si>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</si>
  <si>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</si>
  <si>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</si>
  <si>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</si>
  <si>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</si>
  <si>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</si>
  <si>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</si>
  <si>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</si>
  <si>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</si>
  <si>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</si>
  <si>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</si>
  <si>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</si>
  <si>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</si>
  <si>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</si>
  <si>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</si>
  <si>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</si>
  <si>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</si>
  <si>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</si>
  <si>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</si>
  <si>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</si>
  <si>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</si>
  <si>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</si>
  <si>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</si>
  <si>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</si>
  <si>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</si>
  <si>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</si>
  <si>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</si>
  <si>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</si>
  <si>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</si>
  <si>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</si>
  <si>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</si>
  <si>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</si>
  <si>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</si>
  <si>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</si>
  <si>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</si>
  <si>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</si>
  <si>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</si>
  <si>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</si>
  <si>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</si>
  <si>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</si>
  <si>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</si>
  <si>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</si>
  <si>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</si>
  <si>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</si>
  <si>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</si>
  <si>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</si>
  <si>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</si>
  <si>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</si>
  <si>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</si>
  <si>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</si>
  <si>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</si>
  <si>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</si>
  <si>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</si>
  <si>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</si>
  <si>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</si>
  <si>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</si>
  <si>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</si>
  <si>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</si>
  <si>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</si>
  <si>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</si>
  <si>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</si>
  <si>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</si>
  <si>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</si>
  <si>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</si>
  <si>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</si>
  <si>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</si>
  <si>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</si>
  <si>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</si>
  <si>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</si>
  <si>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</si>
  <si>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</si>
  <si>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</si>
  <si>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</si>
  <si>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</si>
  <si>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</si>
  <si>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</si>
  <si>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</si>
  <si>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</si>
  <si>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</si>
  <si>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</si>
  <si>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</si>
  <si>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</si>
  <si>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</si>
  <si>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</si>
  <si>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</si>
  <si>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</si>
  <si>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</si>
  <si>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</si>
  <si>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</si>
  <si>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</si>
  <si>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</si>
  <si>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</si>
  <si>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</si>
  <si>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</si>
  <si>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</si>
  <si>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</si>
  <si>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</si>
  <si>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</si>
  <si>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</si>
  <si>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</si>
  <si>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</si>
  <si>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</si>
  <si>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</si>
  <si>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</si>
  <si>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</si>
  <si>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</si>
  <si>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</si>
  <si>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</si>
  <si>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</si>
  <si>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</si>
  <si>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</si>
  <si>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</si>
  <si>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</si>
  <si>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</si>
  <si>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</si>
  <si>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</si>
  <si>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</si>
  <si>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</si>
  <si>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</si>
  <si>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</si>
  <si>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</si>
  <si>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</si>
  <si>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</si>
  <si>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</si>
  <si>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</si>
  <si>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</si>
  <si>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</si>
  <si>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</si>
  <si>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</si>
  <si>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</si>
  <si>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</si>
  <si>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</si>
  <si>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</si>
  <si>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</si>
  <si>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LOIM.PA</t>
  </si>
  <si>
    <t>URW.PA</t>
  </si>
  <si>
    <t>SCHN.PA</t>
  </si>
  <si>
    <t>PUBP.PA</t>
  </si>
  <si>
    <t>SPIE.PA</t>
  </si>
  <si>
    <t>PRTP.PA</t>
  </si>
  <si>
    <t>GFCP.PA</t>
  </si>
  <si>
    <t>BVI.PA</t>
  </si>
  <si>
    <t>GETP.PA</t>
  </si>
  <si>
    <t>CAPP.PA</t>
  </si>
  <si>
    <t>TEPRF.PA</t>
  </si>
  <si>
    <t>BNPP.PA</t>
  </si>
  <si>
    <t>HRMS.PA</t>
  </si>
  <si>
    <t>DANO.PA</t>
  </si>
  <si>
    <t>DAST.PA</t>
  </si>
  <si>
    <t>ESLX.PA</t>
  </si>
  <si>
    <t>RXL.PA</t>
  </si>
  <si>
    <t>EDEN.PA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</si>
  <si>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</si>
  <si>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</si>
  <si>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</si>
  <si>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</si>
  <si>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</si>
  <si>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</si>
  <si>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</si>
  <si>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</si>
  <si>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</si>
  <si>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STDM.PA</t>
  </si>
  <si>
    <t>SCOR.PA</t>
  </si>
  <si>
    <t>CARR.PA</t>
  </si>
  <si>
    <t>OREP.PA</t>
  </si>
  <si>
    <t>VLOF.PA</t>
  </si>
  <si>
    <t>PERP.PA</t>
  </si>
  <si>
    <t>ORAN.PA</t>
  </si>
  <si>
    <t>EUFI.PA</t>
  </si>
  <si>
    <t>CAGR.PA</t>
  </si>
  <si>
    <t>SGOB.PA</t>
  </si>
  <si>
    <t>RENA.PA</t>
  </si>
  <si>
    <t>AMUN.PA</t>
  </si>
  <si>
    <t>ACCP.PA</t>
  </si>
  <si>
    <t>TE.PA</t>
  </si>
  <si>
    <t>AIR.PA</t>
  </si>
  <si>
    <t>ADP.PA</t>
  </si>
  <si>
    <t>BIOX.PA</t>
  </si>
  <si>
    <t>ALSO.PA</t>
  </si>
  <si>
    <t>STLAM.MI</t>
  </si>
  <si>
    <t>VIE.PA</t>
  </si>
  <si>
    <t>GTT.PA</t>
  </si>
  <si>
    <t>NEXS.PA</t>
  </si>
  <si>
    <t>AKE.PA</t>
  </si>
  <si>
    <t>ENGIE.PA</t>
  </si>
  <si>
    <t>SGEF.PA</t>
  </si>
  <si>
    <t>EXHO.PA</t>
  </si>
  <si>
    <t>TTEF.PA</t>
  </si>
  <si>
    <t>TCFP.PA</t>
  </si>
  <si>
    <t>SAF.PA</t>
  </si>
  <si>
    <t>FOUG.PA</t>
  </si>
  <si>
    <t>MT.AS</t>
  </si>
  <si>
    <t>AM.PA</t>
  </si>
  <si>
    <t>BOUY.PA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</si>
</sst>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workbookViewId="0">
      <selection activeCell="D2" sqref="D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68</v>
      </c>
      <c r="C2" t="s">
        <v>128</v>
      </c>
      <c r="D2">
        <v>419290</v>
      </c>
      <c r="E2">
        <v>1</v>
      </c>
      <c r="F2">
        <v>1</v>
      </c>
      <c r="G2" t="s">
        <v>130</v>
      </c>
      <c r="H2" t="s">
        <v>131</v>
      </c>
    </row>
    <row r="3" spans="1:8" x14ac:dyDescent="0.25">
      <c r="A3" t="s">
        <v>9</v>
      </c>
      <c r="B3" t="s">
        <v>69</v>
      </c>
      <c r="C3" t="s">
        <v>128</v>
      </c>
      <c r="D3">
        <v>148780</v>
      </c>
      <c r="E3">
        <v>1</v>
      </c>
      <c r="F3">
        <v>1</v>
      </c>
      <c r="G3" t="s">
        <v>130</v>
      </c>
      <c r="H3" t="s">
        <v>131</v>
      </c>
    </row>
    <row r="4" spans="1:8" x14ac:dyDescent="0.25">
      <c r="A4" t="s">
        <v>10</v>
      </c>
      <c r="B4" t="s">
        <v>70</v>
      </c>
      <c r="C4" t="s">
        <v>128</v>
      </c>
      <c r="D4">
        <v>203744</v>
      </c>
      <c r="E4">
        <v>1</v>
      </c>
      <c r="F4">
        <v>1</v>
      </c>
      <c r="G4" t="s">
        <v>130</v>
      </c>
      <c r="H4" t="s">
        <v>131</v>
      </c>
    </row>
    <row r="5" spans="1:8" x14ac:dyDescent="0.25">
      <c r="A5" t="s">
        <v>11</v>
      </c>
      <c r="B5" t="s">
        <v>71</v>
      </c>
      <c r="C5" t="s">
        <v>128</v>
      </c>
      <c r="D5">
        <v>100224</v>
      </c>
      <c r="E5">
        <v>1</v>
      </c>
      <c r="F5">
        <v>1</v>
      </c>
      <c r="G5" t="s">
        <v>130</v>
      </c>
      <c r="H5" t="s">
        <v>131</v>
      </c>
    </row>
    <row r="6" spans="1:8" x14ac:dyDescent="0.25">
      <c r="A6" t="s">
        <v>12</v>
      </c>
      <c r="B6" t="s">
        <v>72</v>
      </c>
      <c r="C6" t="s">
        <v>128</v>
      </c>
      <c r="D6">
        <v>802785</v>
      </c>
      <c r="E6">
        <v>1</v>
      </c>
      <c r="F6">
        <v>1</v>
      </c>
      <c r="G6" t="s">
        <v>130</v>
      </c>
      <c r="H6" t="s">
        <v>131</v>
      </c>
    </row>
    <row r="7" spans="1:8" x14ac:dyDescent="0.25">
      <c r="A7" t="s">
        <v>13</v>
      </c>
      <c r="B7" t="s">
        <v>73</v>
      </c>
      <c r="C7" t="s">
        <v>128</v>
      </c>
      <c r="D7">
        <v>289122</v>
      </c>
      <c r="E7">
        <v>1</v>
      </c>
      <c r="F7">
        <v>1</v>
      </c>
      <c r="G7" t="s">
        <v>130</v>
      </c>
      <c r="H7" t="s">
        <v>131</v>
      </c>
    </row>
    <row r="8" spans="1:8" x14ac:dyDescent="0.25">
      <c r="A8" t="s">
        <v>14</v>
      </c>
      <c r="B8" t="s">
        <v>74</v>
      </c>
      <c r="C8" t="s">
        <v>129</v>
      </c>
      <c r="D8">
        <v>336043</v>
      </c>
      <c r="E8">
        <v>1</v>
      </c>
      <c r="F8">
        <v>1</v>
      </c>
      <c r="G8" t="s">
        <v>130</v>
      </c>
      <c r="H8" t="s">
        <v>131</v>
      </c>
    </row>
    <row r="9" spans="1:8" x14ac:dyDescent="0.25">
      <c r="A9" t="s">
        <v>15</v>
      </c>
      <c r="B9" t="s">
        <v>75</v>
      </c>
      <c r="C9" t="s">
        <v>128</v>
      </c>
      <c r="D9">
        <v>242747</v>
      </c>
      <c r="E9">
        <v>1</v>
      </c>
      <c r="F9">
        <v>1</v>
      </c>
      <c r="G9" t="s">
        <v>130</v>
      </c>
      <c r="H9" t="s">
        <v>131</v>
      </c>
    </row>
    <row r="10" spans="1:8" x14ac:dyDescent="0.25">
      <c r="A10" t="s">
        <v>16</v>
      </c>
      <c r="B10" t="s">
        <v>76</v>
      </c>
      <c r="C10" t="s">
        <v>128</v>
      </c>
      <c r="D10">
        <v>808954</v>
      </c>
      <c r="E10">
        <v>1</v>
      </c>
      <c r="F10">
        <v>1</v>
      </c>
      <c r="G10" t="s">
        <v>130</v>
      </c>
      <c r="H10" t="s">
        <v>131</v>
      </c>
    </row>
    <row r="11" spans="1:8" x14ac:dyDescent="0.25">
      <c r="A11" t="s">
        <v>17</v>
      </c>
      <c r="B11" t="s">
        <v>77</v>
      </c>
      <c r="C11" t="s">
        <v>128</v>
      </c>
      <c r="D11">
        <v>181889</v>
      </c>
      <c r="E11">
        <v>1</v>
      </c>
      <c r="F11">
        <v>1</v>
      </c>
      <c r="G11" t="s">
        <v>130</v>
      </c>
      <c r="H11" t="s">
        <v>131</v>
      </c>
    </row>
    <row r="12" spans="1:8" x14ac:dyDescent="0.25">
      <c r="A12" t="s">
        <v>18</v>
      </c>
      <c r="B12" t="s">
        <v>78</v>
      </c>
      <c r="C12" t="s">
        <v>128</v>
      </c>
      <c r="D12">
        <v>492467</v>
      </c>
      <c r="E12">
        <v>1</v>
      </c>
      <c r="F12">
        <v>1</v>
      </c>
      <c r="G12" t="s">
        <v>130</v>
      </c>
      <c r="H12" t="s">
        <v>131</v>
      </c>
    </row>
    <row r="13" spans="1:8" x14ac:dyDescent="0.25">
      <c r="A13" t="s">
        <v>19</v>
      </c>
      <c r="B13" t="s">
        <v>79</v>
      </c>
      <c r="C13" t="s">
        <v>128</v>
      </c>
      <c r="D13">
        <v>297835</v>
      </c>
      <c r="E13">
        <v>1</v>
      </c>
      <c r="F13">
        <v>1</v>
      </c>
      <c r="G13" t="s">
        <v>130</v>
      </c>
      <c r="H13" t="s">
        <v>131</v>
      </c>
    </row>
    <row r="14" spans="1:8" x14ac:dyDescent="0.25">
      <c r="A14" t="s">
        <v>20</v>
      </c>
      <c r="B14" t="s">
        <v>80</v>
      </c>
      <c r="C14" t="s">
        <v>128</v>
      </c>
      <c r="D14">
        <v>1490092</v>
      </c>
      <c r="E14">
        <v>1</v>
      </c>
      <c r="F14">
        <v>1</v>
      </c>
      <c r="G14" t="s">
        <v>130</v>
      </c>
      <c r="H14" t="s">
        <v>131</v>
      </c>
    </row>
    <row r="15" spans="1:8" x14ac:dyDescent="0.25">
      <c r="A15" t="s">
        <v>21</v>
      </c>
      <c r="B15" t="s">
        <v>81</v>
      </c>
      <c r="C15" t="s">
        <v>128</v>
      </c>
      <c r="D15">
        <v>217008</v>
      </c>
      <c r="E15">
        <v>1</v>
      </c>
      <c r="F15">
        <v>1</v>
      </c>
      <c r="G15" t="s">
        <v>130</v>
      </c>
      <c r="H15" t="s">
        <v>131</v>
      </c>
    </row>
    <row r="16" spans="1:8" x14ac:dyDescent="0.25">
      <c r="A16" t="s">
        <v>22</v>
      </c>
      <c r="B16" t="s">
        <v>82</v>
      </c>
      <c r="C16" t="s">
        <v>128</v>
      </c>
      <c r="D16">
        <v>2287307</v>
      </c>
      <c r="E16">
        <v>1</v>
      </c>
      <c r="F16">
        <v>1</v>
      </c>
      <c r="G16" t="s">
        <v>130</v>
      </c>
      <c r="H16" t="s">
        <v>131</v>
      </c>
    </row>
    <row r="17" spans="1:8" x14ac:dyDescent="0.25">
      <c r="A17" t="s">
        <v>23</v>
      </c>
      <c r="B17" t="s">
        <v>83</v>
      </c>
      <c r="C17" t="s">
        <v>128</v>
      </c>
      <c r="D17">
        <v>1121019</v>
      </c>
      <c r="E17">
        <v>1</v>
      </c>
      <c r="F17">
        <v>1</v>
      </c>
      <c r="G17" t="s">
        <v>130</v>
      </c>
      <c r="H17" t="s">
        <v>131</v>
      </c>
    </row>
    <row r="18" spans="1:8" x14ac:dyDescent="0.25">
      <c r="A18" t="s">
        <v>24</v>
      </c>
      <c r="B18" t="s">
        <v>84</v>
      </c>
      <c r="C18" t="s">
        <v>128</v>
      </c>
      <c r="D18">
        <v>511383</v>
      </c>
      <c r="E18">
        <v>1</v>
      </c>
      <c r="F18">
        <v>1</v>
      </c>
      <c r="G18" t="s">
        <v>130</v>
      </c>
      <c r="H18" t="s">
        <v>131</v>
      </c>
    </row>
    <row r="19" spans="1:8" x14ac:dyDescent="0.25">
      <c r="A19" t="s">
        <v>25</v>
      </c>
      <c r="B19" t="s">
        <v>85</v>
      </c>
      <c r="C19" t="s">
        <v>128</v>
      </c>
      <c r="D19">
        <v>47795</v>
      </c>
      <c r="E19">
        <v>1</v>
      </c>
      <c r="F19">
        <v>1</v>
      </c>
      <c r="G19" t="s">
        <v>130</v>
      </c>
      <c r="H19" t="s">
        <v>131</v>
      </c>
    </row>
    <row r="20" spans="1:8" x14ac:dyDescent="0.25">
      <c r="A20" t="s">
        <v>26</v>
      </c>
      <c r="B20" t="s">
        <v>86</v>
      </c>
      <c r="C20" t="s">
        <v>128</v>
      </c>
      <c r="D20">
        <v>1674985</v>
      </c>
      <c r="E20">
        <v>1</v>
      </c>
      <c r="F20">
        <v>1</v>
      </c>
      <c r="G20" t="s">
        <v>130</v>
      </c>
      <c r="H20" t="s">
        <v>131</v>
      </c>
    </row>
    <row r="21" spans="1:8" x14ac:dyDescent="0.25">
      <c r="A21" t="s">
        <v>27</v>
      </c>
      <c r="B21" t="s">
        <v>87</v>
      </c>
      <c r="C21" t="s">
        <v>128</v>
      </c>
      <c r="D21">
        <v>1749409</v>
      </c>
      <c r="E21">
        <v>1</v>
      </c>
      <c r="F21">
        <v>1</v>
      </c>
      <c r="G21" t="s">
        <v>130</v>
      </c>
      <c r="H21" t="s">
        <v>131</v>
      </c>
    </row>
    <row r="22" spans="1:8" x14ac:dyDescent="0.25">
      <c r="A22" t="s">
        <v>28</v>
      </c>
      <c r="B22" t="s">
        <v>88</v>
      </c>
      <c r="C22" t="s">
        <v>128</v>
      </c>
      <c r="D22">
        <v>106377</v>
      </c>
      <c r="E22">
        <v>1</v>
      </c>
      <c r="F22">
        <v>1</v>
      </c>
      <c r="G22" t="s">
        <v>130</v>
      </c>
      <c r="H22" t="s">
        <v>131</v>
      </c>
    </row>
    <row r="23" spans="1:8" x14ac:dyDescent="0.25">
      <c r="A23" t="s">
        <v>29</v>
      </c>
      <c r="B23" t="s">
        <v>89</v>
      </c>
      <c r="C23" t="s">
        <v>128</v>
      </c>
      <c r="D23">
        <v>601777</v>
      </c>
      <c r="E23">
        <v>1</v>
      </c>
      <c r="F23">
        <v>1</v>
      </c>
      <c r="G23" t="s">
        <v>130</v>
      </c>
      <c r="H23" t="s">
        <v>131</v>
      </c>
    </row>
    <row r="24" spans="1:8" x14ac:dyDescent="0.25">
      <c r="A24" t="s">
        <v>30</v>
      </c>
      <c r="B24" t="s">
        <v>90</v>
      </c>
      <c r="C24" t="s">
        <v>128</v>
      </c>
      <c r="D24">
        <v>113322</v>
      </c>
      <c r="E24">
        <v>1</v>
      </c>
      <c r="F24">
        <v>1</v>
      </c>
      <c r="G24" t="s">
        <v>130</v>
      </c>
      <c r="H24" t="s">
        <v>131</v>
      </c>
    </row>
    <row r="25" spans="1:8" x14ac:dyDescent="0.25">
      <c r="A25" t="s">
        <v>31</v>
      </c>
      <c r="B25" t="s">
        <v>91</v>
      </c>
      <c r="C25" t="s">
        <v>128</v>
      </c>
      <c r="D25">
        <v>337125</v>
      </c>
      <c r="E25">
        <v>1</v>
      </c>
      <c r="F25">
        <v>1</v>
      </c>
      <c r="G25" t="s">
        <v>130</v>
      </c>
      <c r="H25" t="s">
        <v>131</v>
      </c>
    </row>
    <row r="26" spans="1:8" x14ac:dyDescent="0.25">
      <c r="A26" t="s">
        <v>32</v>
      </c>
      <c r="B26" t="s">
        <v>92</v>
      </c>
      <c r="C26" t="s">
        <v>128</v>
      </c>
      <c r="D26">
        <v>263554</v>
      </c>
      <c r="E26">
        <v>1</v>
      </c>
      <c r="F26">
        <v>1</v>
      </c>
      <c r="G26" t="s">
        <v>130</v>
      </c>
      <c r="H26" t="s">
        <v>131</v>
      </c>
    </row>
    <row r="27" spans="1:8" x14ac:dyDescent="0.25">
      <c r="A27" t="s">
        <v>33</v>
      </c>
      <c r="B27" t="s">
        <v>93</v>
      </c>
      <c r="C27" t="s">
        <v>128</v>
      </c>
      <c r="D27">
        <v>414238</v>
      </c>
      <c r="E27">
        <v>1</v>
      </c>
      <c r="F27">
        <v>1</v>
      </c>
      <c r="G27" t="s">
        <v>130</v>
      </c>
      <c r="H27" t="s">
        <v>131</v>
      </c>
    </row>
    <row r="28" spans="1:8" x14ac:dyDescent="0.25">
      <c r="A28" t="s">
        <v>34</v>
      </c>
      <c r="B28" t="s">
        <v>94</v>
      </c>
      <c r="C28" t="s">
        <v>128</v>
      </c>
      <c r="D28">
        <v>2532183</v>
      </c>
      <c r="E28">
        <v>1</v>
      </c>
      <c r="F28">
        <v>1</v>
      </c>
      <c r="G28" t="s">
        <v>130</v>
      </c>
      <c r="H28" t="s">
        <v>131</v>
      </c>
    </row>
    <row r="29" spans="1:8" x14ac:dyDescent="0.25">
      <c r="A29" t="s">
        <v>35</v>
      </c>
      <c r="B29" t="s">
        <v>95</v>
      </c>
      <c r="C29" t="s">
        <v>128</v>
      </c>
      <c r="D29">
        <v>80814</v>
      </c>
      <c r="E29">
        <v>1</v>
      </c>
      <c r="F29">
        <v>1</v>
      </c>
      <c r="G29" t="s">
        <v>130</v>
      </c>
      <c r="H29" t="s">
        <v>131</v>
      </c>
    </row>
    <row r="30" spans="1:8" x14ac:dyDescent="0.25">
      <c r="A30" t="s">
        <v>36</v>
      </c>
      <c r="B30" t="s">
        <v>96</v>
      </c>
      <c r="C30" t="s">
        <v>128</v>
      </c>
      <c r="D30">
        <v>18180</v>
      </c>
      <c r="E30">
        <v>1</v>
      </c>
      <c r="F30">
        <v>1</v>
      </c>
      <c r="G30" t="s">
        <v>130</v>
      </c>
      <c r="H30" t="s">
        <v>131</v>
      </c>
    </row>
    <row r="31" spans="1:8" x14ac:dyDescent="0.25">
      <c r="A31" t="s">
        <v>37</v>
      </c>
      <c r="B31" t="s">
        <v>97</v>
      </c>
      <c r="C31" t="s">
        <v>128</v>
      </c>
      <c r="D31">
        <v>132748</v>
      </c>
      <c r="E31">
        <v>1</v>
      </c>
      <c r="F31">
        <v>1</v>
      </c>
      <c r="G31" t="s">
        <v>130</v>
      </c>
      <c r="H31" t="s">
        <v>131</v>
      </c>
    </row>
    <row r="32" spans="1:8" x14ac:dyDescent="0.25">
      <c r="A32" t="s">
        <v>38</v>
      </c>
      <c r="B32" t="s">
        <v>98</v>
      </c>
      <c r="C32" t="s">
        <v>128</v>
      </c>
      <c r="D32">
        <v>1004653</v>
      </c>
      <c r="E32">
        <v>1</v>
      </c>
      <c r="F32">
        <v>1</v>
      </c>
      <c r="G32" t="s">
        <v>130</v>
      </c>
      <c r="H32" t="s">
        <v>131</v>
      </c>
    </row>
    <row r="33" spans="1:8" x14ac:dyDescent="0.25">
      <c r="A33" t="s">
        <v>39</v>
      </c>
      <c r="B33" t="s">
        <v>99</v>
      </c>
      <c r="C33" t="s">
        <v>128</v>
      </c>
      <c r="D33">
        <v>52080</v>
      </c>
      <c r="E33">
        <v>1</v>
      </c>
      <c r="F33">
        <v>1</v>
      </c>
      <c r="G33" t="s">
        <v>130</v>
      </c>
      <c r="H33" t="s">
        <v>131</v>
      </c>
    </row>
    <row r="34" spans="1:8" x14ac:dyDescent="0.25">
      <c r="A34" t="s">
        <v>40</v>
      </c>
      <c r="B34" t="s">
        <v>100</v>
      </c>
      <c r="C34" t="s">
        <v>128</v>
      </c>
      <c r="D34">
        <v>256947</v>
      </c>
      <c r="E34">
        <v>1</v>
      </c>
      <c r="F34">
        <v>1</v>
      </c>
      <c r="G34" t="s">
        <v>130</v>
      </c>
      <c r="H34" t="s">
        <v>131</v>
      </c>
    </row>
    <row r="35" spans="1:8" x14ac:dyDescent="0.25">
      <c r="A35" t="s">
        <v>41</v>
      </c>
      <c r="B35" t="s">
        <v>101</v>
      </c>
      <c r="C35" t="s">
        <v>128</v>
      </c>
      <c r="D35">
        <v>51640</v>
      </c>
      <c r="E35">
        <v>1</v>
      </c>
      <c r="F35">
        <v>1</v>
      </c>
      <c r="G35" t="s">
        <v>130</v>
      </c>
      <c r="H35" t="s">
        <v>131</v>
      </c>
    </row>
    <row r="36" spans="1:8" x14ac:dyDescent="0.25">
      <c r="A36" t="s">
        <v>42</v>
      </c>
      <c r="B36" t="s">
        <v>102</v>
      </c>
      <c r="C36" t="s">
        <v>128</v>
      </c>
      <c r="D36">
        <v>1157595</v>
      </c>
      <c r="E36">
        <v>1</v>
      </c>
      <c r="F36">
        <v>1</v>
      </c>
      <c r="G36" t="s">
        <v>130</v>
      </c>
      <c r="H36" t="s">
        <v>131</v>
      </c>
    </row>
    <row r="37" spans="1:8" x14ac:dyDescent="0.25">
      <c r="A37" t="s">
        <v>43</v>
      </c>
      <c r="B37" t="s">
        <v>103</v>
      </c>
      <c r="C37" t="s">
        <v>128</v>
      </c>
      <c r="D37">
        <v>102493</v>
      </c>
      <c r="E37">
        <v>1</v>
      </c>
      <c r="F37">
        <v>1</v>
      </c>
      <c r="G37" t="s">
        <v>130</v>
      </c>
      <c r="H37" t="s">
        <v>131</v>
      </c>
    </row>
    <row r="38" spans="1:8" x14ac:dyDescent="0.25">
      <c r="A38" t="s">
        <v>44</v>
      </c>
      <c r="B38" t="s">
        <v>104</v>
      </c>
      <c r="C38" t="s">
        <v>128</v>
      </c>
      <c r="D38">
        <v>1410353</v>
      </c>
      <c r="E38">
        <v>1</v>
      </c>
      <c r="F38">
        <v>1</v>
      </c>
      <c r="G38" t="s">
        <v>130</v>
      </c>
      <c r="H38" t="s">
        <v>131</v>
      </c>
    </row>
    <row r="39" spans="1:8" x14ac:dyDescent="0.25">
      <c r="A39" t="s">
        <v>45</v>
      </c>
      <c r="B39" t="s">
        <v>105</v>
      </c>
      <c r="C39" t="s">
        <v>128</v>
      </c>
      <c r="D39">
        <v>256708</v>
      </c>
      <c r="E39">
        <v>1</v>
      </c>
      <c r="F39">
        <v>1</v>
      </c>
      <c r="G39" t="s">
        <v>130</v>
      </c>
      <c r="H39" t="s">
        <v>131</v>
      </c>
    </row>
    <row r="40" spans="1:8" x14ac:dyDescent="0.25">
      <c r="A40" t="s">
        <v>46</v>
      </c>
      <c r="B40" t="s">
        <v>106</v>
      </c>
      <c r="C40" t="s">
        <v>128</v>
      </c>
      <c r="D40">
        <v>444294</v>
      </c>
      <c r="E40">
        <v>1</v>
      </c>
      <c r="F40">
        <v>1</v>
      </c>
      <c r="G40" t="s">
        <v>130</v>
      </c>
      <c r="H40" t="s">
        <v>131</v>
      </c>
    </row>
    <row r="41" spans="1:8" x14ac:dyDescent="0.25">
      <c r="A41" t="s">
        <v>47</v>
      </c>
      <c r="B41" t="s">
        <v>107</v>
      </c>
      <c r="C41" t="s">
        <v>128</v>
      </c>
      <c r="D41">
        <v>534378</v>
      </c>
      <c r="E41">
        <v>1</v>
      </c>
      <c r="F41">
        <v>1</v>
      </c>
      <c r="G41" t="s">
        <v>130</v>
      </c>
      <c r="H41" t="s">
        <v>131</v>
      </c>
    </row>
    <row r="42" spans="1:8" x14ac:dyDescent="0.25">
      <c r="A42" t="s">
        <v>48</v>
      </c>
      <c r="B42" t="s">
        <v>108</v>
      </c>
      <c r="C42" t="s">
        <v>128</v>
      </c>
      <c r="D42">
        <v>964605</v>
      </c>
      <c r="E42">
        <v>1</v>
      </c>
      <c r="F42">
        <v>1</v>
      </c>
      <c r="G42" t="s">
        <v>130</v>
      </c>
      <c r="H42" t="s">
        <v>131</v>
      </c>
    </row>
    <row r="43" spans="1:8" x14ac:dyDescent="0.25">
      <c r="A43" t="s">
        <v>49</v>
      </c>
      <c r="B43" t="s">
        <v>109</v>
      </c>
      <c r="C43" t="s">
        <v>128</v>
      </c>
      <c r="D43">
        <v>44333</v>
      </c>
      <c r="E43">
        <v>1</v>
      </c>
      <c r="F43">
        <v>1</v>
      </c>
      <c r="G43" t="s">
        <v>130</v>
      </c>
      <c r="H43" t="s">
        <v>131</v>
      </c>
    </row>
    <row r="44" spans="1:8" x14ac:dyDescent="0.25">
      <c r="A44" t="s">
        <v>50</v>
      </c>
      <c r="B44" t="s">
        <v>110</v>
      </c>
      <c r="C44" t="s">
        <v>128</v>
      </c>
      <c r="D44">
        <v>222300</v>
      </c>
      <c r="E44">
        <v>1</v>
      </c>
      <c r="F44">
        <v>1</v>
      </c>
      <c r="G44" t="s">
        <v>130</v>
      </c>
      <c r="H44" t="s">
        <v>131</v>
      </c>
    </row>
    <row r="45" spans="1:8" x14ac:dyDescent="0.25">
      <c r="A45" t="s">
        <v>51</v>
      </c>
      <c r="B45" t="s">
        <v>111</v>
      </c>
      <c r="C45" t="s">
        <v>128</v>
      </c>
      <c r="D45">
        <v>386004</v>
      </c>
      <c r="E45">
        <v>1</v>
      </c>
      <c r="F45">
        <v>1</v>
      </c>
      <c r="G45" t="s">
        <v>130</v>
      </c>
      <c r="H45" t="s">
        <v>131</v>
      </c>
    </row>
    <row r="46" spans="1:8" x14ac:dyDescent="0.25">
      <c r="A46" t="s">
        <v>52</v>
      </c>
      <c r="B46" t="s">
        <v>112</v>
      </c>
      <c r="C46" t="s">
        <v>128</v>
      </c>
      <c r="D46">
        <v>155667</v>
      </c>
      <c r="E46">
        <v>1</v>
      </c>
      <c r="F46">
        <v>1</v>
      </c>
      <c r="G46" t="s">
        <v>130</v>
      </c>
      <c r="H46" t="s">
        <v>131</v>
      </c>
    </row>
    <row r="47" spans="1:8" x14ac:dyDescent="0.25">
      <c r="A47" t="s">
        <v>53</v>
      </c>
      <c r="B47" t="s">
        <v>113</v>
      </c>
      <c r="C47" t="s">
        <v>128</v>
      </c>
      <c r="D47">
        <v>162000</v>
      </c>
      <c r="E47">
        <v>1</v>
      </c>
      <c r="F47">
        <v>1</v>
      </c>
      <c r="G47" t="s">
        <v>130</v>
      </c>
      <c r="H47" t="s">
        <v>131</v>
      </c>
    </row>
    <row r="48" spans="1:8" x14ac:dyDescent="0.25">
      <c r="A48" t="s">
        <v>54</v>
      </c>
      <c r="B48" t="s">
        <v>114</v>
      </c>
      <c r="C48" t="s">
        <v>128</v>
      </c>
      <c r="D48">
        <v>1190462</v>
      </c>
      <c r="E48">
        <v>1</v>
      </c>
      <c r="F48">
        <v>1</v>
      </c>
      <c r="G48" t="s">
        <v>130</v>
      </c>
      <c r="H48" t="s">
        <v>131</v>
      </c>
    </row>
    <row r="49" spans="1:8" x14ac:dyDescent="0.25">
      <c r="A49" t="s">
        <v>55</v>
      </c>
      <c r="B49" t="s">
        <v>115</v>
      </c>
      <c r="C49" t="s">
        <v>128</v>
      </c>
      <c r="D49">
        <v>501637</v>
      </c>
      <c r="E49">
        <v>1</v>
      </c>
      <c r="F49">
        <v>1</v>
      </c>
      <c r="G49" t="s">
        <v>130</v>
      </c>
      <c r="H49" t="s">
        <v>131</v>
      </c>
    </row>
    <row r="50" spans="1:8" x14ac:dyDescent="0.25">
      <c r="A50" t="s">
        <v>56</v>
      </c>
      <c r="B50" t="s">
        <v>116</v>
      </c>
      <c r="C50" t="s">
        <v>128</v>
      </c>
      <c r="D50">
        <v>285837</v>
      </c>
      <c r="E50">
        <v>1</v>
      </c>
      <c r="F50">
        <v>1</v>
      </c>
      <c r="G50" t="s">
        <v>130</v>
      </c>
      <c r="H50" t="s">
        <v>131</v>
      </c>
    </row>
    <row r="51" spans="1:8" x14ac:dyDescent="0.25">
      <c r="A51" t="s">
        <v>57</v>
      </c>
      <c r="B51" t="s">
        <v>117</v>
      </c>
      <c r="C51" t="s">
        <v>128</v>
      </c>
      <c r="D51">
        <v>828537</v>
      </c>
      <c r="E51">
        <v>1</v>
      </c>
      <c r="F51">
        <v>1</v>
      </c>
      <c r="G51" t="s">
        <v>130</v>
      </c>
      <c r="H51" t="s">
        <v>131</v>
      </c>
    </row>
    <row r="52" spans="1:8" x14ac:dyDescent="0.25">
      <c r="A52" t="s">
        <v>58</v>
      </c>
      <c r="B52" t="s">
        <v>118</v>
      </c>
      <c r="C52" t="s">
        <v>128</v>
      </c>
      <c r="D52">
        <v>1288836</v>
      </c>
      <c r="E52">
        <v>1</v>
      </c>
      <c r="F52">
        <v>1</v>
      </c>
      <c r="G52" t="s">
        <v>130</v>
      </c>
      <c r="H52" t="s">
        <v>131</v>
      </c>
    </row>
    <row r="53" spans="1:8" x14ac:dyDescent="0.25">
      <c r="A53" t="s">
        <v>59</v>
      </c>
      <c r="B53" t="s">
        <v>119</v>
      </c>
      <c r="C53" t="s">
        <v>128</v>
      </c>
      <c r="D53">
        <v>1467849</v>
      </c>
      <c r="E53">
        <v>1</v>
      </c>
      <c r="F53">
        <v>1</v>
      </c>
      <c r="G53" t="s">
        <v>130</v>
      </c>
      <c r="H53" t="s">
        <v>131</v>
      </c>
    </row>
    <row r="54" spans="1:8" x14ac:dyDescent="0.25">
      <c r="A54" t="s">
        <v>60</v>
      </c>
      <c r="B54" t="s">
        <v>120</v>
      </c>
      <c r="C54" t="s">
        <v>128</v>
      </c>
      <c r="D54">
        <v>596404</v>
      </c>
      <c r="E54">
        <v>1</v>
      </c>
      <c r="F54">
        <v>1</v>
      </c>
      <c r="G54" t="s">
        <v>130</v>
      </c>
      <c r="H54" t="s">
        <v>131</v>
      </c>
    </row>
    <row r="55" spans="1:8" x14ac:dyDescent="0.25">
      <c r="A55" t="s">
        <v>61</v>
      </c>
      <c r="B55" t="s">
        <v>121</v>
      </c>
      <c r="C55" t="s">
        <v>128</v>
      </c>
      <c r="D55">
        <v>633253</v>
      </c>
      <c r="E55">
        <v>1</v>
      </c>
      <c r="F55">
        <v>1</v>
      </c>
      <c r="G55" t="s">
        <v>130</v>
      </c>
      <c r="H55" t="s">
        <v>131</v>
      </c>
    </row>
    <row r="56" spans="1:8" x14ac:dyDescent="0.25">
      <c r="A56" t="s">
        <v>62</v>
      </c>
      <c r="B56" t="s">
        <v>122</v>
      </c>
      <c r="C56" t="s">
        <v>128</v>
      </c>
      <c r="D56">
        <v>56542</v>
      </c>
      <c r="E56">
        <v>1</v>
      </c>
      <c r="F56">
        <v>1</v>
      </c>
      <c r="G56" t="s">
        <v>130</v>
      </c>
      <c r="H56" t="s">
        <v>131</v>
      </c>
    </row>
    <row r="57" spans="1:8" x14ac:dyDescent="0.25">
      <c r="A57" t="s">
        <v>63</v>
      </c>
      <c r="B57" t="s">
        <v>123</v>
      </c>
      <c r="C57" t="s">
        <v>128</v>
      </c>
      <c r="D57">
        <v>231270</v>
      </c>
      <c r="E57">
        <v>1</v>
      </c>
      <c r="F57">
        <v>1</v>
      </c>
      <c r="G57" t="s">
        <v>130</v>
      </c>
      <c r="H57" t="s">
        <v>131</v>
      </c>
    </row>
    <row r="58" spans="1:8" x14ac:dyDescent="0.25">
      <c r="A58" t="s">
        <v>64</v>
      </c>
      <c r="B58" t="s">
        <v>124</v>
      </c>
      <c r="C58" t="s">
        <v>128</v>
      </c>
      <c r="D58">
        <v>364198</v>
      </c>
      <c r="E58">
        <v>1</v>
      </c>
      <c r="F58">
        <v>1</v>
      </c>
      <c r="G58" t="s">
        <v>130</v>
      </c>
      <c r="H58" t="s">
        <v>131</v>
      </c>
    </row>
    <row r="59" spans="1:8" x14ac:dyDescent="0.25">
      <c r="A59" t="s">
        <v>65</v>
      </c>
      <c r="B59" t="s">
        <v>125</v>
      </c>
      <c r="C59" t="s">
        <v>128</v>
      </c>
      <c r="D59">
        <v>1704461</v>
      </c>
      <c r="E59">
        <v>1</v>
      </c>
      <c r="F59">
        <v>1</v>
      </c>
      <c r="G59" t="s">
        <v>130</v>
      </c>
      <c r="H59" t="s">
        <v>131</v>
      </c>
    </row>
    <row r="60" spans="1:8" x14ac:dyDescent="0.25">
      <c r="A60" t="s">
        <v>66</v>
      </c>
      <c r="B60" t="s">
        <v>126</v>
      </c>
      <c r="C60" t="s">
        <v>128</v>
      </c>
      <c r="D60">
        <v>439555</v>
      </c>
      <c r="E60">
        <v>1</v>
      </c>
      <c r="F60">
        <v>1</v>
      </c>
      <c r="G60" t="s">
        <v>130</v>
      </c>
      <c r="H60" t="s">
        <v>131</v>
      </c>
    </row>
    <row r="61" spans="1:8" x14ac:dyDescent="0.25">
      <c r="A61" t="s">
        <v>67</v>
      </c>
      <c r="B61" t="s">
        <v>127</v>
      </c>
      <c r="C61" t="s">
        <v>128</v>
      </c>
      <c r="D61">
        <v>107797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133</v>
      </c>
    </row>
    <row r="2" spans="1:1" x14ac:dyDescent="0.25">
      <c r="A2">
        <v>1549696101.8380001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1"/>
  <sheetViews>
    <sheetView tabSelected="1" topLeftCell="E1" workbookViewId="0">
      <selection activeCell="S2" sqref="S2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0.14062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3.85546875" bestFit="1" customWidth="1"/>
    <col min="12" max="12" width="16.7109375" bestFit="1" customWidth="1"/>
    <col min="13" max="13" width="14.85546875" bestFit="1" customWidth="1"/>
    <col min="14" max="14" width="19.140625" bestFit="1" customWidth="1"/>
    <col min="15" max="15" width="5.28515625" bestFit="1" customWidth="1"/>
    <col min="16" max="16" width="12.85546875" bestFit="1" customWidth="1"/>
    <col min="17" max="17" width="18.5703125" bestFit="1" customWidth="1"/>
    <col min="18" max="18" width="28.85546875" bestFit="1" customWidth="1"/>
    <col min="19" max="19" width="28.85546875" customWidth="1"/>
    <col min="20" max="20" width="18" bestFit="1" customWidth="1"/>
    <col min="21" max="21" width="14.7109375" bestFit="1" customWidth="1"/>
    <col min="22" max="22" width="23.140625" bestFit="1" customWidth="1"/>
    <col min="23" max="23" width="8.85546875" bestFit="1" customWidth="1"/>
  </cols>
  <sheetData>
    <row r="1" spans="1:23" x14ac:dyDescent="0.25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/>
      <c r="T1" s="1" t="s">
        <v>148</v>
      </c>
      <c r="U1" s="1" t="s">
        <v>149</v>
      </c>
      <c r="V1" s="1" t="s">
        <v>6</v>
      </c>
      <c r="W1" s="1" t="s">
        <v>7</v>
      </c>
    </row>
    <row r="2" spans="1:23" x14ac:dyDescent="0.25">
      <c r="A2" t="s">
        <v>38</v>
      </c>
      <c r="B2" t="s">
        <v>98</v>
      </c>
      <c r="C2" t="s">
        <v>128</v>
      </c>
      <c r="D2">
        <v>286861172</v>
      </c>
      <c r="E2">
        <v>0.75</v>
      </c>
      <c r="F2">
        <v>1</v>
      </c>
      <c r="G2" t="s">
        <v>150</v>
      </c>
      <c r="H2">
        <v>1.1757</v>
      </c>
      <c r="I2">
        <v>32.799999999999997</v>
      </c>
      <c r="J2">
        <v>32.840000000000003</v>
      </c>
      <c r="K2">
        <v>6.3198999999999996</v>
      </c>
      <c r="L2">
        <v>0.8</v>
      </c>
      <c r="M2">
        <v>88605651.268687502</v>
      </c>
      <c r="N2">
        <v>6.3198999999999996</v>
      </c>
      <c r="O2">
        <v>1</v>
      </c>
      <c r="P2">
        <v>2.5000000000000001E-2</v>
      </c>
      <c r="Q2">
        <v>38742402.545950003</v>
      </c>
      <c r="R2">
        <v>1004653</v>
      </c>
      <c r="S2">
        <f>Q2/(I2*H2)</f>
        <v>1004653.2357980302</v>
      </c>
      <c r="T2">
        <v>1</v>
      </c>
      <c r="U2">
        <v>1</v>
      </c>
      <c r="V2" t="s">
        <v>130</v>
      </c>
      <c r="W2" t="s">
        <v>131</v>
      </c>
    </row>
    <row r="3" spans="1:23" x14ac:dyDescent="0.25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151</v>
      </c>
      <c r="H3">
        <v>1.1757</v>
      </c>
      <c r="I3">
        <v>90.48</v>
      </c>
      <c r="J3">
        <v>89.4</v>
      </c>
      <c r="K3">
        <v>7.0345874999999998</v>
      </c>
      <c r="L3">
        <v>0.85000000000000009</v>
      </c>
      <c r="M3">
        <v>127976906.12321059</v>
      </c>
      <c r="N3">
        <v>7.0345874999999998</v>
      </c>
      <c r="O3">
        <v>2</v>
      </c>
      <c r="P3">
        <v>2.5000000000000001E-2</v>
      </c>
      <c r="Q3">
        <v>38742402.545950003</v>
      </c>
      <c r="R3">
        <v>364198</v>
      </c>
      <c r="S3">
        <f t="shared" ref="S3:S61" si="0">Q3/(I3*H3)</f>
        <v>364197.90157134604</v>
      </c>
      <c r="T3">
        <v>1</v>
      </c>
      <c r="U3">
        <v>1</v>
      </c>
      <c r="V3" t="s">
        <v>130</v>
      </c>
      <c r="W3" t="s">
        <v>131</v>
      </c>
    </row>
    <row r="4" spans="1:23" x14ac:dyDescent="0.25">
      <c r="A4" t="s">
        <v>53</v>
      </c>
      <c r="B4" t="s">
        <v>113</v>
      </c>
      <c r="C4" t="s">
        <v>128</v>
      </c>
      <c r="D4">
        <v>577122512</v>
      </c>
      <c r="E4">
        <v>1</v>
      </c>
      <c r="F4">
        <v>1</v>
      </c>
      <c r="G4" t="s">
        <v>152</v>
      </c>
      <c r="H4">
        <v>1</v>
      </c>
      <c r="I4">
        <v>239.15</v>
      </c>
      <c r="J4">
        <v>222.3</v>
      </c>
      <c r="K4">
        <v>7.1448087500000002</v>
      </c>
      <c r="L4">
        <v>1</v>
      </c>
      <c r="M4">
        <v>1282943344.1760001</v>
      </c>
      <c r="N4">
        <v>7.1448087500000002</v>
      </c>
      <c r="O4">
        <v>3</v>
      </c>
      <c r="P4">
        <v>2.5000000000000001E-2</v>
      </c>
      <c r="Q4">
        <v>38742402.545950003</v>
      </c>
      <c r="R4">
        <v>162000</v>
      </c>
      <c r="S4">
        <f t="shared" si="0"/>
        <v>162000.4287934351</v>
      </c>
      <c r="T4">
        <v>1</v>
      </c>
      <c r="U4">
        <v>1</v>
      </c>
      <c r="V4" t="s">
        <v>130</v>
      </c>
      <c r="W4" t="s">
        <v>131</v>
      </c>
    </row>
    <row r="5" spans="1:23" x14ac:dyDescent="0.25">
      <c r="A5" t="s">
        <v>46</v>
      </c>
      <c r="B5" t="s">
        <v>106</v>
      </c>
      <c r="C5" t="s">
        <v>128</v>
      </c>
      <c r="D5">
        <v>254311860</v>
      </c>
      <c r="E5">
        <v>0.95</v>
      </c>
      <c r="F5">
        <v>1</v>
      </c>
      <c r="G5" t="s">
        <v>153</v>
      </c>
      <c r="H5">
        <v>1</v>
      </c>
      <c r="I5">
        <v>87.2</v>
      </c>
      <c r="J5">
        <v>84.1</v>
      </c>
      <c r="K5">
        <v>9.1312857100000002</v>
      </c>
      <c r="L5">
        <v>0.95000000000000007</v>
      </c>
      <c r="M5">
        <v>203182460.54699999</v>
      </c>
      <c r="N5">
        <v>9.1312857100000002</v>
      </c>
      <c r="O5">
        <v>4</v>
      </c>
      <c r="P5">
        <v>2.5000000000000001E-2</v>
      </c>
      <c r="Q5">
        <v>38742402.545950003</v>
      </c>
      <c r="R5">
        <v>444294</v>
      </c>
      <c r="S5">
        <f t="shared" si="0"/>
        <v>444293.60717832571</v>
      </c>
      <c r="T5">
        <v>1</v>
      </c>
      <c r="U5">
        <v>1</v>
      </c>
      <c r="V5" t="s">
        <v>130</v>
      </c>
      <c r="W5" t="s">
        <v>131</v>
      </c>
    </row>
    <row r="6" spans="1:23" x14ac:dyDescent="0.25">
      <c r="A6" t="s">
        <v>57</v>
      </c>
      <c r="B6" t="s">
        <v>117</v>
      </c>
      <c r="C6" t="s">
        <v>128</v>
      </c>
      <c r="D6">
        <v>168073514</v>
      </c>
      <c r="E6">
        <v>0.9</v>
      </c>
      <c r="F6">
        <v>1</v>
      </c>
      <c r="G6" t="s">
        <v>154</v>
      </c>
      <c r="H6">
        <v>1</v>
      </c>
      <c r="I6">
        <v>46.76</v>
      </c>
      <c r="J6">
        <v>43.88</v>
      </c>
      <c r="K6">
        <v>9.5158124999999991</v>
      </c>
      <c r="L6">
        <v>0.9</v>
      </c>
      <c r="M6">
        <v>66375592.148879997</v>
      </c>
      <c r="N6">
        <v>9.5158124999999991</v>
      </c>
      <c r="O6">
        <v>5</v>
      </c>
      <c r="P6">
        <v>2.5000000000000001E-2</v>
      </c>
      <c r="Q6">
        <v>38742402.545950003</v>
      </c>
      <c r="R6">
        <v>828537</v>
      </c>
      <c r="S6">
        <f t="shared" si="0"/>
        <v>828537.26573887945</v>
      </c>
      <c r="T6">
        <v>1</v>
      </c>
      <c r="U6">
        <v>1</v>
      </c>
      <c r="V6" t="s">
        <v>130</v>
      </c>
      <c r="W6" t="s">
        <v>131</v>
      </c>
    </row>
    <row r="7" spans="1:23" x14ac:dyDescent="0.25">
      <c r="A7" t="s">
        <v>37</v>
      </c>
      <c r="B7" t="s">
        <v>97</v>
      </c>
      <c r="C7" t="s">
        <v>128</v>
      </c>
      <c r="D7">
        <v>123420778</v>
      </c>
      <c r="E7">
        <v>0.6</v>
      </c>
      <c r="F7">
        <v>1</v>
      </c>
      <c r="G7" t="s">
        <v>155</v>
      </c>
      <c r="H7">
        <v>1</v>
      </c>
      <c r="I7">
        <v>291.85000000000002</v>
      </c>
      <c r="J7">
        <v>296.2</v>
      </c>
      <c r="K7">
        <v>9.7392562500000004</v>
      </c>
      <c r="L7">
        <v>0.60000000000000009</v>
      </c>
      <c r="M7">
        <v>219343406.66159999</v>
      </c>
      <c r="N7">
        <v>9.7392562500000004</v>
      </c>
      <c r="O7">
        <v>6</v>
      </c>
      <c r="P7">
        <v>2.5000000000000001E-2</v>
      </c>
      <c r="Q7">
        <v>38742402.545950003</v>
      </c>
      <c r="R7">
        <v>132748</v>
      </c>
      <c r="S7">
        <f t="shared" si="0"/>
        <v>132747.65306133288</v>
      </c>
      <c r="T7">
        <v>1</v>
      </c>
      <c r="U7">
        <v>1</v>
      </c>
      <c r="V7" t="s">
        <v>130</v>
      </c>
      <c r="W7" t="s">
        <v>131</v>
      </c>
    </row>
    <row r="8" spans="1:23" x14ac:dyDescent="0.25">
      <c r="A8" t="s">
        <v>33</v>
      </c>
      <c r="B8" t="s">
        <v>93</v>
      </c>
      <c r="C8" t="s">
        <v>128</v>
      </c>
      <c r="D8">
        <v>76738691</v>
      </c>
      <c r="E8">
        <v>0.6</v>
      </c>
      <c r="F8">
        <v>1</v>
      </c>
      <c r="G8" t="s">
        <v>156</v>
      </c>
      <c r="H8">
        <v>1.1757</v>
      </c>
      <c r="I8">
        <v>79.55</v>
      </c>
      <c r="J8">
        <v>78.8</v>
      </c>
      <c r="K8">
        <v>9.8726874999999996</v>
      </c>
      <c r="L8">
        <v>0.60000000000000009</v>
      </c>
      <c r="M8">
        <v>42656809.835313357</v>
      </c>
      <c r="N8">
        <v>9.8726874999999996</v>
      </c>
      <c r="O8">
        <v>7</v>
      </c>
      <c r="P8">
        <v>2.5000000000000001E-2</v>
      </c>
      <c r="Q8">
        <v>38742402.545950003</v>
      </c>
      <c r="R8">
        <v>414238</v>
      </c>
      <c r="S8">
        <f t="shared" si="0"/>
        <v>414237.91494877927</v>
      </c>
      <c r="T8">
        <v>1</v>
      </c>
      <c r="U8">
        <v>1</v>
      </c>
      <c r="V8" t="s">
        <v>130</v>
      </c>
      <c r="W8" t="s">
        <v>131</v>
      </c>
    </row>
    <row r="9" spans="1:23" x14ac:dyDescent="0.25">
      <c r="A9" t="s">
        <v>20</v>
      </c>
      <c r="B9" t="s">
        <v>80</v>
      </c>
      <c r="C9" t="s">
        <v>128</v>
      </c>
      <c r="D9">
        <v>453871520</v>
      </c>
      <c r="E9">
        <v>0.75</v>
      </c>
      <c r="F9">
        <v>1</v>
      </c>
      <c r="G9" t="s">
        <v>157</v>
      </c>
      <c r="H9">
        <v>1</v>
      </c>
      <c r="I9">
        <v>26</v>
      </c>
      <c r="J9">
        <v>27.08</v>
      </c>
      <c r="K9">
        <v>10.1023625</v>
      </c>
      <c r="L9">
        <v>0.75</v>
      </c>
      <c r="M9">
        <v>92181305.711999983</v>
      </c>
      <c r="N9">
        <v>10.1023625</v>
      </c>
      <c r="O9">
        <v>8</v>
      </c>
      <c r="P9">
        <v>2.5000000000000001E-2</v>
      </c>
      <c r="Q9">
        <v>38742402.545950003</v>
      </c>
      <c r="R9">
        <v>1490092</v>
      </c>
      <c r="S9">
        <f t="shared" si="0"/>
        <v>1490092.4056134617</v>
      </c>
      <c r="T9">
        <v>1</v>
      </c>
      <c r="U9">
        <v>1</v>
      </c>
      <c r="V9" t="s">
        <v>130</v>
      </c>
      <c r="W9" t="s">
        <v>131</v>
      </c>
    </row>
    <row r="10" spans="1:23" x14ac:dyDescent="0.25">
      <c r="A10" t="s">
        <v>34</v>
      </c>
      <c r="B10" t="s">
        <v>94</v>
      </c>
      <c r="C10" t="s">
        <v>128</v>
      </c>
      <c r="D10">
        <v>550000000</v>
      </c>
      <c r="E10">
        <v>0.55000000000000004</v>
      </c>
      <c r="F10">
        <v>1</v>
      </c>
      <c r="G10" t="s">
        <v>158</v>
      </c>
      <c r="H10">
        <v>1</v>
      </c>
      <c r="I10">
        <v>15.3</v>
      </c>
      <c r="J10">
        <v>15.23</v>
      </c>
      <c r="K10">
        <v>10.34705187</v>
      </c>
      <c r="L10">
        <v>0.55000000000000004</v>
      </c>
      <c r="M10">
        <v>46070750</v>
      </c>
      <c r="N10">
        <v>10.34705187</v>
      </c>
      <c r="O10">
        <v>9</v>
      </c>
      <c r="P10">
        <v>2.5000000000000001E-2</v>
      </c>
      <c r="Q10">
        <v>38742402.545950003</v>
      </c>
      <c r="R10">
        <v>2532183</v>
      </c>
      <c r="S10">
        <f t="shared" si="0"/>
        <v>2532183.1729379087</v>
      </c>
      <c r="T10">
        <v>1</v>
      </c>
      <c r="U10">
        <v>1</v>
      </c>
      <c r="V10" t="s">
        <v>130</v>
      </c>
      <c r="W10" t="s">
        <v>131</v>
      </c>
    </row>
    <row r="11" spans="1:23" x14ac:dyDescent="0.25">
      <c r="A11" t="s">
        <v>21</v>
      </c>
      <c r="B11" t="s">
        <v>81</v>
      </c>
      <c r="C11" t="s">
        <v>128</v>
      </c>
      <c r="D11">
        <v>171347471</v>
      </c>
      <c r="E11">
        <v>0.85</v>
      </c>
      <c r="F11">
        <v>1</v>
      </c>
      <c r="G11" t="s">
        <v>159</v>
      </c>
      <c r="H11">
        <v>1.1757</v>
      </c>
      <c r="I11">
        <v>151.85</v>
      </c>
      <c r="J11">
        <v>131.5</v>
      </c>
      <c r="K11">
        <v>11.20086</v>
      </c>
      <c r="L11">
        <v>0.85000000000000009</v>
      </c>
      <c r="M11">
        <v>225174338.50454101</v>
      </c>
      <c r="N11">
        <v>11.20086</v>
      </c>
      <c r="O11">
        <v>10</v>
      </c>
      <c r="P11">
        <v>2.5000000000000001E-2</v>
      </c>
      <c r="Q11">
        <v>38742402.545950003</v>
      </c>
      <c r="R11">
        <v>217008</v>
      </c>
      <c r="S11">
        <f t="shared" si="0"/>
        <v>217007.74536829363</v>
      </c>
      <c r="T11">
        <v>1</v>
      </c>
      <c r="U11">
        <v>1</v>
      </c>
      <c r="V11" t="s">
        <v>130</v>
      </c>
      <c r="W11" t="s">
        <v>131</v>
      </c>
    </row>
    <row r="12" spans="1:23" x14ac:dyDescent="0.25">
      <c r="A12" t="s">
        <v>61</v>
      </c>
      <c r="B12" t="s">
        <v>121</v>
      </c>
      <c r="C12" t="s">
        <v>128</v>
      </c>
      <c r="D12">
        <v>59874365</v>
      </c>
      <c r="E12">
        <v>0.95</v>
      </c>
      <c r="F12">
        <v>1</v>
      </c>
      <c r="G12" t="s">
        <v>160</v>
      </c>
      <c r="H12">
        <v>1</v>
      </c>
      <c r="I12">
        <v>61.18</v>
      </c>
      <c r="J12">
        <v>59.8</v>
      </c>
      <c r="K12">
        <v>12.2392</v>
      </c>
      <c r="L12">
        <v>1</v>
      </c>
      <c r="M12">
        <v>35804870.270000003</v>
      </c>
      <c r="N12">
        <v>12.2392</v>
      </c>
      <c r="O12">
        <v>11</v>
      </c>
      <c r="P12">
        <v>2.5000000000000001E-2</v>
      </c>
      <c r="Q12">
        <v>38742402.545950003</v>
      </c>
      <c r="R12">
        <v>633253</v>
      </c>
      <c r="S12">
        <f t="shared" si="0"/>
        <v>633252.7385738804</v>
      </c>
      <c r="T12">
        <v>1</v>
      </c>
      <c r="U12">
        <v>1</v>
      </c>
      <c r="V12" t="s">
        <v>130</v>
      </c>
      <c r="W12" t="s">
        <v>131</v>
      </c>
    </row>
    <row r="13" spans="1:23" x14ac:dyDescent="0.25">
      <c r="A13" t="s">
        <v>18</v>
      </c>
      <c r="B13" t="s">
        <v>78</v>
      </c>
      <c r="C13" t="s">
        <v>128</v>
      </c>
      <c r="D13">
        <v>1130810671</v>
      </c>
      <c r="E13">
        <v>0.95</v>
      </c>
      <c r="F13">
        <v>1</v>
      </c>
      <c r="G13" t="s">
        <v>161</v>
      </c>
      <c r="H13">
        <v>1</v>
      </c>
      <c r="I13">
        <v>78.67</v>
      </c>
      <c r="J13">
        <v>70.47</v>
      </c>
      <c r="K13">
        <v>12.27173125</v>
      </c>
      <c r="L13">
        <v>0.95000000000000007</v>
      </c>
      <c r="M13">
        <v>757038165.86101496</v>
      </c>
      <c r="N13">
        <v>12.27173125</v>
      </c>
      <c r="O13">
        <v>12</v>
      </c>
      <c r="P13">
        <v>2.5000000000000001E-2</v>
      </c>
      <c r="Q13">
        <v>38742402.545950003</v>
      </c>
      <c r="R13">
        <v>492467</v>
      </c>
      <c r="S13">
        <f t="shared" si="0"/>
        <v>492467.30069848738</v>
      </c>
      <c r="T13">
        <v>1</v>
      </c>
      <c r="U13">
        <v>1</v>
      </c>
      <c r="V13" t="s">
        <v>130</v>
      </c>
      <c r="W13" t="s">
        <v>131</v>
      </c>
    </row>
    <row r="14" spans="1:23" x14ac:dyDescent="0.25">
      <c r="A14" t="s">
        <v>36</v>
      </c>
      <c r="B14" t="s">
        <v>96</v>
      </c>
      <c r="C14" t="s">
        <v>128</v>
      </c>
      <c r="D14">
        <v>105569412</v>
      </c>
      <c r="E14">
        <v>0.3</v>
      </c>
      <c r="F14">
        <v>1</v>
      </c>
      <c r="G14" t="s">
        <v>162</v>
      </c>
      <c r="H14">
        <v>1</v>
      </c>
      <c r="I14">
        <v>2131</v>
      </c>
      <c r="J14">
        <v>2124</v>
      </c>
      <c r="K14">
        <v>12.35406036</v>
      </c>
      <c r="L14">
        <v>0.3</v>
      </c>
      <c r="M14">
        <v>672688293.26400006</v>
      </c>
      <c r="N14">
        <v>12.35406036</v>
      </c>
      <c r="O14">
        <v>13</v>
      </c>
      <c r="P14">
        <v>2.5000000000000001E-2</v>
      </c>
      <c r="Q14">
        <v>38742402.545950003</v>
      </c>
      <c r="R14">
        <v>18180</v>
      </c>
      <c r="S14">
        <f t="shared" si="0"/>
        <v>18180.385990591272</v>
      </c>
      <c r="T14">
        <v>1</v>
      </c>
      <c r="U14">
        <v>1</v>
      </c>
      <c r="V14" t="s">
        <v>130</v>
      </c>
      <c r="W14" t="s">
        <v>131</v>
      </c>
    </row>
    <row r="15" spans="1:23" x14ac:dyDescent="0.25">
      <c r="A15" t="s">
        <v>24</v>
      </c>
      <c r="B15" t="s">
        <v>84</v>
      </c>
      <c r="C15" t="s">
        <v>128</v>
      </c>
      <c r="D15">
        <v>681394483</v>
      </c>
      <c r="E15">
        <v>0.95</v>
      </c>
      <c r="F15">
        <v>1</v>
      </c>
      <c r="G15" t="s">
        <v>163</v>
      </c>
      <c r="H15">
        <v>1</v>
      </c>
      <c r="I15">
        <v>75.760000000000005</v>
      </c>
      <c r="J15">
        <v>78.459999999999994</v>
      </c>
      <c r="K15">
        <v>12.54371181</v>
      </c>
      <c r="L15">
        <v>0.95000000000000007</v>
      </c>
      <c r="M15">
        <v>507891005.79370987</v>
      </c>
      <c r="N15">
        <v>12.54371181</v>
      </c>
      <c r="O15">
        <v>14</v>
      </c>
      <c r="P15">
        <v>2.5000000000000001E-2</v>
      </c>
      <c r="Q15">
        <v>38742402.545950003</v>
      </c>
      <c r="R15">
        <v>511383</v>
      </c>
      <c r="S15">
        <f t="shared" si="0"/>
        <v>511383.34933936113</v>
      </c>
      <c r="T15">
        <v>1</v>
      </c>
      <c r="U15">
        <v>1</v>
      </c>
      <c r="V15" t="s">
        <v>130</v>
      </c>
      <c r="W15" t="s">
        <v>131</v>
      </c>
    </row>
    <row r="16" spans="1:23" x14ac:dyDescent="0.25">
      <c r="A16" t="s">
        <v>26</v>
      </c>
      <c r="B16" t="s">
        <v>86</v>
      </c>
      <c r="C16" t="s">
        <v>128</v>
      </c>
      <c r="D16">
        <v>1344379776</v>
      </c>
      <c r="E16">
        <v>0.5</v>
      </c>
      <c r="F16">
        <v>1</v>
      </c>
      <c r="G16" t="s">
        <v>164</v>
      </c>
      <c r="H16">
        <v>1</v>
      </c>
      <c r="I16">
        <v>23.13</v>
      </c>
      <c r="J16">
        <v>23.49</v>
      </c>
      <c r="K16">
        <v>12.844440000000001</v>
      </c>
      <c r="L16">
        <v>0.5</v>
      </c>
      <c r="M16">
        <v>157897404.69119999</v>
      </c>
      <c r="N16">
        <v>12.844440000000001</v>
      </c>
      <c r="O16">
        <v>15</v>
      </c>
      <c r="P16">
        <v>2.5000000000000001E-2</v>
      </c>
      <c r="Q16">
        <v>38742402.545950003</v>
      </c>
      <c r="R16">
        <v>1674985</v>
      </c>
      <c r="S16">
        <f t="shared" si="0"/>
        <v>1674984.9782079551</v>
      </c>
      <c r="T16">
        <v>1</v>
      </c>
      <c r="U16">
        <v>1</v>
      </c>
      <c r="V16" t="s">
        <v>130</v>
      </c>
      <c r="W16" t="s">
        <v>131</v>
      </c>
    </row>
    <row r="17" spans="1:23" x14ac:dyDescent="0.25">
      <c r="A17" t="s">
        <v>30</v>
      </c>
      <c r="B17" t="s">
        <v>90</v>
      </c>
      <c r="C17" t="s">
        <v>128</v>
      </c>
      <c r="D17">
        <v>463145529</v>
      </c>
      <c r="E17">
        <v>0.7</v>
      </c>
      <c r="F17">
        <v>1</v>
      </c>
      <c r="G17" t="s">
        <v>165</v>
      </c>
      <c r="H17">
        <v>1</v>
      </c>
      <c r="I17">
        <v>284.89999999999998</v>
      </c>
      <c r="J17">
        <v>306</v>
      </c>
      <c r="K17">
        <v>12.911462500000001</v>
      </c>
      <c r="L17">
        <v>0.70000000000000007</v>
      </c>
      <c r="M17">
        <v>992057723.11800003</v>
      </c>
      <c r="N17">
        <v>12.911462500000001</v>
      </c>
      <c r="O17">
        <v>16</v>
      </c>
      <c r="P17">
        <v>2.0833333333330002E-2</v>
      </c>
      <c r="Q17">
        <v>32285335.454953171</v>
      </c>
      <c r="R17">
        <v>113322</v>
      </c>
      <c r="S17">
        <f t="shared" si="0"/>
        <v>113321.64076852641</v>
      </c>
      <c r="T17">
        <v>1</v>
      </c>
      <c r="U17">
        <v>1</v>
      </c>
      <c r="V17" t="s">
        <v>130</v>
      </c>
      <c r="W17" t="s">
        <v>131</v>
      </c>
    </row>
    <row r="18" spans="1:23" x14ac:dyDescent="0.25">
      <c r="A18" t="s">
        <v>48</v>
      </c>
      <c r="B18" t="s">
        <v>108</v>
      </c>
      <c r="C18" t="s">
        <v>128</v>
      </c>
      <c r="D18">
        <v>299036619</v>
      </c>
      <c r="E18">
        <v>0.75</v>
      </c>
      <c r="F18">
        <v>1</v>
      </c>
      <c r="G18" t="s">
        <v>166</v>
      </c>
      <c r="H18">
        <v>1</v>
      </c>
      <c r="I18">
        <v>33.47</v>
      </c>
      <c r="J18">
        <v>30.81</v>
      </c>
      <c r="K18">
        <v>13.0263875</v>
      </c>
      <c r="L18">
        <v>0.75</v>
      </c>
      <c r="M18">
        <v>69099886.735424995</v>
      </c>
      <c r="N18">
        <v>13.0263875</v>
      </c>
      <c r="O18">
        <v>17</v>
      </c>
      <c r="P18">
        <v>2.0833333333330002E-2</v>
      </c>
      <c r="Q18">
        <v>32285335.454953171</v>
      </c>
      <c r="R18">
        <v>964605</v>
      </c>
      <c r="S18">
        <f t="shared" si="0"/>
        <v>964605.18240075209</v>
      </c>
      <c r="T18">
        <v>1</v>
      </c>
      <c r="U18">
        <v>1</v>
      </c>
      <c r="V18" t="s">
        <v>130</v>
      </c>
      <c r="W18" t="s">
        <v>131</v>
      </c>
    </row>
    <row r="19" spans="1:23" x14ac:dyDescent="0.25">
      <c r="A19" t="s">
        <v>27</v>
      </c>
      <c r="B19" t="s">
        <v>87</v>
      </c>
      <c r="C19" t="s">
        <v>128</v>
      </c>
      <c r="D19">
        <v>239891064</v>
      </c>
      <c r="E19">
        <v>1</v>
      </c>
      <c r="F19">
        <v>1</v>
      </c>
      <c r="G19" t="s">
        <v>167</v>
      </c>
      <c r="H19">
        <v>1</v>
      </c>
      <c r="I19">
        <v>18.454999999999998</v>
      </c>
      <c r="J19">
        <v>18.425000000000001</v>
      </c>
      <c r="K19">
        <v>13.04068</v>
      </c>
      <c r="L19">
        <v>1</v>
      </c>
      <c r="M19">
        <v>44199928.542000003</v>
      </c>
      <c r="N19">
        <v>13.04068</v>
      </c>
      <c r="O19">
        <v>18</v>
      </c>
      <c r="P19">
        <v>2.0833333333330002E-2</v>
      </c>
      <c r="Q19">
        <v>32285335.454953171</v>
      </c>
      <c r="R19">
        <v>1749409</v>
      </c>
      <c r="S19">
        <f t="shared" si="0"/>
        <v>1749408.5860175116</v>
      </c>
      <c r="T19">
        <v>1</v>
      </c>
      <c r="U19">
        <v>1</v>
      </c>
      <c r="V19" t="s">
        <v>130</v>
      </c>
      <c r="W19" t="s">
        <v>131</v>
      </c>
    </row>
    <row r="20" spans="1:23" x14ac:dyDescent="0.25">
      <c r="A20" t="s">
        <v>32</v>
      </c>
      <c r="B20" t="s">
        <v>92</v>
      </c>
      <c r="C20" t="s">
        <v>128</v>
      </c>
      <c r="D20">
        <v>101542528</v>
      </c>
      <c r="E20">
        <v>0.75</v>
      </c>
      <c r="F20">
        <v>1</v>
      </c>
      <c r="G20" t="s">
        <v>168</v>
      </c>
      <c r="H20">
        <v>1</v>
      </c>
      <c r="I20">
        <v>122.5</v>
      </c>
      <c r="J20">
        <v>128.80000000000001</v>
      </c>
      <c r="K20">
        <v>13.10279875</v>
      </c>
      <c r="L20">
        <v>0.75</v>
      </c>
      <c r="M20">
        <v>98090082.048000008</v>
      </c>
      <c r="N20">
        <v>13.10279875</v>
      </c>
      <c r="O20">
        <v>19</v>
      </c>
      <c r="P20">
        <v>2.0833333333330002E-2</v>
      </c>
      <c r="Q20">
        <v>32285335.454953171</v>
      </c>
      <c r="R20">
        <v>263554</v>
      </c>
      <c r="S20">
        <f t="shared" si="0"/>
        <v>263553.75881594425</v>
      </c>
      <c r="T20">
        <v>1</v>
      </c>
      <c r="U20">
        <v>1</v>
      </c>
      <c r="V20" t="s">
        <v>130</v>
      </c>
      <c r="W20" t="s">
        <v>131</v>
      </c>
    </row>
    <row r="21" spans="1:23" x14ac:dyDescent="0.25">
      <c r="A21" t="s">
        <v>51</v>
      </c>
      <c r="B21" t="s">
        <v>111</v>
      </c>
      <c r="C21" t="s">
        <v>128</v>
      </c>
      <c r="D21">
        <v>1227468973</v>
      </c>
      <c r="E21">
        <v>0.95</v>
      </c>
      <c r="F21">
        <v>1</v>
      </c>
      <c r="G21" t="s">
        <v>169</v>
      </c>
      <c r="H21">
        <v>1</v>
      </c>
      <c r="I21">
        <v>83.64</v>
      </c>
      <c r="J21">
        <v>86.32</v>
      </c>
      <c r="K21">
        <v>13.1702175</v>
      </c>
      <c r="L21">
        <v>0.95000000000000007</v>
      </c>
      <c r="M21">
        <v>1006573656.61892</v>
      </c>
      <c r="N21">
        <v>13.1702175</v>
      </c>
      <c r="O21">
        <v>20</v>
      </c>
      <c r="P21">
        <v>2.0833333333330002E-2</v>
      </c>
      <c r="Q21">
        <v>32285335.454953171</v>
      </c>
      <c r="R21">
        <v>386004</v>
      </c>
      <c r="S21">
        <f t="shared" si="0"/>
        <v>386003.53245998529</v>
      </c>
      <c r="T21">
        <v>1</v>
      </c>
      <c r="U21">
        <v>1</v>
      </c>
      <c r="V21" t="s">
        <v>130</v>
      </c>
      <c r="W21" t="s">
        <v>131</v>
      </c>
    </row>
    <row r="22" spans="1:23" x14ac:dyDescent="0.25">
      <c r="A22" t="s">
        <v>55</v>
      </c>
      <c r="B22" t="s">
        <v>115</v>
      </c>
      <c r="C22" t="s">
        <v>128</v>
      </c>
      <c r="D22">
        <v>785180327</v>
      </c>
      <c r="E22">
        <v>0.9</v>
      </c>
      <c r="F22">
        <v>1</v>
      </c>
      <c r="G22" t="s">
        <v>170</v>
      </c>
      <c r="H22">
        <v>1</v>
      </c>
      <c r="I22">
        <v>64.36</v>
      </c>
      <c r="J22">
        <v>56.54</v>
      </c>
      <c r="K22">
        <v>13.18949375</v>
      </c>
      <c r="L22">
        <v>0.9</v>
      </c>
      <c r="M22">
        <v>399546861.19722003</v>
      </c>
      <c r="N22">
        <v>13.18949375</v>
      </c>
      <c r="O22">
        <v>21</v>
      </c>
      <c r="P22">
        <v>2.0833333333330002E-2</v>
      </c>
      <c r="Q22">
        <v>32285335.454953171</v>
      </c>
      <c r="R22">
        <v>501637</v>
      </c>
      <c r="S22">
        <f t="shared" si="0"/>
        <v>501636.66026962665</v>
      </c>
      <c r="T22">
        <v>1</v>
      </c>
      <c r="U22">
        <v>1</v>
      </c>
      <c r="V22" t="s">
        <v>130</v>
      </c>
      <c r="W22" t="s">
        <v>131</v>
      </c>
    </row>
    <row r="23" spans="1:23" x14ac:dyDescent="0.25">
      <c r="A23" t="s">
        <v>10</v>
      </c>
      <c r="B23" t="s">
        <v>70</v>
      </c>
      <c r="C23" t="s">
        <v>128</v>
      </c>
      <c r="D23">
        <v>578479509</v>
      </c>
      <c r="E23">
        <v>1</v>
      </c>
      <c r="F23">
        <v>1</v>
      </c>
      <c r="G23" t="s">
        <v>171</v>
      </c>
      <c r="H23">
        <v>1</v>
      </c>
      <c r="I23">
        <v>158.46</v>
      </c>
      <c r="J23">
        <v>165.94</v>
      </c>
      <c r="K23">
        <v>13.37985625</v>
      </c>
      <c r="L23">
        <v>1</v>
      </c>
      <c r="M23">
        <v>959928897.23459995</v>
      </c>
      <c r="N23">
        <v>13.37985625</v>
      </c>
      <c r="O23">
        <v>22</v>
      </c>
      <c r="P23">
        <v>2.0833333333330002E-2</v>
      </c>
      <c r="Q23">
        <v>32285335.454953171</v>
      </c>
      <c r="R23">
        <v>203744</v>
      </c>
      <c r="S23">
        <f t="shared" si="0"/>
        <v>203744.38631170749</v>
      </c>
      <c r="T23">
        <v>1</v>
      </c>
      <c r="U23">
        <v>1</v>
      </c>
      <c r="V23" t="s">
        <v>130</v>
      </c>
      <c r="W23" t="s">
        <v>131</v>
      </c>
    </row>
    <row r="24" spans="1:23" x14ac:dyDescent="0.25">
      <c r="A24" t="s">
        <v>41</v>
      </c>
      <c r="B24" t="s">
        <v>101</v>
      </c>
      <c r="C24" t="s">
        <v>128</v>
      </c>
      <c r="D24">
        <v>500141700</v>
      </c>
      <c r="E24">
        <v>0.5</v>
      </c>
      <c r="F24">
        <v>1</v>
      </c>
      <c r="G24" t="s">
        <v>172</v>
      </c>
      <c r="H24">
        <v>1</v>
      </c>
      <c r="I24">
        <v>625.20000000000005</v>
      </c>
      <c r="J24">
        <v>623</v>
      </c>
      <c r="K24">
        <v>13.552071249999999</v>
      </c>
      <c r="L24">
        <v>0.5</v>
      </c>
      <c r="M24">
        <v>1557941395.5</v>
      </c>
      <c r="N24">
        <v>13.552071249999999</v>
      </c>
      <c r="O24">
        <v>23</v>
      </c>
      <c r="P24">
        <v>2.0833333333330002E-2</v>
      </c>
      <c r="Q24">
        <v>32285335.454953171</v>
      </c>
      <c r="R24">
        <v>51640</v>
      </c>
      <c r="S24">
        <f t="shared" si="0"/>
        <v>51640.011924109356</v>
      </c>
      <c r="T24">
        <v>1</v>
      </c>
      <c r="U24">
        <v>1</v>
      </c>
      <c r="V24" t="s">
        <v>130</v>
      </c>
      <c r="W24" t="s">
        <v>131</v>
      </c>
    </row>
    <row r="25" spans="1:23" x14ac:dyDescent="0.25">
      <c r="A25" t="s">
        <v>40</v>
      </c>
      <c r="B25" t="s">
        <v>100</v>
      </c>
      <c r="C25" t="s">
        <v>128</v>
      </c>
      <c r="D25">
        <v>262245733</v>
      </c>
      <c r="E25">
        <v>1</v>
      </c>
      <c r="F25">
        <v>1</v>
      </c>
      <c r="G25" t="s">
        <v>173</v>
      </c>
      <c r="H25">
        <v>1</v>
      </c>
      <c r="I25">
        <v>125.65</v>
      </c>
      <c r="J25">
        <v>126.85</v>
      </c>
      <c r="K25">
        <v>13.664225</v>
      </c>
      <c r="L25">
        <v>1</v>
      </c>
      <c r="M25">
        <v>332658712.31050003</v>
      </c>
      <c r="N25">
        <v>13.664225</v>
      </c>
      <c r="O25">
        <v>24</v>
      </c>
      <c r="P25">
        <v>2.0833333333330002E-2</v>
      </c>
      <c r="Q25">
        <v>32285335.454953171</v>
      </c>
      <c r="R25">
        <v>256947</v>
      </c>
      <c r="S25">
        <f t="shared" si="0"/>
        <v>256946.5615197228</v>
      </c>
      <c r="T25">
        <v>1</v>
      </c>
      <c r="U25">
        <v>1</v>
      </c>
      <c r="V25" t="s">
        <v>130</v>
      </c>
      <c r="W25" t="s">
        <v>131</v>
      </c>
    </row>
    <row r="26" spans="1:23" x14ac:dyDescent="0.25">
      <c r="A26" t="s">
        <v>16</v>
      </c>
      <c r="B26" t="s">
        <v>76</v>
      </c>
      <c r="C26" t="s">
        <v>128</v>
      </c>
      <c r="D26">
        <v>2168222821</v>
      </c>
      <c r="E26">
        <v>0.85</v>
      </c>
      <c r="F26">
        <v>1</v>
      </c>
      <c r="G26" t="s">
        <v>174</v>
      </c>
      <c r="H26">
        <v>1</v>
      </c>
      <c r="I26">
        <v>39.909999999999997</v>
      </c>
      <c r="J26">
        <v>38.14</v>
      </c>
      <c r="K26">
        <v>13.9274375</v>
      </c>
      <c r="L26">
        <v>0.85000000000000009</v>
      </c>
      <c r="M26">
        <v>702916156.33999014</v>
      </c>
      <c r="N26">
        <v>13.9274375</v>
      </c>
      <c r="O26">
        <v>25</v>
      </c>
      <c r="P26">
        <v>2.0833333333330002E-2</v>
      </c>
      <c r="Q26">
        <v>32285335.454953171</v>
      </c>
      <c r="R26">
        <v>808954</v>
      </c>
      <c r="S26">
        <f t="shared" si="0"/>
        <v>808953.5318204253</v>
      </c>
      <c r="T26">
        <v>1</v>
      </c>
      <c r="U26">
        <v>1</v>
      </c>
      <c r="V26" t="s">
        <v>130</v>
      </c>
      <c r="W26" t="s">
        <v>131</v>
      </c>
    </row>
    <row r="27" spans="1:23" x14ac:dyDescent="0.25">
      <c r="A27" t="s">
        <v>42</v>
      </c>
      <c r="B27" t="s">
        <v>102</v>
      </c>
      <c r="C27" t="s">
        <v>128</v>
      </c>
      <c r="D27">
        <v>705748786</v>
      </c>
      <c r="E27">
        <v>1</v>
      </c>
      <c r="F27">
        <v>1</v>
      </c>
      <c r="G27" t="s">
        <v>175</v>
      </c>
      <c r="H27">
        <v>1</v>
      </c>
      <c r="I27">
        <v>27.89</v>
      </c>
      <c r="J27">
        <v>27.66</v>
      </c>
      <c r="K27">
        <v>14.33596036</v>
      </c>
      <c r="L27">
        <v>1</v>
      </c>
      <c r="M27">
        <v>195210114.2076</v>
      </c>
      <c r="N27">
        <v>14.33596036</v>
      </c>
      <c r="O27">
        <v>26</v>
      </c>
      <c r="P27">
        <v>2.0833333333330002E-2</v>
      </c>
      <c r="Q27">
        <v>32285335.454953171</v>
      </c>
      <c r="R27">
        <v>1157595</v>
      </c>
      <c r="S27">
        <f t="shared" si="0"/>
        <v>1157595.3909986794</v>
      </c>
      <c r="T27">
        <v>1</v>
      </c>
      <c r="U27">
        <v>1</v>
      </c>
      <c r="V27" t="s">
        <v>130</v>
      </c>
      <c r="W27" t="s">
        <v>131</v>
      </c>
    </row>
    <row r="28" spans="1:23" x14ac:dyDescent="0.25">
      <c r="A28" t="s">
        <v>59</v>
      </c>
      <c r="B28" t="s">
        <v>119</v>
      </c>
      <c r="C28" t="s">
        <v>128</v>
      </c>
      <c r="D28">
        <v>911281920</v>
      </c>
      <c r="E28">
        <v>0.7</v>
      </c>
      <c r="F28">
        <v>1</v>
      </c>
      <c r="G28" t="s">
        <v>176</v>
      </c>
      <c r="H28">
        <v>1</v>
      </c>
      <c r="I28">
        <v>21.995000000000001</v>
      </c>
      <c r="J28">
        <v>18.809999999999999</v>
      </c>
      <c r="K28">
        <v>14.93642625</v>
      </c>
      <c r="L28">
        <v>0.70000000000000007</v>
      </c>
      <c r="M28">
        <v>119988490.4064</v>
      </c>
      <c r="N28">
        <v>14.93642625</v>
      </c>
      <c r="O28">
        <v>27</v>
      </c>
      <c r="P28">
        <v>2.0833333333330002E-2</v>
      </c>
      <c r="Q28">
        <v>32285335.454953171</v>
      </c>
      <c r="R28">
        <v>1467849</v>
      </c>
      <c r="S28">
        <f t="shared" si="0"/>
        <v>1467848.8499637721</v>
      </c>
      <c r="T28">
        <v>1</v>
      </c>
      <c r="U28">
        <v>1</v>
      </c>
      <c r="V28" t="s">
        <v>130</v>
      </c>
      <c r="W28" t="s">
        <v>131</v>
      </c>
    </row>
    <row r="29" spans="1:23" x14ac:dyDescent="0.25">
      <c r="A29" t="s">
        <v>52</v>
      </c>
      <c r="B29" t="s">
        <v>112</v>
      </c>
      <c r="C29" t="s">
        <v>128</v>
      </c>
      <c r="D29">
        <v>97330405</v>
      </c>
      <c r="E29">
        <v>0.3</v>
      </c>
      <c r="F29">
        <v>1</v>
      </c>
      <c r="G29" t="s">
        <v>177</v>
      </c>
      <c r="H29">
        <v>1</v>
      </c>
      <c r="I29">
        <v>207.4</v>
      </c>
      <c r="J29">
        <v>190</v>
      </c>
      <c r="K29">
        <v>15.35620625</v>
      </c>
      <c r="L29">
        <v>0.3</v>
      </c>
      <c r="M29">
        <v>55478330.850000009</v>
      </c>
      <c r="N29">
        <v>15.35620625</v>
      </c>
      <c r="O29">
        <v>28</v>
      </c>
      <c r="P29">
        <v>2.0833333333330002E-2</v>
      </c>
      <c r="Q29">
        <v>32285335.454953171</v>
      </c>
      <c r="R29">
        <v>155667</v>
      </c>
      <c r="S29">
        <f t="shared" si="0"/>
        <v>155666.99833632194</v>
      </c>
      <c r="T29">
        <v>1</v>
      </c>
      <c r="U29">
        <v>1</v>
      </c>
      <c r="V29" t="s">
        <v>130</v>
      </c>
      <c r="W29" t="s">
        <v>131</v>
      </c>
    </row>
    <row r="30" spans="1:23" x14ac:dyDescent="0.25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178</v>
      </c>
      <c r="H30">
        <v>1</v>
      </c>
      <c r="I30">
        <v>27.12</v>
      </c>
      <c r="J30">
        <v>26.96</v>
      </c>
      <c r="K30">
        <v>15.546765629999999</v>
      </c>
      <c r="L30">
        <v>0.85000000000000009</v>
      </c>
      <c r="M30">
        <v>41102984.346199997</v>
      </c>
      <c r="N30">
        <v>15.546765629999999</v>
      </c>
      <c r="O30">
        <v>29</v>
      </c>
      <c r="P30">
        <v>2.0833333333330002E-2</v>
      </c>
      <c r="Q30">
        <v>32285335.454953171</v>
      </c>
      <c r="R30">
        <v>1190462</v>
      </c>
      <c r="S30">
        <f t="shared" si="0"/>
        <v>1190462.2217903086</v>
      </c>
      <c r="T30">
        <v>1</v>
      </c>
      <c r="U30">
        <v>1</v>
      </c>
      <c r="V30" t="s">
        <v>130</v>
      </c>
      <c r="W30" t="s">
        <v>131</v>
      </c>
    </row>
    <row r="31" spans="1:23" x14ac:dyDescent="0.25">
      <c r="A31" t="s">
        <v>22</v>
      </c>
      <c r="B31" t="s">
        <v>82</v>
      </c>
      <c r="C31" t="s">
        <v>128</v>
      </c>
      <c r="D31">
        <v>736314789</v>
      </c>
      <c r="E31">
        <v>0.95000000000000007</v>
      </c>
      <c r="F31">
        <v>1</v>
      </c>
      <c r="G31" t="s">
        <v>179</v>
      </c>
      <c r="H31">
        <v>1</v>
      </c>
      <c r="I31">
        <v>14.115</v>
      </c>
      <c r="J31">
        <v>12.984999999999999</v>
      </c>
      <c r="K31">
        <v>16.519187500000001</v>
      </c>
      <c r="L31">
        <v>0.95000000000000007</v>
      </c>
      <c r="M31">
        <v>90829951.584067494</v>
      </c>
      <c r="N31">
        <v>16.519187500000001</v>
      </c>
      <c r="O31">
        <v>30</v>
      </c>
      <c r="P31">
        <v>2.0833333333330002E-2</v>
      </c>
      <c r="Q31">
        <v>32285335.454953171</v>
      </c>
      <c r="R31">
        <v>2287307</v>
      </c>
      <c r="S31">
        <f t="shared" si="0"/>
        <v>2287306.7980838236</v>
      </c>
      <c r="T31">
        <v>1</v>
      </c>
      <c r="U31">
        <v>1</v>
      </c>
      <c r="V31" t="s">
        <v>130</v>
      </c>
      <c r="W31" t="s">
        <v>131</v>
      </c>
    </row>
    <row r="32" spans="1:23" x14ac:dyDescent="0.25">
      <c r="A32" t="s">
        <v>39</v>
      </c>
      <c r="B32" t="s">
        <v>99</v>
      </c>
      <c r="C32" t="s">
        <v>128</v>
      </c>
      <c r="D32">
        <v>533204913</v>
      </c>
      <c r="E32">
        <v>0.45</v>
      </c>
      <c r="F32">
        <v>1</v>
      </c>
      <c r="G32" t="s">
        <v>180</v>
      </c>
      <c r="H32">
        <v>1</v>
      </c>
      <c r="I32">
        <v>371.95</v>
      </c>
      <c r="J32">
        <v>361.5</v>
      </c>
      <c r="K32">
        <v>16.898518750000001</v>
      </c>
      <c r="L32">
        <v>0.45</v>
      </c>
      <c r="M32">
        <v>867391092.22275007</v>
      </c>
      <c r="N32">
        <v>16.898518750000001</v>
      </c>
      <c r="O32">
        <v>31</v>
      </c>
      <c r="P32">
        <v>1.2500000000000001E-2</v>
      </c>
      <c r="Q32">
        <v>19371201.272975001</v>
      </c>
      <c r="R32">
        <v>52080</v>
      </c>
      <c r="S32">
        <f t="shared" si="0"/>
        <v>52080.12171790564</v>
      </c>
      <c r="T32">
        <v>1</v>
      </c>
      <c r="U32">
        <v>1</v>
      </c>
      <c r="V32" t="s">
        <v>130</v>
      </c>
      <c r="W32" t="s">
        <v>131</v>
      </c>
    </row>
    <row r="33" spans="1:23" x14ac:dyDescent="0.25">
      <c r="A33" t="s">
        <v>65</v>
      </c>
      <c r="B33" t="s">
        <v>125</v>
      </c>
      <c r="C33" t="s">
        <v>128</v>
      </c>
      <c r="D33">
        <v>244633504</v>
      </c>
      <c r="E33">
        <v>0.9</v>
      </c>
      <c r="F33">
        <v>1</v>
      </c>
      <c r="G33" t="s">
        <v>181</v>
      </c>
      <c r="H33">
        <v>1</v>
      </c>
      <c r="I33">
        <v>11.365</v>
      </c>
      <c r="J33">
        <v>10.505000000000001</v>
      </c>
      <c r="K33">
        <v>17.29798662</v>
      </c>
      <c r="L33">
        <v>0.9</v>
      </c>
      <c r="M33">
        <v>23128874.635680001</v>
      </c>
      <c r="N33">
        <v>17.29798662</v>
      </c>
      <c r="O33">
        <v>32</v>
      </c>
      <c r="P33">
        <v>1.2500000000000001E-2</v>
      </c>
      <c r="Q33">
        <v>19371201.272975001</v>
      </c>
      <c r="R33">
        <v>1704461</v>
      </c>
      <c r="S33">
        <f t="shared" si="0"/>
        <v>1704461.1766805984</v>
      </c>
      <c r="T33">
        <v>1</v>
      </c>
      <c r="U33">
        <v>1</v>
      </c>
      <c r="V33" t="s">
        <v>130</v>
      </c>
      <c r="W33" t="s">
        <v>131</v>
      </c>
    </row>
    <row r="34" spans="1:23" x14ac:dyDescent="0.25">
      <c r="A34" t="s">
        <v>45</v>
      </c>
      <c r="B34" t="s">
        <v>105</v>
      </c>
      <c r="C34" t="s">
        <v>128</v>
      </c>
      <c r="D34">
        <v>252269195</v>
      </c>
      <c r="E34">
        <v>0.8</v>
      </c>
      <c r="F34">
        <v>1</v>
      </c>
      <c r="G34" t="s">
        <v>182</v>
      </c>
      <c r="H34">
        <v>1</v>
      </c>
      <c r="I34">
        <v>75.459999999999994</v>
      </c>
      <c r="J34">
        <v>81.22</v>
      </c>
      <c r="K34">
        <v>17.4401975</v>
      </c>
      <c r="L34">
        <v>0.8</v>
      </c>
      <c r="M34">
        <v>163914432.14320001</v>
      </c>
      <c r="N34">
        <v>17.4401975</v>
      </c>
      <c r="O34">
        <v>33</v>
      </c>
      <c r="P34">
        <v>1.2500000000000001E-2</v>
      </c>
      <c r="Q34">
        <v>19371201.272975001</v>
      </c>
      <c r="R34">
        <v>256708</v>
      </c>
      <c r="S34">
        <f t="shared" si="0"/>
        <v>256708.20663894783</v>
      </c>
      <c r="T34">
        <v>1</v>
      </c>
      <c r="U34">
        <v>1</v>
      </c>
      <c r="V34" t="s">
        <v>130</v>
      </c>
      <c r="W34" t="s">
        <v>131</v>
      </c>
    </row>
    <row r="35" spans="1:23" x14ac:dyDescent="0.25">
      <c r="A35" t="s">
        <v>44</v>
      </c>
      <c r="B35" t="s">
        <v>104</v>
      </c>
      <c r="C35" t="s">
        <v>128</v>
      </c>
      <c r="D35">
        <v>2660056599</v>
      </c>
      <c r="E35">
        <v>0.65</v>
      </c>
      <c r="F35">
        <v>1</v>
      </c>
      <c r="G35" t="s">
        <v>183</v>
      </c>
      <c r="H35">
        <v>1</v>
      </c>
      <c r="I35">
        <v>13.734999999999999</v>
      </c>
      <c r="J35">
        <v>13.945</v>
      </c>
      <c r="K35">
        <v>17.560700000000001</v>
      </c>
      <c r="L35">
        <v>0.65</v>
      </c>
      <c r="M35">
        <v>241114180.27485749</v>
      </c>
      <c r="N35">
        <v>17.560700000000001</v>
      </c>
      <c r="O35">
        <v>34</v>
      </c>
      <c r="P35">
        <v>1.2500000000000001E-2</v>
      </c>
      <c r="Q35">
        <v>19371201.272975001</v>
      </c>
      <c r="R35">
        <v>1410353</v>
      </c>
      <c r="S35">
        <f t="shared" si="0"/>
        <v>1410353.2051674556</v>
      </c>
      <c r="T35">
        <v>1</v>
      </c>
      <c r="U35">
        <v>1</v>
      </c>
      <c r="V35" t="s">
        <v>130</v>
      </c>
      <c r="W35" t="s">
        <v>131</v>
      </c>
    </row>
    <row r="36" spans="1:23" x14ac:dyDescent="0.25">
      <c r="A36" t="s">
        <v>31</v>
      </c>
      <c r="B36" t="s">
        <v>91</v>
      </c>
      <c r="C36" t="s">
        <v>128</v>
      </c>
      <c r="D36">
        <v>182163000</v>
      </c>
      <c r="E36">
        <v>0.65</v>
      </c>
      <c r="F36">
        <v>1</v>
      </c>
      <c r="G36" t="s">
        <v>184</v>
      </c>
      <c r="H36">
        <v>1</v>
      </c>
      <c r="I36">
        <v>57.46</v>
      </c>
      <c r="J36">
        <v>57.78</v>
      </c>
      <c r="K36">
        <v>17.61841875</v>
      </c>
      <c r="L36">
        <v>0.65</v>
      </c>
      <c r="M36">
        <v>68414957.909999996</v>
      </c>
      <c r="N36">
        <v>17.61841875</v>
      </c>
      <c r="O36">
        <v>35</v>
      </c>
      <c r="P36">
        <v>1.2500000000000001E-2</v>
      </c>
      <c r="Q36">
        <v>19371201.272975001</v>
      </c>
      <c r="R36">
        <v>337125</v>
      </c>
      <c r="S36">
        <f t="shared" si="0"/>
        <v>337124.97864557954</v>
      </c>
      <c r="T36">
        <v>1</v>
      </c>
      <c r="U36">
        <v>1</v>
      </c>
      <c r="V36" t="s">
        <v>130</v>
      </c>
      <c r="W36" t="s">
        <v>131</v>
      </c>
    </row>
    <row r="37" spans="1:23" x14ac:dyDescent="0.25">
      <c r="A37" t="s">
        <v>23</v>
      </c>
      <c r="B37" t="s">
        <v>83</v>
      </c>
      <c r="C37" t="s">
        <v>128</v>
      </c>
      <c r="D37">
        <v>3025902350</v>
      </c>
      <c r="E37">
        <v>0.3</v>
      </c>
      <c r="F37">
        <v>1</v>
      </c>
      <c r="G37" t="s">
        <v>185</v>
      </c>
      <c r="H37">
        <v>1</v>
      </c>
      <c r="I37">
        <v>17.28</v>
      </c>
      <c r="J37">
        <v>16.100000000000001</v>
      </c>
      <c r="K37">
        <v>17.679375</v>
      </c>
      <c r="L37">
        <v>0.3</v>
      </c>
      <c r="M37">
        <v>146151083.505</v>
      </c>
      <c r="N37">
        <v>17.679375</v>
      </c>
      <c r="O37">
        <v>36</v>
      </c>
      <c r="P37">
        <v>1.2500000000000001E-2</v>
      </c>
      <c r="Q37">
        <v>19371201.272975001</v>
      </c>
      <c r="R37">
        <v>1121019</v>
      </c>
      <c r="S37">
        <f t="shared" si="0"/>
        <v>1121018.5921860533</v>
      </c>
      <c r="T37">
        <v>1</v>
      </c>
      <c r="U37">
        <v>1</v>
      </c>
      <c r="V37" t="s">
        <v>130</v>
      </c>
      <c r="W37" t="s">
        <v>131</v>
      </c>
    </row>
    <row r="38" spans="1:23" x14ac:dyDescent="0.25">
      <c r="A38" t="s">
        <v>50</v>
      </c>
      <c r="B38" t="s">
        <v>110</v>
      </c>
      <c r="C38" t="s">
        <v>128</v>
      </c>
      <c r="D38">
        <v>499063699</v>
      </c>
      <c r="E38">
        <v>0.9</v>
      </c>
      <c r="F38">
        <v>1</v>
      </c>
      <c r="G38" t="s">
        <v>186</v>
      </c>
      <c r="H38">
        <v>1</v>
      </c>
      <c r="I38">
        <v>87.14</v>
      </c>
      <c r="J38">
        <v>81.3</v>
      </c>
      <c r="K38">
        <v>18.306936610000001</v>
      </c>
      <c r="L38">
        <v>0.9</v>
      </c>
      <c r="M38">
        <v>365164908.55830002</v>
      </c>
      <c r="N38">
        <v>18.306936610000001</v>
      </c>
      <c r="O38">
        <v>37</v>
      </c>
      <c r="P38">
        <v>1.2500000000000001E-2</v>
      </c>
      <c r="Q38">
        <v>19371201.272975001</v>
      </c>
      <c r="R38">
        <v>222300</v>
      </c>
      <c r="S38">
        <f t="shared" si="0"/>
        <v>222299.7621410948</v>
      </c>
      <c r="T38">
        <v>1</v>
      </c>
      <c r="U38">
        <v>1</v>
      </c>
      <c r="V38" t="s">
        <v>130</v>
      </c>
      <c r="W38" t="s">
        <v>131</v>
      </c>
    </row>
    <row r="39" spans="1:23" x14ac:dyDescent="0.25">
      <c r="A39" t="s">
        <v>47</v>
      </c>
      <c r="B39" t="s">
        <v>107</v>
      </c>
      <c r="C39" t="s">
        <v>128</v>
      </c>
      <c r="D39">
        <v>295722284</v>
      </c>
      <c r="E39">
        <v>0.65</v>
      </c>
      <c r="F39">
        <v>1</v>
      </c>
      <c r="G39" t="s">
        <v>187</v>
      </c>
      <c r="H39">
        <v>1</v>
      </c>
      <c r="I39">
        <v>36.25</v>
      </c>
      <c r="J39">
        <v>34.32</v>
      </c>
      <c r="K39">
        <v>18.861249999999998</v>
      </c>
      <c r="L39">
        <v>0.65</v>
      </c>
      <c r="M39">
        <v>65969727.114720002</v>
      </c>
      <c r="N39">
        <v>18.861249999999998</v>
      </c>
      <c r="O39">
        <v>38</v>
      </c>
      <c r="P39">
        <v>1.2500000000000001E-2</v>
      </c>
      <c r="Q39">
        <v>19371201.272975001</v>
      </c>
      <c r="R39">
        <v>534378</v>
      </c>
      <c r="S39">
        <f t="shared" si="0"/>
        <v>534377.96615103458</v>
      </c>
      <c r="T39">
        <v>1</v>
      </c>
      <c r="U39">
        <v>1</v>
      </c>
      <c r="V39" t="s">
        <v>130</v>
      </c>
      <c r="W39" t="s">
        <v>131</v>
      </c>
    </row>
    <row r="40" spans="1:23" x14ac:dyDescent="0.25">
      <c r="A40" t="s">
        <v>13</v>
      </c>
      <c r="B40" t="s">
        <v>73</v>
      </c>
      <c r="C40" t="s">
        <v>128</v>
      </c>
      <c r="D40">
        <v>205419262</v>
      </c>
      <c r="E40">
        <v>0.3</v>
      </c>
      <c r="F40">
        <v>1</v>
      </c>
      <c r="G40" t="s">
        <v>188</v>
      </c>
      <c r="H40">
        <v>1</v>
      </c>
      <c r="I40">
        <v>67</v>
      </c>
      <c r="J40">
        <v>66.25</v>
      </c>
      <c r="K40">
        <v>19.534512500000002</v>
      </c>
      <c r="L40">
        <v>0.3</v>
      </c>
      <c r="M40">
        <v>40827078.322500013</v>
      </c>
      <c r="N40">
        <v>19.534512500000002</v>
      </c>
      <c r="O40">
        <v>39</v>
      </c>
      <c r="P40">
        <v>1.2500000000000001E-2</v>
      </c>
      <c r="Q40">
        <v>19371201.272975001</v>
      </c>
      <c r="R40">
        <v>289122</v>
      </c>
      <c r="S40">
        <f t="shared" si="0"/>
        <v>289122.4070593284</v>
      </c>
      <c r="T40">
        <v>1</v>
      </c>
      <c r="U40">
        <v>1</v>
      </c>
      <c r="V40" t="s">
        <v>130</v>
      </c>
      <c r="W40" t="s">
        <v>131</v>
      </c>
    </row>
    <row r="41" spans="1:23" x14ac:dyDescent="0.25">
      <c r="A41" t="s">
        <v>8</v>
      </c>
      <c r="B41" t="s">
        <v>68</v>
      </c>
      <c r="C41" t="s">
        <v>128</v>
      </c>
      <c r="D41">
        <v>245000143</v>
      </c>
      <c r="E41">
        <v>0.75</v>
      </c>
      <c r="F41">
        <v>1</v>
      </c>
      <c r="G41" t="s">
        <v>189</v>
      </c>
      <c r="H41">
        <v>1</v>
      </c>
      <c r="I41">
        <v>46.2</v>
      </c>
      <c r="J41">
        <v>45.58</v>
      </c>
      <c r="K41">
        <v>19.652875000000002</v>
      </c>
      <c r="L41">
        <v>0.75</v>
      </c>
      <c r="M41">
        <v>83753298.884550005</v>
      </c>
      <c r="N41">
        <v>19.652875000000002</v>
      </c>
      <c r="O41">
        <v>40</v>
      </c>
      <c r="P41">
        <v>1.2500000000000001E-2</v>
      </c>
      <c r="Q41">
        <v>19371201.272975001</v>
      </c>
      <c r="R41">
        <v>419290</v>
      </c>
      <c r="S41">
        <f t="shared" si="0"/>
        <v>419290.0708436147</v>
      </c>
      <c r="T41">
        <v>1</v>
      </c>
      <c r="U41">
        <v>1</v>
      </c>
      <c r="V41" t="s">
        <v>130</v>
      </c>
      <c r="W41" t="s">
        <v>131</v>
      </c>
    </row>
    <row r="42" spans="1:23" x14ac:dyDescent="0.25">
      <c r="A42" t="s">
        <v>60</v>
      </c>
      <c r="B42" t="s">
        <v>120</v>
      </c>
      <c r="C42" t="s">
        <v>128</v>
      </c>
      <c r="D42">
        <v>178378708</v>
      </c>
      <c r="E42">
        <v>0.75</v>
      </c>
      <c r="F42">
        <v>1</v>
      </c>
      <c r="G42" t="s">
        <v>190</v>
      </c>
      <c r="H42">
        <v>1</v>
      </c>
      <c r="I42">
        <v>32.479999999999997</v>
      </c>
      <c r="J42">
        <v>33.56</v>
      </c>
      <c r="K42">
        <v>19.75210315</v>
      </c>
      <c r="L42">
        <v>0.75</v>
      </c>
      <c r="M42">
        <v>44897920.803600013</v>
      </c>
      <c r="N42">
        <v>19.75210315</v>
      </c>
      <c r="O42">
        <v>41</v>
      </c>
      <c r="P42">
        <v>1.2500000000000001E-2</v>
      </c>
      <c r="Q42">
        <v>19371201.272975001</v>
      </c>
      <c r="R42">
        <v>596404</v>
      </c>
      <c r="S42">
        <f t="shared" si="0"/>
        <v>596403.98007927963</v>
      </c>
      <c r="T42">
        <v>1</v>
      </c>
      <c r="U42">
        <v>1</v>
      </c>
      <c r="V42" t="s">
        <v>130</v>
      </c>
      <c r="W42" t="s">
        <v>131</v>
      </c>
    </row>
    <row r="43" spans="1:23" x14ac:dyDescent="0.25">
      <c r="A43" t="s">
        <v>11</v>
      </c>
      <c r="B43" t="s">
        <v>71</v>
      </c>
      <c r="C43" t="s">
        <v>128</v>
      </c>
      <c r="D43">
        <v>792283683</v>
      </c>
      <c r="E43">
        <v>0.75</v>
      </c>
      <c r="F43">
        <v>1</v>
      </c>
      <c r="G43" t="s">
        <v>191</v>
      </c>
      <c r="H43">
        <v>1</v>
      </c>
      <c r="I43">
        <v>193.28</v>
      </c>
      <c r="J43">
        <v>202.75</v>
      </c>
      <c r="K43">
        <v>20.33301788</v>
      </c>
      <c r="L43">
        <v>0.75</v>
      </c>
      <c r="M43">
        <v>1204766375.461875</v>
      </c>
      <c r="N43">
        <v>20.33301788</v>
      </c>
      <c r="O43">
        <v>42</v>
      </c>
      <c r="P43">
        <v>1.2500000000000001E-2</v>
      </c>
      <c r="Q43">
        <v>19371201.272975001</v>
      </c>
      <c r="R43">
        <v>100224</v>
      </c>
      <c r="S43">
        <f t="shared" si="0"/>
        <v>100223.51651994516</v>
      </c>
      <c r="T43">
        <v>1</v>
      </c>
      <c r="U43">
        <v>1</v>
      </c>
      <c r="V43" t="s">
        <v>130</v>
      </c>
      <c r="W43" t="s">
        <v>131</v>
      </c>
    </row>
    <row r="44" spans="1:23" x14ac:dyDescent="0.25">
      <c r="A44" t="s">
        <v>9</v>
      </c>
      <c r="B44" t="s">
        <v>69</v>
      </c>
      <c r="C44" t="s">
        <v>128</v>
      </c>
      <c r="D44">
        <v>98960602</v>
      </c>
      <c r="E44">
        <v>0.3</v>
      </c>
      <c r="F44">
        <v>1</v>
      </c>
      <c r="G44" t="s">
        <v>192</v>
      </c>
      <c r="H44">
        <v>1</v>
      </c>
      <c r="I44">
        <v>130.19999999999999</v>
      </c>
      <c r="J44">
        <v>120.5</v>
      </c>
      <c r="K44">
        <v>20.39825063</v>
      </c>
      <c r="L44">
        <v>0.3</v>
      </c>
      <c r="M44">
        <v>35774257.623000003</v>
      </c>
      <c r="N44">
        <v>20.39825063</v>
      </c>
      <c r="O44">
        <v>43</v>
      </c>
      <c r="P44">
        <v>1.2500000000000001E-2</v>
      </c>
      <c r="Q44">
        <v>19371201.272975001</v>
      </c>
      <c r="R44">
        <v>148780</v>
      </c>
      <c r="S44">
        <f t="shared" si="0"/>
        <v>148780.34771870202</v>
      </c>
      <c r="T44">
        <v>1</v>
      </c>
      <c r="U44">
        <v>1</v>
      </c>
      <c r="V44" t="s">
        <v>130</v>
      </c>
      <c r="W44" t="s">
        <v>131</v>
      </c>
    </row>
    <row r="45" spans="1:23" x14ac:dyDescent="0.25">
      <c r="A45" t="s">
        <v>17</v>
      </c>
      <c r="B45" t="s">
        <v>77</v>
      </c>
      <c r="C45" t="s">
        <v>128</v>
      </c>
      <c r="D45">
        <v>118361220</v>
      </c>
      <c r="E45">
        <v>0.4</v>
      </c>
      <c r="F45">
        <v>1</v>
      </c>
      <c r="G45" t="s">
        <v>193</v>
      </c>
      <c r="H45">
        <v>1</v>
      </c>
      <c r="I45">
        <v>106.5</v>
      </c>
      <c r="J45">
        <v>107.7</v>
      </c>
      <c r="K45">
        <v>20.43776875</v>
      </c>
      <c r="L45">
        <v>0.4</v>
      </c>
      <c r="M45">
        <v>50990013.576000012</v>
      </c>
      <c r="N45">
        <v>20.43776875</v>
      </c>
      <c r="O45">
        <v>44</v>
      </c>
      <c r="P45">
        <v>1.2500000000000001E-2</v>
      </c>
      <c r="Q45">
        <v>19371201.272975001</v>
      </c>
      <c r="R45">
        <v>181889</v>
      </c>
      <c r="S45">
        <f t="shared" si="0"/>
        <v>181889.21383075119</v>
      </c>
      <c r="T45">
        <v>1</v>
      </c>
      <c r="U45">
        <v>1</v>
      </c>
      <c r="V45" t="s">
        <v>130</v>
      </c>
      <c r="W45" t="s">
        <v>131</v>
      </c>
    </row>
    <row r="46" spans="1:23" x14ac:dyDescent="0.25">
      <c r="A46" t="s">
        <v>12</v>
      </c>
      <c r="B46" t="s">
        <v>72</v>
      </c>
      <c r="C46" t="s">
        <v>128</v>
      </c>
      <c r="D46">
        <v>462029966</v>
      </c>
      <c r="E46">
        <v>0.75</v>
      </c>
      <c r="F46">
        <v>1</v>
      </c>
      <c r="G46" t="s">
        <v>194</v>
      </c>
      <c r="H46">
        <v>1</v>
      </c>
      <c r="I46">
        <v>24.13</v>
      </c>
      <c r="J46">
        <v>22.48</v>
      </c>
      <c r="K46">
        <v>20.620465630000002</v>
      </c>
      <c r="L46">
        <v>0.75</v>
      </c>
      <c r="M46">
        <v>77898252.2676</v>
      </c>
      <c r="N46">
        <v>20.620465630000002</v>
      </c>
      <c r="O46">
        <v>45</v>
      </c>
      <c r="P46">
        <v>1.2500000000000001E-2</v>
      </c>
      <c r="Q46">
        <v>19371201.272975001</v>
      </c>
      <c r="R46">
        <v>802785</v>
      </c>
      <c r="S46">
        <f t="shared" si="0"/>
        <v>802784.96779838391</v>
      </c>
      <c r="T46">
        <v>1</v>
      </c>
      <c r="U46">
        <v>1</v>
      </c>
      <c r="V46" t="s">
        <v>130</v>
      </c>
      <c r="W46" t="s">
        <v>131</v>
      </c>
    </row>
    <row r="47" spans="1:23" x14ac:dyDescent="0.25">
      <c r="A47" t="s">
        <v>58</v>
      </c>
      <c r="B47" t="s">
        <v>118</v>
      </c>
      <c r="C47" t="s">
        <v>128</v>
      </c>
      <c r="D47">
        <v>2896073567</v>
      </c>
      <c r="E47">
        <v>0.7</v>
      </c>
      <c r="F47">
        <v>1</v>
      </c>
      <c r="G47" t="s">
        <v>195</v>
      </c>
      <c r="H47">
        <v>1</v>
      </c>
      <c r="I47">
        <v>10.02</v>
      </c>
      <c r="J47">
        <v>8.4529999999999994</v>
      </c>
      <c r="K47">
        <v>21.399206249999999</v>
      </c>
      <c r="L47">
        <v>0.70000000000000007</v>
      </c>
      <c r="M47">
        <v>171363569.03295699</v>
      </c>
      <c r="N47">
        <v>21.399206249999999</v>
      </c>
      <c r="O47">
        <v>46</v>
      </c>
      <c r="P47">
        <v>8.3333333333300008E-3</v>
      </c>
      <c r="Q47">
        <v>12914134.18197817</v>
      </c>
      <c r="R47">
        <v>1288836</v>
      </c>
      <c r="S47">
        <f t="shared" si="0"/>
        <v>1288835.7467044082</v>
      </c>
      <c r="T47">
        <v>1</v>
      </c>
      <c r="U47">
        <v>1</v>
      </c>
      <c r="V47" t="s">
        <v>130</v>
      </c>
      <c r="W47" t="s">
        <v>131</v>
      </c>
    </row>
    <row r="48" spans="1:23" x14ac:dyDescent="0.25">
      <c r="A48" t="s">
        <v>66</v>
      </c>
      <c r="B48" t="s">
        <v>126</v>
      </c>
      <c r="C48" t="s">
        <v>128</v>
      </c>
      <c r="D48">
        <v>741723437</v>
      </c>
      <c r="E48">
        <v>0.9</v>
      </c>
      <c r="F48">
        <v>1</v>
      </c>
      <c r="G48" t="s">
        <v>196</v>
      </c>
      <c r="H48">
        <v>1</v>
      </c>
      <c r="I48">
        <v>29.38</v>
      </c>
      <c r="J48">
        <v>28.5</v>
      </c>
      <c r="K48">
        <v>21.559280000000001</v>
      </c>
      <c r="L48">
        <v>0.85000000000000009</v>
      </c>
      <c r="M48">
        <v>179682502.61324999</v>
      </c>
      <c r="N48">
        <v>21.559280000000001</v>
      </c>
      <c r="O48">
        <v>47</v>
      </c>
      <c r="P48">
        <v>8.3333333333300008E-3</v>
      </c>
      <c r="Q48">
        <v>12914134.18197817</v>
      </c>
      <c r="R48">
        <v>439555</v>
      </c>
      <c r="S48">
        <f t="shared" si="0"/>
        <v>439555.28189170081</v>
      </c>
      <c r="T48">
        <v>1</v>
      </c>
      <c r="U48">
        <v>1</v>
      </c>
      <c r="V48" t="s">
        <v>130</v>
      </c>
      <c r="W48" t="s">
        <v>131</v>
      </c>
    </row>
    <row r="49" spans="1:23" x14ac:dyDescent="0.25">
      <c r="A49" t="s">
        <v>35</v>
      </c>
      <c r="B49" t="s">
        <v>95</v>
      </c>
      <c r="C49" t="s">
        <v>128</v>
      </c>
      <c r="D49">
        <v>37117772</v>
      </c>
      <c r="E49">
        <v>1</v>
      </c>
      <c r="F49">
        <v>1</v>
      </c>
      <c r="G49" t="s">
        <v>197</v>
      </c>
      <c r="H49">
        <v>1</v>
      </c>
      <c r="I49">
        <v>159.80000000000001</v>
      </c>
      <c r="J49">
        <v>171.5</v>
      </c>
      <c r="K49">
        <v>21.917621950000001</v>
      </c>
      <c r="L49">
        <v>1</v>
      </c>
      <c r="M49">
        <v>63656978.979999997</v>
      </c>
      <c r="N49">
        <v>21.917621950000001</v>
      </c>
      <c r="O49">
        <v>48</v>
      </c>
      <c r="P49">
        <v>8.3333333333300008E-3</v>
      </c>
      <c r="Q49">
        <v>12914134.18197817</v>
      </c>
      <c r="R49">
        <v>80814</v>
      </c>
      <c r="S49">
        <f t="shared" si="0"/>
        <v>80814.35658309242</v>
      </c>
      <c r="T49">
        <v>1</v>
      </c>
      <c r="U49">
        <v>1</v>
      </c>
      <c r="V49" t="s">
        <v>130</v>
      </c>
      <c r="W49" t="s">
        <v>131</v>
      </c>
    </row>
    <row r="50" spans="1:23" x14ac:dyDescent="0.25">
      <c r="A50" t="s">
        <v>43</v>
      </c>
      <c r="B50" t="s">
        <v>103</v>
      </c>
      <c r="C50" t="s">
        <v>128</v>
      </c>
      <c r="D50">
        <v>43744779</v>
      </c>
      <c r="E50">
        <v>0.8</v>
      </c>
      <c r="F50">
        <v>1</v>
      </c>
      <c r="G50" t="s">
        <v>198</v>
      </c>
      <c r="H50">
        <v>1</v>
      </c>
      <c r="I50">
        <v>126</v>
      </c>
      <c r="J50">
        <v>119.6</v>
      </c>
      <c r="K50">
        <v>22.634561519999998</v>
      </c>
      <c r="L50">
        <v>0.85000000000000009</v>
      </c>
      <c r="M50">
        <v>44470942.331400007</v>
      </c>
      <c r="N50">
        <v>22.634561519999998</v>
      </c>
      <c r="O50">
        <v>49</v>
      </c>
      <c r="P50">
        <v>8.3333333333300008E-3</v>
      </c>
      <c r="Q50">
        <v>12914134.18197817</v>
      </c>
      <c r="R50">
        <v>102493</v>
      </c>
      <c r="S50">
        <f t="shared" si="0"/>
        <v>102493.12842839818</v>
      </c>
      <c r="T50">
        <v>1</v>
      </c>
      <c r="U50">
        <v>1</v>
      </c>
      <c r="V50" t="s">
        <v>130</v>
      </c>
      <c r="W50" t="s">
        <v>131</v>
      </c>
    </row>
    <row r="51" spans="1:23" x14ac:dyDescent="0.25">
      <c r="A51" t="s">
        <v>15</v>
      </c>
      <c r="B51" t="s">
        <v>75</v>
      </c>
      <c r="C51" t="s">
        <v>128</v>
      </c>
      <c r="D51">
        <v>76060831</v>
      </c>
      <c r="E51">
        <v>0.75</v>
      </c>
      <c r="F51">
        <v>1</v>
      </c>
      <c r="G51" t="s">
        <v>199</v>
      </c>
      <c r="H51">
        <v>1</v>
      </c>
      <c r="I51">
        <v>53.2</v>
      </c>
      <c r="J51">
        <v>50.85</v>
      </c>
      <c r="K51">
        <v>22.721599999999999</v>
      </c>
      <c r="L51">
        <v>0.70000000000000007</v>
      </c>
      <c r="M51">
        <v>27073852.79445</v>
      </c>
      <c r="N51">
        <v>22.721599999999999</v>
      </c>
      <c r="O51">
        <v>50</v>
      </c>
      <c r="P51">
        <v>8.3333333333300008E-3</v>
      </c>
      <c r="Q51">
        <v>12914134.18197817</v>
      </c>
      <c r="R51">
        <v>242747</v>
      </c>
      <c r="S51">
        <f t="shared" si="0"/>
        <v>242746.88311989041</v>
      </c>
      <c r="T51">
        <v>1</v>
      </c>
      <c r="U51">
        <v>1</v>
      </c>
      <c r="V51" t="s">
        <v>130</v>
      </c>
      <c r="W51" t="s">
        <v>131</v>
      </c>
    </row>
    <row r="52" spans="1:23" x14ac:dyDescent="0.25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200</v>
      </c>
      <c r="H52">
        <v>1</v>
      </c>
      <c r="I52">
        <v>21.46</v>
      </c>
      <c r="J52">
        <v>21.62</v>
      </c>
      <c r="K52">
        <v>22.7907175</v>
      </c>
      <c r="L52">
        <v>0.75</v>
      </c>
      <c r="M52">
        <v>394881464.53364998</v>
      </c>
      <c r="N52">
        <v>22.7907175</v>
      </c>
      <c r="O52">
        <v>51</v>
      </c>
      <c r="P52">
        <v>8.3333333333300008E-3</v>
      </c>
      <c r="Q52">
        <v>12914134.18197817</v>
      </c>
      <c r="R52">
        <v>601777</v>
      </c>
      <c r="S52">
        <f t="shared" si="0"/>
        <v>601776.98890858202</v>
      </c>
      <c r="T52">
        <v>1</v>
      </c>
      <c r="U52">
        <v>1</v>
      </c>
      <c r="V52" t="s">
        <v>130</v>
      </c>
      <c r="W52" t="s">
        <v>131</v>
      </c>
    </row>
    <row r="53" spans="1:23" x14ac:dyDescent="0.25">
      <c r="A53" t="s">
        <v>67</v>
      </c>
      <c r="B53" t="s">
        <v>127</v>
      </c>
      <c r="C53" t="s">
        <v>128</v>
      </c>
      <c r="D53">
        <v>582866757</v>
      </c>
      <c r="E53">
        <v>0.9</v>
      </c>
      <c r="F53">
        <v>1</v>
      </c>
      <c r="G53" t="s">
        <v>201</v>
      </c>
      <c r="H53">
        <v>1</v>
      </c>
      <c r="I53">
        <v>119.8</v>
      </c>
      <c r="J53">
        <v>119.2</v>
      </c>
      <c r="K53">
        <v>23.81601165</v>
      </c>
      <c r="L53">
        <v>0.9</v>
      </c>
      <c r="M53">
        <v>625299456.90960002</v>
      </c>
      <c r="N53">
        <v>23.81601165</v>
      </c>
      <c r="O53">
        <v>52</v>
      </c>
      <c r="P53">
        <v>8.3333333333300008E-3</v>
      </c>
      <c r="Q53">
        <v>12914134.18197817</v>
      </c>
      <c r="R53">
        <v>107797</v>
      </c>
      <c r="S53">
        <f t="shared" si="0"/>
        <v>107797.44726192129</v>
      </c>
      <c r="T53">
        <v>1</v>
      </c>
      <c r="U53">
        <v>1</v>
      </c>
      <c r="V53" t="s">
        <v>130</v>
      </c>
      <c r="W53" t="s">
        <v>131</v>
      </c>
    </row>
    <row r="54" spans="1:23" x14ac:dyDescent="0.25">
      <c r="A54" t="s">
        <v>56</v>
      </c>
      <c r="B54" t="s">
        <v>116</v>
      </c>
      <c r="C54" t="s">
        <v>128</v>
      </c>
      <c r="D54">
        <v>147454887</v>
      </c>
      <c r="E54">
        <v>0.55000000000000004</v>
      </c>
      <c r="F54">
        <v>1</v>
      </c>
      <c r="G54" t="s">
        <v>202</v>
      </c>
      <c r="H54">
        <v>1</v>
      </c>
      <c r="I54">
        <v>45.18</v>
      </c>
      <c r="J54">
        <v>47.24</v>
      </c>
      <c r="K54">
        <v>24.310162500000001</v>
      </c>
      <c r="L54">
        <v>0.55000000000000004</v>
      </c>
      <c r="M54">
        <v>38311728.740340002</v>
      </c>
      <c r="N54">
        <v>24.310162500000001</v>
      </c>
      <c r="O54">
        <v>53</v>
      </c>
      <c r="P54">
        <v>8.3333333333300008E-3</v>
      </c>
      <c r="Q54">
        <v>12914134.18197817</v>
      </c>
      <c r="R54">
        <v>285837</v>
      </c>
      <c r="S54">
        <f t="shared" si="0"/>
        <v>285837.40995967621</v>
      </c>
      <c r="T54">
        <v>1</v>
      </c>
      <c r="U54">
        <v>1</v>
      </c>
      <c r="V54" t="s">
        <v>130</v>
      </c>
      <c r="W54" t="s">
        <v>131</v>
      </c>
    </row>
    <row r="55" spans="1:23" x14ac:dyDescent="0.25">
      <c r="A55" t="s">
        <v>63</v>
      </c>
      <c r="B55" t="s">
        <v>123</v>
      </c>
      <c r="C55" t="s">
        <v>128</v>
      </c>
      <c r="D55">
        <v>2281206254</v>
      </c>
      <c r="E55">
        <v>0.9</v>
      </c>
      <c r="F55">
        <v>1</v>
      </c>
      <c r="G55" t="s">
        <v>203</v>
      </c>
      <c r="H55">
        <v>1</v>
      </c>
      <c r="I55">
        <v>55.84</v>
      </c>
      <c r="J55">
        <v>55.97</v>
      </c>
      <c r="K55">
        <v>24.461062500000001</v>
      </c>
      <c r="L55">
        <v>0.9</v>
      </c>
      <c r="M55">
        <v>1149112026.32742</v>
      </c>
      <c r="N55">
        <v>24.461062500000001</v>
      </c>
      <c r="O55">
        <v>54</v>
      </c>
      <c r="P55">
        <v>8.3333333333300008E-3</v>
      </c>
      <c r="Q55">
        <v>12914134.18197817</v>
      </c>
      <c r="R55">
        <v>231270</v>
      </c>
      <c r="S55">
        <f t="shared" si="0"/>
        <v>231270.31128184401</v>
      </c>
      <c r="T55">
        <v>1</v>
      </c>
      <c r="U55">
        <v>1</v>
      </c>
      <c r="V55" t="s">
        <v>130</v>
      </c>
      <c r="W55" t="s">
        <v>131</v>
      </c>
    </row>
    <row r="56" spans="1:23" x14ac:dyDescent="0.25">
      <c r="A56" t="s">
        <v>62</v>
      </c>
      <c r="B56" t="s">
        <v>122</v>
      </c>
      <c r="C56" t="s">
        <v>128</v>
      </c>
      <c r="D56">
        <v>205941913</v>
      </c>
      <c r="E56">
        <v>0.45</v>
      </c>
      <c r="F56">
        <v>1</v>
      </c>
      <c r="G56" t="s">
        <v>204</v>
      </c>
      <c r="H56">
        <v>1</v>
      </c>
      <c r="I56">
        <v>228.4</v>
      </c>
      <c r="J56">
        <v>226.9</v>
      </c>
      <c r="K56">
        <v>26.521620110000001</v>
      </c>
      <c r="L56">
        <v>0.45</v>
      </c>
      <c r="M56">
        <v>210276990.26865</v>
      </c>
      <c r="N56">
        <v>26.521620110000001</v>
      </c>
      <c r="O56">
        <v>55</v>
      </c>
      <c r="P56">
        <v>8.3333333333300008E-3</v>
      </c>
      <c r="Q56">
        <v>12914134.18197817</v>
      </c>
      <c r="R56">
        <v>56542</v>
      </c>
      <c r="S56">
        <f t="shared" si="0"/>
        <v>56541.743353669743</v>
      </c>
      <c r="T56">
        <v>1</v>
      </c>
      <c r="U56">
        <v>1</v>
      </c>
      <c r="V56" t="s">
        <v>130</v>
      </c>
      <c r="W56" t="s">
        <v>131</v>
      </c>
    </row>
    <row r="57" spans="1:23" x14ac:dyDescent="0.25">
      <c r="A57" t="s">
        <v>49</v>
      </c>
      <c r="B57" t="s">
        <v>109</v>
      </c>
      <c r="C57" t="s">
        <v>128</v>
      </c>
      <c r="D57">
        <v>423632587</v>
      </c>
      <c r="E57">
        <v>0.75</v>
      </c>
      <c r="F57">
        <v>1</v>
      </c>
      <c r="G57" t="s">
        <v>205</v>
      </c>
      <c r="H57">
        <v>1</v>
      </c>
      <c r="I57">
        <v>291.3</v>
      </c>
      <c r="J57">
        <v>289.39999999999998</v>
      </c>
      <c r="K57">
        <v>27.085362450000002</v>
      </c>
      <c r="L57">
        <v>0.75</v>
      </c>
      <c r="M57">
        <v>919494530.08349991</v>
      </c>
      <c r="N57">
        <v>27.085362450000002</v>
      </c>
      <c r="O57">
        <v>56</v>
      </c>
      <c r="P57">
        <v>8.3333333333300008E-3</v>
      </c>
      <c r="Q57">
        <v>12914134.18197817</v>
      </c>
      <c r="R57">
        <v>44333</v>
      </c>
      <c r="S57">
        <f t="shared" si="0"/>
        <v>44332.764098792206</v>
      </c>
      <c r="T57">
        <v>1</v>
      </c>
      <c r="U57">
        <v>1</v>
      </c>
      <c r="V57" t="s">
        <v>130</v>
      </c>
      <c r="W57" t="s">
        <v>131</v>
      </c>
    </row>
    <row r="58" spans="1:23" x14ac:dyDescent="0.25">
      <c r="A58" t="s">
        <v>28</v>
      </c>
      <c r="B58" t="s">
        <v>88</v>
      </c>
      <c r="C58" t="s">
        <v>128</v>
      </c>
      <c r="D58">
        <v>98000000</v>
      </c>
      <c r="E58">
        <v>0.75</v>
      </c>
      <c r="F58">
        <v>1</v>
      </c>
      <c r="G58" t="s">
        <v>206</v>
      </c>
      <c r="H58">
        <v>1</v>
      </c>
      <c r="I58">
        <v>121.4</v>
      </c>
      <c r="J58">
        <v>112.45</v>
      </c>
      <c r="K58">
        <v>27.247233510000001</v>
      </c>
      <c r="L58">
        <v>0.75</v>
      </c>
      <c r="M58">
        <v>82650750</v>
      </c>
      <c r="N58">
        <v>27.247233510000001</v>
      </c>
      <c r="O58">
        <v>57</v>
      </c>
      <c r="P58">
        <v>8.3333333333300008E-3</v>
      </c>
      <c r="Q58">
        <v>12914134.18197817</v>
      </c>
      <c r="R58">
        <v>106377</v>
      </c>
      <c r="S58">
        <f t="shared" si="0"/>
        <v>106376.72308054505</v>
      </c>
      <c r="T58">
        <v>1</v>
      </c>
      <c r="U58">
        <v>1</v>
      </c>
      <c r="V58" t="s">
        <v>130</v>
      </c>
      <c r="W58" t="s">
        <v>131</v>
      </c>
    </row>
    <row r="59" spans="1:23" x14ac:dyDescent="0.25">
      <c r="A59" t="s">
        <v>14</v>
      </c>
      <c r="B59" t="s">
        <v>74</v>
      </c>
      <c r="C59" t="s">
        <v>129</v>
      </c>
      <c r="D59">
        <v>852809772</v>
      </c>
      <c r="E59">
        <v>0.5</v>
      </c>
      <c r="F59">
        <v>1</v>
      </c>
      <c r="G59" t="s">
        <v>207</v>
      </c>
      <c r="H59">
        <v>1</v>
      </c>
      <c r="I59">
        <v>38.43</v>
      </c>
      <c r="J59">
        <v>34.049999999999997</v>
      </c>
      <c r="K59">
        <v>28.544374999999999</v>
      </c>
      <c r="L59">
        <v>0.5</v>
      </c>
      <c r="M59">
        <v>145190863.683</v>
      </c>
      <c r="N59">
        <v>28.544374999999999</v>
      </c>
      <c r="O59">
        <v>58</v>
      </c>
      <c r="P59">
        <v>8.3333333333300008E-3</v>
      </c>
      <c r="Q59">
        <v>12914134.18197817</v>
      </c>
      <c r="R59">
        <v>336043</v>
      </c>
      <c r="S59">
        <f t="shared" si="0"/>
        <v>336043.04402753501</v>
      </c>
      <c r="T59">
        <v>1</v>
      </c>
      <c r="U59">
        <v>1</v>
      </c>
      <c r="V59" t="s">
        <v>130</v>
      </c>
      <c r="W59" t="s">
        <v>131</v>
      </c>
    </row>
    <row r="60" spans="1:23" x14ac:dyDescent="0.25">
      <c r="A60" t="s">
        <v>25</v>
      </c>
      <c r="B60" t="s">
        <v>85</v>
      </c>
      <c r="C60" t="s">
        <v>128</v>
      </c>
      <c r="D60">
        <v>78397034</v>
      </c>
      <c r="E60">
        <v>0.25</v>
      </c>
      <c r="F60">
        <v>1</v>
      </c>
      <c r="G60" t="s">
        <v>208</v>
      </c>
      <c r="H60">
        <v>1</v>
      </c>
      <c r="I60">
        <v>270.2</v>
      </c>
      <c r="J60">
        <v>265.8</v>
      </c>
      <c r="K60">
        <v>31.245790629999998</v>
      </c>
      <c r="L60">
        <v>0.25</v>
      </c>
      <c r="M60">
        <v>52094829.093000002</v>
      </c>
      <c r="N60">
        <v>31.245790629999998</v>
      </c>
      <c r="O60">
        <v>59</v>
      </c>
      <c r="P60">
        <v>8.3333333333300008E-3</v>
      </c>
      <c r="Q60">
        <v>12914134.18197817</v>
      </c>
      <c r="R60">
        <v>47795</v>
      </c>
      <c r="S60">
        <f t="shared" si="0"/>
        <v>47794.723101325573</v>
      </c>
      <c r="T60">
        <v>1</v>
      </c>
      <c r="U60">
        <v>1</v>
      </c>
      <c r="V60" t="s">
        <v>130</v>
      </c>
      <c r="W60" t="s">
        <v>131</v>
      </c>
    </row>
    <row r="61" spans="1:23" x14ac:dyDescent="0.25">
      <c r="A61" t="s">
        <v>19</v>
      </c>
      <c r="B61" t="s">
        <v>79</v>
      </c>
      <c r="C61" t="s">
        <v>128</v>
      </c>
      <c r="D61">
        <v>383229919</v>
      </c>
      <c r="E61">
        <v>0.5</v>
      </c>
      <c r="F61">
        <v>1</v>
      </c>
      <c r="G61" t="s">
        <v>209</v>
      </c>
      <c r="H61">
        <v>1</v>
      </c>
      <c r="I61">
        <v>43.36</v>
      </c>
      <c r="J61">
        <v>41.75</v>
      </c>
      <c r="K61">
        <v>31.68472637</v>
      </c>
      <c r="L61">
        <v>0.5</v>
      </c>
      <c r="M61">
        <v>79999245.591250002</v>
      </c>
      <c r="N61">
        <v>31.68472637</v>
      </c>
      <c r="O61">
        <v>60</v>
      </c>
      <c r="P61">
        <v>8.3333333333300008E-3</v>
      </c>
      <c r="Q61">
        <v>12914134.18197817</v>
      </c>
      <c r="R61">
        <v>297835</v>
      </c>
      <c r="S61">
        <f t="shared" si="0"/>
        <v>297835.19792385079</v>
      </c>
      <c r="T61">
        <v>1</v>
      </c>
      <c r="U61">
        <v>1</v>
      </c>
      <c r="V61" t="s">
        <v>130</v>
      </c>
      <c r="W61" t="s">
        <v>131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132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 x14ac:dyDescent="0.25">
      <c r="A2" t="s">
        <v>38</v>
      </c>
      <c r="B2" t="s">
        <v>98</v>
      </c>
      <c r="C2" t="s">
        <v>128</v>
      </c>
      <c r="D2">
        <v>286861172</v>
      </c>
      <c r="E2">
        <v>0.75</v>
      </c>
      <c r="F2">
        <v>1</v>
      </c>
      <c r="G2" t="s">
        <v>150</v>
      </c>
      <c r="H2">
        <v>1.1757</v>
      </c>
      <c r="I2">
        <v>32.799999999999997</v>
      </c>
      <c r="J2">
        <v>32.840000000000003</v>
      </c>
      <c r="K2">
        <v>6.3198999999999996</v>
      </c>
      <c r="L2">
        <v>0.8</v>
      </c>
      <c r="M2">
        <v>88605651.268687502</v>
      </c>
      <c r="N2">
        <v>6.3198999999999996</v>
      </c>
    </row>
    <row r="3" spans="1:14" x14ac:dyDescent="0.25">
      <c r="A3" t="s">
        <v>64</v>
      </c>
      <c r="B3" t="s">
        <v>124</v>
      </c>
      <c r="C3" t="s">
        <v>128</v>
      </c>
      <c r="D3">
        <v>143244727</v>
      </c>
      <c r="E3">
        <v>0.85</v>
      </c>
      <c r="F3">
        <v>1</v>
      </c>
      <c r="G3" t="s">
        <v>151</v>
      </c>
      <c r="H3">
        <v>1.1757</v>
      </c>
      <c r="I3">
        <v>90.48</v>
      </c>
      <c r="J3">
        <v>89.4</v>
      </c>
      <c r="K3">
        <v>7.0345874999999998</v>
      </c>
      <c r="L3">
        <v>0.85000000000000009</v>
      </c>
      <c r="M3">
        <v>127976906.12321059</v>
      </c>
      <c r="N3">
        <v>7.0345874999999998</v>
      </c>
    </row>
    <row r="4" spans="1:14" x14ac:dyDescent="0.25">
      <c r="A4" t="s">
        <v>53</v>
      </c>
      <c r="B4" t="s">
        <v>113</v>
      </c>
      <c r="C4" t="s">
        <v>128</v>
      </c>
      <c r="D4">
        <v>577122512</v>
      </c>
      <c r="E4">
        <v>1</v>
      </c>
      <c r="F4">
        <v>1</v>
      </c>
      <c r="G4" t="s">
        <v>152</v>
      </c>
      <c r="H4">
        <v>1</v>
      </c>
      <c r="I4">
        <v>239.15</v>
      </c>
      <c r="J4">
        <v>222.3</v>
      </c>
      <c r="K4">
        <v>7.1448087500000002</v>
      </c>
      <c r="L4">
        <v>1</v>
      </c>
      <c r="M4">
        <v>1282943344.1760001</v>
      </c>
      <c r="N4">
        <v>7.1448087500000002</v>
      </c>
    </row>
    <row r="5" spans="1:14" x14ac:dyDescent="0.25">
      <c r="A5" t="s">
        <v>46</v>
      </c>
      <c r="B5" t="s">
        <v>106</v>
      </c>
      <c r="C5" t="s">
        <v>128</v>
      </c>
      <c r="D5">
        <v>254311860</v>
      </c>
      <c r="E5">
        <v>0.95</v>
      </c>
      <c r="F5">
        <v>1</v>
      </c>
      <c r="G5" t="s">
        <v>153</v>
      </c>
      <c r="H5">
        <v>1</v>
      </c>
      <c r="I5">
        <v>87.2</v>
      </c>
      <c r="J5">
        <v>84.1</v>
      </c>
      <c r="K5">
        <v>9.1312857100000002</v>
      </c>
      <c r="L5">
        <v>0.95000000000000007</v>
      </c>
      <c r="M5">
        <v>203182460.54699999</v>
      </c>
      <c r="N5">
        <v>9.1312857100000002</v>
      </c>
    </row>
    <row r="6" spans="1:14" x14ac:dyDescent="0.25">
      <c r="A6" t="s">
        <v>57</v>
      </c>
      <c r="B6" t="s">
        <v>117</v>
      </c>
      <c r="C6" t="s">
        <v>128</v>
      </c>
      <c r="D6">
        <v>168073514</v>
      </c>
      <c r="E6">
        <v>0.9</v>
      </c>
      <c r="F6">
        <v>1</v>
      </c>
      <c r="G6" t="s">
        <v>154</v>
      </c>
      <c r="H6">
        <v>1</v>
      </c>
      <c r="I6">
        <v>46.76</v>
      </c>
      <c r="J6">
        <v>43.88</v>
      </c>
      <c r="K6">
        <v>9.5158124999999991</v>
      </c>
      <c r="L6">
        <v>0.9</v>
      </c>
      <c r="M6">
        <v>66375592.148879997</v>
      </c>
      <c r="N6">
        <v>9.5158124999999991</v>
      </c>
    </row>
    <row r="7" spans="1:14" x14ac:dyDescent="0.25">
      <c r="A7" t="s">
        <v>37</v>
      </c>
      <c r="B7" t="s">
        <v>97</v>
      </c>
      <c r="C7" t="s">
        <v>128</v>
      </c>
      <c r="D7">
        <v>123420778</v>
      </c>
      <c r="E7">
        <v>0.6</v>
      </c>
      <c r="F7">
        <v>1</v>
      </c>
      <c r="G7" t="s">
        <v>155</v>
      </c>
      <c r="H7">
        <v>1</v>
      </c>
      <c r="I7">
        <v>291.85000000000002</v>
      </c>
      <c r="J7">
        <v>296.2</v>
      </c>
      <c r="K7">
        <v>9.7392562500000004</v>
      </c>
      <c r="L7">
        <v>0.60000000000000009</v>
      </c>
      <c r="M7">
        <v>219343406.66159999</v>
      </c>
      <c r="N7">
        <v>9.7392562500000004</v>
      </c>
    </row>
    <row r="8" spans="1:14" x14ac:dyDescent="0.25">
      <c r="A8" t="s">
        <v>33</v>
      </c>
      <c r="B8" t="s">
        <v>93</v>
      </c>
      <c r="C8" t="s">
        <v>128</v>
      </c>
      <c r="D8">
        <v>76738691</v>
      </c>
      <c r="E8">
        <v>0.6</v>
      </c>
      <c r="F8">
        <v>1</v>
      </c>
      <c r="G8" t="s">
        <v>156</v>
      </c>
      <c r="H8">
        <v>1.1757</v>
      </c>
      <c r="I8">
        <v>79.55</v>
      </c>
      <c r="J8">
        <v>78.8</v>
      </c>
      <c r="K8">
        <v>9.8726874999999996</v>
      </c>
      <c r="L8">
        <v>0.60000000000000009</v>
      </c>
      <c r="M8">
        <v>42656809.835313357</v>
      </c>
      <c r="N8">
        <v>9.8726874999999996</v>
      </c>
    </row>
    <row r="9" spans="1:14" x14ac:dyDescent="0.25">
      <c r="A9" t="s">
        <v>20</v>
      </c>
      <c r="B9" t="s">
        <v>80</v>
      </c>
      <c r="C9" t="s">
        <v>128</v>
      </c>
      <c r="D9">
        <v>453871520</v>
      </c>
      <c r="E9">
        <v>0.75</v>
      </c>
      <c r="F9">
        <v>1</v>
      </c>
      <c r="G9" t="s">
        <v>157</v>
      </c>
      <c r="H9">
        <v>1</v>
      </c>
      <c r="I9">
        <v>26</v>
      </c>
      <c r="J9">
        <v>27.08</v>
      </c>
      <c r="K9">
        <v>10.1023625</v>
      </c>
      <c r="L9">
        <v>0.75</v>
      </c>
      <c r="M9">
        <v>92181305.711999983</v>
      </c>
      <c r="N9">
        <v>10.1023625</v>
      </c>
    </row>
    <row r="10" spans="1:14" x14ac:dyDescent="0.25">
      <c r="A10" t="s">
        <v>34</v>
      </c>
      <c r="B10" t="s">
        <v>94</v>
      </c>
      <c r="C10" t="s">
        <v>128</v>
      </c>
      <c r="D10">
        <v>550000000</v>
      </c>
      <c r="E10">
        <v>0.55000000000000004</v>
      </c>
      <c r="F10">
        <v>1</v>
      </c>
      <c r="G10" t="s">
        <v>158</v>
      </c>
      <c r="H10">
        <v>1</v>
      </c>
      <c r="I10">
        <v>15.3</v>
      </c>
      <c r="J10">
        <v>15.23</v>
      </c>
      <c r="K10">
        <v>10.34705187</v>
      </c>
      <c r="L10">
        <v>0.55000000000000004</v>
      </c>
      <c r="M10">
        <v>46070750</v>
      </c>
      <c r="N10">
        <v>10.34705187</v>
      </c>
    </row>
    <row r="11" spans="1:14" x14ac:dyDescent="0.25">
      <c r="A11" t="s">
        <v>21</v>
      </c>
      <c r="B11" t="s">
        <v>81</v>
      </c>
      <c r="C11" t="s">
        <v>128</v>
      </c>
      <c r="D11">
        <v>171347471</v>
      </c>
      <c r="E11">
        <v>0.85</v>
      </c>
      <c r="F11">
        <v>1</v>
      </c>
      <c r="G11" t="s">
        <v>159</v>
      </c>
      <c r="H11">
        <v>1.1757</v>
      </c>
      <c r="I11">
        <v>151.85</v>
      </c>
      <c r="J11">
        <v>131.5</v>
      </c>
      <c r="K11">
        <v>11.20086</v>
      </c>
      <c r="L11">
        <v>0.85000000000000009</v>
      </c>
      <c r="M11">
        <v>225174338.50454101</v>
      </c>
      <c r="N11">
        <v>11.20086</v>
      </c>
    </row>
    <row r="12" spans="1:14" x14ac:dyDescent="0.25">
      <c r="A12" t="s">
        <v>61</v>
      </c>
      <c r="B12" t="s">
        <v>121</v>
      </c>
      <c r="C12" t="s">
        <v>128</v>
      </c>
      <c r="D12">
        <v>59874365</v>
      </c>
      <c r="E12">
        <v>0.95</v>
      </c>
      <c r="F12">
        <v>1</v>
      </c>
      <c r="G12" t="s">
        <v>160</v>
      </c>
      <c r="H12">
        <v>1</v>
      </c>
      <c r="I12">
        <v>61.18</v>
      </c>
      <c r="J12">
        <v>59.8</v>
      </c>
      <c r="K12">
        <v>12.2392</v>
      </c>
      <c r="L12">
        <v>1</v>
      </c>
      <c r="M12">
        <v>35804870.270000003</v>
      </c>
      <c r="N12">
        <v>12.2392</v>
      </c>
    </row>
    <row r="13" spans="1:14" x14ac:dyDescent="0.25">
      <c r="A13" t="s">
        <v>18</v>
      </c>
      <c r="B13" t="s">
        <v>78</v>
      </c>
      <c r="C13" t="s">
        <v>128</v>
      </c>
      <c r="D13">
        <v>1130810671</v>
      </c>
      <c r="E13">
        <v>0.95</v>
      </c>
      <c r="F13">
        <v>1</v>
      </c>
      <c r="G13" t="s">
        <v>161</v>
      </c>
      <c r="H13">
        <v>1</v>
      </c>
      <c r="I13">
        <v>78.67</v>
      </c>
      <c r="J13">
        <v>70.47</v>
      </c>
      <c r="K13">
        <v>12.27173125</v>
      </c>
      <c r="L13">
        <v>0.95000000000000007</v>
      </c>
      <c r="M13">
        <v>757038165.86101496</v>
      </c>
      <c r="N13">
        <v>12.27173125</v>
      </c>
    </row>
    <row r="14" spans="1:14" x14ac:dyDescent="0.25">
      <c r="A14" t="s">
        <v>36</v>
      </c>
      <c r="B14" t="s">
        <v>96</v>
      </c>
      <c r="C14" t="s">
        <v>128</v>
      </c>
      <c r="D14">
        <v>105569412</v>
      </c>
      <c r="E14">
        <v>0.3</v>
      </c>
      <c r="F14">
        <v>1</v>
      </c>
      <c r="G14" t="s">
        <v>162</v>
      </c>
      <c r="H14">
        <v>1</v>
      </c>
      <c r="I14">
        <v>2131</v>
      </c>
      <c r="J14">
        <v>2124</v>
      </c>
      <c r="K14">
        <v>12.35406036</v>
      </c>
      <c r="L14">
        <v>0.3</v>
      </c>
      <c r="M14">
        <v>672688293.26400006</v>
      </c>
      <c r="N14">
        <v>12.35406036</v>
      </c>
    </row>
    <row r="15" spans="1:14" x14ac:dyDescent="0.25">
      <c r="A15" t="s">
        <v>24</v>
      </c>
      <c r="B15" t="s">
        <v>84</v>
      </c>
      <c r="C15" t="s">
        <v>128</v>
      </c>
      <c r="D15">
        <v>681394483</v>
      </c>
      <c r="E15">
        <v>0.95</v>
      </c>
      <c r="F15">
        <v>1</v>
      </c>
      <c r="G15" t="s">
        <v>163</v>
      </c>
      <c r="H15">
        <v>1</v>
      </c>
      <c r="I15">
        <v>75.760000000000005</v>
      </c>
      <c r="J15">
        <v>78.459999999999994</v>
      </c>
      <c r="K15">
        <v>12.54371181</v>
      </c>
      <c r="L15">
        <v>0.95000000000000007</v>
      </c>
      <c r="M15">
        <v>507891005.79370987</v>
      </c>
      <c r="N15">
        <v>12.54371181</v>
      </c>
    </row>
    <row r="16" spans="1:14" x14ac:dyDescent="0.25">
      <c r="A16" t="s">
        <v>26</v>
      </c>
      <c r="B16" t="s">
        <v>86</v>
      </c>
      <c r="C16" t="s">
        <v>128</v>
      </c>
      <c r="D16">
        <v>1344379776</v>
      </c>
      <c r="E16">
        <v>0.5</v>
      </c>
      <c r="F16">
        <v>1</v>
      </c>
      <c r="G16" t="s">
        <v>164</v>
      </c>
      <c r="H16">
        <v>1</v>
      </c>
      <c r="I16">
        <v>23.13</v>
      </c>
      <c r="J16">
        <v>23.49</v>
      </c>
      <c r="K16">
        <v>12.844440000000001</v>
      </c>
      <c r="L16">
        <v>0.5</v>
      </c>
      <c r="M16">
        <v>157897404.69119999</v>
      </c>
      <c r="N16">
        <v>12.844440000000001</v>
      </c>
    </row>
    <row r="17" spans="1:14" x14ac:dyDescent="0.25">
      <c r="A17" t="s">
        <v>30</v>
      </c>
      <c r="B17" t="s">
        <v>90</v>
      </c>
      <c r="C17" t="s">
        <v>128</v>
      </c>
      <c r="D17">
        <v>463145529</v>
      </c>
      <c r="E17">
        <v>0.7</v>
      </c>
      <c r="F17">
        <v>1</v>
      </c>
      <c r="G17" t="s">
        <v>165</v>
      </c>
      <c r="H17">
        <v>1</v>
      </c>
      <c r="I17">
        <v>284.89999999999998</v>
      </c>
      <c r="J17">
        <v>306</v>
      </c>
      <c r="K17">
        <v>12.911462500000001</v>
      </c>
      <c r="L17">
        <v>0.70000000000000007</v>
      </c>
      <c r="M17">
        <v>992057723.11800003</v>
      </c>
      <c r="N17">
        <v>12.911462500000001</v>
      </c>
    </row>
    <row r="18" spans="1:14" x14ac:dyDescent="0.25">
      <c r="A18" t="s">
        <v>48</v>
      </c>
      <c r="B18" t="s">
        <v>108</v>
      </c>
      <c r="C18" t="s">
        <v>128</v>
      </c>
      <c r="D18">
        <v>299036619</v>
      </c>
      <c r="E18">
        <v>0.75</v>
      </c>
      <c r="F18">
        <v>1</v>
      </c>
      <c r="G18" t="s">
        <v>166</v>
      </c>
      <c r="H18">
        <v>1</v>
      </c>
      <c r="I18">
        <v>33.47</v>
      </c>
      <c r="J18">
        <v>30.81</v>
      </c>
      <c r="K18">
        <v>13.0263875</v>
      </c>
      <c r="L18">
        <v>0.75</v>
      </c>
      <c r="M18">
        <v>69099886.735424995</v>
      </c>
      <c r="N18">
        <v>13.0263875</v>
      </c>
    </row>
    <row r="19" spans="1:14" x14ac:dyDescent="0.25">
      <c r="A19" t="s">
        <v>27</v>
      </c>
      <c r="B19" t="s">
        <v>87</v>
      </c>
      <c r="C19" t="s">
        <v>128</v>
      </c>
      <c r="D19">
        <v>239891064</v>
      </c>
      <c r="E19">
        <v>1</v>
      </c>
      <c r="F19">
        <v>1</v>
      </c>
      <c r="G19" t="s">
        <v>167</v>
      </c>
      <c r="H19">
        <v>1</v>
      </c>
      <c r="I19">
        <v>18.454999999999998</v>
      </c>
      <c r="J19">
        <v>18.425000000000001</v>
      </c>
      <c r="K19">
        <v>13.04068</v>
      </c>
      <c r="L19">
        <v>1</v>
      </c>
      <c r="M19">
        <v>44199928.542000003</v>
      </c>
      <c r="N19">
        <v>13.04068</v>
      </c>
    </row>
    <row r="20" spans="1:14" x14ac:dyDescent="0.25">
      <c r="A20" t="s">
        <v>32</v>
      </c>
      <c r="B20" t="s">
        <v>92</v>
      </c>
      <c r="C20" t="s">
        <v>128</v>
      </c>
      <c r="D20">
        <v>101542528</v>
      </c>
      <c r="E20">
        <v>0.75</v>
      </c>
      <c r="F20">
        <v>1</v>
      </c>
      <c r="G20" t="s">
        <v>168</v>
      </c>
      <c r="H20">
        <v>1</v>
      </c>
      <c r="I20">
        <v>122.5</v>
      </c>
      <c r="J20">
        <v>128.80000000000001</v>
      </c>
      <c r="K20">
        <v>13.10279875</v>
      </c>
      <c r="L20">
        <v>0.75</v>
      </c>
      <c r="M20">
        <v>98090082.048000008</v>
      </c>
      <c r="N20">
        <v>13.10279875</v>
      </c>
    </row>
    <row r="21" spans="1:14" x14ac:dyDescent="0.25">
      <c r="A21" t="s">
        <v>51</v>
      </c>
      <c r="B21" t="s">
        <v>111</v>
      </c>
      <c r="C21" t="s">
        <v>128</v>
      </c>
      <c r="D21">
        <v>1227468973</v>
      </c>
      <c r="E21">
        <v>0.95</v>
      </c>
      <c r="F21">
        <v>1</v>
      </c>
      <c r="G21" t="s">
        <v>169</v>
      </c>
      <c r="H21">
        <v>1</v>
      </c>
      <c r="I21">
        <v>83.64</v>
      </c>
      <c r="J21">
        <v>86.32</v>
      </c>
      <c r="K21">
        <v>13.1702175</v>
      </c>
      <c r="L21">
        <v>0.95000000000000007</v>
      </c>
      <c r="M21">
        <v>1006573656.61892</v>
      </c>
      <c r="N21">
        <v>13.1702175</v>
      </c>
    </row>
    <row r="22" spans="1:14" x14ac:dyDescent="0.25">
      <c r="A22" t="s">
        <v>55</v>
      </c>
      <c r="B22" t="s">
        <v>115</v>
      </c>
      <c r="C22" t="s">
        <v>128</v>
      </c>
      <c r="D22">
        <v>785180327</v>
      </c>
      <c r="E22">
        <v>0.9</v>
      </c>
      <c r="F22">
        <v>1</v>
      </c>
      <c r="G22" t="s">
        <v>170</v>
      </c>
      <c r="H22">
        <v>1</v>
      </c>
      <c r="I22">
        <v>64.36</v>
      </c>
      <c r="J22">
        <v>56.54</v>
      </c>
      <c r="K22">
        <v>13.18949375</v>
      </c>
      <c r="L22">
        <v>0.9</v>
      </c>
      <c r="M22">
        <v>399546861.19722003</v>
      </c>
      <c r="N22">
        <v>13.18949375</v>
      </c>
    </row>
    <row r="23" spans="1:14" x14ac:dyDescent="0.25">
      <c r="A23" t="s">
        <v>10</v>
      </c>
      <c r="B23" t="s">
        <v>70</v>
      </c>
      <c r="C23" t="s">
        <v>128</v>
      </c>
      <c r="D23">
        <v>578479509</v>
      </c>
      <c r="E23">
        <v>1</v>
      </c>
      <c r="F23">
        <v>1</v>
      </c>
      <c r="G23" t="s">
        <v>171</v>
      </c>
      <c r="H23">
        <v>1</v>
      </c>
      <c r="I23">
        <v>158.46</v>
      </c>
      <c r="J23">
        <v>165.94</v>
      </c>
      <c r="K23">
        <v>13.37985625</v>
      </c>
      <c r="L23">
        <v>1</v>
      </c>
      <c r="M23">
        <v>959928897.23459995</v>
      </c>
      <c r="N23">
        <v>13.37985625</v>
      </c>
    </row>
    <row r="24" spans="1:14" x14ac:dyDescent="0.25">
      <c r="A24" t="s">
        <v>41</v>
      </c>
      <c r="B24" t="s">
        <v>101</v>
      </c>
      <c r="C24" t="s">
        <v>128</v>
      </c>
      <c r="D24">
        <v>500141700</v>
      </c>
      <c r="E24">
        <v>0.5</v>
      </c>
      <c r="F24">
        <v>1</v>
      </c>
      <c r="G24" t="s">
        <v>172</v>
      </c>
      <c r="H24">
        <v>1</v>
      </c>
      <c r="I24">
        <v>625.20000000000005</v>
      </c>
      <c r="J24">
        <v>623</v>
      </c>
      <c r="K24">
        <v>13.552071249999999</v>
      </c>
      <c r="L24">
        <v>0.5</v>
      </c>
      <c r="M24">
        <v>1557941395.5</v>
      </c>
      <c r="N24">
        <v>13.552071249999999</v>
      </c>
    </row>
    <row r="25" spans="1:14" x14ac:dyDescent="0.25">
      <c r="A25" t="s">
        <v>40</v>
      </c>
      <c r="B25" t="s">
        <v>100</v>
      </c>
      <c r="C25" t="s">
        <v>128</v>
      </c>
      <c r="D25">
        <v>262245733</v>
      </c>
      <c r="E25">
        <v>1</v>
      </c>
      <c r="F25">
        <v>1</v>
      </c>
      <c r="G25" t="s">
        <v>173</v>
      </c>
      <c r="H25">
        <v>1</v>
      </c>
      <c r="I25">
        <v>125.65</v>
      </c>
      <c r="J25">
        <v>126.85</v>
      </c>
      <c r="K25">
        <v>13.664225</v>
      </c>
      <c r="L25">
        <v>1</v>
      </c>
      <c r="M25">
        <v>332658712.31050003</v>
      </c>
      <c r="N25">
        <v>13.664225</v>
      </c>
    </row>
    <row r="26" spans="1:14" x14ac:dyDescent="0.25">
      <c r="A26" t="s">
        <v>16</v>
      </c>
      <c r="B26" t="s">
        <v>76</v>
      </c>
      <c r="C26" t="s">
        <v>128</v>
      </c>
      <c r="D26">
        <v>2168222821</v>
      </c>
      <c r="E26">
        <v>0.85</v>
      </c>
      <c r="F26">
        <v>1</v>
      </c>
      <c r="G26" t="s">
        <v>174</v>
      </c>
      <c r="H26">
        <v>1</v>
      </c>
      <c r="I26">
        <v>39.909999999999997</v>
      </c>
      <c r="J26">
        <v>38.14</v>
      </c>
      <c r="K26">
        <v>13.9274375</v>
      </c>
      <c r="L26">
        <v>0.85000000000000009</v>
      </c>
      <c r="M26">
        <v>702916156.33999014</v>
      </c>
      <c r="N26">
        <v>13.9274375</v>
      </c>
    </row>
    <row r="27" spans="1:14" x14ac:dyDescent="0.25">
      <c r="A27" t="s">
        <v>42</v>
      </c>
      <c r="B27" t="s">
        <v>102</v>
      </c>
      <c r="C27" t="s">
        <v>128</v>
      </c>
      <c r="D27">
        <v>705748786</v>
      </c>
      <c r="E27">
        <v>1</v>
      </c>
      <c r="F27">
        <v>1</v>
      </c>
      <c r="G27" t="s">
        <v>175</v>
      </c>
      <c r="H27">
        <v>1</v>
      </c>
      <c r="I27">
        <v>27.89</v>
      </c>
      <c r="J27">
        <v>27.66</v>
      </c>
      <c r="K27">
        <v>14.33596036</v>
      </c>
      <c r="L27">
        <v>1</v>
      </c>
      <c r="M27">
        <v>195210114.2076</v>
      </c>
      <c r="N27">
        <v>14.33596036</v>
      </c>
    </row>
    <row r="28" spans="1:14" x14ac:dyDescent="0.25">
      <c r="A28" t="s">
        <v>59</v>
      </c>
      <c r="B28" t="s">
        <v>119</v>
      </c>
      <c r="C28" t="s">
        <v>128</v>
      </c>
      <c r="D28">
        <v>911281920</v>
      </c>
      <c r="E28">
        <v>0.7</v>
      </c>
      <c r="F28">
        <v>1</v>
      </c>
      <c r="G28" t="s">
        <v>176</v>
      </c>
      <c r="H28">
        <v>1</v>
      </c>
      <c r="I28">
        <v>21.995000000000001</v>
      </c>
      <c r="J28">
        <v>18.809999999999999</v>
      </c>
      <c r="K28">
        <v>14.93642625</v>
      </c>
      <c r="L28">
        <v>0.70000000000000007</v>
      </c>
      <c r="M28">
        <v>119988490.4064</v>
      </c>
      <c r="N28">
        <v>14.93642625</v>
      </c>
    </row>
    <row r="29" spans="1:14" x14ac:dyDescent="0.25">
      <c r="A29" t="s">
        <v>52</v>
      </c>
      <c r="B29" t="s">
        <v>112</v>
      </c>
      <c r="C29" t="s">
        <v>128</v>
      </c>
      <c r="D29">
        <v>97330405</v>
      </c>
      <c r="E29">
        <v>0.3</v>
      </c>
      <c r="F29">
        <v>1</v>
      </c>
      <c r="G29" t="s">
        <v>177</v>
      </c>
      <c r="H29">
        <v>1</v>
      </c>
      <c r="I29">
        <v>207.4</v>
      </c>
      <c r="J29">
        <v>190</v>
      </c>
      <c r="K29">
        <v>15.35620625</v>
      </c>
      <c r="L29">
        <v>0.3</v>
      </c>
      <c r="M29">
        <v>55478330.850000009</v>
      </c>
      <c r="N29">
        <v>15.35620625</v>
      </c>
    </row>
    <row r="30" spans="1:14" x14ac:dyDescent="0.25">
      <c r="A30" t="s">
        <v>54</v>
      </c>
      <c r="B30" t="s">
        <v>114</v>
      </c>
      <c r="C30" t="s">
        <v>128</v>
      </c>
      <c r="D30">
        <v>179363695</v>
      </c>
      <c r="E30">
        <v>0.85</v>
      </c>
      <c r="F30">
        <v>1</v>
      </c>
      <c r="G30" t="s">
        <v>178</v>
      </c>
      <c r="H30">
        <v>1</v>
      </c>
      <c r="I30">
        <v>27.12</v>
      </c>
      <c r="J30">
        <v>26.96</v>
      </c>
      <c r="K30">
        <v>15.546765629999999</v>
      </c>
      <c r="L30">
        <v>0.85000000000000009</v>
      </c>
      <c r="M30">
        <v>41102984.346199997</v>
      </c>
      <c r="N30">
        <v>15.546765629999999</v>
      </c>
    </row>
    <row r="31" spans="1:14" x14ac:dyDescent="0.25">
      <c r="A31" t="s">
        <v>22</v>
      </c>
      <c r="B31" t="s">
        <v>82</v>
      </c>
      <c r="C31" t="s">
        <v>128</v>
      </c>
      <c r="D31">
        <v>736314789</v>
      </c>
      <c r="E31">
        <v>0.95000000000000007</v>
      </c>
      <c r="F31">
        <v>1</v>
      </c>
      <c r="G31" t="s">
        <v>179</v>
      </c>
      <c r="H31">
        <v>1</v>
      </c>
      <c r="I31">
        <v>14.115</v>
      </c>
      <c r="J31">
        <v>12.984999999999999</v>
      </c>
      <c r="K31">
        <v>16.519187500000001</v>
      </c>
      <c r="L31">
        <v>0.95000000000000007</v>
      </c>
      <c r="M31">
        <v>90829951.584067494</v>
      </c>
      <c r="N31">
        <v>16.519187500000001</v>
      </c>
    </row>
    <row r="32" spans="1:14" x14ac:dyDescent="0.25">
      <c r="A32" t="s">
        <v>39</v>
      </c>
      <c r="B32" t="s">
        <v>99</v>
      </c>
      <c r="C32" t="s">
        <v>128</v>
      </c>
      <c r="D32">
        <v>533204913</v>
      </c>
      <c r="E32">
        <v>0.45</v>
      </c>
      <c r="F32">
        <v>1</v>
      </c>
      <c r="G32" t="s">
        <v>180</v>
      </c>
      <c r="H32">
        <v>1</v>
      </c>
      <c r="I32">
        <v>371.95</v>
      </c>
      <c r="J32">
        <v>361.5</v>
      </c>
      <c r="K32">
        <v>16.898518750000001</v>
      </c>
      <c r="L32">
        <v>0.45</v>
      </c>
      <c r="M32">
        <v>867391092.22275007</v>
      </c>
      <c r="N32">
        <v>16.898518750000001</v>
      </c>
    </row>
    <row r="33" spans="1:14" x14ac:dyDescent="0.25">
      <c r="A33" t="s">
        <v>65</v>
      </c>
      <c r="B33" t="s">
        <v>125</v>
      </c>
      <c r="C33" t="s">
        <v>128</v>
      </c>
      <c r="D33">
        <v>244633504</v>
      </c>
      <c r="E33">
        <v>0.9</v>
      </c>
      <c r="F33">
        <v>1</v>
      </c>
      <c r="G33" t="s">
        <v>181</v>
      </c>
      <c r="H33">
        <v>1</v>
      </c>
      <c r="I33">
        <v>11.365</v>
      </c>
      <c r="J33">
        <v>10.505000000000001</v>
      </c>
      <c r="K33">
        <v>17.29798662</v>
      </c>
      <c r="L33">
        <v>0.9</v>
      </c>
      <c r="M33">
        <v>23128874.635680001</v>
      </c>
      <c r="N33">
        <v>17.29798662</v>
      </c>
    </row>
    <row r="34" spans="1:14" x14ac:dyDescent="0.25">
      <c r="A34" t="s">
        <v>45</v>
      </c>
      <c r="B34" t="s">
        <v>105</v>
      </c>
      <c r="C34" t="s">
        <v>128</v>
      </c>
      <c r="D34">
        <v>252269195</v>
      </c>
      <c r="E34">
        <v>0.8</v>
      </c>
      <c r="F34">
        <v>1</v>
      </c>
      <c r="G34" t="s">
        <v>182</v>
      </c>
      <c r="H34">
        <v>1</v>
      </c>
      <c r="I34">
        <v>75.459999999999994</v>
      </c>
      <c r="J34">
        <v>81.22</v>
      </c>
      <c r="K34">
        <v>17.4401975</v>
      </c>
      <c r="L34">
        <v>0.8</v>
      </c>
      <c r="M34">
        <v>163914432.14320001</v>
      </c>
      <c r="N34">
        <v>17.4401975</v>
      </c>
    </row>
    <row r="35" spans="1:14" x14ac:dyDescent="0.25">
      <c r="A35" t="s">
        <v>44</v>
      </c>
      <c r="B35" t="s">
        <v>104</v>
      </c>
      <c r="C35" t="s">
        <v>128</v>
      </c>
      <c r="D35">
        <v>2660056599</v>
      </c>
      <c r="E35">
        <v>0.65</v>
      </c>
      <c r="F35">
        <v>1</v>
      </c>
      <c r="G35" t="s">
        <v>183</v>
      </c>
      <c r="H35">
        <v>1</v>
      </c>
      <c r="I35">
        <v>13.734999999999999</v>
      </c>
      <c r="J35">
        <v>13.945</v>
      </c>
      <c r="K35">
        <v>17.560700000000001</v>
      </c>
      <c r="L35">
        <v>0.65</v>
      </c>
      <c r="M35">
        <v>241114180.27485749</v>
      </c>
      <c r="N35">
        <v>17.560700000000001</v>
      </c>
    </row>
    <row r="36" spans="1:14" x14ac:dyDescent="0.25">
      <c r="A36" t="s">
        <v>31</v>
      </c>
      <c r="B36" t="s">
        <v>91</v>
      </c>
      <c r="C36" t="s">
        <v>128</v>
      </c>
      <c r="D36">
        <v>182163000</v>
      </c>
      <c r="E36">
        <v>0.65</v>
      </c>
      <c r="F36">
        <v>1</v>
      </c>
      <c r="G36" t="s">
        <v>184</v>
      </c>
      <c r="H36">
        <v>1</v>
      </c>
      <c r="I36">
        <v>57.46</v>
      </c>
      <c r="J36">
        <v>57.78</v>
      </c>
      <c r="K36">
        <v>17.61841875</v>
      </c>
      <c r="L36">
        <v>0.65</v>
      </c>
      <c r="M36">
        <v>68414957.909999996</v>
      </c>
      <c r="N36">
        <v>17.61841875</v>
      </c>
    </row>
    <row r="37" spans="1:14" x14ac:dyDescent="0.25">
      <c r="A37" t="s">
        <v>23</v>
      </c>
      <c r="B37" t="s">
        <v>83</v>
      </c>
      <c r="C37" t="s">
        <v>128</v>
      </c>
      <c r="D37">
        <v>3025902350</v>
      </c>
      <c r="E37">
        <v>0.3</v>
      </c>
      <c r="F37">
        <v>1</v>
      </c>
      <c r="G37" t="s">
        <v>185</v>
      </c>
      <c r="H37">
        <v>1</v>
      </c>
      <c r="I37">
        <v>17.28</v>
      </c>
      <c r="J37">
        <v>16.100000000000001</v>
      </c>
      <c r="K37">
        <v>17.679375</v>
      </c>
      <c r="L37">
        <v>0.3</v>
      </c>
      <c r="M37">
        <v>146151083.505</v>
      </c>
      <c r="N37">
        <v>17.679375</v>
      </c>
    </row>
    <row r="38" spans="1:14" x14ac:dyDescent="0.25">
      <c r="A38" t="s">
        <v>50</v>
      </c>
      <c r="B38" t="s">
        <v>110</v>
      </c>
      <c r="C38" t="s">
        <v>128</v>
      </c>
      <c r="D38">
        <v>499063699</v>
      </c>
      <c r="E38">
        <v>0.9</v>
      </c>
      <c r="F38">
        <v>1</v>
      </c>
      <c r="G38" t="s">
        <v>186</v>
      </c>
      <c r="H38">
        <v>1</v>
      </c>
      <c r="I38">
        <v>87.14</v>
      </c>
      <c r="J38">
        <v>81.3</v>
      </c>
      <c r="K38">
        <v>18.306936610000001</v>
      </c>
      <c r="L38">
        <v>0.9</v>
      </c>
      <c r="M38">
        <v>365164908.55830002</v>
      </c>
      <c r="N38">
        <v>18.306936610000001</v>
      </c>
    </row>
    <row r="39" spans="1:14" x14ac:dyDescent="0.25">
      <c r="A39" t="s">
        <v>47</v>
      </c>
      <c r="B39" t="s">
        <v>107</v>
      </c>
      <c r="C39" t="s">
        <v>128</v>
      </c>
      <c r="D39">
        <v>295722284</v>
      </c>
      <c r="E39">
        <v>0.65</v>
      </c>
      <c r="F39">
        <v>1</v>
      </c>
      <c r="G39" t="s">
        <v>187</v>
      </c>
      <c r="H39">
        <v>1</v>
      </c>
      <c r="I39">
        <v>36.25</v>
      </c>
      <c r="J39">
        <v>34.32</v>
      </c>
      <c r="K39">
        <v>18.861249999999998</v>
      </c>
      <c r="L39">
        <v>0.65</v>
      </c>
      <c r="M39">
        <v>65969727.114720002</v>
      </c>
      <c r="N39">
        <v>18.861249999999998</v>
      </c>
    </row>
    <row r="40" spans="1:14" x14ac:dyDescent="0.25">
      <c r="A40" t="s">
        <v>13</v>
      </c>
      <c r="B40" t="s">
        <v>73</v>
      </c>
      <c r="C40" t="s">
        <v>128</v>
      </c>
      <c r="D40">
        <v>205419262</v>
      </c>
      <c r="E40">
        <v>0.3</v>
      </c>
      <c r="F40">
        <v>1</v>
      </c>
      <c r="G40" t="s">
        <v>188</v>
      </c>
      <c r="H40">
        <v>1</v>
      </c>
      <c r="I40">
        <v>67</v>
      </c>
      <c r="J40">
        <v>66.25</v>
      </c>
      <c r="K40">
        <v>19.534512500000002</v>
      </c>
      <c r="L40">
        <v>0.3</v>
      </c>
      <c r="M40">
        <v>40827078.322500013</v>
      </c>
      <c r="N40">
        <v>19.534512500000002</v>
      </c>
    </row>
    <row r="41" spans="1:14" x14ac:dyDescent="0.25">
      <c r="A41" t="s">
        <v>8</v>
      </c>
      <c r="B41" t="s">
        <v>68</v>
      </c>
      <c r="C41" t="s">
        <v>128</v>
      </c>
      <c r="D41">
        <v>245000143</v>
      </c>
      <c r="E41">
        <v>0.75</v>
      </c>
      <c r="F41">
        <v>1</v>
      </c>
      <c r="G41" t="s">
        <v>189</v>
      </c>
      <c r="H41">
        <v>1</v>
      </c>
      <c r="I41">
        <v>46.2</v>
      </c>
      <c r="J41">
        <v>45.58</v>
      </c>
      <c r="K41">
        <v>19.652875000000002</v>
      </c>
      <c r="L41">
        <v>0.75</v>
      </c>
      <c r="M41">
        <v>83753298.884550005</v>
      </c>
      <c r="N41">
        <v>19.652875000000002</v>
      </c>
    </row>
    <row r="42" spans="1:14" x14ac:dyDescent="0.25">
      <c r="A42" t="s">
        <v>60</v>
      </c>
      <c r="B42" t="s">
        <v>120</v>
      </c>
      <c r="C42" t="s">
        <v>128</v>
      </c>
      <c r="D42">
        <v>178378708</v>
      </c>
      <c r="E42">
        <v>0.75</v>
      </c>
      <c r="F42">
        <v>1</v>
      </c>
      <c r="G42" t="s">
        <v>190</v>
      </c>
      <c r="H42">
        <v>1</v>
      </c>
      <c r="I42">
        <v>32.479999999999997</v>
      </c>
      <c r="J42">
        <v>33.56</v>
      </c>
      <c r="K42">
        <v>19.75210315</v>
      </c>
      <c r="L42">
        <v>0.75</v>
      </c>
      <c r="M42">
        <v>44897920.803600013</v>
      </c>
      <c r="N42">
        <v>19.75210315</v>
      </c>
    </row>
    <row r="43" spans="1:14" x14ac:dyDescent="0.25">
      <c r="A43" t="s">
        <v>11</v>
      </c>
      <c r="B43" t="s">
        <v>71</v>
      </c>
      <c r="C43" t="s">
        <v>128</v>
      </c>
      <c r="D43">
        <v>792283683</v>
      </c>
      <c r="E43">
        <v>0.75</v>
      </c>
      <c r="F43">
        <v>1</v>
      </c>
      <c r="G43" t="s">
        <v>191</v>
      </c>
      <c r="H43">
        <v>1</v>
      </c>
      <c r="I43">
        <v>193.28</v>
      </c>
      <c r="J43">
        <v>202.75</v>
      </c>
      <c r="K43">
        <v>20.33301788</v>
      </c>
      <c r="L43">
        <v>0.75</v>
      </c>
      <c r="M43">
        <v>1204766375.461875</v>
      </c>
      <c r="N43">
        <v>20.33301788</v>
      </c>
    </row>
    <row r="44" spans="1:14" x14ac:dyDescent="0.25">
      <c r="A44" t="s">
        <v>9</v>
      </c>
      <c r="B44" t="s">
        <v>69</v>
      </c>
      <c r="C44" t="s">
        <v>128</v>
      </c>
      <c r="D44">
        <v>98960602</v>
      </c>
      <c r="E44">
        <v>0.3</v>
      </c>
      <c r="F44">
        <v>1</v>
      </c>
      <c r="G44" t="s">
        <v>192</v>
      </c>
      <c r="H44">
        <v>1</v>
      </c>
      <c r="I44">
        <v>130.19999999999999</v>
      </c>
      <c r="J44">
        <v>120.5</v>
      </c>
      <c r="K44">
        <v>20.39825063</v>
      </c>
      <c r="L44">
        <v>0.3</v>
      </c>
      <c r="M44">
        <v>35774257.623000003</v>
      </c>
      <c r="N44">
        <v>20.39825063</v>
      </c>
    </row>
    <row r="45" spans="1:14" x14ac:dyDescent="0.25">
      <c r="A45" t="s">
        <v>17</v>
      </c>
      <c r="B45" t="s">
        <v>77</v>
      </c>
      <c r="C45" t="s">
        <v>128</v>
      </c>
      <c r="D45">
        <v>118361220</v>
      </c>
      <c r="E45">
        <v>0.4</v>
      </c>
      <c r="F45">
        <v>1</v>
      </c>
      <c r="G45" t="s">
        <v>193</v>
      </c>
      <c r="H45">
        <v>1</v>
      </c>
      <c r="I45">
        <v>106.5</v>
      </c>
      <c r="J45">
        <v>107.7</v>
      </c>
      <c r="K45">
        <v>20.43776875</v>
      </c>
      <c r="L45">
        <v>0.4</v>
      </c>
      <c r="M45">
        <v>50990013.576000012</v>
      </c>
      <c r="N45">
        <v>20.43776875</v>
      </c>
    </row>
    <row r="46" spans="1:14" x14ac:dyDescent="0.25">
      <c r="A46" t="s">
        <v>12</v>
      </c>
      <c r="B46" t="s">
        <v>72</v>
      </c>
      <c r="C46" t="s">
        <v>128</v>
      </c>
      <c r="D46">
        <v>462029966</v>
      </c>
      <c r="E46">
        <v>0.75</v>
      </c>
      <c r="F46">
        <v>1</v>
      </c>
      <c r="G46" t="s">
        <v>194</v>
      </c>
      <c r="H46">
        <v>1</v>
      </c>
      <c r="I46">
        <v>24.13</v>
      </c>
      <c r="J46">
        <v>22.48</v>
      </c>
      <c r="K46">
        <v>20.620465630000002</v>
      </c>
      <c r="L46">
        <v>0.75</v>
      </c>
      <c r="M46">
        <v>77898252.2676</v>
      </c>
      <c r="N46">
        <v>20.620465630000002</v>
      </c>
    </row>
    <row r="47" spans="1:14" x14ac:dyDescent="0.25">
      <c r="A47" t="s">
        <v>58</v>
      </c>
      <c r="B47" t="s">
        <v>118</v>
      </c>
      <c r="C47" t="s">
        <v>128</v>
      </c>
      <c r="D47">
        <v>2896073567</v>
      </c>
      <c r="E47">
        <v>0.7</v>
      </c>
      <c r="F47">
        <v>1</v>
      </c>
      <c r="G47" t="s">
        <v>195</v>
      </c>
      <c r="H47">
        <v>1</v>
      </c>
      <c r="I47">
        <v>10.02</v>
      </c>
      <c r="J47">
        <v>8.4529999999999994</v>
      </c>
      <c r="K47">
        <v>21.399206249999999</v>
      </c>
      <c r="L47">
        <v>0.70000000000000007</v>
      </c>
      <c r="M47">
        <v>171363569.03295699</v>
      </c>
      <c r="N47">
        <v>21.399206249999999</v>
      </c>
    </row>
    <row r="48" spans="1:14" x14ac:dyDescent="0.25">
      <c r="A48" t="s">
        <v>66</v>
      </c>
      <c r="B48" t="s">
        <v>126</v>
      </c>
      <c r="C48" t="s">
        <v>128</v>
      </c>
      <c r="D48">
        <v>741723437</v>
      </c>
      <c r="E48">
        <v>0.9</v>
      </c>
      <c r="F48">
        <v>1</v>
      </c>
      <c r="G48" t="s">
        <v>196</v>
      </c>
      <c r="H48">
        <v>1</v>
      </c>
      <c r="I48">
        <v>29.38</v>
      </c>
      <c r="J48">
        <v>28.5</v>
      </c>
      <c r="K48">
        <v>21.559280000000001</v>
      </c>
      <c r="L48">
        <v>0.85000000000000009</v>
      </c>
      <c r="M48">
        <v>179682502.61324999</v>
      </c>
      <c r="N48">
        <v>21.559280000000001</v>
      </c>
    </row>
    <row r="49" spans="1:14" x14ac:dyDescent="0.25">
      <c r="A49" t="s">
        <v>35</v>
      </c>
      <c r="B49" t="s">
        <v>95</v>
      </c>
      <c r="C49" t="s">
        <v>128</v>
      </c>
      <c r="D49">
        <v>37117772</v>
      </c>
      <c r="E49">
        <v>1</v>
      </c>
      <c r="F49">
        <v>1</v>
      </c>
      <c r="G49" t="s">
        <v>197</v>
      </c>
      <c r="H49">
        <v>1</v>
      </c>
      <c r="I49">
        <v>159.80000000000001</v>
      </c>
      <c r="J49">
        <v>171.5</v>
      </c>
      <c r="K49">
        <v>21.917621950000001</v>
      </c>
      <c r="L49">
        <v>1</v>
      </c>
      <c r="M49">
        <v>63656978.979999997</v>
      </c>
      <c r="N49">
        <v>21.917621950000001</v>
      </c>
    </row>
    <row r="50" spans="1:14" x14ac:dyDescent="0.25">
      <c r="A50" t="s">
        <v>43</v>
      </c>
      <c r="B50" t="s">
        <v>103</v>
      </c>
      <c r="C50" t="s">
        <v>128</v>
      </c>
      <c r="D50">
        <v>43744779</v>
      </c>
      <c r="E50">
        <v>0.8</v>
      </c>
      <c r="F50">
        <v>1</v>
      </c>
      <c r="G50" t="s">
        <v>198</v>
      </c>
      <c r="H50">
        <v>1</v>
      </c>
      <c r="I50">
        <v>126</v>
      </c>
      <c r="J50">
        <v>119.6</v>
      </c>
      <c r="K50">
        <v>22.634561519999998</v>
      </c>
      <c r="L50">
        <v>0.85000000000000009</v>
      </c>
      <c r="M50">
        <v>44470942.331400007</v>
      </c>
      <c r="N50">
        <v>22.634561519999998</v>
      </c>
    </row>
    <row r="51" spans="1:14" x14ac:dyDescent="0.25">
      <c r="A51" t="s">
        <v>15</v>
      </c>
      <c r="B51" t="s">
        <v>75</v>
      </c>
      <c r="C51" t="s">
        <v>128</v>
      </c>
      <c r="D51">
        <v>76060831</v>
      </c>
      <c r="E51">
        <v>0.75</v>
      </c>
      <c r="F51">
        <v>1</v>
      </c>
      <c r="G51" t="s">
        <v>199</v>
      </c>
      <c r="H51">
        <v>1</v>
      </c>
      <c r="I51">
        <v>53.2</v>
      </c>
      <c r="J51">
        <v>50.85</v>
      </c>
      <c r="K51">
        <v>22.721599999999999</v>
      </c>
      <c r="L51">
        <v>0.70000000000000007</v>
      </c>
      <c r="M51">
        <v>27073852.79445</v>
      </c>
      <c r="N51">
        <v>22.721599999999999</v>
      </c>
    </row>
    <row r="52" spans="1:14" x14ac:dyDescent="0.25">
      <c r="A52" t="s">
        <v>29</v>
      </c>
      <c r="B52" t="s">
        <v>89</v>
      </c>
      <c r="C52" t="s">
        <v>128</v>
      </c>
      <c r="D52">
        <v>2435285011</v>
      </c>
      <c r="E52">
        <v>0.75</v>
      </c>
      <c r="F52">
        <v>1</v>
      </c>
      <c r="G52" t="s">
        <v>200</v>
      </c>
      <c r="H52">
        <v>1</v>
      </c>
      <c r="I52">
        <v>21.46</v>
      </c>
      <c r="J52">
        <v>21.62</v>
      </c>
      <c r="K52">
        <v>22.7907175</v>
      </c>
      <c r="L52">
        <v>0.75</v>
      </c>
      <c r="M52">
        <v>394881464.53364998</v>
      </c>
      <c r="N52">
        <v>22.7907175</v>
      </c>
    </row>
    <row r="53" spans="1:14" x14ac:dyDescent="0.25">
      <c r="A53" t="s">
        <v>67</v>
      </c>
      <c r="B53" t="s">
        <v>127</v>
      </c>
      <c r="C53" t="s">
        <v>128</v>
      </c>
      <c r="D53">
        <v>582866757</v>
      </c>
      <c r="E53">
        <v>0.9</v>
      </c>
      <c r="F53">
        <v>1</v>
      </c>
      <c r="G53" t="s">
        <v>201</v>
      </c>
      <c r="H53">
        <v>1</v>
      </c>
      <c r="I53">
        <v>119.8</v>
      </c>
      <c r="J53">
        <v>119.2</v>
      </c>
      <c r="K53">
        <v>23.81601165</v>
      </c>
      <c r="L53">
        <v>0.9</v>
      </c>
      <c r="M53">
        <v>625299456.90960002</v>
      </c>
      <c r="N53">
        <v>23.81601165</v>
      </c>
    </row>
    <row r="54" spans="1:14" x14ac:dyDescent="0.25">
      <c r="A54" t="s">
        <v>56</v>
      </c>
      <c r="B54" t="s">
        <v>116</v>
      </c>
      <c r="C54" t="s">
        <v>128</v>
      </c>
      <c r="D54">
        <v>147454887</v>
      </c>
      <c r="E54">
        <v>0.55000000000000004</v>
      </c>
      <c r="F54">
        <v>1</v>
      </c>
      <c r="G54" t="s">
        <v>202</v>
      </c>
      <c r="H54">
        <v>1</v>
      </c>
      <c r="I54">
        <v>45.18</v>
      </c>
      <c r="J54">
        <v>47.24</v>
      </c>
      <c r="K54">
        <v>24.310162500000001</v>
      </c>
      <c r="L54">
        <v>0.55000000000000004</v>
      </c>
      <c r="M54">
        <v>38311728.740340002</v>
      </c>
      <c r="N54">
        <v>24.310162500000001</v>
      </c>
    </row>
    <row r="55" spans="1:14" x14ac:dyDescent="0.25">
      <c r="A55" t="s">
        <v>63</v>
      </c>
      <c r="B55" t="s">
        <v>123</v>
      </c>
      <c r="C55" t="s">
        <v>128</v>
      </c>
      <c r="D55">
        <v>2281206254</v>
      </c>
      <c r="E55">
        <v>0.9</v>
      </c>
      <c r="F55">
        <v>1</v>
      </c>
      <c r="G55" t="s">
        <v>203</v>
      </c>
      <c r="H55">
        <v>1</v>
      </c>
      <c r="I55">
        <v>55.84</v>
      </c>
      <c r="J55">
        <v>55.97</v>
      </c>
      <c r="K55">
        <v>24.461062500000001</v>
      </c>
      <c r="L55">
        <v>0.9</v>
      </c>
      <c r="M55">
        <v>1149112026.32742</v>
      </c>
      <c r="N55">
        <v>24.461062500000001</v>
      </c>
    </row>
    <row r="56" spans="1:14" x14ac:dyDescent="0.25">
      <c r="A56" t="s">
        <v>62</v>
      </c>
      <c r="B56" t="s">
        <v>122</v>
      </c>
      <c r="C56" t="s">
        <v>128</v>
      </c>
      <c r="D56">
        <v>205941913</v>
      </c>
      <c r="E56">
        <v>0.45</v>
      </c>
      <c r="F56">
        <v>1</v>
      </c>
      <c r="G56" t="s">
        <v>204</v>
      </c>
      <c r="H56">
        <v>1</v>
      </c>
      <c r="I56">
        <v>228.4</v>
      </c>
      <c r="J56">
        <v>226.9</v>
      </c>
      <c r="K56">
        <v>26.521620110000001</v>
      </c>
      <c r="L56">
        <v>0.45</v>
      </c>
      <c r="M56">
        <v>210276990.26865</v>
      </c>
      <c r="N56">
        <v>26.521620110000001</v>
      </c>
    </row>
    <row r="57" spans="1:14" x14ac:dyDescent="0.25">
      <c r="A57" t="s">
        <v>49</v>
      </c>
      <c r="B57" t="s">
        <v>109</v>
      </c>
      <c r="C57" t="s">
        <v>128</v>
      </c>
      <c r="D57">
        <v>423632587</v>
      </c>
      <c r="E57">
        <v>0.75</v>
      </c>
      <c r="F57">
        <v>1</v>
      </c>
      <c r="G57" t="s">
        <v>205</v>
      </c>
      <c r="H57">
        <v>1</v>
      </c>
      <c r="I57">
        <v>291.3</v>
      </c>
      <c r="J57">
        <v>289.39999999999998</v>
      </c>
      <c r="K57">
        <v>27.085362450000002</v>
      </c>
      <c r="L57">
        <v>0.75</v>
      </c>
      <c r="M57">
        <v>919494530.08349991</v>
      </c>
      <c r="N57">
        <v>27.085362450000002</v>
      </c>
    </row>
    <row r="58" spans="1:14" x14ac:dyDescent="0.25">
      <c r="A58" t="s">
        <v>28</v>
      </c>
      <c r="B58" t="s">
        <v>88</v>
      </c>
      <c r="C58" t="s">
        <v>128</v>
      </c>
      <c r="D58">
        <v>98000000</v>
      </c>
      <c r="E58">
        <v>0.75</v>
      </c>
      <c r="F58">
        <v>1</v>
      </c>
      <c r="G58" t="s">
        <v>206</v>
      </c>
      <c r="H58">
        <v>1</v>
      </c>
      <c r="I58">
        <v>121.4</v>
      </c>
      <c r="J58">
        <v>112.45</v>
      </c>
      <c r="K58">
        <v>27.247233510000001</v>
      </c>
      <c r="L58">
        <v>0.75</v>
      </c>
      <c r="M58">
        <v>82650750</v>
      </c>
      <c r="N58">
        <v>27.247233510000001</v>
      </c>
    </row>
    <row r="59" spans="1:14" x14ac:dyDescent="0.25">
      <c r="A59" t="s">
        <v>14</v>
      </c>
      <c r="B59" t="s">
        <v>74</v>
      </c>
      <c r="C59" t="s">
        <v>129</v>
      </c>
      <c r="D59">
        <v>852809772</v>
      </c>
      <c r="E59">
        <v>0.5</v>
      </c>
      <c r="F59">
        <v>1</v>
      </c>
      <c r="G59" t="s">
        <v>207</v>
      </c>
      <c r="H59">
        <v>1</v>
      </c>
      <c r="I59">
        <v>38.43</v>
      </c>
      <c r="J59">
        <v>34.049999999999997</v>
      </c>
      <c r="K59">
        <v>28.544374999999999</v>
      </c>
      <c r="L59">
        <v>0.5</v>
      </c>
      <c r="M59">
        <v>145190863.683</v>
      </c>
      <c r="N59">
        <v>28.544374999999999</v>
      </c>
    </row>
    <row r="60" spans="1:14" x14ac:dyDescent="0.25">
      <c r="A60" t="s">
        <v>25</v>
      </c>
      <c r="B60" t="s">
        <v>85</v>
      </c>
      <c r="C60" t="s">
        <v>128</v>
      </c>
      <c r="D60">
        <v>78397034</v>
      </c>
      <c r="E60">
        <v>0.25</v>
      </c>
      <c r="F60">
        <v>1</v>
      </c>
      <c r="G60" t="s">
        <v>208</v>
      </c>
      <c r="H60">
        <v>1</v>
      </c>
      <c r="I60">
        <v>270.2</v>
      </c>
      <c r="J60">
        <v>265.8</v>
      </c>
      <c r="K60">
        <v>31.245790629999998</v>
      </c>
      <c r="L60">
        <v>0.25</v>
      </c>
      <c r="M60">
        <v>52094829.093000002</v>
      </c>
      <c r="N60">
        <v>31.245790629999998</v>
      </c>
    </row>
    <row r="61" spans="1:14" x14ac:dyDescent="0.25">
      <c r="A61" t="s">
        <v>19</v>
      </c>
      <c r="B61" t="s">
        <v>79</v>
      </c>
      <c r="C61" t="s">
        <v>128</v>
      </c>
      <c r="D61">
        <v>383229919</v>
      </c>
      <c r="E61">
        <v>0.5</v>
      </c>
      <c r="F61">
        <v>1</v>
      </c>
      <c r="G61" t="s">
        <v>209</v>
      </c>
      <c r="H61">
        <v>1</v>
      </c>
      <c r="I61">
        <v>43.36</v>
      </c>
      <c r="J61">
        <v>41.75</v>
      </c>
      <c r="K61">
        <v>31.68472637</v>
      </c>
      <c r="L61">
        <v>0.5</v>
      </c>
      <c r="M61">
        <v>79999245.591250002</v>
      </c>
      <c r="N61">
        <v>31.68472637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2025-12-16T10:48:01Z</dcterms:created>
  <dcterms:modified xsi:type="dcterms:W3CDTF">2025-12-16T10:54:48Z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2025-12-16T10:49:55Z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8df8be8f-5cb7-4766-a910-5737a50a16a7</vt:lpwstr>
  </property>
  <property fmtid="{D5CDD505-2E9C-101B-9397-08002B2CF9AE}" pid="8" name="MSIP_Label_ac0b9ce6-6e99-42a1-af95-429494370cbc_ContentBits">
    <vt:lpwstr>2</vt:lpwstr>
  </property>
</Properties>
</file>