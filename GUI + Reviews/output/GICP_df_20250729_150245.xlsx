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4" documentId="11_7EAFFA620BD56056E10BA44806F40F4157C1B925" xr6:coauthVersionLast="47" xr6:coauthVersionMax="47" xr10:uidLastSave="{4B89E7E3-8AAB-477E-AD39-F082F595E7C2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definedNames>
    <definedName name="_xlnm._FilterDatabase" localSheetId="4" hidden="1">selection!$A$1:$AB$31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5" l="1"/>
  <c r="X2" i="5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<sst xmlns="http://schemas.openxmlformats.org/spreadsheetml/2006/main" count="12814" uniqueCount="4856">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</sst>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6.153666956418018</v>
      </c>
      <c r="G2" t="s">
        <v>75</v>
      </c>
      <c r="H2" t="s">
        <v>76</v>
      </c>
      <c r="I2">
        <f>F2/MAX($F$2:$F$31)</f>
        <v>0.99999999999999967</v>
      </c>
    </row>
    <row r="3" spans="1:9" x14ac:dyDescent="0.25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0.44321469074097941</v>
      </c>
      <c r="G3" t="s">
        <v>75</v>
      </c>
      <c r="H3" t="s">
        <v>77</v>
      </c>
      <c r="I3">
        <f t="shared" ref="I3:I31" si="0">F3/MAX($F$2:$F$31)</f>
        <v>7.2024484568298713E-2</v>
      </c>
    </row>
    <row r="4" spans="1:9" x14ac:dyDescent="0.25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0.44321469074097919</v>
      </c>
      <c r="G4" t="s">
        <v>75</v>
      </c>
      <c r="H4" t="s">
        <v>77</v>
      </c>
      <c r="I4">
        <f t="shared" si="0"/>
        <v>7.2024484568298686E-2</v>
      </c>
    </row>
    <row r="5" spans="1:9" x14ac:dyDescent="0.25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0.44321469074097919</v>
      </c>
      <c r="G5" t="s">
        <v>75</v>
      </c>
      <c r="H5" t="s">
        <v>77</v>
      </c>
      <c r="I5">
        <f t="shared" si="0"/>
        <v>7.2024484568298686E-2</v>
      </c>
    </row>
    <row r="6" spans="1:9" x14ac:dyDescent="0.25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6.153666956418018</v>
      </c>
      <c r="G6" t="s">
        <v>75</v>
      </c>
      <c r="H6" t="s">
        <v>76</v>
      </c>
      <c r="I6">
        <f t="shared" si="0"/>
        <v>0.99999999999999967</v>
      </c>
    </row>
    <row r="7" spans="1:9" x14ac:dyDescent="0.25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6.1536669564180198</v>
      </c>
      <c r="G7" t="s">
        <v>75</v>
      </c>
      <c r="H7" t="s">
        <v>76</v>
      </c>
      <c r="I7">
        <f t="shared" si="0"/>
        <v>1</v>
      </c>
    </row>
    <row r="8" spans="1:9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6.1536669564180189</v>
      </c>
      <c r="G8" t="s">
        <v>75</v>
      </c>
      <c r="H8" t="s">
        <v>76</v>
      </c>
      <c r="I8">
        <f t="shared" si="0"/>
        <v>0.99999999999999989</v>
      </c>
    </row>
    <row r="9" spans="1:9" x14ac:dyDescent="0.25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6.153666956418018</v>
      </c>
      <c r="G9" t="s">
        <v>75</v>
      </c>
      <c r="H9" t="s">
        <v>76</v>
      </c>
      <c r="I9">
        <f t="shared" si="0"/>
        <v>0.99999999999999967</v>
      </c>
    </row>
    <row r="10" spans="1:9" x14ac:dyDescent="0.25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0.44321469074097919</v>
      </c>
      <c r="G10" t="s">
        <v>75</v>
      </c>
      <c r="H10" t="s">
        <v>77</v>
      </c>
      <c r="I10">
        <f t="shared" si="0"/>
        <v>7.2024484568298686E-2</v>
      </c>
    </row>
    <row r="11" spans="1:9" x14ac:dyDescent="0.25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0.44321469074097919</v>
      </c>
      <c r="G11" t="s">
        <v>75</v>
      </c>
      <c r="H11" t="s">
        <v>77</v>
      </c>
      <c r="I11">
        <f t="shared" si="0"/>
        <v>7.2024484568298686E-2</v>
      </c>
    </row>
    <row r="12" spans="1:9" x14ac:dyDescent="0.25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6.153666956418018</v>
      </c>
      <c r="G12" t="s">
        <v>75</v>
      </c>
      <c r="H12" t="s">
        <v>76</v>
      </c>
      <c r="I12">
        <f t="shared" si="0"/>
        <v>0.99999999999999967</v>
      </c>
    </row>
    <row r="13" spans="1:9" x14ac:dyDescent="0.25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0.44321469074097941</v>
      </c>
      <c r="G13" t="s">
        <v>75</v>
      </c>
      <c r="H13" t="s">
        <v>77</v>
      </c>
      <c r="I13">
        <f t="shared" si="0"/>
        <v>7.2024484568298713E-2</v>
      </c>
    </row>
    <row r="14" spans="1:9" x14ac:dyDescent="0.25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0.44321469074097919</v>
      </c>
      <c r="G14" t="s">
        <v>75</v>
      </c>
      <c r="H14" t="s">
        <v>77</v>
      </c>
      <c r="I14">
        <f t="shared" si="0"/>
        <v>7.2024484568298686E-2</v>
      </c>
    </row>
    <row r="15" spans="1:9" x14ac:dyDescent="0.25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6.153666956418018</v>
      </c>
      <c r="G15" t="s">
        <v>75</v>
      </c>
      <c r="H15" t="s">
        <v>76</v>
      </c>
      <c r="I15">
        <f t="shared" si="0"/>
        <v>0.99999999999999967</v>
      </c>
    </row>
    <row r="16" spans="1:9" x14ac:dyDescent="0.25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6.1536669564180171</v>
      </c>
      <c r="G16" t="s">
        <v>75</v>
      </c>
      <c r="H16" t="s">
        <v>76</v>
      </c>
      <c r="I16">
        <f t="shared" si="0"/>
        <v>0.99999999999999956</v>
      </c>
    </row>
    <row r="17" spans="1:9" x14ac:dyDescent="0.25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0.44321469074097919</v>
      </c>
      <c r="G17" t="s">
        <v>75</v>
      </c>
      <c r="H17" t="s">
        <v>77</v>
      </c>
      <c r="I17">
        <f t="shared" si="0"/>
        <v>7.2024484568298686E-2</v>
      </c>
    </row>
    <row r="18" spans="1:9" x14ac:dyDescent="0.25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0.4432146907409793</v>
      </c>
      <c r="G18" t="s">
        <v>75</v>
      </c>
      <c r="H18" t="s">
        <v>77</v>
      </c>
      <c r="I18">
        <f t="shared" si="0"/>
        <v>7.2024484568298699E-2</v>
      </c>
    </row>
    <row r="19" spans="1:9" x14ac:dyDescent="0.25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0.44321469074097919</v>
      </c>
      <c r="G19" t="s">
        <v>75</v>
      </c>
      <c r="H19" t="s">
        <v>77</v>
      </c>
      <c r="I19">
        <f t="shared" si="0"/>
        <v>7.2024484568298686E-2</v>
      </c>
    </row>
    <row r="20" spans="1:9" x14ac:dyDescent="0.25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0.4432146907409793</v>
      </c>
      <c r="G20" t="s">
        <v>75</v>
      </c>
      <c r="H20" t="s">
        <v>77</v>
      </c>
      <c r="I20">
        <f t="shared" si="0"/>
        <v>7.2024484568298699E-2</v>
      </c>
    </row>
    <row r="21" spans="1:9" x14ac:dyDescent="0.25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0.4432146907409793</v>
      </c>
      <c r="G21" t="s">
        <v>75</v>
      </c>
      <c r="H21" t="s">
        <v>77</v>
      </c>
      <c r="I21">
        <f t="shared" si="0"/>
        <v>7.2024484568298699E-2</v>
      </c>
    </row>
    <row r="22" spans="1:9" x14ac:dyDescent="0.25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6.1536669564180198</v>
      </c>
      <c r="G22" t="s">
        <v>75</v>
      </c>
      <c r="H22" t="s">
        <v>76</v>
      </c>
      <c r="I22">
        <f t="shared" si="0"/>
        <v>1</v>
      </c>
    </row>
    <row r="23" spans="1:9" x14ac:dyDescent="0.25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6.153666956418018</v>
      </c>
      <c r="G23" t="s">
        <v>75</v>
      </c>
      <c r="H23" t="s">
        <v>76</v>
      </c>
      <c r="I23">
        <f t="shared" si="0"/>
        <v>0.99999999999999967</v>
      </c>
    </row>
    <row r="24" spans="1:9" x14ac:dyDescent="0.25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6.1536669564180189</v>
      </c>
      <c r="G24" t="s">
        <v>75</v>
      </c>
      <c r="H24" t="s">
        <v>76</v>
      </c>
      <c r="I24">
        <f t="shared" si="0"/>
        <v>0.99999999999999989</v>
      </c>
    </row>
    <row r="25" spans="1:9" x14ac:dyDescent="0.25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6.1536669564180189</v>
      </c>
      <c r="G25" t="s">
        <v>75</v>
      </c>
      <c r="H25" t="s">
        <v>76</v>
      </c>
      <c r="I25">
        <f t="shared" si="0"/>
        <v>0.99999999999999989</v>
      </c>
    </row>
    <row r="26" spans="1:9" x14ac:dyDescent="0.25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6.1536669564180189</v>
      </c>
      <c r="G26" t="s">
        <v>75</v>
      </c>
      <c r="H26" t="s">
        <v>76</v>
      </c>
      <c r="I26">
        <f t="shared" si="0"/>
        <v>0.99999999999999989</v>
      </c>
    </row>
    <row r="27" spans="1:9" x14ac:dyDescent="0.25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6.1536669564180189</v>
      </c>
      <c r="G27" t="s">
        <v>75</v>
      </c>
      <c r="H27" t="s">
        <v>76</v>
      </c>
      <c r="I27">
        <f t="shared" si="0"/>
        <v>0.99999999999999989</v>
      </c>
    </row>
    <row r="28" spans="1:9" x14ac:dyDescent="0.25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0.44321469074097919</v>
      </c>
      <c r="G28" t="s">
        <v>75</v>
      </c>
      <c r="H28" t="s">
        <v>77</v>
      </c>
      <c r="I28">
        <f t="shared" si="0"/>
        <v>7.2024484568298686E-2</v>
      </c>
    </row>
    <row r="29" spans="1:9" x14ac:dyDescent="0.25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6.1536669564180189</v>
      </c>
      <c r="G29" t="s">
        <v>75</v>
      </c>
      <c r="H29" t="s">
        <v>76</v>
      </c>
      <c r="I29">
        <f t="shared" si="0"/>
        <v>0.99999999999999989</v>
      </c>
    </row>
    <row r="30" spans="1:9" x14ac:dyDescent="0.25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0.4432146907409793</v>
      </c>
      <c r="G30" t="s">
        <v>75</v>
      </c>
      <c r="H30" t="s">
        <v>77</v>
      </c>
      <c r="I30">
        <f t="shared" si="0"/>
        <v>7.2024484568298699E-2</v>
      </c>
    </row>
    <row r="31" spans="1:9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0.44321469074097919</v>
      </c>
      <c r="G31" t="s">
        <v>75</v>
      </c>
      <c r="H31" t="s">
        <v>77</v>
      </c>
      <c r="I31">
        <f t="shared" si="0"/>
        <v>7.2024484568298686E-2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29</v>
      </c>
      <c r="B2" t="s">
        <v>59</v>
      </c>
      <c r="C2" t="s">
        <v>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80</v>
      </c>
      <c r="B2" t="s">
        <v>81</v>
      </c>
      <c r="C2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workbookViewId="0"/>
  </sheetViews>
  <sheetFormatPr defaultRowHeight="15" x14ac:dyDescent="0.25"/>
  <sheetData>
    <row r="1" spans="1:1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 x14ac:dyDescent="0.25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S2" t="b">
        <v>0</v>
      </c>
    </row>
    <row r="3" spans="1:19" x14ac:dyDescent="0.25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130.12469999999999</v>
      </c>
      <c r="H3" t="s">
        <v>77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Q3" t="s">
        <v>4848</v>
      </c>
      <c r="R3">
        <v>69</v>
      </c>
      <c r="S3" t="b">
        <v>0</v>
      </c>
    </row>
    <row r="4" spans="1:19" x14ac:dyDescent="0.25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S4" t="b">
        <v>0</v>
      </c>
    </row>
    <row r="5" spans="1:19" x14ac:dyDescent="0.25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S5" t="b">
        <v>0</v>
      </c>
    </row>
    <row r="6" spans="1:19" x14ac:dyDescent="0.25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2.2629999999999999</v>
      </c>
      <c r="H6" t="s">
        <v>76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x14ac:dyDescent="0.25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S7" t="b">
        <v>0</v>
      </c>
    </row>
    <row r="8" spans="1:19" x14ac:dyDescent="0.25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 x14ac:dyDescent="0.25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 x14ac:dyDescent="0.25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x14ac:dyDescent="0.25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S11" t="b">
        <v>0</v>
      </c>
    </row>
    <row r="12" spans="1:19" x14ac:dyDescent="0.25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S12" t="b">
        <v>0</v>
      </c>
    </row>
    <row r="13" spans="1:19" x14ac:dyDescent="0.25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x14ac:dyDescent="0.25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161.54079999999999</v>
      </c>
      <c r="H14" t="s">
        <v>77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x14ac:dyDescent="0.25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S15" t="b">
        <v>0</v>
      </c>
    </row>
    <row r="16" spans="1:19" x14ac:dyDescent="0.25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Q16" t="s">
        <v>4849</v>
      </c>
      <c r="R16">
        <v>59</v>
      </c>
      <c r="S16" t="b">
        <v>0</v>
      </c>
    </row>
    <row r="17" spans="1:19" x14ac:dyDescent="0.25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 x14ac:dyDescent="0.25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 x14ac:dyDescent="0.25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134.69999999999999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x14ac:dyDescent="0.25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Q20" t="s">
        <v>4849</v>
      </c>
      <c r="R20">
        <v>66</v>
      </c>
      <c r="S20" t="b">
        <v>0</v>
      </c>
    </row>
    <row r="21" spans="1:19" x14ac:dyDescent="0.25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x14ac:dyDescent="0.25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x14ac:dyDescent="0.25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S23" t="b">
        <v>0</v>
      </c>
    </row>
    <row r="24" spans="1:19" x14ac:dyDescent="0.25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S24" t="b">
        <v>0</v>
      </c>
    </row>
    <row r="25" spans="1:19" x14ac:dyDescent="0.25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 x14ac:dyDescent="0.25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S26" t="b">
        <v>0</v>
      </c>
    </row>
    <row r="27" spans="1:19" x14ac:dyDescent="0.25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359.37240000000003</v>
      </c>
      <c r="H27" t="s">
        <v>77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 x14ac:dyDescent="0.25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 x14ac:dyDescent="0.25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S29" t="b">
        <v>0</v>
      </c>
    </row>
    <row r="30" spans="1:19" x14ac:dyDescent="0.25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97.236549999999994</v>
      </c>
      <c r="H30" t="s">
        <v>77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 t="s">
        <v>4848</v>
      </c>
      <c r="R30">
        <v>29</v>
      </c>
      <c r="S30" t="b">
        <v>0</v>
      </c>
    </row>
    <row r="31" spans="1:19" x14ac:dyDescent="0.25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S31" t="b">
        <v>0</v>
      </c>
    </row>
    <row r="32" spans="1:19" x14ac:dyDescent="0.25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Q32" t="s">
        <v>4849</v>
      </c>
      <c r="R32">
        <v>21</v>
      </c>
      <c r="S32" t="b">
        <v>0</v>
      </c>
    </row>
    <row r="33" spans="1:19" x14ac:dyDescent="0.25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x14ac:dyDescent="0.25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6.1180000000000003</v>
      </c>
      <c r="H34" t="s">
        <v>76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x14ac:dyDescent="0.25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 x14ac:dyDescent="0.25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 x14ac:dyDescent="0.25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99.369739999999993</v>
      </c>
      <c r="H37" t="s">
        <v>77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Q37" t="s">
        <v>4848</v>
      </c>
      <c r="R37">
        <v>196</v>
      </c>
      <c r="S37" t="b">
        <v>0</v>
      </c>
    </row>
    <row r="38" spans="1:19" x14ac:dyDescent="0.25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90.378600000000006</v>
      </c>
      <c r="H38" t="s">
        <v>77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x14ac:dyDescent="0.25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x14ac:dyDescent="0.25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95.667500000000004</v>
      </c>
      <c r="H40" t="s">
        <v>77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x14ac:dyDescent="0.25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S41" t="b">
        <v>0</v>
      </c>
    </row>
    <row r="42" spans="1:19" x14ac:dyDescent="0.25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O42" t="s">
        <v>4846</v>
      </c>
      <c r="S42" t="b">
        <v>0</v>
      </c>
    </row>
    <row r="43" spans="1:19" x14ac:dyDescent="0.25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x14ac:dyDescent="0.25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S44" t="b">
        <v>0</v>
      </c>
    </row>
    <row r="45" spans="1:19" x14ac:dyDescent="0.25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6.5650000000000004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 x14ac:dyDescent="0.25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x14ac:dyDescent="0.25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237.85980000000001</v>
      </c>
      <c r="H47" t="s">
        <v>77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x14ac:dyDescent="0.25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S48" t="b">
        <v>0</v>
      </c>
    </row>
    <row r="49" spans="1:19" x14ac:dyDescent="0.25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 t="s">
        <v>4848</v>
      </c>
      <c r="R49">
        <v>95</v>
      </c>
      <c r="S49" t="b">
        <v>0</v>
      </c>
    </row>
    <row r="50" spans="1:19" x14ac:dyDescent="0.25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157.30000000000001</v>
      </c>
      <c r="H50" t="s">
        <v>76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Q50" t="s">
        <v>4849</v>
      </c>
      <c r="R50">
        <v>7</v>
      </c>
      <c r="S50" t="b">
        <v>1</v>
      </c>
    </row>
    <row r="51" spans="1:19" x14ac:dyDescent="0.25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S51" t="b">
        <v>0</v>
      </c>
    </row>
    <row r="52" spans="1:19" x14ac:dyDescent="0.25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 x14ac:dyDescent="0.25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S53" t="b">
        <v>0</v>
      </c>
    </row>
    <row r="54" spans="1:19" x14ac:dyDescent="0.25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 x14ac:dyDescent="0.25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x14ac:dyDescent="0.25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 x14ac:dyDescent="0.25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 x14ac:dyDescent="0.25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 x14ac:dyDescent="0.25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 x14ac:dyDescent="0.25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5.2549999999999999</v>
      </c>
      <c r="H60" t="s">
        <v>76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x14ac:dyDescent="0.25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x14ac:dyDescent="0.25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 x14ac:dyDescent="0.25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179.15289999999999</v>
      </c>
      <c r="H63" t="s">
        <v>77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x14ac:dyDescent="0.25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255.59520000000001</v>
      </c>
      <c r="H64" t="s">
        <v>77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148.50370000000001</v>
      </c>
      <c r="H65" t="s">
        <v>77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 x14ac:dyDescent="0.25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S66" t="b">
        <v>0</v>
      </c>
    </row>
    <row r="67" spans="1:19" x14ac:dyDescent="0.25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18.475000000000001</v>
      </c>
      <c r="H67" t="s">
        <v>76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Q67" t="s">
        <v>4849</v>
      </c>
      <c r="R67">
        <v>80</v>
      </c>
      <c r="S67" t="b">
        <v>0</v>
      </c>
    </row>
    <row r="68" spans="1:19" x14ac:dyDescent="0.25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71.849999999999994</v>
      </c>
      <c r="H68" t="s">
        <v>76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Q68" t="s">
        <v>4849</v>
      </c>
      <c r="R68">
        <v>135</v>
      </c>
      <c r="S68" t="b">
        <v>0</v>
      </c>
    </row>
    <row r="69" spans="1:19" x14ac:dyDescent="0.25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52.659880000000001</v>
      </c>
      <c r="H69" t="s">
        <v>77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x14ac:dyDescent="0.25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S70" t="b">
        <v>0</v>
      </c>
    </row>
    <row r="71" spans="1:19" x14ac:dyDescent="0.25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72.319999999999993</v>
      </c>
      <c r="H71" t="s">
        <v>76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 x14ac:dyDescent="0.25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 t="s">
        <v>4848</v>
      </c>
      <c r="R72">
        <v>4</v>
      </c>
      <c r="S72" t="b">
        <v>1</v>
      </c>
    </row>
    <row r="73" spans="1:19" x14ac:dyDescent="0.25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7.8981009999999996</v>
      </c>
      <c r="H73" t="s">
        <v>77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Q73" t="s">
        <v>4848</v>
      </c>
      <c r="R73">
        <v>188</v>
      </c>
      <c r="S73" t="b">
        <v>0</v>
      </c>
    </row>
    <row r="74" spans="1:19" x14ac:dyDescent="0.25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84.886960000000002</v>
      </c>
      <c r="H74" t="s">
        <v>77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x14ac:dyDescent="0.25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90.687119999999993</v>
      </c>
      <c r="H75" t="s">
        <v>77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x14ac:dyDescent="0.25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Q76" t="s">
        <v>4848</v>
      </c>
      <c r="R76">
        <v>35</v>
      </c>
      <c r="S76" t="b">
        <v>0</v>
      </c>
    </row>
    <row r="77" spans="1:19" x14ac:dyDescent="0.25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71.946759999999998</v>
      </c>
      <c r="H77" t="s">
        <v>77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x14ac:dyDescent="0.25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186.75129999999999</v>
      </c>
      <c r="H78" t="s">
        <v>77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x14ac:dyDescent="0.25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x14ac:dyDescent="0.25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444.67360000000002</v>
      </c>
      <c r="H80" t="s">
        <v>77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x14ac:dyDescent="0.25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156.58690000000001</v>
      </c>
      <c r="H81" t="s">
        <v>77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 x14ac:dyDescent="0.25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x14ac:dyDescent="0.25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75.411000000000001</v>
      </c>
      <c r="H83" t="s">
        <v>77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 t="s">
        <v>4848</v>
      </c>
      <c r="R83">
        <v>57</v>
      </c>
      <c r="S83" t="b">
        <v>0</v>
      </c>
    </row>
    <row r="84" spans="1:19" x14ac:dyDescent="0.25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x14ac:dyDescent="0.25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 x14ac:dyDescent="0.25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72.349999999999994</v>
      </c>
      <c r="H86" t="s">
        <v>76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x14ac:dyDescent="0.25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S87" t="b">
        <v>0</v>
      </c>
    </row>
    <row r="88" spans="1:19" x14ac:dyDescent="0.25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185.52600000000001</v>
      </c>
      <c r="H88" t="s">
        <v>77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 t="s">
        <v>4848</v>
      </c>
      <c r="R88">
        <v>54</v>
      </c>
      <c r="S88" t="b">
        <v>0</v>
      </c>
    </row>
    <row r="89" spans="1:19" x14ac:dyDescent="0.25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 x14ac:dyDescent="0.25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34873571772.821999</v>
      </c>
      <c r="O90" t="s">
        <v>4846</v>
      </c>
      <c r="S90" t="b">
        <v>0</v>
      </c>
    </row>
    <row r="91" spans="1:19" x14ac:dyDescent="0.25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x14ac:dyDescent="0.25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S92" t="b">
        <v>0</v>
      </c>
    </row>
    <row r="93" spans="1:19" x14ac:dyDescent="0.25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301.61759999999998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 x14ac:dyDescent="0.25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S94" t="b">
        <v>0</v>
      </c>
    </row>
    <row r="95" spans="1:19" x14ac:dyDescent="0.25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S95" t="b">
        <v>0</v>
      </c>
    </row>
    <row r="96" spans="1:19" x14ac:dyDescent="0.25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314.28449999999998</v>
      </c>
      <c r="H96" t="s">
        <v>77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x14ac:dyDescent="0.25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S97" t="b">
        <v>0</v>
      </c>
    </row>
    <row r="98" spans="1:19" x14ac:dyDescent="0.25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S98" t="b">
        <v>0</v>
      </c>
    </row>
    <row r="99" spans="1:19" x14ac:dyDescent="0.25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 x14ac:dyDescent="0.25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 t="s">
        <v>4848</v>
      </c>
      <c r="R101">
        <v>45</v>
      </c>
      <c r="S101" t="b">
        <v>0</v>
      </c>
    </row>
    <row r="102" spans="1:19" x14ac:dyDescent="0.25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312.30110000000002</v>
      </c>
      <c r="H102" t="s">
        <v>77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 t="s">
        <v>4848</v>
      </c>
      <c r="R102">
        <v>67</v>
      </c>
      <c r="S102" t="b">
        <v>0</v>
      </c>
    </row>
    <row r="103" spans="1:19" x14ac:dyDescent="0.25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x14ac:dyDescent="0.25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x14ac:dyDescent="0.25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81.158270000000002</v>
      </c>
      <c r="H105" t="s">
        <v>77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x14ac:dyDescent="0.25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42.258360000000003</v>
      </c>
      <c r="H106" t="s">
        <v>77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x14ac:dyDescent="0.25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141.29310000000001</v>
      </c>
      <c r="H107" t="s">
        <v>77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x14ac:dyDescent="0.25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x14ac:dyDescent="0.25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80.391379999999998</v>
      </c>
      <c r="H109" t="s">
        <v>77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x14ac:dyDescent="0.25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S110" t="b">
        <v>0</v>
      </c>
    </row>
    <row r="111" spans="1:19" x14ac:dyDescent="0.25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65.349999999999994</v>
      </c>
      <c r="H111" t="s">
        <v>76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x14ac:dyDescent="0.25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297.97699999999998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x14ac:dyDescent="0.25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S113" t="b">
        <v>0</v>
      </c>
    </row>
    <row r="114" spans="1:19" x14ac:dyDescent="0.25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S114" t="b">
        <v>0</v>
      </c>
    </row>
    <row r="115" spans="1:19" x14ac:dyDescent="0.25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S115" t="b">
        <v>0</v>
      </c>
    </row>
    <row r="116" spans="1:19" x14ac:dyDescent="0.25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S116" t="b">
        <v>0</v>
      </c>
    </row>
    <row r="117" spans="1:19" x14ac:dyDescent="0.25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S117" t="b">
        <v>0</v>
      </c>
    </row>
    <row r="118" spans="1:19" x14ac:dyDescent="0.25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 x14ac:dyDescent="0.25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 t="s">
        <v>4849</v>
      </c>
      <c r="R119">
        <v>41</v>
      </c>
      <c r="S119" t="b">
        <v>0</v>
      </c>
    </row>
    <row r="120" spans="1:19" x14ac:dyDescent="0.25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 t="s">
        <v>4849</v>
      </c>
      <c r="R120">
        <v>2</v>
      </c>
      <c r="S120" t="b">
        <v>1</v>
      </c>
    </row>
    <row r="121" spans="1:19" x14ac:dyDescent="0.25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x14ac:dyDescent="0.25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S122" t="b">
        <v>0</v>
      </c>
    </row>
    <row r="123" spans="1:19" x14ac:dyDescent="0.25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S123" t="b">
        <v>0</v>
      </c>
    </row>
    <row r="124" spans="1:19" x14ac:dyDescent="0.25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S124" t="b">
        <v>0</v>
      </c>
    </row>
    <row r="125" spans="1:19" x14ac:dyDescent="0.25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 x14ac:dyDescent="0.25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S126" t="b">
        <v>0</v>
      </c>
    </row>
    <row r="127" spans="1:19" x14ac:dyDescent="0.25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24.170300000000001</v>
      </c>
      <c r="H127" t="s">
        <v>77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x14ac:dyDescent="0.25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 x14ac:dyDescent="0.25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S129" t="b">
        <v>0</v>
      </c>
    </row>
    <row r="130" spans="1:19" x14ac:dyDescent="0.25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182.30860000000001</v>
      </c>
      <c r="H130" t="s">
        <v>77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 t="s">
        <v>4848</v>
      </c>
      <c r="R130">
        <v>135</v>
      </c>
      <c r="S130" t="b">
        <v>0</v>
      </c>
    </row>
    <row r="131" spans="1:19" x14ac:dyDescent="0.25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138.63990000000001</v>
      </c>
      <c r="H131" t="s">
        <v>77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x14ac:dyDescent="0.25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S132" t="b">
        <v>0</v>
      </c>
    </row>
    <row r="133" spans="1:19" x14ac:dyDescent="0.25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S133" t="b">
        <v>0</v>
      </c>
    </row>
    <row r="134" spans="1:19" x14ac:dyDescent="0.25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 x14ac:dyDescent="0.25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S135" t="b">
        <v>0</v>
      </c>
    </row>
    <row r="136" spans="1:19" x14ac:dyDescent="0.25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Q136" t="s">
        <v>4849</v>
      </c>
      <c r="R136">
        <v>97</v>
      </c>
      <c r="S136" t="b">
        <v>0</v>
      </c>
    </row>
    <row r="137" spans="1:19" x14ac:dyDescent="0.25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260.34640000000002</v>
      </c>
      <c r="H137" t="s">
        <v>77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 t="s">
        <v>4848</v>
      </c>
      <c r="R137">
        <v>89</v>
      </c>
      <c r="S137" t="b">
        <v>0</v>
      </c>
    </row>
    <row r="138" spans="1:19" x14ac:dyDescent="0.25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283.03579999999999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 x14ac:dyDescent="0.25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3372.9650000000001</v>
      </c>
      <c r="H139" t="s">
        <v>77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 t="s">
        <v>4848</v>
      </c>
      <c r="R139">
        <v>87</v>
      </c>
      <c r="S139" t="b">
        <v>0</v>
      </c>
    </row>
    <row r="140" spans="1:19" x14ac:dyDescent="0.25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174.56039999999999</v>
      </c>
      <c r="H140" t="s">
        <v>77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x14ac:dyDescent="0.25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 x14ac:dyDescent="0.25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 x14ac:dyDescent="0.25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S143" t="b">
        <v>0</v>
      </c>
    </row>
    <row r="144" spans="1:19" x14ac:dyDescent="0.25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x14ac:dyDescent="0.25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644.69129999999996</v>
      </c>
      <c r="H145" t="s">
        <v>77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Q145" t="s">
        <v>4848</v>
      </c>
      <c r="R145">
        <v>97</v>
      </c>
      <c r="S145" t="b">
        <v>0</v>
      </c>
    </row>
    <row r="146" spans="1:19" x14ac:dyDescent="0.25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Q146" t="s">
        <v>4849</v>
      </c>
      <c r="R146">
        <v>127</v>
      </c>
      <c r="S146" t="b">
        <v>0</v>
      </c>
    </row>
    <row r="147" spans="1:19" x14ac:dyDescent="0.25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S147" t="b">
        <v>0</v>
      </c>
    </row>
    <row r="148" spans="1:19" x14ac:dyDescent="0.25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Q148" t="s">
        <v>4849</v>
      </c>
      <c r="R148">
        <v>130</v>
      </c>
      <c r="S148" t="b">
        <v>0</v>
      </c>
    </row>
    <row r="149" spans="1:19" x14ac:dyDescent="0.25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x14ac:dyDescent="0.25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S150" t="b">
        <v>0</v>
      </c>
    </row>
    <row r="151" spans="1:19" x14ac:dyDescent="0.25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0.66220000000000001</v>
      </c>
      <c r="H151" t="s">
        <v>76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Q151" t="s">
        <v>4849</v>
      </c>
      <c r="R151">
        <v>82</v>
      </c>
      <c r="S151" t="b">
        <v>0</v>
      </c>
    </row>
    <row r="152" spans="1:19" x14ac:dyDescent="0.25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 x14ac:dyDescent="0.25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S153" t="b">
        <v>0</v>
      </c>
    </row>
    <row r="154" spans="1:19" x14ac:dyDescent="0.25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32.385739999999998</v>
      </c>
      <c r="H154" t="s">
        <v>77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x14ac:dyDescent="0.25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S155" t="b">
        <v>0</v>
      </c>
    </row>
    <row r="156" spans="1:19" x14ac:dyDescent="0.25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 x14ac:dyDescent="0.25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 x14ac:dyDescent="0.25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x14ac:dyDescent="0.25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7.2039999999999997</v>
      </c>
      <c r="H159" t="s">
        <v>76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Q159" t="s">
        <v>4849</v>
      </c>
      <c r="R159">
        <v>86</v>
      </c>
      <c r="S159" t="b">
        <v>0</v>
      </c>
    </row>
    <row r="160" spans="1:19" x14ac:dyDescent="0.25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9.8000000000000007</v>
      </c>
      <c r="H160" t="s">
        <v>76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 x14ac:dyDescent="0.25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2.7589999999999999</v>
      </c>
      <c r="H161" t="s">
        <v>76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 x14ac:dyDescent="0.25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 x14ac:dyDescent="0.25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 x14ac:dyDescent="0.25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78.531450000000007</v>
      </c>
      <c r="H164" t="s">
        <v>77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x14ac:dyDescent="0.25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38.080129999999997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 x14ac:dyDescent="0.25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Q166" t="s">
        <v>4849</v>
      </c>
      <c r="R166">
        <v>60</v>
      </c>
      <c r="S166" t="b">
        <v>0</v>
      </c>
    </row>
    <row r="167" spans="1:19" x14ac:dyDescent="0.25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 x14ac:dyDescent="0.25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O168" t="s">
        <v>4846</v>
      </c>
      <c r="S168" t="b">
        <v>0</v>
      </c>
    </row>
    <row r="169" spans="1:19" x14ac:dyDescent="0.25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S169" t="b">
        <v>0</v>
      </c>
    </row>
    <row r="170" spans="1:19" x14ac:dyDescent="0.25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Q170" t="s">
        <v>4849</v>
      </c>
      <c r="R170">
        <v>75</v>
      </c>
      <c r="S170" t="b">
        <v>0</v>
      </c>
    </row>
    <row r="171" spans="1:19" x14ac:dyDescent="0.25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S171" t="b">
        <v>0</v>
      </c>
    </row>
    <row r="172" spans="1:19" x14ac:dyDescent="0.25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S172" t="b">
        <v>0</v>
      </c>
    </row>
    <row r="173" spans="1:19" x14ac:dyDescent="0.25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 x14ac:dyDescent="0.25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S174" t="b">
        <v>0</v>
      </c>
    </row>
    <row r="175" spans="1:19" x14ac:dyDescent="0.25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x14ac:dyDescent="0.25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 x14ac:dyDescent="0.25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S177" t="b">
        <v>0</v>
      </c>
    </row>
    <row r="178" spans="1:19" x14ac:dyDescent="0.25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24.475000000000001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x14ac:dyDescent="0.25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13.265000000000001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 x14ac:dyDescent="0.25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Q180" t="s">
        <v>4849</v>
      </c>
      <c r="R180">
        <v>99</v>
      </c>
      <c r="S180" t="b">
        <v>0</v>
      </c>
    </row>
    <row r="181" spans="1:19" x14ac:dyDescent="0.25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O181" t="s">
        <v>4846</v>
      </c>
      <c r="S181" t="b">
        <v>0</v>
      </c>
    </row>
    <row r="182" spans="1:19" x14ac:dyDescent="0.25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 t="s">
        <v>4849</v>
      </c>
      <c r="R182">
        <v>73</v>
      </c>
      <c r="S182" t="b">
        <v>0</v>
      </c>
    </row>
    <row r="183" spans="1:19" x14ac:dyDescent="0.25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S183" t="b">
        <v>0</v>
      </c>
    </row>
    <row r="184" spans="1:19" x14ac:dyDescent="0.25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 x14ac:dyDescent="0.25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151.06880000000001</v>
      </c>
      <c r="H185" t="s">
        <v>77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x14ac:dyDescent="0.25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x14ac:dyDescent="0.25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S187" t="b">
        <v>0</v>
      </c>
    </row>
    <row r="188" spans="1:19" x14ac:dyDescent="0.25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 x14ac:dyDescent="0.25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S189" t="b">
        <v>0</v>
      </c>
    </row>
    <row r="190" spans="1:19" x14ac:dyDescent="0.25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S190" t="b">
        <v>0</v>
      </c>
    </row>
    <row r="191" spans="1:19" x14ac:dyDescent="0.25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 x14ac:dyDescent="0.25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x14ac:dyDescent="0.25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S193" t="b">
        <v>0</v>
      </c>
    </row>
    <row r="194" spans="1:19" x14ac:dyDescent="0.25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77.599999999999994</v>
      </c>
      <c r="H194" t="s">
        <v>76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 t="s">
        <v>4849</v>
      </c>
      <c r="R194">
        <v>128</v>
      </c>
      <c r="S194" t="b">
        <v>0</v>
      </c>
    </row>
    <row r="195" spans="1:19" x14ac:dyDescent="0.25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110.89960000000001</v>
      </c>
      <c r="H195" t="s">
        <v>77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x14ac:dyDescent="0.25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x14ac:dyDescent="0.25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 x14ac:dyDescent="0.25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 x14ac:dyDescent="0.25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849.02819999999997</v>
      </c>
      <c r="H199" t="s">
        <v>77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x14ac:dyDescent="0.25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x14ac:dyDescent="0.25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51.778399999999998</v>
      </c>
      <c r="H201" t="s">
        <v>77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Q201" t="s">
        <v>4848</v>
      </c>
      <c r="R201">
        <v>142</v>
      </c>
      <c r="S201" t="b">
        <v>0</v>
      </c>
    </row>
    <row r="202" spans="1:19" x14ac:dyDescent="0.25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S202" t="b">
        <v>0</v>
      </c>
    </row>
    <row r="203" spans="1:19" x14ac:dyDescent="0.25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75.260000000000005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 x14ac:dyDescent="0.25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 t="s">
        <v>4849</v>
      </c>
      <c r="R204">
        <v>12</v>
      </c>
      <c r="S204" t="b">
        <v>1</v>
      </c>
    </row>
    <row r="205" spans="1:19" x14ac:dyDescent="0.25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178.37719999999999</v>
      </c>
      <c r="H205" t="s">
        <v>77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Q205" t="s">
        <v>4848</v>
      </c>
      <c r="R205">
        <v>37</v>
      </c>
      <c r="S205" t="b">
        <v>0</v>
      </c>
    </row>
    <row r="206" spans="1:19" x14ac:dyDescent="0.25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S206" t="b">
        <v>0</v>
      </c>
    </row>
    <row r="207" spans="1:19" x14ac:dyDescent="0.25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5.6550000000000002</v>
      </c>
      <c r="H207" t="s">
        <v>76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Q207" t="s">
        <v>4849</v>
      </c>
      <c r="R207">
        <v>115</v>
      </c>
      <c r="S207" t="b">
        <v>0</v>
      </c>
    </row>
    <row r="208" spans="1:19" x14ac:dyDescent="0.25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 t="s">
        <v>4848</v>
      </c>
      <c r="R208">
        <v>32</v>
      </c>
      <c r="S208" t="b">
        <v>0</v>
      </c>
    </row>
    <row r="209" spans="1:19" x14ac:dyDescent="0.25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92.115129999999994</v>
      </c>
      <c r="H209" t="s">
        <v>77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x14ac:dyDescent="0.25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39.590000000000003</v>
      </c>
      <c r="H210" t="s">
        <v>76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x14ac:dyDescent="0.25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S211" t="b">
        <v>0</v>
      </c>
    </row>
    <row r="212" spans="1:19" x14ac:dyDescent="0.25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7.6340000000000003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Q212" t="s">
        <v>4849</v>
      </c>
      <c r="R212">
        <v>74</v>
      </c>
      <c r="S212" t="b">
        <v>0</v>
      </c>
    </row>
    <row r="213" spans="1:19" x14ac:dyDescent="0.25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S213" t="b">
        <v>0</v>
      </c>
    </row>
    <row r="214" spans="1:19" x14ac:dyDescent="0.25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S214" t="b">
        <v>0</v>
      </c>
    </row>
    <row r="215" spans="1:19" x14ac:dyDescent="0.25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x14ac:dyDescent="0.25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S216" t="b">
        <v>0</v>
      </c>
    </row>
    <row r="217" spans="1:19" x14ac:dyDescent="0.25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41.297550000000001</v>
      </c>
      <c r="H217" t="s">
        <v>77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x14ac:dyDescent="0.25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S218" t="b">
        <v>0</v>
      </c>
    </row>
    <row r="219" spans="1:19" x14ac:dyDescent="0.25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S219" t="b">
        <v>0</v>
      </c>
    </row>
    <row r="220" spans="1:19" x14ac:dyDescent="0.25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 t="s">
        <v>4848</v>
      </c>
      <c r="R220">
        <v>6</v>
      </c>
      <c r="S220" t="b">
        <v>1</v>
      </c>
    </row>
    <row r="221" spans="1:19" x14ac:dyDescent="0.25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x14ac:dyDescent="0.25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O222" t="s">
        <v>4846</v>
      </c>
      <c r="S222" t="b">
        <v>0</v>
      </c>
    </row>
    <row r="223" spans="1:19" x14ac:dyDescent="0.25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 x14ac:dyDescent="0.25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 x14ac:dyDescent="0.25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97.686099999999996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x14ac:dyDescent="0.25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 x14ac:dyDescent="0.25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S227" t="b">
        <v>0</v>
      </c>
    </row>
    <row r="228" spans="1:19" x14ac:dyDescent="0.25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S228" t="b">
        <v>0</v>
      </c>
    </row>
    <row r="229" spans="1:19" x14ac:dyDescent="0.25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S229" t="b">
        <v>0</v>
      </c>
    </row>
    <row r="230" spans="1:19" x14ac:dyDescent="0.25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Q230" t="s">
        <v>4849</v>
      </c>
      <c r="R230">
        <v>64</v>
      </c>
      <c r="S230" t="b">
        <v>0</v>
      </c>
    </row>
    <row r="231" spans="1:19" x14ac:dyDescent="0.25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x14ac:dyDescent="0.25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278.11720000000003</v>
      </c>
      <c r="H232" t="s">
        <v>77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 t="s">
        <v>4848</v>
      </c>
      <c r="R232">
        <v>64</v>
      </c>
      <c r="S232" t="b">
        <v>0</v>
      </c>
    </row>
    <row r="233" spans="1:19" x14ac:dyDescent="0.25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 x14ac:dyDescent="0.25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 x14ac:dyDescent="0.25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x14ac:dyDescent="0.25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O236" t="s">
        <v>4846</v>
      </c>
      <c r="S236" t="b">
        <v>0</v>
      </c>
    </row>
    <row r="237" spans="1:19" x14ac:dyDescent="0.25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O237" t="s">
        <v>4846</v>
      </c>
      <c r="S237" t="b">
        <v>0</v>
      </c>
    </row>
    <row r="238" spans="1:19" x14ac:dyDescent="0.25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O238" t="s">
        <v>4846</v>
      </c>
      <c r="S238" t="b">
        <v>0</v>
      </c>
    </row>
    <row r="239" spans="1:19" x14ac:dyDescent="0.25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S239" t="b">
        <v>0</v>
      </c>
    </row>
    <row r="240" spans="1:19" x14ac:dyDescent="0.25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 x14ac:dyDescent="0.25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Q241" t="s">
        <v>4849</v>
      </c>
      <c r="R241">
        <v>44</v>
      </c>
      <c r="S241" t="b">
        <v>0</v>
      </c>
    </row>
    <row r="242" spans="1:19" x14ac:dyDescent="0.25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163.14510000000001</v>
      </c>
      <c r="H242" t="s">
        <v>77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Q242" t="s">
        <v>4848</v>
      </c>
      <c r="R242">
        <v>51</v>
      </c>
      <c r="S242" t="b">
        <v>0</v>
      </c>
    </row>
    <row r="243" spans="1:19" x14ac:dyDescent="0.25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S243" t="b">
        <v>0</v>
      </c>
    </row>
    <row r="244" spans="1:19" x14ac:dyDescent="0.25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S244" t="b">
        <v>0</v>
      </c>
    </row>
    <row r="245" spans="1:19" x14ac:dyDescent="0.25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S245" t="b">
        <v>0</v>
      </c>
    </row>
    <row r="246" spans="1:19" x14ac:dyDescent="0.25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S246" t="b">
        <v>0</v>
      </c>
    </row>
    <row r="247" spans="1:19" x14ac:dyDescent="0.25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S247" t="b">
        <v>0</v>
      </c>
    </row>
    <row r="248" spans="1:19" x14ac:dyDescent="0.25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134.64670000000001</v>
      </c>
      <c r="H248" t="s">
        <v>77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x14ac:dyDescent="0.25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340.99340000000001</v>
      </c>
      <c r="H249" t="s">
        <v>77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x14ac:dyDescent="0.25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S250" t="b">
        <v>0</v>
      </c>
    </row>
    <row r="251" spans="1:19" x14ac:dyDescent="0.25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19.613029999999998</v>
      </c>
      <c r="H251" t="s">
        <v>77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 t="s">
        <v>4848</v>
      </c>
      <c r="R251">
        <v>172</v>
      </c>
      <c r="S251" t="b">
        <v>0</v>
      </c>
    </row>
    <row r="252" spans="1:19" x14ac:dyDescent="0.25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x14ac:dyDescent="0.25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62.567770000000003</v>
      </c>
      <c r="H253" t="s">
        <v>77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x14ac:dyDescent="0.25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268.06819999999999</v>
      </c>
      <c r="H254" t="s">
        <v>77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 t="s">
        <v>4848</v>
      </c>
      <c r="R254">
        <v>119</v>
      </c>
      <c r="S254" t="b">
        <v>0</v>
      </c>
    </row>
    <row r="255" spans="1:19" x14ac:dyDescent="0.25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392.90410000000003</v>
      </c>
      <c r="H255" t="s">
        <v>77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x14ac:dyDescent="0.25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S256" t="b">
        <v>0</v>
      </c>
    </row>
    <row r="257" spans="1:19" x14ac:dyDescent="0.25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302.69299999999998</v>
      </c>
      <c r="H257" t="s">
        <v>77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Q257" t="s">
        <v>4848</v>
      </c>
      <c r="R257">
        <v>33</v>
      </c>
      <c r="S257" t="b">
        <v>0</v>
      </c>
    </row>
    <row r="258" spans="1:19" x14ac:dyDescent="0.25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106.77419999999999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x14ac:dyDescent="0.25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 x14ac:dyDescent="0.25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x14ac:dyDescent="0.25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 x14ac:dyDescent="0.25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x14ac:dyDescent="0.25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O263" t="s">
        <v>4846</v>
      </c>
      <c r="S263" t="b">
        <v>0</v>
      </c>
    </row>
    <row r="264" spans="1:19" x14ac:dyDescent="0.25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49.724539999999998</v>
      </c>
      <c r="H264" t="s">
        <v>77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x14ac:dyDescent="0.25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33.117370000000001</v>
      </c>
      <c r="H265" t="s">
        <v>77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x14ac:dyDescent="0.25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 x14ac:dyDescent="0.25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S267" t="b">
        <v>0</v>
      </c>
    </row>
    <row r="268" spans="1:19" x14ac:dyDescent="0.25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O268" t="s">
        <v>4846</v>
      </c>
      <c r="S268" t="b">
        <v>0</v>
      </c>
    </row>
    <row r="269" spans="1:19" x14ac:dyDescent="0.25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S269" t="b">
        <v>0</v>
      </c>
    </row>
    <row r="270" spans="1:19" x14ac:dyDescent="0.25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77.041740000000004</v>
      </c>
      <c r="H270" t="s">
        <v>77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x14ac:dyDescent="0.25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x14ac:dyDescent="0.25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S272" t="b">
        <v>0</v>
      </c>
    </row>
    <row r="273" spans="1:19" x14ac:dyDescent="0.25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200.85499999999999</v>
      </c>
      <c r="H273" t="s">
        <v>77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 t="s">
        <v>4848</v>
      </c>
      <c r="R273">
        <v>204</v>
      </c>
      <c r="S273" t="b">
        <v>0</v>
      </c>
    </row>
    <row r="274" spans="1:19" x14ac:dyDescent="0.25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x14ac:dyDescent="0.25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x14ac:dyDescent="0.25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S276" t="b">
        <v>0</v>
      </c>
    </row>
    <row r="277" spans="1:19" x14ac:dyDescent="0.25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44.629559999999998</v>
      </c>
      <c r="H277" t="s">
        <v>77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 t="s">
        <v>4848</v>
      </c>
      <c r="R277">
        <v>76</v>
      </c>
      <c r="S277" t="b">
        <v>0</v>
      </c>
    </row>
    <row r="278" spans="1:19" x14ac:dyDescent="0.25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x14ac:dyDescent="0.25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 x14ac:dyDescent="0.25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 x14ac:dyDescent="0.25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x14ac:dyDescent="0.25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O282" t="s">
        <v>4846</v>
      </c>
      <c r="S282" t="b">
        <v>0</v>
      </c>
    </row>
    <row r="283" spans="1:19" x14ac:dyDescent="0.25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S283" t="b">
        <v>0</v>
      </c>
    </row>
    <row r="284" spans="1:19" x14ac:dyDescent="0.25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x14ac:dyDescent="0.25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128.54689999999999</v>
      </c>
      <c r="H285" t="s">
        <v>77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x14ac:dyDescent="0.25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Q286" t="s">
        <v>4848</v>
      </c>
      <c r="R286">
        <v>72</v>
      </c>
      <c r="S286" t="b">
        <v>0</v>
      </c>
    </row>
    <row r="287" spans="1:19" x14ac:dyDescent="0.25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55.630490000000002</v>
      </c>
      <c r="H287" t="s">
        <v>77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x14ac:dyDescent="0.25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64.427700000000002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 x14ac:dyDescent="0.25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34.880339999999997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 x14ac:dyDescent="0.25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S290" t="b">
        <v>0</v>
      </c>
    </row>
    <row r="291" spans="1:19" x14ac:dyDescent="0.25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S291" t="b">
        <v>0</v>
      </c>
    </row>
    <row r="292" spans="1:19" x14ac:dyDescent="0.25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S292" t="b">
        <v>0</v>
      </c>
    </row>
    <row r="293" spans="1:19" x14ac:dyDescent="0.25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S293" t="b">
        <v>0</v>
      </c>
    </row>
    <row r="294" spans="1:19" x14ac:dyDescent="0.25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x14ac:dyDescent="0.25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 t="s">
        <v>4848</v>
      </c>
      <c r="R295">
        <v>104</v>
      </c>
      <c r="S295" t="b">
        <v>0</v>
      </c>
    </row>
    <row r="296" spans="1:19" x14ac:dyDescent="0.25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S296" t="b">
        <v>0</v>
      </c>
    </row>
    <row r="297" spans="1:19" x14ac:dyDescent="0.25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x14ac:dyDescent="0.25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61.395389999999999</v>
      </c>
      <c r="H298" t="s">
        <v>77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x14ac:dyDescent="0.25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S299" t="b">
        <v>0</v>
      </c>
    </row>
    <row r="300" spans="1:19" x14ac:dyDescent="0.25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63.264139999999998</v>
      </c>
      <c r="H300" t="s">
        <v>77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x14ac:dyDescent="0.25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78.848780000000005</v>
      </c>
      <c r="H301" t="s">
        <v>77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x14ac:dyDescent="0.25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S302" t="b">
        <v>0</v>
      </c>
    </row>
    <row r="303" spans="1:19" x14ac:dyDescent="0.25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S303" t="b">
        <v>0</v>
      </c>
    </row>
    <row r="304" spans="1:19" x14ac:dyDescent="0.25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x14ac:dyDescent="0.25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69.743049999999997</v>
      </c>
      <c r="H305" t="s">
        <v>77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 t="s">
        <v>4848</v>
      </c>
      <c r="R305">
        <v>125</v>
      </c>
      <c r="S305" t="b">
        <v>0</v>
      </c>
    </row>
    <row r="306" spans="1:19" x14ac:dyDescent="0.25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231.97149999999999</v>
      </c>
      <c r="H306" t="s">
        <v>77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x14ac:dyDescent="0.25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 x14ac:dyDescent="0.25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81.616640000000004</v>
      </c>
      <c r="H308" t="s">
        <v>77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x14ac:dyDescent="0.25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 x14ac:dyDescent="0.25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30.428840000000001</v>
      </c>
      <c r="H310" t="s">
        <v>77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x14ac:dyDescent="0.25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415.61989999999997</v>
      </c>
      <c r="H311" t="s">
        <v>77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x14ac:dyDescent="0.25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 x14ac:dyDescent="0.25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Q313" t="s">
        <v>4849</v>
      </c>
      <c r="R313">
        <v>35</v>
      </c>
      <c r="S313" t="b">
        <v>0</v>
      </c>
    </row>
    <row r="314" spans="1:19" x14ac:dyDescent="0.25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 x14ac:dyDescent="0.25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S315" t="b">
        <v>0</v>
      </c>
    </row>
    <row r="316" spans="1:19" x14ac:dyDescent="0.25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S316" t="b">
        <v>0</v>
      </c>
    </row>
    <row r="317" spans="1:19" x14ac:dyDescent="0.25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 x14ac:dyDescent="0.25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S318" t="b">
        <v>0</v>
      </c>
    </row>
    <row r="319" spans="1:19" x14ac:dyDescent="0.25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75.093670000000003</v>
      </c>
      <c r="H319" t="s">
        <v>77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x14ac:dyDescent="0.25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91.762529999999998</v>
      </c>
      <c r="H320" t="s">
        <v>77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x14ac:dyDescent="0.25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x14ac:dyDescent="0.25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x14ac:dyDescent="0.25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O323" t="s">
        <v>4846</v>
      </c>
      <c r="S323" t="b">
        <v>0</v>
      </c>
    </row>
    <row r="324" spans="1:19" x14ac:dyDescent="0.25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S324" t="b">
        <v>0</v>
      </c>
    </row>
    <row r="325" spans="1:19" x14ac:dyDescent="0.25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 t="s">
        <v>4849</v>
      </c>
      <c r="R325">
        <v>70</v>
      </c>
      <c r="S325" t="b">
        <v>0</v>
      </c>
    </row>
    <row r="326" spans="1:19" x14ac:dyDescent="0.25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S326" t="b">
        <v>0</v>
      </c>
    </row>
    <row r="327" spans="1:19" x14ac:dyDescent="0.25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47.309269999999998</v>
      </c>
      <c r="H327" t="s">
        <v>77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 t="s">
        <v>4848</v>
      </c>
      <c r="R327">
        <v>110</v>
      </c>
      <c r="S327" t="b">
        <v>0</v>
      </c>
    </row>
    <row r="328" spans="1:19" x14ac:dyDescent="0.25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 t="s">
        <v>4848</v>
      </c>
      <c r="R328">
        <v>203</v>
      </c>
      <c r="S328" t="b">
        <v>0</v>
      </c>
    </row>
    <row r="329" spans="1:19" x14ac:dyDescent="0.25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42.628590000000003</v>
      </c>
      <c r="H329" t="s">
        <v>77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 t="s">
        <v>4848</v>
      </c>
      <c r="R329">
        <v>128</v>
      </c>
      <c r="S329" t="b">
        <v>0</v>
      </c>
    </row>
    <row r="330" spans="1:19" x14ac:dyDescent="0.25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285.87419999999997</v>
      </c>
      <c r="H330" t="s">
        <v>77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Q330" t="s">
        <v>4848</v>
      </c>
      <c r="R330">
        <v>175</v>
      </c>
      <c r="S330" t="b">
        <v>0</v>
      </c>
    </row>
    <row r="331" spans="1:19" x14ac:dyDescent="0.25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3.4740000000000002</v>
      </c>
      <c r="H331" t="s">
        <v>76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x14ac:dyDescent="0.25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60.875309999999999</v>
      </c>
      <c r="H332" t="s">
        <v>77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x14ac:dyDescent="0.25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S333" t="b">
        <v>0</v>
      </c>
    </row>
    <row r="334" spans="1:19" x14ac:dyDescent="0.25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S334" t="b">
        <v>0</v>
      </c>
    </row>
    <row r="335" spans="1:19" x14ac:dyDescent="0.25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65.221029999999999</v>
      </c>
      <c r="H335" t="s">
        <v>77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888.97709999999995</v>
      </c>
      <c r="H336" t="s">
        <v>77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 t="s">
        <v>4848</v>
      </c>
      <c r="R336">
        <v>13</v>
      </c>
      <c r="S336" t="b">
        <v>1</v>
      </c>
    </row>
    <row r="337" spans="1:19" x14ac:dyDescent="0.25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21.614000000000001</v>
      </c>
      <c r="H337" t="s">
        <v>77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x14ac:dyDescent="0.25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24.196750000000002</v>
      </c>
      <c r="H338" t="s">
        <v>77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 x14ac:dyDescent="0.25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x14ac:dyDescent="0.25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x14ac:dyDescent="0.25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S341" t="b">
        <v>0</v>
      </c>
    </row>
    <row r="342" spans="1:19" x14ac:dyDescent="0.25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 x14ac:dyDescent="0.25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 x14ac:dyDescent="0.25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82.938869999999994</v>
      </c>
      <c r="H344" t="s">
        <v>77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x14ac:dyDescent="0.25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S345" t="b">
        <v>0</v>
      </c>
    </row>
    <row r="346" spans="1:19" x14ac:dyDescent="0.25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401.59550000000002</v>
      </c>
      <c r="H346" t="s">
        <v>77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 x14ac:dyDescent="0.25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88.289479999999998</v>
      </c>
      <c r="H347" t="s">
        <v>77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x14ac:dyDescent="0.25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S348" t="b">
        <v>0</v>
      </c>
    </row>
    <row r="349" spans="1:19" x14ac:dyDescent="0.25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27.167349999999999</v>
      </c>
      <c r="H349" t="s">
        <v>77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Q349" t="s">
        <v>4848</v>
      </c>
      <c r="R349">
        <v>94</v>
      </c>
      <c r="S349" t="b">
        <v>0</v>
      </c>
    </row>
    <row r="350" spans="1:19" x14ac:dyDescent="0.25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x14ac:dyDescent="0.25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 x14ac:dyDescent="0.25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279.63330000000002</v>
      </c>
      <c r="H352" t="s">
        <v>77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Q352" t="s">
        <v>4848</v>
      </c>
      <c r="R352">
        <v>115</v>
      </c>
      <c r="S352" t="b">
        <v>0</v>
      </c>
    </row>
    <row r="353" spans="1:19" x14ac:dyDescent="0.25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377.67200000000003</v>
      </c>
      <c r="H353" t="s">
        <v>77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 x14ac:dyDescent="0.25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x14ac:dyDescent="0.25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53.620699999999999</v>
      </c>
      <c r="H355" t="s">
        <v>77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x14ac:dyDescent="0.25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S356" t="b">
        <v>0</v>
      </c>
    </row>
    <row r="357" spans="1:19" x14ac:dyDescent="0.25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336.10120000000001</v>
      </c>
      <c r="H357" t="s">
        <v>77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 x14ac:dyDescent="0.25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 x14ac:dyDescent="0.25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S359" t="b">
        <v>0</v>
      </c>
    </row>
    <row r="360" spans="1:19" x14ac:dyDescent="0.25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S360" t="b">
        <v>0</v>
      </c>
    </row>
    <row r="361" spans="1:19" x14ac:dyDescent="0.25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S361" t="b">
        <v>0</v>
      </c>
    </row>
    <row r="362" spans="1:19" x14ac:dyDescent="0.25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S362" t="b">
        <v>0</v>
      </c>
    </row>
    <row r="363" spans="1:19" x14ac:dyDescent="0.25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 x14ac:dyDescent="0.25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 x14ac:dyDescent="0.25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S365" t="b">
        <v>0</v>
      </c>
    </row>
    <row r="366" spans="1:19" x14ac:dyDescent="0.25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S366" t="b">
        <v>0</v>
      </c>
    </row>
    <row r="367" spans="1:19" x14ac:dyDescent="0.25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S367" t="b">
        <v>0</v>
      </c>
    </row>
    <row r="368" spans="1:19" x14ac:dyDescent="0.25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S368" t="b">
        <v>0</v>
      </c>
    </row>
    <row r="369" spans="1:19" x14ac:dyDescent="0.25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162.66909999999999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x14ac:dyDescent="0.25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x14ac:dyDescent="0.25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S371" t="b">
        <v>0</v>
      </c>
    </row>
    <row r="372" spans="1:19" x14ac:dyDescent="0.25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179.84049999999999</v>
      </c>
      <c r="H372" t="s">
        <v>77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 t="s">
        <v>4848</v>
      </c>
      <c r="R372">
        <v>168</v>
      </c>
      <c r="S372" t="b">
        <v>0</v>
      </c>
    </row>
    <row r="373" spans="1:19" x14ac:dyDescent="0.25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 x14ac:dyDescent="0.25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33.590000000000003</v>
      </c>
      <c r="H374" t="s">
        <v>76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 x14ac:dyDescent="0.25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 t="s">
        <v>4848</v>
      </c>
      <c r="R375">
        <v>129</v>
      </c>
      <c r="S375" t="b">
        <v>0</v>
      </c>
    </row>
    <row r="376" spans="1:19" x14ac:dyDescent="0.25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 x14ac:dyDescent="0.25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S377" t="b">
        <v>0</v>
      </c>
    </row>
    <row r="378" spans="1:19" x14ac:dyDescent="0.25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 x14ac:dyDescent="0.25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 x14ac:dyDescent="0.25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98.823220000000006</v>
      </c>
      <c r="H380" t="s">
        <v>77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 t="s">
        <v>4848</v>
      </c>
      <c r="R380">
        <v>132</v>
      </c>
      <c r="S380" t="b">
        <v>0</v>
      </c>
    </row>
    <row r="381" spans="1:19" x14ac:dyDescent="0.25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42.240729999999999</v>
      </c>
      <c r="H381" t="s">
        <v>77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 t="s">
        <v>4848</v>
      </c>
      <c r="R381">
        <v>148</v>
      </c>
      <c r="S381" t="b">
        <v>0</v>
      </c>
    </row>
    <row r="382" spans="1:19" x14ac:dyDescent="0.25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S382" t="b">
        <v>0</v>
      </c>
    </row>
    <row r="383" spans="1:19" x14ac:dyDescent="0.25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 x14ac:dyDescent="0.25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 x14ac:dyDescent="0.25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24.085000000000001</v>
      </c>
      <c r="H385" t="s">
        <v>76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 x14ac:dyDescent="0.25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x14ac:dyDescent="0.25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38.020000000000003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 x14ac:dyDescent="0.25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x14ac:dyDescent="0.25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x14ac:dyDescent="0.25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74.494259999999997</v>
      </c>
      <c r="H390" t="s">
        <v>77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x14ac:dyDescent="0.25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S391" t="b">
        <v>0</v>
      </c>
    </row>
    <row r="392" spans="1:19" x14ac:dyDescent="0.25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S392" t="b">
        <v>0</v>
      </c>
    </row>
    <row r="393" spans="1:19" x14ac:dyDescent="0.25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 x14ac:dyDescent="0.25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x14ac:dyDescent="0.25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x14ac:dyDescent="0.25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Q396" t="s">
        <v>4849</v>
      </c>
      <c r="R396">
        <v>103</v>
      </c>
      <c r="S396" t="b">
        <v>0</v>
      </c>
    </row>
    <row r="397" spans="1:19" x14ac:dyDescent="0.25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x14ac:dyDescent="0.25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S398" t="b">
        <v>0</v>
      </c>
    </row>
    <row r="399" spans="1:19" x14ac:dyDescent="0.25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S399" t="b">
        <v>0</v>
      </c>
    </row>
    <row r="400" spans="1:19" x14ac:dyDescent="0.25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S400" t="b">
        <v>0</v>
      </c>
    </row>
    <row r="401" spans="1:19" x14ac:dyDescent="0.25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S401" t="b">
        <v>0</v>
      </c>
    </row>
    <row r="402" spans="1:19" x14ac:dyDescent="0.25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S402" t="b">
        <v>0</v>
      </c>
    </row>
    <row r="403" spans="1:19" x14ac:dyDescent="0.25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74.582400000000007</v>
      </c>
      <c r="H403" t="s">
        <v>77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 x14ac:dyDescent="0.25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89.373710000000003</v>
      </c>
      <c r="H404" t="s">
        <v>77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 x14ac:dyDescent="0.25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77.720479999999995</v>
      </c>
      <c r="H405" t="s">
        <v>77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 x14ac:dyDescent="0.25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O406" t="s">
        <v>4846</v>
      </c>
      <c r="S406" t="b">
        <v>0</v>
      </c>
    </row>
    <row r="407" spans="1:19" x14ac:dyDescent="0.25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49.618760000000002</v>
      </c>
      <c r="H407" t="s">
        <v>77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x14ac:dyDescent="0.25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181.71799999999999</v>
      </c>
      <c r="H408" t="s">
        <v>77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 t="s">
        <v>4848</v>
      </c>
      <c r="R408">
        <v>73</v>
      </c>
      <c r="S408" t="b">
        <v>0</v>
      </c>
    </row>
    <row r="409" spans="1:19" x14ac:dyDescent="0.25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Q409" t="s">
        <v>4848</v>
      </c>
      <c r="R409">
        <v>164</v>
      </c>
      <c r="S409" t="b">
        <v>0</v>
      </c>
    </row>
    <row r="410" spans="1:19" x14ac:dyDescent="0.25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24.963640000000002</v>
      </c>
      <c r="H410" t="s">
        <v>77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Q410" t="s">
        <v>4848</v>
      </c>
      <c r="R410">
        <v>195</v>
      </c>
      <c r="S410" t="b">
        <v>0</v>
      </c>
    </row>
    <row r="411" spans="1:19" x14ac:dyDescent="0.25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 t="s">
        <v>4848</v>
      </c>
      <c r="R411">
        <v>214</v>
      </c>
      <c r="S411" t="b">
        <v>0</v>
      </c>
    </row>
    <row r="412" spans="1:19" x14ac:dyDescent="0.25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x14ac:dyDescent="0.25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 x14ac:dyDescent="0.25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x14ac:dyDescent="0.25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x14ac:dyDescent="0.25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458.55700000000002</v>
      </c>
      <c r="H416" t="s">
        <v>77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 x14ac:dyDescent="0.25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59.632420000000003</v>
      </c>
      <c r="H417" t="s">
        <v>77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Q417" t="s">
        <v>4848</v>
      </c>
      <c r="R417">
        <v>154</v>
      </c>
      <c r="S417" t="b">
        <v>0</v>
      </c>
    </row>
    <row r="418" spans="1:19" x14ac:dyDescent="0.25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S418" t="b">
        <v>0</v>
      </c>
    </row>
    <row r="419" spans="1:19" x14ac:dyDescent="0.25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x14ac:dyDescent="0.25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 x14ac:dyDescent="0.25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S421" t="b">
        <v>0</v>
      </c>
    </row>
    <row r="422" spans="1:19" x14ac:dyDescent="0.25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283.00940000000003</v>
      </c>
      <c r="H422" t="s">
        <v>77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 x14ac:dyDescent="0.25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S423" t="b">
        <v>0</v>
      </c>
    </row>
    <row r="424" spans="1:19" x14ac:dyDescent="0.25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63.396360000000001</v>
      </c>
      <c r="H424" t="s">
        <v>77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 t="s">
        <v>4848</v>
      </c>
      <c r="R424">
        <v>139</v>
      </c>
      <c r="S424" t="b">
        <v>0</v>
      </c>
    </row>
    <row r="425" spans="1:19" x14ac:dyDescent="0.25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S425" t="b">
        <v>0</v>
      </c>
    </row>
    <row r="426" spans="1:19" x14ac:dyDescent="0.25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230.15559999999999</v>
      </c>
      <c r="H426" t="s">
        <v>77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x14ac:dyDescent="0.25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Q427" t="s">
        <v>4849</v>
      </c>
      <c r="R427">
        <v>79</v>
      </c>
      <c r="S427" t="b">
        <v>0</v>
      </c>
    </row>
    <row r="428" spans="1:19" x14ac:dyDescent="0.25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49.927280000000003</v>
      </c>
      <c r="H428" t="s">
        <v>77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x14ac:dyDescent="0.25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x14ac:dyDescent="0.25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8.6300000000000008</v>
      </c>
      <c r="H430" t="s">
        <v>76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x14ac:dyDescent="0.25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66.102519999999998</v>
      </c>
      <c r="H431" t="s">
        <v>77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x14ac:dyDescent="0.25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x14ac:dyDescent="0.25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S433" t="b">
        <v>0</v>
      </c>
    </row>
    <row r="434" spans="1:19" x14ac:dyDescent="0.25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S434" t="b">
        <v>0</v>
      </c>
    </row>
    <row r="435" spans="1:19" x14ac:dyDescent="0.25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 t="s">
        <v>4848</v>
      </c>
      <c r="R435">
        <v>138</v>
      </c>
      <c r="S435" t="b">
        <v>0</v>
      </c>
    </row>
    <row r="436" spans="1:19" x14ac:dyDescent="0.25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328.15019999999998</v>
      </c>
      <c r="H436" t="s">
        <v>77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x14ac:dyDescent="0.25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629.12429999999995</v>
      </c>
      <c r="H437" t="s">
        <v>77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x14ac:dyDescent="0.25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x14ac:dyDescent="0.25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Q439" t="s">
        <v>4849</v>
      </c>
      <c r="R439">
        <v>104</v>
      </c>
      <c r="S439" t="b">
        <v>0</v>
      </c>
    </row>
    <row r="440" spans="1:19" x14ac:dyDescent="0.25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x14ac:dyDescent="0.25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408.40940000000001</v>
      </c>
      <c r="H441" t="s">
        <v>77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x14ac:dyDescent="0.25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104.22669999999999</v>
      </c>
      <c r="H442" t="s">
        <v>77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 x14ac:dyDescent="0.25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 x14ac:dyDescent="0.25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x14ac:dyDescent="0.25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O445" t="s">
        <v>4846</v>
      </c>
      <c r="S445" t="b">
        <v>0</v>
      </c>
    </row>
    <row r="446" spans="1:19" x14ac:dyDescent="0.25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S446" t="b">
        <v>0</v>
      </c>
    </row>
    <row r="447" spans="1:19" x14ac:dyDescent="0.25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x14ac:dyDescent="0.25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8.0790000000000006</v>
      </c>
      <c r="H448" t="s">
        <v>76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x14ac:dyDescent="0.25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 x14ac:dyDescent="0.25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15.734500000000001</v>
      </c>
      <c r="H450" t="s">
        <v>77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x14ac:dyDescent="0.25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x14ac:dyDescent="0.25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x14ac:dyDescent="0.25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S453" t="b">
        <v>0</v>
      </c>
    </row>
    <row r="454" spans="1:19" x14ac:dyDescent="0.25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73.004540000000006</v>
      </c>
      <c r="H454" t="s">
        <v>77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x14ac:dyDescent="0.25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x14ac:dyDescent="0.25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97.121960000000001</v>
      </c>
      <c r="H456" t="s">
        <v>77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x14ac:dyDescent="0.25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 x14ac:dyDescent="0.25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S458" t="b">
        <v>0</v>
      </c>
    </row>
    <row r="459" spans="1:19" x14ac:dyDescent="0.25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49.019350000000003</v>
      </c>
      <c r="H459" t="s">
        <v>77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x14ac:dyDescent="0.25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Q460" t="s">
        <v>4848</v>
      </c>
      <c r="R460">
        <v>143</v>
      </c>
      <c r="S460" t="b">
        <v>0</v>
      </c>
    </row>
    <row r="461" spans="1:19" x14ac:dyDescent="0.25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761.12660000000005</v>
      </c>
      <c r="H461" t="s">
        <v>77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x14ac:dyDescent="0.25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S462" t="b">
        <v>0</v>
      </c>
    </row>
    <row r="463" spans="1:19" x14ac:dyDescent="0.25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59.597160000000002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x14ac:dyDescent="0.25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S464" t="b">
        <v>0</v>
      </c>
    </row>
    <row r="465" spans="1:19" x14ac:dyDescent="0.25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70.650000000000006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Q465" t="s">
        <v>4849</v>
      </c>
      <c r="R465">
        <v>38</v>
      </c>
      <c r="S465" t="b">
        <v>0</v>
      </c>
    </row>
    <row r="466" spans="1:19" x14ac:dyDescent="0.25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S466" t="b">
        <v>0</v>
      </c>
    </row>
    <row r="467" spans="1:19" x14ac:dyDescent="0.25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237.53360000000001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x14ac:dyDescent="0.25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x14ac:dyDescent="0.25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S469" t="b">
        <v>0</v>
      </c>
    </row>
    <row r="470" spans="1:19" x14ac:dyDescent="0.25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x14ac:dyDescent="0.25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x14ac:dyDescent="0.25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x14ac:dyDescent="0.25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x14ac:dyDescent="0.25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S474" t="b">
        <v>0</v>
      </c>
    </row>
    <row r="475" spans="1:19" x14ac:dyDescent="0.25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 x14ac:dyDescent="0.25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x14ac:dyDescent="0.25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38.494419999999998</v>
      </c>
      <c r="H477" t="s">
        <v>77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x14ac:dyDescent="0.25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S478" t="b">
        <v>0</v>
      </c>
    </row>
    <row r="479" spans="1:19" x14ac:dyDescent="0.25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84.85</v>
      </c>
      <c r="H479" t="s">
        <v>76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x14ac:dyDescent="0.25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x14ac:dyDescent="0.25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140.13839999999999</v>
      </c>
      <c r="H481" t="s">
        <v>77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 t="s">
        <v>4848</v>
      </c>
      <c r="R481">
        <v>199</v>
      </c>
      <c r="S481" t="b">
        <v>0</v>
      </c>
    </row>
    <row r="482" spans="1:19" x14ac:dyDescent="0.25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S482" t="b">
        <v>0</v>
      </c>
    </row>
    <row r="483" spans="1:19" x14ac:dyDescent="0.25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128.45869999999999</v>
      </c>
      <c r="H483" t="s">
        <v>77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x14ac:dyDescent="0.25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90.819339999999997</v>
      </c>
      <c r="H484" t="s">
        <v>77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x14ac:dyDescent="0.25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248.66679999999999</v>
      </c>
      <c r="H485" t="s">
        <v>77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 t="s">
        <v>4848</v>
      </c>
      <c r="R485">
        <v>227</v>
      </c>
      <c r="S485" t="b">
        <v>0</v>
      </c>
    </row>
    <row r="486" spans="1:19" x14ac:dyDescent="0.25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407.95100000000002</v>
      </c>
      <c r="H486" t="s">
        <v>77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x14ac:dyDescent="0.25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1493.5519999999999</v>
      </c>
      <c r="H487" t="s">
        <v>77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Q487" t="s">
        <v>4848</v>
      </c>
      <c r="R487">
        <v>117</v>
      </c>
      <c r="S487" t="b">
        <v>0</v>
      </c>
    </row>
    <row r="488" spans="1:19" x14ac:dyDescent="0.25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O488" t="s">
        <v>4846</v>
      </c>
      <c r="S488" t="b">
        <v>0</v>
      </c>
    </row>
    <row r="489" spans="1:19" x14ac:dyDescent="0.25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 x14ac:dyDescent="0.25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S490" t="b">
        <v>0</v>
      </c>
    </row>
    <row r="491" spans="1:19" x14ac:dyDescent="0.25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35.832340000000002</v>
      </c>
      <c r="H491" t="s">
        <v>77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x14ac:dyDescent="0.25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S492" t="b">
        <v>0</v>
      </c>
    </row>
    <row r="493" spans="1:19" x14ac:dyDescent="0.25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 x14ac:dyDescent="0.25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Q494" t="s">
        <v>4848</v>
      </c>
      <c r="R494">
        <v>103</v>
      </c>
      <c r="S494" t="b">
        <v>0</v>
      </c>
    </row>
    <row r="495" spans="1:19" x14ac:dyDescent="0.25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157.08940000000001</v>
      </c>
      <c r="H495" t="s">
        <v>77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Q495" t="s">
        <v>4848</v>
      </c>
      <c r="R495">
        <v>131</v>
      </c>
      <c r="S495" t="b">
        <v>0</v>
      </c>
    </row>
    <row r="496" spans="1:19" x14ac:dyDescent="0.25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Q496" t="s">
        <v>4849</v>
      </c>
      <c r="R496">
        <v>20</v>
      </c>
      <c r="S496" t="b">
        <v>0</v>
      </c>
    </row>
    <row r="497" spans="1:19" x14ac:dyDescent="0.25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x14ac:dyDescent="0.25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68.949709999999996</v>
      </c>
      <c r="H498" t="s">
        <v>77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Q498" t="s">
        <v>4848</v>
      </c>
      <c r="R498">
        <v>118</v>
      </c>
      <c r="S498" t="b">
        <v>0</v>
      </c>
    </row>
    <row r="499" spans="1:19" x14ac:dyDescent="0.25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32.791220000000003</v>
      </c>
      <c r="H499" t="s">
        <v>77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Q499" t="s">
        <v>4848</v>
      </c>
      <c r="R499">
        <v>161</v>
      </c>
      <c r="S499" t="b">
        <v>0</v>
      </c>
    </row>
    <row r="500" spans="1:19" x14ac:dyDescent="0.25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18.704999999999998</v>
      </c>
      <c r="H500" t="s">
        <v>76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 x14ac:dyDescent="0.25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1606.3030000000001</v>
      </c>
      <c r="H501" t="s">
        <v>77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Q501" t="s">
        <v>4848</v>
      </c>
      <c r="R501">
        <v>193</v>
      </c>
      <c r="S501" t="b">
        <v>0</v>
      </c>
    </row>
    <row r="502" spans="1:19" x14ac:dyDescent="0.25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x14ac:dyDescent="0.25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37.119309999999999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x14ac:dyDescent="0.25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140.45570000000001</v>
      </c>
      <c r="H504" t="s">
        <v>77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 x14ac:dyDescent="0.25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 x14ac:dyDescent="0.25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x14ac:dyDescent="0.25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S507" t="b">
        <v>0</v>
      </c>
    </row>
    <row r="508" spans="1:19" x14ac:dyDescent="0.25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212.42009999999999</v>
      </c>
      <c r="H508" t="s">
        <v>77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 t="s">
        <v>4848</v>
      </c>
      <c r="R508">
        <v>122</v>
      </c>
      <c r="S508" t="b">
        <v>0</v>
      </c>
    </row>
    <row r="509" spans="1:19" x14ac:dyDescent="0.25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S509" t="b">
        <v>0</v>
      </c>
    </row>
    <row r="510" spans="1:19" x14ac:dyDescent="0.25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9.1321779999999997</v>
      </c>
      <c r="H510" t="s">
        <v>77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 t="s">
        <v>4848</v>
      </c>
      <c r="R510">
        <v>121</v>
      </c>
      <c r="S510" t="b">
        <v>0</v>
      </c>
    </row>
    <row r="511" spans="1:19" x14ac:dyDescent="0.25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S511" t="b">
        <v>0</v>
      </c>
    </row>
    <row r="512" spans="1:19" x14ac:dyDescent="0.25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90.933940000000007</v>
      </c>
      <c r="H512" t="s">
        <v>77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 t="s">
        <v>4848</v>
      </c>
      <c r="R512">
        <v>80</v>
      </c>
      <c r="S512" t="b">
        <v>0</v>
      </c>
    </row>
    <row r="513" spans="1:19" x14ac:dyDescent="0.25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 x14ac:dyDescent="0.25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61.413020000000003</v>
      </c>
      <c r="H514" t="s">
        <v>77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Q514" t="s">
        <v>4848</v>
      </c>
      <c r="R514">
        <v>169</v>
      </c>
      <c r="S514" t="b">
        <v>0</v>
      </c>
    </row>
    <row r="515" spans="1:19" x14ac:dyDescent="0.25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S515" t="b">
        <v>0</v>
      </c>
    </row>
    <row r="516" spans="1:19" x14ac:dyDescent="0.25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15.074999999999999</v>
      </c>
      <c r="H516" t="s">
        <v>76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x14ac:dyDescent="0.25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O517" t="s">
        <v>4846</v>
      </c>
      <c r="S517" t="b">
        <v>0</v>
      </c>
    </row>
    <row r="518" spans="1:19" x14ac:dyDescent="0.25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 t="s">
        <v>4849</v>
      </c>
      <c r="R518">
        <v>134</v>
      </c>
      <c r="S518" t="b">
        <v>0</v>
      </c>
    </row>
    <row r="519" spans="1:19" x14ac:dyDescent="0.25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S519" t="b">
        <v>0</v>
      </c>
    </row>
    <row r="520" spans="1:19" x14ac:dyDescent="0.25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x14ac:dyDescent="0.25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34.395519999999998</v>
      </c>
      <c r="H521" t="s">
        <v>77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x14ac:dyDescent="0.25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x14ac:dyDescent="0.25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x14ac:dyDescent="0.25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x14ac:dyDescent="0.25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S525" t="b">
        <v>0</v>
      </c>
    </row>
    <row r="526" spans="1:19" x14ac:dyDescent="0.25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S526" t="b">
        <v>0</v>
      </c>
    </row>
    <row r="527" spans="1:19" x14ac:dyDescent="0.25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 x14ac:dyDescent="0.25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S528" t="b">
        <v>0</v>
      </c>
    </row>
    <row r="529" spans="1:19" x14ac:dyDescent="0.25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S529" t="b">
        <v>0</v>
      </c>
    </row>
    <row r="530" spans="1:19" x14ac:dyDescent="0.25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S530" t="b">
        <v>0</v>
      </c>
    </row>
    <row r="531" spans="1:19" x14ac:dyDescent="0.25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 x14ac:dyDescent="0.25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 x14ac:dyDescent="0.25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S533" t="b">
        <v>0</v>
      </c>
    </row>
    <row r="534" spans="1:19" x14ac:dyDescent="0.25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 x14ac:dyDescent="0.25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x14ac:dyDescent="0.25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S536" t="b">
        <v>0</v>
      </c>
    </row>
    <row r="537" spans="1:19" x14ac:dyDescent="0.25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176.81700000000001</v>
      </c>
      <c r="H537" t="s">
        <v>77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 t="s">
        <v>4848</v>
      </c>
      <c r="R537">
        <v>141</v>
      </c>
      <c r="S537" t="b">
        <v>0</v>
      </c>
    </row>
    <row r="538" spans="1:19" x14ac:dyDescent="0.25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386.40750000000003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 x14ac:dyDescent="0.25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x14ac:dyDescent="0.25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205.20079999999999</v>
      </c>
      <c r="H540" t="s">
        <v>77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 x14ac:dyDescent="0.25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60.963470000000001</v>
      </c>
      <c r="H541" t="s">
        <v>77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x14ac:dyDescent="0.25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Q542" t="s">
        <v>4848</v>
      </c>
      <c r="R542">
        <v>44</v>
      </c>
      <c r="S542" t="b">
        <v>0</v>
      </c>
    </row>
    <row r="543" spans="1:19" x14ac:dyDescent="0.25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 t="s">
        <v>4849</v>
      </c>
      <c r="R543">
        <v>72</v>
      </c>
      <c r="S543" t="b">
        <v>0</v>
      </c>
    </row>
    <row r="544" spans="1:19" x14ac:dyDescent="0.25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S544" t="b">
        <v>0</v>
      </c>
    </row>
    <row r="545" spans="1:19" x14ac:dyDescent="0.25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x14ac:dyDescent="0.25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242.18790000000001</v>
      </c>
      <c r="H546" t="s">
        <v>77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Q546" t="s">
        <v>4848</v>
      </c>
      <c r="R546">
        <v>85</v>
      </c>
      <c r="S546" t="b">
        <v>0</v>
      </c>
    </row>
    <row r="547" spans="1:19" x14ac:dyDescent="0.25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47.053640000000001</v>
      </c>
      <c r="H547" t="s">
        <v>77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x14ac:dyDescent="0.25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 x14ac:dyDescent="0.25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x14ac:dyDescent="0.25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S550" t="b">
        <v>0</v>
      </c>
    </row>
    <row r="551" spans="1:19" x14ac:dyDescent="0.25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S551" t="b">
        <v>0</v>
      </c>
    </row>
    <row r="552" spans="1:19" x14ac:dyDescent="0.25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S552" t="b">
        <v>0</v>
      </c>
    </row>
    <row r="553" spans="1:19" x14ac:dyDescent="0.25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 x14ac:dyDescent="0.25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S554" t="b">
        <v>0</v>
      </c>
    </row>
    <row r="555" spans="1:19" x14ac:dyDescent="0.25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 x14ac:dyDescent="0.25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Q556" t="s">
        <v>4849</v>
      </c>
      <c r="R556">
        <v>88</v>
      </c>
      <c r="S556" t="b">
        <v>0</v>
      </c>
    </row>
    <row r="557" spans="1:19" x14ac:dyDescent="0.25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94.644990000000007</v>
      </c>
      <c r="H557" t="s">
        <v>77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x14ac:dyDescent="0.25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S558" t="b">
        <v>0</v>
      </c>
    </row>
    <row r="559" spans="1:19" x14ac:dyDescent="0.25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 x14ac:dyDescent="0.25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x14ac:dyDescent="0.25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S561" t="b">
        <v>0</v>
      </c>
    </row>
    <row r="562" spans="1:19" x14ac:dyDescent="0.25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65.309179999999998</v>
      </c>
      <c r="H562" t="s">
        <v>77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Q562" t="s">
        <v>4848</v>
      </c>
      <c r="R562">
        <v>208</v>
      </c>
      <c r="S562" t="b">
        <v>0</v>
      </c>
    </row>
    <row r="563" spans="1:19" x14ac:dyDescent="0.25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S563" t="b">
        <v>0</v>
      </c>
    </row>
    <row r="564" spans="1:19" x14ac:dyDescent="0.25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S564" t="b">
        <v>0</v>
      </c>
    </row>
    <row r="565" spans="1:19" x14ac:dyDescent="0.25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161.17060000000001</v>
      </c>
      <c r="H565" t="s">
        <v>77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 t="s">
        <v>4848</v>
      </c>
      <c r="R565">
        <v>158</v>
      </c>
      <c r="S565" t="b">
        <v>0</v>
      </c>
    </row>
    <row r="566" spans="1:19" x14ac:dyDescent="0.25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S566" t="b">
        <v>0</v>
      </c>
    </row>
    <row r="567" spans="1:19" x14ac:dyDescent="0.25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x14ac:dyDescent="0.25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S568" t="b">
        <v>0</v>
      </c>
    </row>
    <row r="569" spans="1:19" x14ac:dyDescent="0.25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S569" t="b">
        <v>0</v>
      </c>
    </row>
    <row r="570" spans="1:19" x14ac:dyDescent="0.25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S570" t="b">
        <v>0</v>
      </c>
    </row>
    <row r="571" spans="1:19" x14ac:dyDescent="0.25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9.3059999999999992</v>
      </c>
      <c r="H571" t="s">
        <v>76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x14ac:dyDescent="0.25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x14ac:dyDescent="0.25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S573" t="b">
        <v>0</v>
      </c>
    </row>
    <row r="574" spans="1:19" x14ac:dyDescent="0.25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160.80000000000001</v>
      </c>
      <c r="H574" t="s">
        <v>76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x14ac:dyDescent="0.25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185.05889999999999</v>
      </c>
      <c r="H575" t="s">
        <v>77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 x14ac:dyDescent="0.25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S576" t="b">
        <v>0</v>
      </c>
    </row>
    <row r="577" spans="1:19" x14ac:dyDescent="0.25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S577" t="b">
        <v>0</v>
      </c>
    </row>
    <row r="578" spans="1:19" x14ac:dyDescent="0.25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S578" t="b">
        <v>0</v>
      </c>
    </row>
    <row r="579" spans="1:19" x14ac:dyDescent="0.25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x14ac:dyDescent="0.25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S580" t="b">
        <v>0</v>
      </c>
    </row>
    <row r="581" spans="1:19" x14ac:dyDescent="0.25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17.550360000000001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x14ac:dyDescent="0.25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 x14ac:dyDescent="0.25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 x14ac:dyDescent="0.25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S584" t="b">
        <v>0</v>
      </c>
    </row>
    <row r="585" spans="1:19" x14ac:dyDescent="0.25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S585" t="b">
        <v>0</v>
      </c>
    </row>
    <row r="586" spans="1:19" x14ac:dyDescent="0.25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277.39999999999998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x14ac:dyDescent="0.25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113.64100000000001</v>
      </c>
      <c r="H587" t="s">
        <v>77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x14ac:dyDescent="0.25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 x14ac:dyDescent="0.25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331.95819999999998</v>
      </c>
      <c r="H589" t="s">
        <v>77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x14ac:dyDescent="0.25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x14ac:dyDescent="0.25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76.260000000000005</v>
      </c>
      <c r="H591" t="s">
        <v>76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x14ac:dyDescent="0.25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S592" t="b">
        <v>0</v>
      </c>
    </row>
    <row r="593" spans="1:19" x14ac:dyDescent="0.25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S593" t="b">
        <v>0</v>
      </c>
    </row>
    <row r="594" spans="1:19" x14ac:dyDescent="0.25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 x14ac:dyDescent="0.25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S595" t="b">
        <v>0</v>
      </c>
    </row>
    <row r="596" spans="1:19" x14ac:dyDescent="0.25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 x14ac:dyDescent="0.25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4.2839999999999998</v>
      </c>
      <c r="H597" t="s">
        <v>76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 t="s">
        <v>4849</v>
      </c>
      <c r="R598">
        <v>15</v>
      </c>
      <c r="S598" t="b">
        <v>1</v>
      </c>
    </row>
    <row r="599" spans="1:19" x14ac:dyDescent="0.25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136.93860000000001</v>
      </c>
      <c r="H599" t="s">
        <v>77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x14ac:dyDescent="0.25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115.79179999999999</v>
      </c>
      <c r="H600" t="s">
        <v>77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x14ac:dyDescent="0.25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15.355460000000001</v>
      </c>
      <c r="H601" t="s">
        <v>77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 x14ac:dyDescent="0.25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 x14ac:dyDescent="0.25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S603" t="b">
        <v>0</v>
      </c>
    </row>
    <row r="604" spans="1:19" x14ac:dyDescent="0.25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 x14ac:dyDescent="0.25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 t="s">
        <v>4848</v>
      </c>
      <c r="R605">
        <v>93</v>
      </c>
      <c r="S605" t="b">
        <v>0</v>
      </c>
    </row>
    <row r="606" spans="1:19" x14ac:dyDescent="0.25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S606" t="b">
        <v>0</v>
      </c>
    </row>
    <row r="607" spans="1:19" x14ac:dyDescent="0.25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S607" t="b">
        <v>0</v>
      </c>
    </row>
    <row r="608" spans="1:19" x14ac:dyDescent="0.25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S608" t="b">
        <v>0</v>
      </c>
    </row>
    <row r="609" spans="1:19" x14ac:dyDescent="0.25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S609" t="b">
        <v>0</v>
      </c>
    </row>
    <row r="610" spans="1:19" x14ac:dyDescent="0.25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S610" t="b">
        <v>0</v>
      </c>
    </row>
    <row r="611" spans="1:19" x14ac:dyDescent="0.25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S611" t="b">
        <v>0</v>
      </c>
    </row>
    <row r="612" spans="1:19" x14ac:dyDescent="0.25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x14ac:dyDescent="0.25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S613" t="b">
        <v>0</v>
      </c>
    </row>
    <row r="614" spans="1:19" x14ac:dyDescent="0.25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S614" t="b">
        <v>0</v>
      </c>
    </row>
    <row r="615" spans="1:19" x14ac:dyDescent="0.25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S615" t="b">
        <v>0</v>
      </c>
    </row>
    <row r="616" spans="1:19" x14ac:dyDescent="0.25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319.72320000000002</v>
      </c>
      <c r="H616" t="s">
        <v>77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 t="s">
        <v>4848</v>
      </c>
      <c r="R616">
        <v>15</v>
      </c>
      <c r="S616" t="b">
        <v>1</v>
      </c>
    </row>
    <row r="617" spans="1:19" x14ac:dyDescent="0.25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 x14ac:dyDescent="0.25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195.71600000000001</v>
      </c>
      <c r="H618" t="s">
        <v>77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Q618" t="s">
        <v>4848</v>
      </c>
      <c r="R618">
        <v>38</v>
      </c>
      <c r="S618" t="b">
        <v>0</v>
      </c>
    </row>
    <row r="619" spans="1:19" x14ac:dyDescent="0.25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S619" t="b">
        <v>0</v>
      </c>
    </row>
    <row r="620" spans="1:19" x14ac:dyDescent="0.25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4.6454230000000001</v>
      </c>
      <c r="H620" t="s">
        <v>77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S620" t="b">
        <v>0</v>
      </c>
    </row>
    <row r="621" spans="1:19" x14ac:dyDescent="0.25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 x14ac:dyDescent="0.25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S622" t="b">
        <v>0</v>
      </c>
    </row>
    <row r="623" spans="1:19" x14ac:dyDescent="0.25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S623" t="b">
        <v>0</v>
      </c>
    </row>
    <row r="624" spans="1:19" x14ac:dyDescent="0.25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145.52430000000001</v>
      </c>
      <c r="H624" t="s">
        <v>77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Q624" t="s">
        <v>4848</v>
      </c>
      <c r="R624">
        <v>83</v>
      </c>
      <c r="S624" t="b">
        <v>0</v>
      </c>
    </row>
    <row r="625" spans="1:19" x14ac:dyDescent="0.25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S625" t="b">
        <v>0</v>
      </c>
    </row>
    <row r="626" spans="1:19" x14ac:dyDescent="0.25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24.663930000000001</v>
      </c>
      <c r="H626" t="s">
        <v>77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 t="s">
        <v>4848</v>
      </c>
      <c r="R626">
        <v>156</v>
      </c>
      <c r="S626" t="b">
        <v>0</v>
      </c>
    </row>
    <row r="627" spans="1:19" x14ac:dyDescent="0.25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S627" t="b">
        <v>0</v>
      </c>
    </row>
    <row r="628" spans="1:19" x14ac:dyDescent="0.25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S628" t="b">
        <v>0</v>
      </c>
    </row>
    <row r="629" spans="1:19" x14ac:dyDescent="0.25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344.29899999999998</v>
      </c>
      <c r="H629" t="s">
        <v>77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Q629" t="s">
        <v>4848</v>
      </c>
      <c r="R629">
        <v>184</v>
      </c>
      <c r="S629" t="b">
        <v>0</v>
      </c>
    </row>
    <row r="630" spans="1:19" x14ac:dyDescent="0.25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542.04240000000004</v>
      </c>
      <c r="H630" t="s">
        <v>77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 t="s">
        <v>4848</v>
      </c>
      <c r="R630">
        <v>145</v>
      </c>
      <c r="S630" t="b">
        <v>0</v>
      </c>
    </row>
    <row r="631" spans="1:19" x14ac:dyDescent="0.25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Q631" t="s">
        <v>4849</v>
      </c>
      <c r="R631">
        <v>116</v>
      </c>
      <c r="S631" t="b">
        <v>0</v>
      </c>
    </row>
    <row r="632" spans="1:19" x14ac:dyDescent="0.25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S632" t="b">
        <v>0</v>
      </c>
    </row>
    <row r="633" spans="1:19" x14ac:dyDescent="0.25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x14ac:dyDescent="0.25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13.504339999999999</v>
      </c>
      <c r="H634" t="s">
        <v>77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Q634" t="s">
        <v>4848</v>
      </c>
      <c r="R634">
        <v>179</v>
      </c>
      <c r="S634" t="b">
        <v>0</v>
      </c>
    </row>
    <row r="635" spans="1:19" x14ac:dyDescent="0.25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x14ac:dyDescent="0.25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S636" t="b">
        <v>0</v>
      </c>
    </row>
    <row r="637" spans="1:19" x14ac:dyDescent="0.25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227.97829999999999</v>
      </c>
      <c r="H637" t="s">
        <v>77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 t="s">
        <v>4848</v>
      </c>
      <c r="R637">
        <v>21</v>
      </c>
      <c r="S637" t="b">
        <v>0</v>
      </c>
    </row>
    <row r="638" spans="1:19" x14ac:dyDescent="0.25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S638" t="b">
        <v>0</v>
      </c>
    </row>
    <row r="639" spans="1:19" x14ac:dyDescent="0.25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442.12619999999998</v>
      </c>
      <c r="H639" t="s">
        <v>77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x14ac:dyDescent="0.25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S640" t="b">
        <v>0</v>
      </c>
    </row>
    <row r="641" spans="1:19" x14ac:dyDescent="0.25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 x14ac:dyDescent="0.25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 x14ac:dyDescent="0.25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x14ac:dyDescent="0.25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S644" t="b">
        <v>0</v>
      </c>
    </row>
    <row r="645" spans="1:19" x14ac:dyDescent="0.25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S645" t="b">
        <v>0</v>
      </c>
    </row>
    <row r="646" spans="1:19" x14ac:dyDescent="0.25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 x14ac:dyDescent="0.25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Q647" t="s">
        <v>4849</v>
      </c>
      <c r="R647">
        <v>125</v>
      </c>
      <c r="S647" t="b">
        <v>0</v>
      </c>
    </row>
    <row r="648" spans="1:19" x14ac:dyDescent="0.25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S648" t="b">
        <v>0</v>
      </c>
    </row>
    <row r="649" spans="1:19" x14ac:dyDescent="0.25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 x14ac:dyDescent="0.25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 x14ac:dyDescent="0.25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S651" t="b">
        <v>0</v>
      </c>
    </row>
    <row r="652" spans="1:19" x14ac:dyDescent="0.25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S652" t="b">
        <v>0</v>
      </c>
    </row>
    <row r="653" spans="1:19" x14ac:dyDescent="0.25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18.576000000000001</v>
      </c>
      <c r="H653" t="s">
        <v>76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Q653" t="s">
        <v>4849</v>
      </c>
      <c r="R653">
        <v>19</v>
      </c>
      <c r="S653" t="b">
        <v>0</v>
      </c>
    </row>
    <row r="654" spans="1:19" x14ac:dyDescent="0.25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70.853710000000007</v>
      </c>
      <c r="H654" t="s">
        <v>77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 x14ac:dyDescent="0.25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 x14ac:dyDescent="0.25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 x14ac:dyDescent="0.25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283.27379999999999</v>
      </c>
      <c r="H657" t="s">
        <v>77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x14ac:dyDescent="0.25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S658" t="b">
        <v>0</v>
      </c>
    </row>
    <row r="659" spans="1:19" x14ac:dyDescent="0.25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O659" t="s">
        <v>4846</v>
      </c>
      <c r="S659" t="b">
        <v>0</v>
      </c>
    </row>
    <row r="660" spans="1:19" x14ac:dyDescent="0.25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17.673760000000001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 x14ac:dyDescent="0.25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182.12350000000001</v>
      </c>
      <c r="H661" t="s">
        <v>77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x14ac:dyDescent="0.25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155.24700000000001</v>
      </c>
      <c r="H662" t="s">
        <v>77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x14ac:dyDescent="0.25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 x14ac:dyDescent="0.25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S664" t="b">
        <v>0</v>
      </c>
    </row>
    <row r="665" spans="1:19" x14ac:dyDescent="0.25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42.020359999999997</v>
      </c>
      <c r="H665" t="s">
        <v>77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x14ac:dyDescent="0.25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S666" t="b">
        <v>0</v>
      </c>
    </row>
    <row r="667" spans="1:19" x14ac:dyDescent="0.25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32.700000000000003</v>
      </c>
      <c r="H667" t="s">
        <v>76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Q667" t="s">
        <v>4849</v>
      </c>
      <c r="R667">
        <v>126</v>
      </c>
      <c r="S667" t="b">
        <v>0</v>
      </c>
    </row>
    <row r="668" spans="1:19" x14ac:dyDescent="0.25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S668" t="b">
        <v>0</v>
      </c>
    </row>
    <row r="669" spans="1:19" x14ac:dyDescent="0.25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4.7519999999999998</v>
      </c>
      <c r="H669" t="s">
        <v>76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Q669" t="s">
        <v>4849</v>
      </c>
      <c r="R669">
        <v>16</v>
      </c>
      <c r="S669" t="b">
        <v>0</v>
      </c>
    </row>
    <row r="670" spans="1:19" x14ac:dyDescent="0.25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 x14ac:dyDescent="0.25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66.111339999999998</v>
      </c>
      <c r="H671" t="s">
        <v>77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x14ac:dyDescent="0.25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634.78340000000003</v>
      </c>
      <c r="H672" t="s">
        <v>77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 t="s">
        <v>4848</v>
      </c>
      <c r="R672">
        <v>25</v>
      </c>
      <c r="S672" t="b">
        <v>0</v>
      </c>
    </row>
    <row r="673" spans="1:19" x14ac:dyDescent="0.25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475.59609999999998</v>
      </c>
      <c r="H673" t="s">
        <v>77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x14ac:dyDescent="0.25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S674" t="b">
        <v>0</v>
      </c>
    </row>
    <row r="675" spans="1:19" x14ac:dyDescent="0.25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S675" t="b">
        <v>0</v>
      </c>
    </row>
    <row r="676" spans="1:19" x14ac:dyDescent="0.25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S676" t="b">
        <v>0</v>
      </c>
    </row>
    <row r="677" spans="1:19" x14ac:dyDescent="0.25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29.097799999999999</v>
      </c>
      <c r="H677" t="s">
        <v>77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x14ac:dyDescent="0.25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x14ac:dyDescent="0.25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x14ac:dyDescent="0.25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x14ac:dyDescent="0.25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x14ac:dyDescent="0.25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S682" t="b">
        <v>0</v>
      </c>
    </row>
    <row r="683" spans="1:19" x14ac:dyDescent="0.25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S683" t="b">
        <v>0</v>
      </c>
    </row>
    <row r="684" spans="1:19" x14ac:dyDescent="0.25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S684" t="b">
        <v>0</v>
      </c>
    </row>
    <row r="685" spans="1:19" x14ac:dyDescent="0.25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 x14ac:dyDescent="0.25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S686" t="b">
        <v>0</v>
      </c>
    </row>
    <row r="687" spans="1:19" x14ac:dyDescent="0.25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S687" t="b">
        <v>0</v>
      </c>
    </row>
    <row r="688" spans="1:19" x14ac:dyDescent="0.25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Q688" t="s">
        <v>4849</v>
      </c>
      <c r="R688">
        <v>119</v>
      </c>
      <c r="S688" t="b">
        <v>0</v>
      </c>
    </row>
    <row r="689" spans="1:19" x14ac:dyDescent="0.25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 x14ac:dyDescent="0.25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 x14ac:dyDescent="0.25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S691" t="b">
        <v>0</v>
      </c>
    </row>
    <row r="692" spans="1:19" x14ac:dyDescent="0.25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S692" t="b">
        <v>0</v>
      </c>
    </row>
    <row r="693" spans="1:19" x14ac:dyDescent="0.25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x14ac:dyDescent="0.25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 t="s">
        <v>4848</v>
      </c>
      <c r="R694">
        <v>221</v>
      </c>
      <c r="S694" t="b">
        <v>0</v>
      </c>
    </row>
    <row r="695" spans="1:19" x14ac:dyDescent="0.25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 x14ac:dyDescent="0.25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S696" t="b">
        <v>0</v>
      </c>
    </row>
    <row r="697" spans="1:19" x14ac:dyDescent="0.25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S697" t="b">
        <v>0</v>
      </c>
    </row>
    <row r="698" spans="1:19" x14ac:dyDescent="0.25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S698" t="b">
        <v>0</v>
      </c>
    </row>
    <row r="699" spans="1:19" x14ac:dyDescent="0.25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S699" t="b">
        <v>0</v>
      </c>
    </row>
    <row r="700" spans="1:19" x14ac:dyDescent="0.25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 x14ac:dyDescent="0.25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S701" t="b">
        <v>0</v>
      </c>
    </row>
    <row r="702" spans="1:19" x14ac:dyDescent="0.25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S702" t="b">
        <v>0</v>
      </c>
    </row>
    <row r="703" spans="1:19" x14ac:dyDescent="0.25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S703" t="b">
        <v>0</v>
      </c>
    </row>
    <row r="704" spans="1:19" x14ac:dyDescent="0.25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S704" t="b">
        <v>0</v>
      </c>
    </row>
    <row r="705" spans="1:19" x14ac:dyDescent="0.25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S705" t="b">
        <v>0</v>
      </c>
    </row>
    <row r="706" spans="1:19" x14ac:dyDescent="0.25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S706" t="b">
        <v>0</v>
      </c>
    </row>
    <row r="707" spans="1:19" x14ac:dyDescent="0.25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39.693240000000003</v>
      </c>
      <c r="H707" t="s">
        <v>77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S707" t="b">
        <v>0</v>
      </c>
    </row>
    <row r="708" spans="1:19" x14ac:dyDescent="0.25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S708" t="b">
        <v>0</v>
      </c>
    </row>
    <row r="709" spans="1:19" x14ac:dyDescent="0.25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x14ac:dyDescent="0.25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S710" t="b">
        <v>0</v>
      </c>
    </row>
    <row r="711" spans="1:19" x14ac:dyDescent="0.25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S711" t="b">
        <v>0</v>
      </c>
    </row>
    <row r="712" spans="1:19" x14ac:dyDescent="0.25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x14ac:dyDescent="0.25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86.376660000000001</v>
      </c>
      <c r="H713" t="s">
        <v>77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Q713" t="s">
        <v>4848</v>
      </c>
      <c r="R713">
        <v>86</v>
      </c>
      <c r="S713" t="b">
        <v>0</v>
      </c>
    </row>
    <row r="714" spans="1:19" x14ac:dyDescent="0.25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S714" t="b">
        <v>0</v>
      </c>
    </row>
    <row r="715" spans="1:19" x14ac:dyDescent="0.25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229.81180000000001</v>
      </c>
      <c r="H715" t="s">
        <v>77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Q715" t="s">
        <v>4848</v>
      </c>
      <c r="R715">
        <v>9</v>
      </c>
      <c r="S715" t="b">
        <v>1</v>
      </c>
    </row>
    <row r="716" spans="1:19" x14ac:dyDescent="0.25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 x14ac:dyDescent="0.25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S717" t="b">
        <v>0</v>
      </c>
    </row>
    <row r="718" spans="1:19" x14ac:dyDescent="0.25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19.414999999999999</v>
      </c>
      <c r="H718" t="s">
        <v>76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Q718" t="s">
        <v>4849</v>
      </c>
      <c r="R718">
        <v>114</v>
      </c>
      <c r="S718" t="b">
        <v>0</v>
      </c>
    </row>
    <row r="719" spans="1:19" x14ac:dyDescent="0.25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S719" t="b">
        <v>0</v>
      </c>
    </row>
    <row r="720" spans="1:19" x14ac:dyDescent="0.25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 x14ac:dyDescent="0.25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16.010000000000002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x14ac:dyDescent="0.25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 x14ac:dyDescent="0.25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S723" t="b">
        <v>0</v>
      </c>
    </row>
    <row r="724" spans="1:19" x14ac:dyDescent="0.25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S724" t="b">
        <v>0</v>
      </c>
    </row>
    <row r="725" spans="1:19" x14ac:dyDescent="0.25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S725" t="b">
        <v>0</v>
      </c>
    </row>
    <row r="726" spans="1:19" x14ac:dyDescent="0.25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S726" t="b">
        <v>0</v>
      </c>
    </row>
    <row r="727" spans="1:19" x14ac:dyDescent="0.25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S727" t="b">
        <v>0</v>
      </c>
    </row>
    <row r="728" spans="1:19" x14ac:dyDescent="0.25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S728" t="b">
        <v>0</v>
      </c>
    </row>
    <row r="729" spans="1:19" x14ac:dyDescent="0.25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S729" t="b">
        <v>0</v>
      </c>
    </row>
    <row r="730" spans="1:19" x14ac:dyDescent="0.25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</v>
      </c>
      <c r="H730" t="s">
        <v>76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Q730" t="s">
        <v>4849</v>
      </c>
      <c r="R730">
        <v>46</v>
      </c>
      <c r="S730" t="b">
        <v>0</v>
      </c>
    </row>
    <row r="731" spans="1:19" x14ac:dyDescent="0.25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S731" t="b">
        <v>0</v>
      </c>
    </row>
    <row r="732" spans="1:19" x14ac:dyDescent="0.25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S732" t="b">
        <v>0</v>
      </c>
    </row>
    <row r="733" spans="1:19" x14ac:dyDescent="0.25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S733" t="b">
        <v>0</v>
      </c>
    </row>
    <row r="734" spans="1:19" x14ac:dyDescent="0.25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 x14ac:dyDescent="0.25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72.625500000000002</v>
      </c>
      <c r="H735" t="s">
        <v>77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x14ac:dyDescent="0.25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x14ac:dyDescent="0.25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 x14ac:dyDescent="0.25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20.917629999999999</v>
      </c>
      <c r="H738" t="s">
        <v>77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x14ac:dyDescent="0.25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S739" t="b">
        <v>0</v>
      </c>
    </row>
    <row r="740" spans="1:19" x14ac:dyDescent="0.25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S740" t="b">
        <v>0</v>
      </c>
    </row>
    <row r="741" spans="1:19" x14ac:dyDescent="0.25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 t="s">
        <v>4849</v>
      </c>
      <c r="R741">
        <v>57</v>
      </c>
      <c r="S741" t="b">
        <v>0</v>
      </c>
    </row>
    <row r="742" spans="1:19" x14ac:dyDescent="0.25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x14ac:dyDescent="0.25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x14ac:dyDescent="0.25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29.018470000000001</v>
      </c>
      <c r="H744" t="s">
        <v>77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x14ac:dyDescent="0.25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 x14ac:dyDescent="0.25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Q746" t="s">
        <v>4848</v>
      </c>
      <c r="R746">
        <v>219</v>
      </c>
      <c r="S746" t="b">
        <v>0</v>
      </c>
    </row>
    <row r="747" spans="1:19" x14ac:dyDescent="0.25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S747" t="b">
        <v>0</v>
      </c>
    </row>
    <row r="748" spans="1:19" x14ac:dyDescent="0.25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141.06389999999999</v>
      </c>
      <c r="H748" t="s">
        <v>77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Q748" t="s">
        <v>4848</v>
      </c>
      <c r="R748">
        <v>155</v>
      </c>
      <c r="S748" t="b">
        <v>0</v>
      </c>
    </row>
    <row r="749" spans="1:19" x14ac:dyDescent="0.25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S749" t="b">
        <v>0</v>
      </c>
    </row>
    <row r="750" spans="1:19" x14ac:dyDescent="0.25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x14ac:dyDescent="0.25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S751" t="b">
        <v>0</v>
      </c>
    </row>
    <row r="752" spans="1:19" x14ac:dyDescent="0.25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24.558160000000001</v>
      </c>
      <c r="H752" t="s">
        <v>77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x14ac:dyDescent="0.25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S753" t="b">
        <v>0</v>
      </c>
    </row>
    <row r="754" spans="1:19" x14ac:dyDescent="0.25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x14ac:dyDescent="0.25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 x14ac:dyDescent="0.25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S756" t="b">
        <v>0</v>
      </c>
    </row>
    <row r="757" spans="1:19" x14ac:dyDescent="0.25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40.840000000000003</v>
      </c>
      <c r="H757" t="s">
        <v>76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 t="s">
        <v>4849</v>
      </c>
      <c r="R757">
        <v>121</v>
      </c>
      <c r="S757" t="b">
        <v>0</v>
      </c>
    </row>
    <row r="758" spans="1:19" x14ac:dyDescent="0.25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 x14ac:dyDescent="0.25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x14ac:dyDescent="0.25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667.43359999999996</v>
      </c>
      <c r="H760" t="s">
        <v>77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 x14ac:dyDescent="0.25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34.020000000000003</v>
      </c>
      <c r="H761" t="s">
        <v>76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x14ac:dyDescent="0.25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 x14ac:dyDescent="0.25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S763" t="b">
        <v>0</v>
      </c>
    </row>
    <row r="764" spans="1:19" x14ac:dyDescent="0.25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S764" t="b">
        <v>0</v>
      </c>
    </row>
    <row r="765" spans="1:19" x14ac:dyDescent="0.25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S765" t="b">
        <v>0</v>
      </c>
    </row>
    <row r="766" spans="1:19" x14ac:dyDescent="0.25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 x14ac:dyDescent="0.25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S767" t="b">
        <v>0</v>
      </c>
    </row>
    <row r="768" spans="1:19" x14ac:dyDescent="0.25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 x14ac:dyDescent="0.25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Q769" t="s">
        <v>4849</v>
      </c>
      <c r="R769">
        <v>43</v>
      </c>
      <c r="S769" t="b">
        <v>0</v>
      </c>
    </row>
    <row r="770" spans="1:19" x14ac:dyDescent="0.25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 x14ac:dyDescent="0.25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 x14ac:dyDescent="0.25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4.1449999999999996</v>
      </c>
      <c r="H772" t="s">
        <v>76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x14ac:dyDescent="0.25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23.183039999999998</v>
      </c>
      <c r="H773" t="s">
        <v>77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x14ac:dyDescent="0.25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60.461010000000002</v>
      </c>
      <c r="H774" t="s">
        <v>77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x14ac:dyDescent="0.25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 x14ac:dyDescent="0.25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 x14ac:dyDescent="0.25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 x14ac:dyDescent="0.25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S778" t="b">
        <v>0</v>
      </c>
    </row>
    <row r="779" spans="1:19" x14ac:dyDescent="0.25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 x14ac:dyDescent="0.25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 x14ac:dyDescent="0.25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S781" t="b">
        <v>0</v>
      </c>
    </row>
    <row r="782" spans="1:19" x14ac:dyDescent="0.25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 x14ac:dyDescent="0.25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209.34379999999999</v>
      </c>
      <c r="H783" t="s">
        <v>77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Q783" t="s">
        <v>4848</v>
      </c>
      <c r="R783">
        <v>113</v>
      </c>
      <c r="S783" t="b">
        <v>0</v>
      </c>
    </row>
    <row r="784" spans="1:19" x14ac:dyDescent="0.25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213.78639999999999</v>
      </c>
      <c r="H784" t="s">
        <v>77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x14ac:dyDescent="0.25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S785" t="b">
        <v>0</v>
      </c>
    </row>
    <row r="786" spans="1:19" x14ac:dyDescent="0.25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71.453119999999998</v>
      </c>
      <c r="H786" t="s">
        <v>77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 t="s">
        <v>4848</v>
      </c>
      <c r="R786">
        <v>56</v>
      </c>
      <c r="S786" t="b">
        <v>0</v>
      </c>
    </row>
    <row r="787" spans="1:19" x14ac:dyDescent="0.25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S787" t="b">
        <v>0</v>
      </c>
    </row>
    <row r="788" spans="1:19" x14ac:dyDescent="0.25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x14ac:dyDescent="0.25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S789" t="b">
        <v>0</v>
      </c>
    </row>
    <row r="790" spans="1:19" x14ac:dyDescent="0.25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S790" t="b">
        <v>0</v>
      </c>
    </row>
    <row r="791" spans="1:19" x14ac:dyDescent="0.25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x14ac:dyDescent="0.25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S792" t="b">
        <v>0</v>
      </c>
    </row>
    <row r="793" spans="1:19" x14ac:dyDescent="0.25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Q793" t="s">
        <v>4849</v>
      </c>
      <c r="R793">
        <v>31</v>
      </c>
      <c r="S793" t="b">
        <v>0</v>
      </c>
    </row>
    <row r="794" spans="1:19" x14ac:dyDescent="0.25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134.41759999999999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 x14ac:dyDescent="0.25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92.714529999999996</v>
      </c>
      <c r="H795" t="s">
        <v>77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 x14ac:dyDescent="0.25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x14ac:dyDescent="0.25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S797" t="b">
        <v>0</v>
      </c>
    </row>
    <row r="798" spans="1:19" x14ac:dyDescent="0.25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Q798" t="s">
        <v>4849</v>
      </c>
      <c r="R798">
        <v>45</v>
      </c>
      <c r="S798" t="b">
        <v>0</v>
      </c>
    </row>
    <row r="799" spans="1:19" x14ac:dyDescent="0.25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85.759619999999998</v>
      </c>
      <c r="H799" t="s">
        <v>77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 x14ac:dyDescent="0.25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S800" t="b">
        <v>0</v>
      </c>
    </row>
    <row r="801" spans="1:19" x14ac:dyDescent="0.25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404.51319999999998</v>
      </c>
      <c r="H801" t="s">
        <v>77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x14ac:dyDescent="0.25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 x14ac:dyDescent="0.25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 x14ac:dyDescent="0.25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S804" t="b">
        <v>0</v>
      </c>
    </row>
    <row r="805" spans="1:19" x14ac:dyDescent="0.25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 t="s">
        <v>4848</v>
      </c>
      <c r="R805">
        <v>171</v>
      </c>
      <c r="S805" t="b">
        <v>0</v>
      </c>
    </row>
    <row r="806" spans="1:19" x14ac:dyDescent="0.25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S806" t="b">
        <v>0</v>
      </c>
    </row>
    <row r="807" spans="1:19" x14ac:dyDescent="0.25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S807" t="b">
        <v>0</v>
      </c>
    </row>
    <row r="808" spans="1:19" x14ac:dyDescent="0.25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O808" t="s">
        <v>4846</v>
      </c>
      <c r="S808" t="b">
        <v>0</v>
      </c>
    </row>
    <row r="809" spans="1:19" x14ac:dyDescent="0.25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413.31040000000002</v>
      </c>
      <c r="H809" t="s">
        <v>77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Q809" t="s">
        <v>4848</v>
      </c>
      <c r="R809">
        <v>53</v>
      </c>
      <c r="S809" t="b">
        <v>0</v>
      </c>
    </row>
    <row r="810" spans="1:19" x14ac:dyDescent="0.25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 x14ac:dyDescent="0.25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S811" t="b">
        <v>0</v>
      </c>
    </row>
    <row r="812" spans="1:19" x14ac:dyDescent="0.25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S812" t="b">
        <v>0</v>
      </c>
    </row>
    <row r="813" spans="1:19" x14ac:dyDescent="0.25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S813" t="b">
        <v>0</v>
      </c>
    </row>
    <row r="814" spans="1:19" x14ac:dyDescent="0.25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Q814" t="s">
        <v>4849</v>
      </c>
      <c r="R814">
        <v>10</v>
      </c>
      <c r="S814" t="b">
        <v>1</v>
      </c>
    </row>
    <row r="815" spans="1:19" x14ac:dyDescent="0.25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S815" t="b">
        <v>0</v>
      </c>
    </row>
    <row r="816" spans="1:19" x14ac:dyDescent="0.25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Q816" t="s">
        <v>4849</v>
      </c>
      <c r="R816">
        <v>94</v>
      </c>
      <c r="S816" t="b">
        <v>0</v>
      </c>
    </row>
    <row r="817" spans="1:19" x14ac:dyDescent="0.25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x14ac:dyDescent="0.25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 x14ac:dyDescent="0.25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328.35300000000001</v>
      </c>
      <c r="H819" t="s">
        <v>77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x14ac:dyDescent="0.25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6.5540000000000003</v>
      </c>
      <c r="H820" t="s">
        <v>76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 x14ac:dyDescent="0.25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273.93009999999998</v>
      </c>
      <c r="H821" t="s">
        <v>77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 t="s">
        <v>4848</v>
      </c>
      <c r="R821">
        <v>146</v>
      </c>
      <c r="S821" t="b">
        <v>0</v>
      </c>
    </row>
    <row r="822" spans="1:19" x14ac:dyDescent="0.25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 x14ac:dyDescent="0.25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 x14ac:dyDescent="0.25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 x14ac:dyDescent="0.25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S825" t="b">
        <v>0</v>
      </c>
    </row>
    <row r="826" spans="1:19" x14ac:dyDescent="0.25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S826" t="b">
        <v>0</v>
      </c>
    </row>
    <row r="827" spans="1:19" x14ac:dyDescent="0.25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158.17359999999999</v>
      </c>
      <c r="H827" t="s">
        <v>77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Q827" t="s">
        <v>4848</v>
      </c>
      <c r="R827">
        <v>153</v>
      </c>
      <c r="S827" t="b">
        <v>0</v>
      </c>
    </row>
    <row r="828" spans="1:19" x14ac:dyDescent="0.25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S828" t="b">
        <v>0</v>
      </c>
    </row>
    <row r="829" spans="1:19" x14ac:dyDescent="0.25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S829" t="b">
        <v>0</v>
      </c>
    </row>
    <row r="830" spans="1:19" x14ac:dyDescent="0.25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S830" t="b">
        <v>0</v>
      </c>
    </row>
    <row r="831" spans="1:19" x14ac:dyDescent="0.25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 x14ac:dyDescent="0.25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5.0940000000000003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x14ac:dyDescent="0.25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O833" t="s">
        <v>4846</v>
      </c>
      <c r="S833" t="b">
        <v>0</v>
      </c>
    </row>
    <row r="834" spans="1:19" x14ac:dyDescent="0.25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S834" t="b">
        <v>0</v>
      </c>
    </row>
    <row r="835" spans="1:19" x14ac:dyDescent="0.25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S835" t="b">
        <v>0</v>
      </c>
    </row>
    <row r="836" spans="1:19" x14ac:dyDescent="0.25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140.25299999999999</v>
      </c>
      <c r="H836" t="s">
        <v>77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x14ac:dyDescent="0.25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1639.9580000000001</v>
      </c>
      <c r="H837" t="s">
        <v>77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x14ac:dyDescent="0.25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S838" t="b">
        <v>0</v>
      </c>
    </row>
    <row r="839" spans="1:19" x14ac:dyDescent="0.25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227.15860000000001</v>
      </c>
      <c r="H839" t="s">
        <v>77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 t="s">
        <v>4848</v>
      </c>
      <c r="R839">
        <v>92</v>
      </c>
      <c r="S839" t="b">
        <v>0</v>
      </c>
    </row>
    <row r="840" spans="1:19" x14ac:dyDescent="0.25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x14ac:dyDescent="0.25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x14ac:dyDescent="0.25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S842" t="b">
        <v>0</v>
      </c>
    </row>
    <row r="843" spans="1:19" x14ac:dyDescent="0.25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S843" t="b">
        <v>0</v>
      </c>
    </row>
    <row r="844" spans="1:19" x14ac:dyDescent="0.25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 t="s">
        <v>4848</v>
      </c>
      <c r="R844">
        <v>98</v>
      </c>
      <c r="S844" t="b">
        <v>0</v>
      </c>
    </row>
    <row r="845" spans="1:19" x14ac:dyDescent="0.25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496.78699999999998</v>
      </c>
      <c r="H845" t="s">
        <v>77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 x14ac:dyDescent="0.25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S846" t="b">
        <v>0</v>
      </c>
    </row>
    <row r="847" spans="1:19" x14ac:dyDescent="0.25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S847" t="b">
        <v>0</v>
      </c>
    </row>
    <row r="848" spans="1:19" x14ac:dyDescent="0.25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62.682360000000003</v>
      </c>
      <c r="H848" t="s">
        <v>77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x14ac:dyDescent="0.25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277.28859999999997</v>
      </c>
      <c r="H849" t="s">
        <v>77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 x14ac:dyDescent="0.25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 x14ac:dyDescent="0.25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631.22220000000004</v>
      </c>
      <c r="H851" t="s">
        <v>77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x14ac:dyDescent="0.25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 x14ac:dyDescent="0.25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S853" t="b">
        <v>0</v>
      </c>
    </row>
    <row r="854" spans="1:19" x14ac:dyDescent="0.25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x14ac:dyDescent="0.25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S855" t="b">
        <v>0</v>
      </c>
    </row>
    <row r="856" spans="1:19" x14ac:dyDescent="0.25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71.118160000000003</v>
      </c>
      <c r="H856" t="s">
        <v>77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x14ac:dyDescent="0.25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 x14ac:dyDescent="0.25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 x14ac:dyDescent="0.25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2210.6129999999998</v>
      </c>
      <c r="H859" t="s">
        <v>77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 x14ac:dyDescent="0.25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 x14ac:dyDescent="0.25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68.385570000000001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x14ac:dyDescent="0.25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x14ac:dyDescent="0.25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S863" t="b">
        <v>0</v>
      </c>
    </row>
    <row r="864" spans="1:19" x14ac:dyDescent="0.25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S864" t="b">
        <v>0</v>
      </c>
    </row>
    <row r="865" spans="1:19" x14ac:dyDescent="0.25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552.74369999999999</v>
      </c>
      <c r="H866" t="s">
        <v>77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 t="s">
        <v>4848</v>
      </c>
      <c r="R866">
        <v>5</v>
      </c>
      <c r="S866" t="b">
        <v>1</v>
      </c>
    </row>
    <row r="867" spans="1:19" x14ac:dyDescent="0.25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S867" t="b">
        <v>0</v>
      </c>
    </row>
    <row r="868" spans="1:19" x14ac:dyDescent="0.25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S868" t="b">
        <v>0</v>
      </c>
    </row>
    <row r="869" spans="1:19" x14ac:dyDescent="0.25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x14ac:dyDescent="0.25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 x14ac:dyDescent="0.25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 x14ac:dyDescent="0.25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982.09709999999995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 x14ac:dyDescent="0.25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Q873" t="s">
        <v>4849</v>
      </c>
      <c r="R873">
        <v>37</v>
      </c>
      <c r="S873" t="b">
        <v>0</v>
      </c>
    </row>
    <row r="874" spans="1:19" x14ac:dyDescent="0.25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49.530610000000003</v>
      </c>
      <c r="H874" t="s">
        <v>77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 x14ac:dyDescent="0.25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82.304209999999998</v>
      </c>
      <c r="H875" t="s">
        <v>77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 t="s">
        <v>4848</v>
      </c>
      <c r="R875">
        <v>55</v>
      </c>
      <c r="S875" t="b">
        <v>0</v>
      </c>
    </row>
    <row r="876" spans="1:19" x14ac:dyDescent="0.25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396.82670000000002</v>
      </c>
      <c r="H876" t="s">
        <v>77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 t="s">
        <v>4848</v>
      </c>
      <c r="R876">
        <v>1</v>
      </c>
      <c r="S876" t="b">
        <v>1</v>
      </c>
    </row>
    <row r="877" spans="1:19" x14ac:dyDescent="0.25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325.71730000000002</v>
      </c>
      <c r="H877" t="s">
        <v>77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 t="s">
        <v>4848</v>
      </c>
      <c r="R877">
        <v>61</v>
      </c>
      <c r="S877" t="b">
        <v>0</v>
      </c>
    </row>
    <row r="878" spans="1:19" x14ac:dyDescent="0.25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134.65559999999999</v>
      </c>
      <c r="H878" t="s">
        <v>77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x14ac:dyDescent="0.25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 x14ac:dyDescent="0.25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 x14ac:dyDescent="0.25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S881" t="b">
        <v>0</v>
      </c>
    </row>
    <row r="882" spans="1:19" x14ac:dyDescent="0.25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S882" t="b">
        <v>0</v>
      </c>
    </row>
    <row r="883" spans="1:19" x14ac:dyDescent="0.25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S883" t="b">
        <v>0</v>
      </c>
    </row>
    <row r="884" spans="1:19" x14ac:dyDescent="0.25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S884" t="b">
        <v>0</v>
      </c>
    </row>
    <row r="885" spans="1:19" x14ac:dyDescent="0.25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S885" t="b">
        <v>0</v>
      </c>
    </row>
    <row r="886" spans="1:19" x14ac:dyDescent="0.25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 x14ac:dyDescent="0.25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 x14ac:dyDescent="0.25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S888" t="b">
        <v>0</v>
      </c>
    </row>
    <row r="889" spans="1:19" x14ac:dyDescent="0.25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S889" t="b">
        <v>0</v>
      </c>
    </row>
    <row r="890" spans="1:19" x14ac:dyDescent="0.25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S890" t="b">
        <v>0</v>
      </c>
    </row>
    <row r="891" spans="1:19" x14ac:dyDescent="0.25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S891" t="b">
        <v>0</v>
      </c>
    </row>
    <row r="892" spans="1:19" x14ac:dyDescent="0.25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S892" t="b">
        <v>0</v>
      </c>
    </row>
    <row r="893" spans="1:19" x14ac:dyDescent="0.25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S893" t="b">
        <v>0</v>
      </c>
    </row>
    <row r="894" spans="1:19" x14ac:dyDescent="0.25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 x14ac:dyDescent="0.25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S895" t="b">
        <v>0</v>
      </c>
    </row>
    <row r="896" spans="1:19" x14ac:dyDescent="0.25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 x14ac:dyDescent="0.25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S897" t="b">
        <v>0</v>
      </c>
    </row>
    <row r="898" spans="1:19" x14ac:dyDescent="0.25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269.05549999999999</v>
      </c>
      <c r="H898" t="s">
        <v>77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x14ac:dyDescent="0.25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 x14ac:dyDescent="0.25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58.301380000000002</v>
      </c>
      <c r="H900" t="s">
        <v>77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x14ac:dyDescent="0.25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S901" t="b">
        <v>0</v>
      </c>
    </row>
    <row r="902" spans="1:19" x14ac:dyDescent="0.25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583.70140000000004</v>
      </c>
      <c r="H902" t="s">
        <v>77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 x14ac:dyDescent="0.25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S903" t="b">
        <v>0</v>
      </c>
    </row>
    <row r="904" spans="1:19" x14ac:dyDescent="0.25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55.850859999999997</v>
      </c>
      <c r="H904" t="s">
        <v>77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x14ac:dyDescent="0.25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413.98919999999998</v>
      </c>
      <c r="H905" t="s">
        <v>77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x14ac:dyDescent="0.25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111.12869999999999</v>
      </c>
      <c r="H906" t="s">
        <v>77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x14ac:dyDescent="0.25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x14ac:dyDescent="0.25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S908" t="b">
        <v>0</v>
      </c>
    </row>
    <row r="909" spans="1:19" x14ac:dyDescent="0.25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44.611930000000001</v>
      </c>
      <c r="H909" t="s">
        <v>77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x14ac:dyDescent="0.25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 x14ac:dyDescent="0.25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492.45890000000003</v>
      </c>
      <c r="H911" t="s">
        <v>77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x14ac:dyDescent="0.25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S912" t="b">
        <v>0</v>
      </c>
    </row>
    <row r="913" spans="1:19" x14ac:dyDescent="0.25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 x14ac:dyDescent="0.25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x14ac:dyDescent="0.25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S915" t="b">
        <v>0</v>
      </c>
    </row>
    <row r="916" spans="1:19" x14ac:dyDescent="0.25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72.087800000000001</v>
      </c>
      <c r="H916" t="s">
        <v>77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x14ac:dyDescent="0.25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S917" t="b">
        <v>0</v>
      </c>
    </row>
    <row r="918" spans="1:19" x14ac:dyDescent="0.25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 x14ac:dyDescent="0.25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135.14920000000001</v>
      </c>
      <c r="H919" t="s">
        <v>77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x14ac:dyDescent="0.25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S920" t="b">
        <v>0</v>
      </c>
    </row>
    <row r="921" spans="1:19" x14ac:dyDescent="0.25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x14ac:dyDescent="0.25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S922" t="b">
        <v>0</v>
      </c>
    </row>
    <row r="923" spans="1:19" x14ac:dyDescent="0.25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 x14ac:dyDescent="0.25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 x14ac:dyDescent="0.25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8.9540000000000006</v>
      </c>
      <c r="H925" t="s">
        <v>76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x14ac:dyDescent="0.25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S926" t="b">
        <v>0</v>
      </c>
    </row>
    <row r="927" spans="1:19" x14ac:dyDescent="0.25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86.385480000000001</v>
      </c>
      <c r="H927" t="s">
        <v>77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 t="s">
        <v>4848</v>
      </c>
      <c r="R927">
        <v>192</v>
      </c>
      <c r="S927" t="b">
        <v>0</v>
      </c>
    </row>
    <row r="928" spans="1:19" x14ac:dyDescent="0.25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 t="s">
        <v>4848</v>
      </c>
      <c r="R928">
        <v>11</v>
      </c>
      <c r="S928" t="b">
        <v>1</v>
      </c>
    </row>
    <row r="929" spans="1:19" x14ac:dyDescent="0.25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47.291640000000001</v>
      </c>
      <c r="H929" t="s">
        <v>77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x14ac:dyDescent="0.25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Q930" t="s">
        <v>4849</v>
      </c>
      <c r="R930">
        <v>112</v>
      </c>
      <c r="S930" t="b">
        <v>0</v>
      </c>
    </row>
    <row r="931" spans="1:19" x14ac:dyDescent="0.25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Q931" t="s">
        <v>4849</v>
      </c>
      <c r="R931">
        <v>123</v>
      </c>
      <c r="S931" t="b">
        <v>0</v>
      </c>
    </row>
    <row r="932" spans="1:19" x14ac:dyDescent="0.25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 x14ac:dyDescent="0.25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 x14ac:dyDescent="0.25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S934" t="b">
        <v>0</v>
      </c>
    </row>
    <row r="935" spans="1:19" x14ac:dyDescent="0.25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59.729390000000002</v>
      </c>
      <c r="H935" t="s">
        <v>77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x14ac:dyDescent="0.25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S936" t="b">
        <v>0</v>
      </c>
    </row>
    <row r="937" spans="1:19" x14ac:dyDescent="0.25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S937" t="b">
        <v>0</v>
      </c>
    </row>
    <row r="938" spans="1:19" x14ac:dyDescent="0.25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S938" t="b">
        <v>0</v>
      </c>
    </row>
    <row r="939" spans="1:19" x14ac:dyDescent="0.25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S939" t="b">
        <v>0</v>
      </c>
    </row>
    <row r="940" spans="1:19" x14ac:dyDescent="0.25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S940" t="b">
        <v>0</v>
      </c>
    </row>
    <row r="941" spans="1:19" x14ac:dyDescent="0.25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52.906700000000001</v>
      </c>
      <c r="H941" t="s">
        <v>77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 t="s">
        <v>4848</v>
      </c>
      <c r="R941">
        <v>74</v>
      </c>
      <c r="S941" t="b">
        <v>0</v>
      </c>
    </row>
    <row r="942" spans="1:19" x14ac:dyDescent="0.25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S942" t="b">
        <v>0</v>
      </c>
    </row>
    <row r="943" spans="1:19" x14ac:dyDescent="0.25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S943" t="b">
        <v>0</v>
      </c>
    </row>
    <row r="944" spans="1:19" x14ac:dyDescent="0.25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S944" t="b">
        <v>0</v>
      </c>
    </row>
    <row r="945" spans="1:19" x14ac:dyDescent="0.25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 x14ac:dyDescent="0.25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 x14ac:dyDescent="0.25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S947" t="b">
        <v>0</v>
      </c>
    </row>
    <row r="948" spans="1:19" x14ac:dyDescent="0.25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 x14ac:dyDescent="0.25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 x14ac:dyDescent="0.25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S950" t="b">
        <v>0</v>
      </c>
    </row>
    <row r="951" spans="1:19" x14ac:dyDescent="0.25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S951" t="b">
        <v>0</v>
      </c>
    </row>
    <row r="952" spans="1:19" x14ac:dyDescent="0.25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 x14ac:dyDescent="0.25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34.395519999999998</v>
      </c>
      <c r="H953" t="s">
        <v>77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x14ac:dyDescent="0.25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 x14ac:dyDescent="0.25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S955" t="b">
        <v>0</v>
      </c>
    </row>
    <row r="956" spans="1:19" x14ac:dyDescent="0.25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 x14ac:dyDescent="0.25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S957" t="b">
        <v>0</v>
      </c>
    </row>
    <row r="958" spans="1:19" x14ac:dyDescent="0.25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S958" t="b">
        <v>0</v>
      </c>
    </row>
    <row r="959" spans="1:19" x14ac:dyDescent="0.25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S959" t="b">
        <v>0</v>
      </c>
    </row>
    <row r="960" spans="1:19" x14ac:dyDescent="0.25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 x14ac:dyDescent="0.25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S961" t="b">
        <v>0</v>
      </c>
    </row>
    <row r="962" spans="1:19" x14ac:dyDescent="0.25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x14ac:dyDescent="0.25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S963" t="b">
        <v>0</v>
      </c>
    </row>
    <row r="964" spans="1:19" x14ac:dyDescent="0.25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4.7009999999999996</v>
      </c>
      <c r="H964" t="s">
        <v>76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x14ac:dyDescent="0.25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 x14ac:dyDescent="0.25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S966" t="b">
        <v>0</v>
      </c>
    </row>
    <row r="967" spans="1:19" x14ac:dyDescent="0.25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S967" t="b">
        <v>0</v>
      </c>
    </row>
    <row r="968" spans="1:19" x14ac:dyDescent="0.25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 x14ac:dyDescent="0.25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12.664999999999999</v>
      </c>
      <c r="H969" t="s">
        <v>76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 x14ac:dyDescent="0.25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x14ac:dyDescent="0.25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S971" t="b">
        <v>0</v>
      </c>
    </row>
    <row r="972" spans="1:19" x14ac:dyDescent="0.25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211.57390000000001</v>
      </c>
      <c r="H972" t="s">
        <v>77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Q972" t="s">
        <v>4848</v>
      </c>
      <c r="R972">
        <v>96</v>
      </c>
      <c r="S972" t="b">
        <v>0</v>
      </c>
    </row>
    <row r="973" spans="1:19" x14ac:dyDescent="0.25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S973" t="b">
        <v>0</v>
      </c>
    </row>
    <row r="974" spans="1:19" x14ac:dyDescent="0.25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S974" t="b">
        <v>0</v>
      </c>
    </row>
    <row r="975" spans="1:19" x14ac:dyDescent="0.25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x14ac:dyDescent="0.25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Q976" t="s">
        <v>4848</v>
      </c>
      <c r="R976">
        <v>79</v>
      </c>
      <c r="S976" t="b">
        <v>0</v>
      </c>
    </row>
    <row r="977" spans="1:19" x14ac:dyDescent="0.25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S977" t="b">
        <v>0</v>
      </c>
    </row>
    <row r="978" spans="1:19" x14ac:dyDescent="0.25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 x14ac:dyDescent="0.25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 x14ac:dyDescent="0.25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139.11590000000001</v>
      </c>
      <c r="H980" t="s">
        <v>77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x14ac:dyDescent="0.25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 x14ac:dyDescent="0.25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10.569000000000001</v>
      </c>
      <c r="H982" t="s">
        <v>77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x14ac:dyDescent="0.25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95.632249999999999</v>
      </c>
      <c r="H983" t="s">
        <v>77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x14ac:dyDescent="0.25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70.307209999999998</v>
      </c>
      <c r="H984" t="s">
        <v>77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 t="s">
        <v>4848</v>
      </c>
      <c r="R984">
        <v>183</v>
      </c>
      <c r="S984" t="b">
        <v>0</v>
      </c>
    </row>
    <row r="985" spans="1:19" x14ac:dyDescent="0.25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O985" t="s">
        <v>4846</v>
      </c>
      <c r="S985" t="b">
        <v>0</v>
      </c>
    </row>
    <row r="986" spans="1:19" x14ac:dyDescent="0.25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115.73009999999999</v>
      </c>
      <c r="H986" t="s">
        <v>77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 t="s">
        <v>4848</v>
      </c>
      <c r="R986">
        <v>2</v>
      </c>
      <c r="S986" t="b">
        <v>1</v>
      </c>
    </row>
    <row r="987" spans="1:19" x14ac:dyDescent="0.25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6228.9129999999996</v>
      </c>
      <c r="H987" t="s">
        <v>77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 t="s">
        <v>4848</v>
      </c>
      <c r="R987">
        <v>187</v>
      </c>
      <c r="S987" t="b">
        <v>0</v>
      </c>
    </row>
    <row r="988" spans="1:19" x14ac:dyDescent="0.25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169.37719999999999</v>
      </c>
      <c r="H988" t="s">
        <v>77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 t="s">
        <v>4848</v>
      </c>
      <c r="R988">
        <v>107</v>
      </c>
      <c r="S988" t="b">
        <v>0</v>
      </c>
    </row>
    <row r="989" spans="1:19" x14ac:dyDescent="0.25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S989" t="b">
        <v>0</v>
      </c>
    </row>
    <row r="990" spans="1:19" x14ac:dyDescent="0.25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 x14ac:dyDescent="0.25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S991" t="b">
        <v>0</v>
      </c>
    </row>
    <row r="992" spans="1:19" x14ac:dyDescent="0.25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x14ac:dyDescent="0.25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S993" t="b">
        <v>0</v>
      </c>
    </row>
    <row r="994" spans="1:19" x14ac:dyDescent="0.25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S994" t="b">
        <v>0</v>
      </c>
    </row>
    <row r="995" spans="1:19" x14ac:dyDescent="0.25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 t="s">
        <v>4848</v>
      </c>
      <c r="R995">
        <v>186</v>
      </c>
      <c r="S995" t="b">
        <v>0</v>
      </c>
    </row>
    <row r="996" spans="1:19" x14ac:dyDescent="0.25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 x14ac:dyDescent="0.25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 x14ac:dyDescent="0.25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S998" t="b">
        <v>0</v>
      </c>
    </row>
    <row r="999" spans="1:19" x14ac:dyDescent="0.25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x14ac:dyDescent="0.25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36.378860000000003</v>
      </c>
      <c r="H1000" t="s">
        <v>77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 x14ac:dyDescent="0.25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71.523650000000004</v>
      </c>
      <c r="H1001" t="s">
        <v>77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x14ac:dyDescent="0.25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S1002" t="b">
        <v>0</v>
      </c>
    </row>
    <row r="1003" spans="1:19" x14ac:dyDescent="0.25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S1003" t="b">
        <v>0</v>
      </c>
    </row>
    <row r="1004" spans="1:19" x14ac:dyDescent="0.25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137.48509999999999</v>
      </c>
      <c r="H1004" t="s">
        <v>77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 t="s">
        <v>4848</v>
      </c>
      <c r="R1004">
        <v>18</v>
      </c>
      <c r="S1004" t="b">
        <v>0</v>
      </c>
    </row>
    <row r="1005" spans="1:19" x14ac:dyDescent="0.25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S1005" t="b">
        <v>0</v>
      </c>
    </row>
    <row r="1006" spans="1:19" x14ac:dyDescent="0.25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x14ac:dyDescent="0.25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1211.4860000000001</v>
      </c>
      <c r="H1007" t="s">
        <v>77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69041928091.616013</v>
      </c>
      <c r="Q1007" t="s">
        <v>4848</v>
      </c>
      <c r="R1007">
        <v>70</v>
      </c>
      <c r="S1007" t="b">
        <v>0</v>
      </c>
    </row>
    <row r="1008" spans="1:19" x14ac:dyDescent="0.25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S1008" t="b">
        <v>0</v>
      </c>
    </row>
    <row r="1009" spans="1:19" x14ac:dyDescent="0.25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S1009" t="b">
        <v>0</v>
      </c>
    </row>
    <row r="1010" spans="1:19" x14ac:dyDescent="0.25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 x14ac:dyDescent="0.25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x14ac:dyDescent="0.25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S1012" t="b">
        <v>0</v>
      </c>
    </row>
    <row r="1013" spans="1:19" x14ac:dyDescent="0.25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 x14ac:dyDescent="0.25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S1014" t="b">
        <v>0</v>
      </c>
    </row>
    <row r="1015" spans="1:19" x14ac:dyDescent="0.25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S1015" t="b">
        <v>0</v>
      </c>
    </row>
    <row r="1016" spans="1:19" x14ac:dyDescent="0.25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S1016" t="b">
        <v>0</v>
      </c>
    </row>
    <row r="1017" spans="1:19" x14ac:dyDescent="0.25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85.310069999999996</v>
      </c>
      <c r="H1017" t="s">
        <v>77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 x14ac:dyDescent="0.25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S1018" t="b">
        <v>0</v>
      </c>
    </row>
    <row r="1019" spans="1:19" x14ac:dyDescent="0.25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S1019" t="b">
        <v>0</v>
      </c>
    </row>
    <row r="1020" spans="1:19" x14ac:dyDescent="0.25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82.189610000000002</v>
      </c>
      <c r="H1020" t="s">
        <v>77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 x14ac:dyDescent="0.25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168.09909999999999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 x14ac:dyDescent="0.25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108.69580000000001</v>
      </c>
      <c r="H1022" t="s">
        <v>77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 t="s">
        <v>4848</v>
      </c>
      <c r="R1022">
        <v>17</v>
      </c>
      <c r="S1022" t="b">
        <v>0</v>
      </c>
    </row>
    <row r="1023" spans="1:19" x14ac:dyDescent="0.25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 x14ac:dyDescent="0.25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 x14ac:dyDescent="0.25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 x14ac:dyDescent="0.25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 x14ac:dyDescent="0.25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577.33709999999996</v>
      </c>
      <c r="H1027" t="s">
        <v>77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 x14ac:dyDescent="0.25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 x14ac:dyDescent="0.25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 x14ac:dyDescent="0.25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61.571689999999997</v>
      </c>
      <c r="H1030" t="s">
        <v>77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Q1030" t="s">
        <v>4848</v>
      </c>
      <c r="R1030">
        <v>78</v>
      </c>
      <c r="S1030" t="b">
        <v>0</v>
      </c>
    </row>
    <row r="1031" spans="1:19" x14ac:dyDescent="0.25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 x14ac:dyDescent="0.25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S1032" t="b">
        <v>0</v>
      </c>
    </row>
    <row r="1033" spans="1:19" x14ac:dyDescent="0.25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O1033" t="s">
        <v>4846</v>
      </c>
      <c r="S1033" t="b">
        <v>0</v>
      </c>
    </row>
    <row r="1034" spans="1:19" x14ac:dyDescent="0.25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S1034" t="b">
        <v>0</v>
      </c>
    </row>
    <row r="1035" spans="1:19" x14ac:dyDescent="0.25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x14ac:dyDescent="0.25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x14ac:dyDescent="0.25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S1037" t="b">
        <v>0</v>
      </c>
    </row>
    <row r="1038" spans="1:19" x14ac:dyDescent="0.25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S1038" t="b">
        <v>0</v>
      </c>
    </row>
    <row r="1039" spans="1:19" x14ac:dyDescent="0.25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S1039" t="b">
        <v>0</v>
      </c>
    </row>
    <row r="1040" spans="1:19" x14ac:dyDescent="0.25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x14ac:dyDescent="0.25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15.029310000000001</v>
      </c>
      <c r="H1041" t="s">
        <v>77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x14ac:dyDescent="0.25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157.07169999999999</v>
      </c>
      <c r="H1042" t="s">
        <v>77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x14ac:dyDescent="0.25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x14ac:dyDescent="0.25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99.722340000000003</v>
      </c>
      <c r="H1044" t="s">
        <v>77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x14ac:dyDescent="0.25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S1045" t="b">
        <v>0</v>
      </c>
    </row>
    <row r="1046" spans="1:19" x14ac:dyDescent="0.25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 x14ac:dyDescent="0.25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27.237870000000001</v>
      </c>
      <c r="H1047" t="s">
        <v>77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 t="s">
        <v>4848</v>
      </c>
      <c r="R1047">
        <v>207</v>
      </c>
      <c r="S1047" t="b">
        <v>0</v>
      </c>
    </row>
    <row r="1048" spans="1:19" x14ac:dyDescent="0.25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6.1379999999999999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 x14ac:dyDescent="0.25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S1049" t="b">
        <v>0</v>
      </c>
    </row>
    <row r="1050" spans="1:19" x14ac:dyDescent="0.25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151.45670000000001</v>
      </c>
      <c r="H1050" t="s">
        <v>77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Q1050" t="s">
        <v>4848</v>
      </c>
      <c r="R1050">
        <v>77</v>
      </c>
      <c r="S1050" t="b">
        <v>0</v>
      </c>
    </row>
    <row r="1051" spans="1:19" x14ac:dyDescent="0.25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 x14ac:dyDescent="0.25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36.479999999999997</v>
      </c>
      <c r="H1052" t="s">
        <v>76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 t="s">
        <v>4849</v>
      </c>
      <c r="R1052">
        <v>85</v>
      </c>
      <c r="S1052" t="b">
        <v>0</v>
      </c>
    </row>
    <row r="1053" spans="1:19" x14ac:dyDescent="0.25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x14ac:dyDescent="0.25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S1054" t="b">
        <v>0</v>
      </c>
    </row>
    <row r="1055" spans="1:19" x14ac:dyDescent="0.25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 x14ac:dyDescent="0.25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97.033810000000003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 x14ac:dyDescent="0.25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30.561060000000001</v>
      </c>
      <c r="H1057" t="s">
        <v>77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x14ac:dyDescent="0.25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S1058" t="b">
        <v>0</v>
      </c>
    </row>
    <row r="1059" spans="1:19" x14ac:dyDescent="0.25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67.883120000000005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x14ac:dyDescent="0.25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S1060" t="b">
        <v>0</v>
      </c>
    </row>
    <row r="1061" spans="1:19" x14ac:dyDescent="0.25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x14ac:dyDescent="0.25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244.43559999999999</v>
      </c>
      <c r="H1062" t="s">
        <v>77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x14ac:dyDescent="0.25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91.709639999999993</v>
      </c>
      <c r="H1063" t="s">
        <v>77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x14ac:dyDescent="0.25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45.134999999999998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Q1064" t="s">
        <v>4849</v>
      </c>
      <c r="R1064">
        <v>17</v>
      </c>
      <c r="S1064" t="b">
        <v>0</v>
      </c>
    </row>
    <row r="1065" spans="1:19" x14ac:dyDescent="0.25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89.840900000000005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x14ac:dyDescent="0.25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S1066" t="b">
        <v>0</v>
      </c>
    </row>
    <row r="1067" spans="1:19" x14ac:dyDescent="0.25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 x14ac:dyDescent="0.25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S1068" t="b">
        <v>0</v>
      </c>
    </row>
    <row r="1069" spans="1:19" x14ac:dyDescent="0.25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 t="s">
        <v>4848</v>
      </c>
      <c r="R1069">
        <v>191</v>
      </c>
      <c r="S1069" t="b">
        <v>0</v>
      </c>
    </row>
    <row r="1070" spans="1:19" x14ac:dyDescent="0.25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69.602010000000007</v>
      </c>
      <c r="H1070" t="s">
        <v>77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x14ac:dyDescent="0.25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261.53640000000001</v>
      </c>
      <c r="H1071" t="s">
        <v>77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x14ac:dyDescent="0.25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 x14ac:dyDescent="0.25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86.570589999999996</v>
      </c>
      <c r="H1073" t="s">
        <v>77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 t="s">
        <v>4848</v>
      </c>
      <c r="R1073">
        <v>197</v>
      </c>
      <c r="S1073" t="b">
        <v>0</v>
      </c>
    </row>
    <row r="1074" spans="1:19" x14ac:dyDescent="0.25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Q1074" t="s">
        <v>4849</v>
      </c>
      <c r="R1074">
        <v>133</v>
      </c>
      <c r="S1074" t="b">
        <v>0</v>
      </c>
    </row>
    <row r="1075" spans="1:19" x14ac:dyDescent="0.25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48.869500000000002</v>
      </c>
      <c r="H1075" t="s">
        <v>77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 x14ac:dyDescent="0.25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S1076" t="b">
        <v>0</v>
      </c>
    </row>
    <row r="1077" spans="1:19" x14ac:dyDescent="0.25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S1077" t="b">
        <v>0</v>
      </c>
    </row>
    <row r="1078" spans="1:19" x14ac:dyDescent="0.25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x14ac:dyDescent="0.25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128.15020000000001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 x14ac:dyDescent="0.25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x14ac:dyDescent="0.25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 x14ac:dyDescent="0.25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x14ac:dyDescent="0.25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Q1083" t="s">
        <v>4849</v>
      </c>
      <c r="R1083">
        <v>110</v>
      </c>
      <c r="S1083" t="b">
        <v>0</v>
      </c>
    </row>
    <row r="1084" spans="1:19" x14ac:dyDescent="0.25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S1084" t="b">
        <v>0</v>
      </c>
    </row>
    <row r="1085" spans="1:19" x14ac:dyDescent="0.25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S1085" t="b">
        <v>0</v>
      </c>
    </row>
    <row r="1086" spans="1:19" x14ac:dyDescent="0.25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S1086" t="b">
        <v>0</v>
      </c>
    </row>
    <row r="1087" spans="1:19" x14ac:dyDescent="0.25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36.630000000000003</v>
      </c>
      <c r="H1087" t="s">
        <v>76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Q1087" t="s">
        <v>4849</v>
      </c>
      <c r="R1087">
        <v>107</v>
      </c>
      <c r="S1087" t="b">
        <v>0</v>
      </c>
    </row>
    <row r="1088" spans="1:19" x14ac:dyDescent="0.25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 x14ac:dyDescent="0.25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128.09729999999999</v>
      </c>
      <c r="H1089" t="s">
        <v>77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x14ac:dyDescent="0.25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O1090" t="s">
        <v>4846</v>
      </c>
      <c r="S1090" t="b">
        <v>0</v>
      </c>
    </row>
    <row r="1091" spans="1:19" x14ac:dyDescent="0.25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S1091" t="b">
        <v>0</v>
      </c>
    </row>
    <row r="1092" spans="1:19" x14ac:dyDescent="0.25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48.948830000000001</v>
      </c>
      <c r="H1092" t="s">
        <v>77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x14ac:dyDescent="0.25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S1093" t="b">
        <v>0</v>
      </c>
    </row>
    <row r="1094" spans="1:19" x14ac:dyDescent="0.25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x14ac:dyDescent="0.25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S1095" t="b">
        <v>0</v>
      </c>
    </row>
    <row r="1096" spans="1:19" x14ac:dyDescent="0.25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x14ac:dyDescent="0.25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S1097" t="b">
        <v>0</v>
      </c>
    </row>
    <row r="1098" spans="1:19" x14ac:dyDescent="0.25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518.61260000000004</v>
      </c>
      <c r="H1098" t="s">
        <v>77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x14ac:dyDescent="0.25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18.722729999999999</v>
      </c>
      <c r="H1099" t="s">
        <v>77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Q1099" t="s">
        <v>4848</v>
      </c>
      <c r="R1099">
        <v>200</v>
      </c>
      <c r="S1099" t="b">
        <v>0</v>
      </c>
    </row>
    <row r="1100" spans="1:19" x14ac:dyDescent="0.25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S1100" t="b">
        <v>0</v>
      </c>
    </row>
    <row r="1101" spans="1:19" x14ac:dyDescent="0.25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Q1101" t="s">
        <v>4849</v>
      </c>
      <c r="R1101">
        <v>8</v>
      </c>
      <c r="S1101" t="b">
        <v>1</v>
      </c>
    </row>
    <row r="1102" spans="1:19" x14ac:dyDescent="0.25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Q1102" t="s">
        <v>4849</v>
      </c>
      <c r="R1102">
        <v>65</v>
      </c>
      <c r="S1102" t="b">
        <v>0</v>
      </c>
    </row>
    <row r="1103" spans="1:19" x14ac:dyDescent="0.25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S1103" t="b">
        <v>0</v>
      </c>
    </row>
    <row r="1104" spans="1:19" x14ac:dyDescent="0.25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69.099999999999994</v>
      </c>
      <c r="H1104" t="s">
        <v>76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 x14ac:dyDescent="0.25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S1105" t="b">
        <v>0</v>
      </c>
    </row>
    <row r="1106" spans="1:19" x14ac:dyDescent="0.25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Q1106" t="s">
        <v>4849</v>
      </c>
      <c r="R1106">
        <v>111</v>
      </c>
      <c r="S1106" t="b">
        <v>0</v>
      </c>
    </row>
    <row r="1107" spans="1:19" x14ac:dyDescent="0.25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11.494999999999999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x14ac:dyDescent="0.25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x14ac:dyDescent="0.25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214.05969999999999</v>
      </c>
      <c r="H1109" t="s">
        <v>77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x14ac:dyDescent="0.25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S1110" t="b">
        <v>0</v>
      </c>
    </row>
    <row r="1111" spans="1:19" x14ac:dyDescent="0.25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O1111" t="s">
        <v>4846</v>
      </c>
      <c r="S1111" t="b">
        <v>0</v>
      </c>
    </row>
    <row r="1112" spans="1:19" x14ac:dyDescent="0.25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 x14ac:dyDescent="0.25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 x14ac:dyDescent="0.25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S1114" t="b">
        <v>0</v>
      </c>
    </row>
    <row r="1115" spans="1:19" x14ac:dyDescent="0.25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S1115" t="b">
        <v>0</v>
      </c>
    </row>
    <row r="1116" spans="1:19" x14ac:dyDescent="0.25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S1116" t="b">
        <v>0</v>
      </c>
    </row>
    <row r="1117" spans="1:19" x14ac:dyDescent="0.25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S1117" t="b">
        <v>0</v>
      </c>
    </row>
    <row r="1118" spans="1:19" x14ac:dyDescent="0.25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S1118" t="b">
        <v>0</v>
      </c>
    </row>
    <row r="1119" spans="1:19" x14ac:dyDescent="0.25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55.683369999999996</v>
      </c>
      <c r="H1119" t="s">
        <v>77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x14ac:dyDescent="0.25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72.510909999999996</v>
      </c>
      <c r="H1120" t="s">
        <v>77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 t="s">
        <v>4848</v>
      </c>
      <c r="R1120">
        <v>99</v>
      </c>
      <c r="S1120" t="b">
        <v>0</v>
      </c>
    </row>
    <row r="1121" spans="1:19" x14ac:dyDescent="0.25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S1121" t="b">
        <v>0</v>
      </c>
    </row>
    <row r="1122" spans="1:19" x14ac:dyDescent="0.25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Q1122" t="s">
        <v>4848</v>
      </c>
      <c r="R1122">
        <v>134</v>
      </c>
      <c r="S1122" t="b">
        <v>0</v>
      </c>
    </row>
    <row r="1123" spans="1:19" x14ac:dyDescent="0.25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S1123" t="b">
        <v>0</v>
      </c>
    </row>
    <row r="1124" spans="1:19" x14ac:dyDescent="0.25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S1124" t="b">
        <v>0</v>
      </c>
    </row>
    <row r="1125" spans="1:19" x14ac:dyDescent="0.25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 x14ac:dyDescent="0.25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50.130020000000002</v>
      </c>
      <c r="H1126" t="s">
        <v>77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 x14ac:dyDescent="0.25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 x14ac:dyDescent="0.25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499.82819999999998</v>
      </c>
      <c r="H1128" t="s">
        <v>77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 t="s">
        <v>4848</v>
      </c>
      <c r="R1128">
        <v>91</v>
      </c>
      <c r="S1128" t="b">
        <v>0</v>
      </c>
    </row>
    <row r="1129" spans="1:19" x14ac:dyDescent="0.25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 t="s">
        <v>4848</v>
      </c>
      <c r="R1129">
        <v>112</v>
      </c>
      <c r="S1129" t="b">
        <v>0</v>
      </c>
    </row>
    <row r="1130" spans="1:19" x14ac:dyDescent="0.25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S1130" t="b">
        <v>0</v>
      </c>
    </row>
    <row r="1131" spans="1:19" x14ac:dyDescent="0.25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O1131" t="s">
        <v>4846</v>
      </c>
      <c r="S1131" t="b">
        <v>0</v>
      </c>
    </row>
    <row r="1132" spans="1:19" x14ac:dyDescent="0.25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211.66200000000001</v>
      </c>
      <c r="H1132" t="s">
        <v>77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 t="s">
        <v>4848</v>
      </c>
      <c r="R1132">
        <v>90</v>
      </c>
      <c r="S1132" t="b">
        <v>0</v>
      </c>
    </row>
    <row r="1133" spans="1:19" x14ac:dyDescent="0.25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S1133" t="b">
        <v>0</v>
      </c>
    </row>
    <row r="1134" spans="1:19" x14ac:dyDescent="0.25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S1134" t="b">
        <v>0</v>
      </c>
    </row>
    <row r="1135" spans="1:19" x14ac:dyDescent="0.25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Q1135" t="s">
        <v>4848</v>
      </c>
      <c r="R1135">
        <v>30</v>
      </c>
      <c r="S1135" t="b">
        <v>0</v>
      </c>
    </row>
    <row r="1136" spans="1:19" x14ac:dyDescent="0.25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Q1136" t="s">
        <v>4849</v>
      </c>
      <c r="R1136">
        <v>131</v>
      </c>
      <c r="S1136" t="b">
        <v>0</v>
      </c>
    </row>
    <row r="1137" spans="1:19" x14ac:dyDescent="0.25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x14ac:dyDescent="0.25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 x14ac:dyDescent="0.25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S1139" t="b">
        <v>0</v>
      </c>
    </row>
    <row r="1140" spans="1:19" x14ac:dyDescent="0.25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449.57470000000001</v>
      </c>
      <c r="H1140" t="s">
        <v>77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x14ac:dyDescent="0.25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Q1141" t="s">
        <v>4849</v>
      </c>
      <c r="R1141">
        <v>129</v>
      </c>
      <c r="S1141" t="b">
        <v>0</v>
      </c>
    </row>
    <row r="1142" spans="1:19" x14ac:dyDescent="0.25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 x14ac:dyDescent="0.25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Q1143" t="s">
        <v>4849</v>
      </c>
      <c r="R1143">
        <v>9</v>
      </c>
      <c r="S1143" t="b">
        <v>1</v>
      </c>
    </row>
    <row r="1144" spans="1:19" x14ac:dyDescent="0.25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 x14ac:dyDescent="0.25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97.6</v>
      </c>
      <c r="H1145" t="s">
        <v>76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x14ac:dyDescent="0.25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2.0489999999999999</v>
      </c>
      <c r="H1146" t="s">
        <v>76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x14ac:dyDescent="0.25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240.75989999999999</v>
      </c>
      <c r="H1147" t="s">
        <v>77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 t="s">
        <v>4848</v>
      </c>
      <c r="R1147">
        <v>19</v>
      </c>
      <c r="S1147" t="b">
        <v>0</v>
      </c>
    </row>
    <row r="1148" spans="1:19" x14ac:dyDescent="0.25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S1148" t="b">
        <v>0</v>
      </c>
    </row>
    <row r="1149" spans="1:19" x14ac:dyDescent="0.25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x14ac:dyDescent="0.25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S1150" t="b">
        <v>0</v>
      </c>
    </row>
    <row r="1151" spans="1:19" x14ac:dyDescent="0.25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S1151" t="b">
        <v>0</v>
      </c>
    </row>
    <row r="1152" spans="1:19" x14ac:dyDescent="0.25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 x14ac:dyDescent="0.25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 x14ac:dyDescent="0.25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 x14ac:dyDescent="0.25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 x14ac:dyDescent="0.25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 x14ac:dyDescent="0.25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x14ac:dyDescent="0.25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 x14ac:dyDescent="0.25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 x14ac:dyDescent="0.25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S1160" t="b">
        <v>0</v>
      </c>
    </row>
    <row r="1161" spans="1:19" x14ac:dyDescent="0.25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 x14ac:dyDescent="0.25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 x14ac:dyDescent="0.25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S1163" t="b">
        <v>0</v>
      </c>
    </row>
    <row r="1164" spans="1:19" x14ac:dyDescent="0.25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x14ac:dyDescent="0.25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x14ac:dyDescent="0.25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202.31829999999999</v>
      </c>
      <c r="H1166" t="s">
        <v>77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x14ac:dyDescent="0.25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S1167" t="b">
        <v>0</v>
      </c>
    </row>
    <row r="1168" spans="1:19" x14ac:dyDescent="0.25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18.920000000000002</v>
      </c>
      <c r="H1168" t="s">
        <v>76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x14ac:dyDescent="0.25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 x14ac:dyDescent="0.25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4.1740000000000004</v>
      </c>
      <c r="H1170" t="s">
        <v>76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 t="s">
        <v>4849</v>
      </c>
      <c r="R1170">
        <v>102</v>
      </c>
      <c r="S1170" t="b">
        <v>0</v>
      </c>
    </row>
    <row r="1171" spans="1:19" x14ac:dyDescent="0.25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S1171" t="b">
        <v>0</v>
      </c>
    </row>
    <row r="1172" spans="1:19" x14ac:dyDescent="0.25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77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x14ac:dyDescent="0.25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Q1173" t="s">
        <v>4849</v>
      </c>
      <c r="R1173">
        <v>4</v>
      </c>
      <c r="S1173" t="b">
        <v>1</v>
      </c>
    </row>
    <row r="1174" spans="1:19" x14ac:dyDescent="0.25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x14ac:dyDescent="0.25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 x14ac:dyDescent="0.25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S1176" t="b">
        <v>0</v>
      </c>
    </row>
    <row r="1177" spans="1:19" x14ac:dyDescent="0.25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S1177" t="b">
        <v>0</v>
      </c>
    </row>
    <row r="1178" spans="1:19" x14ac:dyDescent="0.25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99.378559999999993</v>
      </c>
      <c r="H1178" t="s">
        <v>77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 t="s">
        <v>4848</v>
      </c>
      <c r="R1178">
        <v>167</v>
      </c>
      <c r="S1178" t="b">
        <v>0</v>
      </c>
    </row>
    <row r="1179" spans="1:19" x14ac:dyDescent="0.25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S1179" t="b">
        <v>0</v>
      </c>
    </row>
    <row r="1180" spans="1:19" x14ac:dyDescent="0.25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 x14ac:dyDescent="0.25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S1181" t="b">
        <v>0</v>
      </c>
    </row>
    <row r="1182" spans="1:19" x14ac:dyDescent="0.25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S1182" t="b">
        <v>0</v>
      </c>
    </row>
    <row r="1183" spans="1:19" x14ac:dyDescent="0.25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S1183" t="b">
        <v>0</v>
      </c>
    </row>
    <row r="1184" spans="1:19" x14ac:dyDescent="0.25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S1184" t="b">
        <v>0</v>
      </c>
    </row>
    <row r="1185" spans="1:19" x14ac:dyDescent="0.25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S1185" t="b">
        <v>0</v>
      </c>
    </row>
    <row r="1186" spans="1:19" x14ac:dyDescent="0.25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S1186" t="b">
        <v>0</v>
      </c>
    </row>
    <row r="1187" spans="1:19" x14ac:dyDescent="0.25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S1187" t="b">
        <v>0</v>
      </c>
    </row>
    <row r="1188" spans="1:19" x14ac:dyDescent="0.25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S1188" t="b">
        <v>0</v>
      </c>
    </row>
    <row r="1189" spans="1:19" x14ac:dyDescent="0.25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S1189" t="b">
        <v>0</v>
      </c>
    </row>
    <row r="1190" spans="1:19" x14ac:dyDescent="0.25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 x14ac:dyDescent="0.25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 x14ac:dyDescent="0.25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x14ac:dyDescent="0.25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 t="s">
        <v>4848</v>
      </c>
      <c r="R1193">
        <v>24</v>
      </c>
      <c r="S1193" t="b">
        <v>0</v>
      </c>
    </row>
    <row r="1194" spans="1:19" x14ac:dyDescent="0.25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S1194" t="b">
        <v>0</v>
      </c>
    </row>
    <row r="1195" spans="1:19" x14ac:dyDescent="0.25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S1195" t="b">
        <v>0</v>
      </c>
    </row>
    <row r="1196" spans="1:19" x14ac:dyDescent="0.25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 x14ac:dyDescent="0.25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S1197" t="b">
        <v>0</v>
      </c>
    </row>
    <row r="1198" spans="1:19" x14ac:dyDescent="0.25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S1198" t="b">
        <v>0</v>
      </c>
    </row>
    <row r="1199" spans="1:19" x14ac:dyDescent="0.25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S1199" t="b">
        <v>0</v>
      </c>
    </row>
    <row r="1200" spans="1:19" x14ac:dyDescent="0.25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28.995000000000001</v>
      </c>
      <c r="H1200" t="s">
        <v>76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x14ac:dyDescent="0.25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S1201" t="b">
        <v>0</v>
      </c>
    </row>
    <row r="1202" spans="1:19" x14ac:dyDescent="0.25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Q1202" t="s">
        <v>4848</v>
      </c>
      <c r="R1202">
        <v>65</v>
      </c>
      <c r="S1202" t="b">
        <v>0</v>
      </c>
    </row>
    <row r="1203" spans="1:19" x14ac:dyDescent="0.25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S1203" t="b">
        <v>0</v>
      </c>
    </row>
    <row r="1204" spans="1:19" x14ac:dyDescent="0.25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S1204" t="b">
        <v>0</v>
      </c>
    </row>
    <row r="1205" spans="1:19" x14ac:dyDescent="0.25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S1205" t="b">
        <v>0</v>
      </c>
    </row>
    <row r="1206" spans="1:19" x14ac:dyDescent="0.25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 x14ac:dyDescent="0.25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S1207" t="b">
        <v>0</v>
      </c>
    </row>
    <row r="1208" spans="1:19" x14ac:dyDescent="0.25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 x14ac:dyDescent="0.25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 x14ac:dyDescent="0.25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S1210" t="b">
        <v>0</v>
      </c>
    </row>
    <row r="1211" spans="1:19" x14ac:dyDescent="0.25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89.479479999999995</v>
      </c>
      <c r="H1211" t="s">
        <v>77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 x14ac:dyDescent="0.25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 x14ac:dyDescent="0.25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S1213" t="b">
        <v>0</v>
      </c>
    </row>
    <row r="1214" spans="1:19" x14ac:dyDescent="0.25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 x14ac:dyDescent="0.25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x14ac:dyDescent="0.25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x14ac:dyDescent="0.25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S1217" t="b">
        <v>0</v>
      </c>
    </row>
    <row r="1218" spans="1:19" x14ac:dyDescent="0.25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 x14ac:dyDescent="0.25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x14ac:dyDescent="0.25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S1220" t="b">
        <v>0</v>
      </c>
    </row>
    <row r="1221" spans="1:19" x14ac:dyDescent="0.25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77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x14ac:dyDescent="0.25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S1222" t="b">
        <v>0</v>
      </c>
    </row>
    <row r="1223" spans="1:19" x14ac:dyDescent="0.25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S1223" t="b">
        <v>0</v>
      </c>
    </row>
    <row r="1224" spans="1:19" x14ac:dyDescent="0.25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S1224" t="b">
        <v>0</v>
      </c>
    </row>
    <row r="1225" spans="1:19" x14ac:dyDescent="0.25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 x14ac:dyDescent="0.25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S1226" t="b">
        <v>0</v>
      </c>
    </row>
    <row r="1227" spans="1:19" x14ac:dyDescent="0.25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S1227" t="b">
        <v>0</v>
      </c>
    </row>
    <row r="1228" spans="1:19" x14ac:dyDescent="0.25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S1228" t="b">
        <v>0</v>
      </c>
    </row>
    <row r="1229" spans="1:19" x14ac:dyDescent="0.25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S1229" t="b">
        <v>0</v>
      </c>
    </row>
    <row r="1230" spans="1:19" x14ac:dyDescent="0.25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S1230" t="b">
        <v>0</v>
      </c>
    </row>
    <row r="1231" spans="1:19" x14ac:dyDescent="0.25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S1231" t="b">
        <v>0</v>
      </c>
    </row>
    <row r="1232" spans="1:19" x14ac:dyDescent="0.25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S1232" t="b">
        <v>0</v>
      </c>
    </row>
    <row r="1233" spans="1:19" x14ac:dyDescent="0.25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S1233" t="b">
        <v>0</v>
      </c>
    </row>
    <row r="1234" spans="1:19" x14ac:dyDescent="0.25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 x14ac:dyDescent="0.25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S1235" t="b">
        <v>0</v>
      </c>
    </row>
    <row r="1236" spans="1:19" x14ac:dyDescent="0.25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S1236" t="b">
        <v>0</v>
      </c>
    </row>
    <row r="1237" spans="1:19" x14ac:dyDescent="0.25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77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Q1237" t="s">
        <v>4848</v>
      </c>
      <c r="R1237">
        <v>176</v>
      </c>
      <c r="S1237" t="b">
        <v>0</v>
      </c>
    </row>
    <row r="1238" spans="1:19" x14ac:dyDescent="0.25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5.2539999999999996</v>
      </c>
      <c r="H1238" t="s">
        <v>76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x14ac:dyDescent="0.25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77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Q1239" t="s">
        <v>4848</v>
      </c>
      <c r="R1239">
        <v>224</v>
      </c>
      <c r="S1239" t="b">
        <v>0</v>
      </c>
    </row>
    <row r="1240" spans="1:19" x14ac:dyDescent="0.25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77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 x14ac:dyDescent="0.25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 t="s">
        <v>4849</v>
      </c>
      <c r="R1241">
        <v>29</v>
      </c>
      <c r="S1241" t="b">
        <v>0</v>
      </c>
    </row>
    <row r="1242" spans="1:19" x14ac:dyDescent="0.25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S1242" t="b">
        <v>0</v>
      </c>
    </row>
    <row r="1243" spans="1:19" x14ac:dyDescent="0.25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Q1243" t="s">
        <v>4849</v>
      </c>
      <c r="R1243">
        <v>95</v>
      </c>
      <c r="S1243" t="b">
        <v>0</v>
      </c>
    </row>
    <row r="1244" spans="1:19" x14ac:dyDescent="0.25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x14ac:dyDescent="0.25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S1245" t="b">
        <v>0</v>
      </c>
    </row>
    <row r="1246" spans="1:19" x14ac:dyDescent="0.25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S1246" t="b">
        <v>0</v>
      </c>
    </row>
    <row r="1247" spans="1:19" x14ac:dyDescent="0.25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S1247" t="b">
        <v>0</v>
      </c>
    </row>
    <row r="1248" spans="1:19" x14ac:dyDescent="0.25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S1248" t="b">
        <v>0</v>
      </c>
    </row>
    <row r="1249" spans="1:19" x14ac:dyDescent="0.25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 x14ac:dyDescent="0.25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S1250" t="b">
        <v>0</v>
      </c>
    </row>
    <row r="1251" spans="1:19" x14ac:dyDescent="0.25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S1251" t="b">
        <v>0</v>
      </c>
    </row>
    <row r="1252" spans="1:19" x14ac:dyDescent="0.25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S1252" t="b">
        <v>0</v>
      </c>
    </row>
    <row r="1253" spans="1:19" x14ac:dyDescent="0.25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 x14ac:dyDescent="0.25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Q1254" t="s">
        <v>4849</v>
      </c>
      <c r="R1254">
        <v>122</v>
      </c>
      <c r="S1254" t="b">
        <v>0</v>
      </c>
    </row>
    <row r="1255" spans="1:19" x14ac:dyDescent="0.25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S1255" t="b">
        <v>0</v>
      </c>
    </row>
    <row r="1256" spans="1:19" x14ac:dyDescent="0.25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79.016270000000006</v>
      </c>
      <c r="H1256" t="s">
        <v>77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x14ac:dyDescent="0.25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S1257" t="b">
        <v>0</v>
      </c>
    </row>
    <row r="1258" spans="1:19" x14ac:dyDescent="0.25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S1258" t="b">
        <v>0</v>
      </c>
    </row>
    <row r="1259" spans="1:19" x14ac:dyDescent="0.25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x14ac:dyDescent="0.25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S1260" t="b">
        <v>0</v>
      </c>
    </row>
    <row r="1261" spans="1:19" x14ac:dyDescent="0.25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576.33219999999994</v>
      </c>
      <c r="H1261" t="s">
        <v>77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 t="s">
        <v>4848</v>
      </c>
      <c r="R1261">
        <v>59</v>
      </c>
      <c r="S1261" t="b">
        <v>0</v>
      </c>
    </row>
    <row r="1262" spans="1:19" x14ac:dyDescent="0.25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S1262" t="b">
        <v>0</v>
      </c>
    </row>
    <row r="1263" spans="1:19" x14ac:dyDescent="0.25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70.333650000000006</v>
      </c>
      <c r="H1263" t="s">
        <v>77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 x14ac:dyDescent="0.25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 x14ac:dyDescent="0.25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 x14ac:dyDescent="0.25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 x14ac:dyDescent="0.25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S1267" t="b">
        <v>0</v>
      </c>
    </row>
    <row r="1268" spans="1:19" x14ac:dyDescent="0.25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 x14ac:dyDescent="0.25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74.397289999999998</v>
      </c>
      <c r="H1269" t="s">
        <v>77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 x14ac:dyDescent="0.25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84.710660000000004</v>
      </c>
      <c r="H1270" t="s">
        <v>77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x14ac:dyDescent="0.25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 x14ac:dyDescent="0.25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x14ac:dyDescent="0.25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8.7420000000000009</v>
      </c>
      <c r="H1273" t="s">
        <v>76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Q1273" t="s">
        <v>4849</v>
      </c>
      <c r="R1273">
        <v>51</v>
      </c>
      <c r="S1273" t="b">
        <v>0</v>
      </c>
    </row>
    <row r="1274" spans="1:19" x14ac:dyDescent="0.25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214.20070000000001</v>
      </c>
      <c r="H1274" t="s">
        <v>77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x14ac:dyDescent="0.25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Q1275" t="s">
        <v>4849</v>
      </c>
      <c r="R1275">
        <v>56</v>
      </c>
      <c r="S1275" t="b">
        <v>0</v>
      </c>
    </row>
    <row r="1276" spans="1:19" x14ac:dyDescent="0.25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S1276" t="b">
        <v>0</v>
      </c>
    </row>
    <row r="1277" spans="1:19" x14ac:dyDescent="0.25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x14ac:dyDescent="0.25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S1278" t="b">
        <v>0</v>
      </c>
    </row>
    <row r="1279" spans="1:19" x14ac:dyDescent="0.25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 x14ac:dyDescent="0.25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331.98469999999998</v>
      </c>
      <c r="H1280" t="s">
        <v>77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x14ac:dyDescent="0.25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S1281" t="b">
        <v>0</v>
      </c>
    </row>
    <row r="1282" spans="1:19" x14ac:dyDescent="0.25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 x14ac:dyDescent="0.25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S1283" t="b">
        <v>0</v>
      </c>
    </row>
    <row r="1284" spans="1:19" x14ac:dyDescent="0.25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S1284" t="b">
        <v>0</v>
      </c>
    </row>
    <row r="1285" spans="1:19" x14ac:dyDescent="0.25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S1285" t="b">
        <v>0</v>
      </c>
    </row>
    <row r="1286" spans="1:19" x14ac:dyDescent="0.25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S1286" t="b">
        <v>0</v>
      </c>
    </row>
    <row r="1287" spans="1:19" x14ac:dyDescent="0.25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 x14ac:dyDescent="0.25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S1288" t="b">
        <v>0</v>
      </c>
    </row>
    <row r="1289" spans="1:19" x14ac:dyDescent="0.25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S1289" t="b">
        <v>0</v>
      </c>
    </row>
    <row r="1290" spans="1:19" x14ac:dyDescent="0.25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 x14ac:dyDescent="0.25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S1291" t="b">
        <v>0</v>
      </c>
    </row>
    <row r="1292" spans="1:19" x14ac:dyDescent="0.25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 x14ac:dyDescent="0.25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O1293" t="s">
        <v>4846</v>
      </c>
      <c r="S1293" t="b">
        <v>0</v>
      </c>
    </row>
    <row r="1294" spans="1:19" x14ac:dyDescent="0.25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O1294" t="s">
        <v>4846</v>
      </c>
      <c r="S1294" t="b">
        <v>0</v>
      </c>
    </row>
    <row r="1295" spans="1:19" x14ac:dyDescent="0.25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S1295" t="b">
        <v>0</v>
      </c>
    </row>
    <row r="1296" spans="1:19" x14ac:dyDescent="0.25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S1296" t="b">
        <v>0</v>
      </c>
    </row>
    <row r="1297" spans="1:19" x14ac:dyDescent="0.25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 x14ac:dyDescent="0.25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35.338709999999999</v>
      </c>
      <c r="H1298" t="s">
        <v>77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 x14ac:dyDescent="0.25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S1299" t="b">
        <v>0</v>
      </c>
    </row>
    <row r="1300" spans="1:19" x14ac:dyDescent="0.25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 x14ac:dyDescent="0.25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S1301" t="b">
        <v>0</v>
      </c>
    </row>
    <row r="1302" spans="1:19" x14ac:dyDescent="0.25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S1302" t="b">
        <v>0</v>
      </c>
    </row>
    <row r="1303" spans="1:19" x14ac:dyDescent="0.25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S1303" t="b">
        <v>0</v>
      </c>
    </row>
    <row r="1304" spans="1:19" x14ac:dyDescent="0.25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S1304" t="b">
        <v>0</v>
      </c>
    </row>
    <row r="1305" spans="1:19" x14ac:dyDescent="0.25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 x14ac:dyDescent="0.25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 x14ac:dyDescent="0.25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S1307" t="b">
        <v>0</v>
      </c>
    </row>
    <row r="1308" spans="1:19" x14ac:dyDescent="0.25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S1308" t="b">
        <v>0</v>
      </c>
    </row>
    <row r="1309" spans="1:19" x14ac:dyDescent="0.25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S1309" t="b">
        <v>0</v>
      </c>
    </row>
    <row r="1310" spans="1:19" x14ac:dyDescent="0.25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 x14ac:dyDescent="0.25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S1311" t="b">
        <v>0</v>
      </c>
    </row>
    <row r="1312" spans="1:19" x14ac:dyDescent="0.25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S1312" t="b">
        <v>0</v>
      </c>
    </row>
    <row r="1313" spans="1:19" x14ac:dyDescent="0.25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S1313" t="b">
        <v>0</v>
      </c>
    </row>
    <row r="1314" spans="1:19" x14ac:dyDescent="0.25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x14ac:dyDescent="0.25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x14ac:dyDescent="0.25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50.015430000000002</v>
      </c>
      <c r="H1316" t="s">
        <v>77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Q1316" t="s">
        <v>4848</v>
      </c>
      <c r="R1316">
        <v>182</v>
      </c>
      <c r="S1316" t="b">
        <v>0</v>
      </c>
    </row>
    <row r="1317" spans="1:19" x14ac:dyDescent="0.25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 t="s">
        <v>4848</v>
      </c>
      <c r="R1317">
        <v>71</v>
      </c>
      <c r="S1317" t="b">
        <v>0</v>
      </c>
    </row>
    <row r="1318" spans="1:19" x14ac:dyDescent="0.25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62.999690000000001</v>
      </c>
      <c r="H1318" t="s">
        <v>77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x14ac:dyDescent="0.25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S1319" t="b">
        <v>0</v>
      </c>
    </row>
    <row r="1320" spans="1:19" x14ac:dyDescent="0.25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 x14ac:dyDescent="0.25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81.995679999999993</v>
      </c>
      <c r="H1321" t="s">
        <v>77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x14ac:dyDescent="0.25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x14ac:dyDescent="0.25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S1323" t="b">
        <v>0</v>
      </c>
    </row>
    <row r="1324" spans="1:19" x14ac:dyDescent="0.25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 x14ac:dyDescent="0.25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S1325" t="b">
        <v>0</v>
      </c>
    </row>
    <row r="1326" spans="1:19" x14ac:dyDescent="0.25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 x14ac:dyDescent="0.25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S1327" t="b">
        <v>0</v>
      </c>
    </row>
    <row r="1328" spans="1:19" x14ac:dyDescent="0.25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S1328" t="b">
        <v>0</v>
      </c>
    </row>
    <row r="1329" spans="1:19" x14ac:dyDescent="0.25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 x14ac:dyDescent="0.25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x14ac:dyDescent="0.25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141.44300000000001</v>
      </c>
      <c r="H1331" t="s">
        <v>77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x14ac:dyDescent="0.25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83.115170000000006</v>
      </c>
      <c r="H1332" t="s">
        <v>77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 t="s">
        <v>4848</v>
      </c>
      <c r="R1332">
        <v>116</v>
      </c>
      <c r="S1332" t="b">
        <v>0</v>
      </c>
    </row>
    <row r="1333" spans="1:19" x14ac:dyDescent="0.25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 x14ac:dyDescent="0.25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S1334" t="b">
        <v>0</v>
      </c>
    </row>
    <row r="1335" spans="1:19" x14ac:dyDescent="0.25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S1335" t="b">
        <v>0</v>
      </c>
    </row>
    <row r="1336" spans="1:19" x14ac:dyDescent="0.25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O1336" t="s">
        <v>4846</v>
      </c>
      <c r="S1336" t="b">
        <v>0</v>
      </c>
    </row>
    <row r="1337" spans="1:19" x14ac:dyDescent="0.25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S1337" t="b">
        <v>0</v>
      </c>
    </row>
    <row r="1338" spans="1:19" x14ac:dyDescent="0.25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138.88669999999999</v>
      </c>
      <c r="H1338" t="s">
        <v>77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 t="s">
        <v>4848</v>
      </c>
      <c r="R1338">
        <v>109</v>
      </c>
      <c r="S1338" t="b">
        <v>0</v>
      </c>
    </row>
    <row r="1339" spans="1:19" x14ac:dyDescent="0.25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x14ac:dyDescent="0.25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S1340" t="b">
        <v>0</v>
      </c>
    </row>
    <row r="1341" spans="1:19" x14ac:dyDescent="0.25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 x14ac:dyDescent="0.25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 x14ac:dyDescent="0.25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O1343" t="s">
        <v>4846</v>
      </c>
      <c r="S1343" t="b">
        <v>0</v>
      </c>
    </row>
    <row r="1344" spans="1:19" x14ac:dyDescent="0.25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S1344" t="b">
        <v>0</v>
      </c>
    </row>
    <row r="1345" spans="1:19" x14ac:dyDescent="0.25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0.38779999999999998</v>
      </c>
      <c r="H1345" t="s">
        <v>76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x14ac:dyDescent="0.25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428.59539999999998</v>
      </c>
      <c r="H1346" t="s">
        <v>77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Q1346" t="s">
        <v>4848</v>
      </c>
      <c r="R1346">
        <v>177</v>
      </c>
      <c r="S1346" t="b">
        <v>0</v>
      </c>
    </row>
    <row r="1347" spans="1:19" x14ac:dyDescent="0.25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4.6059999999999999</v>
      </c>
      <c r="H1347" t="s">
        <v>76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x14ac:dyDescent="0.25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S1348" t="b">
        <v>0</v>
      </c>
    </row>
    <row r="1349" spans="1:19" x14ac:dyDescent="0.25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 x14ac:dyDescent="0.25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S1350" t="b">
        <v>0</v>
      </c>
    </row>
    <row r="1351" spans="1:19" x14ac:dyDescent="0.25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S1351" t="b">
        <v>0</v>
      </c>
    </row>
    <row r="1352" spans="1:19" x14ac:dyDescent="0.25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S1352" t="b">
        <v>0</v>
      </c>
    </row>
    <row r="1353" spans="1:19" x14ac:dyDescent="0.25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 x14ac:dyDescent="0.25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S1354" t="b">
        <v>0</v>
      </c>
    </row>
    <row r="1355" spans="1:19" x14ac:dyDescent="0.25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x14ac:dyDescent="0.25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x14ac:dyDescent="0.25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S1357" t="b">
        <v>0</v>
      </c>
    </row>
    <row r="1358" spans="1:19" x14ac:dyDescent="0.25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 x14ac:dyDescent="0.25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299.12290000000002</v>
      </c>
      <c r="H1359" t="s">
        <v>77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 t="s">
        <v>4848</v>
      </c>
      <c r="R1359">
        <v>8</v>
      </c>
      <c r="S1359" t="b">
        <v>1</v>
      </c>
    </row>
    <row r="1360" spans="1:19" x14ac:dyDescent="0.25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 x14ac:dyDescent="0.25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1121.6099999999999</v>
      </c>
      <c r="H1361" t="s">
        <v>77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x14ac:dyDescent="0.25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S1362" t="b">
        <v>0</v>
      </c>
    </row>
    <row r="1363" spans="1:19" x14ac:dyDescent="0.25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Q1363" t="s">
        <v>4849</v>
      </c>
      <c r="R1363">
        <v>36</v>
      </c>
      <c r="S1363" t="b">
        <v>0</v>
      </c>
    </row>
    <row r="1364" spans="1:19" x14ac:dyDescent="0.25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96.716480000000004</v>
      </c>
      <c r="H1364" t="s">
        <v>77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 t="s">
        <v>4848</v>
      </c>
      <c r="R1364">
        <v>26</v>
      </c>
      <c r="S1364" t="b">
        <v>0</v>
      </c>
    </row>
    <row r="1365" spans="1:19" x14ac:dyDescent="0.25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x14ac:dyDescent="0.25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S1366" t="b">
        <v>0</v>
      </c>
    </row>
    <row r="1367" spans="1:19" x14ac:dyDescent="0.25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O1367" t="s">
        <v>4846</v>
      </c>
      <c r="S1367" t="b">
        <v>0</v>
      </c>
    </row>
    <row r="1368" spans="1:19" x14ac:dyDescent="0.25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8.6340000000000003</v>
      </c>
      <c r="H1368" t="s">
        <v>76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 t="s">
        <v>4849</v>
      </c>
      <c r="R1368">
        <v>98</v>
      </c>
      <c r="S1368" t="b">
        <v>0</v>
      </c>
    </row>
    <row r="1369" spans="1:19" x14ac:dyDescent="0.25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S1369" t="b">
        <v>0</v>
      </c>
    </row>
    <row r="1370" spans="1:19" x14ac:dyDescent="0.25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 t="s">
        <v>4848</v>
      </c>
      <c r="R1370">
        <v>39</v>
      </c>
      <c r="S1370" t="b">
        <v>0</v>
      </c>
    </row>
    <row r="1371" spans="1:19" x14ac:dyDescent="0.25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x14ac:dyDescent="0.25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37.454279999999997</v>
      </c>
      <c r="H1372" t="s">
        <v>77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 x14ac:dyDescent="0.25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 x14ac:dyDescent="0.25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 x14ac:dyDescent="0.25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S1375" t="b">
        <v>0</v>
      </c>
    </row>
    <row r="1376" spans="1:19" x14ac:dyDescent="0.25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 x14ac:dyDescent="0.25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S1377" t="b">
        <v>0</v>
      </c>
    </row>
    <row r="1378" spans="1:19" x14ac:dyDescent="0.25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 x14ac:dyDescent="0.25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S1379" t="b">
        <v>0</v>
      </c>
    </row>
    <row r="1380" spans="1:19" x14ac:dyDescent="0.25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 x14ac:dyDescent="0.25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 x14ac:dyDescent="0.25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S1382" t="b">
        <v>0</v>
      </c>
    </row>
    <row r="1383" spans="1:19" x14ac:dyDescent="0.25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S1383" t="b">
        <v>0</v>
      </c>
    </row>
    <row r="1384" spans="1:19" x14ac:dyDescent="0.25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 x14ac:dyDescent="0.25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 x14ac:dyDescent="0.25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S1386" t="b">
        <v>0</v>
      </c>
    </row>
    <row r="1387" spans="1:19" x14ac:dyDescent="0.25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S1387" t="b">
        <v>0</v>
      </c>
    </row>
    <row r="1388" spans="1:19" x14ac:dyDescent="0.25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S1388" t="b">
        <v>0</v>
      </c>
    </row>
    <row r="1389" spans="1:19" x14ac:dyDescent="0.25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 x14ac:dyDescent="0.25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S1390" t="b">
        <v>0</v>
      </c>
    </row>
    <row r="1391" spans="1:19" x14ac:dyDescent="0.25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x14ac:dyDescent="0.25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 x14ac:dyDescent="0.25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O1393" t="s">
        <v>4846</v>
      </c>
      <c r="S1393" t="b">
        <v>0</v>
      </c>
    </row>
    <row r="1394" spans="1:19" x14ac:dyDescent="0.25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S1394" t="b">
        <v>0</v>
      </c>
    </row>
    <row r="1395" spans="1:19" x14ac:dyDescent="0.25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 x14ac:dyDescent="0.25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 x14ac:dyDescent="0.25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S1397" t="b">
        <v>0</v>
      </c>
    </row>
    <row r="1398" spans="1:19" x14ac:dyDescent="0.25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S1398" t="b">
        <v>0</v>
      </c>
    </row>
    <row r="1399" spans="1:19" x14ac:dyDescent="0.25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S1399" t="b">
        <v>0</v>
      </c>
    </row>
    <row r="1400" spans="1:19" x14ac:dyDescent="0.25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43.809780000000003</v>
      </c>
      <c r="H1400" t="s">
        <v>77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 t="s">
        <v>4848</v>
      </c>
      <c r="R1400">
        <v>157</v>
      </c>
      <c r="S1400" t="b">
        <v>0</v>
      </c>
    </row>
    <row r="1401" spans="1:19" x14ac:dyDescent="0.25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65.132890000000003</v>
      </c>
      <c r="H1401" t="s">
        <v>77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 t="s">
        <v>4848</v>
      </c>
      <c r="R1401">
        <v>140</v>
      </c>
      <c r="S1401" t="b">
        <v>0</v>
      </c>
    </row>
    <row r="1402" spans="1:19" x14ac:dyDescent="0.25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128.36179999999999</v>
      </c>
      <c r="H1402" t="s">
        <v>77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x14ac:dyDescent="0.25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373.12360000000001</v>
      </c>
      <c r="H1403" t="s">
        <v>77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x14ac:dyDescent="0.25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Q1404" t="s">
        <v>4848</v>
      </c>
      <c r="R1404">
        <v>68</v>
      </c>
      <c r="S1404" t="b">
        <v>0</v>
      </c>
    </row>
    <row r="1405" spans="1:19" x14ac:dyDescent="0.25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73.304249999999996</v>
      </c>
      <c r="H1405" t="s">
        <v>77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Q1405" t="s">
        <v>4848</v>
      </c>
      <c r="R1405">
        <v>226</v>
      </c>
      <c r="S1405" t="b">
        <v>0</v>
      </c>
    </row>
    <row r="1406" spans="1:19" x14ac:dyDescent="0.25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S1406" t="b">
        <v>0</v>
      </c>
    </row>
    <row r="1407" spans="1:19" x14ac:dyDescent="0.25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238.91759999999999</v>
      </c>
      <c r="H1407" t="s">
        <v>77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x14ac:dyDescent="0.25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S1408" t="b">
        <v>0</v>
      </c>
    </row>
    <row r="1409" spans="1:19" x14ac:dyDescent="0.25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S1409" t="b">
        <v>0</v>
      </c>
    </row>
    <row r="1410" spans="1:19" x14ac:dyDescent="0.25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S1410" t="b">
        <v>0</v>
      </c>
    </row>
    <row r="1411" spans="1:19" x14ac:dyDescent="0.25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 x14ac:dyDescent="0.25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S1412" t="b">
        <v>0</v>
      </c>
    </row>
    <row r="1413" spans="1:19" x14ac:dyDescent="0.25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Q1413" t="s">
        <v>4848</v>
      </c>
      <c r="R1413">
        <v>101</v>
      </c>
      <c r="S1413" t="b">
        <v>0</v>
      </c>
    </row>
    <row r="1414" spans="1:19" x14ac:dyDescent="0.25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S1414" t="b">
        <v>0</v>
      </c>
    </row>
    <row r="1415" spans="1:19" x14ac:dyDescent="0.25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S1415" t="b">
        <v>0</v>
      </c>
    </row>
    <row r="1416" spans="1:19" x14ac:dyDescent="0.25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x14ac:dyDescent="0.25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6.9039999999999999</v>
      </c>
      <c r="H1417" t="s">
        <v>76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Q1417" t="s">
        <v>4849</v>
      </c>
      <c r="R1417">
        <v>118</v>
      </c>
      <c r="S1417" t="b">
        <v>0</v>
      </c>
    </row>
    <row r="1418" spans="1:19" x14ac:dyDescent="0.25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 t="s">
        <v>4848</v>
      </c>
      <c r="R1418">
        <v>225</v>
      </c>
      <c r="S1418" t="b">
        <v>0</v>
      </c>
    </row>
    <row r="1419" spans="1:19" x14ac:dyDescent="0.25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498.93779999999998</v>
      </c>
      <c r="H1419" t="s">
        <v>77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 t="s">
        <v>4848</v>
      </c>
      <c r="R1419">
        <v>163</v>
      </c>
      <c r="S1419" t="b">
        <v>0</v>
      </c>
    </row>
    <row r="1420" spans="1:19" x14ac:dyDescent="0.25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37.850940000000001</v>
      </c>
      <c r="H1420" t="s">
        <v>77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 x14ac:dyDescent="0.25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77.350260000000006</v>
      </c>
      <c r="H1421" t="s">
        <v>77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 t="s">
        <v>4848</v>
      </c>
      <c r="R1421">
        <v>28</v>
      </c>
      <c r="S1421" t="b">
        <v>0</v>
      </c>
    </row>
    <row r="1422" spans="1:19" x14ac:dyDescent="0.25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 x14ac:dyDescent="0.25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x14ac:dyDescent="0.25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358.79939999999999</v>
      </c>
      <c r="H1424" t="s">
        <v>77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 x14ac:dyDescent="0.25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Q1425" t="s">
        <v>4849</v>
      </c>
      <c r="R1425">
        <v>32</v>
      </c>
      <c r="S1425" t="b">
        <v>0</v>
      </c>
    </row>
    <row r="1426" spans="1:19" x14ac:dyDescent="0.25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78.739999999999995</v>
      </c>
      <c r="H1426" t="s">
        <v>76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x14ac:dyDescent="0.25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S1427" t="b">
        <v>0</v>
      </c>
    </row>
    <row r="1428" spans="1:19" x14ac:dyDescent="0.25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Q1428" t="s">
        <v>4849</v>
      </c>
      <c r="R1428">
        <v>11</v>
      </c>
      <c r="S1428" t="b">
        <v>1</v>
      </c>
    </row>
    <row r="1429" spans="1:19" x14ac:dyDescent="0.25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x14ac:dyDescent="0.25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195.78649999999999</v>
      </c>
      <c r="H1430" t="s">
        <v>77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Q1430" t="s">
        <v>4848</v>
      </c>
      <c r="R1430">
        <v>41</v>
      </c>
      <c r="S1430" t="b">
        <v>0</v>
      </c>
    </row>
    <row r="1431" spans="1:19" x14ac:dyDescent="0.25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x14ac:dyDescent="0.25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S1432" t="b">
        <v>0</v>
      </c>
    </row>
    <row r="1433" spans="1:19" x14ac:dyDescent="0.25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65.802819999999997</v>
      </c>
      <c r="H1433" t="s">
        <v>77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 t="s">
        <v>4848</v>
      </c>
      <c r="R1433">
        <v>165</v>
      </c>
      <c r="S1433" t="b">
        <v>0</v>
      </c>
    </row>
    <row r="1434" spans="1:19" x14ac:dyDescent="0.25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260.54039999999998</v>
      </c>
      <c r="H1434" t="s">
        <v>77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x14ac:dyDescent="0.25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S1435" t="b">
        <v>0</v>
      </c>
    </row>
    <row r="1436" spans="1:19" x14ac:dyDescent="0.25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617.12729999999999</v>
      </c>
      <c r="H1436" t="s">
        <v>77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 x14ac:dyDescent="0.25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S1437" t="b">
        <v>0</v>
      </c>
    </row>
    <row r="1438" spans="1:19" x14ac:dyDescent="0.25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S1438" t="b">
        <v>0</v>
      </c>
    </row>
    <row r="1439" spans="1:19" x14ac:dyDescent="0.25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 x14ac:dyDescent="0.25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x14ac:dyDescent="0.25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84.067179999999993</v>
      </c>
      <c r="H1441" t="s">
        <v>77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Q1441" t="s">
        <v>4848</v>
      </c>
      <c r="R1441">
        <v>75</v>
      </c>
      <c r="S1441" t="b">
        <v>0</v>
      </c>
    </row>
    <row r="1442" spans="1:19" x14ac:dyDescent="0.25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66.842960000000005</v>
      </c>
      <c r="H1442" t="s">
        <v>77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x14ac:dyDescent="0.25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S1443" t="b">
        <v>0</v>
      </c>
    </row>
    <row r="1444" spans="1:19" x14ac:dyDescent="0.25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113.31480000000001</v>
      </c>
      <c r="H1444" t="s">
        <v>77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x14ac:dyDescent="0.25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16.829999999999998</v>
      </c>
      <c r="H1445" t="s">
        <v>76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x14ac:dyDescent="0.25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Q1446" t="s">
        <v>4849</v>
      </c>
      <c r="R1446">
        <v>100</v>
      </c>
      <c r="S1446" t="b">
        <v>0</v>
      </c>
    </row>
    <row r="1447" spans="1:19" x14ac:dyDescent="0.25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 x14ac:dyDescent="0.25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205.38589999999999</v>
      </c>
      <c r="H1448" t="s">
        <v>77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x14ac:dyDescent="0.25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56.520789999999998</v>
      </c>
      <c r="H1449" t="s">
        <v>77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x14ac:dyDescent="0.25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S1450" t="b">
        <v>0</v>
      </c>
    </row>
    <row r="1451" spans="1:19" x14ac:dyDescent="0.25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x14ac:dyDescent="0.25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88.553920000000005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 x14ac:dyDescent="0.25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x14ac:dyDescent="0.25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246.60409999999999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 x14ac:dyDescent="0.25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276.58339999999998</v>
      </c>
      <c r="H1455" t="s">
        <v>77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Q1455" t="s">
        <v>4848</v>
      </c>
      <c r="R1455">
        <v>114</v>
      </c>
      <c r="S1455" t="b">
        <v>0</v>
      </c>
    </row>
    <row r="1456" spans="1:19" x14ac:dyDescent="0.25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x14ac:dyDescent="0.25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x14ac:dyDescent="0.25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91.797790000000006</v>
      </c>
      <c r="H1458" t="s">
        <v>77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 t="s">
        <v>4848</v>
      </c>
      <c r="R1458">
        <v>124</v>
      </c>
      <c r="S1458" t="b">
        <v>0</v>
      </c>
    </row>
    <row r="1459" spans="1:19" x14ac:dyDescent="0.25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S1459" t="b">
        <v>0</v>
      </c>
    </row>
    <row r="1460" spans="1:19" x14ac:dyDescent="0.25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27.740310000000001</v>
      </c>
      <c r="H1460" t="s">
        <v>77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x14ac:dyDescent="0.25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S1461" t="b">
        <v>0</v>
      </c>
    </row>
    <row r="1462" spans="1:19" x14ac:dyDescent="0.25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Q1462" t="s">
        <v>4849</v>
      </c>
      <c r="R1462">
        <v>137</v>
      </c>
      <c r="S1462" t="b">
        <v>0</v>
      </c>
    </row>
    <row r="1463" spans="1:19" x14ac:dyDescent="0.25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x14ac:dyDescent="0.25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 x14ac:dyDescent="0.25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x14ac:dyDescent="0.25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139.41560000000001</v>
      </c>
      <c r="H1466" t="s">
        <v>77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x14ac:dyDescent="0.25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 x14ac:dyDescent="0.25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S1468" t="b">
        <v>0</v>
      </c>
    </row>
    <row r="1469" spans="1:19" x14ac:dyDescent="0.25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x14ac:dyDescent="0.25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 x14ac:dyDescent="0.25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S1471" t="b">
        <v>0</v>
      </c>
    </row>
    <row r="1472" spans="1:19" x14ac:dyDescent="0.25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x14ac:dyDescent="0.25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Q1473" t="s">
        <v>4849</v>
      </c>
      <c r="R1473">
        <v>132</v>
      </c>
      <c r="S1473" t="b">
        <v>0</v>
      </c>
    </row>
    <row r="1474" spans="1:19" x14ac:dyDescent="0.25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77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x14ac:dyDescent="0.25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 x14ac:dyDescent="0.25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77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x14ac:dyDescent="0.25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77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Q1477" t="s">
        <v>4848</v>
      </c>
      <c r="R1477">
        <v>106</v>
      </c>
      <c r="S1477" t="b">
        <v>0</v>
      </c>
    </row>
    <row r="1478" spans="1:19" x14ac:dyDescent="0.25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77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 t="s">
        <v>4848</v>
      </c>
      <c r="R1478">
        <v>14</v>
      </c>
      <c r="S1478" t="b">
        <v>1</v>
      </c>
    </row>
    <row r="1479" spans="1:19" x14ac:dyDescent="0.25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7.9333600000000004</v>
      </c>
      <c r="H1479" t="s">
        <v>77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 t="s">
        <v>4848</v>
      </c>
      <c r="R1479">
        <v>194</v>
      </c>
      <c r="S1479" t="b">
        <v>0</v>
      </c>
    </row>
    <row r="1480" spans="1:19" x14ac:dyDescent="0.25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Q1480" t="s">
        <v>4849</v>
      </c>
      <c r="R1480">
        <v>69</v>
      </c>
      <c r="S1480" t="b">
        <v>0</v>
      </c>
    </row>
    <row r="1481" spans="1:19" x14ac:dyDescent="0.25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S1481" t="b">
        <v>0</v>
      </c>
    </row>
    <row r="1482" spans="1:19" x14ac:dyDescent="0.25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O1482" t="s">
        <v>4846</v>
      </c>
      <c r="S1482" t="b">
        <v>0</v>
      </c>
    </row>
    <row r="1483" spans="1:19" x14ac:dyDescent="0.25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77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x14ac:dyDescent="0.25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77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x14ac:dyDescent="0.25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x14ac:dyDescent="0.25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x14ac:dyDescent="0.25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S1487" t="b">
        <v>0</v>
      </c>
    </row>
    <row r="1488" spans="1:19" x14ac:dyDescent="0.25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 x14ac:dyDescent="0.25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77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x14ac:dyDescent="0.25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</v>
      </c>
      <c r="H1490" t="s">
        <v>76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x14ac:dyDescent="0.25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S1491" t="b">
        <v>0</v>
      </c>
    </row>
    <row r="1492" spans="1:19" x14ac:dyDescent="0.25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S1492" t="b">
        <v>0</v>
      </c>
    </row>
    <row r="1493" spans="1:19" x14ac:dyDescent="0.25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44.232889999999998</v>
      </c>
      <c r="H1493" t="s">
        <v>77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 t="s">
        <v>4848</v>
      </c>
      <c r="R1493">
        <v>213</v>
      </c>
      <c r="S1493" t="b">
        <v>0</v>
      </c>
    </row>
    <row r="1494" spans="1:19" x14ac:dyDescent="0.25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77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Q1494" t="s">
        <v>4848</v>
      </c>
      <c r="R1494">
        <v>136</v>
      </c>
      <c r="S1494" t="b">
        <v>0</v>
      </c>
    </row>
    <row r="1495" spans="1:19" x14ac:dyDescent="0.25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S1495" t="b">
        <v>0</v>
      </c>
    </row>
    <row r="1496" spans="1:19" x14ac:dyDescent="0.25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77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x14ac:dyDescent="0.25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S1497" t="b">
        <v>0</v>
      </c>
    </row>
    <row r="1498" spans="1:19" x14ac:dyDescent="0.25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S1498" t="b">
        <v>0</v>
      </c>
    </row>
    <row r="1499" spans="1:19" x14ac:dyDescent="0.25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O1499" t="s">
        <v>4846</v>
      </c>
      <c r="S1499" t="b">
        <v>0</v>
      </c>
    </row>
    <row r="1500" spans="1:19" x14ac:dyDescent="0.25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S1500" t="b">
        <v>0</v>
      </c>
    </row>
    <row r="1501" spans="1:19" x14ac:dyDescent="0.25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S1501" t="b">
        <v>0</v>
      </c>
    </row>
    <row r="1502" spans="1:19" x14ac:dyDescent="0.25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x14ac:dyDescent="0.25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x14ac:dyDescent="0.25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77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 t="s">
        <v>4848</v>
      </c>
      <c r="R1504">
        <v>205</v>
      </c>
      <c r="S1504" t="b">
        <v>0</v>
      </c>
    </row>
    <row r="1505" spans="1:19" x14ac:dyDescent="0.25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x14ac:dyDescent="0.25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S1506" t="b">
        <v>0</v>
      </c>
    </row>
    <row r="1507" spans="1:19" x14ac:dyDescent="0.25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S1507" t="b">
        <v>0</v>
      </c>
    </row>
    <row r="1508" spans="1:19" x14ac:dyDescent="0.25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S1508" t="b">
        <v>0</v>
      </c>
    </row>
    <row r="1509" spans="1:19" x14ac:dyDescent="0.25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 x14ac:dyDescent="0.25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 x14ac:dyDescent="0.25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 x14ac:dyDescent="0.25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 t="s">
        <v>4848</v>
      </c>
      <c r="R1512">
        <v>100</v>
      </c>
      <c r="S1512" t="b">
        <v>0</v>
      </c>
    </row>
    <row r="1513" spans="1:19" x14ac:dyDescent="0.25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S1513" t="b">
        <v>0</v>
      </c>
    </row>
    <row r="1514" spans="1:19" x14ac:dyDescent="0.25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S1514" t="b">
        <v>0</v>
      </c>
    </row>
    <row r="1515" spans="1:19" x14ac:dyDescent="0.25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O1515" t="s">
        <v>4846</v>
      </c>
      <c r="S1515" t="b">
        <v>0</v>
      </c>
    </row>
    <row r="1516" spans="1:19" x14ac:dyDescent="0.25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S1516" t="b">
        <v>0</v>
      </c>
    </row>
    <row r="1517" spans="1:19" x14ac:dyDescent="0.25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61.465910000000001</v>
      </c>
      <c r="H1517" t="s">
        <v>77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x14ac:dyDescent="0.25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S1518" t="b">
        <v>0</v>
      </c>
    </row>
    <row r="1519" spans="1:19" x14ac:dyDescent="0.25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 x14ac:dyDescent="0.25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77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Q1520" t="s">
        <v>4848</v>
      </c>
      <c r="R1520">
        <v>150</v>
      </c>
      <c r="S1520" t="b">
        <v>0</v>
      </c>
    </row>
    <row r="1521" spans="1:19" x14ac:dyDescent="0.25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S1521" t="b">
        <v>0</v>
      </c>
    </row>
    <row r="1522" spans="1:19" x14ac:dyDescent="0.25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S1522" t="b">
        <v>0</v>
      </c>
    </row>
    <row r="1523" spans="1:19" x14ac:dyDescent="0.25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S1523" t="b">
        <v>0</v>
      </c>
    </row>
    <row r="1524" spans="1:19" x14ac:dyDescent="0.25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S1524" t="b">
        <v>0</v>
      </c>
    </row>
    <row r="1525" spans="1:19" x14ac:dyDescent="0.25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 x14ac:dyDescent="0.25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S1526" t="b">
        <v>0</v>
      </c>
    </row>
    <row r="1527" spans="1:19" x14ac:dyDescent="0.25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S1527" t="b">
        <v>0</v>
      </c>
    </row>
    <row r="1528" spans="1:19" x14ac:dyDescent="0.25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S1528" t="b">
        <v>0</v>
      </c>
    </row>
    <row r="1529" spans="1:19" x14ac:dyDescent="0.25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S1529" t="b">
        <v>0</v>
      </c>
    </row>
    <row r="1530" spans="1:19" x14ac:dyDescent="0.25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 x14ac:dyDescent="0.25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77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 t="s">
        <v>4848</v>
      </c>
      <c r="R1531">
        <v>123</v>
      </c>
      <c r="S1531" t="b">
        <v>0</v>
      </c>
    </row>
    <row r="1532" spans="1:19" x14ac:dyDescent="0.25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 x14ac:dyDescent="0.25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S1533" t="b">
        <v>0</v>
      </c>
    </row>
    <row r="1534" spans="1:19" x14ac:dyDescent="0.25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S1534" t="b">
        <v>0</v>
      </c>
    </row>
    <row r="1535" spans="1:19" x14ac:dyDescent="0.25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S1535" t="b">
        <v>0</v>
      </c>
    </row>
    <row r="1536" spans="1:19" x14ac:dyDescent="0.25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77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x14ac:dyDescent="0.25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x14ac:dyDescent="0.25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 x14ac:dyDescent="0.25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 x14ac:dyDescent="0.25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223.98519999999999</v>
      </c>
      <c r="H1540" t="s">
        <v>77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 x14ac:dyDescent="0.25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S1541" t="b">
        <v>0</v>
      </c>
    </row>
    <row r="1542" spans="1:19" x14ac:dyDescent="0.25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4"/>
  <sheetViews>
    <sheetView tabSelected="1" topLeftCell="I1" workbookViewId="0">
      <selection activeCell="U6" sqref="U6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4.140625" bestFit="1" customWidth="1"/>
    <col min="4" max="4" width="14.42578125" bestFit="1" customWidth="1"/>
    <col min="5" max="5" width="6.42578125" bestFit="1" customWidth="1"/>
    <col min="6" max="6" width="12" bestFit="1" customWidth="1"/>
    <col min="7" max="7" width="11.28515625" bestFit="1" customWidth="1"/>
    <col min="8" max="8" width="15.2851562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4.85546875" bestFit="1" customWidth="1"/>
    <col min="13" max="13" width="9.85546875" bestFit="1" customWidth="1"/>
    <col min="14" max="14" width="12" bestFit="1" customWidth="1"/>
    <col min="15" max="16" width="11.42578125" bestFit="1" customWidth="1"/>
    <col min="17" max="17" width="15.28515625" bestFit="1" customWidth="1"/>
    <col min="18" max="18" width="4.85546875" bestFit="1" customWidth="1"/>
    <col min="19" max="19" width="8.5703125" bestFit="1" customWidth="1"/>
    <col min="20" max="20" width="9" bestFit="1" customWidth="1"/>
    <col min="21" max="21" width="12.42578125" bestFit="1" customWidth="1"/>
    <col min="22" max="22" width="18.42578125" bestFit="1" customWidth="1"/>
    <col min="23" max="23" width="13.28515625" bestFit="1" customWidth="1"/>
    <col min="24" max="24" width="13.28515625" customWidth="1"/>
    <col min="25" max="25" width="12.85546875" bestFit="1" customWidth="1"/>
    <col min="26" max="26" width="12.28515625" bestFit="1" customWidth="1"/>
    <col min="27" max="27" width="23.140625" bestFit="1" customWidth="1"/>
    <col min="28" max="28" width="9" bestFit="1" customWidth="1"/>
  </cols>
  <sheetData>
    <row r="1" spans="1:28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/>
      <c r="Y1" s="1" t="s">
        <v>5</v>
      </c>
      <c r="Z1" s="1" t="s">
        <v>4854</v>
      </c>
      <c r="AA1" s="1" t="s">
        <v>6</v>
      </c>
      <c r="AB1" s="1" t="s">
        <v>4855</v>
      </c>
    </row>
    <row r="2" spans="1:28" x14ac:dyDescent="0.25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157.30000000000001</v>
      </c>
      <c r="H2" t="s">
        <v>76</v>
      </c>
      <c r="I2">
        <v>124626223335.89999</v>
      </c>
      <c r="J2" t="s">
        <v>4688</v>
      </c>
      <c r="K2">
        <v>231278406.87306401</v>
      </c>
      <c r="L2" t="s">
        <v>4724</v>
      </c>
      <c r="M2">
        <v>0.75</v>
      </c>
      <c r="N2">
        <v>93469667501.925003</v>
      </c>
      <c r="Q2" t="s">
        <v>4849</v>
      </c>
      <c r="R2">
        <v>7</v>
      </c>
      <c r="S2" t="b">
        <v>1</v>
      </c>
      <c r="T2">
        <v>160.74</v>
      </c>
      <c r="U2">
        <v>1</v>
      </c>
      <c r="V2">
        <v>95513759404.065002</v>
      </c>
      <c r="W2">
        <v>3.033670277439263E-2</v>
      </c>
      <c r="X2">
        <f>V2/SUM($V$2:$V$16)</f>
        <v>5.0561171290654391E-2</v>
      </c>
      <c r="Y2">
        <v>6.153666956418018</v>
      </c>
      <c r="Z2">
        <v>3.033670277439263E-2</v>
      </c>
      <c r="AA2" t="s">
        <v>75</v>
      </c>
      <c r="AB2" t="b">
        <v>0</v>
      </c>
    </row>
    <row r="3" spans="1:28" x14ac:dyDescent="0.25">
      <c r="A3">
        <v>119</v>
      </c>
      <c r="B3" t="s">
        <v>215</v>
      </c>
      <c r="C3" t="s">
        <v>12</v>
      </c>
      <c r="D3" t="s">
        <v>42</v>
      </c>
      <c r="E3" t="s">
        <v>70</v>
      </c>
      <c r="F3">
        <v>393830692</v>
      </c>
      <c r="G3">
        <v>642.6</v>
      </c>
      <c r="H3" t="s">
        <v>76</v>
      </c>
      <c r="I3">
        <v>253075602679.20001</v>
      </c>
      <c r="J3" t="s">
        <v>4688</v>
      </c>
      <c r="K3">
        <v>553885525.13951695</v>
      </c>
      <c r="L3" t="s">
        <v>4714</v>
      </c>
      <c r="M3">
        <v>1</v>
      </c>
      <c r="N3">
        <v>253075602679.20001</v>
      </c>
      <c r="Q3" t="s">
        <v>4849</v>
      </c>
      <c r="R3">
        <v>2</v>
      </c>
      <c r="S3" t="b">
        <v>1</v>
      </c>
      <c r="T3">
        <v>666</v>
      </c>
      <c r="U3">
        <v>1</v>
      </c>
      <c r="V3">
        <v>262291240872</v>
      </c>
      <c r="W3">
        <v>8.3307907303686771E-2</v>
      </c>
      <c r="Y3">
        <v>6.153666956418018</v>
      </c>
      <c r="Z3">
        <v>8.3307907303686771E-2</v>
      </c>
      <c r="AA3" t="s">
        <v>75</v>
      </c>
      <c r="AB3" t="b">
        <v>0</v>
      </c>
    </row>
    <row r="4" spans="1:28" x14ac:dyDescent="0.25">
      <c r="A4">
        <v>161</v>
      </c>
      <c r="B4" t="s">
        <v>257</v>
      </c>
      <c r="C4" t="s">
        <v>13</v>
      </c>
      <c r="D4" t="s">
        <v>43</v>
      </c>
      <c r="E4" t="s">
        <v>71</v>
      </c>
      <c r="F4">
        <v>15152492000</v>
      </c>
      <c r="G4">
        <v>6.97</v>
      </c>
      <c r="H4" t="s">
        <v>76</v>
      </c>
      <c r="I4">
        <v>105612869240</v>
      </c>
      <c r="J4" t="s">
        <v>4688</v>
      </c>
      <c r="K4">
        <v>263683511.31210199</v>
      </c>
      <c r="L4" t="s">
        <v>4692</v>
      </c>
      <c r="M4">
        <v>1</v>
      </c>
      <c r="N4">
        <v>105612869240</v>
      </c>
      <c r="Q4" t="s">
        <v>4849</v>
      </c>
      <c r="R4">
        <v>6</v>
      </c>
      <c r="S4" t="b">
        <v>1</v>
      </c>
      <c r="T4">
        <v>6.9370000000000003</v>
      </c>
      <c r="U4">
        <v>1</v>
      </c>
      <c r="V4">
        <v>105112837004</v>
      </c>
      <c r="W4">
        <v>3.3385523864405818E-2</v>
      </c>
      <c r="Y4">
        <v>6.1536669564180198</v>
      </c>
      <c r="Z4">
        <v>3.3385523864405818E-2</v>
      </c>
      <c r="AA4" t="s">
        <v>75</v>
      </c>
      <c r="AB4" t="b">
        <v>0</v>
      </c>
    </row>
    <row r="5" spans="1:28" x14ac:dyDescent="0.25">
      <c r="A5">
        <v>178</v>
      </c>
      <c r="B5" t="s">
        <v>274</v>
      </c>
      <c r="C5" t="s">
        <v>14</v>
      </c>
      <c r="D5" t="s">
        <v>44</v>
      </c>
      <c r="E5" t="s">
        <v>71</v>
      </c>
      <c r="F5">
        <v>5763285600</v>
      </c>
      <c r="G5">
        <v>13.265000000000001</v>
      </c>
      <c r="H5" t="s">
        <v>76</v>
      </c>
      <c r="I5">
        <v>76449983484</v>
      </c>
      <c r="J5" t="s">
        <v>4688</v>
      </c>
      <c r="K5">
        <v>160006645.238323</v>
      </c>
      <c r="L5" t="s">
        <v>4692</v>
      </c>
      <c r="M5">
        <v>1</v>
      </c>
      <c r="N5">
        <v>76449983484</v>
      </c>
      <c r="Q5" t="s">
        <v>4849</v>
      </c>
      <c r="R5">
        <v>14</v>
      </c>
      <c r="S5" t="b">
        <v>1</v>
      </c>
      <c r="T5">
        <v>13.05</v>
      </c>
      <c r="U5">
        <v>1</v>
      </c>
      <c r="V5">
        <v>75210877080</v>
      </c>
      <c r="W5">
        <v>2.3888181531259399E-2</v>
      </c>
      <c r="Y5">
        <v>6.1536669564180189</v>
      </c>
      <c r="Z5">
        <v>2.3888181531259399E-2</v>
      </c>
      <c r="AA5" t="s">
        <v>75</v>
      </c>
      <c r="AB5" t="b">
        <v>0</v>
      </c>
    </row>
    <row r="6" spans="1:28" x14ac:dyDescent="0.25">
      <c r="A6">
        <v>203</v>
      </c>
      <c r="B6" t="s">
        <v>299</v>
      </c>
      <c r="C6" t="s">
        <v>15</v>
      </c>
      <c r="D6" t="s">
        <v>45</v>
      </c>
      <c r="E6" t="s">
        <v>68</v>
      </c>
      <c r="F6">
        <v>1130810671</v>
      </c>
      <c r="G6">
        <v>75.84</v>
      </c>
      <c r="H6" t="s">
        <v>76</v>
      </c>
      <c r="I6">
        <v>85760681288.639999</v>
      </c>
      <c r="J6" t="s">
        <v>4688</v>
      </c>
      <c r="K6">
        <v>282485198.334032</v>
      </c>
      <c r="L6" t="s">
        <v>4692</v>
      </c>
      <c r="M6">
        <v>0.95</v>
      </c>
      <c r="N6">
        <v>81472647224.207993</v>
      </c>
      <c r="Q6" t="s">
        <v>4849</v>
      </c>
      <c r="R6">
        <v>12</v>
      </c>
      <c r="S6" t="b">
        <v>1</v>
      </c>
      <c r="T6">
        <v>75.97</v>
      </c>
      <c r="U6">
        <v>1.1527000000000001</v>
      </c>
      <c r="V6">
        <v>94074500909.711594</v>
      </c>
      <c r="W6">
        <v>2.9879571179624091E-2</v>
      </c>
      <c r="Y6">
        <v>6.153666956418018</v>
      </c>
      <c r="Z6">
        <v>2.9879571179624091E-2</v>
      </c>
      <c r="AA6" t="s">
        <v>75</v>
      </c>
      <c r="AB6" t="b">
        <v>0</v>
      </c>
    </row>
    <row r="7" spans="1:28" x14ac:dyDescent="0.25">
      <c r="A7">
        <v>597</v>
      </c>
      <c r="B7" t="s">
        <v>693</v>
      </c>
      <c r="C7" t="s">
        <v>18</v>
      </c>
      <c r="D7" t="s">
        <v>48</v>
      </c>
      <c r="E7" t="s">
        <v>68</v>
      </c>
      <c r="F7">
        <v>105569412</v>
      </c>
      <c r="G7">
        <v>2373</v>
      </c>
      <c r="H7" t="s">
        <v>76</v>
      </c>
      <c r="I7">
        <v>250516214676</v>
      </c>
      <c r="J7" t="s">
        <v>4688</v>
      </c>
      <c r="K7">
        <v>183774045.225806</v>
      </c>
      <c r="L7" t="s">
        <v>4777</v>
      </c>
      <c r="M7">
        <v>0.3</v>
      </c>
      <c r="N7">
        <v>75154864402.800003</v>
      </c>
      <c r="Q7" t="s">
        <v>4849</v>
      </c>
      <c r="R7">
        <v>15</v>
      </c>
      <c r="S7" t="b">
        <v>1</v>
      </c>
      <c r="T7">
        <v>2294</v>
      </c>
      <c r="U7">
        <v>1.1527000000000001</v>
      </c>
      <c r="V7">
        <v>83746962486.373672</v>
      </c>
      <c r="W7">
        <v>2.659937924188964E-2</v>
      </c>
      <c r="Y7">
        <v>6.153666956418018</v>
      </c>
      <c r="Z7">
        <v>2.659937924188964E-2</v>
      </c>
      <c r="AA7" t="s">
        <v>75</v>
      </c>
      <c r="AB7" t="b">
        <v>0</v>
      </c>
    </row>
    <row r="8" spans="1:28" x14ac:dyDescent="0.25">
      <c r="A8">
        <v>813</v>
      </c>
      <c r="B8" t="s">
        <v>909</v>
      </c>
      <c r="C8" t="s">
        <v>21</v>
      </c>
      <c r="D8" t="s">
        <v>51</v>
      </c>
      <c r="E8" t="s">
        <v>68</v>
      </c>
      <c r="F8">
        <v>534315364</v>
      </c>
      <c r="G8">
        <v>372.95</v>
      </c>
      <c r="H8" t="s">
        <v>76</v>
      </c>
      <c r="I8">
        <v>199272915003.79999</v>
      </c>
      <c r="J8" t="s">
        <v>4688</v>
      </c>
      <c r="K8">
        <v>181371376.418951</v>
      </c>
      <c r="L8" t="s">
        <v>4832</v>
      </c>
      <c r="M8">
        <v>0.45</v>
      </c>
      <c r="N8">
        <v>89672811751.709991</v>
      </c>
      <c r="Q8" t="s">
        <v>4849</v>
      </c>
      <c r="R8">
        <v>10</v>
      </c>
      <c r="S8" t="b">
        <v>1</v>
      </c>
      <c r="T8">
        <v>369</v>
      </c>
      <c r="U8">
        <v>1.1527000000000001</v>
      </c>
      <c r="V8">
        <v>102271078399.7489</v>
      </c>
      <c r="W8">
        <v>3.2482935727663829E-2</v>
      </c>
      <c r="Y8">
        <v>6.153666956418018</v>
      </c>
      <c r="Z8">
        <v>3.2482935727663829E-2</v>
      </c>
      <c r="AA8" t="s">
        <v>75</v>
      </c>
      <c r="AB8" t="b">
        <v>0</v>
      </c>
    </row>
    <row r="9" spans="1:28" x14ac:dyDescent="0.25">
      <c r="A9">
        <v>822</v>
      </c>
      <c r="B9" t="s">
        <v>918</v>
      </c>
      <c r="C9" t="s">
        <v>22</v>
      </c>
      <c r="D9" t="s">
        <v>52</v>
      </c>
      <c r="E9" t="s">
        <v>68</v>
      </c>
      <c r="F9">
        <v>500141700</v>
      </c>
      <c r="G9">
        <v>479</v>
      </c>
      <c r="H9" t="s">
        <v>76</v>
      </c>
      <c r="I9">
        <v>239567874300</v>
      </c>
      <c r="J9" t="s">
        <v>4688</v>
      </c>
      <c r="K9">
        <v>369952518.40121001</v>
      </c>
      <c r="L9" t="s">
        <v>4777</v>
      </c>
      <c r="M9">
        <v>0.5</v>
      </c>
      <c r="N9">
        <v>119783937150</v>
      </c>
      <c r="Q9" t="s">
        <v>4849</v>
      </c>
      <c r="R9">
        <v>5</v>
      </c>
      <c r="S9" t="b">
        <v>1</v>
      </c>
      <c r="T9">
        <v>460.7</v>
      </c>
      <c r="U9">
        <v>1</v>
      </c>
      <c r="V9">
        <v>115207640595</v>
      </c>
      <c r="W9">
        <v>3.6591795484502927E-2</v>
      </c>
      <c r="Y9">
        <v>6.1536669564180171</v>
      </c>
      <c r="Z9">
        <v>3.6591795484502927E-2</v>
      </c>
      <c r="AA9" t="s">
        <v>75</v>
      </c>
      <c r="AB9" t="b">
        <v>0</v>
      </c>
    </row>
    <row r="10" spans="1:28" x14ac:dyDescent="0.25">
      <c r="A10">
        <v>1100</v>
      </c>
      <c r="B10" t="s">
        <v>1196</v>
      </c>
      <c r="C10" t="s">
        <v>28</v>
      </c>
      <c r="D10" t="s">
        <v>58</v>
      </c>
      <c r="E10" t="s">
        <v>70</v>
      </c>
      <c r="F10">
        <v>1907070957</v>
      </c>
      <c r="G10">
        <v>48.96</v>
      </c>
      <c r="H10" t="s">
        <v>76</v>
      </c>
      <c r="I10">
        <v>93370194054.720001</v>
      </c>
      <c r="J10" t="s">
        <v>4688</v>
      </c>
      <c r="K10">
        <v>47410533.484354801</v>
      </c>
      <c r="L10" t="s">
        <v>4733</v>
      </c>
      <c r="M10">
        <v>1</v>
      </c>
      <c r="N10">
        <v>93370194054.720001</v>
      </c>
      <c r="Q10" t="s">
        <v>4849</v>
      </c>
      <c r="R10">
        <v>8</v>
      </c>
      <c r="S10" t="b">
        <v>1</v>
      </c>
      <c r="T10">
        <v>45.78</v>
      </c>
      <c r="U10">
        <v>1</v>
      </c>
      <c r="V10">
        <v>87305708411.460007</v>
      </c>
      <c r="W10">
        <v>2.7729694057812702E-2</v>
      </c>
      <c r="Y10">
        <v>6.1536669564180198</v>
      </c>
      <c r="Z10">
        <v>2.7729694057812702E-2</v>
      </c>
      <c r="AA10" t="s">
        <v>75</v>
      </c>
      <c r="AB10" t="b">
        <v>0</v>
      </c>
    </row>
    <row r="11" spans="1:28" x14ac:dyDescent="0.25">
      <c r="A11">
        <v>1112</v>
      </c>
      <c r="B11" t="s">
        <v>1208</v>
      </c>
      <c r="C11" t="s">
        <v>29</v>
      </c>
      <c r="D11" t="s">
        <v>59</v>
      </c>
      <c r="E11" t="s">
        <v>73</v>
      </c>
      <c r="F11">
        <v>45635650</v>
      </c>
      <c r="G11">
        <v>1783.5</v>
      </c>
      <c r="H11" t="s">
        <v>76</v>
      </c>
      <c r="I11">
        <v>81391181775</v>
      </c>
      <c r="J11" t="s">
        <v>4688</v>
      </c>
      <c r="K11">
        <v>632598876.90322602</v>
      </c>
      <c r="L11" t="s">
        <v>4762</v>
      </c>
      <c r="M11">
        <v>1</v>
      </c>
      <c r="N11">
        <v>81391181775</v>
      </c>
      <c r="Q11" t="s">
        <v>4849</v>
      </c>
      <c r="R11">
        <v>13</v>
      </c>
      <c r="S11" t="b">
        <v>1</v>
      </c>
      <c r="T11">
        <v>1728.5</v>
      </c>
      <c r="U11">
        <v>1</v>
      </c>
      <c r="V11">
        <v>78881221025</v>
      </c>
      <c r="W11">
        <v>2.5053941669212019E-2</v>
      </c>
      <c r="Y11">
        <v>6.153666956418018</v>
      </c>
      <c r="Z11">
        <v>2.5053941669212019E-2</v>
      </c>
      <c r="AA11" t="s">
        <v>75</v>
      </c>
      <c r="AB11" t="b">
        <v>1</v>
      </c>
    </row>
    <row r="12" spans="1:28" x14ac:dyDescent="0.25">
      <c r="A12">
        <v>1142</v>
      </c>
      <c r="B12" t="s">
        <v>1238</v>
      </c>
      <c r="C12" t="s">
        <v>30</v>
      </c>
      <c r="D12" t="s">
        <v>60</v>
      </c>
      <c r="E12" t="s">
        <v>68</v>
      </c>
      <c r="F12">
        <v>423632587</v>
      </c>
      <c r="G12">
        <v>254.8</v>
      </c>
      <c r="H12" t="s">
        <v>76</v>
      </c>
      <c r="I12">
        <v>107941583167.60001</v>
      </c>
      <c r="J12" t="s">
        <v>4688</v>
      </c>
      <c r="K12">
        <v>184221737.86895099</v>
      </c>
      <c r="L12" t="s">
        <v>4724</v>
      </c>
      <c r="M12">
        <v>0.85</v>
      </c>
      <c r="N12">
        <v>91750345692.460007</v>
      </c>
      <c r="Q12" t="s">
        <v>4849</v>
      </c>
      <c r="R12">
        <v>9</v>
      </c>
      <c r="S12" t="b">
        <v>1</v>
      </c>
      <c r="T12">
        <v>259.8</v>
      </c>
      <c r="U12">
        <v>1</v>
      </c>
      <c r="V12">
        <v>93550784187.210007</v>
      </c>
      <c r="W12">
        <v>2.971323034404566E-2</v>
      </c>
      <c r="Y12">
        <v>6.1536669564180189</v>
      </c>
      <c r="Z12">
        <v>2.971323034404566E-2</v>
      </c>
      <c r="AA12" t="s">
        <v>75</v>
      </c>
      <c r="AB12" t="b">
        <v>0</v>
      </c>
    </row>
    <row r="13" spans="1:28" x14ac:dyDescent="0.25">
      <c r="A13">
        <v>1161</v>
      </c>
      <c r="B13" t="s">
        <v>1257</v>
      </c>
      <c r="C13" t="s">
        <v>31</v>
      </c>
      <c r="D13" t="s">
        <v>61</v>
      </c>
      <c r="E13" t="s">
        <v>73</v>
      </c>
      <c r="F13">
        <v>1228504300</v>
      </c>
      <c r="G13">
        <v>260.55</v>
      </c>
      <c r="H13" t="s">
        <v>76</v>
      </c>
      <c r="I13">
        <v>320086795365</v>
      </c>
      <c r="J13" t="s">
        <v>4688</v>
      </c>
      <c r="K13">
        <v>525748192.38346797</v>
      </c>
      <c r="L13" t="s">
        <v>4710</v>
      </c>
      <c r="M13">
        <v>0.95</v>
      </c>
      <c r="N13">
        <v>304082455596.75</v>
      </c>
      <c r="Q13" t="s">
        <v>4849</v>
      </c>
      <c r="R13">
        <v>1</v>
      </c>
      <c r="S13" t="b">
        <v>1</v>
      </c>
      <c r="T13">
        <v>256.05</v>
      </c>
      <c r="U13">
        <v>1</v>
      </c>
      <c r="V13">
        <v>298830599714.25</v>
      </c>
      <c r="W13">
        <v>9.4913394049055508E-2</v>
      </c>
      <c r="Y13">
        <v>6.1536669564180189</v>
      </c>
      <c r="Z13">
        <v>9.4913394049055508E-2</v>
      </c>
      <c r="AA13" t="s">
        <v>75</v>
      </c>
      <c r="AB13" t="b">
        <v>0</v>
      </c>
    </row>
    <row r="14" spans="1:28" x14ac:dyDescent="0.25">
      <c r="A14">
        <v>1172</v>
      </c>
      <c r="B14" t="s">
        <v>1268</v>
      </c>
      <c r="C14" t="s">
        <v>32</v>
      </c>
      <c r="D14" t="s">
        <v>62</v>
      </c>
      <c r="E14" t="s">
        <v>68</v>
      </c>
      <c r="F14">
        <v>575631676</v>
      </c>
      <c r="G14">
        <v>217.15</v>
      </c>
      <c r="H14" t="s">
        <v>76</v>
      </c>
      <c r="I14">
        <v>124998418443.39999</v>
      </c>
      <c r="J14" t="s">
        <v>4688</v>
      </c>
      <c r="K14">
        <v>282928668.84266102</v>
      </c>
      <c r="L14" t="s">
        <v>4699</v>
      </c>
      <c r="M14">
        <v>1</v>
      </c>
      <c r="N14">
        <v>124998418443.39999</v>
      </c>
      <c r="Q14" t="s">
        <v>4849</v>
      </c>
      <c r="R14">
        <v>4</v>
      </c>
      <c r="S14" t="b">
        <v>1</v>
      </c>
      <c r="T14">
        <v>221.9</v>
      </c>
      <c r="U14">
        <v>1.1527000000000001</v>
      </c>
      <c r="V14">
        <v>147237447446.1019</v>
      </c>
      <c r="W14">
        <v>4.6764976149002352E-2</v>
      </c>
      <c r="Y14">
        <v>6.1536669564180189</v>
      </c>
      <c r="Z14">
        <v>4.6764976149002352E-2</v>
      </c>
      <c r="AA14" t="s">
        <v>75</v>
      </c>
      <c r="AB14" t="b">
        <v>0</v>
      </c>
    </row>
    <row r="15" spans="1:28" x14ac:dyDescent="0.25">
      <c r="A15">
        <v>1213</v>
      </c>
      <c r="B15" t="s">
        <v>1309</v>
      </c>
      <c r="C15" t="s">
        <v>33</v>
      </c>
      <c r="D15" t="s">
        <v>63</v>
      </c>
      <c r="E15" t="s">
        <v>73</v>
      </c>
      <c r="F15">
        <v>800000000</v>
      </c>
      <c r="G15">
        <v>212.3</v>
      </c>
      <c r="H15" t="s">
        <v>76</v>
      </c>
      <c r="I15">
        <v>169840000000</v>
      </c>
      <c r="J15" t="s">
        <v>4688</v>
      </c>
      <c r="K15">
        <v>375899385.898871</v>
      </c>
      <c r="L15" t="s">
        <v>4691</v>
      </c>
      <c r="M15">
        <v>0.95</v>
      </c>
      <c r="N15">
        <v>161348000000</v>
      </c>
      <c r="Q15" t="s">
        <v>4849</v>
      </c>
      <c r="R15">
        <v>3</v>
      </c>
      <c r="S15" t="b">
        <v>1</v>
      </c>
      <c r="T15">
        <v>214</v>
      </c>
      <c r="U15">
        <v>1</v>
      </c>
      <c r="V15">
        <v>162640000000</v>
      </c>
      <c r="W15">
        <v>5.1657074017518283E-2</v>
      </c>
      <c r="Y15">
        <v>6.1536669564180189</v>
      </c>
      <c r="Z15">
        <v>5.1657074017518283E-2</v>
      </c>
      <c r="AA15" t="s">
        <v>75</v>
      </c>
      <c r="AB15" t="b">
        <v>0</v>
      </c>
    </row>
    <row r="16" spans="1:28" x14ac:dyDescent="0.25">
      <c r="A16">
        <v>1427</v>
      </c>
      <c r="B16" t="s">
        <v>1523</v>
      </c>
      <c r="C16" t="s">
        <v>35</v>
      </c>
      <c r="D16" t="s">
        <v>65</v>
      </c>
      <c r="E16" t="s">
        <v>74</v>
      </c>
      <c r="F16">
        <v>1557675176</v>
      </c>
      <c r="G16">
        <v>55.57</v>
      </c>
      <c r="H16" t="s">
        <v>76</v>
      </c>
      <c r="I16">
        <v>86560009530.320007</v>
      </c>
      <c r="J16" t="s">
        <v>4688</v>
      </c>
      <c r="K16">
        <v>485191615.20588702</v>
      </c>
      <c r="L16" t="s">
        <v>4692</v>
      </c>
      <c r="M16">
        <v>1</v>
      </c>
      <c r="N16">
        <v>86560009530.320007</v>
      </c>
      <c r="Q16" t="s">
        <v>4849</v>
      </c>
      <c r="R16">
        <v>11</v>
      </c>
      <c r="S16" t="b">
        <v>1</v>
      </c>
      <c r="T16">
        <v>55.98</v>
      </c>
      <c r="U16">
        <v>1</v>
      </c>
      <c r="V16">
        <v>87198656352.479996</v>
      </c>
      <c r="W16">
        <v>2.769569260592843E-2</v>
      </c>
      <c r="Y16">
        <v>6.1536669564180189</v>
      </c>
      <c r="Z16">
        <v>2.769569260592843E-2</v>
      </c>
      <c r="AA16" t="s">
        <v>75</v>
      </c>
      <c r="AB16" t="b">
        <v>0</v>
      </c>
    </row>
    <row r="17" spans="1:28" x14ac:dyDescent="0.25">
      <c r="A17">
        <v>64</v>
      </c>
      <c r="B17" t="s">
        <v>160</v>
      </c>
      <c r="C17" t="s">
        <v>9</v>
      </c>
      <c r="D17" t="s">
        <v>39</v>
      </c>
      <c r="E17" t="s">
        <v>69</v>
      </c>
      <c r="F17">
        <v>5820000000</v>
      </c>
      <c r="G17">
        <v>148.50370000000001</v>
      </c>
      <c r="H17" t="s">
        <v>77</v>
      </c>
      <c r="I17">
        <v>864291534000</v>
      </c>
      <c r="J17" t="s">
        <v>4686</v>
      </c>
      <c r="K17">
        <v>5830797669.5656204</v>
      </c>
      <c r="L17" t="s">
        <v>4732</v>
      </c>
      <c r="M17">
        <v>1</v>
      </c>
      <c r="N17">
        <v>864291534000</v>
      </c>
      <c r="Q17" t="s">
        <v>4848</v>
      </c>
      <c r="R17">
        <v>7</v>
      </c>
      <c r="S17" t="b">
        <v>1</v>
      </c>
      <c r="T17">
        <v>175.95</v>
      </c>
      <c r="U17">
        <v>0.86752841000000003</v>
      </c>
      <c r="V17">
        <v>888374250163.89001</v>
      </c>
      <c r="W17">
        <v>2.032256673198133E-2</v>
      </c>
      <c r="Y17">
        <v>0.44321469074097941</v>
      </c>
      <c r="Z17">
        <v>2.032256673198133E-2</v>
      </c>
      <c r="AA17" t="s">
        <v>75</v>
      </c>
      <c r="AB17" t="b">
        <v>0</v>
      </c>
    </row>
    <row r="18" spans="1:28" x14ac:dyDescent="0.25">
      <c r="A18">
        <v>71</v>
      </c>
      <c r="B18" t="s">
        <v>167</v>
      </c>
      <c r="C18" t="s">
        <v>10</v>
      </c>
      <c r="D18" t="s">
        <v>40</v>
      </c>
      <c r="E18" t="s">
        <v>69</v>
      </c>
      <c r="F18">
        <v>10616353000</v>
      </c>
      <c r="G18">
        <v>177.1696</v>
      </c>
      <c r="H18" t="s">
        <v>77</v>
      </c>
      <c r="I18">
        <v>1880895014468.8</v>
      </c>
      <c r="J18" t="s">
        <v>4686</v>
      </c>
      <c r="K18">
        <v>8980924282.0193501</v>
      </c>
      <c r="L18" t="s">
        <v>4736</v>
      </c>
      <c r="M18">
        <v>0.9</v>
      </c>
      <c r="N18">
        <v>1692805513021.9199</v>
      </c>
      <c r="Q18" t="s">
        <v>4848</v>
      </c>
      <c r="R18">
        <v>4</v>
      </c>
      <c r="S18" t="b">
        <v>1</v>
      </c>
      <c r="T18">
        <v>214.82</v>
      </c>
      <c r="U18">
        <v>0.86752841000000003</v>
      </c>
      <c r="V18">
        <v>1780640628640.3989</v>
      </c>
      <c r="W18">
        <v>4.0734170305528068E-2</v>
      </c>
      <c r="Y18">
        <v>0.44321469074097919</v>
      </c>
      <c r="Z18">
        <v>4.0734170305528068E-2</v>
      </c>
      <c r="AA18" t="s">
        <v>75</v>
      </c>
      <c r="AB18" t="b">
        <v>0</v>
      </c>
    </row>
    <row r="19" spans="1:28" x14ac:dyDescent="0.25">
      <c r="A19">
        <v>99</v>
      </c>
      <c r="B19" t="s">
        <v>195</v>
      </c>
      <c r="C19" t="s">
        <v>11</v>
      </c>
      <c r="D19" t="s">
        <v>41</v>
      </c>
      <c r="E19" t="s">
        <v>69</v>
      </c>
      <c r="F19">
        <v>14935826000</v>
      </c>
      <c r="G19">
        <v>172.1275</v>
      </c>
      <c r="H19" t="s">
        <v>77</v>
      </c>
      <c r="I19">
        <v>2570866389815</v>
      </c>
      <c r="J19" t="s">
        <v>4686</v>
      </c>
      <c r="K19">
        <v>11620960254.625999</v>
      </c>
      <c r="L19" t="s">
        <v>4749</v>
      </c>
      <c r="M19">
        <v>1</v>
      </c>
      <c r="N19">
        <v>2570866389815</v>
      </c>
      <c r="Q19" t="s">
        <v>4848</v>
      </c>
      <c r="R19">
        <v>3</v>
      </c>
      <c r="S19" t="b">
        <v>1</v>
      </c>
      <c r="T19">
        <v>195.64</v>
      </c>
      <c r="U19">
        <v>0.86752841000000003</v>
      </c>
      <c r="V19">
        <v>2534957051618.6108</v>
      </c>
      <c r="W19">
        <v>5.7990012469093827E-2</v>
      </c>
      <c r="Y19">
        <v>0.44321469074097919</v>
      </c>
      <c r="Z19">
        <v>5.7990012469093827E-2</v>
      </c>
      <c r="AA19" t="s">
        <v>75</v>
      </c>
      <c r="AB19" t="b">
        <v>0</v>
      </c>
    </row>
    <row r="20" spans="1:28" x14ac:dyDescent="0.25">
      <c r="A20">
        <v>219</v>
      </c>
      <c r="B20" t="s">
        <v>315</v>
      </c>
      <c r="C20" t="s">
        <v>16</v>
      </c>
      <c r="D20" t="s">
        <v>46</v>
      </c>
      <c r="E20" t="s">
        <v>69</v>
      </c>
      <c r="F20">
        <v>4701948700</v>
      </c>
      <c r="G20">
        <v>201.6131</v>
      </c>
      <c r="H20" t="s">
        <v>77</v>
      </c>
      <c r="I20">
        <v>947974453447.96997</v>
      </c>
      <c r="J20" t="s">
        <v>4686</v>
      </c>
      <c r="K20">
        <v>5146711320.96984</v>
      </c>
      <c r="L20" t="s">
        <v>4713</v>
      </c>
      <c r="M20">
        <v>1</v>
      </c>
      <c r="N20">
        <v>947974453447.96997</v>
      </c>
      <c r="Q20" t="s">
        <v>4848</v>
      </c>
      <c r="R20">
        <v>6</v>
      </c>
      <c r="S20" t="b">
        <v>1</v>
      </c>
      <c r="T20">
        <v>249.37</v>
      </c>
      <c r="U20">
        <v>0.86752841000000003</v>
      </c>
      <c r="V20">
        <v>1017198703232.986</v>
      </c>
      <c r="W20">
        <v>2.3269571942594661E-2</v>
      </c>
      <c r="Y20">
        <v>0.44321469074097919</v>
      </c>
      <c r="Z20">
        <v>2.3269571942594661E-2</v>
      </c>
      <c r="AA20" t="s">
        <v>75</v>
      </c>
      <c r="AB20" t="b">
        <v>0</v>
      </c>
    </row>
    <row r="21" spans="1:28" x14ac:dyDescent="0.25">
      <c r="A21">
        <v>335</v>
      </c>
      <c r="B21" t="s">
        <v>431</v>
      </c>
      <c r="C21" t="s">
        <v>17</v>
      </c>
      <c r="D21" t="s">
        <v>47</v>
      </c>
      <c r="E21" t="s">
        <v>69</v>
      </c>
      <c r="F21">
        <v>443683350</v>
      </c>
      <c r="G21">
        <v>888.97709999999995</v>
      </c>
      <c r="H21" t="s">
        <v>77</v>
      </c>
      <c r="I21">
        <v>394424337801.28497</v>
      </c>
      <c r="J21" t="s">
        <v>4686</v>
      </c>
      <c r="K21">
        <v>2139366999.7460401</v>
      </c>
      <c r="L21" t="s">
        <v>4736</v>
      </c>
      <c r="M21">
        <v>1</v>
      </c>
      <c r="N21">
        <v>394424337801.28497</v>
      </c>
      <c r="Q21" t="s">
        <v>4848</v>
      </c>
      <c r="R21">
        <v>13</v>
      </c>
      <c r="S21" t="b">
        <v>1</v>
      </c>
      <c r="T21">
        <v>977.72</v>
      </c>
      <c r="U21">
        <v>0.86752841000000003</v>
      </c>
      <c r="V21">
        <v>376332162908.12878</v>
      </c>
      <c r="W21">
        <v>8.6090242852946072E-3</v>
      </c>
      <c r="Y21">
        <v>0.44321469074097919</v>
      </c>
      <c r="Z21">
        <v>8.6090242852946072E-3</v>
      </c>
      <c r="AA21" t="s">
        <v>75</v>
      </c>
      <c r="AB21" t="b">
        <v>0</v>
      </c>
    </row>
    <row r="22" spans="1:28" x14ac:dyDescent="0.25">
      <c r="A22">
        <v>615</v>
      </c>
      <c r="B22" t="s">
        <v>711</v>
      </c>
      <c r="C22" t="s">
        <v>19</v>
      </c>
      <c r="D22" t="s">
        <v>49</v>
      </c>
      <c r="E22" t="s">
        <v>72</v>
      </c>
      <c r="F22">
        <v>993928160</v>
      </c>
      <c r="G22">
        <v>319.72320000000002</v>
      </c>
      <c r="H22" t="s">
        <v>77</v>
      </c>
      <c r="I22">
        <v>317781891885.31201</v>
      </c>
      <c r="J22" t="s">
        <v>4686</v>
      </c>
      <c r="K22">
        <v>1268690865.2937601</v>
      </c>
      <c r="L22" t="s">
        <v>4822</v>
      </c>
      <c r="M22">
        <v>1</v>
      </c>
      <c r="N22">
        <v>317781891885.31201</v>
      </c>
      <c r="Q22" t="s">
        <v>4848</v>
      </c>
      <c r="R22">
        <v>15</v>
      </c>
      <c r="S22" t="b">
        <v>1</v>
      </c>
      <c r="T22">
        <v>348.78</v>
      </c>
      <c r="U22">
        <v>0.86752841000000003</v>
      </c>
      <c r="V22">
        <v>300739362386.77411</v>
      </c>
      <c r="W22">
        <v>6.8797533921218573E-3</v>
      </c>
      <c r="Y22">
        <v>0.44321469074097941</v>
      </c>
      <c r="Z22">
        <v>6.8797533921218573E-3</v>
      </c>
      <c r="AA22" t="s">
        <v>75</v>
      </c>
      <c r="AB22" t="b">
        <v>0</v>
      </c>
    </row>
    <row r="23" spans="1:28" x14ac:dyDescent="0.25">
      <c r="A23">
        <v>714</v>
      </c>
      <c r="B23" t="s">
        <v>810</v>
      </c>
      <c r="C23" t="s">
        <v>20</v>
      </c>
      <c r="D23" t="s">
        <v>50</v>
      </c>
      <c r="E23" t="s">
        <v>72</v>
      </c>
      <c r="F23">
        <v>2779094500</v>
      </c>
      <c r="G23">
        <v>229.81180000000001</v>
      </c>
      <c r="H23" t="s">
        <v>77</v>
      </c>
      <c r="I23">
        <v>638668709415.09998</v>
      </c>
      <c r="J23" t="s">
        <v>4686</v>
      </c>
      <c r="K23">
        <v>2507010792.0832801</v>
      </c>
      <c r="L23" t="s">
        <v>4692</v>
      </c>
      <c r="M23">
        <v>1</v>
      </c>
      <c r="N23">
        <v>638668709415.09998</v>
      </c>
      <c r="Q23" t="s">
        <v>4848</v>
      </c>
      <c r="R23">
        <v>9</v>
      </c>
      <c r="S23" t="b">
        <v>1</v>
      </c>
      <c r="T23">
        <v>269.52</v>
      </c>
      <c r="U23">
        <v>0.86752841000000003</v>
      </c>
      <c r="V23">
        <v>649797474014.92529</v>
      </c>
      <c r="W23">
        <v>1.486485287648198E-2</v>
      </c>
      <c r="Y23">
        <v>0.44321469074097919</v>
      </c>
      <c r="Z23">
        <v>1.486485287648198E-2</v>
      </c>
      <c r="AA23" t="s">
        <v>75</v>
      </c>
      <c r="AB23" t="b">
        <v>0</v>
      </c>
    </row>
    <row r="24" spans="1:28" x14ac:dyDescent="0.25">
      <c r="A24">
        <v>844</v>
      </c>
      <c r="B24" t="s">
        <v>940</v>
      </c>
      <c r="C24" t="s">
        <v>23</v>
      </c>
      <c r="D24" t="s">
        <v>53</v>
      </c>
      <c r="E24" t="s">
        <v>72</v>
      </c>
      <c r="F24">
        <v>901263200</v>
      </c>
      <c r="G24">
        <v>496.78699999999998</v>
      </c>
      <c r="H24" t="s">
        <v>77</v>
      </c>
      <c r="I24">
        <v>447735841338.40002</v>
      </c>
      <c r="J24" t="s">
        <v>4686</v>
      </c>
      <c r="K24">
        <v>1421313530.5834501</v>
      </c>
      <c r="L24" t="s">
        <v>4715</v>
      </c>
      <c r="M24">
        <v>0.9</v>
      </c>
      <c r="N24">
        <v>402962257204.56</v>
      </c>
      <c r="Q24" t="s">
        <v>4848</v>
      </c>
      <c r="R24">
        <v>12</v>
      </c>
      <c r="S24" t="b">
        <v>1</v>
      </c>
      <c r="T24">
        <v>569.45000000000005</v>
      </c>
      <c r="U24">
        <v>0.86752841000000003</v>
      </c>
      <c r="V24">
        <v>400713017687.00439</v>
      </c>
      <c r="W24">
        <v>9.1667639407776846E-3</v>
      </c>
      <c r="Y24">
        <v>0.44321469074097919</v>
      </c>
      <c r="Z24">
        <v>9.1667639407776846E-3</v>
      </c>
      <c r="AA24" t="s">
        <v>75</v>
      </c>
      <c r="AB24" t="b">
        <v>0</v>
      </c>
    </row>
    <row r="25" spans="1:28" x14ac:dyDescent="0.25">
      <c r="A25">
        <v>865</v>
      </c>
      <c r="B25" t="s">
        <v>961</v>
      </c>
      <c r="C25" t="s">
        <v>24</v>
      </c>
      <c r="D25" t="s">
        <v>54</v>
      </c>
      <c r="E25" t="s">
        <v>69</v>
      </c>
      <c r="F25">
        <v>2171148200</v>
      </c>
      <c r="G25">
        <v>552.74369999999999</v>
      </c>
      <c r="H25" t="s">
        <v>77</v>
      </c>
      <c r="I25">
        <v>1200088489316.3401</v>
      </c>
      <c r="J25" t="s">
        <v>4686</v>
      </c>
      <c r="K25">
        <v>9476736600.8796597</v>
      </c>
      <c r="L25" t="s">
        <v>4732</v>
      </c>
      <c r="M25">
        <v>1</v>
      </c>
      <c r="N25">
        <v>1200088489316.3401</v>
      </c>
      <c r="Q25" t="s">
        <v>4848</v>
      </c>
      <c r="R25">
        <v>5</v>
      </c>
      <c r="S25" t="b">
        <v>1</v>
      </c>
      <c r="T25">
        <v>697.23</v>
      </c>
      <c r="U25">
        <v>0.86752841000000003</v>
      </c>
      <c r="V25">
        <v>1313255536368.3311</v>
      </c>
      <c r="W25">
        <v>3.004220717683536E-2</v>
      </c>
      <c r="Y25">
        <v>0.4432146907409793</v>
      </c>
      <c r="Z25">
        <v>3.004220717683536E-2</v>
      </c>
      <c r="AA25" t="s">
        <v>75</v>
      </c>
      <c r="AB25" t="b">
        <v>0</v>
      </c>
    </row>
    <row r="26" spans="1:28" x14ac:dyDescent="0.25">
      <c r="A26">
        <v>875</v>
      </c>
      <c r="B26" t="s">
        <v>971</v>
      </c>
      <c r="C26" t="s">
        <v>25</v>
      </c>
      <c r="D26" t="s">
        <v>55</v>
      </c>
      <c r="E26" t="s">
        <v>69</v>
      </c>
      <c r="F26">
        <v>7432544000</v>
      </c>
      <c r="G26">
        <v>396.82670000000002</v>
      </c>
      <c r="H26" t="s">
        <v>77</v>
      </c>
      <c r="I26">
        <v>2949431908124.7998</v>
      </c>
      <c r="J26" t="s">
        <v>4686</v>
      </c>
      <c r="K26">
        <v>8879138309.7649403</v>
      </c>
      <c r="L26" t="s">
        <v>4710</v>
      </c>
      <c r="M26">
        <v>1</v>
      </c>
      <c r="N26">
        <v>2949431908124.7998</v>
      </c>
      <c r="Q26" t="s">
        <v>4848</v>
      </c>
      <c r="R26">
        <v>1</v>
      </c>
      <c r="S26" t="b">
        <v>1</v>
      </c>
      <c r="T26">
        <v>478.04</v>
      </c>
      <c r="U26">
        <v>0.86752841000000003</v>
      </c>
      <c r="V26">
        <v>3082374709282.0122</v>
      </c>
      <c r="W26">
        <v>7.0512811138772766E-2</v>
      </c>
      <c r="Y26">
        <v>0.44321469074097919</v>
      </c>
      <c r="Z26">
        <v>7.0512811138772766E-2</v>
      </c>
      <c r="AA26" t="s">
        <v>75</v>
      </c>
      <c r="AB26" t="b">
        <v>0</v>
      </c>
    </row>
    <row r="27" spans="1:28" x14ac:dyDescent="0.25">
      <c r="A27">
        <v>927</v>
      </c>
      <c r="B27" t="s">
        <v>1023</v>
      </c>
      <c r="C27" t="s">
        <v>26</v>
      </c>
      <c r="D27" t="s">
        <v>56</v>
      </c>
      <c r="E27" t="s">
        <v>69</v>
      </c>
      <c r="F27">
        <v>425571260</v>
      </c>
      <c r="G27">
        <v>1044.903</v>
      </c>
      <c r="H27" t="s">
        <v>77</v>
      </c>
      <c r="I27">
        <v>444680686287.78003</v>
      </c>
      <c r="J27" t="s">
        <v>4686</v>
      </c>
      <c r="K27">
        <v>4514303941.9702797</v>
      </c>
      <c r="L27" t="s">
        <v>4772</v>
      </c>
      <c r="M27">
        <v>1</v>
      </c>
      <c r="N27">
        <v>444680686287.78003</v>
      </c>
      <c r="Q27" t="s">
        <v>4848</v>
      </c>
      <c r="R27">
        <v>11</v>
      </c>
      <c r="S27" t="b">
        <v>1</v>
      </c>
      <c r="T27">
        <v>1220.67</v>
      </c>
      <c r="U27">
        <v>0.86752841000000003</v>
      </c>
      <c r="V27">
        <v>450665454162.20062</v>
      </c>
      <c r="W27">
        <v>1.0309482478043881E-2</v>
      </c>
      <c r="Y27">
        <v>0.4432146907409793</v>
      </c>
      <c r="Z27">
        <v>1.0309482478043881E-2</v>
      </c>
      <c r="AA27" t="s">
        <v>75</v>
      </c>
      <c r="AB27" t="b">
        <v>0</v>
      </c>
    </row>
    <row r="28" spans="1:28" x14ac:dyDescent="0.25">
      <c r="A28">
        <v>985</v>
      </c>
      <c r="B28" t="s">
        <v>1081</v>
      </c>
      <c r="C28" t="s">
        <v>27</v>
      </c>
      <c r="D28" t="s">
        <v>57</v>
      </c>
      <c r="E28" t="s">
        <v>69</v>
      </c>
      <c r="F28">
        <v>24387557000</v>
      </c>
      <c r="G28">
        <v>115.73009999999999</v>
      </c>
      <c r="H28" t="s">
        <v>77</v>
      </c>
      <c r="I28">
        <v>2822374410365.7002</v>
      </c>
      <c r="J28" t="s">
        <v>4686</v>
      </c>
      <c r="K28">
        <v>29543863168.3382</v>
      </c>
      <c r="L28" t="s">
        <v>4713</v>
      </c>
      <c r="M28">
        <v>1</v>
      </c>
      <c r="N28">
        <v>2822374410365.7002</v>
      </c>
      <c r="Q28" t="s">
        <v>4848</v>
      </c>
      <c r="R28">
        <v>2</v>
      </c>
      <c r="S28" t="b">
        <v>1</v>
      </c>
      <c r="T28">
        <v>144.12</v>
      </c>
      <c r="U28">
        <v>0.86752841000000003</v>
      </c>
      <c r="V28">
        <v>3049132218736.9492</v>
      </c>
      <c r="W28">
        <v>6.975235153257113E-2</v>
      </c>
      <c r="Y28">
        <v>0.4432146907409793</v>
      </c>
      <c r="Z28">
        <v>6.975235153257113E-2</v>
      </c>
      <c r="AA28" t="s">
        <v>75</v>
      </c>
      <c r="AB28" t="b">
        <v>0</v>
      </c>
    </row>
    <row r="29" spans="1:28" x14ac:dyDescent="0.25">
      <c r="A29">
        <v>1358</v>
      </c>
      <c r="B29" t="s">
        <v>1454</v>
      </c>
      <c r="C29" t="s">
        <v>34</v>
      </c>
      <c r="D29" t="s">
        <v>64</v>
      </c>
      <c r="E29" t="s">
        <v>69</v>
      </c>
      <c r="F29">
        <v>3216517000</v>
      </c>
      <c r="G29">
        <v>299.12290000000002</v>
      </c>
      <c r="H29" t="s">
        <v>77</v>
      </c>
      <c r="I29">
        <v>962133892939.30005</v>
      </c>
      <c r="J29" t="s">
        <v>4686</v>
      </c>
      <c r="K29">
        <v>30803838241.743401</v>
      </c>
      <c r="L29" t="s">
        <v>4771</v>
      </c>
      <c r="M29">
        <v>0.85</v>
      </c>
      <c r="N29">
        <v>817813808998.40503</v>
      </c>
      <c r="Q29" t="s">
        <v>4848</v>
      </c>
      <c r="R29">
        <v>8</v>
      </c>
      <c r="S29" t="b">
        <v>1</v>
      </c>
      <c r="T29">
        <v>316.35000000000002</v>
      </c>
      <c r="U29">
        <v>0.86752841000000003</v>
      </c>
      <c r="V29">
        <v>750336929345.6322</v>
      </c>
      <c r="W29">
        <v>1.7164806741396921E-2</v>
      </c>
      <c r="Y29">
        <v>0.44321469074097919</v>
      </c>
      <c r="Z29">
        <v>1.7164806741396921E-2</v>
      </c>
      <c r="AA29" t="s">
        <v>75</v>
      </c>
      <c r="AB29" t="b">
        <v>0</v>
      </c>
    </row>
    <row r="30" spans="1:28" x14ac:dyDescent="0.25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2190796387.3180399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>
        <v>357.84</v>
      </c>
      <c r="U30">
        <v>0.86752841000000003</v>
      </c>
      <c r="V30">
        <v>531151997125.20148</v>
      </c>
      <c r="W30">
        <v>1.2150703269945841E-2</v>
      </c>
      <c r="Y30">
        <v>0.4432146907409793</v>
      </c>
      <c r="Z30">
        <v>1.2150703269945841E-2</v>
      </c>
      <c r="AA30" t="s">
        <v>75</v>
      </c>
      <c r="AB30" t="b">
        <v>0</v>
      </c>
    </row>
    <row r="31" spans="1:28" x14ac:dyDescent="0.25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77</v>
      </c>
      <c r="I31">
        <v>679452980523.60706</v>
      </c>
      <c r="J31" t="s">
        <v>4686</v>
      </c>
      <c r="K31">
        <v>1922561509.5118101</v>
      </c>
      <c r="L31" t="s">
        <v>4736</v>
      </c>
      <c r="M31">
        <v>0.55000000000000004</v>
      </c>
      <c r="N31">
        <v>373699139287.98389</v>
      </c>
      <c r="Q31" t="s">
        <v>4848</v>
      </c>
      <c r="R31">
        <v>14</v>
      </c>
      <c r="S31" t="b">
        <v>1</v>
      </c>
      <c r="T31">
        <v>94.25</v>
      </c>
      <c r="U31">
        <v>0.86752841000000003</v>
      </c>
      <c r="V31">
        <v>359803906972.85553</v>
      </c>
      <c r="W31">
        <v>8.230921718560047E-3</v>
      </c>
      <c r="Y31">
        <v>0.44321469074097919</v>
      </c>
      <c r="Z31">
        <v>8.230921718560047E-3</v>
      </c>
      <c r="AA31" t="s">
        <v>75</v>
      </c>
      <c r="AB31" t="b">
        <v>0</v>
      </c>
    </row>
    <row r="32" spans="1:28" x14ac:dyDescent="0.25">
      <c r="W32">
        <f>MAX(W2:W31)</f>
        <v>9.4913394049055508E-2</v>
      </c>
    </row>
    <row r="33" spans="22:22" x14ac:dyDescent="0.25">
      <c r="V33" s="2">
        <v>1889073313887.4009</v>
      </c>
    </row>
    <row r="34" spans="22:22" x14ac:dyDescent="0.25">
      <c r="V34" s="2">
        <v>17485473402645.902</v>
      </c>
    </row>
  </sheetData>
  <autoFilter ref="A1:AB31" xr:uid="{00000000-0001-0000-0400-000000000000}">
    <sortState xmlns:xlrd2="http://schemas.microsoft.com/office/spreadsheetml/2017/richdata2" ref="A2:AB31">
      <sortCondition ref="Q1:Q3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2025-07-29T13:02:45Z</dcterms:created>
  <dcterms:modified xsi:type="dcterms:W3CDTF">2025-07-29T13:08:28Z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2025-07-29T13:04:01Z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97939445-b151-4c5a-8152-980f3a4af02e</vt:lpwstr>
  </property>
  <property fmtid="{D5CDD505-2E9C-101B-9397-08002B2CF9AE}" pid="8" name="MSIP_Label_ac0b9ce6-6e99-42a1-af95-429494370cbc_ContentBits">
    <vt:lpwstr>2</vt:lpwstr>
  </property>
</Properties>
</file>