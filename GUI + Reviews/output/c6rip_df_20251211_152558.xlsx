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9" documentId="11_51B079097E1E356D134F522EDCFE51C8E1114246" xr6:coauthVersionLast="47" xr6:coauthVersionMax="47" xr10:uidLastSave="{B2048F02-CAC1-4FEE-B7CB-4A05A42C7092}"/>
  <bookViews>
    <workbookView xWindow="-315" yWindow="-16320" windowWidth="29040" windowHeight="15720" xr2:uid="{00000000-000D-0000-FFFF-FFFF00000000}"/>
  </bookViews>
  <sheets>
    <sheet name="C6RIP Composition" sheetId="1" r:id="rId1"/>
    <sheet name="Inclusion" sheetId="2" r:id="rId2"/>
    <sheet name="Exclusion" sheetId="3" r:id="rId3"/>
    <sheet name="Index Market Cap" sheetId="4" r:id="rId4"/>
    <sheet name="Selection" sheetId="5" r:id="rId5"/>
    <sheet name="Full Universe" sheetId="6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7" i="1" l="1"/>
  <c r="I38" i="1"/>
  <c r="I3" i="1"/>
  <c r="I8" i="1"/>
  <c r="I17" i="1" l="1"/>
  <c r="I33" i="1"/>
  <c r="I34" i="1"/>
  <c r="I14" i="1"/>
  <c r="I31" i="1"/>
  <c r="I41" i="1"/>
  <c r="I6" i="1"/>
  <c r="I9" i="1"/>
  <c r="I21" i="1"/>
  <c r="I18" i="1"/>
  <c r="I2" i="1"/>
  <c r="I5" i="1" l="1"/>
  <c r="I10" i="1"/>
  <c r="I25" i="1"/>
  <c r="I24" i="1"/>
  <c r="I20" i="1"/>
  <c r="I13" i="1"/>
  <c r="I16" i="1"/>
  <c r="I26" i="1"/>
  <c r="I15" i="1"/>
  <c r="I19" i="1"/>
  <c r="I39" i="1"/>
  <c r="I22" i="1"/>
  <c r="I28" i="1"/>
  <c r="I7" i="1"/>
  <c r="I40" i="1"/>
  <c r="I11" i="1"/>
  <c r="I12" i="1"/>
  <c r="I32" i="1"/>
  <c r="I23" i="1"/>
  <c r="I27" i="1"/>
  <c r="I29" i="1"/>
  <c r="I36" i="1"/>
  <c r="I4" i="1"/>
  <c r="I35" i="1"/>
  <c r="I30" i="1"/>
</calcChain>
</file>

<file path=xl/sharedStrings.xml><?xml version="1.0" encoding="utf-8"?>
<sst xmlns="http://schemas.openxmlformats.org/spreadsheetml/2006/main" count="711" uniqueCount="189">
  <si>
    <t>Company</t>
  </si>
  <si>
    <t>ISIN Code</t>
  </si>
  <si>
    <t>MIC</t>
  </si>
  <si>
    <t>Number of Shares</t>
  </si>
  <si>
    <t>Free Float</t>
  </si>
  <si>
    <t>Capping</t>
  </si>
  <si>
    <t>Effective Date of Review</t>
  </si>
  <si>
    <t>Currency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</si>
  <si>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</si>
  <si>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</si>
  <si>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</si>
  <si>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</si>
  <si>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</si>
  <si>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</si>
  <si>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</si>
  <si>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</si>
  <si>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</si>
  <si>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</si>
  <si>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</si>
  <si>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</si>
  <si>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</si>
  <si>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</si>
  <si>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ENGIE</t>
  </si>
  <si>
    <t>ESSILORLUXOTTICA</t>
  </si>
  <si>
    <t>EUROFINS SCIENT.</t>
  </si>
  <si>
    <t>EURONEXT</t>
  </si>
  <si>
    <t>HERMES INTL</t>
  </si>
  <si>
    <t>KERING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</si>
  <si>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</si>
  <si>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</si>
  <si>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</si>
  <si>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</si>
  <si>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</si>
  <si>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</si>
  <si>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</si>
  <si>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</si>
  <si>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</si>
  <si>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</si>
  <si>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</si>
  <si>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</si>
  <si>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</si>
  <si>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</si>
  <si>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</si>
  <si>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</si>
  <si>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</si>
  <si>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</si>
  <si>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</si>
  <si>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</si>
  <si>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</si>
  <si>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</si>
  <si>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</si>
  <si>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</si>
  <si>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</si>
  <si>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</si>
  <si>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</si>
  <si>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</si>
  <si>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</si>
  <si>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</si>
  <si>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</si>
  <si>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</si>
  <si>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</si>
  <si>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</si>
  <si>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FR0010208488</t>
  </si>
  <si>
    <t>FR0000121667</t>
  </si>
  <si>
    <t>FR0014000MR3</t>
  </si>
  <si>
    <t>NL0006294274</t>
  </si>
  <si>
    <t>FR0000052292</t>
  </si>
  <si>
    <t>FR0000121485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</si>
  <si>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</si>
  <si>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</si>
  <si>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</si>
  <si>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</si>
  <si>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</si>
  <si>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</si>
  <si>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</si>
  <si>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</si>
  <si>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</si>
  <si>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</si>
  <si>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</si>
  <si>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</si>
  <si>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</si>
  <si>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</si>
  <si>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</si>
  <si>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</si>
  <si>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</si>
  <si>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</si>
  <si>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</si>
  <si>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</si>
  <si>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</si>
  <si>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</si>
  <si>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22-Sep-25</t>
  </si>
  <si>
    <t>EUR</t>
  </si>
  <si>
    <t>ISIN code</t>
  </si>
  <si>
    <t>ADP</t>
  </si>
  <si>
    <t>ALSTOM</t>
  </si>
  <si>
    <t>AMUNDI</t>
  </si>
  <si>
    <t>ARKEMA</t>
  </si>
  <si>
    <t>BIOMERIEUX</t>
  </si>
  <si>
    <t>DASSAULT AVIATION</t>
  </si>
  <si>
    <t>EIFFAGE</t>
  </si>
  <si>
    <t>EURAZEO</t>
  </si>
  <si>
    <t>GECINA</t>
  </si>
  <si>
    <t>GETLINK SE</t>
  </si>
  <si>
    <t>GTT</t>
  </si>
  <si>
    <t>KLEPIERRE</t>
  </si>
  <si>
    <t>NEXANS</t>
  </si>
  <si>
    <t>REXEL</t>
  </si>
  <si>
    <t>SARTORIUS STED BIO</t>
  </si>
  <si>
    <t>SCOR SE</t>
  </si>
  <si>
    <t>SODEXO</t>
  </si>
  <si>
    <t>SPIE</t>
  </si>
  <si>
    <t>TELEPERFORMANCE</t>
  </si>
  <si>
    <t>VALEO</t>
  </si>
  <si>
    <t>FR0010340141</t>
  </si>
  <si>
    <t>FR0010220475</t>
  </si>
  <si>
    <t>FR0004125920</t>
  </si>
  <si>
    <t>FR0010313833</t>
  </si>
  <si>
    <t>FR0013280286</t>
  </si>
  <si>
    <t>FR0014004L86</t>
  </si>
  <si>
    <t>FR0000130452</t>
  </si>
  <si>
    <t>FR0000121121</t>
  </si>
  <si>
    <t>FR0010040865</t>
  </si>
  <si>
    <t>FR0010533075</t>
  </si>
  <si>
    <t>FR0011726835</t>
  </si>
  <si>
    <t>FR0000121964</t>
  </si>
  <si>
    <t>FR0000044448</t>
  </si>
  <si>
    <t>FR0010451203</t>
  </si>
  <si>
    <t>FR0013154002</t>
  </si>
  <si>
    <t>FR0010411983</t>
  </si>
  <si>
    <t>FR0000121220</t>
  </si>
  <si>
    <t>FR0012757854</t>
  </si>
  <si>
    <t>FR0000051807</t>
  </si>
  <si>
    <t>FR0013176526</t>
  </si>
  <si>
    <t>Index Market Cap</t>
  </si>
  <si>
    <t>Number of shares</t>
  </si>
  <si>
    <t>#Symbol</t>
  </si>
  <si>
    <t>FX/Index Ccy</t>
  </si>
  <si>
    <t>Close Prc_EOD</t>
  </si>
  <si>
    <t>Close Prc_CO</t>
  </si>
  <si>
    <t>ESG Risk Score</t>
  </si>
  <si>
    <t>Free Float Round:</t>
  </si>
  <si>
    <t>FF_Market_Cap</t>
  </si>
  <si>
    <t>Sustainability_Score</t>
  </si>
  <si>
    <t>Rank</t>
  </si>
  <si>
    <t>Weight_Final</t>
  </si>
  <si>
    <t>Target_Market_Cap</t>
  </si>
  <si>
    <t>Number_of_Shares_Calculated</t>
  </si>
  <si>
    <t>Free_Float_Output</t>
  </si>
  <si>
    <t>Capping_Factor</t>
  </si>
  <si>
    <t>URW.PA</t>
  </si>
  <si>
    <t>CAPP.PA</t>
  </si>
  <si>
    <t>SCHN.PA</t>
  </si>
  <si>
    <t>PUBP.PA</t>
  </si>
  <si>
    <t>BVI.PA</t>
  </si>
  <si>
    <t>PRTP.PA</t>
  </si>
  <si>
    <t>MICP.PA</t>
  </si>
  <si>
    <t>HRMS.PA</t>
  </si>
  <si>
    <t>DAST.PA</t>
  </si>
  <si>
    <t>ENX.PA</t>
  </si>
  <si>
    <t>STMPA.PA</t>
  </si>
  <si>
    <t>ESLX.PA</t>
  </si>
  <si>
    <t>AIRP.PA</t>
  </si>
  <si>
    <t>LVMH.PA</t>
  </si>
  <si>
    <t>EDEN.PA</t>
  </si>
  <si>
    <t>LEGD.PA</t>
  </si>
  <si>
    <t>SOGN.PA</t>
  </si>
  <si>
    <t>AXAF.PA</t>
  </si>
  <si>
    <t>DANO.PA</t>
  </si>
  <si>
    <t>BNPP.PA</t>
  </si>
  <si>
    <t>EUFI.PA</t>
  </si>
  <si>
    <t>OREP.PA</t>
  </si>
  <si>
    <t>PERP.PA</t>
  </si>
  <si>
    <t>SASY.PA</t>
  </si>
  <si>
    <t>SGOB.PA</t>
  </si>
  <si>
    <t>CARR.PA</t>
  </si>
  <si>
    <t>CAGR.PA</t>
  </si>
  <si>
    <t>ACCP.PA</t>
  </si>
  <si>
    <t>STLAM.MI</t>
  </si>
  <si>
    <t>AIR.PA</t>
  </si>
  <si>
    <t>ORAN.PA</t>
  </si>
  <si>
    <t>RENA.PA</t>
  </si>
  <si>
    <t>VIE.PA</t>
  </si>
  <si>
    <t>SGEF.PA</t>
  </si>
  <si>
    <t>TCFP.PA</t>
  </si>
  <si>
    <t>ENGIE.PA</t>
  </si>
  <si>
    <t>SAF.PA</t>
  </si>
  <si>
    <t>MT.AS</t>
  </si>
  <si>
    <t>TTEF.PA</t>
  </si>
  <si>
    <t>BOUY.PA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</si>
</sst>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V:\PM-Indices-IndexOperations\Review%20Files\202509\43)%20CAC%20Large%2060%20Responsible%20Investment\202509%20C6RIP.xlsm" TargetMode="External"/><Relationship Id="rId1" Type="http://schemas.openxmlformats.org/officeDocument/2006/relationships/externalLinkPath" Target="file:///V:\PM-Indices-IndexOperations\Review%20Files\202509\43)%20CAC%20Large%2060%20Responsible%20Investment\202509%20C6RIP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ront sheet"/>
      <sheetName val="Universe input"/>
      <sheetName val="Oekom Score"/>
      <sheetName val="EOD CO stock"/>
      <sheetName val="EOD AD stock"/>
      <sheetName val="EOD AD index"/>
      <sheetName val="Consolidated"/>
      <sheetName val="Ranking"/>
      <sheetName val="C6RIP"/>
      <sheetName val="C6RIP+"/>
      <sheetName val="C6RIP-"/>
      <sheetName val="Extra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1">
          <cell r="E11">
            <v>775542</v>
          </cell>
        </row>
        <row r="12">
          <cell r="E12">
            <v>168125</v>
          </cell>
        </row>
        <row r="13">
          <cell r="E13">
            <v>181795</v>
          </cell>
        </row>
        <row r="14">
          <cell r="E14">
            <v>65767</v>
          </cell>
        </row>
        <row r="15">
          <cell r="E15">
            <v>1509741</v>
          </cell>
        </row>
        <row r="16">
          <cell r="E16">
            <v>302092</v>
          </cell>
        </row>
        <row r="17">
          <cell r="E17">
            <v>647340</v>
          </cell>
        </row>
        <row r="18">
          <cell r="E18">
            <v>540369</v>
          </cell>
        </row>
        <row r="19">
          <cell r="E19">
            <v>798984</v>
          </cell>
        </row>
        <row r="20">
          <cell r="E20">
            <v>335658</v>
          </cell>
        </row>
        <row r="21">
          <cell r="E21">
            <v>400652</v>
          </cell>
        </row>
        <row r="22">
          <cell r="E22">
            <v>339429</v>
          </cell>
        </row>
        <row r="23">
          <cell r="E23">
            <v>1219987</v>
          </cell>
        </row>
        <row r="24">
          <cell r="E24">
            <v>309334</v>
          </cell>
        </row>
        <row r="25">
          <cell r="E25">
            <v>1053809</v>
          </cell>
        </row>
        <row r="26">
          <cell r="E26">
            <v>1928246</v>
          </cell>
        </row>
        <row r="27">
          <cell r="E27">
            <v>512434</v>
          </cell>
        </row>
        <row r="28">
          <cell r="E28">
            <v>42349</v>
          </cell>
        </row>
        <row r="29">
          <cell r="E29">
            <v>1389689</v>
          </cell>
        </row>
        <row r="30">
          <cell r="E30">
            <v>1579664</v>
          </cell>
        </row>
        <row r="31">
          <cell r="E31">
            <v>171690</v>
          </cell>
        </row>
        <row r="32">
          <cell r="E32">
            <v>703318</v>
          </cell>
        </row>
        <row r="33">
          <cell r="E33">
            <v>140664</v>
          </cell>
        </row>
        <row r="34">
          <cell r="E34">
            <v>303828</v>
          </cell>
        </row>
        <row r="35">
          <cell r="E35">
            <v>232549</v>
          </cell>
        </row>
        <row r="36">
          <cell r="E36">
            <v>449924</v>
          </cell>
        </row>
        <row r="37">
          <cell r="E37">
            <v>1216089</v>
          </cell>
        </row>
        <row r="38">
          <cell r="E38">
            <v>121299</v>
          </cell>
        </row>
        <row r="39">
          <cell r="E39">
            <v>17963</v>
          </cell>
        </row>
        <row r="40">
          <cell r="E40">
            <v>120470</v>
          </cell>
        </row>
        <row r="41">
          <cell r="E41">
            <v>1160475</v>
          </cell>
        </row>
        <row r="42">
          <cell r="E42">
            <v>276524</v>
          </cell>
        </row>
        <row r="43">
          <cell r="E43">
            <v>50435</v>
          </cell>
        </row>
        <row r="44">
          <cell r="E44">
            <v>37486</v>
          </cell>
        </row>
        <row r="45">
          <cell r="E45">
            <v>1220378</v>
          </cell>
        </row>
        <row r="46">
          <cell r="E46">
            <v>142134</v>
          </cell>
        </row>
        <row r="47">
          <cell r="E47">
            <v>2784461</v>
          </cell>
        </row>
        <row r="48">
          <cell r="E48">
            <v>142209</v>
          </cell>
        </row>
        <row r="49">
          <cell r="E49">
            <v>229964</v>
          </cell>
        </row>
        <row r="50">
          <cell r="E50">
            <v>362821</v>
          </cell>
        </row>
      </sheetData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tabSelected="1" workbookViewId="0">
      <selection activeCell="I2" sqref="I2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5">
      <c r="A2" t="s">
        <v>8</v>
      </c>
      <c r="B2" t="s">
        <v>48</v>
      </c>
      <c r="C2" t="s">
        <v>88</v>
      </c>
      <c r="D2">
        <v>775542</v>
      </c>
      <c r="E2">
        <v>1</v>
      </c>
      <c r="F2">
        <v>1</v>
      </c>
      <c r="G2" t="s">
        <v>90</v>
      </c>
      <c r="H2" t="s">
        <v>91</v>
      </c>
      <c r="I2" t="b">
        <f ca="1">D2='[1]C6RIP+'!E11</f>
        <v>1</v>
      </c>
    </row>
    <row r="3" spans="1:9" x14ac:dyDescent="0.25">
      <c r="A3" t="s">
        <v>9</v>
      </c>
      <c r="B3" t="s">
        <v>49</v>
      </c>
      <c r="C3" t="s">
        <v>88</v>
      </c>
      <c r="D3">
        <v>218154</v>
      </c>
      <c r="E3">
        <v>1</v>
      </c>
      <c r="F3">
        <v>1</v>
      </c>
      <c r="G3" t="s">
        <v>90</v>
      </c>
      <c r="H3" t="s">
        <v>91</v>
      </c>
      <c r="I3" t="b">
        <f ca="1">D3='[1]C6RIP+'!E12</f>
        <v>0</v>
      </c>
    </row>
    <row r="4" spans="1:9" x14ac:dyDescent="0.25">
      <c r="A4" t="s">
        <v>10</v>
      </c>
      <c r="B4" t="s">
        <v>50</v>
      </c>
      <c r="C4" t="s">
        <v>88</v>
      </c>
      <c r="D4">
        <v>164419</v>
      </c>
      <c r="E4">
        <v>1</v>
      </c>
      <c r="F4">
        <v>1</v>
      </c>
      <c r="G4" t="s">
        <v>90</v>
      </c>
      <c r="H4" t="s">
        <v>91</v>
      </c>
      <c r="I4" t="b">
        <f ca="1">D4='[1]C6RIP+'!E13</f>
        <v>0</v>
      </c>
    </row>
    <row r="5" spans="1:9" x14ac:dyDescent="0.25">
      <c r="A5" t="s">
        <v>11</v>
      </c>
      <c r="B5" t="s">
        <v>51</v>
      </c>
      <c r="C5" t="s">
        <v>89</v>
      </c>
      <c r="D5">
        <v>647340</v>
      </c>
      <c r="E5">
        <v>1</v>
      </c>
      <c r="F5">
        <v>1</v>
      </c>
      <c r="G5" t="s">
        <v>90</v>
      </c>
      <c r="H5" t="s">
        <v>91</v>
      </c>
      <c r="I5" t="b">
        <f ca="1">D5='[1]C6RIP+'!E14</f>
        <v>0</v>
      </c>
    </row>
    <row r="6" spans="1:9" x14ac:dyDescent="0.25">
      <c r="A6" t="s">
        <v>12</v>
      </c>
      <c r="B6" t="s">
        <v>52</v>
      </c>
      <c r="C6" t="s">
        <v>88</v>
      </c>
      <c r="D6">
        <v>798984</v>
      </c>
      <c r="E6">
        <v>1</v>
      </c>
      <c r="F6">
        <v>1</v>
      </c>
      <c r="G6" t="s">
        <v>90</v>
      </c>
      <c r="H6" t="s">
        <v>91</v>
      </c>
      <c r="I6" t="b">
        <f ca="1">D6='[1]C6RIP+'!E15</f>
        <v>0</v>
      </c>
    </row>
    <row r="7" spans="1:9" x14ac:dyDescent="0.25">
      <c r="A7" t="s">
        <v>13</v>
      </c>
      <c r="B7" t="s">
        <v>53</v>
      </c>
      <c r="C7" t="s">
        <v>88</v>
      </c>
      <c r="D7">
        <v>400652</v>
      </c>
      <c r="E7">
        <v>1</v>
      </c>
      <c r="F7">
        <v>1</v>
      </c>
      <c r="G7" t="s">
        <v>90</v>
      </c>
      <c r="H7" t="s">
        <v>91</v>
      </c>
      <c r="I7" t="b">
        <f ca="1">D7='[1]C6RIP+'!E16</f>
        <v>0</v>
      </c>
    </row>
    <row r="8" spans="1:9" x14ac:dyDescent="0.25">
      <c r="A8" t="s">
        <v>14</v>
      </c>
      <c r="B8" t="s">
        <v>54</v>
      </c>
      <c r="C8" t="s">
        <v>88</v>
      </c>
      <c r="D8">
        <v>509144</v>
      </c>
      <c r="E8">
        <v>1</v>
      </c>
      <c r="F8">
        <v>1</v>
      </c>
      <c r="G8" t="s">
        <v>90</v>
      </c>
      <c r="H8" t="s">
        <v>91</v>
      </c>
      <c r="I8" t="b">
        <f ca="1">D8='[1]C6RIP+'!E17</f>
        <v>0</v>
      </c>
    </row>
    <row r="9" spans="1:9" x14ac:dyDescent="0.25">
      <c r="A9" t="s">
        <v>15</v>
      </c>
      <c r="B9" t="s">
        <v>55</v>
      </c>
      <c r="C9" t="s">
        <v>88</v>
      </c>
      <c r="D9">
        <v>1463984</v>
      </c>
      <c r="E9">
        <v>1</v>
      </c>
      <c r="F9">
        <v>1</v>
      </c>
      <c r="G9" t="s">
        <v>90</v>
      </c>
      <c r="H9" t="s">
        <v>91</v>
      </c>
      <c r="I9" t="b">
        <f ca="1">D9='[1]C6RIP+'!E18</f>
        <v>0</v>
      </c>
    </row>
    <row r="10" spans="1:9" x14ac:dyDescent="0.25">
      <c r="A10" t="s">
        <v>16</v>
      </c>
      <c r="B10" t="s">
        <v>56</v>
      </c>
      <c r="C10" t="s">
        <v>88</v>
      </c>
      <c r="D10">
        <v>260998</v>
      </c>
      <c r="E10">
        <v>1</v>
      </c>
      <c r="F10">
        <v>1</v>
      </c>
      <c r="G10" t="s">
        <v>90</v>
      </c>
      <c r="H10" t="s">
        <v>91</v>
      </c>
      <c r="I10" t="b">
        <f ca="1">D10='[1]C6RIP+'!E19</f>
        <v>0</v>
      </c>
    </row>
    <row r="11" spans="1:9" x14ac:dyDescent="0.25">
      <c r="A11" t="s">
        <v>17</v>
      </c>
      <c r="B11" t="s">
        <v>57</v>
      </c>
      <c r="C11" t="s">
        <v>88</v>
      </c>
      <c r="D11">
        <v>2634523</v>
      </c>
      <c r="E11">
        <v>1</v>
      </c>
      <c r="F11">
        <v>1</v>
      </c>
      <c r="G11" t="s">
        <v>90</v>
      </c>
      <c r="H11" t="s">
        <v>91</v>
      </c>
      <c r="I11" t="b">
        <f ca="1">D11='[1]C6RIP+'!E20</f>
        <v>0</v>
      </c>
    </row>
    <row r="12" spans="1:9" x14ac:dyDescent="0.25">
      <c r="A12" t="s">
        <v>18</v>
      </c>
      <c r="B12" t="s">
        <v>58</v>
      </c>
      <c r="C12" t="s">
        <v>88</v>
      </c>
      <c r="D12">
        <v>1928246</v>
      </c>
      <c r="E12">
        <v>1</v>
      </c>
      <c r="F12">
        <v>1</v>
      </c>
      <c r="G12" t="s">
        <v>90</v>
      </c>
      <c r="H12" t="s">
        <v>91</v>
      </c>
      <c r="I12" t="b">
        <f ca="1">D12='[1]C6RIP+'!E21</f>
        <v>0</v>
      </c>
    </row>
    <row r="13" spans="1:9" x14ac:dyDescent="0.25">
      <c r="A13" t="s">
        <v>19</v>
      </c>
      <c r="B13" t="s">
        <v>59</v>
      </c>
      <c r="C13" t="s">
        <v>88</v>
      </c>
      <c r="D13">
        <v>427028</v>
      </c>
      <c r="E13">
        <v>1</v>
      </c>
      <c r="F13">
        <v>1</v>
      </c>
      <c r="G13" t="s">
        <v>90</v>
      </c>
      <c r="H13" t="s">
        <v>91</v>
      </c>
      <c r="I13" t="b">
        <f ca="1">D13='[1]C6RIP+'!E22</f>
        <v>0</v>
      </c>
    </row>
    <row r="14" spans="1:9" x14ac:dyDescent="0.25">
      <c r="A14" t="s">
        <v>20</v>
      </c>
      <c r="B14" t="s">
        <v>60</v>
      </c>
      <c r="C14" t="s">
        <v>88</v>
      </c>
      <c r="D14">
        <v>1389689</v>
      </c>
      <c r="E14">
        <v>1</v>
      </c>
      <c r="F14">
        <v>1</v>
      </c>
      <c r="G14" t="s">
        <v>90</v>
      </c>
      <c r="H14" t="s">
        <v>91</v>
      </c>
      <c r="I14" t="b">
        <f ca="1">D14='[1]C6RIP+'!E23</f>
        <v>0</v>
      </c>
    </row>
    <row r="15" spans="1:9" x14ac:dyDescent="0.25">
      <c r="A15" t="s">
        <v>21</v>
      </c>
      <c r="B15" t="s">
        <v>61</v>
      </c>
      <c r="C15" t="s">
        <v>88</v>
      </c>
      <c r="D15">
        <v>1895597</v>
      </c>
      <c r="E15">
        <v>1</v>
      </c>
      <c r="F15">
        <v>1</v>
      </c>
      <c r="G15" t="s">
        <v>90</v>
      </c>
      <c r="H15" t="s">
        <v>91</v>
      </c>
      <c r="I15" t="b">
        <f ca="1">D15='[1]C6RIP+'!E24</f>
        <v>0</v>
      </c>
    </row>
    <row r="16" spans="1:9" x14ac:dyDescent="0.25">
      <c r="A16" t="s">
        <v>22</v>
      </c>
      <c r="B16" t="s">
        <v>62</v>
      </c>
      <c r="C16" t="s">
        <v>88</v>
      </c>
      <c r="D16">
        <v>1054977</v>
      </c>
      <c r="E16">
        <v>1</v>
      </c>
      <c r="F16">
        <v>1</v>
      </c>
      <c r="G16" t="s">
        <v>90</v>
      </c>
      <c r="H16" t="s">
        <v>91</v>
      </c>
      <c r="I16" t="b">
        <f ca="1">D16='[1]C6RIP+'!E25</f>
        <v>0</v>
      </c>
    </row>
    <row r="17" spans="1:9" x14ac:dyDescent="0.25">
      <c r="A17" t="s">
        <v>23</v>
      </c>
      <c r="B17" t="s">
        <v>63</v>
      </c>
      <c r="C17" t="s">
        <v>88</v>
      </c>
      <c r="D17">
        <v>140664</v>
      </c>
      <c r="E17">
        <v>1</v>
      </c>
      <c r="F17">
        <v>1</v>
      </c>
      <c r="G17" t="s">
        <v>90</v>
      </c>
      <c r="H17" t="s">
        <v>91</v>
      </c>
      <c r="I17" t="b">
        <f ca="1">D17='[1]C6RIP+'!E26</f>
        <v>0</v>
      </c>
    </row>
    <row r="18" spans="1:9" x14ac:dyDescent="0.25">
      <c r="A18" t="s">
        <v>24</v>
      </c>
      <c r="B18" t="s">
        <v>64</v>
      </c>
      <c r="C18" t="s">
        <v>88</v>
      </c>
      <c r="D18">
        <v>506380</v>
      </c>
      <c r="E18">
        <v>1</v>
      </c>
      <c r="F18">
        <v>1</v>
      </c>
      <c r="G18" t="s">
        <v>90</v>
      </c>
      <c r="H18" t="s">
        <v>91</v>
      </c>
      <c r="I18" t="b">
        <f ca="1">D18='[1]C6RIP+'!E27</f>
        <v>0</v>
      </c>
    </row>
    <row r="19" spans="1:9" x14ac:dyDescent="0.25">
      <c r="A19" t="s">
        <v>25</v>
      </c>
      <c r="B19" t="s">
        <v>65</v>
      </c>
      <c r="C19" t="s">
        <v>88</v>
      </c>
      <c r="D19">
        <v>279059</v>
      </c>
      <c r="E19">
        <v>1</v>
      </c>
      <c r="F19">
        <v>1</v>
      </c>
      <c r="G19" t="s">
        <v>90</v>
      </c>
      <c r="H19" t="s">
        <v>91</v>
      </c>
      <c r="I19" t="b">
        <f ca="1">D19='[1]C6RIP+'!E28</f>
        <v>0</v>
      </c>
    </row>
    <row r="20" spans="1:9" x14ac:dyDescent="0.25">
      <c r="A20" t="s">
        <v>26</v>
      </c>
      <c r="B20" t="s">
        <v>66</v>
      </c>
      <c r="C20" t="s">
        <v>88</v>
      </c>
      <c r="D20">
        <v>17963</v>
      </c>
      <c r="E20">
        <v>1</v>
      </c>
      <c r="F20">
        <v>1</v>
      </c>
      <c r="G20" t="s">
        <v>90</v>
      </c>
      <c r="H20" t="s">
        <v>91</v>
      </c>
      <c r="I20" t="b">
        <f ca="1">D20='[1]C6RIP+'!E29</f>
        <v>0</v>
      </c>
    </row>
    <row r="21" spans="1:9" x14ac:dyDescent="0.25">
      <c r="A21" t="s">
        <v>27</v>
      </c>
      <c r="B21" t="s">
        <v>67</v>
      </c>
      <c r="C21" t="s">
        <v>88</v>
      </c>
      <c r="D21">
        <v>144564</v>
      </c>
      <c r="E21">
        <v>1</v>
      </c>
      <c r="F21">
        <v>1</v>
      </c>
      <c r="G21" t="s">
        <v>90</v>
      </c>
      <c r="H21" t="s">
        <v>91</v>
      </c>
      <c r="I21" t="b">
        <f ca="1">D21='[1]C6RIP+'!E30</f>
        <v>0</v>
      </c>
    </row>
    <row r="22" spans="1:9" x14ac:dyDescent="0.25">
      <c r="A22" t="s">
        <v>28</v>
      </c>
      <c r="B22" t="s">
        <v>68</v>
      </c>
      <c r="C22" t="s">
        <v>88</v>
      </c>
      <c r="D22">
        <v>84059</v>
      </c>
      <c r="E22">
        <v>1</v>
      </c>
      <c r="F22">
        <v>1</v>
      </c>
      <c r="G22" t="s">
        <v>90</v>
      </c>
      <c r="H22" t="s">
        <v>91</v>
      </c>
      <c r="I22" t="b">
        <f ca="1">D22='[1]C6RIP+'!E31</f>
        <v>0</v>
      </c>
    </row>
    <row r="23" spans="1:9" x14ac:dyDescent="0.25">
      <c r="A23" t="s">
        <v>29</v>
      </c>
      <c r="B23" t="s">
        <v>69</v>
      </c>
      <c r="C23" t="s">
        <v>88</v>
      </c>
      <c r="D23">
        <v>230437</v>
      </c>
      <c r="E23">
        <v>1</v>
      </c>
      <c r="F23">
        <v>1</v>
      </c>
      <c r="G23" t="s">
        <v>90</v>
      </c>
      <c r="H23" t="s">
        <v>91</v>
      </c>
      <c r="I23" t="b">
        <f ca="1">D23='[1]C6RIP+'!E32</f>
        <v>0</v>
      </c>
    </row>
    <row r="24" spans="1:9" x14ac:dyDescent="0.25">
      <c r="A24" t="s">
        <v>30</v>
      </c>
      <c r="B24" t="s">
        <v>70</v>
      </c>
      <c r="C24" t="s">
        <v>88</v>
      </c>
      <c r="D24">
        <v>74973</v>
      </c>
      <c r="E24">
        <v>1</v>
      </c>
      <c r="F24">
        <v>1</v>
      </c>
      <c r="G24" t="s">
        <v>90</v>
      </c>
      <c r="H24" t="s">
        <v>91</v>
      </c>
      <c r="I24" t="b">
        <f ca="1">D24='[1]C6RIP+'!E33</f>
        <v>0</v>
      </c>
    </row>
    <row r="25" spans="1:9" x14ac:dyDescent="0.25">
      <c r="A25" t="s">
        <v>31</v>
      </c>
      <c r="B25" t="s">
        <v>71</v>
      </c>
      <c r="C25" t="s">
        <v>88</v>
      </c>
      <c r="D25">
        <v>1220378</v>
      </c>
      <c r="E25">
        <v>1</v>
      </c>
      <c r="F25">
        <v>1</v>
      </c>
      <c r="G25" t="s">
        <v>90</v>
      </c>
      <c r="H25" t="s">
        <v>91</v>
      </c>
      <c r="I25" t="b">
        <f ca="1">D25='[1]C6RIP+'!E34</f>
        <v>0</v>
      </c>
    </row>
    <row r="26" spans="1:9" x14ac:dyDescent="0.25">
      <c r="A26" t="s">
        <v>32</v>
      </c>
      <c r="B26" t="s">
        <v>72</v>
      </c>
      <c r="C26" t="s">
        <v>88</v>
      </c>
      <c r="D26">
        <v>1392231</v>
      </c>
      <c r="E26">
        <v>1</v>
      </c>
      <c r="F26">
        <v>1</v>
      </c>
      <c r="G26" t="s">
        <v>90</v>
      </c>
      <c r="H26" t="s">
        <v>91</v>
      </c>
      <c r="I26" t="b">
        <f ca="1">D26='[1]C6RIP+'!E35</f>
        <v>0</v>
      </c>
    </row>
    <row r="27" spans="1:9" x14ac:dyDescent="0.25">
      <c r="A27" t="s">
        <v>33</v>
      </c>
      <c r="B27" t="s">
        <v>73</v>
      </c>
      <c r="C27" t="s">
        <v>88</v>
      </c>
      <c r="D27">
        <v>355522</v>
      </c>
      <c r="E27">
        <v>1</v>
      </c>
      <c r="F27">
        <v>1</v>
      </c>
      <c r="G27" t="s">
        <v>90</v>
      </c>
      <c r="H27" t="s">
        <v>91</v>
      </c>
      <c r="I27" t="b">
        <f ca="1">D27='[1]C6RIP+'!E36</f>
        <v>0</v>
      </c>
    </row>
    <row r="28" spans="1:9" x14ac:dyDescent="0.25">
      <c r="A28" t="s">
        <v>34</v>
      </c>
      <c r="B28" t="s">
        <v>74</v>
      </c>
      <c r="C28" t="s">
        <v>88</v>
      </c>
      <c r="D28">
        <v>459927</v>
      </c>
      <c r="E28">
        <v>1</v>
      </c>
      <c r="F28">
        <v>1</v>
      </c>
      <c r="G28" t="s">
        <v>90</v>
      </c>
      <c r="H28" t="s">
        <v>91</v>
      </c>
      <c r="I28" t="b">
        <f ca="1">D28='[1]C6RIP+'!E37</f>
        <v>0</v>
      </c>
    </row>
    <row r="29" spans="1:9" x14ac:dyDescent="0.25">
      <c r="A29" t="s">
        <v>35</v>
      </c>
      <c r="B29" t="s">
        <v>75</v>
      </c>
      <c r="C29" t="s">
        <v>88</v>
      </c>
      <c r="D29">
        <v>544232</v>
      </c>
      <c r="E29">
        <v>1</v>
      </c>
      <c r="F29">
        <v>1</v>
      </c>
      <c r="G29" t="s">
        <v>90</v>
      </c>
      <c r="H29" t="s">
        <v>91</v>
      </c>
      <c r="I29" t="b">
        <f ca="1">D29='[1]C6RIP+'!E38</f>
        <v>0</v>
      </c>
    </row>
    <row r="30" spans="1:9" x14ac:dyDescent="0.25">
      <c r="A30" t="s">
        <v>36</v>
      </c>
      <c r="B30" t="s">
        <v>76</v>
      </c>
      <c r="C30" t="s">
        <v>88</v>
      </c>
      <c r="D30">
        <v>67061</v>
      </c>
      <c r="E30">
        <v>1</v>
      </c>
      <c r="F30">
        <v>1</v>
      </c>
      <c r="G30" t="s">
        <v>90</v>
      </c>
      <c r="H30" t="s">
        <v>91</v>
      </c>
      <c r="I30" t="b">
        <f ca="1">D30='[1]C6RIP+'!E39</f>
        <v>0</v>
      </c>
    </row>
    <row r="31" spans="1:9" x14ac:dyDescent="0.25">
      <c r="A31" t="s">
        <v>37</v>
      </c>
      <c r="B31" t="s">
        <v>77</v>
      </c>
      <c r="C31" t="s">
        <v>88</v>
      </c>
      <c r="D31">
        <v>340194</v>
      </c>
      <c r="E31">
        <v>1</v>
      </c>
      <c r="F31">
        <v>1</v>
      </c>
      <c r="G31" t="s">
        <v>90</v>
      </c>
      <c r="H31" t="s">
        <v>91</v>
      </c>
      <c r="I31" t="b">
        <f ca="1">D31='[1]C6RIP+'!E40</f>
        <v>0</v>
      </c>
    </row>
    <row r="32" spans="1:9" x14ac:dyDescent="0.25">
      <c r="A32" t="s">
        <v>38</v>
      </c>
      <c r="B32" t="s">
        <v>78</v>
      </c>
      <c r="C32" t="s">
        <v>88</v>
      </c>
      <c r="D32">
        <v>402329</v>
      </c>
      <c r="E32">
        <v>1</v>
      </c>
      <c r="F32">
        <v>1</v>
      </c>
      <c r="G32" t="s">
        <v>90</v>
      </c>
      <c r="H32" t="s">
        <v>91</v>
      </c>
      <c r="I32" t="b">
        <f ca="1">D32='[1]C6RIP+'!E41</f>
        <v>0</v>
      </c>
    </row>
    <row r="33" spans="1:9" x14ac:dyDescent="0.25">
      <c r="A33" t="s">
        <v>39</v>
      </c>
      <c r="B33" t="s">
        <v>79</v>
      </c>
      <c r="C33" t="s">
        <v>88</v>
      </c>
      <c r="D33">
        <v>166289</v>
      </c>
      <c r="E33">
        <v>1</v>
      </c>
      <c r="F33">
        <v>1</v>
      </c>
      <c r="G33" t="s">
        <v>90</v>
      </c>
      <c r="H33" t="s">
        <v>91</v>
      </c>
      <c r="I33" t="b">
        <f ca="1">D33='[1]C6RIP+'!E42</f>
        <v>0</v>
      </c>
    </row>
    <row r="34" spans="1:9" x14ac:dyDescent="0.25">
      <c r="A34" t="s">
        <v>40</v>
      </c>
      <c r="B34" t="s">
        <v>80</v>
      </c>
      <c r="C34" t="s">
        <v>88</v>
      </c>
      <c r="D34">
        <v>558838</v>
      </c>
      <c r="E34">
        <v>1</v>
      </c>
      <c r="F34">
        <v>1</v>
      </c>
      <c r="G34" t="s">
        <v>90</v>
      </c>
      <c r="H34" t="s">
        <v>91</v>
      </c>
      <c r="I34" t="b">
        <f ca="1">D34='[1]C6RIP+'!E43</f>
        <v>0</v>
      </c>
    </row>
    <row r="35" spans="1:9" x14ac:dyDescent="0.25">
      <c r="A35" t="s">
        <v>41</v>
      </c>
      <c r="B35" t="s">
        <v>81</v>
      </c>
      <c r="C35" t="s">
        <v>88</v>
      </c>
      <c r="D35">
        <v>3896763</v>
      </c>
      <c r="E35">
        <v>1</v>
      </c>
      <c r="F35">
        <v>1</v>
      </c>
      <c r="G35" t="s">
        <v>90</v>
      </c>
      <c r="H35" t="s">
        <v>91</v>
      </c>
      <c r="I35" t="b">
        <f ca="1">D35='[1]C6RIP+'!E44</f>
        <v>0</v>
      </c>
    </row>
    <row r="36" spans="1:9" x14ac:dyDescent="0.25">
      <c r="A36" t="s">
        <v>42</v>
      </c>
      <c r="B36" t="s">
        <v>82</v>
      </c>
      <c r="C36" t="s">
        <v>88</v>
      </c>
      <c r="D36">
        <v>1665074</v>
      </c>
      <c r="E36">
        <v>1</v>
      </c>
      <c r="F36">
        <v>1</v>
      </c>
      <c r="G36" t="s">
        <v>90</v>
      </c>
      <c r="H36" t="s">
        <v>91</v>
      </c>
      <c r="I36" t="b">
        <f ca="1">D36='[1]C6RIP+'!E45</f>
        <v>0</v>
      </c>
    </row>
    <row r="37" spans="1:9" x14ac:dyDescent="0.25">
      <c r="A37" t="s">
        <v>43</v>
      </c>
      <c r="B37" t="s">
        <v>83</v>
      </c>
      <c r="C37" t="s">
        <v>88</v>
      </c>
      <c r="D37">
        <v>73853</v>
      </c>
      <c r="E37">
        <v>1</v>
      </c>
      <c r="F37">
        <v>1</v>
      </c>
      <c r="G37" t="s">
        <v>90</v>
      </c>
      <c r="H37" t="s">
        <v>91</v>
      </c>
      <c r="I37" t="b">
        <f ca="1">D37='[1]C6RIP+'!E46</f>
        <v>0</v>
      </c>
    </row>
    <row r="38" spans="1:9" x14ac:dyDescent="0.25">
      <c r="A38" t="s">
        <v>44</v>
      </c>
      <c r="B38" t="s">
        <v>84</v>
      </c>
      <c r="C38" t="s">
        <v>88</v>
      </c>
      <c r="D38">
        <v>362994</v>
      </c>
      <c r="E38">
        <v>1</v>
      </c>
      <c r="F38">
        <v>1</v>
      </c>
      <c r="G38" t="s">
        <v>90</v>
      </c>
      <c r="H38" t="s">
        <v>91</v>
      </c>
      <c r="I38" t="b">
        <f ca="1">D38='[1]C6RIP+'!E47</f>
        <v>0</v>
      </c>
    </row>
    <row r="39" spans="1:9" x14ac:dyDescent="0.25">
      <c r="A39" t="s">
        <v>45</v>
      </c>
      <c r="B39" t="s">
        <v>85</v>
      </c>
      <c r="C39" t="s">
        <v>88</v>
      </c>
      <c r="D39">
        <v>360204</v>
      </c>
      <c r="E39">
        <v>1</v>
      </c>
      <c r="F39">
        <v>1</v>
      </c>
      <c r="G39" t="s">
        <v>90</v>
      </c>
      <c r="H39" t="s">
        <v>91</v>
      </c>
      <c r="I39" t="b">
        <f ca="1">D39='[1]C6RIP+'!E48</f>
        <v>0</v>
      </c>
    </row>
    <row r="40" spans="1:9" x14ac:dyDescent="0.25">
      <c r="A40" t="s">
        <v>46</v>
      </c>
      <c r="B40" t="s">
        <v>86</v>
      </c>
      <c r="C40" t="s">
        <v>88</v>
      </c>
      <c r="D40">
        <v>662206</v>
      </c>
      <c r="E40">
        <v>1</v>
      </c>
      <c r="F40">
        <v>1</v>
      </c>
      <c r="G40" t="s">
        <v>90</v>
      </c>
      <c r="H40" t="s">
        <v>91</v>
      </c>
      <c r="I40" t="b">
        <f ca="1">D40='[1]C6RIP+'!E49</f>
        <v>0</v>
      </c>
    </row>
    <row r="41" spans="1:9" x14ac:dyDescent="0.25">
      <c r="A41" t="s">
        <v>47</v>
      </c>
      <c r="B41" t="s">
        <v>87</v>
      </c>
      <c r="C41" t="s">
        <v>88</v>
      </c>
      <c r="D41">
        <v>161492</v>
      </c>
      <c r="E41">
        <v>1</v>
      </c>
      <c r="F41">
        <v>1</v>
      </c>
      <c r="G41" t="s">
        <v>90</v>
      </c>
      <c r="H41" t="s">
        <v>91</v>
      </c>
      <c r="I41" t="b">
        <f ca="1">D41='[1]C6RIP+'!E50</f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92</v>
      </c>
      <c r="C1" s="1" t="s">
        <v>2</v>
      </c>
    </row>
    <row r="2" spans="1:3" x14ac:dyDescent="0.25">
      <c r="A2" t="s">
        <v>93</v>
      </c>
      <c r="B2" t="s">
        <v>113</v>
      </c>
      <c r="C2" t="s">
        <v>88</v>
      </c>
    </row>
    <row r="3" spans="1:3" x14ac:dyDescent="0.25">
      <c r="A3" t="s">
        <v>94</v>
      </c>
      <c r="B3" t="s">
        <v>114</v>
      </c>
      <c r="C3" t="s">
        <v>88</v>
      </c>
    </row>
    <row r="4" spans="1:3" x14ac:dyDescent="0.25">
      <c r="A4" t="s">
        <v>95</v>
      </c>
      <c r="B4" t="s">
        <v>115</v>
      </c>
      <c r="C4" t="s">
        <v>88</v>
      </c>
    </row>
    <row r="5" spans="1:3" x14ac:dyDescent="0.25">
      <c r="A5" t="s">
        <v>96</v>
      </c>
      <c r="B5" t="s">
        <v>116</v>
      </c>
      <c r="C5" t="s">
        <v>88</v>
      </c>
    </row>
    <row r="6" spans="1:3" x14ac:dyDescent="0.25">
      <c r="A6" t="s">
        <v>97</v>
      </c>
      <c r="B6" t="s">
        <v>117</v>
      </c>
      <c r="C6" t="s">
        <v>88</v>
      </c>
    </row>
    <row r="7" spans="1:3" x14ac:dyDescent="0.25">
      <c r="A7" t="s">
        <v>98</v>
      </c>
      <c r="B7" t="s">
        <v>118</v>
      </c>
      <c r="C7" t="s">
        <v>88</v>
      </c>
    </row>
    <row r="8" spans="1:3" x14ac:dyDescent="0.25">
      <c r="A8" t="s">
        <v>99</v>
      </c>
      <c r="B8" t="s">
        <v>119</v>
      </c>
      <c r="C8" t="s">
        <v>88</v>
      </c>
    </row>
    <row r="9" spans="1:3" x14ac:dyDescent="0.25">
      <c r="A9" t="s">
        <v>100</v>
      </c>
      <c r="B9" t="s">
        <v>120</v>
      </c>
      <c r="C9" t="s">
        <v>88</v>
      </c>
    </row>
    <row r="10" spans="1:3" x14ac:dyDescent="0.25">
      <c r="A10" t="s">
        <v>101</v>
      </c>
      <c r="B10" t="s">
        <v>121</v>
      </c>
      <c r="C10" t="s">
        <v>88</v>
      </c>
    </row>
    <row r="11" spans="1:3" x14ac:dyDescent="0.25">
      <c r="A11" t="s">
        <v>102</v>
      </c>
      <c r="B11" t="s">
        <v>122</v>
      </c>
      <c r="C11" t="s">
        <v>88</v>
      </c>
    </row>
    <row r="12" spans="1:3" x14ac:dyDescent="0.25">
      <c r="A12" t="s">
        <v>103</v>
      </c>
      <c r="B12" t="s">
        <v>123</v>
      </c>
      <c r="C12" t="s">
        <v>88</v>
      </c>
    </row>
    <row r="13" spans="1:3" x14ac:dyDescent="0.25">
      <c r="A13" t="s">
        <v>104</v>
      </c>
      <c r="B13" t="s">
        <v>124</v>
      </c>
      <c r="C13" t="s">
        <v>88</v>
      </c>
    </row>
    <row r="14" spans="1:3" x14ac:dyDescent="0.25">
      <c r="A14" t="s">
        <v>105</v>
      </c>
      <c r="B14" t="s">
        <v>125</v>
      </c>
      <c r="C14" t="s">
        <v>88</v>
      </c>
    </row>
    <row r="15" spans="1:3" x14ac:dyDescent="0.25">
      <c r="A15" t="s">
        <v>106</v>
      </c>
      <c r="B15" t="s">
        <v>126</v>
      </c>
      <c r="C15" t="s">
        <v>88</v>
      </c>
    </row>
    <row r="16" spans="1:3" x14ac:dyDescent="0.25">
      <c r="A16" t="s">
        <v>107</v>
      </c>
      <c r="B16" t="s">
        <v>127</v>
      </c>
      <c r="C16" t="s">
        <v>88</v>
      </c>
    </row>
    <row r="17" spans="1:3" x14ac:dyDescent="0.25">
      <c r="A17" t="s">
        <v>108</v>
      </c>
      <c r="B17" t="s">
        <v>128</v>
      </c>
      <c r="C17" t="s">
        <v>88</v>
      </c>
    </row>
    <row r="18" spans="1:3" x14ac:dyDescent="0.25">
      <c r="A18" t="s">
        <v>109</v>
      </c>
      <c r="B18" t="s">
        <v>129</v>
      </c>
      <c r="C18" t="s">
        <v>88</v>
      </c>
    </row>
    <row r="19" spans="1:3" x14ac:dyDescent="0.25">
      <c r="A19" t="s">
        <v>110</v>
      </c>
      <c r="B19" t="s">
        <v>130</v>
      </c>
      <c r="C19" t="s">
        <v>88</v>
      </c>
    </row>
    <row r="20" spans="1:3" x14ac:dyDescent="0.25">
      <c r="A20" t="s">
        <v>111</v>
      </c>
      <c r="B20" t="s">
        <v>131</v>
      </c>
      <c r="C20" t="s">
        <v>88</v>
      </c>
    </row>
    <row r="21" spans="1:3" x14ac:dyDescent="0.25">
      <c r="A21" t="s">
        <v>112</v>
      </c>
      <c r="B21" t="s">
        <v>132</v>
      </c>
      <c r="C21" t="s">
        <v>88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133</v>
      </c>
    </row>
    <row r="2" spans="1:1" x14ac:dyDescent="0.25">
      <c r="A2">
        <v>1522543284.105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41"/>
  <sheetViews>
    <sheetView workbookViewId="0"/>
  </sheetViews>
  <sheetFormatPr defaultRowHeight="15" x14ac:dyDescent="0.25"/>
  <sheetData>
    <row r="1" spans="1:22" x14ac:dyDescent="0.25">
      <c r="A1" s="1" t="s">
        <v>0</v>
      </c>
      <c r="B1" s="1" t="s">
        <v>92</v>
      </c>
      <c r="C1" s="1" t="s">
        <v>2</v>
      </c>
      <c r="D1" s="1" t="s">
        <v>134</v>
      </c>
      <c r="E1" s="1" t="s">
        <v>4</v>
      </c>
      <c r="F1" s="1" t="s">
        <v>5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141</v>
      </c>
      <c r="N1" s="1" t="s">
        <v>142</v>
      </c>
      <c r="O1" s="1" t="s">
        <v>143</v>
      </c>
      <c r="P1" s="1" t="s">
        <v>144</v>
      </c>
      <c r="Q1" s="1" t="s">
        <v>145</v>
      </c>
      <c r="R1" s="1" t="s">
        <v>146</v>
      </c>
      <c r="S1" s="1" t="s">
        <v>147</v>
      </c>
      <c r="T1" s="1" t="s">
        <v>148</v>
      </c>
      <c r="U1" s="1" t="s">
        <v>6</v>
      </c>
      <c r="V1" s="1" t="s">
        <v>7</v>
      </c>
    </row>
    <row r="2" spans="1:22" x14ac:dyDescent="0.25">
      <c r="A2" t="s">
        <v>45</v>
      </c>
      <c r="B2" t="s">
        <v>85</v>
      </c>
      <c r="C2" t="s">
        <v>88</v>
      </c>
      <c r="D2">
        <v>143244727</v>
      </c>
      <c r="E2">
        <v>0.85000000000000009</v>
      </c>
      <c r="F2">
        <v>1</v>
      </c>
      <c r="G2" t="s">
        <v>149</v>
      </c>
      <c r="H2">
        <v>1.1852</v>
      </c>
      <c r="I2">
        <v>89.16</v>
      </c>
      <c r="J2">
        <v>91.7</v>
      </c>
      <c r="K2">
        <v>4.0989218799999998</v>
      </c>
      <c r="L2">
        <v>0.85000000000000009</v>
      </c>
      <c r="M2">
        <v>132330071.8357698</v>
      </c>
      <c r="N2">
        <v>4.0989218799999998</v>
      </c>
      <c r="O2">
        <v>1</v>
      </c>
      <c r="P2">
        <v>2.5000000000000001E-2</v>
      </c>
      <c r="Q2">
        <v>38063582.102624997</v>
      </c>
      <c r="R2">
        <v>360204</v>
      </c>
      <c r="S2">
        <v>1</v>
      </c>
      <c r="T2">
        <v>1</v>
      </c>
      <c r="U2" t="s">
        <v>90</v>
      </c>
      <c r="V2" t="s">
        <v>91</v>
      </c>
    </row>
    <row r="3" spans="1:22" x14ac:dyDescent="0.25">
      <c r="A3" t="s">
        <v>16</v>
      </c>
      <c r="B3" t="s">
        <v>56</v>
      </c>
      <c r="C3" t="s">
        <v>88</v>
      </c>
      <c r="D3">
        <v>171347471</v>
      </c>
      <c r="E3">
        <v>0.85000000000000009</v>
      </c>
      <c r="F3">
        <v>1</v>
      </c>
      <c r="G3" t="s">
        <v>150</v>
      </c>
      <c r="H3">
        <v>1.1852</v>
      </c>
      <c r="I3">
        <v>123.05</v>
      </c>
      <c r="J3">
        <v>126.6</v>
      </c>
      <c r="K3">
        <v>7.5856712499999999</v>
      </c>
      <c r="L3">
        <v>0.85000000000000009</v>
      </c>
      <c r="M3">
        <v>218535488.45128211</v>
      </c>
      <c r="N3">
        <v>7.5856712499999999</v>
      </c>
      <c r="O3">
        <v>2</v>
      </c>
      <c r="P3">
        <v>2.5000000000000001E-2</v>
      </c>
      <c r="Q3">
        <v>38063582.102624997</v>
      </c>
      <c r="R3">
        <v>260998</v>
      </c>
      <c r="S3">
        <v>1</v>
      </c>
      <c r="T3">
        <v>1</v>
      </c>
      <c r="U3" t="s">
        <v>90</v>
      </c>
      <c r="V3" t="s">
        <v>91</v>
      </c>
    </row>
    <row r="4" spans="1:22" x14ac:dyDescent="0.25">
      <c r="A4" t="s">
        <v>39</v>
      </c>
      <c r="B4" t="s">
        <v>79</v>
      </c>
      <c r="C4" t="s">
        <v>88</v>
      </c>
      <c r="D4">
        <v>577122512</v>
      </c>
      <c r="E4">
        <v>1</v>
      </c>
      <c r="F4">
        <v>1</v>
      </c>
      <c r="G4" t="s">
        <v>151</v>
      </c>
      <c r="H4">
        <v>1</v>
      </c>
      <c r="I4">
        <v>228.9</v>
      </c>
      <c r="J4">
        <v>215.4</v>
      </c>
      <c r="K4">
        <v>9.4368245000000002</v>
      </c>
      <c r="L4">
        <v>1</v>
      </c>
      <c r="M4">
        <v>1243121890.848</v>
      </c>
      <c r="N4">
        <v>9.4368245000000002</v>
      </c>
      <c r="O4">
        <v>3</v>
      </c>
      <c r="P4">
        <v>2.5000000000000001E-2</v>
      </c>
      <c r="Q4">
        <v>38063582.102624997</v>
      </c>
      <c r="R4">
        <v>166289</v>
      </c>
      <c r="S4">
        <v>1</v>
      </c>
      <c r="T4">
        <v>1</v>
      </c>
      <c r="U4" t="s">
        <v>90</v>
      </c>
      <c r="V4" t="s">
        <v>91</v>
      </c>
    </row>
    <row r="5" spans="1:22" x14ac:dyDescent="0.25">
      <c r="A5" t="s">
        <v>34</v>
      </c>
      <c r="B5" t="s">
        <v>74</v>
      </c>
      <c r="C5" t="s">
        <v>88</v>
      </c>
      <c r="D5">
        <v>254311860</v>
      </c>
      <c r="E5">
        <v>0.95000000000000007</v>
      </c>
      <c r="F5">
        <v>1</v>
      </c>
      <c r="G5" t="s">
        <v>152</v>
      </c>
      <c r="H5">
        <v>1</v>
      </c>
      <c r="I5">
        <v>82.76</v>
      </c>
      <c r="J5">
        <v>80.739999999999995</v>
      </c>
      <c r="K5">
        <v>10.31337321</v>
      </c>
      <c r="L5">
        <v>0.95000000000000007</v>
      </c>
      <c r="M5">
        <v>195064825.97580001</v>
      </c>
      <c r="N5">
        <v>10.31337321</v>
      </c>
      <c r="O5">
        <v>4</v>
      </c>
      <c r="P5">
        <v>2.5000000000000001E-2</v>
      </c>
      <c r="Q5">
        <v>38063582.102624997</v>
      </c>
      <c r="R5">
        <v>459927</v>
      </c>
      <c r="S5">
        <v>1</v>
      </c>
      <c r="T5">
        <v>1</v>
      </c>
      <c r="U5" t="s">
        <v>90</v>
      </c>
      <c r="V5" t="s">
        <v>91</v>
      </c>
    </row>
    <row r="6" spans="1:22" x14ac:dyDescent="0.25">
      <c r="A6" t="s">
        <v>15</v>
      </c>
      <c r="B6" t="s">
        <v>55</v>
      </c>
      <c r="C6" t="s">
        <v>88</v>
      </c>
      <c r="D6">
        <v>453871520</v>
      </c>
      <c r="E6">
        <v>0.75</v>
      </c>
      <c r="F6">
        <v>1</v>
      </c>
      <c r="G6" t="s">
        <v>153</v>
      </c>
      <c r="H6">
        <v>1</v>
      </c>
      <c r="I6">
        <v>26</v>
      </c>
      <c r="J6">
        <v>27.22</v>
      </c>
      <c r="K6">
        <v>10.569800000000001</v>
      </c>
      <c r="L6">
        <v>0.75</v>
      </c>
      <c r="M6">
        <v>92657870.807999998</v>
      </c>
      <c r="N6">
        <v>10.569800000000001</v>
      </c>
      <c r="O6">
        <v>5</v>
      </c>
      <c r="P6">
        <v>2.5000000000000001E-2</v>
      </c>
      <c r="Q6">
        <v>38063582.102624997</v>
      </c>
      <c r="R6">
        <v>1463984</v>
      </c>
      <c r="S6">
        <v>1</v>
      </c>
      <c r="T6">
        <v>1</v>
      </c>
      <c r="U6" t="s">
        <v>90</v>
      </c>
      <c r="V6" t="s">
        <v>91</v>
      </c>
    </row>
    <row r="7" spans="1:22" x14ac:dyDescent="0.25">
      <c r="A7" t="s">
        <v>27</v>
      </c>
      <c r="B7" t="s">
        <v>67</v>
      </c>
      <c r="C7" t="s">
        <v>88</v>
      </c>
      <c r="D7">
        <v>123420778</v>
      </c>
      <c r="E7">
        <v>0.60000000000000009</v>
      </c>
      <c r="F7">
        <v>1</v>
      </c>
      <c r="G7" t="s">
        <v>154</v>
      </c>
      <c r="H7">
        <v>1</v>
      </c>
      <c r="I7">
        <v>263.3</v>
      </c>
      <c r="J7">
        <v>223.8</v>
      </c>
      <c r="K7">
        <v>10.68488125</v>
      </c>
      <c r="L7">
        <v>0.60000000000000009</v>
      </c>
      <c r="M7">
        <v>165729420.69840011</v>
      </c>
      <c r="N7">
        <v>10.68488125</v>
      </c>
      <c r="O7">
        <v>6</v>
      </c>
      <c r="P7">
        <v>2.5000000000000001E-2</v>
      </c>
      <c r="Q7">
        <v>38063582.102624997</v>
      </c>
      <c r="R7">
        <v>144564</v>
      </c>
      <c r="S7">
        <v>1</v>
      </c>
      <c r="T7">
        <v>1</v>
      </c>
      <c r="U7" t="s">
        <v>90</v>
      </c>
      <c r="V7" t="s">
        <v>91</v>
      </c>
    </row>
    <row r="8" spans="1:22" x14ac:dyDescent="0.25">
      <c r="A8" t="s">
        <v>31</v>
      </c>
      <c r="B8" t="s">
        <v>71</v>
      </c>
      <c r="C8" t="s">
        <v>88</v>
      </c>
      <c r="D8">
        <v>705748786</v>
      </c>
      <c r="E8">
        <v>1</v>
      </c>
      <c r="F8">
        <v>1</v>
      </c>
      <c r="G8" t="s">
        <v>155</v>
      </c>
      <c r="H8">
        <v>1</v>
      </c>
      <c r="I8">
        <v>31.19</v>
      </c>
      <c r="J8">
        <v>32.549999999999997</v>
      </c>
      <c r="K8">
        <v>11.463792229999999</v>
      </c>
      <c r="L8">
        <v>1</v>
      </c>
      <c r="M8">
        <v>229721229.84299999</v>
      </c>
      <c r="N8">
        <v>11.463792229999999</v>
      </c>
      <c r="O8">
        <v>7</v>
      </c>
      <c r="P8">
        <v>2.5000000000000001E-2</v>
      </c>
      <c r="Q8">
        <v>38063582.102624997</v>
      </c>
      <c r="R8">
        <v>1220378</v>
      </c>
      <c r="S8">
        <v>1</v>
      </c>
      <c r="T8">
        <v>1</v>
      </c>
      <c r="U8" t="s">
        <v>90</v>
      </c>
      <c r="V8" t="s">
        <v>91</v>
      </c>
    </row>
    <row r="9" spans="1:22" x14ac:dyDescent="0.25">
      <c r="A9" t="s">
        <v>26</v>
      </c>
      <c r="B9" t="s">
        <v>66</v>
      </c>
      <c r="C9" t="s">
        <v>88</v>
      </c>
      <c r="D9">
        <v>105569412</v>
      </c>
      <c r="E9">
        <v>0.3</v>
      </c>
      <c r="F9">
        <v>1</v>
      </c>
      <c r="G9" t="s">
        <v>156</v>
      </c>
      <c r="H9">
        <v>1</v>
      </c>
      <c r="I9">
        <v>2119</v>
      </c>
      <c r="J9">
        <v>2095</v>
      </c>
      <c r="K9">
        <v>12.736354110000001</v>
      </c>
      <c r="L9">
        <v>0.3</v>
      </c>
      <c r="M9">
        <v>663503754.42000008</v>
      </c>
      <c r="N9">
        <v>12.736354110000001</v>
      </c>
      <c r="O9">
        <v>8</v>
      </c>
      <c r="P9">
        <v>2.5000000000000001E-2</v>
      </c>
      <c r="Q9">
        <v>38063582.102624997</v>
      </c>
      <c r="R9">
        <v>17963</v>
      </c>
      <c r="S9">
        <v>1</v>
      </c>
      <c r="T9">
        <v>1</v>
      </c>
      <c r="U9" t="s">
        <v>90</v>
      </c>
      <c r="V9" t="s">
        <v>91</v>
      </c>
    </row>
    <row r="10" spans="1:22" x14ac:dyDescent="0.25">
      <c r="A10" t="s">
        <v>20</v>
      </c>
      <c r="B10" t="s">
        <v>60</v>
      </c>
      <c r="C10" t="s">
        <v>88</v>
      </c>
      <c r="D10">
        <v>1344379776</v>
      </c>
      <c r="E10">
        <v>0.5</v>
      </c>
      <c r="F10">
        <v>1</v>
      </c>
      <c r="G10" t="s">
        <v>157</v>
      </c>
      <c r="H10">
        <v>1</v>
      </c>
      <c r="I10">
        <v>27.39</v>
      </c>
      <c r="J10">
        <v>27.13</v>
      </c>
      <c r="K10">
        <v>12.844440000000001</v>
      </c>
      <c r="L10">
        <v>0.5</v>
      </c>
      <c r="M10">
        <v>182365116.6144</v>
      </c>
      <c r="N10">
        <v>12.844440000000001</v>
      </c>
      <c r="O10">
        <v>9</v>
      </c>
      <c r="P10">
        <v>2.5000000000000001E-2</v>
      </c>
      <c r="Q10">
        <v>38063582.102624997</v>
      </c>
      <c r="R10">
        <v>1389689</v>
      </c>
      <c r="S10">
        <v>1</v>
      </c>
      <c r="T10">
        <v>1</v>
      </c>
      <c r="U10" t="s">
        <v>90</v>
      </c>
      <c r="V10" t="s">
        <v>91</v>
      </c>
    </row>
    <row r="11" spans="1:22" x14ac:dyDescent="0.25">
      <c r="A11" t="s">
        <v>25</v>
      </c>
      <c r="B11" t="s">
        <v>65</v>
      </c>
      <c r="C11" t="s">
        <v>88</v>
      </c>
      <c r="D11">
        <v>101542528</v>
      </c>
      <c r="E11">
        <v>0.75</v>
      </c>
      <c r="F11">
        <v>1</v>
      </c>
      <c r="G11" t="s">
        <v>158</v>
      </c>
      <c r="H11">
        <v>1</v>
      </c>
      <c r="I11">
        <v>136.4</v>
      </c>
      <c r="J11">
        <v>143</v>
      </c>
      <c r="K11">
        <v>13.10279875</v>
      </c>
      <c r="L11">
        <v>0.75</v>
      </c>
      <c r="M11">
        <v>108904361.28</v>
      </c>
      <c r="N11">
        <v>13.10279875</v>
      </c>
      <c r="O11">
        <v>10</v>
      </c>
      <c r="P11">
        <v>2.5000000000000001E-2</v>
      </c>
      <c r="Q11">
        <v>38063582.102624997</v>
      </c>
      <c r="R11">
        <v>279059</v>
      </c>
      <c r="S11">
        <v>1</v>
      </c>
      <c r="T11">
        <v>1</v>
      </c>
      <c r="U11" t="s">
        <v>90</v>
      </c>
      <c r="V11" t="s">
        <v>91</v>
      </c>
    </row>
    <row r="12" spans="1:22" x14ac:dyDescent="0.25">
      <c r="A12" t="s">
        <v>42</v>
      </c>
      <c r="B12" t="s">
        <v>82</v>
      </c>
      <c r="C12" t="s">
        <v>88</v>
      </c>
      <c r="D12">
        <v>911281920</v>
      </c>
      <c r="E12">
        <v>0.70000000000000007</v>
      </c>
      <c r="F12">
        <v>1</v>
      </c>
      <c r="G12" t="s">
        <v>159</v>
      </c>
      <c r="H12">
        <v>1</v>
      </c>
      <c r="I12">
        <v>22.86</v>
      </c>
      <c r="J12">
        <v>23.434999999999999</v>
      </c>
      <c r="K12">
        <v>13.39547625</v>
      </c>
      <c r="L12">
        <v>0.70000000000000007</v>
      </c>
      <c r="M12">
        <v>149491242.56639999</v>
      </c>
      <c r="N12">
        <v>13.39547625</v>
      </c>
      <c r="O12">
        <v>11</v>
      </c>
      <c r="P12">
        <v>2.5000000000000001E-2</v>
      </c>
      <c r="Q12">
        <v>38063582.102624997</v>
      </c>
      <c r="R12">
        <v>1665074</v>
      </c>
      <c r="S12">
        <v>1</v>
      </c>
      <c r="T12">
        <v>1</v>
      </c>
      <c r="U12" t="s">
        <v>90</v>
      </c>
      <c r="V12" t="s">
        <v>91</v>
      </c>
    </row>
    <row r="13" spans="1:22" x14ac:dyDescent="0.25">
      <c r="A13" t="s">
        <v>23</v>
      </c>
      <c r="B13" t="s">
        <v>63</v>
      </c>
      <c r="C13" t="s">
        <v>88</v>
      </c>
      <c r="D13">
        <v>463145529</v>
      </c>
      <c r="E13">
        <v>0.70000000000000007</v>
      </c>
      <c r="F13">
        <v>1</v>
      </c>
      <c r="G13" t="s">
        <v>160</v>
      </c>
      <c r="H13">
        <v>1</v>
      </c>
      <c r="I13">
        <v>270.60000000000002</v>
      </c>
      <c r="J13">
        <v>272</v>
      </c>
      <c r="K13">
        <v>13.767011249999999</v>
      </c>
      <c r="L13">
        <v>0.70000000000000007</v>
      </c>
      <c r="M13">
        <v>881829087.21600008</v>
      </c>
      <c r="N13">
        <v>13.767011249999999</v>
      </c>
      <c r="O13">
        <v>12</v>
      </c>
      <c r="P13">
        <v>2.5000000000000001E-2</v>
      </c>
      <c r="Q13">
        <v>38063582.102624997</v>
      </c>
      <c r="R13">
        <v>140664</v>
      </c>
      <c r="S13">
        <v>1</v>
      </c>
      <c r="T13">
        <v>1</v>
      </c>
      <c r="U13" t="s">
        <v>90</v>
      </c>
      <c r="V13" t="s">
        <v>91</v>
      </c>
    </row>
    <row r="14" spans="1:22" x14ac:dyDescent="0.25">
      <c r="A14" t="s">
        <v>9</v>
      </c>
      <c r="B14" t="s">
        <v>49</v>
      </c>
      <c r="C14" t="s">
        <v>88</v>
      </c>
      <c r="D14">
        <v>578479509</v>
      </c>
      <c r="E14">
        <v>1</v>
      </c>
      <c r="F14">
        <v>1</v>
      </c>
      <c r="G14" t="s">
        <v>161</v>
      </c>
      <c r="H14">
        <v>1</v>
      </c>
      <c r="I14">
        <v>174.48</v>
      </c>
      <c r="J14">
        <v>183.12</v>
      </c>
      <c r="K14">
        <v>13.783489060000001</v>
      </c>
      <c r="L14">
        <v>1</v>
      </c>
      <c r="M14">
        <v>1059311676.8808</v>
      </c>
      <c r="N14">
        <v>13.783489060000001</v>
      </c>
      <c r="O14">
        <v>13</v>
      </c>
      <c r="P14">
        <v>2.5000000000000001E-2</v>
      </c>
      <c r="Q14">
        <v>38063582.102624997</v>
      </c>
      <c r="R14">
        <v>218154</v>
      </c>
      <c r="S14">
        <v>1</v>
      </c>
      <c r="T14">
        <v>1</v>
      </c>
      <c r="U14" t="s">
        <v>90</v>
      </c>
      <c r="V14" t="s">
        <v>91</v>
      </c>
    </row>
    <row r="15" spans="1:22" x14ac:dyDescent="0.25">
      <c r="A15" t="s">
        <v>30</v>
      </c>
      <c r="B15" t="s">
        <v>70</v>
      </c>
      <c r="C15" t="s">
        <v>88</v>
      </c>
      <c r="D15">
        <v>500141700</v>
      </c>
      <c r="E15">
        <v>0.5</v>
      </c>
      <c r="F15">
        <v>1</v>
      </c>
      <c r="G15" t="s">
        <v>162</v>
      </c>
      <c r="H15">
        <v>1</v>
      </c>
      <c r="I15">
        <v>507.7</v>
      </c>
      <c r="J15">
        <v>495.1</v>
      </c>
      <c r="K15">
        <v>13.79568688</v>
      </c>
      <c r="L15">
        <v>0.5</v>
      </c>
      <c r="M15">
        <v>1238100778.3499999</v>
      </c>
      <c r="N15">
        <v>13.79568688</v>
      </c>
      <c r="O15">
        <v>14</v>
      </c>
      <c r="P15">
        <v>2.5000000000000001E-2</v>
      </c>
      <c r="Q15">
        <v>38063582.102624997</v>
      </c>
      <c r="R15">
        <v>74973</v>
      </c>
      <c r="S15">
        <v>1</v>
      </c>
      <c r="T15">
        <v>1</v>
      </c>
      <c r="U15" t="s">
        <v>90</v>
      </c>
      <c r="V15" t="s">
        <v>91</v>
      </c>
    </row>
    <row r="16" spans="1:22" x14ac:dyDescent="0.25">
      <c r="A16" t="s">
        <v>21</v>
      </c>
      <c r="B16" t="s">
        <v>61</v>
      </c>
      <c r="C16" t="s">
        <v>88</v>
      </c>
      <c r="D16">
        <v>239891064</v>
      </c>
      <c r="E16">
        <v>1</v>
      </c>
      <c r="F16">
        <v>1</v>
      </c>
      <c r="G16" t="s">
        <v>163</v>
      </c>
      <c r="H16">
        <v>1</v>
      </c>
      <c r="I16">
        <v>20.079999999999998</v>
      </c>
      <c r="J16">
        <v>26.73</v>
      </c>
      <c r="K16">
        <v>14.75429063</v>
      </c>
      <c r="L16">
        <v>1</v>
      </c>
      <c r="M16">
        <v>64122881.407200001</v>
      </c>
      <c r="N16">
        <v>14.75429063</v>
      </c>
      <c r="O16">
        <v>15</v>
      </c>
      <c r="P16">
        <v>2.5000000000000001E-2</v>
      </c>
      <c r="Q16">
        <v>38063582.102624997</v>
      </c>
      <c r="R16">
        <v>1895597</v>
      </c>
      <c r="S16">
        <v>1</v>
      </c>
      <c r="T16">
        <v>1</v>
      </c>
      <c r="U16" t="s">
        <v>90</v>
      </c>
      <c r="V16" t="s">
        <v>91</v>
      </c>
    </row>
    <row r="17" spans="1:22" x14ac:dyDescent="0.25">
      <c r="A17" t="s">
        <v>29</v>
      </c>
      <c r="B17" t="s">
        <v>69</v>
      </c>
      <c r="C17" t="s">
        <v>88</v>
      </c>
      <c r="D17">
        <v>262245733</v>
      </c>
      <c r="E17">
        <v>1</v>
      </c>
      <c r="F17">
        <v>1</v>
      </c>
      <c r="G17" t="s">
        <v>164</v>
      </c>
      <c r="H17">
        <v>1</v>
      </c>
      <c r="I17">
        <v>137.65</v>
      </c>
      <c r="J17">
        <v>132.1</v>
      </c>
      <c r="K17">
        <v>15.02020063</v>
      </c>
      <c r="L17">
        <v>1</v>
      </c>
      <c r="M17">
        <v>346426613.29299998</v>
      </c>
      <c r="N17">
        <v>15.02020063</v>
      </c>
      <c r="O17">
        <v>16</v>
      </c>
      <c r="P17">
        <v>2.0833333333333339E-2</v>
      </c>
      <c r="Q17">
        <v>31719651.752187509</v>
      </c>
      <c r="R17">
        <v>230437</v>
      </c>
      <c r="S17">
        <v>1</v>
      </c>
      <c r="T17">
        <v>1</v>
      </c>
      <c r="U17" t="s">
        <v>90</v>
      </c>
      <c r="V17" t="s">
        <v>91</v>
      </c>
    </row>
    <row r="18" spans="1:22" x14ac:dyDescent="0.25">
      <c r="A18" t="s">
        <v>40</v>
      </c>
      <c r="B18" t="s">
        <v>80</v>
      </c>
      <c r="C18" t="s">
        <v>88</v>
      </c>
      <c r="D18">
        <v>785180327</v>
      </c>
      <c r="E18">
        <v>0.9</v>
      </c>
      <c r="F18">
        <v>1</v>
      </c>
      <c r="G18" t="s">
        <v>165</v>
      </c>
      <c r="H18">
        <v>1</v>
      </c>
      <c r="I18">
        <v>56.76</v>
      </c>
      <c r="J18">
        <v>57.84</v>
      </c>
      <c r="K18">
        <v>15.326556249999999</v>
      </c>
      <c r="L18">
        <v>0.9</v>
      </c>
      <c r="M18">
        <v>408733471.02311999</v>
      </c>
      <c r="N18">
        <v>15.326556249999999</v>
      </c>
      <c r="O18">
        <v>17</v>
      </c>
      <c r="P18">
        <v>2.0833333333333339E-2</v>
      </c>
      <c r="Q18">
        <v>31719651.752187509</v>
      </c>
      <c r="R18">
        <v>558838</v>
      </c>
      <c r="S18">
        <v>1</v>
      </c>
      <c r="T18">
        <v>1</v>
      </c>
      <c r="U18" t="s">
        <v>90</v>
      </c>
      <c r="V18" t="s">
        <v>91</v>
      </c>
    </row>
    <row r="19" spans="1:22" x14ac:dyDescent="0.25">
      <c r="A19" t="s">
        <v>12</v>
      </c>
      <c r="B19" t="s">
        <v>52</v>
      </c>
      <c r="C19" t="s">
        <v>88</v>
      </c>
      <c r="D19">
        <v>2168222821</v>
      </c>
      <c r="E19">
        <v>0.85000000000000009</v>
      </c>
      <c r="F19">
        <v>1</v>
      </c>
      <c r="G19" t="s">
        <v>166</v>
      </c>
      <c r="H19">
        <v>1</v>
      </c>
      <c r="I19">
        <v>39.700000000000003</v>
      </c>
      <c r="J19">
        <v>42.59</v>
      </c>
      <c r="K19">
        <v>15.557668749999999</v>
      </c>
      <c r="L19">
        <v>0.85000000000000009</v>
      </c>
      <c r="M19">
        <v>784929184.54431522</v>
      </c>
      <c r="N19">
        <v>15.557668749999999</v>
      </c>
      <c r="O19">
        <v>18</v>
      </c>
      <c r="P19">
        <v>2.0833333333333339E-2</v>
      </c>
      <c r="Q19">
        <v>31719651.752187509</v>
      </c>
      <c r="R19">
        <v>798984</v>
      </c>
      <c r="S19">
        <v>1</v>
      </c>
      <c r="T19">
        <v>1</v>
      </c>
      <c r="U19" t="s">
        <v>90</v>
      </c>
      <c r="V19" t="s">
        <v>91</v>
      </c>
    </row>
    <row r="20" spans="1:22" x14ac:dyDescent="0.25">
      <c r="A20" t="s">
        <v>19</v>
      </c>
      <c r="B20" t="s">
        <v>59</v>
      </c>
      <c r="C20" t="s">
        <v>88</v>
      </c>
      <c r="D20">
        <v>681394483</v>
      </c>
      <c r="E20">
        <v>0.95000000000000007</v>
      </c>
      <c r="F20">
        <v>1</v>
      </c>
      <c r="G20" t="s">
        <v>167</v>
      </c>
      <c r="H20">
        <v>1</v>
      </c>
      <c r="I20">
        <v>74.28</v>
      </c>
      <c r="J20">
        <v>73.239999999999995</v>
      </c>
      <c r="K20">
        <v>16.818846879999999</v>
      </c>
      <c r="L20">
        <v>0.95000000000000007</v>
      </c>
      <c r="M20">
        <v>474100653.38173997</v>
      </c>
      <c r="N20">
        <v>16.818846879999999</v>
      </c>
      <c r="O20">
        <v>19</v>
      </c>
      <c r="P20">
        <v>2.0833333333333339E-2</v>
      </c>
      <c r="Q20">
        <v>31719651.752187509</v>
      </c>
      <c r="R20">
        <v>427028</v>
      </c>
      <c r="S20">
        <v>1</v>
      </c>
      <c r="T20">
        <v>1</v>
      </c>
      <c r="U20" t="s">
        <v>90</v>
      </c>
      <c r="V20" t="s">
        <v>91</v>
      </c>
    </row>
    <row r="21" spans="1:22" x14ac:dyDescent="0.25">
      <c r="A21" t="s">
        <v>13</v>
      </c>
      <c r="B21" t="s">
        <v>53</v>
      </c>
      <c r="C21" t="s">
        <v>88</v>
      </c>
      <c r="D21">
        <v>1130810671</v>
      </c>
      <c r="E21">
        <v>0.95000000000000007</v>
      </c>
      <c r="F21">
        <v>1</v>
      </c>
      <c r="G21" t="s">
        <v>168</v>
      </c>
      <c r="H21">
        <v>1</v>
      </c>
      <c r="I21">
        <v>79.17</v>
      </c>
      <c r="J21">
        <v>83.38</v>
      </c>
      <c r="K21">
        <v>17.234802500000001</v>
      </c>
      <c r="L21">
        <v>0.95000000000000007</v>
      </c>
      <c r="M21">
        <v>895726440.60581005</v>
      </c>
      <c r="N21">
        <v>17.234802500000001</v>
      </c>
      <c r="O21">
        <v>20</v>
      </c>
      <c r="P21">
        <v>2.0833333333333339E-2</v>
      </c>
      <c r="Q21">
        <v>31719651.752187509</v>
      </c>
      <c r="R21">
        <v>400652</v>
      </c>
      <c r="S21">
        <v>1</v>
      </c>
      <c r="T21">
        <v>1</v>
      </c>
      <c r="U21" t="s">
        <v>90</v>
      </c>
      <c r="V21" t="s">
        <v>91</v>
      </c>
    </row>
    <row r="22" spans="1:22" x14ac:dyDescent="0.25">
      <c r="A22" t="s">
        <v>24</v>
      </c>
      <c r="B22" t="s">
        <v>64</v>
      </c>
      <c r="C22" t="s">
        <v>88</v>
      </c>
      <c r="D22">
        <v>182163000</v>
      </c>
      <c r="E22">
        <v>0.65</v>
      </c>
      <c r="F22">
        <v>1</v>
      </c>
      <c r="G22" t="s">
        <v>169</v>
      </c>
      <c r="H22">
        <v>1</v>
      </c>
      <c r="I22">
        <v>62.64</v>
      </c>
      <c r="J22">
        <v>68.36</v>
      </c>
      <c r="K22">
        <v>17.922872810000001</v>
      </c>
      <c r="L22">
        <v>0.65</v>
      </c>
      <c r="M22">
        <v>80942307.420000002</v>
      </c>
      <c r="N22">
        <v>17.922872810000001</v>
      </c>
      <c r="O22">
        <v>21</v>
      </c>
      <c r="P22">
        <v>2.0833333333333339E-2</v>
      </c>
      <c r="Q22">
        <v>31719651.752187509</v>
      </c>
      <c r="R22">
        <v>506380</v>
      </c>
      <c r="S22">
        <v>1</v>
      </c>
      <c r="T22">
        <v>1</v>
      </c>
      <c r="U22" t="s">
        <v>90</v>
      </c>
      <c r="V22" t="s">
        <v>91</v>
      </c>
    </row>
    <row r="23" spans="1:22" x14ac:dyDescent="0.25">
      <c r="A23" t="s">
        <v>28</v>
      </c>
      <c r="B23" t="s">
        <v>68</v>
      </c>
      <c r="C23" t="s">
        <v>88</v>
      </c>
      <c r="D23">
        <v>533204913</v>
      </c>
      <c r="E23">
        <v>0.45</v>
      </c>
      <c r="F23">
        <v>1</v>
      </c>
      <c r="G23" t="s">
        <v>170</v>
      </c>
      <c r="H23">
        <v>1</v>
      </c>
      <c r="I23">
        <v>377.35</v>
      </c>
      <c r="J23">
        <v>399</v>
      </c>
      <c r="K23">
        <v>17.995228910000002</v>
      </c>
      <c r="L23">
        <v>0.45</v>
      </c>
      <c r="M23">
        <v>957369421.29150009</v>
      </c>
      <c r="N23">
        <v>17.995228910000002</v>
      </c>
      <c r="O23">
        <v>22</v>
      </c>
      <c r="P23">
        <v>2.0833333333333339E-2</v>
      </c>
      <c r="Q23">
        <v>31719651.752187509</v>
      </c>
      <c r="R23">
        <v>84059</v>
      </c>
      <c r="S23">
        <v>1</v>
      </c>
      <c r="T23">
        <v>1</v>
      </c>
      <c r="U23" t="s">
        <v>90</v>
      </c>
      <c r="V23" t="s">
        <v>91</v>
      </c>
    </row>
    <row r="24" spans="1:22" x14ac:dyDescent="0.25">
      <c r="A24" t="s">
        <v>33</v>
      </c>
      <c r="B24" t="s">
        <v>73</v>
      </c>
      <c r="C24" t="s">
        <v>88</v>
      </c>
      <c r="D24">
        <v>252269195</v>
      </c>
      <c r="E24">
        <v>0.8</v>
      </c>
      <c r="F24">
        <v>1</v>
      </c>
      <c r="G24" t="s">
        <v>171</v>
      </c>
      <c r="H24">
        <v>1</v>
      </c>
      <c r="I24">
        <v>89.22</v>
      </c>
      <c r="J24">
        <v>101.85</v>
      </c>
      <c r="K24">
        <v>18.722922499999999</v>
      </c>
      <c r="L24">
        <v>0.8</v>
      </c>
      <c r="M24">
        <v>205548940.086</v>
      </c>
      <c r="N24">
        <v>18.722922499999999</v>
      </c>
      <c r="O24">
        <v>23</v>
      </c>
      <c r="P24">
        <v>2.0833333333333339E-2</v>
      </c>
      <c r="Q24">
        <v>31719651.752187509</v>
      </c>
      <c r="R24">
        <v>355522</v>
      </c>
      <c r="S24">
        <v>1</v>
      </c>
      <c r="T24">
        <v>1</v>
      </c>
      <c r="U24" t="s">
        <v>90</v>
      </c>
      <c r="V24" t="s">
        <v>91</v>
      </c>
    </row>
    <row r="25" spans="1:22" x14ac:dyDescent="0.25">
      <c r="A25" t="s">
        <v>38</v>
      </c>
      <c r="B25" t="s">
        <v>78</v>
      </c>
      <c r="C25" t="s">
        <v>88</v>
      </c>
      <c r="D25">
        <v>1227468973</v>
      </c>
      <c r="E25">
        <v>0.95000000000000007</v>
      </c>
      <c r="F25">
        <v>1</v>
      </c>
      <c r="G25" t="s">
        <v>172</v>
      </c>
      <c r="H25">
        <v>1</v>
      </c>
      <c r="I25">
        <v>78.84</v>
      </c>
      <c r="J25">
        <v>87.34</v>
      </c>
      <c r="K25">
        <v>19.000588130000001</v>
      </c>
      <c r="L25">
        <v>0.95000000000000007</v>
      </c>
      <c r="M25">
        <v>1018467830.96729</v>
      </c>
      <c r="N25">
        <v>19.000588130000001</v>
      </c>
      <c r="O25">
        <v>24</v>
      </c>
      <c r="P25">
        <v>2.0833333333333339E-2</v>
      </c>
      <c r="Q25">
        <v>31719651.752187509</v>
      </c>
      <c r="R25">
        <v>402329</v>
      </c>
      <c r="S25">
        <v>1</v>
      </c>
      <c r="T25">
        <v>1</v>
      </c>
      <c r="U25" t="s">
        <v>90</v>
      </c>
      <c r="V25" t="s">
        <v>91</v>
      </c>
    </row>
    <row r="26" spans="1:22" x14ac:dyDescent="0.25">
      <c r="A26" t="s">
        <v>37</v>
      </c>
      <c r="B26" t="s">
        <v>77</v>
      </c>
      <c r="C26" t="s">
        <v>88</v>
      </c>
      <c r="D26">
        <v>499063699</v>
      </c>
      <c r="E26">
        <v>0.9</v>
      </c>
      <c r="F26">
        <v>1</v>
      </c>
      <c r="G26" t="s">
        <v>173</v>
      </c>
      <c r="H26">
        <v>1</v>
      </c>
      <c r="I26">
        <v>93.24</v>
      </c>
      <c r="J26">
        <v>98.16</v>
      </c>
      <c r="K26">
        <v>20.056340670000001</v>
      </c>
      <c r="L26">
        <v>0.9</v>
      </c>
      <c r="M26">
        <v>440892834.24456</v>
      </c>
      <c r="N26">
        <v>20.056340670000001</v>
      </c>
      <c r="O26">
        <v>25</v>
      </c>
      <c r="P26">
        <v>2.0833333333333339E-2</v>
      </c>
      <c r="Q26">
        <v>31719651.752187509</v>
      </c>
      <c r="R26">
        <v>340194</v>
      </c>
      <c r="S26">
        <v>1</v>
      </c>
      <c r="T26">
        <v>1</v>
      </c>
      <c r="U26" t="s">
        <v>90</v>
      </c>
      <c r="V26" t="s">
        <v>91</v>
      </c>
    </row>
    <row r="27" spans="1:22" x14ac:dyDescent="0.25">
      <c r="A27" t="s">
        <v>17</v>
      </c>
      <c r="B27" t="s">
        <v>57</v>
      </c>
      <c r="C27" t="s">
        <v>88</v>
      </c>
      <c r="D27">
        <v>736314789</v>
      </c>
      <c r="E27">
        <v>0.85000000000000009</v>
      </c>
      <c r="F27">
        <v>1</v>
      </c>
      <c r="G27" t="s">
        <v>174</v>
      </c>
      <c r="H27">
        <v>1</v>
      </c>
      <c r="I27">
        <v>12.04</v>
      </c>
      <c r="J27">
        <v>13.065</v>
      </c>
      <c r="K27">
        <v>20.194453129999999</v>
      </c>
      <c r="L27">
        <v>0.85000000000000009</v>
      </c>
      <c r="M27">
        <v>81769598.105422512</v>
      </c>
      <c r="N27">
        <v>20.194453129999999</v>
      </c>
      <c r="O27">
        <v>26</v>
      </c>
      <c r="P27">
        <v>2.0833333333333339E-2</v>
      </c>
      <c r="Q27">
        <v>31719651.752187509</v>
      </c>
      <c r="R27">
        <v>2634523</v>
      </c>
      <c r="S27">
        <v>1</v>
      </c>
      <c r="T27">
        <v>1</v>
      </c>
      <c r="U27" t="s">
        <v>90</v>
      </c>
      <c r="V27" t="s">
        <v>91</v>
      </c>
    </row>
    <row r="28" spans="1:22" x14ac:dyDescent="0.25">
      <c r="A28" t="s">
        <v>18</v>
      </c>
      <c r="B28" t="s">
        <v>58</v>
      </c>
      <c r="C28" t="s">
        <v>88</v>
      </c>
      <c r="D28">
        <v>3025902350</v>
      </c>
      <c r="E28">
        <v>0.3</v>
      </c>
      <c r="F28">
        <v>1</v>
      </c>
      <c r="G28" t="s">
        <v>175</v>
      </c>
      <c r="H28">
        <v>1</v>
      </c>
      <c r="I28">
        <v>16.45</v>
      </c>
      <c r="J28">
        <v>17.055</v>
      </c>
      <c r="K28">
        <v>20.591503750000001</v>
      </c>
      <c r="L28">
        <v>0.3</v>
      </c>
      <c r="M28">
        <v>154820293.73774999</v>
      </c>
      <c r="N28">
        <v>20.591503750000001</v>
      </c>
      <c r="O28">
        <v>27</v>
      </c>
      <c r="P28">
        <v>2.0833333333333339E-2</v>
      </c>
      <c r="Q28">
        <v>31719651.752187509</v>
      </c>
      <c r="R28">
        <v>1928246</v>
      </c>
      <c r="S28">
        <v>1</v>
      </c>
      <c r="T28">
        <v>1</v>
      </c>
      <c r="U28" t="s">
        <v>90</v>
      </c>
      <c r="V28" t="s">
        <v>91</v>
      </c>
    </row>
    <row r="29" spans="1:22" x14ac:dyDescent="0.25">
      <c r="A29" t="s">
        <v>8</v>
      </c>
      <c r="B29" t="s">
        <v>48</v>
      </c>
      <c r="C29" t="s">
        <v>88</v>
      </c>
      <c r="D29">
        <v>244966893</v>
      </c>
      <c r="E29">
        <v>0.85000000000000009</v>
      </c>
      <c r="F29">
        <v>1</v>
      </c>
      <c r="G29" t="s">
        <v>176</v>
      </c>
      <c r="H29">
        <v>1</v>
      </c>
      <c r="I29">
        <v>40.9</v>
      </c>
      <c r="J29">
        <v>44.76</v>
      </c>
      <c r="K29">
        <v>20.9155625</v>
      </c>
      <c r="L29">
        <v>0.85000000000000009</v>
      </c>
      <c r="M29">
        <v>93200104.110780016</v>
      </c>
      <c r="N29">
        <v>20.9155625</v>
      </c>
      <c r="O29">
        <v>28</v>
      </c>
      <c r="P29">
        <v>2.0833333333333339E-2</v>
      </c>
      <c r="Q29">
        <v>31719651.752187509</v>
      </c>
      <c r="R29">
        <v>775542</v>
      </c>
      <c r="S29">
        <v>1</v>
      </c>
      <c r="T29">
        <v>1</v>
      </c>
      <c r="U29" t="s">
        <v>90</v>
      </c>
      <c r="V29" t="s">
        <v>91</v>
      </c>
    </row>
    <row r="30" spans="1:22" x14ac:dyDescent="0.25">
      <c r="A30" t="s">
        <v>41</v>
      </c>
      <c r="B30" t="s">
        <v>81</v>
      </c>
      <c r="C30" t="s">
        <v>88</v>
      </c>
      <c r="D30">
        <v>2896073567</v>
      </c>
      <c r="E30">
        <v>0.70000000000000007</v>
      </c>
      <c r="F30">
        <v>1</v>
      </c>
      <c r="G30" t="s">
        <v>177</v>
      </c>
      <c r="H30">
        <v>1</v>
      </c>
      <c r="I30">
        <v>8.14</v>
      </c>
      <c r="J30">
        <v>8.6460000000000008</v>
      </c>
      <c r="K30">
        <v>21.216495999999999</v>
      </c>
      <c r="L30">
        <v>0.70000000000000007</v>
      </c>
      <c r="M30">
        <v>175276164.421974</v>
      </c>
      <c r="N30">
        <v>21.216495999999999</v>
      </c>
      <c r="O30">
        <v>29</v>
      </c>
      <c r="P30">
        <v>2.0833333333333339E-2</v>
      </c>
      <c r="Q30">
        <v>31719651.752187509</v>
      </c>
      <c r="R30">
        <v>3896763</v>
      </c>
      <c r="S30">
        <v>1</v>
      </c>
      <c r="T30">
        <v>1</v>
      </c>
      <c r="U30" t="s">
        <v>90</v>
      </c>
      <c r="V30" t="s">
        <v>91</v>
      </c>
    </row>
    <row r="31" spans="1:22" x14ac:dyDescent="0.25">
      <c r="A31" t="s">
        <v>10</v>
      </c>
      <c r="B31" t="s">
        <v>50</v>
      </c>
      <c r="C31" t="s">
        <v>88</v>
      </c>
      <c r="D31">
        <v>792283683</v>
      </c>
      <c r="E31">
        <v>0.75</v>
      </c>
      <c r="F31">
        <v>1</v>
      </c>
      <c r="G31" t="s">
        <v>178</v>
      </c>
      <c r="H31">
        <v>1</v>
      </c>
      <c r="I31">
        <v>192.92</v>
      </c>
      <c r="J31">
        <v>180.72</v>
      </c>
      <c r="K31">
        <v>21.76096446</v>
      </c>
      <c r="L31">
        <v>0.75</v>
      </c>
      <c r="M31">
        <v>1073861303.9382</v>
      </c>
      <c r="N31">
        <v>21.76096446</v>
      </c>
      <c r="O31">
        <v>30</v>
      </c>
      <c r="P31">
        <v>2.0833333333333339E-2</v>
      </c>
      <c r="Q31">
        <v>31719651.752187509</v>
      </c>
      <c r="R31">
        <v>164419</v>
      </c>
      <c r="S31">
        <v>1</v>
      </c>
      <c r="T31">
        <v>1</v>
      </c>
      <c r="U31" t="s">
        <v>90</v>
      </c>
      <c r="V31" t="s">
        <v>91</v>
      </c>
    </row>
    <row r="32" spans="1:22" x14ac:dyDescent="0.25">
      <c r="A32" t="s">
        <v>32</v>
      </c>
      <c r="B32" t="s">
        <v>72</v>
      </c>
      <c r="C32" t="s">
        <v>88</v>
      </c>
      <c r="D32">
        <v>2660056599</v>
      </c>
      <c r="E32">
        <v>0.65</v>
      </c>
      <c r="F32">
        <v>1</v>
      </c>
      <c r="G32" t="s">
        <v>179</v>
      </c>
      <c r="H32">
        <v>1</v>
      </c>
      <c r="I32">
        <v>13.67</v>
      </c>
      <c r="J32">
        <v>14.48</v>
      </c>
      <c r="K32">
        <v>21.873858129999999</v>
      </c>
      <c r="L32">
        <v>0.65</v>
      </c>
      <c r="M32">
        <v>250364527.09788001</v>
      </c>
      <c r="N32">
        <v>21.873858129999999</v>
      </c>
      <c r="O32">
        <v>31</v>
      </c>
      <c r="P32">
        <v>1.2500000000000001E-2</v>
      </c>
      <c r="Q32">
        <v>19031791.051312499</v>
      </c>
      <c r="R32">
        <v>1392231</v>
      </c>
      <c r="S32">
        <v>1</v>
      </c>
      <c r="T32">
        <v>1</v>
      </c>
      <c r="U32" t="s">
        <v>90</v>
      </c>
      <c r="V32" t="s">
        <v>91</v>
      </c>
    </row>
    <row r="33" spans="1:22" x14ac:dyDescent="0.25">
      <c r="A33" t="s">
        <v>35</v>
      </c>
      <c r="B33" t="s">
        <v>75</v>
      </c>
      <c r="C33" t="s">
        <v>88</v>
      </c>
      <c r="D33">
        <v>295722284</v>
      </c>
      <c r="E33">
        <v>0.65</v>
      </c>
      <c r="F33">
        <v>1</v>
      </c>
      <c r="G33" t="s">
        <v>180</v>
      </c>
      <c r="H33">
        <v>1</v>
      </c>
      <c r="I33">
        <v>34.97</v>
      </c>
      <c r="J33">
        <v>33.56</v>
      </c>
      <c r="K33">
        <v>23.660861560000001</v>
      </c>
      <c r="L33">
        <v>0.65</v>
      </c>
      <c r="M33">
        <v>64508859.031760007</v>
      </c>
      <c r="N33">
        <v>23.660861560000001</v>
      </c>
      <c r="O33">
        <v>32</v>
      </c>
      <c r="P33">
        <v>1.2500000000000001E-2</v>
      </c>
      <c r="Q33">
        <v>19031791.051312499</v>
      </c>
      <c r="R33">
        <v>544232</v>
      </c>
      <c r="S33">
        <v>1</v>
      </c>
      <c r="T33">
        <v>1</v>
      </c>
      <c r="U33" t="s">
        <v>90</v>
      </c>
      <c r="V33" t="s">
        <v>91</v>
      </c>
    </row>
    <row r="34" spans="1:22" x14ac:dyDescent="0.25">
      <c r="A34" t="s">
        <v>46</v>
      </c>
      <c r="B34" t="s">
        <v>86</v>
      </c>
      <c r="C34" t="s">
        <v>88</v>
      </c>
      <c r="D34">
        <v>741723437</v>
      </c>
      <c r="E34">
        <v>0.9</v>
      </c>
      <c r="F34">
        <v>1</v>
      </c>
      <c r="G34" t="s">
        <v>181</v>
      </c>
      <c r="H34">
        <v>1</v>
      </c>
      <c r="I34">
        <v>28.74</v>
      </c>
      <c r="J34">
        <v>30.37</v>
      </c>
      <c r="K34">
        <v>24.133752000000001</v>
      </c>
      <c r="L34">
        <v>0.9</v>
      </c>
      <c r="M34">
        <v>202735267.03521001</v>
      </c>
      <c r="N34">
        <v>24.133752000000001</v>
      </c>
      <c r="O34">
        <v>33</v>
      </c>
      <c r="P34">
        <v>1.2500000000000001E-2</v>
      </c>
      <c r="Q34">
        <v>19031791.051312499</v>
      </c>
      <c r="R34">
        <v>662206</v>
      </c>
      <c r="S34">
        <v>1</v>
      </c>
      <c r="T34">
        <v>1</v>
      </c>
      <c r="U34" t="s">
        <v>90</v>
      </c>
      <c r="V34" t="s">
        <v>91</v>
      </c>
    </row>
    <row r="35" spans="1:22" x14ac:dyDescent="0.25">
      <c r="A35" t="s">
        <v>47</v>
      </c>
      <c r="B35" t="s">
        <v>87</v>
      </c>
      <c r="C35" t="s">
        <v>88</v>
      </c>
      <c r="D35">
        <v>582866757</v>
      </c>
      <c r="E35">
        <v>0.9</v>
      </c>
      <c r="F35">
        <v>1</v>
      </c>
      <c r="G35" t="s">
        <v>182</v>
      </c>
      <c r="H35">
        <v>1</v>
      </c>
      <c r="I35">
        <v>117.85</v>
      </c>
      <c r="J35">
        <v>129</v>
      </c>
      <c r="K35">
        <v>25.393780400000001</v>
      </c>
      <c r="L35">
        <v>0.9</v>
      </c>
      <c r="M35">
        <v>676708304.87700009</v>
      </c>
      <c r="N35">
        <v>25.393780400000001</v>
      </c>
      <c r="O35">
        <v>34</v>
      </c>
      <c r="P35">
        <v>1.2500000000000001E-2</v>
      </c>
      <c r="Q35">
        <v>19031791.051312499</v>
      </c>
      <c r="R35">
        <v>161492</v>
      </c>
      <c r="S35">
        <v>1</v>
      </c>
      <c r="T35">
        <v>1</v>
      </c>
      <c r="U35" t="s">
        <v>90</v>
      </c>
      <c r="V35" t="s">
        <v>91</v>
      </c>
    </row>
    <row r="36" spans="1:22" x14ac:dyDescent="0.25">
      <c r="A36" t="s">
        <v>43</v>
      </c>
      <c r="B36" t="s">
        <v>83</v>
      </c>
      <c r="C36" t="s">
        <v>88</v>
      </c>
      <c r="D36">
        <v>205941913</v>
      </c>
      <c r="E36">
        <v>0.45</v>
      </c>
      <c r="F36">
        <v>1</v>
      </c>
      <c r="G36" t="s">
        <v>183</v>
      </c>
      <c r="H36">
        <v>1</v>
      </c>
      <c r="I36">
        <v>257.7</v>
      </c>
      <c r="J36">
        <v>232.3</v>
      </c>
      <c r="K36">
        <v>27.267248439999999</v>
      </c>
      <c r="L36">
        <v>0.45</v>
      </c>
      <c r="M36">
        <v>215281378.75455001</v>
      </c>
      <c r="N36">
        <v>27.267248439999999</v>
      </c>
      <c r="O36">
        <v>35</v>
      </c>
      <c r="P36">
        <v>1.2500000000000001E-2</v>
      </c>
      <c r="Q36">
        <v>19031791.051312499</v>
      </c>
      <c r="R36">
        <v>73853</v>
      </c>
      <c r="S36">
        <v>1</v>
      </c>
      <c r="T36">
        <v>1</v>
      </c>
      <c r="U36" t="s">
        <v>90</v>
      </c>
      <c r="V36" t="s">
        <v>91</v>
      </c>
    </row>
    <row r="37" spans="1:22" x14ac:dyDescent="0.25">
      <c r="A37" t="s">
        <v>22</v>
      </c>
      <c r="B37" t="s">
        <v>62</v>
      </c>
      <c r="C37" t="s">
        <v>88</v>
      </c>
      <c r="D37">
        <v>2435285011</v>
      </c>
      <c r="E37">
        <v>0.75</v>
      </c>
      <c r="F37">
        <v>1</v>
      </c>
      <c r="G37" t="s">
        <v>184</v>
      </c>
      <c r="H37">
        <v>1</v>
      </c>
      <c r="I37">
        <v>18.04</v>
      </c>
      <c r="J37">
        <v>18.77</v>
      </c>
      <c r="K37">
        <v>27.43136763</v>
      </c>
      <c r="L37">
        <v>0.75</v>
      </c>
      <c r="M37">
        <v>342827247.42352498</v>
      </c>
      <c r="N37">
        <v>27.43136763</v>
      </c>
      <c r="O37">
        <v>36</v>
      </c>
      <c r="P37">
        <v>1.2500000000000001E-2</v>
      </c>
      <c r="Q37">
        <v>19031791.051312499</v>
      </c>
      <c r="R37">
        <v>1054977</v>
      </c>
      <c r="S37">
        <v>1</v>
      </c>
      <c r="T37">
        <v>1</v>
      </c>
      <c r="U37" t="s">
        <v>90</v>
      </c>
      <c r="V37" t="s">
        <v>91</v>
      </c>
    </row>
    <row r="38" spans="1:22" x14ac:dyDescent="0.25">
      <c r="A38" t="s">
        <v>36</v>
      </c>
      <c r="B38" t="s">
        <v>76</v>
      </c>
      <c r="C38" t="s">
        <v>88</v>
      </c>
      <c r="D38">
        <v>423632587</v>
      </c>
      <c r="E38">
        <v>0.85000000000000009</v>
      </c>
      <c r="F38">
        <v>1</v>
      </c>
      <c r="G38" t="s">
        <v>185</v>
      </c>
      <c r="H38">
        <v>1</v>
      </c>
      <c r="I38">
        <v>283.8</v>
      </c>
      <c r="J38">
        <v>290.5</v>
      </c>
      <c r="K38">
        <v>28.71817686</v>
      </c>
      <c r="L38">
        <v>0.85000000000000009</v>
      </c>
      <c r="M38">
        <v>1046054765.4497499</v>
      </c>
      <c r="N38">
        <v>28.71817686</v>
      </c>
      <c r="O38">
        <v>37</v>
      </c>
      <c r="P38">
        <v>1.2500000000000001E-2</v>
      </c>
      <c r="Q38">
        <v>19031791.051312499</v>
      </c>
      <c r="R38">
        <v>67061</v>
      </c>
      <c r="S38">
        <v>1</v>
      </c>
      <c r="T38">
        <v>1</v>
      </c>
      <c r="U38" t="s">
        <v>90</v>
      </c>
      <c r="V38" t="s">
        <v>91</v>
      </c>
    </row>
    <row r="39" spans="1:22" x14ac:dyDescent="0.25">
      <c r="A39" t="s">
        <v>11</v>
      </c>
      <c r="B39" t="s">
        <v>51</v>
      </c>
      <c r="C39" t="s">
        <v>89</v>
      </c>
      <c r="D39">
        <v>852809772</v>
      </c>
      <c r="E39">
        <v>0.5</v>
      </c>
      <c r="F39">
        <v>1</v>
      </c>
      <c r="G39" t="s">
        <v>186</v>
      </c>
      <c r="H39">
        <v>1</v>
      </c>
      <c r="I39">
        <v>29.4</v>
      </c>
      <c r="J39">
        <v>29.16</v>
      </c>
      <c r="K39">
        <v>29.972495980000001</v>
      </c>
      <c r="L39">
        <v>0.5</v>
      </c>
      <c r="M39">
        <v>124339664.75759999</v>
      </c>
      <c r="N39">
        <v>29.972495980000001</v>
      </c>
      <c r="O39">
        <v>38</v>
      </c>
      <c r="P39">
        <v>1.2500000000000001E-2</v>
      </c>
      <c r="Q39">
        <v>19031791.051312499</v>
      </c>
      <c r="R39">
        <v>647340</v>
      </c>
      <c r="S39">
        <v>1</v>
      </c>
      <c r="T39">
        <v>1</v>
      </c>
      <c r="U39" t="s">
        <v>90</v>
      </c>
      <c r="V39" t="s">
        <v>91</v>
      </c>
    </row>
    <row r="40" spans="1:22" x14ac:dyDescent="0.25">
      <c r="A40" t="s">
        <v>44</v>
      </c>
      <c r="B40" t="s">
        <v>84</v>
      </c>
      <c r="C40" t="s">
        <v>88</v>
      </c>
      <c r="D40">
        <v>2281206254</v>
      </c>
      <c r="E40">
        <v>0.9</v>
      </c>
      <c r="F40">
        <v>1</v>
      </c>
      <c r="G40" t="s">
        <v>187</v>
      </c>
      <c r="H40">
        <v>1</v>
      </c>
      <c r="I40">
        <v>52.43</v>
      </c>
      <c r="J40">
        <v>54.63</v>
      </c>
      <c r="K40">
        <v>31.847356250000001</v>
      </c>
      <c r="L40">
        <v>0.9</v>
      </c>
      <c r="M40">
        <v>1121600678.90418</v>
      </c>
      <c r="N40">
        <v>31.847356250000001</v>
      </c>
      <c r="O40">
        <v>39</v>
      </c>
      <c r="P40">
        <v>1.2500000000000001E-2</v>
      </c>
      <c r="Q40">
        <v>19031791.051312499</v>
      </c>
      <c r="R40">
        <v>362994</v>
      </c>
      <c r="S40">
        <v>1</v>
      </c>
      <c r="T40">
        <v>1</v>
      </c>
      <c r="U40" t="s">
        <v>90</v>
      </c>
      <c r="V40" t="s">
        <v>91</v>
      </c>
    </row>
    <row r="41" spans="1:22" x14ac:dyDescent="0.25">
      <c r="A41" t="s">
        <v>14</v>
      </c>
      <c r="B41" t="s">
        <v>54</v>
      </c>
      <c r="C41" t="s">
        <v>88</v>
      </c>
      <c r="D41">
        <v>383229919</v>
      </c>
      <c r="E41">
        <v>0.5</v>
      </c>
      <c r="F41">
        <v>1</v>
      </c>
      <c r="G41" t="s">
        <v>188</v>
      </c>
      <c r="H41">
        <v>1</v>
      </c>
      <c r="I41">
        <v>37.380000000000003</v>
      </c>
      <c r="J41">
        <v>38.71</v>
      </c>
      <c r="K41">
        <v>32.4878328</v>
      </c>
      <c r="L41">
        <v>0.5</v>
      </c>
      <c r="M41">
        <v>74174150.822449997</v>
      </c>
      <c r="N41">
        <v>32.4878328</v>
      </c>
      <c r="O41">
        <v>40</v>
      </c>
      <c r="P41">
        <v>1.2500000000000001E-2</v>
      </c>
      <c r="Q41">
        <v>19031791.051312499</v>
      </c>
      <c r="R41">
        <v>509144</v>
      </c>
      <c r="S41">
        <v>1</v>
      </c>
      <c r="T41">
        <v>1</v>
      </c>
      <c r="U41" t="s">
        <v>90</v>
      </c>
      <c r="V41" t="s">
        <v>91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41"/>
  <sheetViews>
    <sheetView workbookViewId="0"/>
  </sheetViews>
  <sheetFormatPr defaultRowHeight="15" x14ac:dyDescent="0.25"/>
  <sheetData>
    <row r="1" spans="1:14" x14ac:dyDescent="0.25">
      <c r="A1" s="1" t="s">
        <v>0</v>
      </c>
      <c r="B1" s="1" t="s">
        <v>92</v>
      </c>
      <c r="C1" s="1" t="s">
        <v>2</v>
      </c>
      <c r="D1" s="1" t="s">
        <v>134</v>
      </c>
      <c r="E1" s="1" t="s">
        <v>4</v>
      </c>
      <c r="F1" s="1" t="s">
        <v>5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141</v>
      </c>
      <c r="N1" s="1" t="s">
        <v>142</v>
      </c>
    </row>
    <row r="2" spans="1:14" x14ac:dyDescent="0.25">
      <c r="A2" t="s">
        <v>45</v>
      </c>
      <c r="B2" t="s">
        <v>85</v>
      </c>
      <c r="C2" t="s">
        <v>88</v>
      </c>
      <c r="D2">
        <v>143244727</v>
      </c>
      <c r="E2">
        <v>0.85000000000000009</v>
      </c>
      <c r="F2">
        <v>1</v>
      </c>
      <c r="G2" t="s">
        <v>149</v>
      </c>
      <c r="H2">
        <v>1.1852</v>
      </c>
      <c r="I2">
        <v>89.16</v>
      </c>
      <c r="J2">
        <v>91.7</v>
      </c>
      <c r="K2">
        <v>4.0989218799999998</v>
      </c>
      <c r="L2">
        <v>0.85000000000000009</v>
      </c>
      <c r="M2">
        <v>132330071.8357698</v>
      </c>
      <c r="N2">
        <v>4.0989218799999998</v>
      </c>
    </row>
    <row r="3" spans="1:14" x14ac:dyDescent="0.25">
      <c r="A3" t="s">
        <v>16</v>
      </c>
      <c r="B3" t="s">
        <v>56</v>
      </c>
      <c r="C3" t="s">
        <v>88</v>
      </c>
      <c r="D3">
        <v>171347471</v>
      </c>
      <c r="E3">
        <v>0.85000000000000009</v>
      </c>
      <c r="F3">
        <v>1</v>
      </c>
      <c r="G3" t="s">
        <v>150</v>
      </c>
      <c r="H3">
        <v>1.1852</v>
      </c>
      <c r="I3">
        <v>123.05</v>
      </c>
      <c r="J3">
        <v>126.6</v>
      </c>
      <c r="K3">
        <v>7.5856712499999999</v>
      </c>
      <c r="L3">
        <v>0.85000000000000009</v>
      </c>
      <c r="M3">
        <v>218535488.45128211</v>
      </c>
      <c r="N3">
        <v>7.5856712499999999</v>
      </c>
    </row>
    <row r="4" spans="1:14" x14ac:dyDescent="0.25">
      <c r="A4" t="s">
        <v>39</v>
      </c>
      <c r="B4" t="s">
        <v>79</v>
      </c>
      <c r="C4" t="s">
        <v>88</v>
      </c>
      <c r="D4">
        <v>577122512</v>
      </c>
      <c r="E4">
        <v>1</v>
      </c>
      <c r="F4">
        <v>1</v>
      </c>
      <c r="G4" t="s">
        <v>151</v>
      </c>
      <c r="H4">
        <v>1</v>
      </c>
      <c r="I4">
        <v>228.9</v>
      </c>
      <c r="J4">
        <v>215.4</v>
      </c>
      <c r="K4">
        <v>9.4368245000000002</v>
      </c>
      <c r="L4">
        <v>1</v>
      </c>
      <c r="M4">
        <v>1243121890.848</v>
      </c>
      <c r="N4">
        <v>9.4368245000000002</v>
      </c>
    </row>
    <row r="5" spans="1:14" x14ac:dyDescent="0.25">
      <c r="A5" t="s">
        <v>34</v>
      </c>
      <c r="B5" t="s">
        <v>74</v>
      </c>
      <c r="C5" t="s">
        <v>88</v>
      </c>
      <c r="D5">
        <v>254311860</v>
      </c>
      <c r="E5">
        <v>0.95000000000000007</v>
      </c>
      <c r="F5">
        <v>1</v>
      </c>
      <c r="G5" t="s">
        <v>152</v>
      </c>
      <c r="H5">
        <v>1</v>
      </c>
      <c r="I5">
        <v>82.76</v>
      </c>
      <c r="J5">
        <v>80.739999999999995</v>
      </c>
      <c r="K5">
        <v>10.31337321</v>
      </c>
      <c r="L5">
        <v>0.95000000000000007</v>
      </c>
      <c r="M5">
        <v>195064825.97580001</v>
      </c>
      <c r="N5">
        <v>10.31337321</v>
      </c>
    </row>
    <row r="6" spans="1:14" x14ac:dyDescent="0.25">
      <c r="A6" t="s">
        <v>15</v>
      </c>
      <c r="B6" t="s">
        <v>55</v>
      </c>
      <c r="C6" t="s">
        <v>88</v>
      </c>
      <c r="D6">
        <v>453871520</v>
      </c>
      <c r="E6">
        <v>0.75</v>
      </c>
      <c r="F6">
        <v>1</v>
      </c>
      <c r="G6" t="s">
        <v>153</v>
      </c>
      <c r="H6">
        <v>1</v>
      </c>
      <c r="I6">
        <v>26</v>
      </c>
      <c r="J6">
        <v>27.22</v>
      </c>
      <c r="K6">
        <v>10.569800000000001</v>
      </c>
      <c r="L6">
        <v>0.75</v>
      </c>
      <c r="M6">
        <v>92657870.807999998</v>
      </c>
      <c r="N6">
        <v>10.569800000000001</v>
      </c>
    </row>
    <row r="7" spans="1:14" x14ac:dyDescent="0.25">
      <c r="A7" t="s">
        <v>27</v>
      </c>
      <c r="B7" t="s">
        <v>67</v>
      </c>
      <c r="C7" t="s">
        <v>88</v>
      </c>
      <c r="D7">
        <v>123420778</v>
      </c>
      <c r="E7">
        <v>0.60000000000000009</v>
      </c>
      <c r="F7">
        <v>1</v>
      </c>
      <c r="G7" t="s">
        <v>154</v>
      </c>
      <c r="H7">
        <v>1</v>
      </c>
      <c r="I7">
        <v>263.3</v>
      </c>
      <c r="J7">
        <v>223.8</v>
      </c>
      <c r="K7">
        <v>10.68488125</v>
      </c>
      <c r="L7">
        <v>0.60000000000000009</v>
      </c>
      <c r="M7">
        <v>165729420.69840011</v>
      </c>
      <c r="N7">
        <v>10.68488125</v>
      </c>
    </row>
    <row r="8" spans="1:14" x14ac:dyDescent="0.25">
      <c r="A8" t="s">
        <v>31</v>
      </c>
      <c r="B8" t="s">
        <v>71</v>
      </c>
      <c r="C8" t="s">
        <v>88</v>
      </c>
      <c r="D8">
        <v>705748786</v>
      </c>
      <c r="E8">
        <v>1</v>
      </c>
      <c r="F8">
        <v>1</v>
      </c>
      <c r="G8" t="s">
        <v>155</v>
      </c>
      <c r="H8">
        <v>1</v>
      </c>
      <c r="I8">
        <v>31.19</v>
      </c>
      <c r="J8">
        <v>32.549999999999997</v>
      </c>
      <c r="K8">
        <v>11.463792229999999</v>
      </c>
      <c r="L8">
        <v>1</v>
      </c>
      <c r="M8">
        <v>229721229.84299999</v>
      </c>
      <c r="N8">
        <v>11.463792229999999</v>
      </c>
    </row>
    <row r="9" spans="1:14" x14ac:dyDescent="0.25">
      <c r="A9" t="s">
        <v>26</v>
      </c>
      <c r="B9" t="s">
        <v>66</v>
      </c>
      <c r="C9" t="s">
        <v>88</v>
      </c>
      <c r="D9">
        <v>105569412</v>
      </c>
      <c r="E9">
        <v>0.3</v>
      </c>
      <c r="F9">
        <v>1</v>
      </c>
      <c r="G9" t="s">
        <v>156</v>
      </c>
      <c r="H9">
        <v>1</v>
      </c>
      <c r="I9">
        <v>2119</v>
      </c>
      <c r="J9">
        <v>2095</v>
      </c>
      <c r="K9">
        <v>12.736354110000001</v>
      </c>
      <c r="L9">
        <v>0.3</v>
      </c>
      <c r="M9">
        <v>663503754.42000008</v>
      </c>
      <c r="N9">
        <v>12.736354110000001</v>
      </c>
    </row>
    <row r="10" spans="1:14" x14ac:dyDescent="0.25">
      <c r="A10" t="s">
        <v>20</v>
      </c>
      <c r="B10" t="s">
        <v>60</v>
      </c>
      <c r="C10" t="s">
        <v>88</v>
      </c>
      <c r="D10">
        <v>1344379776</v>
      </c>
      <c r="E10">
        <v>0.5</v>
      </c>
      <c r="F10">
        <v>1</v>
      </c>
      <c r="G10" t="s">
        <v>157</v>
      </c>
      <c r="H10">
        <v>1</v>
      </c>
      <c r="I10">
        <v>27.39</v>
      </c>
      <c r="J10">
        <v>27.13</v>
      </c>
      <c r="K10">
        <v>12.844440000000001</v>
      </c>
      <c r="L10">
        <v>0.5</v>
      </c>
      <c r="M10">
        <v>182365116.6144</v>
      </c>
      <c r="N10">
        <v>12.844440000000001</v>
      </c>
    </row>
    <row r="11" spans="1:14" x14ac:dyDescent="0.25">
      <c r="A11" t="s">
        <v>25</v>
      </c>
      <c r="B11" t="s">
        <v>65</v>
      </c>
      <c r="C11" t="s">
        <v>88</v>
      </c>
      <c r="D11">
        <v>101542528</v>
      </c>
      <c r="E11">
        <v>0.75</v>
      </c>
      <c r="F11">
        <v>1</v>
      </c>
      <c r="G11" t="s">
        <v>158</v>
      </c>
      <c r="H11">
        <v>1</v>
      </c>
      <c r="I11">
        <v>136.4</v>
      </c>
      <c r="J11">
        <v>143</v>
      </c>
      <c r="K11">
        <v>13.10279875</v>
      </c>
      <c r="L11">
        <v>0.75</v>
      </c>
      <c r="M11">
        <v>108904361.28</v>
      </c>
      <c r="N11">
        <v>13.10279875</v>
      </c>
    </row>
    <row r="12" spans="1:14" x14ac:dyDescent="0.25">
      <c r="A12" t="s">
        <v>42</v>
      </c>
      <c r="B12" t="s">
        <v>82</v>
      </c>
      <c r="C12" t="s">
        <v>88</v>
      </c>
      <c r="D12">
        <v>911281920</v>
      </c>
      <c r="E12">
        <v>0.70000000000000007</v>
      </c>
      <c r="F12">
        <v>1</v>
      </c>
      <c r="G12" t="s">
        <v>159</v>
      </c>
      <c r="H12">
        <v>1</v>
      </c>
      <c r="I12">
        <v>22.86</v>
      </c>
      <c r="J12">
        <v>23.434999999999999</v>
      </c>
      <c r="K12">
        <v>13.39547625</v>
      </c>
      <c r="L12">
        <v>0.70000000000000007</v>
      </c>
      <c r="M12">
        <v>149491242.56639999</v>
      </c>
      <c r="N12">
        <v>13.39547625</v>
      </c>
    </row>
    <row r="13" spans="1:14" x14ac:dyDescent="0.25">
      <c r="A13" t="s">
        <v>23</v>
      </c>
      <c r="B13" t="s">
        <v>63</v>
      </c>
      <c r="C13" t="s">
        <v>88</v>
      </c>
      <c r="D13">
        <v>463145529</v>
      </c>
      <c r="E13">
        <v>0.70000000000000007</v>
      </c>
      <c r="F13">
        <v>1</v>
      </c>
      <c r="G13" t="s">
        <v>160</v>
      </c>
      <c r="H13">
        <v>1</v>
      </c>
      <c r="I13">
        <v>270.60000000000002</v>
      </c>
      <c r="J13">
        <v>272</v>
      </c>
      <c r="K13">
        <v>13.767011249999999</v>
      </c>
      <c r="L13">
        <v>0.70000000000000007</v>
      </c>
      <c r="M13">
        <v>881829087.21600008</v>
      </c>
      <c r="N13">
        <v>13.767011249999999</v>
      </c>
    </row>
    <row r="14" spans="1:14" x14ac:dyDescent="0.25">
      <c r="A14" t="s">
        <v>9</v>
      </c>
      <c r="B14" t="s">
        <v>49</v>
      </c>
      <c r="C14" t="s">
        <v>88</v>
      </c>
      <c r="D14">
        <v>578479509</v>
      </c>
      <c r="E14">
        <v>1</v>
      </c>
      <c r="F14">
        <v>1</v>
      </c>
      <c r="G14" t="s">
        <v>161</v>
      </c>
      <c r="H14">
        <v>1</v>
      </c>
      <c r="I14">
        <v>174.48</v>
      </c>
      <c r="J14">
        <v>183.12</v>
      </c>
      <c r="K14">
        <v>13.783489060000001</v>
      </c>
      <c r="L14">
        <v>1</v>
      </c>
      <c r="M14">
        <v>1059311676.8808</v>
      </c>
      <c r="N14">
        <v>13.783489060000001</v>
      </c>
    </row>
    <row r="15" spans="1:14" x14ac:dyDescent="0.25">
      <c r="A15" t="s">
        <v>30</v>
      </c>
      <c r="B15" t="s">
        <v>70</v>
      </c>
      <c r="C15" t="s">
        <v>88</v>
      </c>
      <c r="D15">
        <v>500141700</v>
      </c>
      <c r="E15">
        <v>0.5</v>
      </c>
      <c r="F15">
        <v>1</v>
      </c>
      <c r="G15" t="s">
        <v>162</v>
      </c>
      <c r="H15">
        <v>1</v>
      </c>
      <c r="I15">
        <v>507.7</v>
      </c>
      <c r="J15">
        <v>495.1</v>
      </c>
      <c r="K15">
        <v>13.79568688</v>
      </c>
      <c r="L15">
        <v>0.5</v>
      </c>
      <c r="M15">
        <v>1238100778.3499999</v>
      </c>
      <c r="N15">
        <v>13.79568688</v>
      </c>
    </row>
    <row r="16" spans="1:14" x14ac:dyDescent="0.25">
      <c r="A16" t="s">
        <v>21</v>
      </c>
      <c r="B16" t="s">
        <v>61</v>
      </c>
      <c r="C16" t="s">
        <v>88</v>
      </c>
      <c r="D16">
        <v>239891064</v>
      </c>
      <c r="E16">
        <v>1</v>
      </c>
      <c r="F16">
        <v>1</v>
      </c>
      <c r="G16" t="s">
        <v>163</v>
      </c>
      <c r="H16">
        <v>1</v>
      </c>
      <c r="I16">
        <v>20.079999999999998</v>
      </c>
      <c r="J16">
        <v>26.73</v>
      </c>
      <c r="K16">
        <v>14.75429063</v>
      </c>
      <c r="L16">
        <v>1</v>
      </c>
      <c r="M16">
        <v>64122881.407200001</v>
      </c>
      <c r="N16">
        <v>14.75429063</v>
      </c>
    </row>
    <row r="17" spans="1:14" x14ac:dyDescent="0.25">
      <c r="A17" t="s">
        <v>29</v>
      </c>
      <c r="B17" t="s">
        <v>69</v>
      </c>
      <c r="C17" t="s">
        <v>88</v>
      </c>
      <c r="D17">
        <v>262245733</v>
      </c>
      <c r="E17">
        <v>1</v>
      </c>
      <c r="F17">
        <v>1</v>
      </c>
      <c r="G17" t="s">
        <v>164</v>
      </c>
      <c r="H17">
        <v>1</v>
      </c>
      <c r="I17">
        <v>137.65</v>
      </c>
      <c r="J17">
        <v>132.1</v>
      </c>
      <c r="K17">
        <v>15.02020063</v>
      </c>
      <c r="L17">
        <v>1</v>
      </c>
      <c r="M17">
        <v>346426613.29299998</v>
      </c>
      <c r="N17">
        <v>15.02020063</v>
      </c>
    </row>
    <row r="18" spans="1:14" x14ac:dyDescent="0.25">
      <c r="A18" t="s">
        <v>40</v>
      </c>
      <c r="B18" t="s">
        <v>80</v>
      </c>
      <c r="C18" t="s">
        <v>88</v>
      </c>
      <c r="D18">
        <v>785180327</v>
      </c>
      <c r="E18">
        <v>0.9</v>
      </c>
      <c r="F18">
        <v>1</v>
      </c>
      <c r="G18" t="s">
        <v>165</v>
      </c>
      <c r="H18">
        <v>1</v>
      </c>
      <c r="I18">
        <v>56.76</v>
      </c>
      <c r="J18">
        <v>57.84</v>
      </c>
      <c r="K18">
        <v>15.326556249999999</v>
      </c>
      <c r="L18">
        <v>0.9</v>
      </c>
      <c r="M18">
        <v>408733471.02311999</v>
      </c>
      <c r="N18">
        <v>15.326556249999999</v>
      </c>
    </row>
    <row r="19" spans="1:14" x14ac:dyDescent="0.25">
      <c r="A19" t="s">
        <v>12</v>
      </c>
      <c r="B19" t="s">
        <v>52</v>
      </c>
      <c r="C19" t="s">
        <v>88</v>
      </c>
      <c r="D19">
        <v>2168222821</v>
      </c>
      <c r="E19">
        <v>0.85000000000000009</v>
      </c>
      <c r="F19">
        <v>1</v>
      </c>
      <c r="G19" t="s">
        <v>166</v>
      </c>
      <c r="H19">
        <v>1</v>
      </c>
      <c r="I19">
        <v>39.700000000000003</v>
      </c>
      <c r="J19">
        <v>42.59</v>
      </c>
      <c r="K19">
        <v>15.557668749999999</v>
      </c>
      <c r="L19">
        <v>0.85000000000000009</v>
      </c>
      <c r="M19">
        <v>784929184.54431522</v>
      </c>
      <c r="N19">
        <v>15.557668749999999</v>
      </c>
    </row>
    <row r="20" spans="1:14" x14ac:dyDescent="0.25">
      <c r="A20" t="s">
        <v>19</v>
      </c>
      <c r="B20" t="s">
        <v>59</v>
      </c>
      <c r="C20" t="s">
        <v>88</v>
      </c>
      <c r="D20">
        <v>681394483</v>
      </c>
      <c r="E20">
        <v>0.95000000000000007</v>
      </c>
      <c r="F20">
        <v>1</v>
      </c>
      <c r="G20" t="s">
        <v>167</v>
      </c>
      <c r="H20">
        <v>1</v>
      </c>
      <c r="I20">
        <v>74.28</v>
      </c>
      <c r="J20">
        <v>73.239999999999995</v>
      </c>
      <c r="K20">
        <v>16.818846879999999</v>
      </c>
      <c r="L20">
        <v>0.95000000000000007</v>
      </c>
      <c r="M20">
        <v>474100653.38173997</v>
      </c>
      <c r="N20">
        <v>16.818846879999999</v>
      </c>
    </row>
    <row r="21" spans="1:14" x14ac:dyDescent="0.25">
      <c r="A21" t="s">
        <v>13</v>
      </c>
      <c r="B21" t="s">
        <v>53</v>
      </c>
      <c r="C21" t="s">
        <v>88</v>
      </c>
      <c r="D21">
        <v>1130810671</v>
      </c>
      <c r="E21">
        <v>0.95000000000000007</v>
      </c>
      <c r="F21">
        <v>1</v>
      </c>
      <c r="G21" t="s">
        <v>168</v>
      </c>
      <c r="H21">
        <v>1</v>
      </c>
      <c r="I21">
        <v>79.17</v>
      </c>
      <c r="J21">
        <v>83.38</v>
      </c>
      <c r="K21">
        <v>17.234802500000001</v>
      </c>
      <c r="L21">
        <v>0.95000000000000007</v>
      </c>
      <c r="M21">
        <v>895726440.60581005</v>
      </c>
      <c r="N21">
        <v>17.234802500000001</v>
      </c>
    </row>
    <row r="22" spans="1:14" x14ac:dyDescent="0.25">
      <c r="A22" t="s">
        <v>24</v>
      </c>
      <c r="B22" t="s">
        <v>64</v>
      </c>
      <c r="C22" t="s">
        <v>88</v>
      </c>
      <c r="D22">
        <v>182163000</v>
      </c>
      <c r="E22">
        <v>0.65</v>
      </c>
      <c r="F22">
        <v>1</v>
      </c>
      <c r="G22" t="s">
        <v>169</v>
      </c>
      <c r="H22">
        <v>1</v>
      </c>
      <c r="I22">
        <v>62.64</v>
      </c>
      <c r="J22">
        <v>68.36</v>
      </c>
      <c r="K22">
        <v>17.922872810000001</v>
      </c>
      <c r="L22">
        <v>0.65</v>
      </c>
      <c r="M22">
        <v>80942307.420000002</v>
      </c>
      <c r="N22">
        <v>17.922872810000001</v>
      </c>
    </row>
    <row r="23" spans="1:14" x14ac:dyDescent="0.25">
      <c r="A23" t="s">
        <v>28</v>
      </c>
      <c r="B23" t="s">
        <v>68</v>
      </c>
      <c r="C23" t="s">
        <v>88</v>
      </c>
      <c r="D23">
        <v>533204913</v>
      </c>
      <c r="E23">
        <v>0.45</v>
      </c>
      <c r="F23">
        <v>1</v>
      </c>
      <c r="G23" t="s">
        <v>170</v>
      </c>
      <c r="H23">
        <v>1</v>
      </c>
      <c r="I23">
        <v>377.35</v>
      </c>
      <c r="J23">
        <v>399</v>
      </c>
      <c r="K23">
        <v>17.995228910000002</v>
      </c>
      <c r="L23">
        <v>0.45</v>
      </c>
      <c r="M23">
        <v>957369421.29150009</v>
      </c>
      <c r="N23">
        <v>17.995228910000002</v>
      </c>
    </row>
    <row r="24" spans="1:14" x14ac:dyDescent="0.25">
      <c r="A24" t="s">
        <v>33</v>
      </c>
      <c r="B24" t="s">
        <v>73</v>
      </c>
      <c r="C24" t="s">
        <v>88</v>
      </c>
      <c r="D24">
        <v>252269195</v>
      </c>
      <c r="E24">
        <v>0.8</v>
      </c>
      <c r="F24">
        <v>1</v>
      </c>
      <c r="G24" t="s">
        <v>171</v>
      </c>
      <c r="H24">
        <v>1</v>
      </c>
      <c r="I24">
        <v>89.22</v>
      </c>
      <c r="J24">
        <v>101.85</v>
      </c>
      <c r="K24">
        <v>18.722922499999999</v>
      </c>
      <c r="L24">
        <v>0.8</v>
      </c>
      <c r="M24">
        <v>205548940.086</v>
      </c>
      <c r="N24">
        <v>18.722922499999999</v>
      </c>
    </row>
    <row r="25" spans="1:14" x14ac:dyDescent="0.25">
      <c r="A25" t="s">
        <v>38</v>
      </c>
      <c r="B25" t="s">
        <v>78</v>
      </c>
      <c r="C25" t="s">
        <v>88</v>
      </c>
      <c r="D25">
        <v>1227468973</v>
      </c>
      <c r="E25">
        <v>0.95000000000000007</v>
      </c>
      <c r="F25">
        <v>1</v>
      </c>
      <c r="G25" t="s">
        <v>172</v>
      </c>
      <c r="H25">
        <v>1</v>
      </c>
      <c r="I25">
        <v>78.84</v>
      </c>
      <c r="J25">
        <v>87.34</v>
      </c>
      <c r="K25">
        <v>19.000588130000001</v>
      </c>
      <c r="L25">
        <v>0.95000000000000007</v>
      </c>
      <c r="M25">
        <v>1018467830.96729</v>
      </c>
      <c r="N25">
        <v>19.000588130000001</v>
      </c>
    </row>
    <row r="26" spans="1:14" x14ac:dyDescent="0.25">
      <c r="A26" t="s">
        <v>37</v>
      </c>
      <c r="B26" t="s">
        <v>77</v>
      </c>
      <c r="C26" t="s">
        <v>88</v>
      </c>
      <c r="D26">
        <v>499063699</v>
      </c>
      <c r="E26">
        <v>0.9</v>
      </c>
      <c r="F26">
        <v>1</v>
      </c>
      <c r="G26" t="s">
        <v>173</v>
      </c>
      <c r="H26">
        <v>1</v>
      </c>
      <c r="I26">
        <v>93.24</v>
      </c>
      <c r="J26">
        <v>98.16</v>
      </c>
      <c r="K26">
        <v>20.056340670000001</v>
      </c>
      <c r="L26">
        <v>0.9</v>
      </c>
      <c r="M26">
        <v>440892834.24456</v>
      </c>
      <c r="N26">
        <v>20.056340670000001</v>
      </c>
    </row>
    <row r="27" spans="1:14" x14ac:dyDescent="0.25">
      <c r="A27" t="s">
        <v>17</v>
      </c>
      <c r="B27" t="s">
        <v>57</v>
      </c>
      <c r="C27" t="s">
        <v>88</v>
      </c>
      <c r="D27">
        <v>736314789</v>
      </c>
      <c r="E27">
        <v>0.85000000000000009</v>
      </c>
      <c r="F27">
        <v>1</v>
      </c>
      <c r="G27" t="s">
        <v>174</v>
      </c>
      <c r="H27">
        <v>1</v>
      </c>
      <c r="I27">
        <v>12.04</v>
      </c>
      <c r="J27">
        <v>13.065</v>
      </c>
      <c r="K27">
        <v>20.194453129999999</v>
      </c>
      <c r="L27">
        <v>0.85000000000000009</v>
      </c>
      <c r="M27">
        <v>81769598.105422512</v>
      </c>
      <c r="N27">
        <v>20.194453129999999</v>
      </c>
    </row>
    <row r="28" spans="1:14" x14ac:dyDescent="0.25">
      <c r="A28" t="s">
        <v>18</v>
      </c>
      <c r="B28" t="s">
        <v>58</v>
      </c>
      <c r="C28" t="s">
        <v>88</v>
      </c>
      <c r="D28">
        <v>3025902350</v>
      </c>
      <c r="E28">
        <v>0.3</v>
      </c>
      <c r="F28">
        <v>1</v>
      </c>
      <c r="G28" t="s">
        <v>175</v>
      </c>
      <c r="H28">
        <v>1</v>
      </c>
      <c r="I28">
        <v>16.45</v>
      </c>
      <c r="J28">
        <v>17.055</v>
      </c>
      <c r="K28">
        <v>20.591503750000001</v>
      </c>
      <c r="L28">
        <v>0.3</v>
      </c>
      <c r="M28">
        <v>154820293.73774999</v>
      </c>
      <c r="N28">
        <v>20.591503750000001</v>
      </c>
    </row>
    <row r="29" spans="1:14" x14ac:dyDescent="0.25">
      <c r="A29" t="s">
        <v>8</v>
      </c>
      <c r="B29" t="s">
        <v>48</v>
      </c>
      <c r="C29" t="s">
        <v>88</v>
      </c>
      <c r="D29">
        <v>244966893</v>
      </c>
      <c r="E29">
        <v>0.85000000000000009</v>
      </c>
      <c r="F29">
        <v>1</v>
      </c>
      <c r="G29" t="s">
        <v>176</v>
      </c>
      <c r="H29">
        <v>1</v>
      </c>
      <c r="I29">
        <v>40.9</v>
      </c>
      <c r="J29">
        <v>44.76</v>
      </c>
      <c r="K29">
        <v>20.9155625</v>
      </c>
      <c r="L29">
        <v>0.85000000000000009</v>
      </c>
      <c r="M29">
        <v>93200104.110780016</v>
      </c>
      <c r="N29">
        <v>20.9155625</v>
      </c>
    </row>
    <row r="30" spans="1:14" x14ac:dyDescent="0.25">
      <c r="A30" t="s">
        <v>41</v>
      </c>
      <c r="B30" t="s">
        <v>81</v>
      </c>
      <c r="C30" t="s">
        <v>88</v>
      </c>
      <c r="D30">
        <v>2896073567</v>
      </c>
      <c r="E30">
        <v>0.70000000000000007</v>
      </c>
      <c r="F30">
        <v>1</v>
      </c>
      <c r="G30" t="s">
        <v>177</v>
      </c>
      <c r="H30">
        <v>1</v>
      </c>
      <c r="I30">
        <v>8.14</v>
      </c>
      <c r="J30">
        <v>8.6460000000000008</v>
      </c>
      <c r="K30">
        <v>21.216495999999999</v>
      </c>
      <c r="L30">
        <v>0.70000000000000007</v>
      </c>
      <c r="M30">
        <v>175276164.421974</v>
      </c>
      <c r="N30">
        <v>21.216495999999999</v>
      </c>
    </row>
    <row r="31" spans="1:14" x14ac:dyDescent="0.25">
      <c r="A31" t="s">
        <v>10</v>
      </c>
      <c r="B31" t="s">
        <v>50</v>
      </c>
      <c r="C31" t="s">
        <v>88</v>
      </c>
      <c r="D31">
        <v>792283683</v>
      </c>
      <c r="E31">
        <v>0.75</v>
      </c>
      <c r="F31">
        <v>1</v>
      </c>
      <c r="G31" t="s">
        <v>178</v>
      </c>
      <c r="H31">
        <v>1</v>
      </c>
      <c r="I31">
        <v>192.92</v>
      </c>
      <c r="J31">
        <v>180.72</v>
      </c>
      <c r="K31">
        <v>21.76096446</v>
      </c>
      <c r="L31">
        <v>0.75</v>
      </c>
      <c r="M31">
        <v>1073861303.9382</v>
      </c>
      <c r="N31">
        <v>21.76096446</v>
      </c>
    </row>
    <row r="32" spans="1:14" x14ac:dyDescent="0.25">
      <c r="A32" t="s">
        <v>32</v>
      </c>
      <c r="B32" t="s">
        <v>72</v>
      </c>
      <c r="C32" t="s">
        <v>88</v>
      </c>
      <c r="D32">
        <v>2660056599</v>
      </c>
      <c r="E32">
        <v>0.65</v>
      </c>
      <c r="F32">
        <v>1</v>
      </c>
      <c r="G32" t="s">
        <v>179</v>
      </c>
      <c r="H32">
        <v>1</v>
      </c>
      <c r="I32">
        <v>13.67</v>
      </c>
      <c r="J32">
        <v>14.48</v>
      </c>
      <c r="K32">
        <v>21.873858129999999</v>
      </c>
      <c r="L32">
        <v>0.65</v>
      </c>
      <c r="M32">
        <v>250364527.09788001</v>
      </c>
      <c r="N32">
        <v>21.873858129999999</v>
      </c>
    </row>
    <row r="33" spans="1:14" x14ac:dyDescent="0.25">
      <c r="A33" t="s">
        <v>35</v>
      </c>
      <c r="B33" t="s">
        <v>75</v>
      </c>
      <c r="C33" t="s">
        <v>88</v>
      </c>
      <c r="D33">
        <v>295722284</v>
      </c>
      <c r="E33">
        <v>0.65</v>
      </c>
      <c r="F33">
        <v>1</v>
      </c>
      <c r="G33" t="s">
        <v>180</v>
      </c>
      <c r="H33">
        <v>1</v>
      </c>
      <c r="I33">
        <v>34.97</v>
      </c>
      <c r="J33">
        <v>33.56</v>
      </c>
      <c r="K33">
        <v>23.660861560000001</v>
      </c>
      <c r="L33">
        <v>0.65</v>
      </c>
      <c r="M33">
        <v>64508859.031760007</v>
      </c>
      <c r="N33">
        <v>23.660861560000001</v>
      </c>
    </row>
    <row r="34" spans="1:14" x14ac:dyDescent="0.25">
      <c r="A34" t="s">
        <v>46</v>
      </c>
      <c r="B34" t="s">
        <v>86</v>
      </c>
      <c r="C34" t="s">
        <v>88</v>
      </c>
      <c r="D34">
        <v>741723437</v>
      </c>
      <c r="E34">
        <v>0.9</v>
      </c>
      <c r="F34">
        <v>1</v>
      </c>
      <c r="G34" t="s">
        <v>181</v>
      </c>
      <c r="H34">
        <v>1</v>
      </c>
      <c r="I34">
        <v>28.74</v>
      </c>
      <c r="J34">
        <v>30.37</v>
      </c>
      <c r="K34">
        <v>24.133752000000001</v>
      </c>
      <c r="L34">
        <v>0.9</v>
      </c>
      <c r="M34">
        <v>202735267.03521001</v>
      </c>
      <c r="N34">
        <v>24.133752000000001</v>
      </c>
    </row>
    <row r="35" spans="1:14" x14ac:dyDescent="0.25">
      <c r="A35" t="s">
        <v>47</v>
      </c>
      <c r="B35" t="s">
        <v>87</v>
      </c>
      <c r="C35" t="s">
        <v>88</v>
      </c>
      <c r="D35">
        <v>582866757</v>
      </c>
      <c r="E35">
        <v>0.9</v>
      </c>
      <c r="F35">
        <v>1</v>
      </c>
      <c r="G35" t="s">
        <v>182</v>
      </c>
      <c r="H35">
        <v>1</v>
      </c>
      <c r="I35">
        <v>117.85</v>
      </c>
      <c r="J35">
        <v>129</v>
      </c>
      <c r="K35">
        <v>25.393780400000001</v>
      </c>
      <c r="L35">
        <v>0.9</v>
      </c>
      <c r="M35">
        <v>676708304.87700009</v>
      </c>
      <c r="N35">
        <v>25.393780400000001</v>
      </c>
    </row>
    <row r="36" spans="1:14" x14ac:dyDescent="0.25">
      <c r="A36" t="s">
        <v>43</v>
      </c>
      <c r="B36" t="s">
        <v>83</v>
      </c>
      <c r="C36" t="s">
        <v>88</v>
      </c>
      <c r="D36">
        <v>205941913</v>
      </c>
      <c r="E36">
        <v>0.45</v>
      </c>
      <c r="F36">
        <v>1</v>
      </c>
      <c r="G36" t="s">
        <v>183</v>
      </c>
      <c r="H36">
        <v>1</v>
      </c>
      <c r="I36">
        <v>257.7</v>
      </c>
      <c r="J36">
        <v>232.3</v>
      </c>
      <c r="K36">
        <v>27.267248439999999</v>
      </c>
      <c r="L36">
        <v>0.45</v>
      </c>
      <c r="M36">
        <v>215281378.75455001</v>
      </c>
      <c r="N36">
        <v>27.267248439999999</v>
      </c>
    </row>
    <row r="37" spans="1:14" x14ac:dyDescent="0.25">
      <c r="A37" t="s">
        <v>22</v>
      </c>
      <c r="B37" t="s">
        <v>62</v>
      </c>
      <c r="C37" t="s">
        <v>88</v>
      </c>
      <c r="D37">
        <v>2435285011</v>
      </c>
      <c r="E37">
        <v>0.75</v>
      </c>
      <c r="F37">
        <v>1</v>
      </c>
      <c r="G37" t="s">
        <v>184</v>
      </c>
      <c r="H37">
        <v>1</v>
      </c>
      <c r="I37">
        <v>18.04</v>
      </c>
      <c r="J37">
        <v>18.77</v>
      </c>
      <c r="K37">
        <v>27.43136763</v>
      </c>
      <c r="L37">
        <v>0.75</v>
      </c>
      <c r="M37">
        <v>342827247.42352498</v>
      </c>
      <c r="N37">
        <v>27.43136763</v>
      </c>
    </row>
    <row r="38" spans="1:14" x14ac:dyDescent="0.25">
      <c r="A38" t="s">
        <v>36</v>
      </c>
      <c r="B38" t="s">
        <v>76</v>
      </c>
      <c r="C38" t="s">
        <v>88</v>
      </c>
      <c r="D38">
        <v>423632587</v>
      </c>
      <c r="E38">
        <v>0.85000000000000009</v>
      </c>
      <c r="F38">
        <v>1</v>
      </c>
      <c r="G38" t="s">
        <v>185</v>
      </c>
      <c r="H38">
        <v>1</v>
      </c>
      <c r="I38">
        <v>283.8</v>
      </c>
      <c r="J38">
        <v>290.5</v>
      </c>
      <c r="K38">
        <v>28.71817686</v>
      </c>
      <c r="L38">
        <v>0.85000000000000009</v>
      </c>
      <c r="M38">
        <v>1046054765.4497499</v>
      </c>
      <c r="N38">
        <v>28.71817686</v>
      </c>
    </row>
    <row r="39" spans="1:14" x14ac:dyDescent="0.25">
      <c r="A39" t="s">
        <v>11</v>
      </c>
      <c r="B39" t="s">
        <v>51</v>
      </c>
      <c r="C39" t="s">
        <v>89</v>
      </c>
      <c r="D39">
        <v>852809772</v>
      </c>
      <c r="E39">
        <v>0.5</v>
      </c>
      <c r="F39">
        <v>1</v>
      </c>
      <c r="G39" t="s">
        <v>186</v>
      </c>
      <c r="H39">
        <v>1</v>
      </c>
      <c r="I39">
        <v>29.4</v>
      </c>
      <c r="J39">
        <v>29.16</v>
      </c>
      <c r="K39">
        <v>29.972495980000001</v>
      </c>
      <c r="L39">
        <v>0.5</v>
      </c>
      <c r="M39">
        <v>124339664.75759999</v>
      </c>
      <c r="N39">
        <v>29.972495980000001</v>
      </c>
    </row>
    <row r="40" spans="1:14" x14ac:dyDescent="0.25">
      <c r="A40" t="s">
        <v>44</v>
      </c>
      <c r="B40" t="s">
        <v>84</v>
      </c>
      <c r="C40" t="s">
        <v>88</v>
      </c>
      <c r="D40">
        <v>2281206254</v>
      </c>
      <c r="E40">
        <v>0.9</v>
      </c>
      <c r="F40">
        <v>1</v>
      </c>
      <c r="G40" t="s">
        <v>187</v>
      </c>
      <c r="H40">
        <v>1</v>
      </c>
      <c r="I40">
        <v>52.43</v>
      </c>
      <c r="J40">
        <v>54.63</v>
      </c>
      <c r="K40">
        <v>31.847356250000001</v>
      </c>
      <c r="L40">
        <v>0.9</v>
      </c>
      <c r="M40">
        <v>1121600678.90418</v>
      </c>
      <c r="N40">
        <v>31.847356250000001</v>
      </c>
    </row>
    <row r="41" spans="1:14" x14ac:dyDescent="0.25">
      <c r="A41" t="s">
        <v>14</v>
      </c>
      <c r="B41" t="s">
        <v>54</v>
      </c>
      <c r="C41" t="s">
        <v>88</v>
      </c>
      <c r="D41">
        <v>383229919</v>
      </c>
      <c r="E41">
        <v>0.5</v>
      </c>
      <c r="F41">
        <v>1</v>
      </c>
      <c r="G41" t="s">
        <v>188</v>
      </c>
      <c r="H41">
        <v>1</v>
      </c>
      <c r="I41">
        <v>37.380000000000003</v>
      </c>
      <c r="J41">
        <v>38.71</v>
      </c>
      <c r="K41">
        <v>32.4878328</v>
      </c>
      <c r="L41">
        <v>0.5</v>
      </c>
      <c r="M41">
        <v>74174150.822449997</v>
      </c>
      <c r="N41">
        <v>32.4878328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C6RIP Composition</vt:lpstr>
      <vt:lpstr>Inclusion</vt:lpstr>
      <vt:lpstr>Exclusion</vt:lpstr>
      <vt:lpstr>Index Market Cap</vt:lpstr>
      <vt:lpstr>Selection</vt:lpstr>
      <vt:lpstr>Full Universe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2025-12-11T14:25:58Z</dcterms:created>
  <dcterms:modified xsi:type="dcterms:W3CDTF">2025-12-11T14:26:43Z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2025-12-11T14:26:41Z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7c00ffc3-b1be-4991-bbe3-01a036ac2272</vt:lpwstr>
  </property>
  <property fmtid="{D5CDD505-2E9C-101B-9397-08002B2CF9AE}" pid="8" name="MSIP_Label_ac0b9ce6-6e99-42a1-af95-429494370cbc_ContentBits">
    <vt:lpwstr>2</vt:lpwstr>
  </property>
</Properties>
</file>