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0" documentId="11_3CD1BF2BFBC71B5A62E9563AA5710C8CF6CBE086" xr6:coauthVersionLast="47" xr6:coauthVersionMax="47" xr10:uidLastSave="{7AEE5C01-0B8F-4BDC-85EA-76F3A7D08BD0}"/>
  <bookViews>
    <workbookView xWindow="-29370" yWindow="19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1" i="1" l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<sst xmlns="http://schemas.openxmlformats.org/spreadsheetml/2006/main" count="2233" uniqueCount="946">
  <si>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</si>
  <si>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</si>
  <si>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</si>
  <si>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</si>
  <si>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</si>
  <si>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</si>
  <si>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</si>
  <si>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</si>
  <si>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</si>
  <si>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</si>
  <si>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AENA SME</t>
  </si>
  <si>
    <t>ALLIANZ SE</t>
  </si>
  <si>
    <t>AMADEUS IT GROUP</t>
  </si>
  <si>
    <t>ARGENX SE</t>
  </si>
  <si>
    <t>ASML HOLDING</t>
  </si>
  <si>
    <t>ASR NEDERLAND</t>
  </si>
  <si>
    <t>BUREAU VERITAS</t>
  </si>
  <si>
    <t>CAPGEMINI</t>
  </si>
  <si>
    <t>CELLNEX TELECOM</t>
  </si>
  <si>
    <t>DANONE</t>
  </si>
  <si>
    <t>DASSAULT SYSTEMES</t>
  </si>
  <si>
    <t>DSM FIRMENICH AG</t>
  </si>
  <si>
    <t>ESSILORLUXOTTICA</t>
  </si>
  <si>
    <t>FRESENIUS MEDICAL</t>
  </si>
  <si>
    <t>FRESENIUS SE &amp; CO</t>
  </si>
  <si>
    <t>HEIDELBERG MAT</t>
  </si>
  <si>
    <t>HENKEL AG &amp; CO PREF</t>
  </si>
  <si>
    <t>HERMES INTL</t>
  </si>
  <si>
    <t>IMCD</t>
  </si>
  <si>
    <t>INDITEX</t>
  </si>
  <si>
    <t>KERING</t>
  </si>
  <si>
    <t>KINGSPAN GROUP PLC</t>
  </si>
  <si>
    <t>KONE OYJ</t>
  </si>
  <si>
    <t>KPN KON</t>
  </si>
  <si>
    <t>LEGRAND</t>
  </si>
  <si>
    <t>MERCK KGA</t>
  </si>
  <si>
    <t>MICHELIN</t>
  </si>
  <si>
    <t>NATURGY ENERGY GROUP</t>
  </si>
  <si>
    <t>ORANGE</t>
  </si>
  <si>
    <t>PRYSMIAN</t>
  </si>
  <si>
    <t>RELX</t>
  </si>
  <si>
    <t>SAINT GOBAIN</t>
  </si>
  <si>
    <t>SANOFI</t>
  </si>
  <si>
    <t>SAP</t>
  </si>
  <si>
    <t>SCHNEIDER ELECTRIC</t>
  </si>
  <si>
    <t>SIEMENS AG</t>
  </si>
  <si>
    <t>SIEMENS HEALTHINEERS</t>
  </si>
  <si>
    <t>SNAM</t>
  </si>
  <si>
    <t>STMICROELECTRONICS</t>
  </si>
  <si>
    <t>SYMRISE AG</t>
  </si>
  <si>
    <t>TELECOM ITALIA</t>
  </si>
  <si>
    <t>TELEFONICA</t>
  </si>
  <si>
    <t>TERNA</t>
  </si>
  <si>
    <t>UCB</t>
  </si>
  <si>
    <t>UNIBAIL-RODAMCO-WE</t>
  </si>
  <si>
    <t>UNILEVER</t>
  </si>
  <si>
    <t>UPM-KYMMENE OYJ</t>
  </si>
  <si>
    <t>ZALANDO SE</t>
  </si>
  <si>
    <t>FR0000120404</t>
  </si>
  <si>
    <t>DE000A1EWWW0</t>
  </si>
  <si>
    <t>ES0105046017</t>
  </si>
  <si>
    <t>DE0008404005</t>
  </si>
  <si>
    <t>ES0109067019</t>
  </si>
  <si>
    <t>NL0010832176</t>
  </si>
  <si>
    <t>NL0010273215</t>
  </si>
  <si>
    <t>NL0011872643</t>
  </si>
  <si>
    <t>FR0006174348</t>
  </si>
  <si>
    <t>FR0000125338</t>
  </si>
  <si>
    <t>ES0105066007</t>
  </si>
  <si>
    <t>FR0000120644</t>
  </si>
  <si>
    <t>FR0014003TT8</t>
  </si>
  <si>
    <t>CH1216478797</t>
  </si>
  <si>
    <t>FR0000121667</t>
  </si>
  <si>
    <t>DE0005785802</t>
  </si>
  <si>
    <t>DE0005785604</t>
  </si>
  <si>
    <t>DE0006047004</t>
  </si>
  <si>
    <t>DE0006048432</t>
  </si>
  <si>
    <t>FR0000052292</t>
  </si>
  <si>
    <t>NL0010801007</t>
  </si>
  <si>
    <t>ES0148396007</t>
  </si>
  <si>
    <t>FR0000121485</t>
  </si>
  <si>
    <t>IE0004927939</t>
  </si>
  <si>
    <t>FI0009013403</t>
  </si>
  <si>
    <t>NL0000009082</t>
  </si>
  <si>
    <t>FR0010307819</t>
  </si>
  <si>
    <t>DE0006599905</t>
  </si>
  <si>
    <t>FR001400AJ45</t>
  </si>
  <si>
    <t>ES0116870314</t>
  </si>
  <si>
    <t>FR0000133308</t>
  </si>
  <si>
    <t>IT0004176001</t>
  </si>
  <si>
    <t>GB00B2B0DG97</t>
  </si>
  <si>
    <t>FR0000125007</t>
  </si>
  <si>
    <t>FR0000120578</t>
  </si>
  <si>
    <t>DE0007164600</t>
  </si>
  <si>
    <t>FR0000121972</t>
  </si>
  <si>
    <t>DE0007236101</t>
  </si>
  <si>
    <t>DE000SHL1006</t>
  </si>
  <si>
    <t>IT0003153415</t>
  </si>
  <si>
    <t>NL0000226223</t>
  </si>
  <si>
    <t>DE000SYM9999</t>
  </si>
  <si>
    <t>IT0003497168</t>
  </si>
  <si>
    <t>ES0178430E18</t>
  </si>
  <si>
    <t>IT0003242622</t>
  </si>
  <si>
    <t>BE0003739530</t>
  </si>
  <si>
    <t>FR0013326246</t>
  </si>
  <si>
    <t>GB00BVZK7T90</t>
  </si>
  <si>
    <t>FI0009005987</t>
  </si>
  <si>
    <t>DE000ZAL1111</t>
  </si>
  <si>
    <t>XPAR</t>
  </si>
  <si>
    <t>XETR</t>
  </si>
  <si>
    <t>XMAD</t>
  </si>
  <si>
    <t>XBRU</t>
  </si>
  <si>
    <t>XAMS</t>
  </si>
  <si>
    <t>XMSM</t>
  </si>
  <si>
    <t>XHEL</t>
  </si>
  <si>
    <t>MTAA</t>
  </si>
  <si>
    <t>22-Dec-25</t>
  </si>
  <si>
    <t>EUR</t>
  </si>
  <si>
    <t>ISIN code</t>
  </si>
  <si>
    <t>AKZO NOBEL</t>
  </si>
  <si>
    <t>ALSTOM</t>
  </si>
  <si>
    <t>ENDESA</t>
  </si>
  <si>
    <t>ITALGAS</t>
  </si>
  <si>
    <t>MAGNUM</t>
  </si>
  <si>
    <t>REDEIA CORP</t>
  </si>
  <si>
    <t>NL0013267909</t>
  </si>
  <si>
    <t>FR0010220475</t>
  </si>
  <si>
    <t>ES0130670112</t>
  </si>
  <si>
    <t>IT0005211237</t>
  </si>
  <si>
    <t>NL0015002MS2</t>
  </si>
  <si>
    <t>ES0173093024</t>
  </si>
  <si>
    <t>Overall_Ranking</t>
  </si>
  <si>
    <t>Eligible_Ranking</t>
  </si>
  <si>
    <t>#Symbol</t>
  </si>
  <si>
    <t>New Sustainability Score</t>
  </si>
  <si>
    <t>FFMC</t>
  </si>
  <si>
    <t>Opinion</t>
  </si>
  <si>
    <t>Price</t>
  </si>
  <si>
    <t>Close Prc_EOD</t>
  </si>
  <si>
    <t>Close Prc_CO</t>
  </si>
  <si>
    <t>100 days aver. turn EUR</t>
  </si>
  <si>
    <t>All_Exclusion_Reasons</t>
  </si>
  <si>
    <t>FFMC_Exclusion_Reason</t>
  </si>
  <si>
    <t>Turnover_Exclusion_Reason</t>
  </si>
  <si>
    <t>Opinion_Exclusion_Reason</t>
  </si>
  <si>
    <t>LOTTOMATICA GROUP</t>
  </si>
  <si>
    <t>RENK GROUP</t>
  </si>
  <si>
    <t>TKMS AG &amp; CO</t>
  </si>
  <si>
    <t>HAL TRUST</t>
  </si>
  <si>
    <t>CTP</t>
  </si>
  <si>
    <t>BAM GROEP KON</t>
  </si>
  <si>
    <t>AUMOVIO</t>
  </si>
  <si>
    <t>VERBUND AG</t>
  </si>
  <si>
    <t>EDP RENOVAVEIS</t>
  </si>
  <si>
    <t>AURUBIS AG</t>
  </si>
  <si>
    <t>FORTUM OYJ</t>
  </si>
  <si>
    <t>KLEPIERRE</t>
  </si>
  <si>
    <t>KION GROUP AG</t>
  </si>
  <si>
    <t>COVIVIO</t>
  </si>
  <si>
    <t>UMICORE</t>
  </si>
  <si>
    <t>QIAGEN NV</t>
  </si>
  <si>
    <t>TUBIZE-FIN</t>
  </si>
  <si>
    <t>GECINA</t>
  </si>
  <si>
    <t>NORDEX SE</t>
  </si>
  <si>
    <t>LEG IMMOBILIEN SE</t>
  </si>
  <si>
    <t>ORION OYJ CLASS B</t>
  </si>
  <si>
    <t>BIOMERIEUX</t>
  </si>
  <si>
    <t>GRIFOLS SA</t>
  </si>
  <si>
    <t>ANDRITZ AG</t>
  </si>
  <si>
    <t>MERLIN PROPERTIES</t>
  </si>
  <si>
    <t>IPSEN</t>
  </si>
  <si>
    <t>RECORDATI ORD</t>
  </si>
  <si>
    <t>GEA GROUP AG</t>
  </si>
  <si>
    <t>REXEL</t>
  </si>
  <si>
    <t>J.MARTINS,SGPS</t>
  </si>
  <si>
    <t>BRENNTAG SE</t>
  </si>
  <si>
    <t>KONECRANES ABP</t>
  </si>
  <si>
    <t>ELISA OYJ</t>
  </si>
  <si>
    <t>KNORR-BREMSE AG</t>
  </si>
  <si>
    <t>ELIA GROUP</t>
  </si>
  <si>
    <t>JDE PEET'S</t>
  </si>
  <si>
    <t>EDENRED</t>
  </si>
  <si>
    <t>VALMET</t>
  </si>
  <si>
    <t>A2A</t>
  </si>
  <si>
    <t>EVONIK INDUSTRIES AG</t>
  </si>
  <si>
    <t>ENAGAS</t>
  </si>
  <si>
    <t>WIENERBERGER AG</t>
  </si>
  <si>
    <t>HUHTAMAKI OYJ</t>
  </si>
  <si>
    <t>ARKEMA</t>
  </si>
  <si>
    <t>EURAZEO</t>
  </si>
  <si>
    <t>VALLOUREC</t>
  </si>
  <si>
    <t>VALEO</t>
  </si>
  <si>
    <t>ACERINOX SA</t>
  </si>
  <si>
    <t>SIGNIFY NV</t>
  </si>
  <si>
    <t>PIRELLI &amp; C</t>
  </si>
  <si>
    <t>BBVA</t>
  </si>
  <si>
    <t>INTESA SANPAOLO</t>
  </si>
  <si>
    <t>SIEMENS ENERGY AG</t>
  </si>
  <si>
    <t>BNP PARIBAS ACT.A</t>
  </si>
  <si>
    <t>AXA</t>
  </si>
  <si>
    <t>NORDEA BANK ABP</t>
  </si>
  <si>
    <t>GENERALI</t>
  </si>
  <si>
    <t>CAIXABANK</t>
  </si>
  <si>
    <t>SAMPO OYJ</t>
  </si>
  <si>
    <t>KBC</t>
  </si>
  <si>
    <t>ASM INTERNATIONAL</t>
  </si>
  <si>
    <t>WOLTERS KLUWER</t>
  </si>
  <si>
    <t>MTU AERO ENGINES AG</t>
  </si>
  <si>
    <t>AIB GROUP PLC</t>
  </si>
  <si>
    <t>ABN AMRO BANK N.V.</t>
  </si>
  <si>
    <t>BANCO DE SABADELL</t>
  </si>
  <si>
    <t>CREDIT AGRICOLE</t>
  </si>
  <si>
    <t>EURONEXT</t>
  </si>
  <si>
    <t>METSO CORPORATION</t>
  </si>
  <si>
    <t>AEGON</t>
  </si>
  <si>
    <t>BEIERSDORF AG</t>
  </si>
  <si>
    <t>CONTINENTAL AG</t>
  </si>
  <si>
    <t>TENARIS</t>
  </si>
  <si>
    <t>SYENSQO</t>
  </si>
  <si>
    <t>RAIFFEISEN BANK INTL</t>
  </si>
  <si>
    <t>RANDSTAD NV</t>
  </si>
  <si>
    <t>INWIT</t>
  </si>
  <si>
    <t>KEMIRA OYJ</t>
  </si>
  <si>
    <t>MEDIOBANCA</t>
  </si>
  <si>
    <t>FLUIDRA</t>
  </si>
  <si>
    <t>MUNICH RE</t>
  </si>
  <si>
    <t>ING GROEP N.V.</t>
  </si>
  <si>
    <t>DEUTSCHE BANK</t>
  </si>
  <si>
    <t>BAWAG GROUP AG</t>
  </si>
  <si>
    <t>CORPORACION MAPFRE</t>
  </si>
  <si>
    <t>OBERBANK AG</t>
  </si>
  <si>
    <t>UNICREDIT</t>
  </si>
  <si>
    <t>PROSUS</t>
  </si>
  <si>
    <t>ERSTE GROUP BANK</t>
  </si>
  <si>
    <t>COMMERZBANK AG</t>
  </si>
  <si>
    <t>BANCA MPS</t>
  </si>
  <si>
    <t>NN GROUP</t>
  </si>
  <si>
    <t>HANNOVER RUECK SE</t>
  </si>
  <si>
    <t>BPER BANCA</t>
  </si>
  <si>
    <t>BANCO BPM</t>
  </si>
  <si>
    <t>BANK OF IRELAND GP</t>
  </si>
  <si>
    <t>POSTE ITALIANE</t>
  </si>
  <si>
    <t>AGEAS</t>
  </si>
  <si>
    <t>BANKINTER SA</t>
  </si>
  <si>
    <t>UNIPOL</t>
  </si>
  <si>
    <t>B.COM.PORTUGUES</t>
  </si>
  <si>
    <t>SCOR SE</t>
  </si>
  <si>
    <t>AYVENS</t>
  </si>
  <si>
    <t>AIR LIQUIDE</t>
  </si>
  <si>
    <t>VONOVIA SE</t>
  </si>
  <si>
    <t>EUROFINS SCIENT.</t>
  </si>
  <si>
    <t>SARTORIUS STED BIO</t>
  </si>
  <si>
    <t>SARTORIUS AG PREF</t>
  </si>
  <si>
    <t>GETLINK SE</t>
  </si>
  <si>
    <t>ELIS</t>
  </si>
  <si>
    <t>COFINIMMO</t>
  </si>
  <si>
    <t>AROUNDTOWN SA</t>
  </si>
  <si>
    <t>WENDEL</t>
  </si>
  <si>
    <t>WDP</t>
  </si>
  <si>
    <t>FREENET AG</t>
  </si>
  <si>
    <t>RATIONAL AG</t>
  </si>
  <si>
    <t>TAG IMMOBILIEN AG</t>
  </si>
  <si>
    <t>INPOST</t>
  </si>
  <si>
    <t>LVMH</t>
  </si>
  <si>
    <t>BANCO SANTANDER CENT</t>
  </si>
  <si>
    <t>L'OREAL</t>
  </si>
  <si>
    <t>VINCI</t>
  </si>
  <si>
    <t>INFINEON TECHNOLOGIE</t>
  </si>
  <si>
    <t>DEUTSCHE BOERSE AG</t>
  </si>
  <si>
    <t>BASF</t>
  </si>
  <si>
    <t>SOCIETE GENERALE</t>
  </si>
  <si>
    <t>E.ON SE</t>
  </si>
  <si>
    <t>AHOLD DEL</t>
  </si>
  <si>
    <t>NOKIA</t>
  </si>
  <si>
    <t>FERROVIAL</t>
  </si>
  <si>
    <t>BMW</t>
  </si>
  <si>
    <t>PUBLICIS GROUPE SA</t>
  </si>
  <si>
    <t>ARCELORMITTAL SA</t>
  </si>
  <si>
    <t>KERRY GROUP PLC</t>
  </si>
  <si>
    <t>FINECOBANK</t>
  </si>
  <si>
    <t>WARTSILA OYJ ABP</t>
  </si>
  <si>
    <t>MONCLER</t>
  </si>
  <si>
    <t>BE SEMICONDUCTOR</t>
  </si>
  <si>
    <t>LUFTHANSA</t>
  </si>
  <si>
    <t>GTT</t>
  </si>
  <si>
    <t>SCOUT24 SE</t>
  </si>
  <si>
    <t>SCHAEFFLER</t>
  </si>
  <si>
    <t>GBL</t>
  </si>
  <si>
    <t>KESKO B</t>
  </si>
  <si>
    <t>NEXANS</t>
  </si>
  <si>
    <t>AMUNDI</t>
  </si>
  <si>
    <t>VOESTALPINE AG</t>
  </si>
  <si>
    <t>TELEPERFORMANCE</t>
  </si>
  <si>
    <t>ADP</t>
  </si>
  <si>
    <t>TUI AG</t>
  </si>
  <si>
    <t>SAIPEM</t>
  </si>
  <si>
    <t>SBM OFFSHORE</t>
  </si>
  <si>
    <t>MANDATUM</t>
  </si>
  <si>
    <t>FRAPORT</t>
  </si>
  <si>
    <t>ARCADIS</t>
  </si>
  <si>
    <t>ALLFUNDS GROUP</t>
  </si>
  <si>
    <t>NEXI</t>
  </si>
  <si>
    <t>DEUTSCHE POST</t>
  </si>
  <si>
    <t>ADYEN</t>
  </si>
  <si>
    <t>FERRARI</t>
  </si>
  <si>
    <t>UMG</t>
  </si>
  <si>
    <t>EIFFAGE</t>
  </si>
  <si>
    <t>TALANX AG</t>
  </si>
  <si>
    <t>SPIE</t>
  </si>
  <si>
    <t>NEMETSCHEK SE</t>
  </si>
  <si>
    <t>BANCA MEDIOLANUM</t>
  </si>
  <si>
    <t>BUZZI</t>
  </si>
  <si>
    <t>SODEXO</t>
  </si>
  <si>
    <t>INTERPUMP GROUP</t>
  </si>
  <si>
    <t>BECHTLE AG</t>
  </si>
  <si>
    <t>BILFINGER SE</t>
  </si>
  <si>
    <t>REPLY</t>
  </si>
  <si>
    <t>BANCA GENERALI</t>
  </si>
  <si>
    <t>FUCHS SE PREF</t>
  </si>
  <si>
    <t>AALBERTS NV</t>
  </si>
  <si>
    <t>MAIRE</t>
  </si>
  <si>
    <t>CVC CAPITAL</t>
  </si>
  <si>
    <t>AZIMUT</t>
  </si>
  <si>
    <t>DELIVERY HERO SE</t>
  </si>
  <si>
    <t>SOFINA</t>
  </si>
  <si>
    <t>AUTO1 GROUP SE</t>
  </si>
  <si>
    <t>D'IETEREN GROUP</t>
  </si>
  <si>
    <t>FLATEXDEGIRO AG</t>
  </si>
  <si>
    <t>GLANBIA PLC</t>
  </si>
  <si>
    <t>SES</t>
  </si>
  <si>
    <t>AEDIFICA</t>
  </si>
  <si>
    <t>ABIVAX</t>
  </si>
  <si>
    <t>CTS EVENTIM AG</t>
  </si>
  <si>
    <t>ACKERMANS V.HAAREN</t>
  </si>
  <si>
    <t>Flughafen Wien AG</t>
  </si>
  <si>
    <t>RWE AG</t>
  </si>
  <si>
    <t>HERA</t>
  </si>
  <si>
    <t>HEINEKEN</t>
  </si>
  <si>
    <t>PERNOD RICARD</t>
  </si>
  <si>
    <t>CAMPARI</t>
  </si>
  <si>
    <t>AIRBUS</t>
  </si>
  <si>
    <t>IBERDROLA</t>
  </si>
  <si>
    <t>DEUTSCHE TELEKOM AG</t>
  </si>
  <si>
    <t>SAFRAN</t>
  </si>
  <si>
    <t>ENEL</t>
  </si>
  <si>
    <t>MERCEDES-BENZ GROUP</t>
  </si>
  <si>
    <t>ENGIE</t>
  </si>
  <si>
    <t>THALES</t>
  </si>
  <si>
    <t>VOLKSWAGEN PREF</t>
  </si>
  <si>
    <t>LEONARDO</t>
  </si>
  <si>
    <t>VEOLIA ENVIRON.</t>
  </si>
  <si>
    <t>STELLANTIS NV</t>
  </si>
  <si>
    <t>DAIMLER TRUCK HLDNG</t>
  </si>
  <si>
    <t>ACS ACTIVIDADES CONS</t>
  </si>
  <si>
    <t>EDP</t>
  </si>
  <si>
    <t>CARREFOUR</t>
  </si>
  <si>
    <t>BOUYGUES</t>
  </si>
  <si>
    <t>RENAULT</t>
  </si>
  <si>
    <t>STORA ENSO OYJ</t>
  </si>
  <si>
    <t>PORSCHE PREF</t>
  </si>
  <si>
    <t>PORSCHE AG</t>
  </si>
  <si>
    <t>THYSSENKRUPP AG</t>
  </si>
  <si>
    <t>HOCHTIEF</t>
  </si>
  <si>
    <t>ACCIONA</t>
  </si>
  <si>
    <t>INDRA SISTEMAS SA</t>
  </si>
  <si>
    <t>IVECO GROUP</t>
  </si>
  <si>
    <t>FDJ UNITED</t>
  </si>
  <si>
    <t>BOLLORE</t>
  </si>
  <si>
    <t>ALTEN</t>
  </si>
  <si>
    <t>HENSOLDT AG</t>
  </si>
  <si>
    <t>AB INBEV</t>
  </si>
  <si>
    <t>RYANAIR HOLD. PLC</t>
  </si>
  <si>
    <t>DASSAULT AVIATION</t>
  </si>
  <si>
    <t>LOTUS BAKERIES</t>
  </si>
  <si>
    <t>BRUNELLO CUCINELLI</t>
  </si>
  <si>
    <t>DE'LONGHI</t>
  </si>
  <si>
    <t>EXOR NV</t>
  </si>
  <si>
    <t>OMV AG</t>
  </si>
  <si>
    <t>GALP ENERGIA-NOM</t>
  </si>
  <si>
    <t>NESTE OIL OYJ</t>
  </si>
  <si>
    <t>TECHNIP ENERGIES</t>
  </si>
  <si>
    <t>RUBIS</t>
  </si>
  <si>
    <t>SHELL PLC</t>
  </si>
  <si>
    <t>TOTALENERGIES</t>
  </si>
  <si>
    <t>ENI</t>
  </si>
  <si>
    <t>BAYER AG</t>
  </si>
  <si>
    <t>PHILIPS KON</t>
  </si>
  <si>
    <t>REPSOL</t>
  </si>
  <si>
    <t>RHEINMETALL</t>
  </si>
  <si>
    <t>IT0005541336</t>
  </si>
  <si>
    <t>DE000RENK730</t>
  </si>
  <si>
    <t>DE000TKMS001</t>
  </si>
  <si>
    <t>BMG455841020</t>
  </si>
  <si>
    <t>NL00150006R6</t>
  </si>
  <si>
    <t>NL0000337319</t>
  </si>
  <si>
    <t>DE000AUM0V10</t>
  </si>
  <si>
    <t>AT0000746409</t>
  </si>
  <si>
    <t>ES0127797019</t>
  </si>
  <si>
    <t>DE0006766504</t>
  </si>
  <si>
    <t>FI0009007132</t>
  </si>
  <si>
    <t>FR0000121964</t>
  </si>
  <si>
    <t>DE000KGX8881</t>
  </si>
  <si>
    <t>FR0000064578</t>
  </si>
  <si>
    <t>BE0974320526</t>
  </si>
  <si>
    <t>NL0015002CX3</t>
  </si>
  <si>
    <t>BE0003823409</t>
  </si>
  <si>
    <t>FR0010040865</t>
  </si>
  <si>
    <t>DE000A0D6554</t>
  </si>
  <si>
    <t>DE000LEG1110</t>
  </si>
  <si>
    <t>FI0009014377</t>
  </si>
  <si>
    <t>FR0013280286</t>
  </si>
  <si>
    <t>ES0171996087</t>
  </si>
  <si>
    <t>AT0000730007</t>
  </si>
  <si>
    <t>ES0105025003</t>
  </si>
  <si>
    <t>FR0010259150</t>
  </si>
  <si>
    <t>IT0003828271</t>
  </si>
  <si>
    <t>DE0006602006</t>
  </si>
  <si>
    <t>FR0010451203</t>
  </si>
  <si>
    <t>PTJMT0AE0001</t>
  </si>
  <si>
    <t>DE000A1DAHH0</t>
  </si>
  <si>
    <t>FI0009005870</t>
  </si>
  <si>
    <t>FI0009007884</t>
  </si>
  <si>
    <t>DE000KBX1006</t>
  </si>
  <si>
    <t>BE0003822393</t>
  </si>
  <si>
    <t>NL0014332678</t>
  </si>
  <si>
    <t>FR0010908533</t>
  </si>
  <si>
    <t>FI4000074984</t>
  </si>
  <si>
    <t>IT0001233417</t>
  </si>
  <si>
    <t>DE000EVNK013</t>
  </si>
  <si>
    <t>ES0130960018</t>
  </si>
  <si>
    <t>AT0000831706</t>
  </si>
  <si>
    <t>FI0009000459</t>
  </si>
  <si>
    <t>FR0010313833</t>
  </si>
  <si>
    <t>FR0000121121</t>
  </si>
  <si>
    <t>FR0013506730</t>
  </si>
  <si>
    <t>FR0013176526</t>
  </si>
  <si>
    <t>ES0132105018</t>
  </si>
  <si>
    <t>NL0011821392</t>
  </si>
  <si>
    <t>IT0005278236</t>
  </si>
  <si>
    <t>ES0113211835</t>
  </si>
  <si>
    <t>IT0000072618</t>
  </si>
  <si>
    <t>DE000ENER6Y0</t>
  </si>
  <si>
    <t>FR0000131104</t>
  </si>
  <si>
    <t>FR0000120628</t>
  </si>
  <si>
    <t>FI4000297767</t>
  </si>
  <si>
    <t>IT0000062072</t>
  </si>
  <si>
    <t>ES0140609019</t>
  </si>
  <si>
    <t>FI4000552500</t>
  </si>
  <si>
    <t>BE0003565737</t>
  </si>
  <si>
    <t>NL0000334118</t>
  </si>
  <si>
    <t>NL0000395903</t>
  </si>
  <si>
    <t>DE000A0D9PT0</t>
  </si>
  <si>
    <t>IE00BF0L3536</t>
  </si>
  <si>
    <t>NL0011540547</t>
  </si>
  <si>
    <t>ES0113860A34</t>
  </si>
  <si>
    <t>FR0000045072</t>
  </si>
  <si>
    <t>NL0006294274</t>
  </si>
  <si>
    <t>FI0009014575</t>
  </si>
  <si>
    <t>BMG0112X1056</t>
  </si>
  <si>
    <t>DE0005200000</t>
  </si>
  <si>
    <t>DE0005439004</t>
  </si>
  <si>
    <t>LU2598331598</t>
  </si>
  <si>
    <t>BE0974464977</t>
  </si>
  <si>
    <t>AT0000606306</t>
  </si>
  <si>
    <t>NL0000379121</t>
  </si>
  <si>
    <t>IT0005090300</t>
  </si>
  <si>
    <t>FI0009004824</t>
  </si>
  <si>
    <t>IT0000062957</t>
  </si>
  <si>
    <t>ES0137650018</t>
  </si>
  <si>
    <t>DE0008430026</t>
  </si>
  <si>
    <t>NL0011821202</t>
  </si>
  <si>
    <t>DE0005140008</t>
  </si>
  <si>
    <t>AT0000BAWAG2</t>
  </si>
  <si>
    <t>ES0124244E34</t>
  </si>
  <si>
    <t>AT0000625108</t>
  </si>
  <si>
    <t>IT0005239360</t>
  </si>
  <si>
    <t>NL0013654783</t>
  </si>
  <si>
    <t>AT0000652011</t>
  </si>
  <si>
    <t>DE000CBK1001</t>
  </si>
  <si>
    <t>IT0005508921</t>
  </si>
  <si>
    <t>NL0010773842</t>
  </si>
  <si>
    <t>DE0008402215</t>
  </si>
  <si>
    <t>IT0000066123</t>
  </si>
  <si>
    <t>IT0005218380</t>
  </si>
  <si>
    <t>IE00BD1RP616</t>
  </si>
  <si>
    <t>IT0003796171</t>
  </si>
  <si>
    <t>BE0974264930</t>
  </si>
  <si>
    <t>ES0113679I37</t>
  </si>
  <si>
    <t>IT0004810054</t>
  </si>
  <si>
    <t>PTBCP0AM0015</t>
  </si>
  <si>
    <t>FR0010411983</t>
  </si>
  <si>
    <t>FR0013258662</t>
  </si>
  <si>
    <t>FR0000120073</t>
  </si>
  <si>
    <t>DE000A1ML7J1</t>
  </si>
  <si>
    <t>FR0014000MR3</t>
  </si>
  <si>
    <t>FR0013154002</t>
  </si>
  <si>
    <t>DE0007165631</t>
  </si>
  <si>
    <t>FR0010533075</t>
  </si>
  <si>
    <t>FR0012435121</t>
  </si>
  <si>
    <t>BE0003593044</t>
  </si>
  <si>
    <t>LU1673108939</t>
  </si>
  <si>
    <t>FR0000121204</t>
  </si>
  <si>
    <t>BE0974349814</t>
  </si>
  <si>
    <t>DE000A0Z2ZZ5</t>
  </si>
  <si>
    <t>DE0007010803</t>
  </si>
  <si>
    <t>DE0008303504</t>
  </si>
  <si>
    <t>LU2290522684</t>
  </si>
  <si>
    <t>FR0000121014</t>
  </si>
  <si>
    <t>ES0113900J37</t>
  </si>
  <si>
    <t>FR0000120321</t>
  </si>
  <si>
    <t>FR0000125486</t>
  </si>
  <si>
    <t>DE0006231004</t>
  </si>
  <si>
    <t>DE0005810055</t>
  </si>
  <si>
    <t>DE000BASF111</t>
  </si>
  <si>
    <t>FR0000130809</t>
  </si>
  <si>
    <t>DE000ENAG999</t>
  </si>
  <si>
    <t>NL0011794037</t>
  </si>
  <si>
    <t>FI0009000681</t>
  </si>
  <si>
    <t>NL0015001FS8</t>
  </si>
  <si>
    <t>DE0005190003</t>
  </si>
  <si>
    <t>FR0000130577</t>
  </si>
  <si>
    <t>LU1598757687</t>
  </si>
  <si>
    <t>IE0004906560</t>
  </si>
  <si>
    <t>IT0000072170</t>
  </si>
  <si>
    <t>FI0009003727</t>
  </si>
  <si>
    <t>IT0004965148</t>
  </si>
  <si>
    <t>NL0012866412</t>
  </si>
  <si>
    <t>DE0008232125</t>
  </si>
  <si>
    <t>FR0011726835</t>
  </si>
  <si>
    <t>DE000A12DM80</t>
  </si>
  <si>
    <t>DE000SHA0100</t>
  </si>
  <si>
    <t>BE0003797140</t>
  </si>
  <si>
    <t>FI0009000202</t>
  </si>
  <si>
    <t>FR0000044448</t>
  </si>
  <si>
    <t>FR0004125920</t>
  </si>
  <si>
    <t>AT0000937503</t>
  </si>
  <si>
    <t>FR0000051807</t>
  </si>
  <si>
    <t>FR0010340141</t>
  </si>
  <si>
    <t>DE000TUAG505</t>
  </si>
  <si>
    <t>IT0005495657</t>
  </si>
  <si>
    <t>NL0000360618</t>
  </si>
  <si>
    <t>FI4000552526</t>
  </si>
  <si>
    <t>DE0005773303</t>
  </si>
  <si>
    <t>NL0006237562</t>
  </si>
  <si>
    <t>GB00BNTJ3546</t>
  </si>
  <si>
    <t>IT0005366767</t>
  </si>
  <si>
    <t>DE0005552004</t>
  </si>
  <si>
    <t>NL0012969182</t>
  </si>
  <si>
    <t>NL0011585146</t>
  </si>
  <si>
    <t>NL0015000IY2</t>
  </si>
  <si>
    <t>FR0000130452</t>
  </si>
  <si>
    <t>DE000TLX1005</t>
  </si>
  <si>
    <t>FR0012757854</t>
  </si>
  <si>
    <t>DE0006452907</t>
  </si>
  <si>
    <t>IT0004776628</t>
  </si>
  <si>
    <t>IT0001347308</t>
  </si>
  <si>
    <t>FR0000121220</t>
  </si>
  <si>
    <t>IT0001078911</t>
  </si>
  <si>
    <t>DE0005158703</t>
  </si>
  <si>
    <t>DE0005909006</t>
  </si>
  <si>
    <t>IT0005282865</t>
  </si>
  <si>
    <t>IT0001031084</t>
  </si>
  <si>
    <t>DE000A3E5D64</t>
  </si>
  <si>
    <t>NL0000852564</t>
  </si>
  <si>
    <t>IT0004931058</t>
  </si>
  <si>
    <t>JE00BRX98089</t>
  </si>
  <si>
    <t>IT0003261697</t>
  </si>
  <si>
    <t>DE000A2E4K43</t>
  </si>
  <si>
    <t>BE0003717312</t>
  </si>
  <si>
    <t>DE000A2LQ884</t>
  </si>
  <si>
    <t>BE0974259880</t>
  </si>
  <si>
    <t>DE000FTG1111</t>
  </si>
  <si>
    <t>IE0000669501</t>
  </si>
  <si>
    <t>LU0088087324</t>
  </si>
  <si>
    <t>BE0003851681</t>
  </si>
  <si>
    <t>FR0012333284</t>
  </si>
  <si>
    <t>DE0005470306</t>
  </si>
  <si>
    <t>BE0003764785</t>
  </si>
  <si>
    <t>AT00000VIE62</t>
  </si>
  <si>
    <t>DE0007037129</t>
  </si>
  <si>
    <t>IT0001250932</t>
  </si>
  <si>
    <t>NL0000009165</t>
  </si>
  <si>
    <t>FR0000120693</t>
  </si>
  <si>
    <t>NL0015435975</t>
  </si>
  <si>
    <t>NL0000235190</t>
  </si>
  <si>
    <t>ES0144580Y14</t>
  </si>
  <si>
    <t>DE0005557508</t>
  </si>
  <si>
    <t>FR0000073272</t>
  </si>
  <si>
    <t>IT0003128367</t>
  </si>
  <si>
    <t>DE0007100000</t>
  </si>
  <si>
    <t>FR0010208488</t>
  </si>
  <si>
    <t>FR0000121329</t>
  </si>
  <si>
    <t>DE0007664039</t>
  </si>
  <si>
    <t>IT0003856405</t>
  </si>
  <si>
    <t>FR0000124141</t>
  </si>
  <si>
    <t>NL00150001Q9</t>
  </si>
  <si>
    <t>DE000DTR0CK8</t>
  </si>
  <si>
    <t>ES0167050915</t>
  </si>
  <si>
    <t>PTEDP0AM0009</t>
  </si>
  <si>
    <t>FR0000120172</t>
  </si>
  <si>
    <t>FR0000120503</t>
  </si>
  <si>
    <t>FR0000131906</t>
  </si>
  <si>
    <t>FI0009005961</t>
  </si>
  <si>
    <t>DE000PAH0038</t>
  </si>
  <si>
    <t>DE000PAG9113</t>
  </si>
  <si>
    <t>DE0007500001</t>
  </si>
  <si>
    <t>DE0006070006</t>
  </si>
  <si>
    <t>ES0125220311</t>
  </si>
  <si>
    <t>ES0118594417</t>
  </si>
  <si>
    <t>NL0015000LU4</t>
  </si>
  <si>
    <t>FR0013451333</t>
  </si>
  <si>
    <t>FR0000039299</t>
  </si>
  <si>
    <t>FR0000071946</t>
  </si>
  <si>
    <t>DE000HAG0005</t>
  </si>
  <si>
    <t>BE0974293251</t>
  </si>
  <si>
    <t>IE00BYTBXV33</t>
  </si>
  <si>
    <t>FR0014004L86</t>
  </si>
  <si>
    <t>BE0003604155</t>
  </si>
  <si>
    <t>IT0004764699</t>
  </si>
  <si>
    <t>IT0003115950</t>
  </si>
  <si>
    <t>NL0012059018</t>
  </si>
  <si>
    <t>AT0000743059</t>
  </si>
  <si>
    <t>PTGAL0AM0009</t>
  </si>
  <si>
    <t>FI0009013296</t>
  </si>
  <si>
    <t>NL0014559478</t>
  </si>
  <si>
    <t>FR0013269123</t>
  </si>
  <si>
    <t>GB00BP6MXD84</t>
  </si>
  <si>
    <t>FR0000120271</t>
  </si>
  <si>
    <t>IT0003132476</t>
  </si>
  <si>
    <t>DE000BAY0017</t>
  </si>
  <si>
    <t>NL0000009538</t>
  </si>
  <si>
    <t>ES0173516115</t>
  </si>
  <si>
    <t>DE0007030009</t>
  </si>
  <si>
    <t>WBAH</t>
  </si>
  <si>
    <t>XLIS</t>
  </si>
  <si>
    <t>MICCT.AS</t>
  </si>
  <si>
    <t>LTMC.MI</t>
  </si>
  <si>
    <t>R3NK.DE</t>
  </si>
  <si>
    <t>TKMS.DE</t>
  </si>
  <si>
    <t>HLAN.AS</t>
  </si>
  <si>
    <t>CTPNV.AS</t>
  </si>
  <si>
    <t>BAMN.AS</t>
  </si>
  <si>
    <t>AMV0n.DE</t>
  </si>
  <si>
    <t>VERB.VI</t>
  </si>
  <si>
    <t>EDPR.LS</t>
  </si>
  <si>
    <t>NAFG.DE</t>
  </si>
  <si>
    <t>REL.AS</t>
  </si>
  <si>
    <t>SGOB.PA</t>
  </si>
  <si>
    <t>KPN.AS</t>
  </si>
  <si>
    <t>SHLG.DE</t>
  </si>
  <si>
    <t>URW.PA</t>
  </si>
  <si>
    <t>ELE.MC</t>
  </si>
  <si>
    <t>FORTUM.HE</t>
  </si>
  <si>
    <t>LOIM.PA</t>
  </si>
  <si>
    <t>KGX.DE</t>
  </si>
  <si>
    <t>CVO.PA</t>
  </si>
  <si>
    <t>UMI.BR</t>
  </si>
  <si>
    <t>QIA.DE</t>
  </si>
  <si>
    <t>TUB.BR</t>
  </si>
  <si>
    <t>GFCP.PA</t>
  </si>
  <si>
    <t>NDXG.DE</t>
  </si>
  <si>
    <t>LEGn.DE</t>
  </si>
  <si>
    <t>SASY.PA</t>
  </si>
  <si>
    <t>ESLX.PA</t>
  </si>
  <si>
    <t>UCB.BR</t>
  </si>
  <si>
    <t>FREG.DE</t>
  </si>
  <si>
    <t>MRCG.DE</t>
  </si>
  <si>
    <t>TEF.MC</t>
  </si>
  <si>
    <t>ORNBV.HE</t>
  </si>
  <si>
    <t>TLIT.MI</t>
  </si>
  <si>
    <t>BIOX.PA</t>
  </si>
  <si>
    <t>GRLS.MC</t>
  </si>
  <si>
    <t>ANDR.VI</t>
  </si>
  <si>
    <t>KSP.I</t>
  </si>
  <si>
    <t>FMEG.DE</t>
  </si>
  <si>
    <t>MRL.MC</t>
  </si>
  <si>
    <t>IPN.PA</t>
  </si>
  <si>
    <t>ARGX.BR</t>
  </si>
  <si>
    <t>RECI.MI</t>
  </si>
  <si>
    <t>CAPP.PA</t>
  </si>
  <si>
    <t>TRN.MI</t>
  </si>
  <si>
    <t>IG.MI</t>
  </si>
  <si>
    <t>REDE.MC</t>
  </si>
  <si>
    <t>ASML.AS</t>
  </si>
  <si>
    <t>SAPG.DE</t>
  </si>
  <si>
    <t>SIEGn.DE</t>
  </si>
  <si>
    <t>ULVR.AS</t>
  </si>
  <si>
    <t>SCHN.PA</t>
  </si>
  <si>
    <t>HRMS.PA</t>
  </si>
  <si>
    <t>DANO.PA</t>
  </si>
  <si>
    <t>ITX.MC</t>
  </si>
  <si>
    <t>LEGD.PA</t>
  </si>
  <si>
    <t>AMA.MC</t>
  </si>
  <si>
    <t>ADSGn.DE</t>
  </si>
  <si>
    <t>HEIG.DE</t>
  </si>
  <si>
    <t>ORAN.PA</t>
  </si>
  <si>
    <t>PRY.MI</t>
  </si>
  <si>
    <t>KNEBV.HE</t>
  </si>
  <si>
    <t>PRTP.PA</t>
  </si>
  <si>
    <t>MICP.PA</t>
  </si>
  <si>
    <t>AENA.MC</t>
  </si>
  <si>
    <t>DAST.PA</t>
  </si>
  <si>
    <t>CLNX.MC</t>
  </si>
  <si>
    <t>DSFIR.AS</t>
  </si>
  <si>
    <t>UPM.HE</t>
  </si>
  <si>
    <t>STMPA.PA</t>
  </si>
  <si>
    <t>SRG.MI</t>
  </si>
  <si>
    <t>HNKG_p.DE</t>
  </si>
  <si>
    <t>SY1G.DE</t>
  </si>
  <si>
    <t>BVI.PA</t>
  </si>
  <si>
    <t>G1AG.DE</t>
  </si>
  <si>
    <t>ASRNL.AS</t>
  </si>
  <si>
    <t>ACCP.PA</t>
  </si>
  <si>
    <t>ALSO.PA</t>
  </si>
  <si>
    <t>RXL.PA</t>
  </si>
  <si>
    <t>NTGY.MC</t>
  </si>
  <si>
    <t>JMT.LS</t>
  </si>
  <si>
    <t>BNRGn.DE</t>
  </si>
  <si>
    <t>KCRA.HE</t>
  </si>
  <si>
    <t>ELISA.HE</t>
  </si>
  <si>
    <t>KBX.DE</t>
  </si>
  <si>
    <t>ZALG.DE</t>
  </si>
  <si>
    <t>ELI.BR</t>
  </si>
  <si>
    <t>JDEP.AS</t>
  </si>
  <si>
    <t>EDEN.PA</t>
  </si>
  <si>
    <t>IMCD.AS</t>
  </si>
  <si>
    <t>VALMT.HE</t>
  </si>
  <si>
    <t>A2.MI</t>
  </si>
  <si>
    <t>EVKn.DE</t>
  </si>
  <si>
    <t>ENAG.MC</t>
  </si>
  <si>
    <t>WBSV.VI</t>
  </si>
  <si>
    <t>HUH1V.HE</t>
  </si>
  <si>
    <t>AKE.PA</t>
  </si>
  <si>
    <t>EURA.PA</t>
  </si>
  <si>
    <t>VLLP.PA</t>
  </si>
  <si>
    <t>VLOF.PA</t>
  </si>
  <si>
    <t>ACX.MC</t>
  </si>
  <si>
    <t>LIGHT.AS</t>
  </si>
  <si>
    <t>PIRC.MI</t>
  </si>
  <si>
    <t>ALVG.DE</t>
  </si>
  <si>
    <t>BBVA.MC</t>
  </si>
  <si>
    <t>ISP.MI</t>
  </si>
  <si>
    <t>ENR1n.DE</t>
  </si>
  <si>
    <t>BNPP.PA</t>
  </si>
  <si>
    <t>AXAF.PA</t>
  </si>
  <si>
    <t>NDAFI.HE</t>
  </si>
  <si>
    <t>GASI.MI</t>
  </si>
  <si>
    <t>CABK.MC</t>
  </si>
  <si>
    <t>SAMPO.HE</t>
  </si>
  <si>
    <t>KBC.BR</t>
  </si>
  <si>
    <t>ASMI.AS</t>
  </si>
  <si>
    <t>WLSNc.AS</t>
  </si>
  <si>
    <t>MTXGn.DE</t>
  </si>
  <si>
    <t>AIBG.I</t>
  </si>
  <si>
    <t>ABNd.AS</t>
  </si>
  <si>
    <t>SABE.MC</t>
  </si>
  <si>
    <t>CAGR.PA</t>
  </si>
  <si>
    <t>ENX.PA</t>
  </si>
  <si>
    <t>AKZO.AS</t>
  </si>
  <si>
    <t>METSO.HE</t>
  </si>
  <si>
    <t>AEGN.AS</t>
  </si>
  <si>
    <t>BEIG.DE</t>
  </si>
  <si>
    <t>CONG.DE</t>
  </si>
  <si>
    <t>TENR.MI</t>
  </si>
  <si>
    <t>SYENS.BR</t>
  </si>
  <si>
    <t>RBIV.VI</t>
  </si>
  <si>
    <t>RAND.AS</t>
  </si>
  <si>
    <t>INWT.MI</t>
  </si>
  <si>
    <t>KEMIRA.HE</t>
  </si>
  <si>
    <t>MDBI.MI</t>
  </si>
  <si>
    <t>FLUI.MC</t>
  </si>
  <si>
    <t>MUVGn.DE</t>
  </si>
  <si>
    <t>INGA.AS</t>
  </si>
  <si>
    <t>DBKGn.DE</t>
  </si>
  <si>
    <t>BAWG.VI</t>
  </si>
  <si>
    <t>MAP.MC</t>
  </si>
  <si>
    <t>OBER.VI</t>
  </si>
  <si>
    <t>CRDI.MI</t>
  </si>
  <si>
    <t>PRX.AS</t>
  </si>
  <si>
    <t>ERST.VI</t>
  </si>
  <si>
    <t>CBKG.DE</t>
  </si>
  <si>
    <t>BMPS.MI</t>
  </si>
  <si>
    <t>NN.AS</t>
  </si>
  <si>
    <t>HNRGn.DE</t>
  </si>
  <si>
    <t>EMII.MI</t>
  </si>
  <si>
    <t>BAMI.MI</t>
  </si>
  <si>
    <t>BIRG.I</t>
  </si>
  <si>
    <t>PST.MI</t>
  </si>
  <si>
    <t>AGES.BR</t>
  </si>
  <si>
    <t>BKT.MC</t>
  </si>
  <si>
    <t>UNPI.MI</t>
  </si>
  <si>
    <t>BCP.LS</t>
  </si>
  <si>
    <t>SCOR.PA</t>
  </si>
  <si>
    <t>AYV.PA</t>
  </si>
  <si>
    <t>AIRP.PA</t>
  </si>
  <si>
    <t>VNAn.DE</t>
  </si>
  <si>
    <t>EUFI.PA</t>
  </si>
  <si>
    <t>STDM.PA</t>
  </si>
  <si>
    <t>SATG_p.DE</t>
  </si>
  <si>
    <t>GETP.PA</t>
  </si>
  <si>
    <t>ELIS.PA</t>
  </si>
  <si>
    <t>COFB.BR</t>
  </si>
  <si>
    <t>AT1.DE</t>
  </si>
  <si>
    <t>MWDP.PA</t>
  </si>
  <si>
    <t>WDPP.BR</t>
  </si>
  <si>
    <t>FNTGn.DE</t>
  </si>
  <si>
    <t>RAAG.DE</t>
  </si>
  <si>
    <t>TEGG.DE</t>
  </si>
  <si>
    <t>INPST.AS</t>
  </si>
  <si>
    <t>LVMH.PA</t>
  </si>
  <si>
    <t>SAN.MC</t>
  </si>
  <si>
    <t>OREP.PA</t>
  </si>
  <si>
    <t>SGEF.PA</t>
  </si>
  <si>
    <t>IFXGn.DE</t>
  </si>
  <si>
    <t>DB1Gn.DE</t>
  </si>
  <si>
    <t>BASFn.DE</t>
  </si>
  <si>
    <t>SOGN.PA</t>
  </si>
  <si>
    <t>EONGn.DE</t>
  </si>
  <si>
    <t>AD.AS</t>
  </si>
  <si>
    <t>NOKIA.HE</t>
  </si>
  <si>
    <t>FER.MC</t>
  </si>
  <si>
    <t>BMWG.DE</t>
  </si>
  <si>
    <t>PUBP.PA</t>
  </si>
  <si>
    <t>MT.AS</t>
  </si>
  <si>
    <t>KYGa.I</t>
  </si>
  <si>
    <t>FBK.MI</t>
  </si>
  <si>
    <t>WRT1V.HE</t>
  </si>
  <si>
    <t>MONC.MI</t>
  </si>
  <si>
    <t>BESI.AS</t>
  </si>
  <si>
    <t>LHAG.DE</t>
  </si>
  <si>
    <t>GTT.PA</t>
  </si>
  <si>
    <t>G24n.DE</t>
  </si>
  <si>
    <t>SHA0n.DE</t>
  </si>
  <si>
    <t>GBLB.BR</t>
  </si>
  <si>
    <t>KESKOB.HE</t>
  </si>
  <si>
    <t>NEXS.PA</t>
  </si>
  <si>
    <t>AMUN.PA</t>
  </si>
  <si>
    <t>VOES.VI</t>
  </si>
  <si>
    <t>TEPRF.PA</t>
  </si>
  <si>
    <t>ADP.PA</t>
  </si>
  <si>
    <t>TUI1n.DE</t>
  </si>
  <si>
    <t>SPMI.MI</t>
  </si>
  <si>
    <t>SBMO.AS</t>
  </si>
  <si>
    <t>MANTA.HE</t>
  </si>
  <si>
    <t>FRAG.DE</t>
  </si>
  <si>
    <t>ARDS.AS</t>
  </si>
  <si>
    <t>ALLFG.AS</t>
  </si>
  <si>
    <t>NEXII.MI</t>
  </si>
  <si>
    <t>DHLn.DE</t>
  </si>
  <si>
    <t>ADYEN.AS</t>
  </si>
  <si>
    <t>RACE.MI</t>
  </si>
  <si>
    <t>UMG.AS</t>
  </si>
  <si>
    <t>FOUG.PA</t>
  </si>
  <si>
    <t>TLXGn.DE</t>
  </si>
  <si>
    <t>SPIE.PA</t>
  </si>
  <si>
    <t>NEKG.DE</t>
  </si>
  <si>
    <t>BMED.MI</t>
  </si>
  <si>
    <t>BZU.MI</t>
  </si>
  <si>
    <t>EXHO.PA</t>
  </si>
  <si>
    <t>ITPG.MI</t>
  </si>
  <si>
    <t>BC8G.DE</t>
  </si>
  <si>
    <t>GBFG.DE</t>
  </si>
  <si>
    <t>REY.MI</t>
  </si>
  <si>
    <t>BGN.MI</t>
  </si>
  <si>
    <t>FPE3_p.DE</t>
  </si>
  <si>
    <t>AALB.AS</t>
  </si>
  <si>
    <t>MTCM.MI</t>
  </si>
  <si>
    <t>CVC.AS</t>
  </si>
  <si>
    <t>AZMT.MI</t>
  </si>
  <si>
    <t>DHER.DE</t>
  </si>
  <si>
    <t>SOF.BR</t>
  </si>
  <si>
    <t>AG1G.DE</t>
  </si>
  <si>
    <t>IETB.BR</t>
  </si>
  <si>
    <t>FTKn.DE</t>
  </si>
  <si>
    <t>GL9.I</t>
  </si>
  <si>
    <t>SESFd.PA</t>
  </si>
  <si>
    <t>AOO.BR</t>
  </si>
  <si>
    <t>ABVX.PA</t>
  </si>
  <si>
    <t>EVDG.DE</t>
  </si>
  <si>
    <t>ACKB.BR</t>
  </si>
  <si>
    <t>RWEG.DE</t>
  </si>
  <si>
    <t>HRA.MI</t>
  </si>
  <si>
    <t>HEIN.AS</t>
  </si>
  <si>
    <t>PERP.PA</t>
  </si>
  <si>
    <t>CPRI.MI</t>
  </si>
  <si>
    <t>AIR.PA</t>
  </si>
  <si>
    <t>IBE.MC</t>
  </si>
  <si>
    <t>DTEGn.DE</t>
  </si>
  <si>
    <t>SAF.PA</t>
  </si>
  <si>
    <t>ENEI.MI</t>
  </si>
  <si>
    <t>MBGn.DE</t>
  </si>
  <si>
    <t>ENGIE.PA</t>
  </si>
  <si>
    <t>TCFP.PA</t>
  </si>
  <si>
    <t>VOWG_p.DE</t>
  </si>
  <si>
    <t>LDOF.MI</t>
  </si>
  <si>
    <t>VIE.PA</t>
  </si>
  <si>
    <t>STLAM.MI</t>
  </si>
  <si>
    <t>DTGGe.DE</t>
  </si>
  <si>
    <t>ACS.MC</t>
  </si>
  <si>
    <t>EDP.LS</t>
  </si>
  <si>
    <t>CARR.PA</t>
  </si>
  <si>
    <t>BOUY.PA</t>
  </si>
  <si>
    <t>RENA.PA</t>
  </si>
  <si>
    <t>STERV.HE</t>
  </si>
  <si>
    <t>PSHG_p.DE</t>
  </si>
  <si>
    <t>P911_p.DE</t>
  </si>
  <si>
    <t>TKAG.DE</t>
  </si>
  <si>
    <t>HOTG.DE</t>
  </si>
  <si>
    <t>ANA.MC</t>
  </si>
  <si>
    <t>IDR.MC</t>
  </si>
  <si>
    <t>IVG.MI</t>
  </si>
  <si>
    <t>FDJU.PA</t>
  </si>
  <si>
    <t>BOLL.PA</t>
  </si>
  <si>
    <t>LTEN.PA</t>
  </si>
  <si>
    <t>HAGG.DE</t>
  </si>
  <si>
    <t>ABI.BR</t>
  </si>
  <si>
    <t>RYA.I</t>
  </si>
  <si>
    <t>AM.PA</t>
  </si>
  <si>
    <t>LOTB.BR</t>
  </si>
  <si>
    <t>BCU.MI</t>
  </si>
  <si>
    <t>DLG.MI</t>
  </si>
  <si>
    <t>EXOR.AS</t>
  </si>
  <si>
    <t>OMVV.VI</t>
  </si>
  <si>
    <t>GALP.LS</t>
  </si>
  <si>
    <t>NESTE.HE</t>
  </si>
  <si>
    <t>TE.PA</t>
  </si>
  <si>
    <t>RUBF.PA</t>
  </si>
  <si>
    <t>SHEL.AS</t>
  </si>
  <si>
    <t>TTEF.PA</t>
  </si>
  <si>
    <t>ENI.MI</t>
  </si>
  <si>
    <t>BAYGn.DE</t>
  </si>
  <si>
    <t>PHG.AS</t>
  </si>
  <si>
    <t>REP.MC</t>
  </si>
  <si>
    <t>RHMG.DE</t>
  </si>
  <si>
    <t>committed</t>
  </si>
  <si>
    <t>positive</t>
  </si>
  <si>
    <t>neutral</t>
  </si>
  <si>
    <t>risk</t>
  </si>
  <si>
    <t>negative</t>
  </si>
  <si>
    <t>Excluded: 100 days avg turnover &lt; EUR 22M; Excluded: Opinion negative/risk/empty</t>
  </si>
  <si>
    <t>Excluded: Opinion negative/risk/empty</t>
  </si>
  <si>
    <t>Excluded: FFMC &lt; EUR 3B; Excluded: 100 days avg turnover &lt; EUR 22M; Excluded: Opinion negative/risk/empty</t>
  </si>
  <si>
    <t>Excluded: 100 days avg turnover &lt; EUR 22M</t>
  </si>
  <si>
    <t>Excluded: FFMC &lt; EUR 3B; Excluded: 100 days avg turnover &lt; EUR 22M</t>
  </si>
  <si>
    <t>Excluded: FFMC &lt; EUR 3B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</si>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</sst>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Review%20Files\202512\Preliminary%20Checks\Dataiku%20outputs\ERI5P_EMS_2025-12-11_2025-12-11-22-59-37.xlsx" TargetMode="External"/><Relationship Id="rId1" Type="http://schemas.openxmlformats.org/officeDocument/2006/relationships/externalLinkPath" Target="file:///V:\PM-Indices-IndexOperations\Review%20Files\202512\Preliminary%20Checks\Dataiku%20outputs\ERI5P_EMS_2025-12-11_2025-12-11-22-59-3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FR0000120404</v>
          </cell>
          <cell r="D2">
            <v>600687</v>
          </cell>
        </row>
        <row r="3">
          <cell r="B3" t="str">
            <v>DE000A1EWWW0</v>
          </cell>
          <cell r="D3">
            <v>168960</v>
          </cell>
        </row>
        <row r="4">
          <cell r="B4" t="str">
            <v>ES0105046017</v>
          </cell>
          <cell r="D4">
            <v>1191574</v>
          </cell>
        </row>
        <row r="5">
          <cell r="B5" t="str">
            <v>DE0008404005</v>
          </cell>
          <cell r="D5">
            <v>72270</v>
          </cell>
        </row>
        <row r="6">
          <cell r="B6" t="str">
            <v>ES0109067019</v>
          </cell>
          <cell r="D6">
            <v>448477</v>
          </cell>
        </row>
        <row r="7">
          <cell r="B7" t="str">
            <v>NL0010832176</v>
          </cell>
          <cell r="D7">
            <v>36670</v>
          </cell>
        </row>
        <row r="8">
          <cell r="B8" t="str">
            <v>NL0010273215</v>
          </cell>
          <cell r="D8">
            <v>29495</v>
          </cell>
        </row>
        <row r="9">
          <cell r="B9" t="str">
            <v>NL0011872643</v>
          </cell>
          <cell r="D9">
            <v>472612</v>
          </cell>
        </row>
        <row r="10">
          <cell r="B10" t="str">
            <v>FR0006174348</v>
          </cell>
          <cell r="D10">
            <v>1067375</v>
          </cell>
        </row>
        <row r="11">
          <cell r="B11" t="str">
            <v>FR0000125338</v>
          </cell>
          <cell r="D11">
            <v>182758</v>
          </cell>
        </row>
        <row r="12">
          <cell r="B12" t="str">
            <v>ES0105066007</v>
          </cell>
          <cell r="D12">
            <v>1094744</v>
          </cell>
        </row>
        <row r="13">
          <cell r="B13" t="str">
            <v>FR0000120644</v>
          </cell>
          <cell r="D13">
            <v>366311</v>
          </cell>
        </row>
        <row r="14">
          <cell r="B14" t="str">
            <v>FR0014003TT8</v>
          </cell>
          <cell r="D14">
            <v>1199816</v>
          </cell>
        </row>
        <row r="15">
          <cell r="B15" t="str">
            <v>CH1216478797</v>
          </cell>
          <cell r="D15">
            <v>408114</v>
          </cell>
        </row>
        <row r="16">
          <cell r="B16" t="str">
            <v>FR0000121667</v>
          </cell>
          <cell r="D16">
            <v>97409</v>
          </cell>
        </row>
        <row r="17">
          <cell r="B17" t="str">
            <v>DE0005785802</v>
          </cell>
          <cell r="D17">
            <v>695184</v>
          </cell>
        </row>
        <row r="18">
          <cell r="B18" t="str">
            <v>DE0005785604</v>
          </cell>
          <cell r="D18">
            <v>579248</v>
          </cell>
        </row>
        <row r="19">
          <cell r="B19" t="str">
            <v>DE0006047004</v>
          </cell>
          <cell r="D19">
            <v>123506</v>
          </cell>
        </row>
        <row r="20">
          <cell r="B20" t="str">
            <v>DE0006048432</v>
          </cell>
          <cell r="D20">
            <v>395549</v>
          </cell>
        </row>
        <row r="21">
          <cell r="B21" t="str">
            <v>FR0000052292</v>
          </cell>
          <cell r="D21">
            <v>13023</v>
          </cell>
        </row>
        <row r="22">
          <cell r="B22" t="str">
            <v>NL0010801007</v>
          </cell>
          <cell r="D22">
            <v>365636</v>
          </cell>
        </row>
        <row r="23">
          <cell r="B23" t="str">
            <v>ES0148396007</v>
          </cell>
          <cell r="D23">
            <v>503844</v>
          </cell>
        </row>
        <row r="24">
          <cell r="B24" t="str">
            <v>FR0000121485</v>
          </cell>
          <cell r="D24">
            <v>95089</v>
          </cell>
        </row>
        <row r="25">
          <cell r="B25" t="str">
            <v>IE0004927939</v>
          </cell>
          <cell r="D25">
            <v>368549</v>
          </cell>
        </row>
        <row r="26">
          <cell r="B26" t="str">
            <v>FI0009013403</v>
          </cell>
          <cell r="D26">
            <v>471167</v>
          </cell>
        </row>
        <row r="27">
          <cell r="B27" t="str">
            <v>NL0000009082</v>
          </cell>
          <cell r="D27">
            <v>7185849</v>
          </cell>
        </row>
        <row r="28">
          <cell r="B28" t="str">
            <v>FR0010307819</v>
          </cell>
          <cell r="D28">
            <v>220866</v>
          </cell>
        </row>
        <row r="29">
          <cell r="B29" t="str">
            <v>DE0006599905</v>
          </cell>
          <cell r="D29">
            <v>233012</v>
          </cell>
        </row>
        <row r="30">
          <cell r="B30" t="str">
            <v>FR001400AJ45</v>
          </cell>
          <cell r="D30">
            <v>995043</v>
          </cell>
        </row>
        <row r="31">
          <cell r="B31" t="str">
            <v>ES0116870314</v>
          </cell>
          <cell r="D31">
            <v>1136435</v>
          </cell>
        </row>
        <row r="32">
          <cell r="B32" t="str">
            <v>FR0000133308</v>
          </cell>
          <cell r="D32">
            <v>2020513</v>
          </cell>
        </row>
        <row r="33">
          <cell r="B33" t="str">
            <v>IT0004176001</v>
          </cell>
          <cell r="D33">
            <v>330693</v>
          </cell>
        </row>
        <row r="34">
          <cell r="B34" t="str">
            <v>GB00B2B0DG97</v>
          </cell>
          <cell r="D34">
            <v>809561</v>
          </cell>
        </row>
        <row r="35">
          <cell r="B35" t="str">
            <v>FR0000125007</v>
          </cell>
          <cell r="D35">
            <v>318473</v>
          </cell>
        </row>
        <row r="36">
          <cell r="B36" t="str">
            <v>FR0000120578</v>
          </cell>
          <cell r="D36">
            <v>331800</v>
          </cell>
        </row>
        <row r="37">
          <cell r="B37" t="str">
            <v>DE0007164600</v>
          </cell>
          <cell r="D37">
            <v>132593</v>
          </cell>
        </row>
        <row r="38">
          <cell r="B38" t="str">
            <v>FR0000121972</v>
          </cell>
          <cell r="D38">
            <v>116043</v>
          </cell>
        </row>
        <row r="39">
          <cell r="B39" t="str">
            <v>DE0007236101</v>
          </cell>
          <cell r="D39">
            <v>116189</v>
          </cell>
        </row>
        <row r="40">
          <cell r="B40" t="str">
            <v>DE000SHL1006</v>
          </cell>
          <cell r="D40">
            <v>636216</v>
          </cell>
        </row>
        <row r="41">
          <cell r="B41" t="str">
            <v>IT0003153415</v>
          </cell>
          <cell r="D41">
            <v>5034788</v>
          </cell>
        </row>
        <row r="42">
          <cell r="B42" t="str">
            <v>NL0000226223</v>
          </cell>
          <cell r="D42">
            <v>1261730</v>
          </cell>
        </row>
        <row r="43">
          <cell r="B43" t="str">
            <v>DE000SYM9999</v>
          </cell>
          <cell r="D43">
            <v>414824</v>
          </cell>
        </row>
        <row r="44">
          <cell r="B44" t="str">
            <v>IT0003497168</v>
          </cell>
          <cell r="D44">
            <v>56613118</v>
          </cell>
        </row>
        <row r="45">
          <cell r="B45" t="str">
            <v>ES0178430E18</v>
          </cell>
          <cell r="D45">
            <v>7557666</v>
          </cell>
        </row>
        <row r="46">
          <cell r="B46" t="str">
            <v>IT0003242622</v>
          </cell>
          <cell r="D46">
            <v>3186194</v>
          </cell>
        </row>
        <row r="47">
          <cell r="B47" t="str">
            <v>BE0003739530</v>
          </cell>
          <cell r="D47">
            <v>115296</v>
          </cell>
        </row>
        <row r="48">
          <cell r="B48" t="str">
            <v>FR0013326246</v>
          </cell>
          <cell r="D48">
            <v>306717</v>
          </cell>
        </row>
        <row r="49">
          <cell r="B49" t="str">
            <v>GB00BVZK7T90</v>
          </cell>
          <cell r="D49">
            <v>500122</v>
          </cell>
        </row>
        <row r="50">
          <cell r="B50" t="str">
            <v>FI0009005987</v>
          </cell>
          <cell r="D50">
            <v>1170960</v>
          </cell>
        </row>
        <row r="51">
          <cell r="B51" t="str">
            <v>DE000ZAL1111</v>
          </cell>
          <cell r="D51">
            <v>1203458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topLeftCell="D2" workbookViewId="0">
      <selection activeCell="D2" sqref="D2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25">
      <c r="A2" t="s">
        <v>8</v>
      </c>
      <c r="B2" t="s">
        <v>58</v>
      </c>
      <c r="C2" t="s">
        <v>108</v>
      </c>
      <c r="D2">
        <v>600687</v>
      </c>
      <c r="E2">
        <v>1</v>
      </c>
      <c r="F2">
        <v>1</v>
      </c>
      <c r="G2" t="s">
        <v>116</v>
      </c>
      <c r="H2" t="s">
        <v>117</v>
      </c>
      <c r="I2" t="b">
        <f>ISNUMBER(MATCH(B2,[1]selection!$B$2:$B$51,0))</f>
        <v>1</v>
      </c>
      <c r="J2" t="b">
        <f>D2=[1]selection!D2</f>
        <v>1</v>
      </c>
    </row>
    <row r="3" spans="1:10" x14ac:dyDescent="0.25">
      <c r="A3" t="s">
        <v>9</v>
      </c>
      <c r="B3" t="s">
        <v>59</v>
      </c>
      <c r="C3" t="s">
        <v>109</v>
      </c>
      <c r="D3">
        <v>168960</v>
      </c>
      <c r="E3">
        <v>1</v>
      </c>
      <c r="F3">
        <v>1</v>
      </c>
      <c r="G3" t="s">
        <v>116</v>
      </c>
      <c r="H3" t="s">
        <v>117</v>
      </c>
      <c r="I3" t="b">
        <f>ISNUMBER(MATCH(B3,[1]selection!$B$2:$B$51,0))</f>
        <v>1</v>
      </c>
      <c r="J3" t="b">
        <f>D3=[1]selection!D3</f>
        <v>1</v>
      </c>
    </row>
    <row r="4" spans="1:10" x14ac:dyDescent="0.25">
      <c r="A4" t="s">
        <v>10</v>
      </c>
      <c r="B4" t="s">
        <v>60</v>
      </c>
      <c r="C4" t="s">
        <v>110</v>
      </c>
      <c r="D4">
        <v>1191574</v>
      </c>
      <c r="E4">
        <v>1</v>
      </c>
      <c r="F4">
        <v>1</v>
      </c>
      <c r="G4" t="s">
        <v>116</v>
      </c>
      <c r="H4" t="s">
        <v>117</v>
      </c>
      <c r="I4" t="b">
        <f>ISNUMBER(MATCH(B4,[1]selection!$B$2:$B$51,0))</f>
        <v>1</v>
      </c>
      <c r="J4" t="b">
        <f>D4=[1]selection!D4</f>
        <v>1</v>
      </c>
    </row>
    <row r="5" spans="1:10" x14ac:dyDescent="0.25">
      <c r="A5" t="s">
        <v>11</v>
      </c>
      <c r="B5" t="s">
        <v>61</v>
      </c>
      <c r="C5" t="s">
        <v>109</v>
      </c>
      <c r="D5">
        <v>72270</v>
      </c>
      <c r="E5">
        <v>1</v>
      </c>
      <c r="F5">
        <v>1</v>
      </c>
      <c r="G5" t="s">
        <v>116</v>
      </c>
      <c r="H5" t="s">
        <v>117</v>
      </c>
      <c r="I5" t="b">
        <f>ISNUMBER(MATCH(B5,[1]selection!$B$2:$B$51,0))</f>
        <v>1</v>
      </c>
      <c r="J5" t="b">
        <f>D5=[1]selection!D5</f>
        <v>1</v>
      </c>
    </row>
    <row r="6" spans="1:10" x14ac:dyDescent="0.25">
      <c r="A6" t="s">
        <v>12</v>
      </c>
      <c r="B6" t="s">
        <v>62</v>
      </c>
      <c r="C6" t="s">
        <v>110</v>
      </c>
      <c r="D6">
        <v>448477</v>
      </c>
      <c r="E6">
        <v>1</v>
      </c>
      <c r="F6">
        <v>1</v>
      </c>
      <c r="G6" t="s">
        <v>116</v>
      </c>
      <c r="H6" t="s">
        <v>117</v>
      </c>
      <c r="I6" t="b">
        <f>ISNUMBER(MATCH(B6,[1]selection!$B$2:$B$51,0))</f>
        <v>1</v>
      </c>
      <c r="J6" t="b">
        <f>D6=[1]selection!D6</f>
        <v>1</v>
      </c>
    </row>
    <row r="7" spans="1:10" x14ac:dyDescent="0.25">
      <c r="A7" t="s">
        <v>13</v>
      </c>
      <c r="B7" t="s">
        <v>63</v>
      </c>
      <c r="C7" t="s">
        <v>111</v>
      </c>
      <c r="D7">
        <v>36670</v>
      </c>
      <c r="E7">
        <v>1</v>
      </c>
      <c r="F7">
        <v>1</v>
      </c>
      <c r="G7" t="s">
        <v>116</v>
      </c>
      <c r="H7" t="s">
        <v>117</v>
      </c>
      <c r="I7" t="b">
        <f>ISNUMBER(MATCH(B7,[1]selection!$B$2:$B$51,0))</f>
        <v>1</v>
      </c>
      <c r="J7" t="b">
        <f>D7=[1]selection!D7</f>
        <v>1</v>
      </c>
    </row>
    <row r="8" spans="1:10" x14ac:dyDescent="0.25">
      <c r="A8" t="s">
        <v>14</v>
      </c>
      <c r="B8" t="s">
        <v>64</v>
      </c>
      <c r="C8" t="s">
        <v>112</v>
      </c>
      <c r="D8">
        <v>29495</v>
      </c>
      <c r="E8">
        <v>1</v>
      </c>
      <c r="F8">
        <v>1</v>
      </c>
      <c r="G8" t="s">
        <v>116</v>
      </c>
      <c r="H8" t="s">
        <v>117</v>
      </c>
      <c r="I8" t="b">
        <f>ISNUMBER(MATCH(B8,[1]selection!$B$2:$B$51,0))</f>
        <v>1</v>
      </c>
      <c r="J8" t="b">
        <f>D8=[1]selection!D8</f>
        <v>1</v>
      </c>
    </row>
    <row r="9" spans="1:10" x14ac:dyDescent="0.25">
      <c r="A9" t="s">
        <v>15</v>
      </c>
      <c r="B9" t="s">
        <v>65</v>
      </c>
      <c r="C9" t="s">
        <v>112</v>
      </c>
      <c r="D9">
        <v>472612</v>
      </c>
      <c r="E9">
        <v>1</v>
      </c>
      <c r="F9">
        <v>1</v>
      </c>
      <c r="G9" t="s">
        <v>116</v>
      </c>
      <c r="H9" t="s">
        <v>117</v>
      </c>
      <c r="I9" t="b">
        <f>ISNUMBER(MATCH(B9,[1]selection!$B$2:$B$51,0))</f>
        <v>1</v>
      </c>
      <c r="J9" t="b">
        <f>D9=[1]selection!D9</f>
        <v>1</v>
      </c>
    </row>
    <row r="10" spans="1:10" x14ac:dyDescent="0.25">
      <c r="A10" t="s">
        <v>16</v>
      </c>
      <c r="B10" t="s">
        <v>66</v>
      </c>
      <c r="C10" t="s">
        <v>108</v>
      </c>
      <c r="D10">
        <v>1067375</v>
      </c>
      <c r="E10">
        <v>1</v>
      </c>
      <c r="F10">
        <v>1</v>
      </c>
      <c r="G10" t="s">
        <v>116</v>
      </c>
      <c r="H10" t="s">
        <v>117</v>
      </c>
      <c r="I10" t="b">
        <f>ISNUMBER(MATCH(B10,[1]selection!$B$2:$B$51,0))</f>
        <v>1</v>
      </c>
      <c r="J10" t="b">
        <f>D10=[1]selection!D10</f>
        <v>1</v>
      </c>
    </row>
    <row r="11" spans="1:10" x14ac:dyDescent="0.25">
      <c r="A11" t="s">
        <v>17</v>
      </c>
      <c r="B11" t="s">
        <v>67</v>
      </c>
      <c r="C11" t="s">
        <v>108</v>
      </c>
      <c r="D11">
        <v>182758</v>
      </c>
      <c r="E11">
        <v>1</v>
      </c>
      <c r="F11">
        <v>1</v>
      </c>
      <c r="G11" t="s">
        <v>116</v>
      </c>
      <c r="H11" t="s">
        <v>117</v>
      </c>
      <c r="I11" t="b">
        <f>ISNUMBER(MATCH(B11,[1]selection!$B$2:$B$51,0))</f>
        <v>1</v>
      </c>
      <c r="J11" t="b">
        <f>D11=[1]selection!D11</f>
        <v>1</v>
      </c>
    </row>
    <row r="12" spans="1:10" x14ac:dyDescent="0.25">
      <c r="A12" t="s">
        <v>18</v>
      </c>
      <c r="B12" t="s">
        <v>68</v>
      </c>
      <c r="C12" t="s">
        <v>110</v>
      </c>
      <c r="D12">
        <v>1094744</v>
      </c>
      <c r="E12">
        <v>1</v>
      </c>
      <c r="F12">
        <v>1</v>
      </c>
      <c r="G12" t="s">
        <v>116</v>
      </c>
      <c r="H12" t="s">
        <v>117</v>
      </c>
      <c r="I12" t="b">
        <f>ISNUMBER(MATCH(B12,[1]selection!$B$2:$B$51,0))</f>
        <v>1</v>
      </c>
      <c r="J12" t="b">
        <f>D12=[1]selection!D12</f>
        <v>1</v>
      </c>
    </row>
    <row r="13" spans="1:10" x14ac:dyDescent="0.25">
      <c r="A13" t="s">
        <v>19</v>
      </c>
      <c r="B13" t="s">
        <v>69</v>
      </c>
      <c r="C13" t="s">
        <v>108</v>
      </c>
      <c r="D13">
        <v>366311</v>
      </c>
      <c r="E13">
        <v>1</v>
      </c>
      <c r="F13">
        <v>1</v>
      </c>
      <c r="G13" t="s">
        <v>116</v>
      </c>
      <c r="H13" t="s">
        <v>117</v>
      </c>
      <c r="I13" t="b">
        <f>ISNUMBER(MATCH(B13,[1]selection!$B$2:$B$51,0))</f>
        <v>1</v>
      </c>
      <c r="J13" t="b">
        <f>D13=[1]selection!D13</f>
        <v>1</v>
      </c>
    </row>
    <row r="14" spans="1:10" x14ac:dyDescent="0.25">
      <c r="A14" t="s">
        <v>20</v>
      </c>
      <c r="B14" t="s">
        <v>70</v>
      </c>
      <c r="C14" t="s">
        <v>108</v>
      </c>
      <c r="D14">
        <v>1199816</v>
      </c>
      <c r="E14">
        <v>1</v>
      </c>
      <c r="F14">
        <v>1</v>
      </c>
      <c r="G14" t="s">
        <v>116</v>
      </c>
      <c r="H14" t="s">
        <v>117</v>
      </c>
      <c r="I14" t="b">
        <f>ISNUMBER(MATCH(B14,[1]selection!$B$2:$B$51,0))</f>
        <v>1</v>
      </c>
      <c r="J14" t="b">
        <f>D14=[1]selection!D14</f>
        <v>1</v>
      </c>
    </row>
    <row r="15" spans="1:10" x14ac:dyDescent="0.25">
      <c r="A15" t="s">
        <v>21</v>
      </c>
      <c r="B15" t="s">
        <v>71</v>
      </c>
      <c r="C15" t="s">
        <v>112</v>
      </c>
      <c r="D15">
        <v>408114</v>
      </c>
      <c r="E15">
        <v>1</v>
      </c>
      <c r="F15">
        <v>1</v>
      </c>
      <c r="G15" t="s">
        <v>116</v>
      </c>
      <c r="H15" t="s">
        <v>117</v>
      </c>
      <c r="I15" t="b">
        <f>ISNUMBER(MATCH(B15,[1]selection!$B$2:$B$51,0))</f>
        <v>1</v>
      </c>
      <c r="J15" t="b">
        <f>D15=[1]selection!D15</f>
        <v>1</v>
      </c>
    </row>
    <row r="16" spans="1:10" x14ac:dyDescent="0.25">
      <c r="A16" t="s">
        <v>22</v>
      </c>
      <c r="B16" t="s">
        <v>72</v>
      </c>
      <c r="C16" t="s">
        <v>108</v>
      </c>
      <c r="D16">
        <v>97409</v>
      </c>
      <c r="E16">
        <v>1</v>
      </c>
      <c r="F16">
        <v>1</v>
      </c>
      <c r="G16" t="s">
        <v>116</v>
      </c>
      <c r="H16" t="s">
        <v>117</v>
      </c>
      <c r="I16" t="b">
        <f>ISNUMBER(MATCH(B16,[1]selection!$B$2:$B$51,0))</f>
        <v>1</v>
      </c>
      <c r="J16" t="b">
        <f>D16=[1]selection!D16</f>
        <v>1</v>
      </c>
    </row>
    <row r="17" spans="1:10" x14ac:dyDescent="0.25">
      <c r="A17" t="s">
        <v>23</v>
      </c>
      <c r="B17" t="s">
        <v>73</v>
      </c>
      <c r="C17" t="s">
        <v>109</v>
      </c>
      <c r="D17">
        <v>695184</v>
      </c>
      <c r="E17">
        <v>1</v>
      </c>
      <c r="F17">
        <v>1</v>
      </c>
      <c r="G17" t="s">
        <v>116</v>
      </c>
      <c r="H17" t="s">
        <v>117</v>
      </c>
      <c r="I17" t="b">
        <f>ISNUMBER(MATCH(B17,[1]selection!$B$2:$B$51,0))</f>
        <v>1</v>
      </c>
      <c r="J17" t="b">
        <f>D17=[1]selection!D17</f>
        <v>1</v>
      </c>
    </row>
    <row r="18" spans="1:10" x14ac:dyDescent="0.25">
      <c r="A18" t="s">
        <v>24</v>
      </c>
      <c r="B18" t="s">
        <v>74</v>
      </c>
      <c r="C18" t="s">
        <v>109</v>
      </c>
      <c r="D18">
        <v>579248</v>
      </c>
      <c r="E18">
        <v>1</v>
      </c>
      <c r="F18">
        <v>1</v>
      </c>
      <c r="G18" t="s">
        <v>116</v>
      </c>
      <c r="H18" t="s">
        <v>117</v>
      </c>
      <c r="I18" t="b">
        <f>ISNUMBER(MATCH(B18,[1]selection!$B$2:$B$51,0))</f>
        <v>1</v>
      </c>
      <c r="J18" t="b">
        <f>D18=[1]selection!D18</f>
        <v>1</v>
      </c>
    </row>
    <row r="19" spans="1:10" x14ac:dyDescent="0.25">
      <c r="A19" t="s">
        <v>25</v>
      </c>
      <c r="B19" t="s">
        <v>75</v>
      </c>
      <c r="C19" t="s">
        <v>109</v>
      </c>
      <c r="D19">
        <v>123506</v>
      </c>
      <c r="E19">
        <v>1</v>
      </c>
      <c r="F19">
        <v>1</v>
      </c>
      <c r="G19" t="s">
        <v>116</v>
      </c>
      <c r="H19" t="s">
        <v>117</v>
      </c>
      <c r="I19" t="b">
        <f>ISNUMBER(MATCH(B19,[1]selection!$B$2:$B$51,0))</f>
        <v>1</v>
      </c>
      <c r="J19" t="b">
        <f>D19=[1]selection!D19</f>
        <v>1</v>
      </c>
    </row>
    <row r="20" spans="1:10" x14ac:dyDescent="0.25">
      <c r="A20" t="s">
        <v>26</v>
      </c>
      <c r="B20" t="s">
        <v>76</v>
      </c>
      <c r="C20" t="s">
        <v>109</v>
      </c>
      <c r="D20">
        <v>395549</v>
      </c>
      <c r="E20">
        <v>1</v>
      </c>
      <c r="F20">
        <v>1</v>
      </c>
      <c r="G20" t="s">
        <v>116</v>
      </c>
      <c r="H20" t="s">
        <v>117</v>
      </c>
      <c r="I20" t="b">
        <f>ISNUMBER(MATCH(B20,[1]selection!$B$2:$B$51,0))</f>
        <v>1</v>
      </c>
      <c r="J20" t="b">
        <f>D20=[1]selection!D20</f>
        <v>1</v>
      </c>
    </row>
    <row r="21" spans="1:10" x14ac:dyDescent="0.25">
      <c r="A21" t="s">
        <v>27</v>
      </c>
      <c r="B21" t="s">
        <v>77</v>
      </c>
      <c r="C21" t="s">
        <v>108</v>
      </c>
      <c r="D21">
        <v>13023</v>
      </c>
      <c r="E21">
        <v>1</v>
      </c>
      <c r="F21">
        <v>1</v>
      </c>
      <c r="G21" t="s">
        <v>116</v>
      </c>
      <c r="H21" t="s">
        <v>117</v>
      </c>
      <c r="I21" t="b">
        <f>ISNUMBER(MATCH(B21,[1]selection!$B$2:$B$51,0))</f>
        <v>1</v>
      </c>
      <c r="J21" t="b">
        <f>D21=[1]selection!D21</f>
        <v>1</v>
      </c>
    </row>
    <row r="22" spans="1:10" x14ac:dyDescent="0.25">
      <c r="A22" t="s">
        <v>28</v>
      </c>
      <c r="B22" t="s">
        <v>78</v>
      </c>
      <c r="C22" t="s">
        <v>112</v>
      </c>
      <c r="D22">
        <v>365636</v>
      </c>
      <c r="E22">
        <v>1</v>
      </c>
      <c r="F22">
        <v>1</v>
      </c>
      <c r="G22" t="s">
        <v>116</v>
      </c>
      <c r="H22" t="s">
        <v>117</v>
      </c>
      <c r="I22" t="b">
        <f>ISNUMBER(MATCH(B22,[1]selection!$B$2:$B$51,0))</f>
        <v>1</v>
      </c>
      <c r="J22" t="b">
        <f>D22=[1]selection!D22</f>
        <v>1</v>
      </c>
    </row>
    <row r="23" spans="1:10" x14ac:dyDescent="0.25">
      <c r="A23" t="s">
        <v>29</v>
      </c>
      <c r="B23" t="s">
        <v>79</v>
      </c>
      <c r="C23" t="s">
        <v>110</v>
      </c>
      <c r="D23">
        <v>503844</v>
      </c>
      <c r="E23">
        <v>1</v>
      </c>
      <c r="F23">
        <v>1</v>
      </c>
      <c r="G23" t="s">
        <v>116</v>
      </c>
      <c r="H23" t="s">
        <v>117</v>
      </c>
      <c r="I23" t="b">
        <f>ISNUMBER(MATCH(B23,[1]selection!$B$2:$B$51,0))</f>
        <v>1</v>
      </c>
      <c r="J23" t="b">
        <f>D23=[1]selection!D23</f>
        <v>1</v>
      </c>
    </row>
    <row r="24" spans="1:10" x14ac:dyDescent="0.25">
      <c r="A24" t="s">
        <v>30</v>
      </c>
      <c r="B24" t="s">
        <v>80</v>
      </c>
      <c r="C24" t="s">
        <v>108</v>
      </c>
      <c r="D24">
        <v>95089</v>
      </c>
      <c r="E24">
        <v>1</v>
      </c>
      <c r="F24">
        <v>1</v>
      </c>
      <c r="G24" t="s">
        <v>116</v>
      </c>
      <c r="H24" t="s">
        <v>117</v>
      </c>
      <c r="I24" t="b">
        <f>ISNUMBER(MATCH(B24,[1]selection!$B$2:$B$51,0))</f>
        <v>1</v>
      </c>
      <c r="J24" t="b">
        <f>D24=[1]selection!D24</f>
        <v>1</v>
      </c>
    </row>
    <row r="25" spans="1:10" x14ac:dyDescent="0.25">
      <c r="A25" t="s">
        <v>31</v>
      </c>
      <c r="B25" t="s">
        <v>81</v>
      </c>
      <c r="C25" t="s">
        <v>113</v>
      </c>
      <c r="D25">
        <v>368549</v>
      </c>
      <c r="E25">
        <v>1</v>
      </c>
      <c r="F25">
        <v>1</v>
      </c>
      <c r="G25" t="s">
        <v>116</v>
      </c>
      <c r="H25" t="s">
        <v>117</v>
      </c>
      <c r="I25" t="b">
        <f>ISNUMBER(MATCH(B25,[1]selection!$B$2:$B$51,0))</f>
        <v>1</v>
      </c>
      <c r="J25" t="b">
        <f>D25=[1]selection!D25</f>
        <v>1</v>
      </c>
    </row>
    <row r="26" spans="1:10" x14ac:dyDescent="0.25">
      <c r="A26" t="s">
        <v>32</v>
      </c>
      <c r="B26" t="s">
        <v>82</v>
      </c>
      <c r="C26" t="s">
        <v>114</v>
      </c>
      <c r="D26">
        <v>471167</v>
      </c>
      <c r="E26">
        <v>1</v>
      </c>
      <c r="F26">
        <v>1</v>
      </c>
      <c r="G26" t="s">
        <v>116</v>
      </c>
      <c r="H26" t="s">
        <v>117</v>
      </c>
      <c r="I26" t="b">
        <f>ISNUMBER(MATCH(B26,[1]selection!$B$2:$B$51,0))</f>
        <v>1</v>
      </c>
      <c r="J26" t="b">
        <f>D26=[1]selection!D26</f>
        <v>1</v>
      </c>
    </row>
    <row r="27" spans="1:10" x14ac:dyDescent="0.25">
      <c r="A27" t="s">
        <v>33</v>
      </c>
      <c r="B27" t="s">
        <v>83</v>
      </c>
      <c r="C27" t="s">
        <v>112</v>
      </c>
      <c r="D27">
        <v>7185849</v>
      </c>
      <c r="E27">
        <v>1</v>
      </c>
      <c r="F27">
        <v>1</v>
      </c>
      <c r="G27" t="s">
        <v>116</v>
      </c>
      <c r="H27" t="s">
        <v>117</v>
      </c>
      <c r="I27" t="b">
        <f>ISNUMBER(MATCH(B27,[1]selection!$B$2:$B$51,0))</f>
        <v>1</v>
      </c>
      <c r="J27" t="b">
        <f>D27=[1]selection!D27</f>
        <v>1</v>
      </c>
    </row>
    <row r="28" spans="1:10" x14ac:dyDescent="0.25">
      <c r="A28" t="s">
        <v>34</v>
      </c>
      <c r="B28" t="s">
        <v>84</v>
      </c>
      <c r="C28" t="s">
        <v>108</v>
      </c>
      <c r="D28">
        <v>220866</v>
      </c>
      <c r="E28">
        <v>1</v>
      </c>
      <c r="F28">
        <v>1</v>
      </c>
      <c r="G28" t="s">
        <v>116</v>
      </c>
      <c r="H28" t="s">
        <v>117</v>
      </c>
      <c r="I28" t="b">
        <f>ISNUMBER(MATCH(B28,[1]selection!$B$2:$B$51,0))</f>
        <v>1</v>
      </c>
      <c r="J28" t="b">
        <f>D28=[1]selection!D28</f>
        <v>1</v>
      </c>
    </row>
    <row r="29" spans="1:10" x14ac:dyDescent="0.25">
      <c r="A29" t="s">
        <v>35</v>
      </c>
      <c r="B29" t="s">
        <v>85</v>
      </c>
      <c r="C29" t="s">
        <v>109</v>
      </c>
      <c r="D29">
        <v>233012</v>
      </c>
      <c r="E29">
        <v>1</v>
      </c>
      <c r="F29">
        <v>1</v>
      </c>
      <c r="G29" t="s">
        <v>116</v>
      </c>
      <c r="H29" t="s">
        <v>117</v>
      </c>
      <c r="I29" t="b">
        <f>ISNUMBER(MATCH(B29,[1]selection!$B$2:$B$51,0))</f>
        <v>1</v>
      </c>
      <c r="J29" t="b">
        <f>D29=[1]selection!D29</f>
        <v>1</v>
      </c>
    </row>
    <row r="30" spans="1:10" x14ac:dyDescent="0.25">
      <c r="A30" t="s">
        <v>36</v>
      </c>
      <c r="B30" t="s">
        <v>86</v>
      </c>
      <c r="C30" t="s">
        <v>108</v>
      </c>
      <c r="D30">
        <v>995043</v>
      </c>
      <c r="E30">
        <v>1</v>
      </c>
      <c r="F30">
        <v>1</v>
      </c>
      <c r="G30" t="s">
        <v>116</v>
      </c>
      <c r="H30" t="s">
        <v>117</v>
      </c>
      <c r="I30" t="b">
        <f>ISNUMBER(MATCH(B30,[1]selection!$B$2:$B$51,0))</f>
        <v>1</v>
      </c>
      <c r="J30" t="b">
        <f>D30=[1]selection!D30</f>
        <v>1</v>
      </c>
    </row>
    <row r="31" spans="1:10" x14ac:dyDescent="0.25">
      <c r="A31" t="s">
        <v>37</v>
      </c>
      <c r="B31" t="s">
        <v>87</v>
      </c>
      <c r="C31" t="s">
        <v>110</v>
      </c>
      <c r="D31">
        <v>1136435</v>
      </c>
      <c r="E31">
        <v>1</v>
      </c>
      <c r="F31">
        <v>1</v>
      </c>
      <c r="G31" t="s">
        <v>116</v>
      </c>
      <c r="H31" t="s">
        <v>117</v>
      </c>
      <c r="I31" t="b">
        <f>ISNUMBER(MATCH(B31,[1]selection!$B$2:$B$51,0))</f>
        <v>1</v>
      </c>
      <c r="J31" t="b">
        <f>D31=[1]selection!D31</f>
        <v>1</v>
      </c>
    </row>
    <row r="32" spans="1:10" x14ac:dyDescent="0.25">
      <c r="A32" t="s">
        <v>38</v>
      </c>
      <c r="B32" t="s">
        <v>88</v>
      </c>
      <c r="C32" t="s">
        <v>108</v>
      </c>
      <c r="D32">
        <v>2020513</v>
      </c>
      <c r="E32">
        <v>1</v>
      </c>
      <c r="F32">
        <v>1</v>
      </c>
      <c r="G32" t="s">
        <v>116</v>
      </c>
      <c r="H32" t="s">
        <v>117</v>
      </c>
      <c r="I32" t="b">
        <f>ISNUMBER(MATCH(B32,[1]selection!$B$2:$B$51,0))</f>
        <v>1</v>
      </c>
      <c r="J32" t="b">
        <f>D32=[1]selection!D32</f>
        <v>1</v>
      </c>
    </row>
    <row r="33" spans="1:10" x14ac:dyDescent="0.25">
      <c r="A33" t="s">
        <v>39</v>
      </c>
      <c r="B33" t="s">
        <v>89</v>
      </c>
      <c r="C33" t="s">
        <v>115</v>
      </c>
      <c r="D33">
        <v>330693</v>
      </c>
      <c r="E33">
        <v>1</v>
      </c>
      <c r="F33">
        <v>1</v>
      </c>
      <c r="G33" t="s">
        <v>116</v>
      </c>
      <c r="H33" t="s">
        <v>117</v>
      </c>
      <c r="I33" t="b">
        <f>ISNUMBER(MATCH(B33,[1]selection!$B$2:$B$51,0))</f>
        <v>1</v>
      </c>
      <c r="J33" t="b">
        <f>D33=[1]selection!D33</f>
        <v>1</v>
      </c>
    </row>
    <row r="34" spans="1:10" x14ac:dyDescent="0.25">
      <c r="A34" t="s">
        <v>40</v>
      </c>
      <c r="B34" t="s">
        <v>90</v>
      </c>
      <c r="C34" t="s">
        <v>112</v>
      </c>
      <c r="D34">
        <v>809561</v>
      </c>
      <c r="E34">
        <v>1</v>
      </c>
      <c r="F34">
        <v>1</v>
      </c>
      <c r="G34" t="s">
        <v>116</v>
      </c>
      <c r="H34" t="s">
        <v>117</v>
      </c>
      <c r="I34" t="b">
        <f>ISNUMBER(MATCH(B34,[1]selection!$B$2:$B$51,0))</f>
        <v>1</v>
      </c>
      <c r="J34" t="b">
        <f>D34=[1]selection!D34</f>
        <v>1</v>
      </c>
    </row>
    <row r="35" spans="1:10" x14ac:dyDescent="0.25">
      <c r="A35" t="s">
        <v>41</v>
      </c>
      <c r="B35" t="s">
        <v>91</v>
      </c>
      <c r="C35" t="s">
        <v>108</v>
      </c>
      <c r="D35">
        <v>318473</v>
      </c>
      <c r="E35">
        <v>1</v>
      </c>
      <c r="F35">
        <v>1</v>
      </c>
      <c r="G35" t="s">
        <v>116</v>
      </c>
      <c r="H35" t="s">
        <v>117</v>
      </c>
      <c r="I35" t="b">
        <f>ISNUMBER(MATCH(B35,[1]selection!$B$2:$B$51,0))</f>
        <v>1</v>
      </c>
      <c r="J35" t="b">
        <f>D35=[1]selection!D35</f>
        <v>1</v>
      </c>
    </row>
    <row r="36" spans="1:10" x14ac:dyDescent="0.25">
      <c r="A36" t="s">
        <v>42</v>
      </c>
      <c r="B36" t="s">
        <v>92</v>
      </c>
      <c r="C36" t="s">
        <v>108</v>
      </c>
      <c r="D36">
        <v>331800</v>
      </c>
      <c r="E36">
        <v>1</v>
      </c>
      <c r="F36">
        <v>1</v>
      </c>
      <c r="G36" t="s">
        <v>116</v>
      </c>
      <c r="H36" t="s">
        <v>117</v>
      </c>
      <c r="I36" t="b">
        <f>ISNUMBER(MATCH(B36,[1]selection!$B$2:$B$51,0))</f>
        <v>1</v>
      </c>
      <c r="J36" t="b">
        <f>D36=[1]selection!D36</f>
        <v>1</v>
      </c>
    </row>
    <row r="37" spans="1:10" x14ac:dyDescent="0.25">
      <c r="A37" t="s">
        <v>43</v>
      </c>
      <c r="B37" t="s">
        <v>93</v>
      </c>
      <c r="C37" t="s">
        <v>109</v>
      </c>
      <c r="D37">
        <v>132593</v>
      </c>
      <c r="E37">
        <v>1</v>
      </c>
      <c r="F37">
        <v>1</v>
      </c>
      <c r="G37" t="s">
        <v>116</v>
      </c>
      <c r="H37" t="s">
        <v>117</v>
      </c>
      <c r="I37" t="b">
        <f>ISNUMBER(MATCH(B37,[1]selection!$B$2:$B$51,0))</f>
        <v>1</v>
      </c>
      <c r="J37" t="b">
        <f>D37=[1]selection!D37</f>
        <v>1</v>
      </c>
    </row>
    <row r="38" spans="1:10" x14ac:dyDescent="0.25">
      <c r="A38" t="s">
        <v>44</v>
      </c>
      <c r="B38" t="s">
        <v>94</v>
      </c>
      <c r="C38" t="s">
        <v>108</v>
      </c>
      <c r="D38">
        <v>116043</v>
      </c>
      <c r="E38">
        <v>1</v>
      </c>
      <c r="F38">
        <v>1</v>
      </c>
      <c r="G38" t="s">
        <v>116</v>
      </c>
      <c r="H38" t="s">
        <v>117</v>
      </c>
      <c r="I38" t="b">
        <f>ISNUMBER(MATCH(B38,[1]selection!$B$2:$B$51,0))</f>
        <v>1</v>
      </c>
      <c r="J38" t="b">
        <f>D38=[1]selection!D38</f>
        <v>1</v>
      </c>
    </row>
    <row r="39" spans="1:10" x14ac:dyDescent="0.25">
      <c r="A39" t="s">
        <v>45</v>
      </c>
      <c r="B39" t="s">
        <v>95</v>
      </c>
      <c r="C39" t="s">
        <v>109</v>
      </c>
      <c r="D39">
        <v>116189</v>
      </c>
      <c r="E39">
        <v>1</v>
      </c>
      <c r="F39">
        <v>1</v>
      </c>
      <c r="G39" t="s">
        <v>116</v>
      </c>
      <c r="H39" t="s">
        <v>117</v>
      </c>
      <c r="I39" t="b">
        <f>ISNUMBER(MATCH(B39,[1]selection!$B$2:$B$51,0))</f>
        <v>1</v>
      </c>
      <c r="J39" t="b">
        <f>D39=[1]selection!D39</f>
        <v>1</v>
      </c>
    </row>
    <row r="40" spans="1:10" x14ac:dyDescent="0.25">
      <c r="A40" t="s">
        <v>46</v>
      </c>
      <c r="B40" t="s">
        <v>96</v>
      </c>
      <c r="C40" t="s">
        <v>109</v>
      </c>
      <c r="D40">
        <v>636216</v>
      </c>
      <c r="E40">
        <v>1</v>
      </c>
      <c r="F40">
        <v>1</v>
      </c>
      <c r="G40" t="s">
        <v>116</v>
      </c>
      <c r="H40" t="s">
        <v>117</v>
      </c>
      <c r="I40" t="b">
        <f>ISNUMBER(MATCH(B40,[1]selection!$B$2:$B$51,0))</f>
        <v>1</v>
      </c>
      <c r="J40" t="b">
        <f>D40=[1]selection!D40</f>
        <v>1</v>
      </c>
    </row>
    <row r="41" spans="1:10" x14ac:dyDescent="0.25">
      <c r="A41" t="s">
        <v>47</v>
      </c>
      <c r="B41" t="s">
        <v>97</v>
      </c>
      <c r="C41" t="s">
        <v>115</v>
      </c>
      <c r="D41">
        <v>5034788</v>
      </c>
      <c r="E41">
        <v>1</v>
      </c>
      <c r="F41">
        <v>1</v>
      </c>
      <c r="G41" t="s">
        <v>116</v>
      </c>
      <c r="H41" t="s">
        <v>117</v>
      </c>
      <c r="I41" t="b">
        <f>ISNUMBER(MATCH(B41,[1]selection!$B$2:$B$51,0))</f>
        <v>1</v>
      </c>
      <c r="J41" t="b">
        <f>D41=[1]selection!D41</f>
        <v>1</v>
      </c>
    </row>
    <row r="42" spans="1:10" x14ac:dyDescent="0.25">
      <c r="A42" t="s">
        <v>48</v>
      </c>
      <c r="B42" t="s">
        <v>98</v>
      </c>
      <c r="C42" t="s">
        <v>108</v>
      </c>
      <c r="D42">
        <v>1261730</v>
      </c>
      <c r="E42">
        <v>1</v>
      </c>
      <c r="F42">
        <v>1</v>
      </c>
      <c r="G42" t="s">
        <v>116</v>
      </c>
      <c r="H42" t="s">
        <v>117</v>
      </c>
      <c r="I42" t="b">
        <f>ISNUMBER(MATCH(B42,[1]selection!$B$2:$B$51,0))</f>
        <v>1</v>
      </c>
      <c r="J42" t="b">
        <f>D42=[1]selection!D42</f>
        <v>1</v>
      </c>
    </row>
    <row r="43" spans="1:10" x14ac:dyDescent="0.25">
      <c r="A43" t="s">
        <v>49</v>
      </c>
      <c r="B43" t="s">
        <v>99</v>
      </c>
      <c r="C43" t="s">
        <v>109</v>
      </c>
      <c r="D43">
        <v>414824</v>
      </c>
      <c r="E43">
        <v>1</v>
      </c>
      <c r="F43">
        <v>1</v>
      </c>
      <c r="G43" t="s">
        <v>116</v>
      </c>
      <c r="H43" t="s">
        <v>117</v>
      </c>
      <c r="I43" t="b">
        <f>ISNUMBER(MATCH(B43,[1]selection!$B$2:$B$51,0))</f>
        <v>1</v>
      </c>
      <c r="J43" t="b">
        <f>D43=[1]selection!D43</f>
        <v>1</v>
      </c>
    </row>
    <row r="44" spans="1:10" x14ac:dyDescent="0.25">
      <c r="A44" t="s">
        <v>50</v>
      </c>
      <c r="B44" t="s">
        <v>100</v>
      </c>
      <c r="C44" t="s">
        <v>115</v>
      </c>
      <c r="D44">
        <v>56613118</v>
      </c>
      <c r="E44">
        <v>1</v>
      </c>
      <c r="F44">
        <v>1</v>
      </c>
      <c r="G44" t="s">
        <v>116</v>
      </c>
      <c r="H44" t="s">
        <v>117</v>
      </c>
      <c r="I44" t="b">
        <f>ISNUMBER(MATCH(B44,[1]selection!$B$2:$B$51,0))</f>
        <v>1</v>
      </c>
      <c r="J44" t="b">
        <f>D44=[1]selection!D44</f>
        <v>1</v>
      </c>
    </row>
    <row r="45" spans="1:10" x14ac:dyDescent="0.25">
      <c r="A45" t="s">
        <v>51</v>
      </c>
      <c r="B45" t="s">
        <v>101</v>
      </c>
      <c r="C45" t="s">
        <v>110</v>
      </c>
      <c r="D45">
        <v>7557666</v>
      </c>
      <c r="E45">
        <v>1</v>
      </c>
      <c r="F45">
        <v>1</v>
      </c>
      <c r="G45" t="s">
        <v>116</v>
      </c>
      <c r="H45" t="s">
        <v>117</v>
      </c>
      <c r="I45" t="b">
        <f>ISNUMBER(MATCH(B45,[1]selection!$B$2:$B$51,0))</f>
        <v>1</v>
      </c>
      <c r="J45" t="b">
        <f>D45=[1]selection!D45</f>
        <v>1</v>
      </c>
    </row>
    <row r="46" spans="1:10" x14ac:dyDescent="0.25">
      <c r="A46" t="s">
        <v>52</v>
      </c>
      <c r="B46" t="s">
        <v>102</v>
      </c>
      <c r="C46" t="s">
        <v>115</v>
      </c>
      <c r="D46">
        <v>3186194</v>
      </c>
      <c r="E46">
        <v>1</v>
      </c>
      <c r="F46">
        <v>1</v>
      </c>
      <c r="G46" t="s">
        <v>116</v>
      </c>
      <c r="H46" t="s">
        <v>117</v>
      </c>
      <c r="I46" t="b">
        <f>ISNUMBER(MATCH(B46,[1]selection!$B$2:$B$51,0))</f>
        <v>1</v>
      </c>
      <c r="J46" t="b">
        <f>D46=[1]selection!D46</f>
        <v>1</v>
      </c>
    </row>
    <row r="47" spans="1:10" x14ac:dyDescent="0.25">
      <c r="A47" t="s">
        <v>53</v>
      </c>
      <c r="B47" t="s">
        <v>103</v>
      </c>
      <c r="C47" t="s">
        <v>111</v>
      </c>
      <c r="D47">
        <v>115296</v>
      </c>
      <c r="E47">
        <v>1</v>
      </c>
      <c r="F47">
        <v>1</v>
      </c>
      <c r="G47" t="s">
        <v>116</v>
      </c>
      <c r="H47" t="s">
        <v>117</v>
      </c>
      <c r="I47" t="b">
        <f>ISNUMBER(MATCH(B47,[1]selection!$B$2:$B$51,0))</f>
        <v>1</v>
      </c>
      <c r="J47" t="b">
        <f>D47=[1]selection!D47</f>
        <v>1</v>
      </c>
    </row>
    <row r="48" spans="1:10" x14ac:dyDescent="0.25">
      <c r="A48" t="s">
        <v>54</v>
      </c>
      <c r="B48" t="s">
        <v>104</v>
      </c>
      <c r="C48" t="s">
        <v>108</v>
      </c>
      <c r="D48">
        <v>306717</v>
      </c>
      <c r="E48">
        <v>1</v>
      </c>
      <c r="F48">
        <v>1</v>
      </c>
      <c r="G48" t="s">
        <v>116</v>
      </c>
      <c r="H48" t="s">
        <v>117</v>
      </c>
      <c r="I48" t="b">
        <f>ISNUMBER(MATCH(B48,[1]selection!$B$2:$B$51,0))</f>
        <v>1</v>
      </c>
      <c r="J48" t="b">
        <f>D48=[1]selection!D48</f>
        <v>1</v>
      </c>
    </row>
    <row r="49" spans="1:10" x14ac:dyDescent="0.25">
      <c r="A49" t="s">
        <v>55</v>
      </c>
      <c r="B49" t="s">
        <v>105</v>
      </c>
      <c r="C49" t="s">
        <v>112</v>
      </c>
      <c r="D49">
        <v>500122</v>
      </c>
      <c r="E49">
        <v>1</v>
      </c>
      <c r="F49">
        <v>1</v>
      </c>
      <c r="G49" t="s">
        <v>116</v>
      </c>
      <c r="H49" t="s">
        <v>117</v>
      </c>
      <c r="I49" t="b">
        <f>ISNUMBER(MATCH(B49,[1]selection!$B$2:$B$51,0))</f>
        <v>1</v>
      </c>
      <c r="J49" t="b">
        <f>D49=[1]selection!D49</f>
        <v>1</v>
      </c>
    </row>
    <row r="50" spans="1:10" x14ac:dyDescent="0.25">
      <c r="A50" t="s">
        <v>56</v>
      </c>
      <c r="B50" t="s">
        <v>106</v>
      </c>
      <c r="C50" t="s">
        <v>114</v>
      </c>
      <c r="D50">
        <v>1170960</v>
      </c>
      <c r="E50">
        <v>1</v>
      </c>
      <c r="F50">
        <v>1</v>
      </c>
      <c r="G50" t="s">
        <v>116</v>
      </c>
      <c r="H50" t="s">
        <v>117</v>
      </c>
      <c r="I50" t="b">
        <f>ISNUMBER(MATCH(B50,[1]selection!$B$2:$B$51,0))</f>
        <v>1</v>
      </c>
      <c r="J50" t="b">
        <f>D50=[1]selection!D50</f>
        <v>1</v>
      </c>
    </row>
    <row r="51" spans="1:10" x14ac:dyDescent="0.25">
      <c r="A51" t="s">
        <v>57</v>
      </c>
      <c r="B51" t="s">
        <v>107</v>
      </c>
      <c r="C51" t="s">
        <v>109</v>
      </c>
      <c r="D51">
        <v>1203458</v>
      </c>
      <c r="E51">
        <v>1</v>
      </c>
      <c r="F51">
        <v>1</v>
      </c>
      <c r="G51" t="s">
        <v>116</v>
      </c>
      <c r="H51" t="s">
        <v>117</v>
      </c>
      <c r="I51" t="b">
        <f>ISNUMBER(MATCH(B51,[1]selection!$B$2:$B$51,0))</f>
        <v>1</v>
      </c>
      <c r="J51" t="b">
        <f>D51=[1]selection!D51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118</v>
      </c>
      <c r="C1" s="1" t="s">
        <v>2</v>
      </c>
    </row>
    <row r="2" spans="1:3" x14ac:dyDescent="0.25">
      <c r="A2" t="s">
        <v>11</v>
      </c>
      <c r="B2" t="s">
        <v>61</v>
      </c>
      <c r="C2" t="s">
        <v>109</v>
      </c>
    </row>
    <row r="3" spans="1:3" x14ac:dyDescent="0.25">
      <c r="A3" t="s">
        <v>28</v>
      </c>
      <c r="B3" t="s">
        <v>78</v>
      </c>
      <c r="C3" t="s">
        <v>112</v>
      </c>
    </row>
    <row r="4" spans="1:3" x14ac:dyDescent="0.25">
      <c r="A4" t="s">
        <v>37</v>
      </c>
      <c r="B4" t="s">
        <v>87</v>
      </c>
      <c r="C4" t="s">
        <v>110</v>
      </c>
    </row>
    <row r="5" spans="1:3" x14ac:dyDescent="0.25">
      <c r="A5" t="s">
        <v>39</v>
      </c>
      <c r="B5" t="s">
        <v>89</v>
      </c>
      <c r="C5" t="s">
        <v>115</v>
      </c>
    </row>
    <row r="6" spans="1:3" x14ac:dyDescent="0.25">
      <c r="A6" t="s">
        <v>50</v>
      </c>
      <c r="B6" t="s">
        <v>100</v>
      </c>
      <c r="C6" t="s">
        <v>115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118</v>
      </c>
      <c r="C1" s="1" t="s">
        <v>2</v>
      </c>
    </row>
    <row r="2" spans="1:3" x14ac:dyDescent="0.25">
      <c r="A2" t="s">
        <v>119</v>
      </c>
      <c r="B2" t="s">
        <v>125</v>
      </c>
      <c r="C2" t="s">
        <v>112</v>
      </c>
    </row>
    <row r="3" spans="1:3" x14ac:dyDescent="0.25">
      <c r="A3" t="s">
        <v>120</v>
      </c>
      <c r="B3" t="s">
        <v>126</v>
      </c>
      <c r="C3" t="s">
        <v>108</v>
      </c>
    </row>
    <row r="4" spans="1:3" x14ac:dyDescent="0.25">
      <c r="A4" t="s">
        <v>121</v>
      </c>
      <c r="B4" t="s">
        <v>127</v>
      </c>
      <c r="C4" t="s">
        <v>110</v>
      </c>
    </row>
    <row r="5" spans="1:3" x14ac:dyDescent="0.25">
      <c r="A5" t="s">
        <v>122</v>
      </c>
      <c r="B5" t="s">
        <v>128</v>
      </c>
      <c r="C5" t="s">
        <v>115</v>
      </c>
    </row>
    <row r="6" spans="1:3" x14ac:dyDescent="0.25">
      <c r="A6" t="s">
        <v>123</v>
      </c>
      <c r="B6" t="s">
        <v>129</v>
      </c>
      <c r="C6" t="s">
        <v>112</v>
      </c>
    </row>
    <row r="7" spans="1:3" x14ac:dyDescent="0.25">
      <c r="A7" t="s">
        <v>124</v>
      </c>
      <c r="B7" t="s">
        <v>130</v>
      </c>
      <c r="C7" t="s">
        <v>110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01"/>
  <sheetViews>
    <sheetView workbookViewId="0"/>
  </sheetViews>
  <sheetFormatPr defaultRowHeight="15" x14ac:dyDescent="0.25"/>
  <sheetData>
    <row r="1" spans="1:19" x14ac:dyDescent="0.25">
      <c r="A1" s="1" t="s">
        <v>131</v>
      </c>
      <c r="B1" s="1" t="s">
        <v>132</v>
      </c>
      <c r="C1" s="1" t="s">
        <v>0</v>
      </c>
      <c r="D1" s="1" t="s">
        <v>118</v>
      </c>
      <c r="E1" s="1" t="s">
        <v>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4</v>
      </c>
      <c r="K1" s="1" t="s">
        <v>3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  <c r="Q1" s="1" t="s">
        <v>142</v>
      </c>
      <c r="R1" s="1" t="s">
        <v>143</v>
      </c>
      <c r="S1" s="1" t="s">
        <v>144</v>
      </c>
    </row>
    <row r="2" spans="1:19" x14ac:dyDescent="0.25">
      <c r="A2">
        <v>1</v>
      </c>
      <c r="C2" t="s">
        <v>123</v>
      </c>
      <c r="D2" t="s">
        <v>129</v>
      </c>
      <c r="E2" t="s">
        <v>112</v>
      </c>
      <c r="F2" t="s">
        <v>635</v>
      </c>
      <c r="G2">
        <v>100</v>
      </c>
      <c r="H2">
        <v>6586780960.0745411</v>
      </c>
      <c r="J2">
        <v>0.8</v>
      </c>
      <c r="K2">
        <v>612259739</v>
      </c>
      <c r="L2">
        <v>13.44768515</v>
      </c>
      <c r="M2">
        <v>13.55</v>
      </c>
      <c r="O2">
        <v>3084673.1460000002</v>
      </c>
      <c r="P2" t="s">
        <v>939</v>
      </c>
      <c r="R2" t="s">
        <v>942</v>
      </c>
      <c r="S2" t="s">
        <v>940</v>
      </c>
    </row>
    <row r="3" spans="1:19" x14ac:dyDescent="0.25">
      <c r="A3">
        <v>2</v>
      </c>
      <c r="C3" t="s">
        <v>145</v>
      </c>
      <c r="D3" t="s">
        <v>389</v>
      </c>
      <c r="E3" t="s">
        <v>115</v>
      </c>
      <c r="F3" t="s">
        <v>636</v>
      </c>
      <c r="G3">
        <v>100</v>
      </c>
      <c r="H3">
        <v>5193651703.6800003</v>
      </c>
      <c r="J3">
        <v>1</v>
      </c>
      <c r="K3">
        <v>251630412</v>
      </c>
      <c r="L3">
        <v>20.64</v>
      </c>
      <c r="M3">
        <v>21.76</v>
      </c>
      <c r="N3">
        <v>20.64</v>
      </c>
      <c r="O3">
        <v>20107186.354850002</v>
      </c>
      <c r="P3" t="s">
        <v>939</v>
      </c>
      <c r="R3" t="s">
        <v>942</v>
      </c>
      <c r="S3" t="s">
        <v>940</v>
      </c>
    </row>
    <row r="4" spans="1:19" x14ac:dyDescent="0.25">
      <c r="A4">
        <v>3</v>
      </c>
      <c r="C4" t="s">
        <v>146</v>
      </c>
      <c r="D4" t="s">
        <v>390</v>
      </c>
      <c r="E4" t="s">
        <v>109</v>
      </c>
      <c r="F4" t="s">
        <v>637</v>
      </c>
      <c r="G4">
        <v>100</v>
      </c>
      <c r="H4">
        <v>4323100000</v>
      </c>
      <c r="J4">
        <v>0.85</v>
      </c>
      <c r="K4">
        <v>100000000</v>
      </c>
      <c r="L4">
        <v>50.86</v>
      </c>
      <c r="M4">
        <v>55.6</v>
      </c>
      <c r="N4">
        <v>50.86</v>
      </c>
      <c r="O4">
        <v>60812996.468699999</v>
      </c>
      <c r="P4" t="s">
        <v>940</v>
      </c>
      <c r="S4" t="s">
        <v>940</v>
      </c>
    </row>
    <row r="5" spans="1:19" x14ac:dyDescent="0.25">
      <c r="A5">
        <v>4</v>
      </c>
      <c r="C5" t="s">
        <v>147</v>
      </c>
      <c r="D5" t="s">
        <v>391</v>
      </c>
      <c r="E5" t="s">
        <v>109</v>
      </c>
      <c r="F5" t="s">
        <v>638</v>
      </c>
      <c r="G5">
        <v>100</v>
      </c>
      <c r="H5">
        <v>3874942467</v>
      </c>
      <c r="J5">
        <v>1</v>
      </c>
      <c r="K5">
        <v>63523647</v>
      </c>
      <c r="L5">
        <v>61</v>
      </c>
      <c r="M5">
        <v>71</v>
      </c>
      <c r="N5">
        <v>61</v>
      </c>
      <c r="O5">
        <v>38189624.542800002</v>
      </c>
      <c r="P5" t="s">
        <v>940</v>
      </c>
      <c r="S5" t="s">
        <v>940</v>
      </c>
    </row>
    <row r="6" spans="1:19" x14ac:dyDescent="0.25">
      <c r="A6">
        <v>5</v>
      </c>
      <c r="C6" t="s">
        <v>148</v>
      </c>
      <c r="D6" t="s">
        <v>392</v>
      </c>
      <c r="E6" t="s">
        <v>112</v>
      </c>
      <c r="F6" t="s">
        <v>639</v>
      </c>
      <c r="G6">
        <v>100</v>
      </c>
      <c r="H6">
        <v>2494235846.4000001</v>
      </c>
      <c r="J6">
        <v>0.2</v>
      </c>
      <c r="K6">
        <v>90370864</v>
      </c>
      <c r="L6">
        <v>138</v>
      </c>
      <c r="M6">
        <v>138.6</v>
      </c>
      <c r="N6">
        <v>138</v>
      </c>
      <c r="O6">
        <v>1948543.3729999999</v>
      </c>
      <c r="P6" t="s">
        <v>941</v>
      </c>
      <c r="Q6" t="s">
        <v>944</v>
      </c>
      <c r="R6" t="s">
        <v>942</v>
      </c>
      <c r="S6" t="s">
        <v>940</v>
      </c>
    </row>
    <row r="7" spans="1:19" x14ac:dyDescent="0.25">
      <c r="A7">
        <v>6</v>
      </c>
      <c r="C7" t="s">
        <v>149</v>
      </c>
      <c r="D7" t="s">
        <v>393</v>
      </c>
      <c r="E7" t="s">
        <v>112</v>
      </c>
      <c r="F7" t="s">
        <v>640</v>
      </c>
      <c r="G7">
        <v>100</v>
      </c>
      <c r="H7">
        <v>2146352834.4000001</v>
      </c>
      <c r="J7">
        <v>0.25</v>
      </c>
      <c r="K7">
        <v>485051488</v>
      </c>
      <c r="L7">
        <v>17.7</v>
      </c>
      <c r="M7">
        <v>17.54</v>
      </c>
      <c r="N7">
        <v>17.7</v>
      </c>
      <c r="O7">
        <v>2086448.6473000001</v>
      </c>
      <c r="P7" t="s">
        <v>941</v>
      </c>
      <c r="Q7" t="s">
        <v>944</v>
      </c>
      <c r="R7" t="s">
        <v>942</v>
      </c>
      <c r="S7" t="s">
        <v>940</v>
      </c>
    </row>
    <row r="8" spans="1:19" x14ac:dyDescent="0.25">
      <c r="A8">
        <v>7</v>
      </c>
      <c r="C8" t="s">
        <v>150</v>
      </c>
      <c r="D8" t="s">
        <v>394</v>
      </c>
      <c r="E8" t="s">
        <v>112</v>
      </c>
      <c r="F8" t="s">
        <v>641</v>
      </c>
      <c r="G8">
        <v>100</v>
      </c>
      <c r="H8">
        <v>2079440000</v>
      </c>
      <c r="J8">
        <v>1</v>
      </c>
      <c r="K8">
        <v>272000000</v>
      </c>
      <c r="L8">
        <v>7.6449999999999996</v>
      </c>
      <c r="M8">
        <v>8.9049999999999994</v>
      </c>
      <c r="N8">
        <v>7.6449999999999996</v>
      </c>
      <c r="O8">
        <v>7149861.7374</v>
      </c>
      <c r="P8" t="s">
        <v>941</v>
      </c>
      <c r="Q8" t="s">
        <v>944</v>
      </c>
      <c r="R8" t="s">
        <v>942</v>
      </c>
      <c r="S8" t="s">
        <v>940</v>
      </c>
    </row>
    <row r="9" spans="1:19" x14ac:dyDescent="0.25">
      <c r="A9">
        <v>8</v>
      </c>
      <c r="C9" t="s">
        <v>151</v>
      </c>
      <c r="D9" t="s">
        <v>395</v>
      </c>
      <c r="E9" t="s">
        <v>109</v>
      </c>
      <c r="F9" t="s">
        <v>642</v>
      </c>
      <c r="G9">
        <v>100</v>
      </c>
      <c r="H9">
        <v>2030534842.05</v>
      </c>
      <c r="J9">
        <v>0.55000000000000004</v>
      </c>
      <c r="K9">
        <v>100050990</v>
      </c>
      <c r="L9">
        <v>36.9</v>
      </c>
      <c r="M9">
        <v>42</v>
      </c>
      <c r="N9">
        <v>36.9</v>
      </c>
      <c r="O9">
        <v>20381899.903616998</v>
      </c>
      <c r="P9" t="s">
        <v>941</v>
      </c>
      <c r="Q9" t="s">
        <v>944</v>
      </c>
      <c r="R9" t="s">
        <v>942</v>
      </c>
      <c r="S9" t="s">
        <v>940</v>
      </c>
    </row>
    <row r="10" spans="1:19" x14ac:dyDescent="0.25">
      <c r="A10">
        <v>9</v>
      </c>
      <c r="C10" t="s">
        <v>152</v>
      </c>
      <c r="D10" t="s">
        <v>396</v>
      </c>
      <c r="E10" t="s">
        <v>633</v>
      </c>
      <c r="F10" t="s">
        <v>643</v>
      </c>
      <c r="G10">
        <v>10</v>
      </c>
      <c r="H10">
        <v>4249032802.5599999</v>
      </c>
      <c r="I10" t="s">
        <v>934</v>
      </c>
      <c r="J10">
        <v>0.4</v>
      </c>
      <c r="K10">
        <v>170233686</v>
      </c>
      <c r="L10">
        <v>62.4</v>
      </c>
      <c r="M10">
        <v>61.55</v>
      </c>
      <c r="N10">
        <v>62.4</v>
      </c>
      <c r="O10">
        <v>7388560.2189999996</v>
      </c>
      <c r="P10" t="s">
        <v>942</v>
      </c>
      <c r="R10" t="s">
        <v>942</v>
      </c>
    </row>
    <row r="11" spans="1:19" x14ac:dyDescent="0.25">
      <c r="A11">
        <v>10</v>
      </c>
      <c r="C11" t="s">
        <v>153</v>
      </c>
      <c r="D11" t="s">
        <v>397</v>
      </c>
      <c r="E11" t="s">
        <v>634</v>
      </c>
      <c r="F11" t="s">
        <v>644</v>
      </c>
      <c r="G11">
        <v>10</v>
      </c>
      <c r="H11">
        <v>3559849163.8920012</v>
      </c>
      <c r="I11" t="s">
        <v>934</v>
      </c>
      <c r="J11">
        <v>0.3</v>
      </c>
      <c r="K11">
        <v>1051033116</v>
      </c>
      <c r="L11">
        <v>11.29</v>
      </c>
      <c r="M11">
        <v>11.46</v>
      </c>
      <c r="N11">
        <v>11.29</v>
      </c>
      <c r="O11">
        <v>14137698.835899999</v>
      </c>
      <c r="P11" t="s">
        <v>942</v>
      </c>
      <c r="R11" t="s">
        <v>942</v>
      </c>
    </row>
    <row r="12" spans="1:19" x14ac:dyDescent="0.25">
      <c r="A12">
        <v>11</v>
      </c>
      <c r="C12" t="s">
        <v>154</v>
      </c>
      <c r="D12" t="s">
        <v>398</v>
      </c>
      <c r="E12" t="s">
        <v>109</v>
      </c>
      <c r="F12" t="s">
        <v>645</v>
      </c>
      <c r="G12">
        <v>10</v>
      </c>
      <c r="H12">
        <v>2859247519.1999998</v>
      </c>
      <c r="I12" t="s">
        <v>934</v>
      </c>
      <c r="J12">
        <v>0.6</v>
      </c>
      <c r="K12">
        <v>44956722</v>
      </c>
      <c r="L12">
        <v>106</v>
      </c>
      <c r="M12">
        <v>117.8</v>
      </c>
      <c r="N12">
        <v>106</v>
      </c>
      <c r="O12">
        <v>13670279.317500001</v>
      </c>
      <c r="P12" t="s">
        <v>943</v>
      </c>
      <c r="Q12" t="s">
        <v>944</v>
      </c>
      <c r="R12" t="s">
        <v>942</v>
      </c>
    </row>
    <row r="13" spans="1:19" x14ac:dyDescent="0.25">
      <c r="A13">
        <v>12</v>
      </c>
      <c r="B13">
        <v>1</v>
      </c>
      <c r="C13" t="s">
        <v>40</v>
      </c>
      <c r="D13" t="s">
        <v>90</v>
      </c>
      <c r="E13" t="s">
        <v>112</v>
      </c>
      <c r="F13" t="s">
        <v>646</v>
      </c>
      <c r="G13">
        <v>9.9486301369863011</v>
      </c>
      <c r="H13">
        <v>67281463362.959999</v>
      </c>
      <c r="I13" t="s">
        <v>934</v>
      </c>
      <c r="J13">
        <v>1</v>
      </c>
      <c r="K13">
        <v>1907070957</v>
      </c>
      <c r="L13">
        <v>35.28</v>
      </c>
      <c r="M13">
        <v>34.28</v>
      </c>
      <c r="N13">
        <v>35.28</v>
      </c>
      <c r="O13">
        <v>31979316.750999998</v>
      </c>
    </row>
    <row r="14" spans="1:19" x14ac:dyDescent="0.25">
      <c r="A14">
        <v>13</v>
      </c>
      <c r="B14">
        <v>2</v>
      </c>
      <c r="C14" t="s">
        <v>41</v>
      </c>
      <c r="D14" t="s">
        <v>91</v>
      </c>
      <c r="E14" t="s">
        <v>108</v>
      </c>
      <c r="F14" t="s">
        <v>647</v>
      </c>
      <c r="G14">
        <v>9.9486301369863011</v>
      </c>
      <c r="H14">
        <v>36516762901.889999</v>
      </c>
      <c r="I14" t="s">
        <v>934</v>
      </c>
      <c r="J14">
        <v>0.9</v>
      </c>
      <c r="K14">
        <v>499067417</v>
      </c>
      <c r="L14">
        <v>81.3</v>
      </c>
      <c r="M14">
        <v>87.14</v>
      </c>
      <c r="N14">
        <v>81.3</v>
      </c>
      <c r="O14">
        <v>87159863.752391994</v>
      </c>
    </row>
    <row r="15" spans="1:19" x14ac:dyDescent="0.25">
      <c r="A15">
        <v>14</v>
      </c>
      <c r="B15">
        <v>3</v>
      </c>
      <c r="C15" t="s">
        <v>33</v>
      </c>
      <c r="D15" t="s">
        <v>83</v>
      </c>
      <c r="E15" t="s">
        <v>112</v>
      </c>
      <c r="F15" t="s">
        <v>648</v>
      </c>
      <c r="G15">
        <v>9.9486301369863011</v>
      </c>
      <c r="H15">
        <v>15283496558.459999</v>
      </c>
      <c r="I15" t="s">
        <v>934</v>
      </c>
      <c r="J15">
        <v>1</v>
      </c>
      <c r="K15">
        <v>3888930422</v>
      </c>
      <c r="L15">
        <v>3.93</v>
      </c>
      <c r="M15">
        <v>3.8620000000000001</v>
      </c>
      <c r="N15">
        <v>3.93</v>
      </c>
      <c r="O15">
        <v>33374075.161474999</v>
      </c>
    </row>
    <row r="16" spans="1:19" x14ac:dyDescent="0.25">
      <c r="A16">
        <v>15</v>
      </c>
      <c r="B16">
        <v>4</v>
      </c>
      <c r="C16" t="s">
        <v>46</v>
      </c>
      <c r="D16" t="s">
        <v>96</v>
      </c>
      <c r="E16" t="s">
        <v>109</v>
      </c>
      <c r="F16" t="s">
        <v>649</v>
      </c>
      <c r="G16">
        <v>9.9486301369863011</v>
      </c>
      <c r="H16">
        <v>14134968000</v>
      </c>
      <c r="I16" t="s">
        <v>934</v>
      </c>
      <c r="J16">
        <v>0.3</v>
      </c>
      <c r="K16">
        <v>1128000000</v>
      </c>
      <c r="L16">
        <v>41.77</v>
      </c>
      <c r="M16">
        <v>43.62</v>
      </c>
      <c r="N16">
        <v>41.77</v>
      </c>
      <c r="O16">
        <v>39621447.7227</v>
      </c>
    </row>
    <row r="17" spans="1:18" x14ac:dyDescent="0.25">
      <c r="A17">
        <v>16</v>
      </c>
      <c r="B17">
        <v>5</v>
      </c>
      <c r="C17" t="s">
        <v>54</v>
      </c>
      <c r="D17" t="s">
        <v>104</v>
      </c>
      <c r="E17" t="s">
        <v>108</v>
      </c>
      <c r="F17" t="s">
        <v>650</v>
      </c>
      <c r="G17">
        <v>9.9486301369863011</v>
      </c>
      <c r="H17">
        <v>10885166804.73</v>
      </c>
      <c r="I17" t="s">
        <v>934</v>
      </c>
      <c r="J17">
        <v>0.85000000000000009</v>
      </c>
      <c r="K17">
        <v>143244727</v>
      </c>
      <c r="L17">
        <v>89.4</v>
      </c>
      <c r="M17">
        <v>90.48</v>
      </c>
      <c r="N17">
        <v>89.4</v>
      </c>
      <c r="O17">
        <v>29591643.248512</v>
      </c>
    </row>
    <row r="18" spans="1:18" x14ac:dyDescent="0.25">
      <c r="A18">
        <v>17</v>
      </c>
      <c r="C18" t="s">
        <v>121</v>
      </c>
      <c r="D18" t="s">
        <v>127</v>
      </c>
      <c r="E18" t="s">
        <v>110</v>
      </c>
      <c r="F18" t="s">
        <v>651</v>
      </c>
      <c r="G18">
        <v>9.9486301369863011</v>
      </c>
      <c r="H18">
        <v>9808279454.3999996</v>
      </c>
      <c r="I18" t="s">
        <v>934</v>
      </c>
      <c r="J18">
        <v>0.3</v>
      </c>
      <c r="K18">
        <v>1058752100</v>
      </c>
      <c r="L18">
        <v>30.88</v>
      </c>
      <c r="M18">
        <v>30.19</v>
      </c>
      <c r="N18">
        <v>30.88</v>
      </c>
      <c r="O18">
        <v>20387471.697055999</v>
      </c>
      <c r="P18" t="s">
        <v>942</v>
      </c>
      <c r="R18" t="s">
        <v>942</v>
      </c>
    </row>
    <row r="19" spans="1:18" x14ac:dyDescent="0.25">
      <c r="A19">
        <v>18</v>
      </c>
      <c r="C19" t="s">
        <v>155</v>
      </c>
      <c r="D19" t="s">
        <v>399</v>
      </c>
      <c r="E19" t="s">
        <v>114</v>
      </c>
      <c r="F19" t="s">
        <v>652</v>
      </c>
      <c r="G19">
        <v>9.9486301369863011</v>
      </c>
      <c r="H19">
        <v>8162863515.8249998</v>
      </c>
      <c r="I19" t="s">
        <v>934</v>
      </c>
      <c r="J19">
        <v>0.5</v>
      </c>
      <c r="K19">
        <v>897264470</v>
      </c>
      <c r="L19">
        <v>18.195</v>
      </c>
      <c r="M19">
        <v>18.11</v>
      </c>
      <c r="N19">
        <v>18.195</v>
      </c>
      <c r="O19">
        <v>20988319.094500002</v>
      </c>
      <c r="P19" t="s">
        <v>942</v>
      </c>
      <c r="R19" t="s">
        <v>942</v>
      </c>
    </row>
    <row r="20" spans="1:18" x14ac:dyDescent="0.25">
      <c r="A20">
        <v>19</v>
      </c>
      <c r="C20" t="s">
        <v>156</v>
      </c>
      <c r="D20" t="s">
        <v>400</v>
      </c>
      <c r="E20" t="s">
        <v>108</v>
      </c>
      <c r="F20" t="s">
        <v>653</v>
      </c>
      <c r="G20">
        <v>9.9486301369863011</v>
      </c>
      <c r="H20">
        <v>7536416710.7840014</v>
      </c>
      <c r="I20" t="s">
        <v>934</v>
      </c>
      <c r="J20">
        <v>0.8</v>
      </c>
      <c r="K20">
        <v>286861172</v>
      </c>
      <c r="L20">
        <v>32.840000000000003</v>
      </c>
      <c r="M20">
        <v>32.799999999999997</v>
      </c>
      <c r="N20">
        <v>32.840000000000003</v>
      </c>
      <c r="O20">
        <v>15872535.5485</v>
      </c>
      <c r="P20" t="s">
        <v>942</v>
      </c>
      <c r="R20" t="s">
        <v>942</v>
      </c>
    </row>
    <row r="21" spans="1:18" x14ac:dyDescent="0.25">
      <c r="A21">
        <v>20</v>
      </c>
      <c r="C21" t="s">
        <v>157</v>
      </c>
      <c r="D21" t="s">
        <v>401</v>
      </c>
      <c r="E21" t="s">
        <v>109</v>
      </c>
      <c r="F21" t="s">
        <v>654</v>
      </c>
      <c r="G21">
        <v>9.9486301369863011</v>
      </c>
      <c r="H21">
        <v>4279043969.75</v>
      </c>
      <c r="I21" t="s">
        <v>934</v>
      </c>
      <c r="J21">
        <v>0.55000000000000004</v>
      </c>
      <c r="K21">
        <v>131198650</v>
      </c>
      <c r="L21">
        <v>59.3</v>
      </c>
      <c r="M21">
        <v>66.55</v>
      </c>
      <c r="N21">
        <v>59.3</v>
      </c>
      <c r="O21">
        <v>14544350.086999999</v>
      </c>
      <c r="P21" t="s">
        <v>942</v>
      </c>
      <c r="R21" t="s">
        <v>942</v>
      </c>
    </row>
    <row r="22" spans="1:18" x14ac:dyDescent="0.25">
      <c r="A22">
        <v>21</v>
      </c>
      <c r="C22" t="s">
        <v>158</v>
      </c>
      <c r="D22" t="s">
        <v>402</v>
      </c>
      <c r="E22" t="s">
        <v>108</v>
      </c>
      <c r="F22" t="s">
        <v>655</v>
      </c>
      <c r="G22">
        <v>9.9486301369863011</v>
      </c>
      <c r="H22">
        <v>3066854783.3000002</v>
      </c>
      <c r="I22" t="s">
        <v>934</v>
      </c>
      <c r="J22">
        <v>0.5</v>
      </c>
      <c r="K22">
        <v>111623468</v>
      </c>
      <c r="L22">
        <v>54.95</v>
      </c>
      <c r="M22">
        <v>53.85</v>
      </c>
      <c r="N22">
        <v>54.95</v>
      </c>
      <c r="O22">
        <v>5877319.5010000002</v>
      </c>
      <c r="P22" t="s">
        <v>942</v>
      </c>
      <c r="R22" t="s">
        <v>942</v>
      </c>
    </row>
    <row r="23" spans="1:18" x14ac:dyDescent="0.25">
      <c r="A23">
        <v>22</v>
      </c>
      <c r="C23" t="s">
        <v>159</v>
      </c>
      <c r="D23" t="s">
        <v>403</v>
      </c>
      <c r="E23" t="s">
        <v>111</v>
      </c>
      <c r="F23" t="s">
        <v>656</v>
      </c>
      <c r="G23">
        <v>9.9486301369863011</v>
      </c>
      <c r="H23">
        <v>2683296000</v>
      </c>
      <c r="I23" t="s">
        <v>934</v>
      </c>
      <c r="J23">
        <v>0.75</v>
      </c>
      <c r="K23">
        <v>246400000</v>
      </c>
      <c r="L23">
        <v>14.52</v>
      </c>
      <c r="M23">
        <v>15.85</v>
      </c>
      <c r="N23">
        <v>14.52</v>
      </c>
      <c r="O23">
        <v>7657205.6112500001</v>
      </c>
      <c r="P23" t="s">
        <v>943</v>
      </c>
      <c r="Q23" t="s">
        <v>944</v>
      </c>
      <c r="R23" t="s">
        <v>942</v>
      </c>
    </row>
    <row r="24" spans="1:18" x14ac:dyDescent="0.25">
      <c r="A24">
        <v>23</v>
      </c>
      <c r="C24" t="s">
        <v>160</v>
      </c>
      <c r="D24" t="s">
        <v>404</v>
      </c>
      <c r="E24" t="s">
        <v>109</v>
      </c>
      <c r="F24" t="s">
        <v>657</v>
      </c>
      <c r="G24">
        <v>9.8595890410958908</v>
      </c>
      <c r="H24">
        <v>8756039580</v>
      </c>
      <c r="I24" t="s">
        <v>934</v>
      </c>
      <c r="J24">
        <v>1</v>
      </c>
      <c r="K24">
        <v>216841000</v>
      </c>
      <c r="L24">
        <v>40.380000000000003</v>
      </c>
      <c r="M24">
        <v>38.604999999999997</v>
      </c>
      <c r="N24">
        <v>40.380000000000003</v>
      </c>
      <c r="O24">
        <v>17652069.930799998</v>
      </c>
      <c r="P24" t="s">
        <v>942</v>
      </c>
      <c r="R24" t="s">
        <v>942</v>
      </c>
    </row>
    <row r="25" spans="1:18" x14ac:dyDescent="0.25">
      <c r="A25">
        <v>24</v>
      </c>
      <c r="C25" t="s">
        <v>161</v>
      </c>
      <c r="D25" t="s">
        <v>405</v>
      </c>
      <c r="E25" t="s">
        <v>111</v>
      </c>
      <c r="F25" t="s">
        <v>658</v>
      </c>
      <c r="G25">
        <v>9.8595890410958908</v>
      </c>
      <c r="H25">
        <v>4026164489.0999999</v>
      </c>
      <c r="I25" t="s">
        <v>934</v>
      </c>
      <c r="J25">
        <v>0.45</v>
      </c>
      <c r="K25">
        <v>44512598</v>
      </c>
      <c r="L25">
        <v>201</v>
      </c>
      <c r="M25">
        <v>215.5</v>
      </c>
      <c r="N25">
        <v>201</v>
      </c>
      <c r="O25">
        <v>8634267.4279999994</v>
      </c>
      <c r="P25" t="s">
        <v>942</v>
      </c>
      <c r="R25" t="s">
        <v>942</v>
      </c>
    </row>
    <row r="26" spans="1:18" x14ac:dyDescent="0.25">
      <c r="A26">
        <v>25</v>
      </c>
      <c r="C26" t="s">
        <v>162</v>
      </c>
      <c r="D26" t="s">
        <v>406</v>
      </c>
      <c r="E26" t="s">
        <v>108</v>
      </c>
      <c r="F26" t="s">
        <v>659</v>
      </c>
      <c r="G26">
        <v>9.8595890410958908</v>
      </c>
      <c r="H26">
        <v>3630741693.3600011</v>
      </c>
      <c r="I26" t="s">
        <v>934</v>
      </c>
      <c r="J26">
        <v>0.60000000000000009</v>
      </c>
      <c r="K26">
        <v>76792337</v>
      </c>
      <c r="L26">
        <v>78.8</v>
      </c>
      <c r="M26">
        <v>79.55</v>
      </c>
      <c r="N26">
        <v>78.8</v>
      </c>
      <c r="O26">
        <v>11087050.336750001</v>
      </c>
      <c r="P26" t="s">
        <v>942</v>
      </c>
      <c r="R26" t="s">
        <v>942</v>
      </c>
    </row>
    <row r="27" spans="1:18" x14ac:dyDescent="0.25">
      <c r="A27">
        <v>26</v>
      </c>
      <c r="C27" t="s">
        <v>163</v>
      </c>
      <c r="D27" t="s">
        <v>407</v>
      </c>
      <c r="E27" t="s">
        <v>109</v>
      </c>
      <c r="F27" t="s">
        <v>660</v>
      </c>
      <c r="G27">
        <v>9.8595890410958908</v>
      </c>
      <c r="H27">
        <v>3313615345.04</v>
      </c>
      <c r="I27" t="s">
        <v>934</v>
      </c>
      <c r="J27">
        <v>0.55000000000000004</v>
      </c>
      <c r="K27">
        <v>236450360</v>
      </c>
      <c r="L27">
        <v>25.48</v>
      </c>
      <c r="M27">
        <v>28.84</v>
      </c>
      <c r="N27">
        <v>25.48</v>
      </c>
      <c r="O27">
        <v>13862075.6271</v>
      </c>
      <c r="P27" t="s">
        <v>942</v>
      </c>
      <c r="R27" t="s">
        <v>942</v>
      </c>
    </row>
    <row r="28" spans="1:18" x14ac:dyDescent="0.25">
      <c r="A28">
        <v>27</v>
      </c>
      <c r="C28" t="s">
        <v>164</v>
      </c>
      <c r="D28" t="s">
        <v>408</v>
      </c>
      <c r="E28" t="s">
        <v>109</v>
      </c>
      <c r="F28" t="s">
        <v>661</v>
      </c>
      <c r="G28">
        <v>9.7551369863013697</v>
      </c>
      <c r="H28">
        <v>4881873680</v>
      </c>
      <c r="I28" t="s">
        <v>934</v>
      </c>
      <c r="J28">
        <v>1</v>
      </c>
      <c r="K28">
        <v>75570800</v>
      </c>
      <c r="L28">
        <v>64.599999999999994</v>
      </c>
      <c r="M28">
        <v>61.2</v>
      </c>
      <c r="N28">
        <v>64.599999999999994</v>
      </c>
      <c r="O28">
        <v>12261355.329</v>
      </c>
      <c r="P28" t="s">
        <v>942</v>
      </c>
      <c r="R28" t="s">
        <v>942</v>
      </c>
    </row>
    <row r="29" spans="1:18" x14ac:dyDescent="0.25">
      <c r="A29">
        <v>28</v>
      </c>
      <c r="B29">
        <v>6</v>
      </c>
      <c r="C29" t="s">
        <v>42</v>
      </c>
      <c r="D29" t="s">
        <v>92</v>
      </c>
      <c r="E29" t="s">
        <v>108</v>
      </c>
      <c r="F29" t="s">
        <v>662</v>
      </c>
      <c r="G29">
        <v>9.75</v>
      </c>
      <c r="H29">
        <v>100657365661.892</v>
      </c>
      <c r="I29" t="s">
        <v>934</v>
      </c>
      <c r="J29">
        <v>0.95000000000000007</v>
      </c>
      <c r="K29">
        <v>1227468973</v>
      </c>
      <c r="L29">
        <v>86.32</v>
      </c>
      <c r="M29">
        <v>83.64</v>
      </c>
      <c r="N29">
        <v>86.32</v>
      </c>
      <c r="O29">
        <v>155693899.83570999</v>
      </c>
    </row>
    <row r="30" spans="1:18" x14ac:dyDescent="0.25">
      <c r="A30">
        <v>29</v>
      </c>
      <c r="B30">
        <v>7</v>
      </c>
      <c r="C30" t="s">
        <v>22</v>
      </c>
      <c r="D30" t="s">
        <v>72</v>
      </c>
      <c r="E30" t="s">
        <v>108</v>
      </c>
      <c r="F30" t="s">
        <v>663</v>
      </c>
      <c r="G30">
        <v>9.75</v>
      </c>
      <c r="H30">
        <v>99205772311.800003</v>
      </c>
      <c r="I30" t="s">
        <v>934</v>
      </c>
      <c r="J30">
        <v>0.70000000000000007</v>
      </c>
      <c r="K30">
        <v>463145529</v>
      </c>
      <c r="L30">
        <v>306</v>
      </c>
      <c r="M30">
        <v>284.89999999999998</v>
      </c>
      <c r="N30">
        <v>306</v>
      </c>
      <c r="O30">
        <v>107596969.978358</v>
      </c>
    </row>
    <row r="31" spans="1:18" x14ac:dyDescent="0.25">
      <c r="A31">
        <v>30</v>
      </c>
      <c r="B31">
        <v>8</v>
      </c>
      <c r="C31" t="s">
        <v>53</v>
      </c>
      <c r="D31" t="s">
        <v>103</v>
      </c>
      <c r="E31" t="s">
        <v>111</v>
      </c>
      <c r="F31" t="s">
        <v>664</v>
      </c>
      <c r="G31">
        <v>9.75</v>
      </c>
      <c r="H31">
        <v>29457881904.099998</v>
      </c>
      <c r="I31" t="s">
        <v>934</v>
      </c>
      <c r="J31">
        <v>0.65</v>
      </c>
      <c r="K31">
        <v>194505658</v>
      </c>
      <c r="L31">
        <v>233</v>
      </c>
      <c r="M31">
        <v>240.7</v>
      </c>
      <c r="N31">
        <v>233</v>
      </c>
      <c r="O31">
        <v>50837791.406499997</v>
      </c>
    </row>
    <row r="32" spans="1:18" x14ac:dyDescent="0.25">
      <c r="A32">
        <v>31</v>
      </c>
      <c r="B32">
        <v>9</v>
      </c>
      <c r="C32" t="s">
        <v>24</v>
      </c>
      <c r="D32" t="s">
        <v>74</v>
      </c>
      <c r="E32" t="s">
        <v>109</v>
      </c>
      <c r="F32" t="s">
        <v>665</v>
      </c>
      <c r="G32">
        <v>9.75</v>
      </c>
      <c r="H32">
        <v>19828769146.5</v>
      </c>
      <c r="I32" t="s">
        <v>934</v>
      </c>
      <c r="J32">
        <v>0.75</v>
      </c>
      <c r="K32">
        <v>563237300</v>
      </c>
      <c r="L32">
        <v>46.94</v>
      </c>
      <c r="M32">
        <v>47.91</v>
      </c>
      <c r="N32">
        <v>46.94</v>
      </c>
      <c r="O32">
        <v>33009553.495099999</v>
      </c>
    </row>
    <row r="33" spans="1:18" x14ac:dyDescent="0.25">
      <c r="A33">
        <v>32</v>
      </c>
      <c r="B33">
        <v>10</v>
      </c>
      <c r="C33" t="s">
        <v>35</v>
      </c>
      <c r="D33" t="s">
        <v>85</v>
      </c>
      <c r="E33" t="s">
        <v>109</v>
      </c>
      <c r="F33" t="s">
        <v>666</v>
      </c>
      <c r="G33">
        <v>9.75</v>
      </c>
      <c r="H33">
        <v>14513904675</v>
      </c>
      <c r="I33" t="s">
        <v>934</v>
      </c>
      <c r="J33">
        <v>1</v>
      </c>
      <c r="K33">
        <v>129242250</v>
      </c>
      <c r="L33">
        <v>112.3</v>
      </c>
      <c r="M33">
        <v>119.1</v>
      </c>
      <c r="N33">
        <v>112.3</v>
      </c>
      <c r="O33">
        <v>35914347.717249997</v>
      </c>
    </row>
    <row r="34" spans="1:18" x14ac:dyDescent="0.25">
      <c r="A34">
        <v>33</v>
      </c>
      <c r="B34">
        <v>11</v>
      </c>
      <c r="C34" t="s">
        <v>51</v>
      </c>
      <c r="D34" t="s">
        <v>101</v>
      </c>
      <c r="E34" t="s">
        <v>110</v>
      </c>
      <c r="F34" t="s">
        <v>667</v>
      </c>
      <c r="G34">
        <v>9.75</v>
      </c>
      <c r="H34">
        <v>13540912916.959999</v>
      </c>
      <c r="I34" t="s">
        <v>934</v>
      </c>
      <c r="J34">
        <v>0.65</v>
      </c>
      <c r="K34">
        <v>5670161600</v>
      </c>
      <c r="L34">
        <v>3.6739999999999999</v>
      </c>
      <c r="M34">
        <v>3.6720000000000002</v>
      </c>
      <c r="N34">
        <v>3.6739999999999999</v>
      </c>
      <c r="O34">
        <v>39811048.662450999</v>
      </c>
    </row>
    <row r="35" spans="1:18" x14ac:dyDescent="0.25">
      <c r="A35">
        <v>34</v>
      </c>
      <c r="C35" t="s">
        <v>165</v>
      </c>
      <c r="D35" t="s">
        <v>409</v>
      </c>
      <c r="E35" t="s">
        <v>114</v>
      </c>
      <c r="F35" t="s">
        <v>668</v>
      </c>
      <c r="G35">
        <v>9.75</v>
      </c>
      <c r="H35">
        <v>6552082977</v>
      </c>
      <c r="I35" t="s">
        <v>934</v>
      </c>
      <c r="J35">
        <v>1</v>
      </c>
      <c r="K35">
        <v>109292460</v>
      </c>
      <c r="L35">
        <v>59.95</v>
      </c>
      <c r="M35">
        <v>61.25</v>
      </c>
      <c r="N35">
        <v>59.95</v>
      </c>
      <c r="O35">
        <v>13163966.3562</v>
      </c>
      <c r="P35" t="s">
        <v>942</v>
      </c>
      <c r="R35" t="s">
        <v>942</v>
      </c>
    </row>
    <row r="36" spans="1:18" x14ac:dyDescent="0.25">
      <c r="A36">
        <v>35</v>
      </c>
      <c r="B36">
        <v>12</v>
      </c>
      <c r="C36" t="s">
        <v>50</v>
      </c>
      <c r="D36" t="s">
        <v>100</v>
      </c>
      <c r="E36" t="s">
        <v>115</v>
      </c>
      <c r="F36" t="s">
        <v>669</v>
      </c>
      <c r="G36">
        <v>9.75</v>
      </c>
      <c r="H36">
        <v>5595638507.7024002</v>
      </c>
      <c r="I36" t="s">
        <v>934</v>
      </c>
      <c r="J36">
        <v>0.75</v>
      </c>
      <c r="K36">
        <v>15329466496</v>
      </c>
      <c r="L36">
        <v>0.48670000000000002</v>
      </c>
      <c r="M36">
        <v>0.49020000000000002</v>
      </c>
      <c r="N36">
        <v>0.48670000000000002</v>
      </c>
      <c r="O36">
        <v>74143260.029286996</v>
      </c>
    </row>
    <row r="37" spans="1:18" x14ac:dyDescent="0.25">
      <c r="A37">
        <v>36</v>
      </c>
      <c r="C37" t="s">
        <v>166</v>
      </c>
      <c r="D37" t="s">
        <v>410</v>
      </c>
      <c r="E37" t="s">
        <v>108</v>
      </c>
      <c r="F37" t="s">
        <v>670</v>
      </c>
      <c r="G37">
        <v>9.75</v>
      </c>
      <c r="H37">
        <v>5099001357.6000004</v>
      </c>
      <c r="I37" t="s">
        <v>934</v>
      </c>
      <c r="J37">
        <v>0.4</v>
      </c>
      <c r="K37">
        <v>118361220</v>
      </c>
      <c r="L37">
        <v>107.7</v>
      </c>
      <c r="M37">
        <v>106.5</v>
      </c>
      <c r="N37">
        <v>107.7</v>
      </c>
      <c r="O37">
        <v>12232492.916999999</v>
      </c>
      <c r="P37" t="s">
        <v>942</v>
      </c>
      <c r="R37" t="s">
        <v>942</v>
      </c>
    </row>
    <row r="38" spans="1:18" x14ac:dyDescent="0.25">
      <c r="A38">
        <v>37</v>
      </c>
      <c r="C38" t="s">
        <v>167</v>
      </c>
      <c r="D38" t="s">
        <v>411</v>
      </c>
      <c r="E38" t="s">
        <v>110</v>
      </c>
      <c r="F38" t="s">
        <v>671</v>
      </c>
      <c r="G38">
        <v>9.75</v>
      </c>
      <c r="H38">
        <v>2810006433.6500001</v>
      </c>
      <c r="I38" t="s">
        <v>934</v>
      </c>
      <c r="J38">
        <v>0.65</v>
      </c>
      <c r="K38">
        <v>426129800</v>
      </c>
      <c r="L38">
        <v>10.145</v>
      </c>
      <c r="M38">
        <v>10.7</v>
      </c>
      <c r="N38">
        <v>10.145</v>
      </c>
      <c r="O38">
        <v>17868358.962639999</v>
      </c>
      <c r="P38" t="s">
        <v>943</v>
      </c>
      <c r="Q38" t="s">
        <v>944</v>
      </c>
      <c r="R38" t="s">
        <v>942</v>
      </c>
    </row>
    <row r="39" spans="1:18" x14ac:dyDescent="0.25">
      <c r="A39">
        <v>38</v>
      </c>
      <c r="C39" t="s">
        <v>168</v>
      </c>
      <c r="D39" t="s">
        <v>412</v>
      </c>
      <c r="E39" t="s">
        <v>633</v>
      </c>
      <c r="F39" t="s">
        <v>672</v>
      </c>
      <c r="G39">
        <v>9.6428571428571423</v>
      </c>
      <c r="H39">
        <v>3828240000</v>
      </c>
      <c r="I39" t="s">
        <v>934</v>
      </c>
      <c r="J39">
        <v>0.6</v>
      </c>
      <c r="K39">
        <v>104000000</v>
      </c>
      <c r="L39">
        <v>61.35</v>
      </c>
      <c r="M39">
        <v>63.9</v>
      </c>
      <c r="N39">
        <v>61.35</v>
      </c>
      <c r="O39">
        <v>4454658.176</v>
      </c>
      <c r="P39" t="s">
        <v>942</v>
      </c>
      <c r="R39" t="s">
        <v>942</v>
      </c>
    </row>
    <row r="40" spans="1:18" x14ac:dyDescent="0.25">
      <c r="A40">
        <v>39</v>
      </c>
      <c r="B40">
        <v>13</v>
      </c>
      <c r="C40" t="s">
        <v>31</v>
      </c>
      <c r="D40" t="s">
        <v>81</v>
      </c>
      <c r="E40" t="s">
        <v>113</v>
      </c>
      <c r="F40" t="s">
        <v>673</v>
      </c>
      <c r="G40">
        <v>9.6258503401360542</v>
      </c>
      <c r="H40">
        <v>10219887392.5825</v>
      </c>
      <c r="I40" t="s">
        <v>934</v>
      </c>
      <c r="J40">
        <v>0.85000000000000009</v>
      </c>
      <c r="K40">
        <v>180396053</v>
      </c>
      <c r="L40">
        <v>66.650000000000006</v>
      </c>
      <c r="M40">
        <v>75.3</v>
      </c>
      <c r="N40">
        <v>66.650000000000006</v>
      </c>
      <c r="O40">
        <v>27576234.435449999</v>
      </c>
    </row>
    <row r="41" spans="1:18" x14ac:dyDescent="0.25">
      <c r="A41">
        <v>40</v>
      </c>
      <c r="B41">
        <v>14</v>
      </c>
      <c r="C41" t="s">
        <v>23</v>
      </c>
      <c r="D41" t="s">
        <v>73</v>
      </c>
      <c r="E41" t="s">
        <v>109</v>
      </c>
      <c r="F41" t="s">
        <v>674</v>
      </c>
      <c r="G41">
        <v>9.6258503401360542</v>
      </c>
      <c r="H41">
        <v>8326486884.0999994</v>
      </c>
      <c r="I41" t="s">
        <v>934</v>
      </c>
      <c r="J41">
        <v>0.7</v>
      </c>
      <c r="K41">
        <v>293413450</v>
      </c>
      <c r="L41">
        <v>40.54</v>
      </c>
      <c r="M41">
        <v>39.92</v>
      </c>
      <c r="N41">
        <v>40.54</v>
      </c>
      <c r="O41">
        <v>24916709.261799999</v>
      </c>
    </row>
    <row r="42" spans="1:18" x14ac:dyDescent="0.25">
      <c r="A42">
        <v>41</v>
      </c>
      <c r="C42" t="s">
        <v>169</v>
      </c>
      <c r="D42" t="s">
        <v>413</v>
      </c>
      <c r="E42" t="s">
        <v>110</v>
      </c>
      <c r="F42" t="s">
        <v>675</v>
      </c>
      <c r="G42">
        <v>9.6258503401360542</v>
      </c>
      <c r="H42">
        <v>4532630058.4499998</v>
      </c>
      <c r="I42" t="s">
        <v>934</v>
      </c>
      <c r="J42">
        <v>0.65</v>
      </c>
      <c r="K42">
        <v>563724900</v>
      </c>
      <c r="L42">
        <v>12.37</v>
      </c>
      <c r="M42">
        <v>12.27</v>
      </c>
      <c r="N42">
        <v>12.37</v>
      </c>
      <c r="O42">
        <v>9964786.5449999999</v>
      </c>
      <c r="P42" t="s">
        <v>942</v>
      </c>
      <c r="R42" t="s">
        <v>942</v>
      </c>
    </row>
    <row r="43" spans="1:18" x14ac:dyDescent="0.25">
      <c r="A43">
        <v>42</v>
      </c>
      <c r="C43" t="s">
        <v>170</v>
      </c>
      <c r="D43" t="s">
        <v>414</v>
      </c>
      <c r="E43" t="s">
        <v>108</v>
      </c>
      <c r="F43" t="s">
        <v>676</v>
      </c>
      <c r="G43">
        <v>9.6258503401360542</v>
      </c>
      <c r="H43">
        <v>4261130501.8400002</v>
      </c>
      <c r="I43" t="s">
        <v>934</v>
      </c>
      <c r="J43">
        <v>0.4</v>
      </c>
      <c r="K43">
        <v>83814526</v>
      </c>
      <c r="L43">
        <v>127.1</v>
      </c>
      <c r="M43">
        <v>121.5</v>
      </c>
      <c r="N43">
        <v>127.1</v>
      </c>
      <c r="O43">
        <v>8187489.5889999997</v>
      </c>
      <c r="P43" t="s">
        <v>942</v>
      </c>
      <c r="R43" t="s">
        <v>942</v>
      </c>
    </row>
    <row r="44" spans="1:18" x14ac:dyDescent="0.25">
      <c r="A44">
        <v>43</v>
      </c>
      <c r="B44">
        <v>15</v>
      </c>
      <c r="C44" t="s">
        <v>13</v>
      </c>
      <c r="D44" t="s">
        <v>63</v>
      </c>
      <c r="E44" t="s">
        <v>111</v>
      </c>
      <c r="F44" t="s">
        <v>677</v>
      </c>
      <c r="G44">
        <v>9.2403581267217625</v>
      </c>
      <c r="H44">
        <v>49279768370.400002</v>
      </c>
      <c r="I44" t="s">
        <v>934</v>
      </c>
      <c r="J44">
        <v>1</v>
      </c>
      <c r="K44">
        <v>61568926</v>
      </c>
      <c r="L44">
        <v>800.4</v>
      </c>
      <c r="M44">
        <v>756.8</v>
      </c>
      <c r="N44">
        <v>800.4</v>
      </c>
      <c r="O44">
        <v>62904879.689000003</v>
      </c>
    </row>
    <row r="45" spans="1:18" x14ac:dyDescent="0.25">
      <c r="A45">
        <v>44</v>
      </c>
      <c r="C45" t="s">
        <v>171</v>
      </c>
      <c r="D45" t="s">
        <v>415</v>
      </c>
      <c r="E45" t="s">
        <v>115</v>
      </c>
      <c r="F45" t="s">
        <v>678</v>
      </c>
      <c r="G45">
        <v>9.2403581267217625</v>
      </c>
      <c r="H45">
        <v>5837205916.8500004</v>
      </c>
      <c r="I45" t="s">
        <v>934</v>
      </c>
      <c r="J45">
        <v>0.55000000000000004</v>
      </c>
      <c r="K45">
        <v>209125156</v>
      </c>
      <c r="L45">
        <v>50.75</v>
      </c>
      <c r="M45">
        <v>48.08</v>
      </c>
      <c r="N45">
        <v>50.75</v>
      </c>
      <c r="O45">
        <v>12670616.46785</v>
      </c>
      <c r="P45" t="s">
        <v>942</v>
      </c>
      <c r="R45" t="s">
        <v>942</v>
      </c>
    </row>
    <row r="46" spans="1:18" x14ac:dyDescent="0.25">
      <c r="A46">
        <v>45</v>
      </c>
      <c r="B46">
        <v>16</v>
      </c>
      <c r="C46" t="s">
        <v>17</v>
      </c>
      <c r="D46" t="s">
        <v>67</v>
      </c>
      <c r="E46" t="s">
        <v>108</v>
      </c>
      <c r="F46" t="s">
        <v>679</v>
      </c>
      <c r="G46">
        <v>8.75</v>
      </c>
      <c r="H46">
        <v>19152363571.025002</v>
      </c>
      <c r="I46" t="s">
        <v>935</v>
      </c>
      <c r="J46">
        <v>0.85000000000000009</v>
      </c>
      <c r="K46">
        <v>171347471</v>
      </c>
      <c r="L46">
        <v>131.5</v>
      </c>
      <c r="M46">
        <v>151.85</v>
      </c>
      <c r="N46">
        <v>131.5</v>
      </c>
      <c r="O46">
        <v>58167259.959066004</v>
      </c>
    </row>
    <row r="47" spans="1:18" x14ac:dyDescent="0.25">
      <c r="A47">
        <v>46</v>
      </c>
      <c r="B47">
        <v>17</v>
      </c>
      <c r="C47" t="s">
        <v>52</v>
      </c>
      <c r="D47" t="s">
        <v>102</v>
      </c>
      <c r="E47" t="s">
        <v>115</v>
      </c>
      <c r="F47" t="s">
        <v>680</v>
      </c>
      <c r="G47">
        <v>8.75</v>
      </c>
      <c r="H47">
        <v>12910580614.4</v>
      </c>
      <c r="I47" t="s">
        <v>935</v>
      </c>
      <c r="J47">
        <v>0.70000000000000007</v>
      </c>
      <c r="K47">
        <v>2009992000</v>
      </c>
      <c r="L47">
        <v>9.1760000000000002</v>
      </c>
      <c r="M47">
        <v>8.7100000000000009</v>
      </c>
      <c r="N47">
        <v>9.1760000000000002</v>
      </c>
      <c r="O47">
        <v>28453589.722240001</v>
      </c>
    </row>
    <row r="48" spans="1:18" x14ac:dyDescent="0.25">
      <c r="A48">
        <v>47</v>
      </c>
      <c r="C48" t="s">
        <v>122</v>
      </c>
      <c r="D48" t="s">
        <v>128</v>
      </c>
      <c r="E48" t="s">
        <v>115</v>
      </c>
      <c r="F48" t="s">
        <v>681</v>
      </c>
      <c r="G48">
        <v>8.75</v>
      </c>
      <c r="H48">
        <v>6293926951.0032501</v>
      </c>
      <c r="I48" t="s">
        <v>935</v>
      </c>
      <c r="J48">
        <v>0.65</v>
      </c>
      <c r="K48">
        <v>1015518043</v>
      </c>
      <c r="L48">
        <v>9.5350000000000001</v>
      </c>
      <c r="M48">
        <v>9.1449999999999996</v>
      </c>
      <c r="N48">
        <v>9.5350000000000001</v>
      </c>
      <c r="O48">
        <v>21258210.962949999</v>
      </c>
      <c r="P48" t="s">
        <v>942</v>
      </c>
      <c r="R48" t="s">
        <v>942</v>
      </c>
    </row>
    <row r="49" spans="1:18" x14ac:dyDescent="0.25">
      <c r="A49">
        <v>48</v>
      </c>
      <c r="C49" t="s">
        <v>124</v>
      </c>
      <c r="D49" t="s">
        <v>130</v>
      </c>
      <c r="E49" t="s">
        <v>110</v>
      </c>
      <c r="F49" t="s">
        <v>682</v>
      </c>
      <c r="G49">
        <v>8.75</v>
      </c>
      <c r="H49">
        <v>6103382400</v>
      </c>
      <c r="I49" t="s">
        <v>935</v>
      </c>
      <c r="J49">
        <v>0.75</v>
      </c>
      <c r="K49">
        <v>541080000</v>
      </c>
      <c r="L49">
        <v>15.04</v>
      </c>
      <c r="M49">
        <v>14.71</v>
      </c>
      <c r="N49">
        <v>15.04</v>
      </c>
      <c r="O49">
        <v>21175320.826400001</v>
      </c>
      <c r="P49" t="s">
        <v>942</v>
      </c>
      <c r="R49" t="s">
        <v>942</v>
      </c>
    </row>
    <row r="50" spans="1:18" x14ac:dyDescent="0.25">
      <c r="A50">
        <v>49</v>
      </c>
      <c r="B50">
        <v>18</v>
      </c>
      <c r="C50" t="s">
        <v>14</v>
      </c>
      <c r="D50" t="s">
        <v>64</v>
      </c>
      <c r="E50" t="s">
        <v>112</v>
      </c>
      <c r="F50" t="s">
        <v>683</v>
      </c>
      <c r="G50">
        <v>8.7476319350473606</v>
      </c>
      <c r="H50">
        <v>323715160116</v>
      </c>
      <c r="I50" t="s">
        <v>935</v>
      </c>
      <c r="J50">
        <v>1</v>
      </c>
      <c r="K50">
        <v>388147674</v>
      </c>
      <c r="L50">
        <v>834</v>
      </c>
      <c r="M50">
        <v>940.9</v>
      </c>
      <c r="N50">
        <v>834</v>
      </c>
      <c r="O50">
        <v>498206589.87099898</v>
      </c>
    </row>
    <row r="51" spans="1:18" x14ac:dyDescent="0.25">
      <c r="A51">
        <v>50</v>
      </c>
      <c r="B51">
        <v>19</v>
      </c>
      <c r="C51" t="s">
        <v>43</v>
      </c>
      <c r="D51" t="s">
        <v>93</v>
      </c>
      <c r="E51" t="s">
        <v>109</v>
      </c>
      <c r="F51" t="s">
        <v>684</v>
      </c>
      <c r="G51">
        <v>8.7476319350473606</v>
      </c>
      <c r="H51">
        <v>226659043350</v>
      </c>
      <c r="I51" t="s">
        <v>935</v>
      </c>
      <c r="J51">
        <v>0.9</v>
      </c>
      <c r="K51">
        <v>1228504300</v>
      </c>
      <c r="L51">
        <v>205</v>
      </c>
      <c r="M51">
        <v>209.3</v>
      </c>
      <c r="N51">
        <v>205</v>
      </c>
      <c r="O51">
        <v>325568946.30524999</v>
      </c>
    </row>
    <row r="52" spans="1:18" x14ac:dyDescent="0.25">
      <c r="A52">
        <v>51</v>
      </c>
      <c r="B52">
        <v>20</v>
      </c>
      <c r="C52" t="s">
        <v>45</v>
      </c>
      <c r="D52" t="s">
        <v>95</v>
      </c>
      <c r="E52" t="s">
        <v>109</v>
      </c>
      <c r="F52" t="s">
        <v>685</v>
      </c>
      <c r="G52">
        <v>8.7476319350473606</v>
      </c>
      <c r="H52">
        <v>166554000000</v>
      </c>
      <c r="I52" t="s">
        <v>935</v>
      </c>
      <c r="J52">
        <v>0.95</v>
      </c>
      <c r="K52">
        <v>800000000</v>
      </c>
      <c r="L52">
        <v>219.15</v>
      </c>
      <c r="M52">
        <v>238.85</v>
      </c>
      <c r="N52">
        <v>219.15</v>
      </c>
      <c r="O52">
        <v>210631163.00424999</v>
      </c>
    </row>
    <row r="53" spans="1:18" x14ac:dyDescent="0.25">
      <c r="A53">
        <v>52</v>
      </c>
      <c r="B53">
        <v>21</v>
      </c>
      <c r="C53" t="s">
        <v>55</v>
      </c>
      <c r="D53" t="s">
        <v>105</v>
      </c>
      <c r="E53" t="s">
        <v>112</v>
      </c>
      <c r="F53" t="s">
        <v>686</v>
      </c>
      <c r="G53">
        <v>8.7476319350473606</v>
      </c>
      <c r="H53">
        <v>129878787807.4028</v>
      </c>
      <c r="I53" t="s">
        <v>935</v>
      </c>
      <c r="J53">
        <v>1</v>
      </c>
      <c r="K53">
        <v>2637743772</v>
      </c>
      <c r="L53">
        <v>49.238591399999997</v>
      </c>
      <c r="M53">
        <v>55.49</v>
      </c>
      <c r="N53">
        <v>52.36</v>
      </c>
      <c r="O53">
        <v>48659108.119999997</v>
      </c>
    </row>
    <row r="54" spans="1:18" x14ac:dyDescent="0.25">
      <c r="A54">
        <v>53</v>
      </c>
      <c r="B54">
        <v>22</v>
      </c>
      <c r="C54" t="s">
        <v>44</v>
      </c>
      <c r="D54" t="s">
        <v>94</v>
      </c>
      <c r="E54" t="s">
        <v>108</v>
      </c>
      <c r="F54" t="s">
        <v>687</v>
      </c>
      <c r="G54">
        <v>8.7476319350473606</v>
      </c>
      <c r="H54">
        <v>128294334417.60001</v>
      </c>
      <c r="I54" t="s">
        <v>935</v>
      </c>
      <c r="J54">
        <v>1</v>
      </c>
      <c r="K54">
        <v>577122512</v>
      </c>
      <c r="L54">
        <v>222.3</v>
      </c>
      <c r="M54">
        <v>239.15</v>
      </c>
      <c r="N54">
        <v>222.3</v>
      </c>
      <c r="O54">
        <v>200348532.41978201</v>
      </c>
    </row>
    <row r="55" spans="1:18" x14ac:dyDescent="0.25">
      <c r="A55">
        <v>54</v>
      </c>
      <c r="B55">
        <v>23</v>
      </c>
      <c r="C55" t="s">
        <v>27</v>
      </c>
      <c r="D55" t="s">
        <v>77</v>
      </c>
      <c r="E55" t="s">
        <v>108</v>
      </c>
      <c r="F55" t="s">
        <v>688</v>
      </c>
      <c r="G55">
        <v>8.7476319350473606</v>
      </c>
      <c r="H55">
        <v>67268829326.400009</v>
      </c>
      <c r="I55" t="s">
        <v>935</v>
      </c>
      <c r="J55">
        <v>0.3</v>
      </c>
      <c r="K55">
        <v>105569412</v>
      </c>
      <c r="L55">
        <v>2124</v>
      </c>
      <c r="M55">
        <v>2131</v>
      </c>
      <c r="N55">
        <v>2124</v>
      </c>
      <c r="O55">
        <v>114540131.815018</v>
      </c>
    </row>
    <row r="56" spans="1:18" x14ac:dyDescent="0.25">
      <c r="A56">
        <v>55</v>
      </c>
      <c r="B56">
        <v>24</v>
      </c>
      <c r="C56" t="s">
        <v>19</v>
      </c>
      <c r="D56" t="s">
        <v>69</v>
      </c>
      <c r="E56" t="s">
        <v>108</v>
      </c>
      <c r="F56" t="s">
        <v>689</v>
      </c>
      <c r="G56">
        <v>8.7476319350473606</v>
      </c>
      <c r="H56">
        <v>50789100579.370987</v>
      </c>
      <c r="I56" t="s">
        <v>935</v>
      </c>
      <c r="J56">
        <v>0.95000000000000007</v>
      </c>
      <c r="K56">
        <v>681394483</v>
      </c>
      <c r="L56">
        <v>78.459999999999994</v>
      </c>
      <c r="M56">
        <v>75.760000000000005</v>
      </c>
      <c r="N56">
        <v>78.459999999999994</v>
      </c>
      <c r="O56">
        <v>75441701.222443998</v>
      </c>
    </row>
    <row r="57" spans="1:18" x14ac:dyDescent="0.25">
      <c r="A57">
        <v>56</v>
      </c>
      <c r="B57">
        <v>25</v>
      </c>
      <c r="C57" t="s">
        <v>29</v>
      </c>
      <c r="D57" t="s">
        <v>79</v>
      </c>
      <c r="E57" t="s">
        <v>110</v>
      </c>
      <c r="F57" t="s">
        <v>690</v>
      </c>
      <c r="G57">
        <v>8.7476319350473606</v>
      </c>
      <c r="H57">
        <v>50767144428</v>
      </c>
      <c r="I57" t="s">
        <v>935</v>
      </c>
      <c r="J57">
        <v>0.35</v>
      </c>
      <c r="K57">
        <v>3116652000</v>
      </c>
      <c r="L57">
        <v>46.54</v>
      </c>
      <c r="M57">
        <v>55.08</v>
      </c>
      <c r="N57">
        <v>46.54</v>
      </c>
      <c r="O57">
        <v>107928229.6776</v>
      </c>
    </row>
    <row r="58" spans="1:18" x14ac:dyDescent="0.25">
      <c r="A58">
        <v>57</v>
      </c>
      <c r="B58">
        <v>26</v>
      </c>
      <c r="C58" t="s">
        <v>34</v>
      </c>
      <c r="D58" t="s">
        <v>84</v>
      </c>
      <c r="E58" t="s">
        <v>108</v>
      </c>
      <c r="F58" t="s">
        <v>691</v>
      </c>
      <c r="G58">
        <v>8.7476319350473606</v>
      </c>
      <c r="H58">
        <v>33265871231.049999</v>
      </c>
      <c r="I58" t="s">
        <v>935</v>
      </c>
      <c r="J58">
        <v>1</v>
      </c>
      <c r="K58">
        <v>262245733</v>
      </c>
      <c r="L58">
        <v>126.85</v>
      </c>
      <c r="M58">
        <v>125.65</v>
      </c>
      <c r="N58">
        <v>126.85</v>
      </c>
      <c r="O58">
        <v>75273279.681071997</v>
      </c>
    </row>
    <row r="59" spans="1:18" x14ac:dyDescent="0.25">
      <c r="A59">
        <v>58</v>
      </c>
      <c r="B59">
        <v>27</v>
      </c>
      <c r="C59" t="s">
        <v>12</v>
      </c>
      <c r="D59" t="s">
        <v>62</v>
      </c>
      <c r="E59" t="s">
        <v>110</v>
      </c>
      <c r="F59" t="s">
        <v>692</v>
      </c>
      <c r="G59">
        <v>8.7476319350473606</v>
      </c>
      <c r="H59">
        <v>27858870528</v>
      </c>
      <c r="I59" t="s">
        <v>935</v>
      </c>
      <c r="J59">
        <v>1</v>
      </c>
      <c r="K59">
        <v>450499200</v>
      </c>
      <c r="L59">
        <v>61.84</v>
      </c>
      <c r="M59">
        <v>61.88</v>
      </c>
      <c r="N59">
        <v>61.84</v>
      </c>
      <c r="O59">
        <v>39456026.0022</v>
      </c>
    </row>
    <row r="60" spans="1:18" x14ac:dyDescent="0.25">
      <c r="A60">
        <v>59</v>
      </c>
      <c r="B60">
        <v>28</v>
      </c>
      <c r="C60" t="s">
        <v>9</v>
      </c>
      <c r="D60" t="s">
        <v>59</v>
      </c>
      <c r="E60" t="s">
        <v>109</v>
      </c>
      <c r="F60" t="s">
        <v>693</v>
      </c>
      <c r="G60">
        <v>8.7476319350473606</v>
      </c>
      <c r="H60">
        <v>25923600000</v>
      </c>
      <c r="I60" t="s">
        <v>935</v>
      </c>
      <c r="J60">
        <v>0.95</v>
      </c>
      <c r="K60">
        <v>180000000</v>
      </c>
      <c r="L60">
        <v>151.6</v>
      </c>
      <c r="M60">
        <v>164.25</v>
      </c>
      <c r="N60">
        <v>151.6</v>
      </c>
      <c r="O60">
        <v>102936456.99225</v>
      </c>
    </row>
    <row r="61" spans="1:18" x14ac:dyDescent="0.25">
      <c r="A61">
        <v>60</v>
      </c>
      <c r="B61">
        <v>29</v>
      </c>
      <c r="C61" t="s">
        <v>25</v>
      </c>
      <c r="D61" t="s">
        <v>75</v>
      </c>
      <c r="E61" t="s">
        <v>109</v>
      </c>
      <c r="F61" t="s">
        <v>694</v>
      </c>
      <c r="G61">
        <v>8.7476319350473606</v>
      </c>
      <c r="H61">
        <v>25767186051.599998</v>
      </c>
      <c r="I61" t="s">
        <v>935</v>
      </c>
      <c r="J61">
        <v>0.7</v>
      </c>
      <c r="K61">
        <v>178430760</v>
      </c>
      <c r="L61">
        <v>206.3</v>
      </c>
      <c r="M61">
        <v>224.7</v>
      </c>
      <c r="N61">
        <v>206.3</v>
      </c>
      <c r="O61">
        <v>62431880.27375</v>
      </c>
    </row>
    <row r="62" spans="1:18" x14ac:dyDescent="0.25">
      <c r="A62">
        <v>61</v>
      </c>
      <c r="B62">
        <v>30</v>
      </c>
      <c r="C62" t="s">
        <v>38</v>
      </c>
      <c r="D62" t="s">
        <v>88</v>
      </c>
      <c r="E62" t="s">
        <v>108</v>
      </c>
      <c r="F62" t="s">
        <v>695</v>
      </c>
      <c r="G62">
        <v>8.7476319350473606</v>
      </c>
      <c r="H62">
        <v>24111418027.485748</v>
      </c>
      <c r="I62" t="s">
        <v>935</v>
      </c>
      <c r="J62">
        <v>0.65</v>
      </c>
      <c r="K62">
        <v>2660056599</v>
      </c>
      <c r="L62">
        <v>13.945</v>
      </c>
      <c r="M62">
        <v>13.734999999999999</v>
      </c>
      <c r="N62">
        <v>13.945</v>
      </c>
      <c r="O62">
        <v>59153987.216454998</v>
      </c>
    </row>
    <row r="63" spans="1:18" x14ac:dyDescent="0.25">
      <c r="A63">
        <v>62</v>
      </c>
      <c r="B63">
        <v>31</v>
      </c>
      <c r="C63" t="s">
        <v>39</v>
      </c>
      <c r="D63" t="s">
        <v>89</v>
      </c>
      <c r="E63" t="s">
        <v>115</v>
      </c>
      <c r="F63" t="s">
        <v>696</v>
      </c>
      <c r="G63">
        <v>8.7476319350473606</v>
      </c>
      <c r="H63">
        <v>23949228918.400002</v>
      </c>
      <c r="I63" t="s">
        <v>935</v>
      </c>
      <c r="J63">
        <v>1</v>
      </c>
      <c r="K63">
        <v>296401348</v>
      </c>
      <c r="L63">
        <v>80.8</v>
      </c>
      <c r="M63">
        <v>83.92</v>
      </c>
      <c r="N63">
        <v>80.8</v>
      </c>
      <c r="O63">
        <v>82630527.644299999</v>
      </c>
    </row>
    <row r="64" spans="1:18" x14ac:dyDescent="0.25">
      <c r="A64">
        <v>63</v>
      </c>
      <c r="B64">
        <v>32</v>
      </c>
      <c r="C64" t="s">
        <v>32</v>
      </c>
      <c r="D64" t="s">
        <v>82</v>
      </c>
      <c r="E64" t="s">
        <v>114</v>
      </c>
      <c r="F64" t="s">
        <v>697</v>
      </c>
      <c r="G64">
        <v>8.7476319350473606</v>
      </c>
      <c r="H64">
        <v>22134112616.330002</v>
      </c>
      <c r="I64" t="s">
        <v>935</v>
      </c>
      <c r="J64">
        <v>0.85</v>
      </c>
      <c r="K64">
        <v>453187130</v>
      </c>
      <c r="L64">
        <v>57.46</v>
      </c>
      <c r="M64">
        <v>58.9</v>
      </c>
      <c r="N64">
        <v>57.46</v>
      </c>
      <c r="O64">
        <v>26657606.0101</v>
      </c>
    </row>
    <row r="65" spans="1:18" x14ac:dyDescent="0.25">
      <c r="A65">
        <v>64</v>
      </c>
      <c r="B65">
        <v>33</v>
      </c>
      <c r="C65" t="s">
        <v>30</v>
      </c>
      <c r="D65" t="s">
        <v>80</v>
      </c>
      <c r="E65" t="s">
        <v>108</v>
      </c>
      <c r="F65" t="s">
        <v>698</v>
      </c>
      <c r="G65">
        <v>8.7476319350473606</v>
      </c>
      <c r="H65">
        <v>21934340666.16</v>
      </c>
      <c r="I65" t="s">
        <v>935</v>
      </c>
      <c r="J65">
        <v>0.60000000000000009</v>
      </c>
      <c r="K65">
        <v>123420778</v>
      </c>
      <c r="L65">
        <v>296.2</v>
      </c>
      <c r="M65">
        <v>291.85000000000002</v>
      </c>
      <c r="N65">
        <v>296.2</v>
      </c>
      <c r="O65">
        <v>81692566.344312996</v>
      </c>
    </row>
    <row r="66" spans="1:18" x14ac:dyDescent="0.25">
      <c r="A66">
        <v>65</v>
      </c>
      <c r="B66">
        <v>34</v>
      </c>
      <c r="C66" t="s">
        <v>36</v>
      </c>
      <c r="D66" t="s">
        <v>86</v>
      </c>
      <c r="E66" t="s">
        <v>108</v>
      </c>
      <c r="F66" t="s">
        <v>699</v>
      </c>
      <c r="G66">
        <v>8.7476319350473606</v>
      </c>
      <c r="H66">
        <v>19652832093.419998</v>
      </c>
      <c r="I66" t="s">
        <v>935</v>
      </c>
      <c r="J66">
        <v>1</v>
      </c>
      <c r="K66">
        <v>710514537</v>
      </c>
      <c r="L66">
        <v>27.66</v>
      </c>
      <c r="M66">
        <v>27.89</v>
      </c>
      <c r="N66">
        <v>27.66</v>
      </c>
      <c r="O66">
        <v>48230999.140515998</v>
      </c>
    </row>
    <row r="67" spans="1:18" x14ac:dyDescent="0.25">
      <c r="A67">
        <v>66</v>
      </c>
      <c r="B67">
        <v>35</v>
      </c>
      <c r="C67" t="s">
        <v>10</v>
      </c>
      <c r="D67" t="s">
        <v>60</v>
      </c>
      <c r="E67" t="s">
        <v>110</v>
      </c>
      <c r="F67" t="s">
        <v>700</v>
      </c>
      <c r="G67">
        <v>8.7476319350473606</v>
      </c>
      <c r="H67">
        <v>17340000000</v>
      </c>
      <c r="I67" t="s">
        <v>935</v>
      </c>
      <c r="J67">
        <v>0.5</v>
      </c>
      <c r="K67">
        <v>1500000000</v>
      </c>
      <c r="L67">
        <v>23.12</v>
      </c>
      <c r="M67">
        <v>23.29</v>
      </c>
      <c r="N67">
        <v>23.12</v>
      </c>
      <c r="O67">
        <v>29919751.029375002</v>
      </c>
    </row>
    <row r="68" spans="1:18" x14ac:dyDescent="0.25">
      <c r="A68">
        <v>67</v>
      </c>
      <c r="B68">
        <v>36</v>
      </c>
      <c r="C68" t="s">
        <v>20</v>
      </c>
      <c r="D68" t="s">
        <v>70</v>
      </c>
      <c r="E68" t="s">
        <v>108</v>
      </c>
      <c r="F68" t="s">
        <v>701</v>
      </c>
      <c r="G68">
        <v>8.7476319350473606</v>
      </c>
      <c r="H68">
        <v>15755401483.424999</v>
      </c>
      <c r="I68" t="s">
        <v>935</v>
      </c>
      <c r="J68">
        <v>0.5</v>
      </c>
      <c r="K68">
        <v>1341456065</v>
      </c>
      <c r="L68">
        <v>23.49</v>
      </c>
      <c r="M68">
        <v>23.13</v>
      </c>
      <c r="N68">
        <v>23.49</v>
      </c>
      <c r="O68">
        <v>48129517.322958998</v>
      </c>
    </row>
    <row r="69" spans="1:18" x14ac:dyDescent="0.25">
      <c r="A69">
        <v>68</v>
      </c>
      <c r="B69">
        <v>37</v>
      </c>
      <c r="C69" t="s">
        <v>18</v>
      </c>
      <c r="D69" t="s">
        <v>68</v>
      </c>
      <c r="E69" t="s">
        <v>110</v>
      </c>
      <c r="F69" t="s">
        <v>702</v>
      </c>
      <c r="G69">
        <v>8.7476319350473606</v>
      </c>
      <c r="H69">
        <v>15390919826.700001</v>
      </c>
      <c r="I69" t="s">
        <v>935</v>
      </c>
      <c r="J69">
        <v>0.85</v>
      </c>
      <c r="K69">
        <v>706475400</v>
      </c>
      <c r="L69">
        <v>25.63</v>
      </c>
      <c r="M69">
        <v>25.35</v>
      </c>
      <c r="N69">
        <v>25.63</v>
      </c>
      <c r="O69">
        <v>30198140.196899999</v>
      </c>
    </row>
    <row r="70" spans="1:18" x14ac:dyDescent="0.25">
      <c r="A70">
        <v>69</v>
      </c>
      <c r="B70">
        <v>38</v>
      </c>
      <c r="C70" t="s">
        <v>21</v>
      </c>
      <c r="D70" t="s">
        <v>71</v>
      </c>
      <c r="E70" t="s">
        <v>112</v>
      </c>
      <c r="F70" t="s">
        <v>703</v>
      </c>
      <c r="G70">
        <v>8.7476319350473606</v>
      </c>
      <c r="H70">
        <v>14175163681.74</v>
      </c>
      <c r="I70" t="s">
        <v>935</v>
      </c>
      <c r="J70">
        <v>0.75</v>
      </c>
      <c r="K70">
        <v>265676388</v>
      </c>
      <c r="L70">
        <v>71.14</v>
      </c>
      <c r="M70">
        <v>68</v>
      </c>
      <c r="N70">
        <v>71.14</v>
      </c>
      <c r="O70">
        <v>45027008.140500002</v>
      </c>
    </row>
    <row r="71" spans="1:18" x14ac:dyDescent="0.25">
      <c r="A71">
        <v>70</v>
      </c>
      <c r="B71">
        <v>39</v>
      </c>
      <c r="C71" t="s">
        <v>56</v>
      </c>
      <c r="D71" t="s">
        <v>106</v>
      </c>
      <c r="E71" t="s">
        <v>114</v>
      </c>
      <c r="F71" t="s">
        <v>704</v>
      </c>
      <c r="G71">
        <v>8.7476319350473606</v>
      </c>
      <c r="H71">
        <v>12090424864.09</v>
      </c>
      <c r="I71" t="s">
        <v>935</v>
      </c>
      <c r="J71">
        <v>1</v>
      </c>
      <c r="K71">
        <v>527735699</v>
      </c>
      <c r="L71">
        <v>22.91</v>
      </c>
      <c r="M71">
        <v>23.7</v>
      </c>
      <c r="N71">
        <v>22.91</v>
      </c>
      <c r="O71">
        <v>25694420.038899999</v>
      </c>
    </row>
    <row r="72" spans="1:18" x14ac:dyDescent="0.25">
      <c r="A72">
        <v>71</v>
      </c>
      <c r="B72">
        <v>40</v>
      </c>
      <c r="C72" t="s">
        <v>48</v>
      </c>
      <c r="D72" t="s">
        <v>98</v>
      </c>
      <c r="E72" t="s">
        <v>108</v>
      </c>
      <c r="F72" t="s">
        <v>705</v>
      </c>
      <c r="G72">
        <v>8.7476319350473606</v>
      </c>
      <c r="H72">
        <v>11998849040.639999</v>
      </c>
      <c r="I72" t="s">
        <v>935</v>
      </c>
      <c r="J72">
        <v>0.70000000000000007</v>
      </c>
      <c r="K72">
        <v>911281920</v>
      </c>
      <c r="L72">
        <v>18.809999999999999</v>
      </c>
      <c r="M72">
        <v>21.995000000000001</v>
      </c>
      <c r="N72">
        <v>18.809999999999999</v>
      </c>
      <c r="O72">
        <v>59355774.194086999</v>
      </c>
    </row>
    <row r="73" spans="1:18" x14ac:dyDescent="0.25">
      <c r="A73">
        <v>72</v>
      </c>
      <c r="B73">
        <v>41</v>
      </c>
      <c r="C73" t="s">
        <v>47</v>
      </c>
      <c r="D73" t="s">
        <v>97</v>
      </c>
      <c r="E73" t="s">
        <v>115</v>
      </c>
      <c r="F73" t="s">
        <v>706</v>
      </c>
      <c r="G73">
        <v>8.7476319350473606</v>
      </c>
      <c r="H73">
        <v>11538497029.858801</v>
      </c>
      <c r="I73" t="s">
        <v>935</v>
      </c>
      <c r="J73">
        <v>0.60000000000000009</v>
      </c>
      <c r="K73">
        <v>3360857809</v>
      </c>
      <c r="L73">
        <v>5.7220000000000004</v>
      </c>
      <c r="M73">
        <v>5.5119999999999996</v>
      </c>
      <c r="N73">
        <v>5.7220000000000004</v>
      </c>
      <c r="O73">
        <v>26729653.414209999</v>
      </c>
    </row>
    <row r="74" spans="1:18" x14ac:dyDescent="0.25">
      <c r="A74">
        <v>73</v>
      </c>
      <c r="B74">
        <v>42</v>
      </c>
      <c r="C74" t="s">
        <v>26</v>
      </c>
      <c r="D74" t="s">
        <v>76</v>
      </c>
      <c r="E74" t="s">
        <v>109</v>
      </c>
      <c r="F74" t="s">
        <v>707</v>
      </c>
      <c r="G74">
        <v>8.7476319350473606</v>
      </c>
      <c r="H74">
        <v>11259537058.26</v>
      </c>
      <c r="I74" t="s">
        <v>935</v>
      </c>
      <c r="J74">
        <v>0.9</v>
      </c>
      <c r="K74">
        <v>178162870</v>
      </c>
      <c r="L74">
        <v>70.22</v>
      </c>
      <c r="M74">
        <v>70.16</v>
      </c>
      <c r="N74">
        <v>70.22</v>
      </c>
      <c r="O74">
        <v>27521956.030000001</v>
      </c>
    </row>
    <row r="75" spans="1:18" x14ac:dyDescent="0.25">
      <c r="A75">
        <v>74</v>
      </c>
      <c r="B75">
        <v>43</v>
      </c>
      <c r="C75" t="s">
        <v>49</v>
      </c>
      <c r="D75" t="s">
        <v>99</v>
      </c>
      <c r="E75" t="s">
        <v>109</v>
      </c>
      <c r="F75" t="s">
        <v>708</v>
      </c>
      <c r="G75">
        <v>8.7476319350473606</v>
      </c>
      <c r="H75">
        <v>9406379420.8999996</v>
      </c>
      <c r="I75" t="s">
        <v>935</v>
      </c>
      <c r="J75">
        <v>0.95</v>
      </c>
      <c r="K75">
        <v>139772050</v>
      </c>
      <c r="L75">
        <v>70.84</v>
      </c>
      <c r="M75">
        <v>66.900000000000006</v>
      </c>
      <c r="N75">
        <v>70.84</v>
      </c>
      <c r="O75">
        <v>30584407.894699998</v>
      </c>
    </row>
    <row r="76" spans="1:18" x14ac:dyDescent="0.25">
      <c r="A76">
        <v>75</v>
      </c>
      <c r="B76">
        <v>44</v>
      </c>
      <c r="C76" t="s">
        <v>16</v>
      </c>
      <c r="D76" t="s">
        <v>66</v>
      </c>
      <c r="E76" t="s">
        <v>108</v>
      </c>
      <c r="F76" t="s">
        <v>709</v>
      </c>
      <c r="G76">
        <v>8.7476319350473606</v>
      </c>
      <c r="H76">
        <v>9218130571.1999989</v>
      </c>
      <c r="I76" t="s">
        <v>935</v>
      </c>
      <c r="J76">
        <v>0.75</v>
      </c>
      <c r="K76">
        <v>453871520</v>
      </c>
      <c r="L76">
        <v>27.08</v>
      </c>
      <c r="M76">
        <v>26</v>
      </c>
      <c r="N76">
        <v>27.08</v>
      </c>
      <c r="O76">
        <v>22756372.822225999</v>
      </c>
    </row>
    <row r="77" spans="1:18" x14ac:dyDescent="0.25">
      <c r="A77">
        <v>76</v>
      </c>
      <c r="C77" t="s">
        <v>172</v>
      </c>
      <c r="D77" t="s">
        <v>416</v>
      </c>
      <c r="E77" t="s">
        <v>109</v>
      </c>
      <c r="F77" t="s">
        <v>710</v>
      </c>
      <c r="G77">
        <v>8.7476319350473606</v>
      </c>
      <c r="H77">
        <v>8403008197.0500002</v>
      </c>
      <c r="I77" t="s">
        <v>935</v>
      </c>
      <c r="J77">
        <v>0.9</v>
      </c>
      <c r="K77">
        <v>162801670</v>
      </c>
      <c r="L77">
        <v>57.35</v>
      </c>
      <c r="M77">
        <v>56.05</v>
      </c>
      <c r="N77">
        <v>57.35</v>
      </c>
      <c r="O77">
        <v>21460903.050749999</v>
      </c>
      <c r="P77" t="s">
        <v>942</v>
      </c>
      <c r="R77" t="s">
        <v>942</v>
      </c>
    </row>
    <row r="78" spans="1:18" x14ac:dyDescent="0.25">
      <c r="A78">
        <v>77</v>
      </c>
      <c r="B78">
        <v>45</v>
      </c>
      <c r="C78" t="s">
        <v>15</v>
      </c>
      <c r="D78" t="s">
        <v>65</v>
      </c>
      <c r="E78" t="s">
        <v>112</v>
      </c>
      <c r="F78" t="s">
        <v>711</v>
      </c>
      <c r="G78">
        <v>8.7476319350473606</v>
      </c>
      <c r="H78">
        <v>8402183041.6999998</v>
      </c>
      <c r="I78" t="s">
        <v>935</v>
      </c>
      <c r="J78">
        <v>0.70000000000000007</v>
      </c>
      <c r="K78">
        <v>209113565</v>
      </c>
      <c r="L78">
        <v>57.4</v>
      </c>
      <c r="M78">
        <v>58.72</v>
      </c>
      <c r="N78">
        <v>57.4</v>
      </c>
      <c r="O78">
        <v>22478012.581999999</v>
      </c>
    </row>
    <row r="79" spans="1:18" x14ac:dyDescent="0.25">
      <c r="A79">
        <v>78</v>
      </c>
      <c r="B79">
        <v>46</v>
      </c>
      <c r="C79" t="s">
        <v>8</v>
      </c>
      <c r="D79" t="s">
        <v>58</v>
      </c>
      <c r="E79" t="s">
        <v>108</v>
      </c>
      <c r="F79" t="s">
        <v>712</v>
      </c>
      <c r="G79">
        <v>8.7476319350473606</v>
      </c>
      <c r="H79">
        <v>8375329888.4549999</v>
      </c>
      <c r="I79" t="s">
        <v>935</v>
      </c>
      <c r="J79">
        <v>0.75</v>
      </c>
      <c r="K79">
        <v>245000143</v>
      </c>
      <c r="L79">
        <v>45.58</v>
      </c>
      <c r="M79">
        <v>46.2</v>
      </c>
      <c r="N79">
        <v>45.58</v>
      </c>
      <c r="O79">
        <v>30049161.107740998</v>
      </c>
    </row>
    <row r="80" spans="1:18" x14ac:dyDescent="0.25">
      <c r="A80">
        <v>79</v>
      </c>
      <c r="C80" t="s">
        <v>120</v>
      </c>
      <c r="D80" t="s">
        <v>126</v>
      </c>
      <c r="E80" t="s">
        <v>108</v>
      </c>
      <c r="F80" t="s">
        <v>713</v>
      </c>
      <c r="G80">
        <v>8.7476319350473606</v>
      </c>
      <c r="H80">
        <v>7789825226.7600002</v>
      </c>
      <c r="I80" t="s">
        <v>935</v>
      </c>
      <c r="J80">
        <v>0.75</v>
      </c>
      <c r="K80">
        <v>462029966</v>
      </c>
      <c r="L80">
        <v>22.48</v>
      </c>
      <c r="M80">
        <v>24.13</v>
      </c>
      <c r="N80">
        <v>22.48</v>
      </c>
      <c r="O80">
        <v>21778391.44545</v>
      </c>
      <c r="P80" t="s">
        <v>942</v>
      </c>
      <c r="R80" t="s">
        <v>942</v>
      </c>
    </row>
    <row r="81" spans="1:18" x14ac:dyDescent="0.25">
      <c r="A81">
        <v>80</v>
      </c>
      <c r="C81" t="s">
        <v>173</v>
      </c>
      <c r="D81" t="s">
        <v>417</v>
      </c>
      <c r="E81" t="s">
        <v>108</v>
      </c>
      <c r="F81" t="s">
        <v>714</v>
      </c>
      <c r="G81">
        <v>8.7476319350473606</v>
      </c>
      <c r="H81">
        <v>6909988673.5424995</v>
      </c>
      <c r="I81" t="s">
        <v>935</v>
      </c>
      <c r="J81">
        <v>0.75</v>
      </c>
      <c r="K81">
        <v>299036619</v>
      </c>
      <c r="L81">
        <v>30.81</v>
      </c>
      <c r="M81">
        <v>33.47</v>
      </c>
      <c r="N81">
        <v>30.81</v>
      </c>
      <c r="O81">
        <v>20052147.3215</v>
      </c>
      <c r="P81" t="s">
        <v>942</v>
      </c>
      <c r="R81" t="s">
        <v>942</v>
      </c>
    </row>
    <row r="82" spans="1:18" x14ac:dyDescent="0.25">
      <c r="A82">
        <v>81</v>
      </c>
      <c r="B82">
        <v>47</v>
      </c>
      <c r="C82" t="s">
        <v>37</v>
      </c>
      <c r="D82" t="s">
        <v>87</v>
      </c>
      <c r="E82" t="s">
        <v>110</v>
      </c>
      <c r="F82" t="s">
        <v>715</v>
      </c>
      <c r="G82">
        <v>8.7476319350473606</v>
      </c>
      <c r="H82">
        <v>6404299347.1500006</v>
      </c>
      <c r="I82" t="s">
        <v>935</v>
      </c>
      <c r="J82">
        <v>0.25</v>
      </c>
      <c r="K82">
        <v>969613830</v>
      </c>
      <c r="L82">
        <v>26.42</v>
      </c>
      <c r="M82">
        <v>24.42</v>
      </c>
      <c r="N82">
        <v>26.42</v>
      </c>
      <c r="O82">
        <v>22175621.187100001</v>
      </c>
    </row>
    <row r="83" spans="1:18" x14ac:dyDescent="0.25">
      <c r="A83">
        <v>82</v>
      </c>
      <c r="C83" t="s">
        <v>174</v>
      </c>
      <c r="D83" t="s">
        <v>418</v>
      </c>
      <c r="E83" t="s">
        <v>634</v>
      </c>
      <c r="F83" t="s">
        <v>716</v>
      </c>
      <c r="G83">
        <v>8.7476319350473606</v>
      </c>
      <c r="H83">
        <v>6105402820.4399996</v>
      </c>
      <c r="I83" t="s">
        <v>935</v>
      </c>
      <c r="J83">
        <v>0.45</v>
      </c>
      <c r="K83">
        <v>629293220</v>
      </c>
      <c r="L83">
        <v>21.56</v>
      </c>
      <c r="M83">
        <v>19.760000000000002</v>
      </c>
      <c r="N83">
        <v>21.56</v>
      </c>
      <c r="O83">
        <v>14223002.494000001</v>
      </c>
      <c r="P83" t="s">
        <v>942</v>
      </c>
      <c r="R83" t="s">
        <v>942</v>
      </c>
    </row>
    <row r="84" spans="1:18" x14ac:dyDescent="0.25">
      <c r="A84">
        <v>83</v>
      </c>
      <c r="C84" t="s">
        <v>175</v>
      </c>
      <c r="D84" t="s">
        <v>419</v>
      </c>
      <c r="E84" t="s">
        <v>109</v>
      </c>
      <c r="F84" t="s">
        <v>717</v>
      </c>
      <c r="G84">
        <v>8.7476319350473606</v>
      </c>
      <c r="H84">
        <v>5990332838.1300001</v>
      </c>
      <c r="I84" t="s">
        <v>935</v>
      </c>
      <c r="J84">
        <v>0.85</v>
      </c>
      <c r="K84">
        <v>144385380</v>
      </c>
      <c r="L84">
        <v>48.81</v>
      </c>
      <c r="M84">
        <v>49.79</v>
      </c>
      <c r="N84">
        <v>48.81</v>
      </c>
      <c r="O84">
        <v>14501062.662699999</v>
      </c>
      <c r="P84" t="s">
        <v>942</v>
      </c>
      <c r="R84" t="s">
        <v>942</v>
      </c>
    </row>
    <row r="85" spans="1:18" x14ac:dyDescent="0.25">
      <c r="A85">
        <v>84</v>
      </c>
      <c r="C85" t="s">
        <v>176</v>
      </c>
      <c r="D85" t="s">
        <v>420</v>
      </c>
      <c r="E85" t="s">
        <v>114</v>
      </c>
      <c r="F85" t="s">
        <v>718</v>
      </c>
      <c r="G85">
        <v>8.7476319350473606</v>
      </c>
      <c r="H85">
        <v>5828751292.5</v>
      </c>
      <c r="I85" t="s">
        <v>935</v>
      </c>
      <c r="J85">
        <v>0.9</v>
      </c>
      <c r="K85">
        <v>79221900</v>
      </c>
      <c r="L85">
        <v>81.75</v>
      </c>
      <c r="M85">
        <v>90.9</v>
      </c>
      <c r="N85">
        <v>81.75</v>
      </c>
      <c r="O85">
        <v>6774994.3724999996</v>
      </c>
      <c r="P85" t="s">
        <v>942</v>
      </c>
      <c r="R85" t="s">
        <v>942</v>
      </c>
    </row>
    <row r="86" spans="1:18" x14ac:dyDescent="0.25">
      <c r="A86">
        <v>85</v>
      </c>
      <c r="C86" t="s">
        <v>177</v>
      </c>
      <c r="D86" t="s">
        <v>421</v>
      </c>
      <c r="E86" t="s">
        <v>114</v>
      </c>
      <c r="F86" t="s">
        <v>719</v>
      </c>
      <c r="G86">
        <v>8.7476319350473606</v>
      </c>
      <c r="H86">
        <v>5774063925.4200001</v>
      </c>
      <c r="I86" t="s">
        <v>935</v>
      </c>
      <c r="J86">
        <v>0.9</v>
      </c>
      <c r="K86">
        <v>167335070</v>
      </c>
      <c r="L86">
        <v>38.340000000000003</v>
      </c>
      <c r="M86">
        <v>37.659999999999997</v>
      </c>
      <c r="N86">
        <v>38.340000000000003</v>
      </c>
      <c r="O86">
        <v>12043035.305</v>
      </c>
      <c r="P86" t="s">
        <v>942</v>
      </c>
      <c r="R86" t="s">
        <v>942</v>
      </c>
    </row>
    <row r="87" spans="1:18" x14ac:dyDescent="0.25">
      <c r="A87">
        <v>86</v>
      </c>
      <c r="C87" t="s">
        <v>178</v>
      </c>
      <c r="D87" t="s">
        <v>422</v>
      </c>
      <c r="E87" t="s">
        <v>109</v>
      </c>
      <c r="F87" t="s">
        <v>720</v>
      </c>
      <c r="G87">
        <v>8.7476319350473606</v>
      </c>
      <c r="H87">
        <v>5390528000</v>
      </c>
      <c r="I87" t="s">
        <v>935</v>
      </c>
      <c r="J87">
        <v>0.4</v>
      </c>
      <c r="K87">
        <v>161200000</v>
      </c>
      <c r="L87">
        <v>83.6</v>
      </c>
      <c r="M87">
        <v>93.15</v>
      </c>
      <c r="N87">
        <v>83.6</v>
      </c>
      <c r="O87">
        <v>11372932.728</v>
      </c>
      <c r="P87" t="s">
        <v>942</v>
      </c>
      <c r="R87" t="s">
        <v>942</v>
      </c>
    </row>
    <row r="88" spans="1:18" x14ac:dyDescent="0.25">
      <c r="A88">
        <v>87</v>
      </c>
      <c r="B88">
        <v>48</v>
      </c>
      <c r="C88" t="s">
        <v>57</v>
      </c>
      <c r="D88" t="s">
        <v>107</v>
      </c>
      <c r="E88" t="s">
        <v>109</v>
      </c>
      <c r="F88" t="s">
        <v>721</v>
      </c>
      <c r="G88">
        <v>8.7476319350473606</v>
      </c>
      <c r="H88">
        <v>5263851021.4799995</v>
      </c>
      <c r="I88" t="s">
        <v>935</v>
      </c>
      <c r="J88">
        <v>0.9</v>
      </c>
      <c r="K88">
        <v>264169980</v>
      </c>
      <c r="L88">
        <v>22.14</v>
      </c>
      <c r="M88">
        <v>23.06</v>
      </c>
      <c r="N88">
        <v>22.14</v>
      </c>
      <c r="O88">
        <v>30169107.62145</v>
      </c>
    </row>
    <row r="89" spans="1:18" x14ac:dyDescent="0.25">
      <c r="A89">
        <v>88</v>
      </c>
      <c r="C89" t="s">
        <v>179</v>
      </c>
      <c r="D89" t="s">
        <v>423</v>
      </c>
      <c r="E89" t="s">
        <v>111</v>
      </c>
      <c r="F89" t="s">
        <v>722</v>
      </c>
      <c r="G89">
        <v>8.7476319350473606</v>
      </c>
      <c r="H89">
        <v>5099689740.2849998</v>
      </c>
      <c r="I89" t="s">
        <v>935</v>
      </c>
      <c r="J89">
        <v>0.45</v>
      </c>
      <c r="K89">
        <v>109072607</v>
      </c>
      <c r="L89">
        <v>103.9</v>
      </c>
      <c r="M89">
        <v>100.6</v>
      </c>
      <c r="N89">
        <v>103.9</v>
      </c>
      <c r="O89">
        <v>9434928.0105000008</v>
      </c>
      <c r="P89" t="s">
        <v>942</v>
      </c>
      <c r="R89" t="s">
        <v>942</v>
      </c>
    </row>
    <row r="90" spans="1:18" x14ac:dyDescent="0.25">
      <c r="A90">
        <v>89</v>
      </c>
      <c r="C90" t="s">
        <v>180</v>
      </c>
      <c r="D90" t="s">
        <v>424</v>
      </c>
      <c r="E90" t="s">
        <v>112</v>
      </c>
      <c r="F90" t="s">
        <v>723</v>
      </c>
      <c r="G90">
        <v>8.7476319350473606</v>
      </c>
      <c r="H90">
        <v>4610359095.0480013</v>
      </c>
      <c r="I90" t="s">
        <v>935</v>
      </c>
      <c r="J90">
        <v>0.3</v>
      </c>
      <c r="K90">
        <v>488178642</v>
      </c>
      <c r="L90">
        <v>31.48</v>
      </c>
      <c r="M90">
        <v>31.68</v>
      </c>
      <c r="N90">
        <v>31.48</v>
      </c>
      <c r="O90">
        <v>19796956.0506</v>
      </c>
      <c r="P90" t="s">
        <v>942</v>
      </c>
      <c r="R90" t="s">
        <v>942</v>
      </c>
    </row>
    <row r="91" spans="1:18" x14ac:dyDescent="0.25">
      <c r="A91">
        <v>90</v>
      </c>
      <c r="C91" t="s">
        <v>181</v>
      </c>
      <c r="D91" t="s">
        <v>425</v>
      </c>
      <c r="E91" t="s">
        <v>108</v>
      </c>
      <c r="F91" t="s">
        <v>724</v>
      </c>
      <c r="G91">
        <v>8.7476319350473606</v>
      </c>
      <c r="H91">
        <v>4419992854.1999998</v>
      </c>
      <c r="I91" t="s">
        <v>935</v>
      </c>
      <c r="J91">
        <v>1</v>
      </c>
      <c r="K91">
        <v>239891064</v>
      </c>
      <c r="L91">
        <v>18.425000000000001</v>
      </c>
      <c r="M91">
        <v>18.454999999999998</v>
      </c>
      <c r="N91">
        <v>18.425000000000001</v>
      </c>
      <c r="O91">
        <v>19430427.481961999</v>
      </c>
      <c r="P91" t="s">
        <v>942</v>
      </c>
      <c r="R91" t="s">
        <v>942</v>
      </c>
    </row>
    <row r="92" spans="1:18" x14ac:dyDescent="0.25">
      <c r="A92">
        <v>91</v>
      </c>
      <c r="B92">
        <v>49</v>
      </c>
      <c r="C92" t="s">
        <v>28</v>
      </c>
      <c r="D92" t="s">
        <v>78</v>
      </c>
      <c r="E92" t="s">
        <v>112</v>
      </c>
      <c r="F92" t="s">
        <v>725</v>
      </c>
      <c r="G92">
        <v>8.7476319350473606</v>
      </c>
      <c r="H92">
        <v>4351826426.375</v>
      </c>
      <c r="I92" t="s">
        <v>935</v>
      </c>
      <c r="J92">
        <v>0.95000000000000007</v>
      </c>
      <c r="K92">
        <v>59107999</v>
      </c>
      <c r="L92">
        <v>77.5</v>
      </c>
      <c r="M92">
        <v>75.900000000000006</v>
      </c>
      <c r="N92">
        <v>77.5</v>
      </c>
      <c r="O92">
        <v>23058963.628150001</v>
      </c>
    </row>
    <row r="93" spans="1:18" x14ac:dyDescent="0.25">
      <c r="A93">
        <v>92</v>
      </c>
      <c r="C93" t="s">
        <v>182</v>
      </c>
      <c r="D93" t="s">
        <v>426</v>
      </c>
      <c r="E93" t="s">
        <v>114</v>
      </c>
      <c r="F93" t="s">
        <v>726</v>
      </c>
      <c r="G93">
        <v>8.7476319350473606</v>
      </c>
      <c r="H93">
        <v>4067032494.1999998</v>
      </c>
      <c r="I93" t="s">
        <v>935</v>
      </c>
      <c r="J93">
        <v>0.8</v>
      </c>
      <c r="K93">
        <v>184529605</v>
      </c>
      <c r="L93">
        <v>27.55</v>
      </c>
      <c r="M93">
        <v>27</v>
      </c>
      <c r="N93">
        <v>27.55</v>
      </c>
      <c r="O93">
        <v>7872406.4499000004</v>
      </c>
      <c r="P93" t="s">
        <v>942</v>
      </c>
      <c r="R93" t="s">
        <v>942</v>
      </c>
    </row>
    <row r="94" spans="1:18" x14ac:dyDescent="0.25">
      <c r="A94">
        <v>93</v>
      </c>
      <c r="C94" t="s">
        <v>183</v>
      </c>
      <c r="D94" t="s">
        <v>427</v>
      </c>
      <c r="E94" t="s">
        <v>115</v>
      </c>
      <c r="F94" t="s">
        <v>727</v>
      </c>
      <c r="G94">
        <v>8.7476319350473606</v>
      </c>
      <c r="H94">
        <v>3692128868.9445</v>
      </c>
      <c r="I94" t="s">
        <v>935</v>
      </c>
      <c r="J94">
        <v>0.5</v>
      </c>
      <c r="K94">
        <v>3132905277</v>
      </c>
      <c r="L94">
        <v>2.3570000000000002</v>
      </c>
      <c r="M94">
        <v>2.2669999999999999</v>
      </c>
      <c r="N94">
        <v>2.3570000000000002</v>
      </c>
      <c r="O94">
        <v>20378071.916565001</v>
      </c>
      <c r="P94" t="s">
        <v>942</v>
      </c>
      <c r="R94" t="s">
        <v>942</v>
      </c>
    </row>
    <row r="95" spans="1:18" x14ac:dyDescent="0.25">
      <c r="A95">
        <v>94</v>
      </c>
      <c r="C95" t="s">
        <v>184</v>
      </c>
      <c r="D95" t="s">
        <v>428</v>
      </c>
      <c r="E95" t="s">
        <v>109</v>
      </c>
      <c r="F95" t="s">
        <v>728</v>
      </c>
      <c r="G95">
        <v>8.7476319350473606</v>
      </c>
      <c r="H95">
        <v>3439546000</v>
      </c>
      <c r="I95" t="s">
        <v>935</v>
      </c>
      <c r="J95">
        <v>0.55000000000000004</v>
      </c>
      <c r="K95">
        <v>466000000</v>
      </c>
      <c r="L95">
        <v>13.42</v>
      </c>
      <c r="M95">
        <v>13.26</v>
      </c>
      <c r="N95">
        <v>13.42</v>
      </c>
      <c r="O95">
        <v>17228422.303300001</v>
      </c>
      <c r="P95" t="s">
        <v>942</v>
      </c>
      <c r="R95" t="s">
        <v>942</v>
      </c>
    </row>
    <row r="96" spans="1:18" x14ac:dyDescent="0.25">
      <c r="A96">
        <v>95</v>
      </c>
      <c r="C96" t="s">
        <v>185</v>
      </c>
      <c r="D96" t="s">
        <v>429</v>
      </c>
      <c r="E96" t="s">
        <v>110</v>
      </c>
      <c r="F96" t="s">
        <v>729</v>
      </c>
      <c r="G96">
        <v>8.7476319350473606</v>
      </c>
      <c r="H96">
        <v>3315222472.3200002</v>
      </c>
      <c r="I96" t="s">
        <v>935</v>
      </c>
      <c r="J96">
        <v>0.9</v>
      </c>
      <c r="K96">
        <v>261990080</v>
      </c>
      <c r="L96">
        <v>14.06</v>
      </c>
      <c r="M96">
        <v>13.425000000000001</v>
      </c>
      <c r="N96">
        <v>14.06</v>
      </c>
      <c r="O96">
        <v>10271571.257785</v>
      </c>
      <c r="P96" t="s">
        <v>942</v>
      </c>
      <c r="R96" t="s">
        <v>942</v>
      </c>
    </row>
    <row r="97" spans="1:18" x14ac:dyDescent="0.25">
      <c r="A97">
        <v>96</v>
      </c>
      <c r="C97" t="s">
        <v>186</v>
      </c>
      <c r="D97" t="s">
        <v>430</v>
      </c>
      <c r="E97" t="s">
        <v>633</v>
      </c>
      <c r="F97" t="s">
        <v>730</v>
      </c>
      <c r="G97">
        <v>8.7476319350473606</v>
      </c>
      <c r="H97">
        <v>3011186640</v>
      </c>
      <c r="I97" t="s">
        <v>935</v>
      </c>
      <c r="J97">
        <v>1</v>
      </c>
      <c r="K97">
        <v>109497696</v>
      </c>
      <c r="L97">
        <v>27.5</v>
      </c>
      <c r="M97">
        <v>29.5</v>
      </c>
      <c r="N97">
        <v>27.5</v>
      </c>
      <c r="O97">
        <v>5087217.3641999997</v>
      </c>
      <c r="P97" t="s">
        <v>942</v>
      </c>
      <c r="R97" t="s">
        <v>942</v>
      </c>
    </row>
    <row r="98" spans="1:18" x14ac:dyDescent="0.25">
      <c r="A98">
        <v>97</v>
      </c>
      <c r="C98" t="s">
        <v>187</v>
      </c>
      <c r="D98" t="s">
        <v>431</v>
      </c>
      <c r="E98" t="s">
        <v>114</v>
      </c>
      <c r="F98" t="s">
        <v>731</v>
      </c>
      <c r="G98">
        <v>8.7476319350473606</v>
      </c>
      <c r="H98">
        <v>2789269675.9200001</v>
      </c>
      <c r="I98" t="s">
        <v>935</v>
      </c>
      <c r="J98">
        <v>0.9</v>
      </c>
      <c r="K98">
        <v>107760380</v>
      </c>
      <c r="L98">
        <v>28.76</v>
      </c>
      <c r="M98">
        <v>28.72</v>
      </c>
      <c r="N98">
        <v>28.76</v>
      </c>
      <c r="O98">
        <v>5348845.1117000002</v>
      </c>
      <c r="P98" t="s">
        <v>943</v>
      </c>
      <c r="Q98" t="s">
        <v>944</v>
      </c>
      <c r="R98" t="s">
        <v>942</v>
      </c>
    </row>
    <row r="99" spans="1:18" x14ac:dyDescent="0.25">
      <c r="A99">
        <v>98</v>
      </c>
      <c r="C99" t="s">
        <v>188</v>
      </c>
      <c r="D99" t="s">
        <v>432</v>
      </c>
      <c r="E99" t="s">
        <v>108</v>
      </c>
      <c r="F99" t="s">
        <v>732</v>
      </c>
      <c r="G99">
        <v>8.7476319350473606</v>
      </c>
      <c r="H99">
        <v>2707385279.4450002</v>
      </c>
      <c r="I99" t="s">
        <v>935</v>
      </c>
      <c r="J99">
        <v>0.70000000000000007</v>
      </c>
      <c r="K99">
        <v>76060831</v>
      </c>
      <c r="L99">
        <v>50.85</v>
      </c>
      <c r="M99">
        <v>53.2</v>
      </c>
      <c r="N99">
        <v>50.85</v>
      </c>
      <c r="O99">
        <v>11970332.957699999</v>
      </c>
      <c r="P99" t="s">
        <v>943</v>
      </c>
      <c r="Q99" t="s">
        <v>944</v>
      </c>
      <c r="R99" t="s">
        <v>942</v>
      </c>
    </row>
    <row r="100" spans="1:18" x14ac:dyDescent="0.25">
      <c r="A100">
        <v>99</v>
      </c>
      <c r="C100" t="s">
        <v>189</v>
      </c>
      <c r="D100" t="s">
        <v>433</v>
      </c>
      <c r="E100" t="s">
        <v>108</v>
      </c>
      <c r="F100" t="s">
        <v>733</v>
      </c>
      <c r="G100">
        <v>8.7476319350473606</v>
      </c>
      <c r="H100">
        <v>2660893491.1999998</v>
      </c>
      <c r="I100" t="s">
        <v>935</v>
      </c>
      <c r="J100">
        <v>0.70000000000000007</v>
      </c>
      <c r="K100">
        <v>71925760</v>
      </c>
      <c r="L100">
        <v>52.85</v>
      </c>
      <c r="M100">
        <v>53.7</v>
      </c>
      <c r="N100">
        <v>52.85</v>
      </c>
      <c r="O100">
        <v>10016247.129000001</v>
      </c>
      <c r="P100" t="s">
        <v>943</v>
      </c>
      <c r="Q100" t="s">
        <v>944</v>
      </c>
      <c r="R100" t="s">
        <v>942</v>
      </c>
    </row>
    <row r="101" spans="1:18" x14ac:dyDescent="0.25">
      <c r="A101">
        <v>100</v>
      </c>
      <c r="C101" t="s">
        <v>190</v>
      </c>
      <c r="D101" t="s">
        <v>434</v>
      </c>
      <c r="E101" t="s">
        <v>108</v>
      </c>
      <c r="F101" t="s">
        <v>734</v>
      </c>
      <c r="G101">
        <v>8.7476319350473606</v>
      </c>
      <c r="H101">
        <v>2568224701.441</v>
      </c>
      <c r="I101" t="s">
        <v>935</v>
      </c>
      <c r="J101">
        <v>0.70000000000000007</v>
      </c>
      <c r="K101">
        <v>234359146</v>
      </c>
      <c r="L101">
        <v>15.654999999999999</v>
      </c>
      <c r="M101">
        <v>15.324999999999999</v>
      </c>
      <c r="N101">
        <v>15.654999999999999</v>
      </c>
      <c r="O101">
        <v>7995507.7515500002</v>
      </c>
      <c r="P101" t="s">
        <v>943</v>
      </c>
      <c r="Q101" t="s">
        <v>944</v>
      </c>
      <c r="R101" t="s">
        <v>942</v>
      </c>
    </row>
    <row r="102" spans="1:18" x14ac:dyDescent="0.25">
      <c r="A102">
        <v>101</v>
      </c>
      <c r="C102" t="s">
        <v>191</v>
      </c>
      <c r="D102" t="s">
        <v>435</v>
      </c>
      <c r="E102" t="s">
        <v>108</v>
      </c>
      <c r="F102" t="s">
        <v>735</v>
      </c>
      <c r="G102">
        <v>8.7476319350473606</v>
      </c>
      <c r="H102">
        <v>2322097281.1079998</v>
      </c>
      <c r="I102" t="s">
        <v>935</v>
      </c>
      <c r="J102">
        <v>0.9</v>
      </c>
      <c r="K102">
        <v>245607624</v>
      </c>
      <c r="L102">
        <v>10.505000000000001</v>
      </c>
      <c r="M102">
        <v>11.365</v>
      </c>
      <c r="N102">
        <v>10.505000000000001</v>
      </c>
      <c r="O102">
        <v>10952854.600555001</v>
      </c>
      <c r="P102" t="s">
        <v>943</v>
      </c>
      <c r="Q102" t="s">
        <v>944</v>
      </c>
      <c r="R102" t="s">
        <v>942</v>
      </c>
    </row>
    <row r="103" spans="1:18" x14ac:dyDescent="0.25">
      <c r="A103">
        <v>102</v>
      </c>
      <c r="C103" t="s">
        <v>192</v>
      </c>
      <c r="D103" t="s">
        <v>436</v>
      </c>
      <c r="E103" t="s">
        <v>110</v>
      </c>
      <c r="F103" t="s">
        <v>736</v>
      </c>
      <c r="G103">
        <v>8.7476319350473606</v>
      </c>
      <c r="H103">
        <v>2156127612.0749998</v>
      </c>
      <c r="I103" t="s">
        <v>935</v>
      </c>
      <c r="J103">
        <v>0.75</v>
      </c>
      <c r="K103">
        <v>249335370</v>
      </c>
      <c r="L103">
        <v>11.53</v>
      </c>
      <c r="M103">
        <v>11.89</v>
      </c>
      <c r="N103">
        <v>11.53</v>
      </c>
      <c r="O103">
        <v>8998525.1054500099</v>
      </c>
      <c r="P103" t="s">
        <v>943</v>
      </c>
      <c r="Q103" t="s">
        <v>944</v>
      </c>
      <c r="R103" t="s">
        <v>942</v>
      </c>
    </row>
    <row r="104" spans="1:18" x14ac:dyDescent="0.25">
      <c r="A104">
        <v>103</v>
      </c>
      <c r="C104" t="s">
        <v>193</v>
      </c>
      <c r="D104" t="s">
        <v>437</v>
      </c>
      <c r="E104" t="s">
        <v>112</v>
      </c>
      <c r="F104" t="s">
        <v>737</v>
      </c>
      <c r="G104">
        <v>8.7476319350473606</v>
      </c>
      <c r="H104">
        <v>2124032966.7809999</v>
      </c>
      <c r="I104" t="s">
        <v>935</v>
      </c>
      <c r="J104">
        <v>0.85000000000000009</v>
      </c>
      <c r="K104">
        <v>128344238</v>
      </c>
      <c r="L104">
        <v>19.47</v>
      </c>
      <c r="M104">
        <v>20.18</v>
      </c>
      <c r="N104">
        <v>19.47</v>
      </c>
      <c r="O104">
        <v>10755588.851299999</v>
      </c>
      <c r="P104" t="s">
        <v>943</v>
      </c>
      <c r="Q104" t="s">
        <v>944</v>
      </c>
      <c r="R104" t="s">
        <v>942</v>
      </c>
    </row>
    <row r="105" spans="1:18" x14ac:dyDescent="0.25">
      <c r="A105">
        <v>104</v>
      </c>
      <c r="C105" t="s">
        <v>194</v>
      </c>
      <c r="D105" t="s">
        <v>438</v>
      </c>
      <c r="E105" t="s">
        <v>115</v>
      </c>
      <c r="F105" t="s">
        <v>738</v>
      </c>
      <c r="G105">
        <v>8.7476319350473606</v>
      </c>
      <c r="H105">
        <v>2076200000</v>
      </c>
      <c r="I105" t="s">
        <v>935</v>
      </c>
      <c r="J105">
        <v>0.35</v>
      </c>
      <c r="K105">
        <v>1000000000</v>
      </c>
      <c r="L105">
        <v>5.9320000000000004</v>
      </c>
      <c r="M105">
        <v>5.95</v>
      </c>
      <c r="N105">
        <v>5.9320000000000004</v>
      </c>
      <c r="O105">
        <v>10757110.76496</v>
      </c>
      <c r="P105" t="s">
        <v>943</v>
      </c>
      <c r="Q105" t="s">
        <v>944</v>
      </c>
      <c r="R105" t="s">
        <v>942</v>
      </c>
    </row>
    <row r="106" spans="1:18" x14ac:dyDescent="0.25">
      <c r="A106">
        <v>105</v>
      </c>
      <c r="B106">
        <v>50</v>
      </c>
      <c r="C106" t="s">
        <v>11</v>
      </c>
      <c r="D106" t="s">
        <v>61</v>
      </c>
      <c r="E106" t="s">
        <v>109</v>
      </c>
      <c r="F106" t="s">
        <v>739</v>
      </c>
      <c r="G106">
        <v>8.6495263870094714</v>
      </c>
      <c r="H106">
        <v>140217128770</v>
      </c>
      <c r="I106" t="s">
        <v>935</v>
      </c>
      <c r="J106">
        <v>1</v>
      </c>
      <c r="K106">
        <v>386166700</v>
      </c>
      <c r="L106">
        <v>363.1</v>
      </c>
      <c r="M106">
        <v>384</v>
      </c>
      <c r="N106">
        <v>363.1</v>
      </c>
      <c r="O106">
        <v>178096131.97499999</v>
      </c>
    </row>
    <row r="107" spans="1:18" x14ac:dyDescent="0.25">
      <c r="A107">
        <v>106</v>
      </c>
      <c r="B107">
        <v>51</v>
      </c>
      <c r="C107" t="s">
        <v>195</v>
      </c>
      <c r="D107" t="s">
        <v>439</v>
      </c>
      <c r="E107" t="s">
        <v>110</v>
      </c>
      <c r="F107" t="s">
        <v>740</v>
      </c>
      <c r="G107">
        <v>8.6495263870094714</v>
      </c>
      <c r="H107">
        <v>102038971548</v>
      </c>
      <c r="I107" t="s">
        <v>935</v>
      </c>
      <c r="J107">
        <v>1</v>
      </c>
      <c r="K107">
        <v>5763285600</v>
      </c>
      <c r="L107">
        <v>17.704999999999998</v>
      </c>
      <c r="M107">
        <v>19.425000000000001</v>
      </c>
      <c r="N107">
        <v>17.704999999999998</v>
      </c>
      <c r="O107">
        <v>154705054.66154999</v>
      </c>
    </row>
    <row r="108" spans="1:18" x14ac:dyDescent="0.25">
      <c r="A108">
        <v>107</v>
      </c>
      <c r="B108">
        <v>52</v>
      </c>
      <c r="C108" t="s">
        <v>196</v>
      </c>
      <c r="D108" t="s">
        <v>440</v>
      </c>
      <c r="E108" t="s">
        <v>115</v>
      </c>
      <c r="F108" t="s">
        <v>741</v>
      </c>
      <c r="G108">
        <v>8.6495263870094714</v>
      </c>
      <c r="H108">
        <v>78276668988.357605</v>
      </c>
      <c r="I108" t="s">
        <v>935</v>
      </c>
      <c r="J108">
        <v>0.8</v>
      </c>
      <c r="K108">
        <v>17413389613</v>
      </c>
      <c r="L108">
        <v>5.6189999999999998</v>
      </c>
      <c r="M108">
        <v>5.7240000000000002</v>
      </c>
      <c r="N108">
        <v>5.6189999999999998</v>
      </c>
      <c r="O108">
        <v>268929667.19718999</v>
      </c>
    </row>
    <row r="109" spans="1:18" x14ac:dyDescent="0.25">
      <c r="A109">
        <v>108</v>
      </c>
      <c r="B109">
        <v>53</v>
      </c>
      <c r="C109" t="s">
        <v>197</v>
      </c>
      <c r="D109" t="s">
        <v>441</v>
      </c>
      <c r="E109" t="s">
        <v>109</v>
      </c>
      <c r="F109" t="s">
        <v>742</v>
      </c>
      <c r="G109">
        <v>8.6495263870094714</v>
      </c>
      <c r="H109">
        <v>78119436528</v>
      </c>
      <c r="I109" t="s">
        <v>935</v>
      </c>
      <c r="J109">
        <v>0.9</v>
      </c>
      <c r="K109">
        <v>861104900</v>
      </c>
      <c r="L109">
        <v>100.8</v>
      </c>
      <c r="M109">
        <v>123.5</v>
      </c>
      <c r="N109">
        <v>100.8</v>
      </c>
      <c r="O109">
        <v>213577981.57269999</v>
      </c>
    </row>
    <row r="110" spans="1:18" x14ac:dyDescent="0.25">
      <c r="A110">
        <v>109</v>
      </c>
      <c r="B110">
        <v>54</v>
      </c>
      <c r="C110" t="s">
        <v>198</v>
      </c>
      <c r="D110" t="s">
        <v>442</v>
      </c>
      <c r="E110" t="s">
        <v>108</v>
      </c>
      <c r="F110" t="s">
        <v>743</v>
      </c>
      <c r="G110">
        <v>8.6495263870094714</v>
      </c>
      <c r="H110">
        <v>74764830734.500504</v>
      </c>
      <c r="I110" t="s">
        <v>935</v>
      </c>
      <c r="J110">
        <v>0.95000000000000007</v>
      </c>
      <c r="K110">
        <v>1116784757</v>
      </c>
      <c r="L110">
        <v>70.47</v>
      </c>
      <c r="M110">
        <v>78.67</v>
      </c>
      <c r="N110">
        <v>70.47</v>
      </c>
      <c r="O110">
        <v>192976695.211927</v>
      </c>
    </row>
    <row r="111" spans="1:18" x14ac:dyDescent="0.25">
      <c r="A111">
        <v>110</v>
      </c>
      <c r="B111">
        <v>55</v>
      </c>
      <c r="C111" t="s">
        <v>199</v>
      </c>
      <c r="D111" t="s">
        <v>443</v>
      </c>
      <c r="E111" t="s">
        <v>108</v>
      </c>
      <c r="F111" t="s">
        <v>744</v>
      </c>
      <c r="G111">
        <v>8.6495263870094714</v>
      </c>
      <c r="H111">
        <v>68844802995.739014</v>
      </c>
      <c r="I111" t="s">
        <v>935</v>
      </c>
      <c r="J111">
        <v>0.85000000000000009</v>
      </c>
      <c r="K111">
        <v>2123594281</v>
      </c>
      <c r="L111">
        <v>38.14</v>
      </c>
      <c r="M111">
        <v>39.909999999999997</v>
      </c>
      <c r="N111">
        <v>38.14</v>
      </c>
      <c r="O111">
        <v>144296844.14829999</v>
      </c>
    </row>
    <row r="112" spans="1:18" x14ac:dyDescent="0.25">
      <c r="A112">
        <v>111</v>
      </c>
      <c r="B112">
        <v>56</v>
      </c>
      <c r="C112" t="s">
        <v>200</v>
      </c>
      <c r="D112" t="s">
        <v>444</v>
      </c>
      <c r="E112" t="s">
        <v>114</v>
      </c>
      <c r="F112" t="s">
        <v>745</v>
      </c>
      <c r="G112">
        <v>8.6495263870094714</v>
      </c>
      <c r="H112">
        <v>48042012500.300003</v>
      </c>
      <c r="I112" t="s">
        <v>935</v>
      </c>
      <c r="J112">
        <v>0.95</v>
      </c>
      <c r="K112">
        <v>3442514600</v>
      </c>
      <c r="L112">
        <v>14.69</v>
      </c>
      <c r="M112">
        <v>15.69</v>
      </c>
      <c r="N112">
        <v>14.69</v>
      </c>
      <c r="O112">
        <v>52763447.971100003</v>
      </c>
    </row>
    <row r="113" spans="1:18" x14ac:dyDescent="0.25">
      <c r="A113">
        <v>112</v>
      </c>
      <c r="B113">
        <v>57</v>
      </c>
      <c r="C113" t="s">
        <v>201</v>
      </c>
      <c r="D113" t="s">
        <v>445</v>
      </c>
      <c r="E113" t="s">
        <v>115</v>
      </c>
      <c r="F113" t="s">
        <v>746</v>
      </c>
      <c r="G113">
        <v>8.6495263870094714</v>
      </c>
      <c r="H113">
        <v>33252960200.349499</v>
      </c>
      <c r="I113" t="s">
        <v>935</v>
      </c>
      <c r="J113">
        <v>0.65</v>
      </c>
      <c r="K113">
        <v>1549784923</v>
      </c>
      <c r="L113">
        <v>33.01</v>
      </c>
      <c r="M113">
        <v>34.5</v>
      </c>
      <c r="N113">
        <v>33.01</v>
      </c>
      <c r="O113">
        <v>73615634.569900006</v>
      </c>
    </row>
    <row r="114" spans="1:18" x14ac:dyDescent="0.25">
      <c r="A114">
        <v>113</v>
      </c>
      <c r="B114">
        <v>58</v>
      </c>
      <c r="C114" t="s">
        <v>202</v>
      </c>
      <c r="D114" t="s">
        <v>446</v>
      </c>
      <c r="E114" t="s">
        <v>110</v>
      </c>
      <c r="F114" t="s">
        <v>747</v>
      </c>
      <c r="G114">
        <v>8.6495263870094714</v>
      </c>
      <c r="H114">
        <v>32784911105.799999</v>
      </c>
      <c r="I114" t="s">
        <v>935</v>
      </c>
      <c r="J114">
        <v>0.5</v>
      </c>
      <c r="K114">
        <v>7085565400</v>
      </c>
      <c r="L114">
        <v>9.2539999999999996</v>
      </c>
      <c r="M114">
        <v>10.17</v>
      </c>
      <c r="N114">
        <v>9.2539999999999996</v>
      </c>
      <c r="O114">
        <v>59991050.236759998</v>
      </c>
    </row>
    <row r="115" spans="1:18" x14ac:dyDescent="0.25">
      <c r="A115">
        <v>114</v>
      </c>
      <c r="B115">
        <v>59</v>
      </c>
      <c r="C115" t="s">
        <v>203</v>
      </c>
      <c r="D115" t="s">
        <v>447</v>
      </c>
      <c r="E115" t="s">
        <v>114</v>
      </c>
      <c r="F115" t="s">
        <v>748</v>
      </c>
      <c r="G115">
        <v>8.6495263870094714</v>
      </c>
      <c r="H115">
        <v>25245994750.200001</v>
      </c>
      <c r="I115" t="s">
        <v>935</v>
      </c>
      <c r="J115">
        <v>0.95</v>
      </c>
      <c r="K115">
        <v>2669754000</v>
      </c>
      <c r="L115">
        <v>9.9540000000000006</v>
      </c>
      <c r="M115">
        <v>10.01</v>
      </c>
      <c r="N115">
        <v>9.9540000000000006</v>
      </c>
      <c r="O115">
        <v>27315858.8838</v>
      </c>
    </row>
    <row r="116" spans="1:18" x14ac:dyDescent="0.25">
      <c r="A116">
        <v>115</v>
      </c>
      <c r="B116">
        <v>60</v>
      </c>
      <c r="C116" t="s">
        <v>204</v>
      </c>
      <c r="D116" t="s">
        <v>448</v>
      </c>
      <c r="E116" t="s">
        <v>111</v>
      </c>
      <c r="F116" t="s">
        <v>749</v>
      </c>
      <c r="G116">
        <v>8.6495263870094714</v>
      </c>
      <c r="H116">
        <v>24193551969.317501</v>
      </c>
      <c r="I116" t="s">
        <v>935</v>
      </c>
      <c r="J116">
        <v>0.55000000000000004</v>
      </c>
      <c r="K116">
        <v>417544151</v>
      </c>
      <c r="L116">
        <v>105.35</v>
      </c>
      <c r="M116">
        <v>109.15</v>
      </c>
      <c r="N116">
        <v>105.35</v>
      </c>
      <c r="O116">
        <v>36288231.053900003</v>
      </c>
    </row>
    <row r="117" spans="1:18" x14ac:dyDescent="0.25">
      <c r="A117">
        <v>116</v>
      </c>
      <c r="B117">
        <v>61</v>
      </c>
      <c r="C117" t="s">
        <v>205</v>
      </c>
      <c r="D117" t="s">
        <v>449</v>
      </c>
      <c r="E117" t="s">
        <v>112</v>
      </c>
      <c r="F117" t="s">
        <v>750</v>
      </c>
      <c r="G117">
        <v>8.6495263870094714</v>
      </c>
      <c r="H117">
        <v>23445858864.400002</v>
      </c>
      <c r="I117" t="s">
        <v>935</v>
      </c>
      <c r="J117">
        <v>1</v>
      </c>
      <c r="K117">
        <v>49328548</v>
      </c>
      <c r="L117">
        <v>475.3</v>
      </c>
      <c r="M117">
        <v>542.79999999999995</v>
      </c>
      <c r="N117">
        <v>475.3</v>
      </c>
      <c r="O117">
        <v>77123750.350999996</v>
      </c>
    </row>
    <row r="118" spans="1:18" x14ac:dyDescent="0.25">
      <c r="A118">
        <v>117</v>
      </c>
      <c r="B118">
        <v>62</v>
      </c>
      <c r="C118" t="s">
        <v>206</v>
      </c>
      <c r="D118" t="s">
        <v>450</v>
      </c>
      <c r="E118" t="s">
        <v>112</v>
      </c>
      <c r="F118" t="s">
        <v>751</v>
      </c>
      <c r="G118">
        <v>8.6495263870094714</v>
      </c>
      <c r="H118">
        <v>21568198352.279999</v>
      </c>
      <c r="I118" t="s">
        <v>935</v>
      </c>
      <c r="J118">
        <v>1</v>
      </c>
      <c r="K118">
        <v>232516153</v>
      </c>
      <c r="L118">
        <v>92.76</v>
      </c>
      <c r="M118">
        <v>88.64</v>
      </c>
      <c r="N118">
        <v>92.76</v>
      </c>
      <c r="O118">
        <v>85708924.989800006</v>
      </c>
    </row>
    <row r="119" spans="1:18" x14ac:dyDescent="0.25">
      <c r="A119">
        <v>118</v>
      </c>
      <c r="B119">
        <v>63</v>
      </c>
      <c r="C119" t="s">
        <v>207</v>
      </c>
      <c r="D119" t="s">
        <v>451</v>
      </c>
      <c r="E119" t="s">
        <v>109</v>
      </c>
      <c r="F119" t="s">
        <v>752</v>
      </c>
      <c r="G119">
        <v>8.6495263870094714</v>
      </c>
      <c r="H119">
        <v>18763217214</v>
      </c>
      <c r="I119" t="s">
        <v>935</v>
      </c>
      <c r="J119">
        <v>1</v>
      </c>
      <c r="K119">
        <v>53824490</v>
      </c>
      <c r="L119">
        <v>348.6</v>
      </c>
      <c r="M119">
        <v>349.3</v>
      </c>
      <c r="N119">
        <v>348.6</v>
      </c>
      <c r="O119">
        <v>43049156.994499996</v>
      </c>
    </row>
    <row r="120" spans="1:18" x14ac:dyDescent="0.25">
      <c r="A120">
        <v>119</v>
      </c>
      <c r="B120">
        <v>64</v>
      </c>
      <c r="C120" t="s">
        <v>208</v>
      </c>
      <c r="D120" t="s">
        <v>452</v>
      </c>
      <c r="E120" t="s">
        <v>113</v>
      </c>
      <c r="F120" t="s">
        <v>753</v>
      </c>
      <c r="G120">
        <v>8.6495263870094714</v>
      </c>
      <c r="H120">
        <v>17916788930.43</v>
      </c>
      <c r="I120" t="s">
        <v>935</v>
      </c>
      <c r="J120">
        <v>1</v>
      </c>
      <c r="K120">
        <v>2136766718</v>
      </c>
      <c r="L120">
        <v>8.3849999999999998</v>
      </c>
      <c r="M120">
        <v>8.9499999999999993</v>
      </c>
      <c r="N120">
        <v>8.3849999999999998</v>
      </c>
      <c r="O120">
        <v>30250354.957504999</v>
      </c>
    </row>
    <row r="121" spans="1:18" x14ac:dyDescent="0.25">
      <c r="A121">
        <v>120</v>
      </c>
      <c r="B121">
        <v>65</v>
      </c>
      <c r="C121" t="s">
        <v>209</v>
      </c>
      <c r="D121" t="s">
        <v>453</v>
      </c>
      <c r="E121" t="s">
        <v>112</v>
      </c>
      <c r="F121" t="s">
        <v>754</v>
      </c>
      <c r="G121">
        <v>8.6495263870094714</v>
      </c>
      <c r="H121">
        <v>16056458059.92</v>
      </c>
      <c r="I121" t="s">
        <v>935</v>
      </c>
      <c r="J121">
        <v>1</v>
      </c>
      <c r="K121">
        <v>597116328</v>
      </c>
      <c r="L121">
        <v>26.89</v>
      </c>
      <c r="M121">
        <v>29.74</v>
      </c>
      <c r="N121">
        <v>26.89</v>
      </c>
      <c r="O121">
        <v>62986226.871799998</v>
      </c>
    </row>
    <row r="122" spans="1:18" x14ac:dyDescent="0.25">
      <c r="A122">
        <v>121</v>
      </c>
      <c r="B122">
        <v>66</v>
      </c>
      <c r="C122" t="s">
        <v>210</v>
      </c>
      <c r="D122" t="s">
        <v>454</v>
      </c>
      <c r="E122" t="s">
        <v>110</v>
      </c>
      <c r="F122" t="s">
        <v>755</v>
      </c>
      <c r="G122">
        <v>8.6495263870094714</v>
      </c>
      <c r="H122">
        <v>15543258803.799999</v>
      </c>
      <c r="I122" t="s">
        <v>935</v>
      </c>
      <c r="J122">
        <v>1</v>
      </c>
      <c r="K122">
        <v>5023677700</v>
      </c>
      <c r="L122">
        <v>3.0939999999999999</v>
      </c>
      <c r="M122">
        <v>3.3239999999999998</v>
      </c>
      <c r="N122">
        <v>3.0939999999999999</v>
      </c>
      <c r="O122">
        <v>48183965.247700997</v>
      </c>
    </row>
    <row r="123" spans="1:18" x14ac:dyDescent="0.25">
      <c r="A123">
        <v>122</v>
      </c>
      <c r="B123">
        <v>67</v>
      </c>
      <c r="C123" t="s">
        <v>211</v>
      </c>
      <c r="D123" t="s">
        <v>455</v>
      </c>
      <c r="E123" t="s">
        <v>108</v>
      </c>
      <c r="F123" t="s">
        <v>756</v>
      </c>
      <c r="G123">
        <v>8.6495263870094714</v>
      </c>
      <c r="H123">
        <v>14615108350.5</v>
      </c>
      <c r="I123" t="s">
        <v>935</v>
      </c>
      <c r="J123">
        <v>0.3</v>
      </c>
      <c r="K123">
        <v>3025902350</v>
      </c>
      <c r="L123">
        <v>16.100000000000001</v>
      </c>
      <c r="M123">
        <v>17.28</v>
      </c>
      <c r="N123">
        <v>16.100000000000001</v>
      </c>
      <c r="O123">
        <v>66604680.209233001</v>
      </c>
    </row>
    <row r="124" spans="1:18" x14ac:dyDescent="0.25">
      <c r="A124">
        <v>123</v>
      </c>
      <c r="B124">
        <v>68</v>
      </c>
      <c r="C124" t="s">
        <v>212</v>
      </c>
      <c r="D124" t="s">
        <v>456</v>
      </c>
      <c r="E124" t="s">
        <v>108</v>
      </c>
      <c r="F124" t="s">
        <v>757</v>
      </c>
      <c r="G124">
        <v>8.6495263870094714</v>
      </c>
      <c r="H124">
        <v>9809008204.8000011</v>
      </c>
      <c r="I124" t="s">
        <v>935</v>
      </c>
      <c r="J124">
        <v>0.75</v>
      </c>
      <c r="K124">
        <v>101542528</v>
      </c>
      <c r="L124">
        <v>128.80000000000001</v>
      </c>
      <c r="M124">
        <v>122.5</v>
      </c>
      <c r="N124">
        <v>128.80000000000001</v>
      </c>
      <c r="O124">
        <v>30195717.813274</v>
      </c>
    </row>
    <row r="125" spans="1:18" x14ac:dyDescent="0.25">
      <c r="A125">
        <v>124</v>
      </c>
      <c r="B125">
        <v>69</v>
      </c>
      <c r="C125" t="s">
        <v>119</v>
      </c>
      <c r="D125" t="s">
        <v>125</v>
      </c>
      <c r="E125" t="s">
        <v>112</v>
      </c>
      <c r="F125" t="s">
        <v>758</v>
      </c>
      <c r="G125">
        <v>8.6495263870094714</v>
      </c>
      <c r="H125">
        <v>8752233443.4360008</v>
      </c>
      <c r="I125" t="s">
        <v>935</v>
      </c>
      <c r="J125">
        <v>0.95000000000000007</v>
      </c>
      <c r="K125">
        <v>171052308</v>
      </c>
      <c r="L125">
        <v>53.86</v>
      </c>
      <c r="M125">
        <v>56</v>
      </c>
      <c r="N125">
        <v>53.86</v>
      </c>
      <c r="O125">
        <v>22935438.763799999</v>
      </c>
    </row>
    <row r="126" spans="1:18" x14ac:dyDescent="0.25">
      <c r="A126">
        <v>125</v>
      </c>
      <c r="C126" t="s">
        <v>213</v>
      </c>
      <c r="D126" t="s">
        <v>457</v>
      </c>
      <c r="E126" t="s">
        <v>114</v>
      </c>
      <c r="F126" t="s">
        <v>759</v>
      </c>
      <c r="G126">
        <v>8.6495263870094714</v>
      </c>
      <c r="H126">
        <v>8362259085</v>
      </c>
      <c r="I126" t="s">
        <v>935</v>
      </c>
      <c r="J126">
        <v>0.75</v>
      </c>
      <c r="K126">
        <v>828972400</v>
      </c>
      <c r="L126">
        <v>13.45</v>
      </c>
      <c r="M126">
        <v>14.62</v>
      </c>
      <c r="N126">
        <v>13.45</v>
      </c>
      <c r="O126">
        <v>15415892.361500001</v>
      </c>
      <c r="P126" t="s">
        <v>942</v>
      </c>
      <c r="R126" t="s">
        <v>942</v>
      </c>
    </row>
    <row r="127" spans="1:18" x14ac:dyDescent="0.25">
      <c r="A127">
        <v>126</v>
      </c>
      <c r="B127">
        <v>70</v>
      </c>
      <c r="C127" t="s">
        <v>214</v>
      </c>
      <c r="D127" t="s">
        <v>458</v>
      </c>
      <c r="E127" t="s">
        <v>112</v>
      </c>
      <c r="F127" t="s">
        <v>760</v>
      </c>
      <c r="G127">
        <v>8.6495263870094714</v>
      </c>
      <c r="H127">
        <v>8082179442.4799995</v>
      </c>
      <c r="I127" t="s">
        <v>935</v>
      </c>
      <c r="J127">
        <v>0.75</v>
      </c>
      <c r="K127">
        <v>1652797432</v>
      </c>
      <c r="L127">
        <v>6.52</v>
      </c>
      <c r="M127">
        <v>6.3220000000000001</v>
      </c>
      <c r="N127">
        <v>6.52</v>
      </c>
      <c r="O127">
        <v>32368743.134009998</v>
      </c>
    </row>
    <row r="128" spans="1:18" x14ac:dyDescent="0.25">
      <c r="A128">
        <v>127</v>
      </c>
      <c r="B128">
        <v>71</v>
      </c>
      <c r="C128" t="s">
        <v>215</v>
      </c>
      <c r="D128" t="s">
        <v>459</v>
      </c>
      <c r="E128" t="s">
        <v>109</v>
      </c>
      <c r="F128" t="s">
        <v>761</v>
      </c>
      <c r="G128">
        <v>8.6495263870094714</v>
      </c>
      <c r="H128">
        <v>7573972000</v>
      </c>
      <c r="I128" t="s">
        <v>935</v>
      </c>
      <c r="J128">
        <v>0.35</v>
      </c>
      <c r="K128">
        <v>242600000</v>
      </c>
      <c r="L128">
        <v>89.2</v>
      </c>
      <c r="M128">
        <v>93.9</v>
      </c>
      <c r="N128">
        <v>89.2</v>
      </c>
      <c r="O128">
        <v>32999391.838950001</v>
      </c>
    </row>
    <row r="129" spans="1:18" x14ac:dyDescent="0.25">
      <c r="A129">
        <v>128</v>
      </c>
      <c r="B129">
        <v>72</v>
      </c>
      <c r="C129" t="s">
        <v>216</v>
      </c>
      <c r="D129" t="s">
        <v>460</v>
      </c>
      <c r="E129" t="s">
        <v>109</v>
      </c>
      <c r="F129" t="s">
        <v>762</v>
      </c>
      <c r="G129">
        <v>8.6495263870094714</v>
      </c>
      <c r="H129">
        <v>6901606351.8600016</v>
      </c>
      <c r="I129" t="s">
        <v>935</v>
      </c>
      <c r="J129">
        <v>0.55000000000000004</v>
      </c>
      <c r="K129">
        <v>200005980</v>
      </c>
      <c r="L129">
        <v>62.74</v>
      </c>
      <c r="M129">
        <v>66.2</v>
      </c>
      <c r="N129">
        <v>62.74</v>
      </c>
      <c r="O129">
        <v>30871653.999000002</v>
      </c>
    </row>
    <row r="130" spans="1:18" x14ac:dyDescent="0.25">
      <c r="A130">
        <v>129</v>
      </c>
      <c r="B130">
        <v>73</v>
      </c>
      <c r="C130" t="s">
        <v>217</v>
      </c>
      <c r="D130" t="s">
        <v>461</v>
      </c>
      <c r="E130" t="s">
        <v>115</v>
      </c>
      <c r="F130" t="s">
        <v>763</v>
      </c>
      <c r="G130">
        <v>8.6495263870094714</v>
      </c>
      <c r="H130">
        <v>6444029522.9625015</v>
      </c>
      <c r="I130" t="s">
        <v>935</v>
      </c>
      <c r="J130">
        <v>0.35</v>
      </c>
      <c r="K130">
        <v>1071994930</v>
      </c>
      <c r="L130">
        <v>17.175000000000001</v>
      </c>
      <c r="M130">
        <v>17.27</v>
      </c>
      <c r="N130">
        <v>17.175000000000001</v>
      </c>
      <c r="O130">
        <v>28743977.722424999</v>
      </c>
    </row>
    <row r="131" spans="1:18" x14ac:dyDescent="0.25">
      <c r="A131">
        <v>130</v>
      </c>
      <c r="C131" t="s">
        <v>218</v>
      </c>
      <c r="D131" t="s">
        <v>462</v>
      </c>
      <c r="E131" t="s">
        <v>111</v>
      </c>
      <c r="F131" t="s">
        <v>764</v>
      </c>
      <c r="G131">
        <v>8.6495263870094714</v>
      </c>
      <c r="H131">
        <v>4985934835.9940014</v>
      </c>
      <c r="I131" t="s">
        <v>935</v>
      </c>
      <c r="J131">
        <v>0.70000000000000007</v>
      </c>
      <c r="K131">
        <v>103921273</v>
      </c>
      <c r="L131">
        <v>68.540000000000006</v>
      </c>
      <c r="M131">
        <v>70.12</v>
      </c>
      <c r="N131">
        <v>68.540000000000006</v>
      </c>
      <c r="O131">
        <v>9139068.8191</v>
      </c>
      <c r="P131" t="s">
        <v>942</v>
      </c>
      <c r="R131" t="s">
        <v>942</v>
      </c>
    </row>
    <row r="132" spans="1:18" x14ac:dyDescent="0.25">
      <c r="A132">
        <v>131</v>
      </c>
      <c r="C132" t="s">
        <v>219</v>
      </c>
      <c r="D132" t="s">
        <v>463</v>
      </c>
      <c r="E132" t="s">
        <v>633</v>
      </c>
      <c r="F132" t="s">
        <v>765</v>
      </c>
      <c r="G132">
        <v>8.6495263870094714</v>
      </c>
      <c r="H132">
        <v>4342003248</v>
      </c>
      <c r="I132" t="s">
        <v>935</v>
      </c>
      <c r="J132">
        <v>0.4</v>
      </c>
      <c r="K132">
        <v>328939640</v>
      </c>
      <c r="L132">
        <v>33</v>
      </c>
      <c r="M132">
        <v>37.72</v>
      </c>
      <c r="N132">
        <v>33</v>
      </c>
      <c r="O132">
        <v>9893756.8224000093</v>
      </c>
      <c r="P132" t="s">
        <v>942</v>
      </c>
      <c r="R132" t="s">
        <v>942</v>
      </c>
    </row>
    <row r="133" spans="1:18" x14ac:dyDescent="0.25">
      <c r="A133">
        <v>132</v>
      </c>
      <c r="C133" t="s">
        <v>220</v>
      </c>
      <c r="D133" t="s">
        <v>464</v>
      </c>
      <c r="E133" t="s">
        <v>112</v>
      </c>
      <c r="F133" t="s">
        <v>766</v>
      </c>
      <c r="G133">
        <v>8.6495263870094714</v>
      </c>
      <c r="H133">
        <v>3249159168.0240002</v>
      </c>
      <c r="I133" t="s">
        <v>935</v>
      </c>
      <c r="J133">
        <v>0.55000000000000004</v>
      </c>
      <c r="K133">
        <v>175977424</v>
      </c>
      <c r="L133">
        <v>33.57</v>
      </c>
      <c r="M133">
        <v>31.75</v>
      </c>
      <c r="N133">
        <v>33.57</v>
      </c>
      <c r="O133">
        <v>14455387.09715</v>
      </c>
      <c r="P133" t="s">
        <v>942</v>
      </c>
      <c r="R133" t="s">
        <v>942</v>
      </c>
    </row>
    <row r="134" spans="1:18" x14ac:dyDescent="0.25">
      <c r="A134">
        <v>133</v>
      </c>
      <c r="C134" t="s">
        <v>221</v>
      </c>
      <c r="D134" t="s">
        <v>465</v>
      </c>
      <c r="E134" t="s">
        <v>115</v>
      </c>
      <c r="F134" t="s">
        <v>767</v>
      </c>
      <c r="G134">
        <v>8.6495263870094714</v>
      </c>
      <c r="H134">
        <v>2207181488.6849999</v>
      </c>
      <c r="I134" t="s">
        <v>935</v>
      </c>
      <c r="J134">
        <v>0.3</v>
      </c>
      <c r="K134">
        <v>931890010</v>
      </c>
      <c r="L134">
        <v>7.8949999999999996</v>
      </c>
      <c r="M134">
        <v>7.55</v>
      </c>
      <c r="N134">
        <v>7.8949999999999996</v>
      </c>
      <c r="O134">
        <v>14699707.007975001</v>
      </c>
      <c r="P134" t="s">
        <v>943</v>
      </c>
      <c r="Q134" t="s">
        <v>944</v>
      </c>
      <c r="R134" t="s">
        <v>942</v>
      </c>
    </row>
    <row r="135" spans="1:18" x14ac:dyDescent="0.25">
      <c r="A135">
        <v>134</v>
      </c>
      <c r="C135" t="s">
        <v>222</v>
      </c>
      <c r="D135" t="s">
        <v>466</v>
      </c>
      <c r="E135" t="s">
        <v>114</v>
      </c>
      <c r="F135" t="s">
        <v>768</v>
      </c>
      <c r="G135">
        <v>8.6495263870094714</v>
      </c>
      <c r="H135">
        <v>2206641064.8000002</v>
      </c>
      <c r="I135" t="s">
        <v>935</v>
      </c>
      <c r="J135">
        <v>0.75</v>
      </c>
      <c r="K135">
        <v>155342560</v>
      </c>
      <c r="L135">
        <v>18.940000000000001</v>
      </c>
      <c r="M135">
        <v>19.38</v>
      </c>
      <c r="N135">
        <v>18.940000000000001</v>
      </c>
      <c r="O135">
        <v>3906002.6247999999</v>
      </c>
      <c r="P135" t="s">
        <v>943</v>
      </c>
      <c r="Q135" t="s">
        <v>944</v>
      </c>
      <c r="R135" t="s">
        <v>942</v>
      </c>
    </row>
    <row r="136" spans="1:18" x14ac:dyDescent="0.25">
      <c r="A136">
        <v>135</v>
      </c>
      <c r="C136" t="s">
        <v>223</v>
      </c>
      <c r="D136" t="s">
        <v>467</v>
      </c>
      <c r="E136" t="s">
        <v>115</v>
      </c>
      <c r="F136" t="s">
        <v>769</v>
      </c>
      <c r="G136">
        <v>8.6495263870094714</v>
      </c>
      <c r="H136">
        <v>2125709787.12375</v>
      </c>
      <c r="I136" t="s">
        <v>935</v>
      </c>
      <c r="J136">
        <v>0.15</v>
      </c>
      <c r="K136">
        <v>813279689</v>
      </c>
      <c r="L136">
        <v>17.425000000000001</v>
      </c>
      <c r="M136">
        <v>16.73</v>
      </c>
      <c r="N136">
        <v>17.425000000000001</v>
      </c>
      <c r="O136">
        <v>84219821.847650006</v>
      </c>
      <c r="P136" t="s">
        <v>944</v>
      </c>
      <c r="Q136" t="s">
        <v>944</v>
      </c>
    </row>
    <row r="137" spans="1:18" x14ac:dyDescent="0.25">
      <c r="A137">
        <v>136</v>
      </c>
      <c r="C137" t="s">
        <v>224</v>
      </c>
      <c r="D137" t="s">
        <v>468</v>
      </c>
      <c r="E137" t="s">
        <v>110</v>
      </c>
      <c r="F137" t="s">
        <v>770</v>
      </c>
      <c r="G137">
        <v>8.6495263870094714</v>
      </c>
      <c r="H137">
        <v>1995452521.02</v>
      </c>
      <c r="I137" t="s">
        <v>935</v>
      </c>
      <c r="J137">
        <v>0.45</v>
      </c>
      <c r="K137">
        <v>192129070</v>
      </c>
      <c r="L137">
        <v>23.08</v>
      </c>
      <c r="M137">
        <v>23.54</v>
      </c>
      <c r="N137">
        <v>23.08</v>
      </c>
      <c r="O137">
        <v>5962722.2652000003</v>
      </c>
      <c r="P137" t="s">
        <v>943</v>
      </c>
      <c r="Q137" t="s">
        <v>944</v>
      </c>
      <c r="R137" t="s">
        <v>942</v>
      </c>
    </row>
    <row r="138" spans="1:18" x14ac:dyDescent="0.25">
      <c r="A138">
        <v>137</v>
      </c>
      <c r="B138">
        <v>74</v>
      </c>
      <c r="C138" t="s">
        <v>225</v>
      </c>
      <c r="D138" t="s">
        <v>469</v>
      </c>
      <c r="E138" t="s">
        <v>109</v>
      </c>
      <c r="F138" t="s">
        <v>771</v>
      </c>
      <c r="G138">
        <v>8.5595399188092021</v>
      </c>
      <c r="H138">
        <v>69555435268</v>
      </c>
      <c r="I138" t="s">
        <v>935</v>
      </c>
      <c r="J138">
        <v>1</v>
      </c>
      <c r="K138">
        <v>130645070</v>
      </c>
      <c r="L138">
        <v>532.4</v>
      </c>
      <c r="M138">
        <v>558.79999999999995</v>
      </c>
      <c r="N138">
        <v>532.4</v>
      </c>
      <c r="O138">
        <v>125067300.40700001</v>
      </c>
    </row>
    <row r="139" spans="1:18" x14ac:dyDescent="0.25">
      <c r="A139">
        <v>138</v>
      </c>
      <c r="B139">
        <v>75</v>
      </c>
      <c r="C139" t="s">
        <v>226</v>
      </c>
      <c r="D139" t="s">
        <v>470</v>
      </c>
      <c r="E139" t="s">
        <v>112</v>
      </c>
      <c r="F139" t="s">
        <v>772</v>
      </c>
      <c r="G139">
        <v>8.5595399188092021</v>
      </c>
      <c r="H139">
        <v>65008494805.019997</v>
      </c>
      <c r="I139" t="s">
        <v>935</v>
      </c>
      <c r="J139">
        <v>1</v>
      </c>
      <c r="K139">
        <v>3021542868</v>
      </c>
      <c r="L139">
        <v>21.515000000000001</v>
      </c>
      <c r="M139">
        <v>23.495000000000001</v>
      </c>
      <c r="N139">
        <v>21.515000000000001</v>
      </c>
      <c r="O139">
        <v>153214078.20695001</v>
      </c>
    </row>
    <row r="140" spans="1:18" x14ac:dyDescent="0.25">
      <c r="A140">
        <v>139</v>
      </c>
      <c r="B140">
        <v>76</v>
      </c>
      <c r="C140" t="s">
        <v>227</v>
      </c>
      <c r="D140" t="s">
        <v>471</v>
      </c>
      <c r="E140" t="s">
        <v>109</v>
      </c>
      <c r="F140" t="s">
        <v>773</v>
      </c>
      <c r="G140">
        <v>8.5595399188092021</v>
      </c>
      <c r="H140">
        <v>57249411466.5</v>
      </c>
      <c r="I140" t="s">
        <v>935</v>
      </c>
      <c r="J140">
        <v>1</v>
      </c>
      <c r="K140">
        <v>1948252900</v>
      </c>
      <c r="L140">
        <v>29.385000000000002</v>
      </c>
      <c r="M140">
        <v>32.61</v>
      </c>
      <c r="N140">
        <v>29.385000000000002</v>
      </c>
      <c r="O140">
        <v>170715450.21277499</v>
      </c>
    </row>
    <row r="141" spans="1:18" x14ac:dyDescent="0.25">
      <c r="A141">
        <v>140</v>
      </c>
      <c r="C141" t="s">
        <v>228</v>
      </c>
      <c r="D141" t="s">
        <v>472</v>
      </c>
      <c r="E141" t="s">
        <v>633</v>
      </c>
      <c r="F141" t="s">
        <v>774</v>
      </c>
      <c r="G141">
        <v>8.5595399188092021</v>
      </c>
      <c r="H141">
        <v>8547000000</v>
      </c>
      <c r="I141" t="s">
        <v>935</v>
      </c>
      <c r="J141">
        <v>1</v>
      </c>
      <c r="K141">
        <v>77000000</v>
      </c>
      <c r="L141">
        <v>111</v>
      </c>
      <c r="M141">
        <v>123.4</v>
      </c>
      <c r="N141">
        <v>111</v>
      </c>
      <c r="O141">
        <v>14749831.171499999</v>
      </c>
      <c r="P141" t="s">
        <v>942</v>
      </c>
      <c r="R141" t="s">
        <v>942</v>
      </c>
    </row>
    <row r="142" spans="1:18" x14ac:dyDescent="0.25">
      <c r="A142">
        <v>141</v>
      </c>
      <c r="C142" t="s">
        <v>229</v>
      </c>
      <c r="D142" t="s">
        <v>473</v>
      </c>
      <c r="E142" t="s">
        <v>110</v>
      </c>
      <c r="F142" t="s">
        <v>775</v>
      </c>
      <c r="G142">
        <v>8.5595399188092021</v>
      </c>
      <c r="H142">
        <v>3638184150.48</v>
      </c>
      <c r="I142" t="s">
        <v>935</v>
      </c>
      <c r="J142">
        <v>0.3</v>
      </c>
      <c r="K142">
        <v>3079553200</v>
      </c>
      <c r="L142">
        <v>3.9380000000000002</v>
      </c>
      <c r="M142">
        <v>4.0919999999999996</v>
      </c>
      <c r="N142">
        <v>3.9380000000000002</v>
      </c>
      <c r="O142">
        <v>11894046.8763</v>
      </c>
      <c r="P142" t="s">
        <v>942</v>
      </c>
      <c r="R142" t="s">
        <v>942</v>
      </c>
    </row>
    <row r="143" spans="1:18" x14ac:dyDescent="0.25">
      <c r="A143">
        <v>142</v>
      </c>
      <c r="C143" t="s">
        <v>230</v>
      </c>
      <c r="D143" t="s">
        <v>474</v>
      </c>
      <c r="E143" t="s">
        <v>633</v>
      </c>
      <c r="F143" t="s">
        <v>776</v>
      </c>
      <c r="G143">
        <v>8.5595399188092021</v>
      </c>
      <c r="H143">
        <v>2152333008</v>
      </c>
      <c r="I143" t="s">
        <v>935</v>
      </c>
      <c r="J143">
        <v>0.4</v>
      </c>
      <c r="K143">
        <v>70614600</v>
      </c>
      <c r="L143">
        <v>76.2</v>
      </c>
      <c r="M143">
        <v>76.2</v>
      </c>
      <c r="N143">
        <v>76.2</v>
      </c>
      <c r="O143">
        <v>292097.886</v>
      </c>
      <c r="P143" t="s">
        <v>943</v>
      </c>
      <c r="Q143" t="s">
        <v>944</v>
      </c>
      <c r="R143" t="s">
        <v>942</v>
      </c>
    </row>
    <row r="144" spans="1:18" x14ac:dyDescent="0.25">
      <c r="A144">
        <v>143</v>
      </c>
      <c r="B144">
        <v>77</v>
      </c>
      <c r="C144" t="s">
        <v>231</v>
      </c>
      <c r="D144" t="s">
        <v>475</v>
      </c>
      <c r="E144" t="s">
        <v>115</v>
      </c>
      <c r="F144" t="s">
        <v>777</v>
      </c>
      <c r="G144">
        <v>8.5443166441136675</v>
      </c>
      <c r="H144">
        <v>97899884811.600006</v>
      </c>
      <c r="I144" t="s">
        <v>935</v>
      </c>
      <c r="J144">
        <v>1</v>
      </c>
      <c r="K144">
        <v>1557675176</v>
      </c>
      <c r="L144">
        <v>62.85</v>
      </c>
      <c r="M144">
        <v>68.36</v>
      </c>
      <c r="N144">
        <v>62.85</v>
      </c>
      <c r="O144">
        <v>320104027.33350003</v>
      </c>
    </row>
    <row r="145" spans="1:18" x14ac:dyDescent="0.25">
      <c r="A145">
        <v>144</v>
      </c>
      <c r="B145">
        <v>78</v>
      </c>
      <c r="C145" t="s">
        <v>232</v>
      </c>
      <c r="D145" t="s">
        <v>476</v>
      </c>
      <c r="E145" t="s">
        <v>112</v>
      </c>
      <c r="F145" t="s">
        <v>778</v>
      </c>
      <c r="G145">
        <v>8.5443166441136675</v>
      </c>
      <c r="H145">
        <v>67348013237.160004</v>
      </c>
      <c r="I145" t="s">
        <v>935</v>
      </c>
      <c r="J145">
        <v>0.5</v>
      </c>
      <c r="K145">
        <v>2378947836</v>
      </c>
      <c r="L145">
        <v>56.62</v>
      </c>
      <c r="M145">
        <v>53.05</v>
      </c>
      <c r="N145">
        <v>56.62</v>
      </c>
      <c r="O145">
        <v>111492686.25077499</v>
      </c>
    </row>
    <row r="146" spans="1:18" x14ac:dyDescent="0.25">
      <c r="A146">
        <v>145</v>
      </c>
      <c r="B146">
        <v>79</v>
      </c>
      <c r="C146" t="s">
        <v>233</v>
      </c>
      <c r="D146" t="s">
        <v>477</v>
      </c>
      <c r="E146" t="s">
        <v>633</v>
      </c>
      <c r="F146" t="s">
        <v>779</v>
      </c>
      <c r="G146">
        <v>8.5443166441136675</v>
      </c>
      <c r="H146">
        <v>29261464293.599998</v>
      </c>
      <c r="I146" t="s">
        <v>935</v>
      </c>
      <c r="J146">
        <v>0.8</v>
      </c>
      <c r="K146">
        <v>410514370</v>
      </c>
      <c r="L146">
        <v>89.1</v>
      </c>
      <c r="M146">
        <v>99.55</v>
      </c>
      <c r="N146">
        <v>89.1</v>
      </c>
      <c r="O146">
        <v>26797077.719000001</v>
      </c>
    </row>
    <row r="147" spans="1:18" x14ac:dyDescent="0.25">
      <c r="A147">
        <v>146</v>
      </c>
      <c r="B147">
        <v>80</v>
      </c>
      <c r="C147" t="s">
        <v>234</v>
      </c>
      <c r="D147" t="s">
        <v>478</v>
      </c>
      <c r="E147" t="s">
        <v>109</v>
      </c>
      <c r="F147" t="s">
        <v>780</v>
      </c>
      <c r="G147">
        <v>8.5443166441136675</v>
      </c>
      <c r="H147">
        <v>21539687404.799999</v>
      </c>
      <c r="I147" t="s">
        <v>935</v>
      </c>
      <c r="J147">
        <v>0.6</v>
      </c>
      <c r="K147">
        <v>1127496200</v>
      </c>
      <c r="L147">
        <v>31.84</v>
      </c>
      <c r="M147">
        <v>35.25</v>
      </c>
      <c r="N147">
        <v>31.84</v>
      </c>
      <c r="O147">
        <v>127560834.85535</v>
      </c>
    </row>
    <row r="148" spans="1:18" x14ac:dyDescent="0.25">
      <c r="A148">
        <v>147</v>
      </c>
      <c r="B148">
        <v>81</v>
      </c>
      <c r="C148" t="s">
        <v>235</v>
      </c>
      <c r="D148" t="s">
        <v>479</v>
      </c>
      <c r="E148" t="s">
        <v>115</v>
      </c>
      <c r="F148" t="s">
        <v>781</v>
      </c>
      <c r="G148">
        <v>8.5443166441136675</v>
      </c>
      <c r="H148">
        <v>16615437912.826349</v>
      </c>
      <c r="I148" t="s">
        <v>935</v>
      </c>
      <c r="J148">
        <v>0.65</v>
      </c>
      <c r="K148">
        <v>3038418183</v>
      </c>
      <c r="L148">
        <v>8.4130000000000003</v>
      </c>
      <c r="M148">
        <v>8.0820000000000007</v>
      </c>
      <c r="N148">
        <v>8.4130000000000003</v>
      </c>
      <c r="O148">
        <v>202184074.34628999</v>
      </c>
    </row>
    <row r="149" spans="1:18" x14ac:dyDescent="0.25">
      <c r="A149">
        <v>148</v>
      </c>
      <c r="B149">
        <v>82</v>
      </c>
      <c r="C149" t="s">
        <v>236</v>
      </c>
      <c r="D149" t="s">
        <v>480</v>
      </c>
      <c r="E149" t="s">
        <v>112</v>
      </c>
      <c r="F149" t="s">
        <v>782</v>
      </c>
      <c r="G149">
        <v>8.5443166441136675</v>
      </c>
      <c r="H149">
        <v>15491441000</v>
      </c>
      <c r="I149" t="s">
        <v>935</v>
      </c>
      <c r="J149">
        <v>0.95000000000000007</v>
      </c>
      <c r="K149">
        <v>269000000</v>
      </c>
      <c r="L149">
        <v>60.62</v>
      </c>
      <c r="M149">
        <v>63.44</v>
      </c>
      <c r="N149">
        <v>60.62</v>
      </c>
      <c r="O149">
        <v>32862378.903000001</v>
      </c>
    </row>
    <row r="150" spans="1:18" x14ac:dyDescent="0.25">
      <c r="A150">
        <v>149</v>
      </c>
      <c r="B150">
        <v>83</v>
      </c>
      <c r="C150" t="s">
        <v>237</v>
      </c>
      <c r="D150" t="s">
        <v>481</v>
      </c>
      <c r="E150" t="s">
        <v>109</v>
      </c>
      <c r="F150" t="s">
        <v>783</v>
      </c>
      <c r="G150">
        <v>8.5443166441136675</v>
      </c>
      <c r="H150">
        <v>15352015922</v>
      </c>
      <c r="I150" t="s">
        <v>935</v>
      </c>
      <c r="J150">
        <v>0.5</v>
      </c>
      <c r="K150">
        <v>120597140</v>
      </c>
      <c r="L150">
        <v>254.6</v>
      </c>
      <c r="M150">
        <v>258</v>
      </c>
      <c r="N150">
        <v>254.6</v>
      </c>
      <c r="O150">
        <v>25449524.059</v>
      </c>
    </row>
    <row r="151" spans="1:18" x14ac:dyDescent="0.25">
      <c r="A151">
        <v>150</v>
      </c>
      <c r="B151">
        <v>84</v>
      </c>
      <c r="C151" t="s">
        <v>238</v>
      </c>
      <c r="D151" t="s">
        <v>482</v>
      </c>
      <c r="E151" t="s">
        <v>115</v>
      </c>
      <c r="F151" t="s">
        <v>784</v>
      </c>
      <c r="G151">
        <v>8.5443166441136675</v>
      </c>
      <c r="H151">
        <v>15004977250.8825</v>
      </c>
      <c r="I151" t="s">
        <v>935</v>
      </c>
      <c r="J151">
        <v>0.75</v>
      </c>
      <c r="K151">
        <v>1964323646</v>
      </c>
      <c r="L151">
        <v>10.185</v>
      </c>
      <c r="M151">
        <v>10.835000000000001</v>
      </c>
      <c r="N151">
        <v>10.185</v>
      </c>
      <c r="O151">
        <v>128384546.882495</v>
      </c>
    </row>
    <row r="152" spans="1:18" x14ac:dyDescent="0.25">
      <c r="A152">
        <v>151</v>
      </c>
      <c r="B152">
        <v>85</v>
      </c>
      <c r="C152" t="s">
        <v>239</v>
      </c>
      <c r="D152" t="s">
        <v>483</v>
      </c>
      <c r="E152" t="s">
        <v>115</v>
      </c>
      <c r="F152" t="s">
        <v>785</v>
      </c>
      <c r="G152">
        <v>8.5443166441136675</v>
      </c>
      <c r="H152">
        <v>14193468565.305</v>
      </c>
      <c r="I152" t="s">
        <v>935</v>
      </c>
      <c r="J152">
        <v>0.75</v>
      </c>
      <c r="K152">
        <v>1515182126</v>
      </c>
      <c r="L152">
        <v>12.49</v>
      </c>
      <c r="M152">
        <v>12.585000000000001</v>
      </c>
      <c r="N152">
        <v>12.49</v>
      </c>
      <c r="O152">
        <v>81810215.015719995</v>
      </c>
    </row>
    <row r="153" spans="1:18" x14ac:dyDescent="0.25">
      <c r="A153">
        <v>152</v>
      </c>
      <c r="B153">
        <v>86</v>
      </c>
      <c r="C153" t="s">
        <v>240</v>
      </c>
      <c r="D153" t="s">
        <v>484</v>
      </c>
      <c r="E153" t="s">
        <v>113</v>
      </c>
      <c r="F153" t="s">
        <v>786</v>
      </c>
      <c r="G153">
        <v>8.5443166441136675</v>
      </c>
      <c r="H153">
        <v>13833440240.536501</v>
      </c>
      <c r="I153" t="s">
        <v>935</v>
      </c>
      <c r="J153">
        <v>0.95000000000000007</v>
      </c>
      <c r="K153">
        <v>952667062</v>
      </c>
      <c r="L153">
        <v>15.285</v>
      </c>
      <c r="M153">
        <v>16.16</v>
      </c>
      <c r="N153">
        <v>15.285</v>
      </c>
      <c r="O153">
        <v>24540544.156133998</v>
      </c>
    </row>
    <row r="154" spans="1:18" x14ac:dyDescent="0.25">
      <c r="A154">
        <v>153</v>
      </c>
      <c r="B154">
        <v>87</v>
      </c>
      <c r="C154" t="s">
        <v>241</v>
      </c>
      <c r="D154" t="s">
        <v>485</v>
      </c>
      <c r="E154" t="s">
        <v>115</v>
      </c>
      <c r="F154" t="s">
        <v>787</v>
      </c>
      <c r="G154">
        <v>8.5443166441136675</v>
      </c>
      <c r="H154">
        <v>9535909110.0000019</v>
      </c>
      <c r="I154" t="s">
        <v>935</v>
      </c>
      <c r="J154">
        <v>0.35</v>
      </c>
      <c r="K154">
        <v>1306110000</v>
      </c>
      <c r="L154">
        <v>20.86</v>
      </c>
      <c r="M154">
        <v>20.7</v>
      </c>
      <c r="N154">
        <v>20.86</v>
      </c>
      <c r="O154">
        <v>32311767.558075</v>
      </c>
    </row>
    <row r="155" spans="1:18" x14ac:dyDescent="0.25">
      <c r="A155">
        <v>154</v>
      </c>
      <c r="C155" t="s">
        <v>242</v>
      </c>
      <c r="D155" t="s">
        <v>486</v>
      </c>
      <c r="E155" t="s">
        <v>111</v>
      </c>
      <c r="F155" t="s">
        <v>788</v>
      </c>
      <c r="G155">
        <v>8.5443166441136675</v>
      </c>
      <c r="H155">
        <v>9262566596.1600018</v>
      </c>
      <c r="I155" t="s">
        <v>935</v>
      </c>
      <c r="J155">
        <v>0.8</v>
      </c>
      <c r="K155">
        <v>198938286</v>
      </c>
      <c r="L155">
        <v>58.2</v>
      </c>
      <c r="M155">
        <v>57.4</v>
      </c>
      <c r="N155">
        <v>58.2</v>
      </c>
      <c r="O155">
        <v>14089185.64325</v>
      </c>
      <c r="P155" t="s">
        <v>942</v>
      </c>
      <c r="R155" t="s">
        <v>942</v>
      </c>
    </row>
    <row r="156" spans="1:18" x14ac:dyDescent="0.25">
      <c r="A156">
        <v>155</v>
      </c>
      <c r="C156" t="s">
        <v>243</v>
      </c>
      <c r="D156" t="s">
        <v>487</v>
      </c>
      <c r="E156" t="s">
        <v>110</v>
      </c>
      <c r="F156" t="s">
        <v>789</v>
      </c>
      <c r="G156">
        <v>8.5443166441136675</v>
      </c>
      <c r="H156">
        <v>8399904171.75</v>
      </c>
      <c r="I156" t="s">
        <v>935</v>
      </c>
      <c r="J156">
        <v>0.7</v>
      </c>
      <c r="K156">
        <v>898866150</v>
      </c>
      <c r="L156">
        <v>13.35</v>
      </c>
      <c r="M156">
        <v>13.78</v>
      </c>
      <c r="N156">
        <v>13.35</v>
      </c>
      <c r="O156">
        <v>19780685.879659999</v>
      </c>
      <c r="P156" t="s">
        <v>942</v>
      </c>
      <c r="R156" t="s">
        <v>942</v>
      </c>
    </row>
    <row r="157" spans="1:18" x14ac:dyDescent="0.25">
      <c r="A157">
        <v>156</v>
      </c>
      <c r="B157">
        <v>88</v>
      </c>
      <c r="C157" t="s">
        <v>244</v>
      </c>
      <c r="D157" t="s">
        <v>488</v>
      </c>
      <c r="E157" t="s">
        <v>115</v>
      </c>
      <c r="F157" t="s">
        <v>790</v>
      </c>
      <c r="G157">
        <v>8.5443166441136675</v>
      </c>
      <c r="H157">
        <v>7446298802.7780008</v>
      </c>
      <c r="I157" t="s">
        <v>935</v>
      </c>
      <c r="J157">
        <v>0.55000000000000004</v>
      </c>
      <c r="K157">
        <v>717473508</v>
      </c>
      <c r="L157">
        <v>18.87</v>
      </c>
      <c r="M157">
        <v>19.649999999999999</v>
      </c>
      <c r="N157">
        <v>18.87</v>
      </c>
      <c r="O157">
        <v>24022930.343575001</v>
      </c>
    </row>
    <row r="158" spans="1:18" x14ac:dyDescent="0.25">
      <c r="A158">
        <v>157</v>
      </c>
      <c r="B158">
        <v>89</v>
      </c>
      <c r="C158" t="s">
        <v>245</v>
      </c>
      <c r="D158" t="s">
        <v>489</v>
      </c>
      <c r="E158" t="s">
        <v>634</v>
      </c>
      <c r="F158" t="s">
        <v>791</v>
      </c>
      <c r="G158">
        <v>8.5443166441136675</v>
      </c>
      <c r="H158">
        <v>7095111443.0668802</v>
      </c>
      <c r="I158" t="s">
        <v>935</v>
      </c>
      <c r="J158">
        <v>0.60000000000000009</v>
      </c>
      <c r="K158">
        <v>15113989952</v>
      </c>
      <c r="L158">
        <v>0.78239999999999998</v>
      </c>
      <c r="M158">
        <v>0.86499999999999999</v>
      </c>
      <c r="N158">
        <v>0.78239999999999998</v>
      </c>
      <c r="O158">
        <v>47052440.681533001</v>
      </c>
    </row>
    <row r="159" spans="1:18" x14ac:dyDescent="0.25">
      <c r="A159">
        <v>158</v>
      </c>
      <c r="C159" t="s">
        <v>246</v>
      </c>
      <c r="D159" t="s">
        <v>490</v>
      </c>
      <c r="E159" t="s">
        <v>108</v>
      </c>
      <c r="F159" t="s">
        <v>792</v>
      </c>
      <c r="G159">
        <v>8.5443166441136675</v>
      </c>
      <c r="H159">
        <v>4110298434.6200008</v>
      </c>
      <c r="I159" t="s">
        <v>935</v>
      </c>
      <c r="J159">
        <v>0.85000000000000009</v>
      </c>
      <c r="K159">
        <v>179363695</v>
      </c>
      <c r="L159">
        <v>26.96</v>
      </c>
      <c r="M159">
        <v>27.12</v>
      </c>
      <c r="N159">
        <v>26.96</v>
      </c>
      <c r="O159">
        <v>13309524.524</v>
      </c>
      <c r="P159" t="s">
        <v>942</v>
      </c>
      <c r="R159" t="s">
        <v>942</v>
      </c>
    </row>
    <row r="160" spans="1:18" x14ac:dyDescent="0.25">
      <c r="A160">
        <v>159</v>
      </c>
      <c r="C160" t="s">
        <v>247</v>
      </c>
      <c r="D160" t="s">
        <v>491</v>
      </c>
      <c r="E160" t="s">
        <v>108</v>
      </c>
      <c r="F160" t="s">
        <v>793</v>
      </c>
      <c r="G160">
        <v>8.5443166441136675</v>
      </c>
      <c r="H160">
        <v>3915282851.190001</v>
      </c>
      <c r="I160" t="s">
        <v>935</v>
      </c>
      <c r="J160">
        <v>0.45</v>
      </c>
      <c r="K160">
        <v>816960428</v>
      </c>
      <c r="L160">
        <v>10.65</v>
      </c>
      <c r="M160">
        <v>10.99</v>
      </c>
      <c r="N160">
        <v>10.65</v>
      </c>
      <c r="O160">
        <v>7069279.017275</v>
      </c>
      <c r="P160" t="s">
        <v>942</v>
      </c>
      <c r="R160" t="s">
        <v>942</v>
      </c>
    </row>
    <row r="161" spans="1:18" x14ac:dyDescent="0.25">
      <c r="A161">
        <v>160</v>
      </c>
      <c r="B161">
        <v>90</v>
      </c>
      <c r="C161" t="s">
        <v>248</v>
      </c>
      <c r="D161" t="s">
        <v>492</v>
      </c>
      <c r="E161" t="s">
        <v>108</v>
      </c>
      <c r="F161" t="s">
        <v>794</v>
      </c>
      <c r="G161">
        <v>8.4401217861975635</v>
      </c>
      <c r="H161">
        <v>96001977593.5</v>
      </c>
      <c r="I161" t="s">
        <v>935</v>
      </c>
      <c r="J161">
        <v>1</v>
      </c>
      <c r="K161">
        <v>578534275</v>
      </c>
      <c r="L161">
        <v>165.94</v>
      </c>
      <c r="M161">
        <v>158.46</v>
      </c>
      <c r="N161">
        <v>165.94</v>
      </c>
      <c r="O161">
        <v>96960052.230783895</v>
      </c>
    </row>
    <row r="162" spans="1:18" x14ac:dyDescent="0.25">
      <c r="A162">
        <v>161</v>
      </c>
      <c r="B162">
        <v>91</v>
      </c>
      <c r="C162" t="s">
        <v>249</v>
      </c>
      <c r="D162" t="s">
        <v>493</v>
      </c>
      <c r="E162" t="s">
        <v>109</v>
      </c>
      <c r="F162" t="s">
        <v>795</v>
      </c>
      <c r="G162">
        <v>8.4401217861975635</v>
      </c>
      <c r="H162">
        <v>18772080026.775002</v>
      </c>
      <c r="I162" t="s">
        <v>935</v>
      </c>
      <c r="J162">
        <v>0.85</v>
      </c>
      <c r="K162">
        <v>847785030</v>
      </c>
      <c r="L162">
        <v>26.05</v>
      </c>
      <c r="M162">
        <v>24.12</v>
      </c>
      <c r="N162">
        <v>26.05</v>
      </c>
      <c r="O162">
        <v>56007882.788149998</v>
      </c>
    </row>
    <row r="163" spans="1:18" x14ac:dyDescent="0.25">
      <c r="A163">
        <v>162</v>
      </c>
      <c r="C163" t="s">
        <v>250</v>
      </c>
      <c r="D163" t="s">
        <v>494</v>
      </c>
      <c r="E163" t="s">
        <v>108</v>
      </c>
      <c r="F163" t="s">
        <v>796</v>
      </c>
      <c r="G163">
        <v>8.4401217861975635</v>
      </c>
      <c r="H163">
        <v>6841495791</v>
      </c>
      <c r="I163" t="s">
        <v>935</v>
      </c>
      <c r="J163">
        <v>0.65</v>
      </c>
      <c r="K163">
        <v>182163000</v>
      </c>
      <c r="L163">
        <v>57.78</v>
      </c>
      <c r="M163">
        <v>57.46</v>
      </c>
      <c r="N163">
        <v>57.78</v>
      </c>
      <c r="O163">
        <v>16505614.963540999</v>
      </c>
      <c r="P163" t="s">
        <v>942</v>
      </c>
      <c r="R163" t="s">
        <v>942</v>
      </c>
    </row>
    <row r="164" spans="1:18" x14ac:dyDescent="0.25">
      <c r="A164">
        <v>163</v>
      </c>
      <c r="C164" t="s">
        <v>251</v>
      </c>
      <c r="D164" t="s">
        <v>495</v>
      </c>
      <c r="E164" t="s">
        <v>108</v>
      </c>
      <c r="F164" t="s">
        <v>797</v>
      </c>
      <c r="G164">
        <v>8.4401217861975635</v>
      </c>
      <c r="H164">
        <v>5547833085.000001</v>
      </c>
      <c r="I164" t="s">
        <v>935</v>
      </c>
      <c r="J164">
        <v>0.3</v>
      </c>
      <c r="K164">
        <v>97330405</v>
      </c>
      <c r="L164">
        <v>190</v>
      </c>
      <c r="M164">
        <v>207.4</v>
      </c>
      <c r="N164">
        <v>190</v>
      </c>
      <c r="O164">
        <v>13388988.752250001</v>
      </c>
      <c r="P164" t="s">
        <v>942</v>
      </c>
      <c r="R164" t="s">
        <v>942</v>
      </c>
    </row>
    <row r="165" spans="1:18" x14ac:dyDescent="0.25">
      <c r="A165">
        <v>164</v>
      </c>
      <c r="B165">
        <v>92</v>
      </c>
      <c r="C165" t="s">
        <v>252</v>
      </c>
      <c r="D165" t="s">
        <v>496</v>
      </c>
      <c r="E165" t="s">
        <v>109</v>
      </c>
      <c r="F165" t="s">
        <v>798</v>
      </c>
      <c r="G165">
        <v>8.4401217861975635</v>
      </c>
      <c r="H165">
        <v>5482900800</v>
      </c>
      <c r="I165" t="s">
        <v>935</v>
      </c>
      <c r="J165">
        <v>0.65</v>
      </c>
      <c r="K165">
        <v>37440000</v>
      </c>
      <c r="L165">
        <v>225.3</v>
      </c>
      <c r="M165">
        <v>247.5</v>
      </c>
      <c r="N165">
        <v>225.3</v>
      </c>
      <c r="O165">
        <v>27385506.568999998</v>
      </c>
    </row>
    <row r="166" spans="1:18" x14ac:dyDescent="0.25">
      <c r="A166">
        <v>165</v>
      </c>
      <c r="C166" t="s">
        <v>253</v>
      </c>
      <c r="D166" t="s">
        <v>497</v>
      </c>
      <c r="E166" t="s">
        <v>108</v>
      </c>
      <c r="F166" t="s">
        <v>799</v>
      </c>
      <c r="G166">
        <v>8.4401217861975635</v>
      </c>
      <c r="H166">
        <v>4607075000</v>
      </c>
      <c r="I166" t="s">
        <v>935</v>
      </c>
      <c r="J166">
        <v>0.55000000000000004</v>
      </c>
      <c r="K166">
        <v>550000000</v>
      </c>
      <c r="L166">
        <v>15.23</v>
      </c>
      <c r="M166">
        <v>15.3</v>
      </c>
      <c r="N166">
        <v>15.23</v>
      </c>
      <c r="O166">
        <v>7741882.6259500002</v>
      </c>
      <c r="P166" t="s">
        <v>942</v>
      </c>
      <c r="R166" t="s">
        <v>942</v>
      </c>
    </row>
    <row r="167" spans="1:18" x14ac:dyDescent="0.25">
      <c r="A167">
        <v>166</v>
      </c>
      <c r="C167" t="s">
        <v>254</v>
      </c>
      <c r="D167" t="s">
        <v>498</v>
      </c>
      <c r="E167" t="s">
        <v>108</v>
      </c>
      <c r="F167" t="s">
        <v>800</v>
      </c>
      <c r="G167">
        <v>8.4401217861975635</v>
      </c>
      <c r="H167">
        <v>4097326131.3600011</v>
      </c>
      <c r="I167" t="s">
        <v>935</v>
      </c>
      <c r="J167">
        <v>0.70000000000000007</v>
      </c>
      <c r="K167">
        <v>237553695</v>
      </c>
      <c r="L167">
        <v>24.64</v>
      </c>
      <c r="M167">
        <v>23.66</v>
      </c>
      <c r="N167">
        <v>24.64</v>
      </c>
      <c r="O167">
        <v>5936664.9371999996</v>
      </c>
      <c r="P167" t="s">
        <v>942</v>
      </c>
      <c r="R167" t="s">
        <v>942</v>
      </c>
    </row>
    <row r="168" spans="1:18" x14ac:dyDescent="0.25">
      <c r="A168">
        <v>167</v>
      </c>
      <c r="C168" t="s">
        <v>255</v>
      </c>
      <c r="D168" t="s">
        <v>499</v>
      </c>
      <c r="E168" t="s">
        <v>111</v>
      </c>
      <c r="F168" t="s">
        <v>801</v>
      </c>
      <c r="G168">
        <v>8.4401217861975635</v>
      </c>
      <c r="H168">
        <v>2931503898.1500001</v>
      </c>
      <c r="I168" t="s">
        <v>935</v>
      </c>
      <c r="J168">
        <v>1</v>
      </c>
      <c r="K168">
        <v>38096217</v>
      </c>
      <c r="L168">
        <v>76.95</v>
      </c>
      <c r="M168">
        <v>74.5</v>
      </c>
      <c r="N168">
        <v>76.95</v>
      </c>
      <c r="O168">
        <v>3809485.5602500001</v>
      </c>
      <c r="P168" t="s">
        <v>943</v>
      </c>
      <c r="Q168" t="s">
        <v>944</v>
      </c>
      <c r="R168" t="s">
        <v>942</v>
      </c>
    </row>
    <row r="169" spans="1:18" x14ac:dyDescent="0.25">
      <c r="A169">
        <v>168</v>
      </c>
      <c r="C169" t="s">
        <v>256</v>
      </c>
      <c r="D169" t="s">
        <v>500</v>
      </c>
      <c r="E169" t="s">
        <v>109</v>
      </c>
      <c r="F169" t="s">
        <v>802</v>
      </c>
      <c r="G169">
        <v>8.4401217861975635</v>
      </c>
      <c r="H169">
        <v>2124784189.4400001</v>
      </c>
      <c r="I169" t="s">
        <v>935</v>
      </c>
      <c r="J169">
        <v>0.45</v>
      </c>
      <c r="K169">
        <v>1537025600</v>
      </c>
      <c r="L169">
        <v>3.0720000000000001</v>
      </c>
      <c r="M169">
        <v>2.59</v>
      </c>
      <c r="N169">
        <v>3.0720000000000001</v>
      </c>
      <c r="O169">
        <v>5208028.5726100001</v>
      </c>
      <c r="P169" t="s">
        <v>943</v>
      </c>
      <c r="Q169" t="s">
        <v>944</v>
      </c>
      <c r="R169" t="s">
        <v>942</v>
      </c>
    </row>
    <row r="170" spans="1:18" x14ac:dyDescent="0.25">
      <c r="A170">
        <v>169</v>
      </c>
      <c r="C170" t="s">
        <v>257</v>
      </c>
      <c r="D170" t="s">
        <v>501</v>
      </c>
      <c r="E170" t="s">
        <v>108</v>
      </c>
      <c r="F170" t="s">
        <v>803</v>
      </c>
      <c r="G170">
        <v>8.4401217861975635</v>
      </c>
      <c r="H170">
        <v>2064468322.4400001</v>
      </c>
      <c r="I170" t="s">
        <v>935</v>
      </c>
      <c r="J170">
        <v>0.60000000000000009</v>
      </c>
      <c r="K170">
        <v>44512038</v>
      </c>
      <c r="L170">
        <v>77.3</v>
      </c>
      <c r="M170">
        <v>77.25</v>
      </c>
      <c r="N170">
        <v>77.3</v>
      </c>
      <c r="O170">
        <v>3597508.48575</v>
      </c>
      <c r="P170" t="s">
        <v>943</v>
      </c>
      <c r="Q170" t="s">
        <v>944</v>
      </c>
      <c r="R170" t="s">
        <v>942</v>
      </c>
    </row>
    <row r="171" spans="1:18" x14ac:dyDescent="0.25">
      <c r="A171">
        <v>170</v>
      </c>
      <c r="C171" t="s">
        <v>258</v>
      </c>
      <c r="D171" t="s">
        <v>502</v>
      </c>
      <c r="E171" t="s">
        <v>111</v>
      </c>
      <c r="F171" t="s">
        <v>804</v>
      </c>
      <c r="G171">
        <v>8.3768606224627877</v>
      </c>
      <c r="H171">
        <v>4115883365.8559999</v>
      </c>
      <c r="I171" t="s">
        <v>935</v>
      </c>
      <c r="J171">
        <v>0.8</v>
      </c>
      <c r="K171">
        <v>235139589</v>
      </c>
      <c r="L171">
        <v>21.88</v>
      </c>
      <c r="M171">
        <v>20.74</v>
      </c>
      <c r="N171">
        <v>21.88</v>
      </c>
      <c r="O171">
        <v>7698153.4426999995</v>
      </c>
      <c r="P171" t="s">
        <v>942</v>
      </c>
      <c r="R171" t="s">
        <v>942</v>
      </c>
    </row>
    <row r="172" spans="1:18" x14ac:dyDescent="0.25">
      <c r="A172">
        <v>171</v>
      </c>
      <c r="C172" t="s">
        <v>259</v>
      </c>
      <c r="D172" t="s">
        <v>503</v>
      </c>
      <c r="E172" t="s">
        <v>109</v>
      </c>
      <c r="F172" t="s">
        <v>805</v>
      </c>
      <c r="G172">
        <v>8.3768606224627877</v>
      </c>
      <c r="H172">
        <v>3260254452</v>
      </c>
      <c r="I172" t="s">
        <v>935</v>
      </c>
      <c r="J172">
        <v>1</v>
      </c>
      <c r="K172">
        <v>118900600</v>
      </c>
      <c r="L172">
        <v>27.42</v>
      </c>
      <c r="M172">
        <v>28.4</v>
      </c>
      <c r="N172">
        <v>27.42</v>
      </c>
      <c r="O172">
        <v>7700819.4160000002</v>
      </c>
      <c r="P172" t="s">
        <v>942</v>
      </c>
      <c r="R172" t="s">
        <v>942</v>
      </c>
    </row>
    <row r="173" spans="1:18" x14ac:dyDescent="0.25">
      <c r="A173">
        <v>172</v>
      </c>
      <c r="C173" t="s">
        <v>260</v>
      </c>
      <c r="D173" t="s">
        <v>504</v>
      </c>
      <c r="E173" t="s">
        <v>109</v>
      </c>
      <c r="F173" t="s">
        <v>806</v>
      </c>
      <c r="G173">
        <v>8.3768606224627877</v>
      </c>
      <c r="H173">
        <v>3172230000</v>
      </c>
      <c r="I173" t="s">
        <v>935</v>
      </c>
      <c r="J173">
        <v>0.45</v>
      </c>
      <c r="K173">
        <v>11370000</v>
      </c>
      <c r="L173">
        <v>620</v>
      </c>
      <c r="M173">
        <v>637</v>
      </c>
      <c r="N173">
        <v>620</v>
      </c>
      <c r="O173">
        <v>6372641.7649999997</v>
      </c>
      <c r="P173" t="s">
        <v>942</v>
      </c>
      <c r="R173" t="s">
        <v>942</v>
      </c>
    </row>
    <row r="174" spans="1:18" x14ac:dyDescent="0.25">
      <c r="A174">
        <v>173</v>
      </c>
      <c r="C174" t="s">
        <v>261</v>
      </c>
      <c r="D174" t="s">
        <v>505</v>
      </c>
      <c r="E174" t="s">
        <v>109</v>
      </c>
      <c r="F174" t="s">
        <v>807</v>
      </c>
      <c r="G174">
        <v>8.3768606224627877</v>
      </c>
      <c r="H174">
        <v>2701309292.5999999</v>
      </c>
      <c r="I174" t="s">
        <v>935</v>
      </c>
      <c r="J174">
        <v>1</v>
      </c>
      <c r="K174">
        <v>189034940</v>
      </c>
      <c r="L174">
        <v>14.29</v>
      </c>
      <c r="M174">
        <v>13.14</v>
      </c>
      <c r="N174">
        <v>14.29</v>
      </c>
      <c r="O174">
        <v>5903549.6766999997</v>
      </c>
      <c r="P174" t="s">
        <v>943</v>
      </c>
      <c r="Q174" t="s">
        <v>944</v>
      </c>
      <c r="R174" t="s">
        <v>942</v>
      </c>
    </row>
    <row r="175" spans="1:18" x14ac:dyDescent="0.25">
      <c r="A175">
        <v>174</v>
      </c>
      <c r="C175" t="s">
        <v>262</v>
      </c>
      <c r="D175" t="s">
        <v>506</v>
      </c>
      <c r="E175" t="s">
        <v>112</v>
      </c>
      <c r="F175" t="s">
        <v>808</v>
      </c>
      <c r="G175">
        <v>8.3768606224627877</v>
      </c>
      <c r="H175">
        <v>2362500000</v>
      </c>
      <c r="I175" t="s">
        <v>935</v>
      </c>
      <c r="J175">
        <v>0.5</v>
      </c>
      <c r="K175">
        <v>500000000</v>
      </c>
      <c r="L175">
        <v>9.4499999999999993</v>
      </c>
      <c r="M175">
        <v>9.92</v>
      </c>
      <c r="N175">
        <v>9.4499999999999993</v>
      </c>
      <c r="O175">
        <v>10648583.968800001</v>
      </c>
      <c r="P175" t="s">
        <v>943</v>
      </c>
      <c r="Q175" t="s">
        <v>944</v>
      </c>
      <c r="R175" t="s">
        <v>942</v>
      </c>
    </row>
    <row r="176" spans="1:18" x14ac:dyDescent="0.25">
      <c r="A176">
        <v>175</v>
      </c>
      <c r="B176">
        <v>93</v>
      </c>
      <c r="C176" t="s">
        <v>263</v>
      </c>
      <c r="D176" t="s">
        <v>507</v>
      </c>
      <c r="E176" t="s">
        <v>108</v>
      </c>
      <c r="F176" t="s">
        <v>809</v>
      </c>
      <c r="G176">
        <v>6.75</v>
      </c>
      <c r="H176">
        <v>155029481810</v>
      </c>
      <c r="I176" t="s">
        <v>936</v>
      </c>
      <c r="J176">
        <v>0.5</v>
      </c>
      <c r="K176">
        <v>497686940</v>
      </c>
      <c r="L176">
        <v>623</v>
      </c>
      <c r="M176">
        <v>625.20000000000005</v>
      </c>
      <c r="N176">
        <v>623</v>
      </c>
      <c r="O176">
        <v>251737340.45981699</v>
      </c>
    </row>
    <row r="177" spans="1:15" x14ac:dyDescent="0.25">
      <c r="A177">
        <v>176</v>
      </c>
      <c r="B177">
        <v>94</v>
      </c>
      <c r="C177" t="s">
        <v>264</v>
      </c>
      <c r="D177" t="s">
        <v>508</v>
      </c>
      <c r="E177" t="s">
        <v>110</v>
      </c>
      <c r="F177" t="s">
        <v>810</v>
      </c>
      <c r="G177">
        <v>6.75</v>
      </c>
      <c r="H177">
        <v>131065286625</v>
      </c>
      <c r="I177" t="s">
        <v>936</v>
      </c>
      <c r="J177">
        <v>1</v>
      </c>
      <c r="K177">
        <v>14885325000</v>
      </c>
      <c r="L177">
        <v>8.8049999999999997</v>
      </c>
      <c r="M177">
        <v>9.7780000000000005</v>
      </c>
      <c r="N177">
        <v>8.8049999999999997</v>
      </c>
      <c r="O177">
        <v>199845154.79542801</v>
      </c>
    </row>
    <row r="178" spans="1:15" x14ac:dyDescent="0.25">
      <c r="A178">
        <v>177</v>
      </c>
      <c r="B178">
        <v>95</v>
      </c>
      <c r="C178" t="s">
        <v>265</v>
      </c>
      <c r="D178" t="s">
        <v>509</v>
      </c>
      <c r="E178" t="s">
        <v>108</v>
      </c>
      <c r="F178" t="s">
        <v>811</v>
      </c>
      <c r="G178">
        <v>6.75</v>
      </c>
      <c r="H178">
        <v>86833153429.199997</v>
      </c>
      <c r="I178" t="s">
        <v>936</v>
      </c>
      <c r="J178">
        <v>0.45</v>
      </c>
      <c r="K178">
        <v>533783024</v>
      </c>
      <c r="L178">
        <v>361.5</v>
      </c>
      <c r="M178">
        <v>371.95</v>
      </c>
      <c r="N178">
        <v>361.5</v>
      </c>
      <c r="O178">
        <v>112340319.76193599</v>
      </c>
    </row>
    <row r="179" spans="1:15" x14ac:dyDescent="0.25">
      <c r="A179">
        <v>178</v>
      </c>
      <c r="B179">
        <v>96</v>
      </c>
      <c r="C179" t="s">
        <v>266</v>
      </c>
      <c r="D179" t="s">
        <v>510</v>
      </c>
      <c r="E179" t="s">
        <v>108</v>
      </c>
      <c r="F179" t="s">
        <v>812</v>
      </c>
      <c r="G179">
        <v>6.75</v>
      </c>
      <c r="H179">
        <v>62966255382</v>
      </c>
      <c r="I179" t="s">
        <v>936</v>
      </c>
      <c r="J179">
        <v>0.9</v>
      </c>
      <c r="K179">
        <v>586933775</v>
      </c>
      <c r="L179">
        <v>119.2</v>
      </c>
      <c r="M179">
        <v>119.8</v>
      </c>
      <c r="N179">
        <v>119.2</v>
      </c>
      <c r="O179">
        <v>100628671.517362</v>
      </c>
    </row>
    <row r="180" spans="1:15" x14ac:dyDescent="0.25">
      <c r="A180">
        <v>179</v>
      </c>
      <c r="B180">
        <v>97</v>
      </c>
      <c r="C180" t="s">
        <v>267</v>
      </c>
      <c r="D180" t="s">
        <v>511</v>
      </c>
      <c r="E180" t="s">
        <v>109</v>
      </c>
      <c r="F180" t="s">
        <v>813</v>
      </c>
      <c r="G180">
        <v>6.75</v>
      </c>
      <c r="H180">
        <v>41391169264.5</v>
      </c>
      <c r="I180" t="s">
        <v>936</v>
      </c>
      <c r="J180">
        <v>1</v>
      </c>
      <c r="K180">
        <v>1305921100</v>
      </c>
      <c r="L180">
        <v>31.695</v>
      </c>
      <c r="M180">
        <v>36.57</v>
      </c>
      <c r="N180">
        <v>31.695</v>
      </c>
      <c r="O180">
        <v>126611680.444575</v>
      </c>
    </row>
    <row r="181" spans="1:15" x14ac:dyDescent="0.25">
      <c r="A181">
        <v>180</v>
      </c>
      <c r="B181">
        <v>98</v>
      </c>
      <c r="C181" t="s">
        <v>268</v>
      </c>
      <c r="D181" t="s">
        <v>512</v>
      </c>
      <c r="E181" t="s">
        <v>109</v>
      </c>
      <c r="F181" t="s">
        <v>814</v>
      </c>
      <c r="G181">
        <v>6.75</v>
      </c>
      <c r="H181">
        <v>41218870000</v>
      </c>
      <c r="I181" t="s">
        <v>936</v>
      </c>
      <c r="J181">
        <v>1</v>
      </c>
      <c r="K181">
        <v>188300000</v>
      </c>
      <c r="L181">
        <v>218.9</v>
      </c>
      <c r="M181">
        <v>215.1</v>
      </c>
      <c r="N181">
        <v>218.9</v>
      </c>
      <c r="O181">
        <v>80430486.472000003</v>
      </c>
    </row>
    <row r="182" spans="1:15" x14ac:dyDescent="0.25">
      <c r="A182">
        <v>181</v>
      </c>
      <c r="B182">
        <v>99</v>
      </c>
      <c r="C182" t="s">
        <v>269</v>
      </c>
      <c r="D182" t="s">
        <v>513</v>
      </c>
      <c r="E182" t="s">
        <v>109</v>
      </c>
      <c r="F182" t="s">
        <v>815</v>
      </c>
      <c r="G182">
        <v>6.75</v>
      </c>
      <c r="H182">
        <v>39141906071</v>
      </c>
      <c r="I182" t="s">
        <v>936</v>
      </c>
      <c r="J182">
        <v>1</v>
      </c>
      <c r="K182">
        <v>893854900</v>
      </c>
      <c r="L182">
        <v>43.79</v>
      </c>
      <c r="M182">
        <v>44.56</v>
      </c>
      <c r="N182">
        <v>43.79</v>
      </c>
      <c r="O182">
        <v>102183569.09805</v>
      </c>
    </row>
    <row r="183" spans="1:15" x14ac:dyDescent="0.25">
      <c r="A183">
        <v>182</v>
      </c>
      <c r="B183">
        <v>100</v>
      </c>
      <c r="C183" t="s">
        <v>270</v>
      </c>
      <c r="D183" t="s">
        <v>514</v>
      </c>
      <c r="E183" t="s">
        <v>108</v>
      </c>
      <c r="F183" t="s">
        <v>816</v>
      </c>
      <c r="G183">
        <v>6.75</v>
      </c>
      <c r="H183">
        <v>39024208080.396004</v>
      </c>
      <c r="I183" t="s">
        <v>936</v>
      </c>
      <c r="J183">
        <v>0.9</v>
      </c>
      <c r="K183">
        <v>766894786</v>
      </c>
      <c r="L183">
        <v>56.54</v>
      </c>
      <c r="M183">
        <v>64.36</v>
      </c>
      <c r="N183">
        <v>56.54</v>
      </c>
      <c r="O183">
        <v>112619549.641993</v>
      </c>
    </row>
    <row r="184" spans="1:15" x14ac:dyDescent="0.25">
      <c r="A184">
        <v>183</v>
      </c>
      <c r="B184">
        <v>101</v>
      </c>
      <c r="C184" t="s">
        <v>271</v>
      </c>
      <c r="D184" t="s">
        <v>515</v>
      </c>
      <c r="E184" t="s">
        <v>109</v>
      </c>
      <c r="F184" t="s">
        <v>817</v>
      </c>
      <c r="G184">
        <v>6.75</v>
      </c>
      <c r="H184">
        <v>34799375190</v>
      </c>
      <c r="I184" t="s">
        <v>936</v>
      </c>
      <c r="J184">
        <v>0.85</v>
      </c>
      <c r="K184">
        <v>2641318800</v>
      </c>
      <c r="L184">
        <v>15.5</v>
      </c>
      <c r="M184">
        <v>14.98</v>
      </c>
      <c r="N184">
        <v>15.5</v>
      </c>
      <c r="O184">
        <v>59693199.148474999</v>
      </c>
    </row>
    <row r="185" spans="1:15" x14ac:dyDescent="0.25">
      <c r="A185">
        <v>184</v>
      </c>
      <c r="B185">
        <v>102</v>
      </c>
      <c r="C185" t="s">
        <v>272</v>
      </c>
      <c r="D185" t="s">
        <v>516</v>
      </c>
      <c r="E185" t="s">
        <v>112</v>
      </c>
      <c r="F185" t="s">
        <v>818</v>
      </c>
      <c r="G185">
        <v>6.75</v>
      </c>
      <c r="H185">
        <v>31679902009.759998</v>
      </c>
      <c r="I185" t="s">
        <v>936</v>
      </c>
      <c r="J185">
        <v>1</v>
      </c>
      <c r="K185">
        <v>896939468</v>
      </c>
      <c r="L185">
        <v>35.32</v>
      </c>
      <c r="M185">
        <v>34.840000000000003</v>
      </c>
      <c r="N185">
        <v>35.32</v>
      </c>
      <c r="O185">
        <v>59486377.781999998</v>
      </c>
    </row>
    <row r="186" spans="1:15" x14ac:dyDescent="0.25">
      <c r="A186">
        <v>185</v>
      </c>
      <c r="B186">
        <v>103</v>
      </c>
      <c r="C186" t="s">
        <v>273</v>
      </c>
      <c r="D186" t="s">
        <v>517</v>
      </c>
      <c r="E186" t="s">
        <v>114</v>
      </c>
      <c r="F186" t="s">
        <v>819</v>
      </c>
      <c r="G186">
        <v>6.75</v>
      </c>
      <c r="H186">
        <v>27984805177.950001</v>
      </c>
      <c r="I186" t="s">
        <v>936</v>
      </c>
      <c r="J186">
        <v>0.95</v>
      </c>
      <c r="K186">
        <v>5742239700</v>
      </c>
      <c r="L186">
        <v>5.13</v>
      </c>
      <c r="M186">
        <v>5.4059999999999997</v>
      </c>
      <c r="N186">
        <v>5.13</v>
      </c>
      <c r="O186">
        <v>67323848.028799996</v>
      </c>
    </row>
    <row r="187" spans="1:15" x14ac:dyDescent="0.25">
      <c r="A187">
        <v>186</v>
      </c>
      <c r="B187">
        <v>104</v>
      </c>
      <c r="C187" t="s">
        <v>274</v>
      </c>
      <c r="D187" t="s">
        <v>518</v>
      </c>
      <c r="E187" t="s">
        <v>110</v>
      </c>
      <c r="F187" t="s">
        <v>820</v>
      </c>
      <c r="G187">
        <v>6.75</v>
      </c>
      <c r="H187">
        <v>25812047461.200001</v>
      </c>
      <c r="I187" t="s">
        <v>936</v>
      </c>
      <c r="J187">
        <v>0.65</v>
      </c>
      <c r="K187">
        <v>733755400</v>
      </c>
      <c r="L187">
        <v>54.12</v>
      </c>
      <c r="M187">
        <v>56.1</v>
      </c>
      <c r="N187">
        <v>54.12</v>
      </c>
      <c r="O187">
        <v>54200476.420649998</v>
      </c>
    </row>
    <row r="188" spans="1:15" x14ac:dyDescent="0.25">
      <c r="A188">
        <v>187</v>
      </c>
      <c r="B188">
        <v>105</v>
      </c>
      <c r="C188" t="s">
        <v>275</v>
      </c>
      <c r="D188" t="s">
        <v>519</v>
      </c>
      <c r="E188" t="s">
        <v>109</v>
      </c>
      <c r="F188" t="s">
        <v>821</v>
      </c>
      <c r="G188">
        <v>6.75</v>
      </c>
      <c r="H188">
        <v>23870680773</v>
      </c>
      <c r="I188" t="s">
        <v>936</v>
      </c>
      <c r="J188">
        <v>0.5</v>
      </c>
      <c r="K188">
        <v>561134950</v>
      </c>
      <c r="L188">
        <v>85.08</v>
      </c>
      <c r="M188">
        <v>95.5</v>
      </c>
      <c r="N188">
        <v>85.08</v>
      </c>
      <c r="O188">
        <v>86135291.106600001</v>
      </c>
    </row>
    <row r="189" spans="1:15" x14ac:dyDescent="0.25">
      <c r="A189">
        <v>188</v>
      </c>
      <c r="B189">
        <v>106</v>
      </c>
      <c r="C189" t="s">
        <v>276</v>
      </c>
      <c r="D189" t="s">
        <v>520</v>
      </c>
      <c r="E189" t="s">
        <v>108</v>
      </c>
      <c r="F189" t="s">
        <v>822</v>
      </c>
      <c r="G189">
        <v>6.75</v>
      </c>
      <c r="H189">
        <v>20318246054.700001</v>
      </c>
      <c r="I189" t="s">
        <v>936</v>
      </c>
      <c r="J189">
        <v>0.95000000000000007</v>
      </c>
      <c r="K189">
        <v>254311860</v>
      </c>
      <c r="L189">
        <v>84.1</v>
      </c>
      <c r="M189">
        <v>87.2</v>
      </c>
      <c r="N189">
        <v>84.1</v>
      </c>
      <c r="O189">
        <v>50153992.784267001</v>
      </c>
    </row>
    <row r="190" spans="1:15" x14ac:dyDescent="0.25">
      <c r="A190">
        <v>189</v>
      </c>
      <c r="B190">
        <v>107</v>
      </c>
      <c r="C190" t="s">
        <v>277</v>
      </c>
      <c r="D190" t="s">
        <v>521</v>
      </c>
      <c r="E190" t="s">
        <v>112</v>
      </c>
      <c r="F190" t="s">
        <v>823</v>
      </c>
      <c r="G190">
        <v>6.75</v>
      </c>
      <c r="H190">
        <v>14519086368.299999</v>
      </c>
      <c r="I190" t="s">
        <v>936</v>
      </c>
      <c r="J190">
        <v>0.5</v>
      </c>
      <c r="K190">
        <v>852809772</v>
      </c>
      <c r="L190">
        <v>34.049999999999997</v>
      </c>
      <c r="M190">
        <v>38.43</v>
      </c>
      <c r="N190">
        <v>34.049999999999997</v>
      </c>
      <c r="O190">
        <v>55963210.089063004</v>
      </c>
    </row>
    <row r="191" spans="1:15" x14ac:dyDescent="0.25">
      <c r="A191">
        <v>190</v>
      </c>
      <c r="B191">
        <v>108</v>
      </c>
      <c r="C191" t="s">
        <v>278</v>
      </c>
      <c r="D191" t="s">
        <v>522</v>
      </c>
      <c r="E191" t="s">
        <v>113</v>
      </c>
      <c r="F191" t="s">
        <v>824</v>
      </c>
      <c r="G191">
        <v>6.75</v>
      </c>
      <c r="H191">
        <v>12645207433.75</v>
      </c>
      <c r="I191" t="s">
        <v>936</v>
      </c>
      <c r="J191">
        <v>1</v>
      </c>
      <c r="K191">
        <v>161600095</v>
      </c>
      <c r="L191">
        <v>78.25</v>
      </c>
      <c r="M191">
        <v>75.400000000000006</v>
      </c>
      <c r="N191">
        <v>78.25</v>
      </c>
      <c r="O191">
        <v>27464914.078428999</v>
      </c>
    </row>
    <row r="192" spans="1:15" x14ac:dyDescent="0.25">
      <c r="A192">
        <v>191</v>
      </c>
      <c r="B192">
        <v>109</v>
      </c>
      <c r="C192" t="s">
        <v>279</v>
      </c>
      <c r="D192" t="s">
        <v>523</v>
      </c>
      <c r="E192" t="s">
        <v>115</v>
      </c>
      <c r="F192" t="s">
        <v>825</v>
      </c>
      <c r="G192">
        <v>6.75</v>
      </c>
      <c r="H192">
        <v>12604567365.809999</v>
      </c>
      <c r="I192" t="s">
        <v>936</v>
      </c>
      <c r="J192">
        <v>1</v>
      </c>
      <c r="K192">
        <v>611575321</v>
      </c>
      <c r="L192">
        <v>20.61</v>
      </c>
      <c r="M192">
        <v>21.05</v>
      </c>
      <c r="N192">
        <v>20.61</v>
      </c>
      <c r="O192">
        <v>29737565.6063</v>
      </c>
    </row>
    <row r="193" spans="1:18" x14ac:dyDescent="0.25">
      <c r="A193">
        <v>192</v>
      </c>
      <c r="C193" t="s">
        <v>280</v>
      </c>
      <c r="D193" t="s">
        <v>524</v>
      </c>
      <c r="E193" t="s">
        <v>114</v>
      </c>
      <c r="F193" t="s">
        <v>826</v>
      </c>
      <c r="G193">
        <v>6.75</v>
      </c>
      <c r="H193">
        <v>12563471228.799999</v>
      </c>
      <c r="I193" t="s">
        <v>936</v>
      </c>
      <c r="J193">
        <v>0.8</v>
      </c>
      <c r="K193">
        <v>591723400</v>
      </c>
      <c r="L193">
        <v>26.54</v>
      </c>
      <c r="M193">
        <v>30.58</v>
      </c>
      <c r="N193">
        <v>26.54</v>
      </c>
      <c r="O193">
        <v>20054408.528200001</v>
      </c>
      <c r="P193" t="s">
        <v>942</v>
      </c>
      <c r="R193" t="s">
        <v>942</v>
      </c>
    </row>
    <row r="194" spans="1:18" x14ac:dyDescent="0.25">
      <c r="A194">
        <v>193</v>
      </c>
      <c r="B194">
        <v>110</v>
      </c>
      <c r="C194" t="s">
        <v>281</v>
      </c>
      <c r="D194" t="s">
        <v>525</v>
      </c>
      <c r="E194" t="s">
        <v>115</v>
      </c>
      <c r="F194" t="s">
        <v>827</v>
      </c>
      <c r="G194">
        <v>6.75</v>
      </c>
      <c r="H194">
        <v>12359672587.104</v>
      </c>
      <c r="I194" t="s">
        <v>936</v>
      </c>
      <c r="J194">
        <v>0.8</v>
      </c>
      <c r="K194">
        <v>274805954</v>
      </c>
      <c r="L194">
        <v>56.22</v>
      </c>
      <c r="M194">
        <v>55.82</v>
      </c>
      <c r="N194">
        <v>56.22</v>
      </c>
      <c r="O194">
        <v>48704269.212049998</v>
      </c>
    </row>
    <row r="195" spans="1:18" x14ac:dyDescent="0.25">
      <c r="A195">
        <v>194</v>
      </c>
      <c r="B195">
        <v>111</v>
      </c>
      <c r="C195" t="s">
        <v>282</v>
      </c>
      <c r="D195" t="s">
        <v>526</v>
      </c>
      <c r="E195" t="s">
        <v>112</v>
      </c>
      <c r="F195" t="s">
        <v>828</v>
      </c>
      <c r="G195">
        <v>6.75</v>
      </c>
      <c r="H195">
        <v>8968337483.7600002</v>
      </c>
      <c r="I195" t="s">
        <v>936</v>
      </c>
      <c r="J195">
        <v>0.9</v>
      </c>
      <c r="K195">
        <v>81146738</v>
      </c>
      <c r="L195">
        <v>122.8</v>
      </c>
      <c r="M195">
        <v>136.9</v>
      </c>
      <c r="N195">
        <v>122.8</v>
      </c>
      <c r="O195">
        <v>56191432.636500001</v>
      </c>
    </row>
    <row r="196" spans="1:18" x14ac:dyDescent="0.25">
      <c r="A196">
        <v>195</v>
      </c>
      <c r="B196">
        <v>112</v>
      </c>
      <c r="C196" t="s">
        <v>283</v>
      </c>
      <c r="D196" t="s">
        <v>527</v>
      </c>
      <c r="E196" t="s">
        <v>109</v>
      </c>
      <c r="F196" t="s">
        <v>829</v>
      </c>
      <c r="G196">
        <v>6.75</v>
      </c>
      <c r="H196">
        <v>8102521599.3699999</v>
      </c>
      <c r="I196" t="s">
        <v>936</v>
      </c>
      <c r="J196">
        <v>0.85</v>
      </c>
      <c r="K196">
        <v>1200249100</v>
      </c>
      <c r="L196">
        <v>7.9420000000000002</v>
      </c>
      <c r="M196">
        <v>8.08</v>
      </c>
      <c r="N196">
        <v>7.9420000000000002</v>
      </c>
      <c r="O196">
        <v>32984971.151859999</v>
      </c>
    </row>
    <row r="197" spans="1:18" x14ac:dyDescent="0.25">
      <c r="A197">
        <v>196</v>
      </c>
      <c r="C197" t="s">
        <v>284</v>
      </c>
      <c r="D197" t="s">
        <v>528</v>
      </c>
      <c r="E197" t="s">
        <v>108</v>
      </c>
      <c r="F197" t="s">
        <v>830</v>
      </c>
      <c r="G197">
        <v>6.75</v>
      </c>
      <c r="H197">
        <v>6365697898</v>
      </c>
      <c r="I197" t="s">
        <v>936</v>
      </c>
      <c r="J197">
        <v>1</v>
      </c>
      <c r="K197">
        <v>37117772</v>
      </c>
      <c r="L197">
        <v>171.5</v>
      </c>
      <c r="M197">
        <v>159.80000000000001</v>
      </c>
      <c r="N197">
        <v>171.5</v>
      </c>
      <c r="O197">
        <v>14132908.4385</v>
      </c>
      <c r="P197" t="s">
        <v>942</v>
      </c>
      <c r="R197" t="s">
        <v>942</v>
      </c>
    </row>
    <row r="198" spans="1:18" x14ac:dyDescent="0.25">
      <c r="A198">
        <v>197</v>
      </c>
      <c r="C198" t="s">
        <v>285</v>
      </c>
      <c r="D198" t="s">
        <v>529</v>
      </c>
      <c r="E198" t="s">
        <v>109</v>
      </c>
      <c r="F198" t="s">
        <v>831</v>
      </c>
      <c r="G198">
        <v>6.75</v>
      </c>
      <c r="H198">
        <v>6316312500</v>
      </c>
      <c r="I198" t="s">
        <v>936</v>
      </c>
      <c r="J198">
        <v>0.95</v>
      </c>
      <c r="K198">
        <v>75000000</v>
      </c>
      <c r="L198">
        <v>88.65</v>
      </c>
      <c r="M198">
        <v>86.3</v>
      </c>
      <c r="N198">
        <v>88.65</v>
      </c>
      <c r="O198">
        <v>20861949.670000002</v>
      </c>
      <c r="P198" t="s">
        <v>942</v>
      </c>
      <c r="R198" t="s">
        <v>942</v>
      </c>
    </row>
    <row r="199" spans="1:18" x14ac:dyDescent="0.25">
      <c r="A199">
        <v>198</v>
      </c>
      <c r="C199" t="s">
        <v>286</v>
      </c>
      <c r="D199" t="s">
        <v>530</v>
      </c>
      <c r="E199" t="s">
        <v>109</v>
      </c>
      <c r="F199" t="s">
        <v>832</v>
      </c>
      <c r="G199">
        <v>6.75</v>
      </c>
      <c r="H199">
        <v>5891355730.4000006</v>
      </c>
      <c r="I199" t="s">
        <v>936</v>
      </c>
      <c r="J199">
        <v>1</v>
      </c>
      <c r="K199">
        <v>944884640</v>
      </c>
      <c r="L199">
        <v>6.2350000000000003</v>
      </c>
      <c r="M199">
        <v>7.62</v>
      </c>
      <c r="N199">
        <v>6.2350000000000003</v>
      </c>
      <c r="O199">
        <v>4236620.5961800003</v>
      </c>
      <c r="P199" t="s">
        <v>942</v>
      </c>
      <c r="R199" t="s">
        <v>942</v>
      </c>
    </row>
    <row r="200" spans="1:18" x14ac:dyDescent="0.25">
      <c r="A200">
        <v>199</v>
      </c>
      <c r="C200" t="s">
        <v>287</v>
      </c>
      <c r="D200" t="s">
        <v>531</v>
      </c>
      <c r="E200" t="s">
        <v>111</v>
      </c>
      <c r="F200" t="s">
        <v>833</v>
      </c>
      <c r="G200">
        <v>6.75</v>
      </c>
      <c r="H200">
        <v>5333328000</v>
      </c>
      <c r="I200" t="s">
        <v>936</v>
      </c>
      <c r="J200">
        <v>0.55000000000000004</v>
      </c>
      <c r="K200">
        <v>133200000</v>
      </c>
      <c r="L200">
        <v>72.8</v>
      </c>
      <c r="M200">
        <v>73.45</v>
      </c>
      <c r="N200">
        <v>72.8</v>
      </c>
      <c r="O200">
        <v>6538035.5884999996</v>
      </c>
      <c r="P200" t="s">
        <v>942</v>
      </c>
      <c r="R200" t="s">
        <v>942</v>
      </c>
    </row>
    <row r="201" spans="1:18" x14ac:dyDescent="0.25">
      <c r="A201">
        <v>200</v>
      </c>
      <c r="C201" t="s">
        <v>288</v>
      </c>
      <c r="D201" t="s">
        <v>532</v>
      </c>
      <c r="E201" t="s">
        <v>114</v>
      </c>
      <c r="F201" t="s">
        <v>834</v>
      </c>
      <c r="G201">
        <v>6.75</v>
      </c>
      <c r="H201">
        <v>4940939428.1999998</v>
      </c>
      <c r="I201" t="s">
        <v>936</v>
      </c>
      <c r="J201">
        <v>1</v>
      </c>
      <c r="K201">
        <v>273130980</v>
      </c>
      <c r="L201">
        <v>18.09</v>
      </c>
      <c r="M201">
        <v>18.38</v>
      </c>
      <c r="N201">
        <v>18.09</v>
      </c>
      <c r="O201">
        <v>8518502.3461000007</v>
      </c>
      <c r="P201" t="s">
        <v>942</v>
      </c>
      <c r="R201" t="s">
        <v>942</v>
      </c>
    </row>
    <row r="202" spans="1:18" x14ac:dyDescent="0.25">
      <c r="A202">
        <v>201</v>
      </c>
      <c r="C202" t="s">
        <v>289</v>
      </c>
      <c r="D202" t="s">
        <v>533</v>
      </c>
      <c r="E202" t="s">
        <v>108</v>
      </c>
      <c r="F202" t="s">
        <v>835</v>
      </c>
      <c r="G202">
        <v>6.75</v>
      </c>
      <c r="H202">
        <v>4447094233.1400003</v>
      </c>
      <c r="I202" t="s">
        <v>936</v>
      </c>
      <c r="J202">
        <v>0.85000000000000009</v>
      </c>
      <c r="K202">
        <v>43744779</v>
      </c>
      <c r="L202">
        <v>119.6</v>
      </c>
      <c r="M202">
        <v>126</v>
      </c>
      <c r="N202">
        <v>119.6</v>
      </c>
      <c r="O202">
        <v>16101558.283</v>
      </c>
      <c r="P202" t="s">
        <v>942</v>
      </c>
      <c r="R202" t="s">
        <v>942</v>
      </c>
    </row>
    <row r="203" spans="1:18" x14ac:dyDescent="0.25">
      <c r="A203">
        <v>202</v>
      </c>
      <c r="C203" t="s">
        <v>290</v>
      </c>
      <c r="D203" t="s">
        <v>534</v>
      </c>
      <c r="E203" t="s">
        <v>108</v>
      </c>
      <c r="F203" t="s">
        <v>836</v>
      </c>
      <c r="G203">
        <v>6.75</v>
      </c>
      <c r="H203">
        <v>4101928229.250001</v>
      </c>
      <c r="I203" t="s">
        <v>936</v>
      </c>
      <c r="J203">
        <v>0.3</v>
      </c>
      <c r="K203">
        <v>206386326</v>
      </c>
      <c r="L203">
        <v>66.25</v>
      </c>
      <c r="M203">
        <v>67</v>
      </c>
      <c r="N203">
        <v>66.25</v>
      </c>
      <c r="O203">
        <v>9541041.1339999996</v>
      </c>
      <c r="P203" t="s">
        <v>942</v>
      </c>
      <c r="R203" t="s">
        <v>942</v>
      </c>
    </row>
    <row r="204" spans="1:18" x14ac:dyDescent="0.25">
      <c r="A204">
        <v>203</v>
      </c>
      <c r="C204" t="s">
        <v>291</v>
      </c>
      <c r="D204" t="s">
        <v>535</v>
      </c>
      <c r="E204" t="s">
        <v>633</v>
      </c>
      <c r="F204" t="s">
        <v>837</v>
      </c>
      <c r="G204">
        <v>6.75</v>
      </c>
      <c r="H204">
        <v>3672399122.8800001</v>
      </c>
      <c r="I204" t="s">
        <v>936</v>
      </c>
      <c r="J204">
        <v>0.6</v>
      </c>
      <c r="K204">
        <v>178549160</v>
      </c>
      <c r="L204">
        <v>34.28</v>
      </c>
      <c r="M204">
        <v>39</v>
      </c>
      <c r="N204">
        <v>34.28</v>
      </c>
      <c r="O204">
        <v>8725993.3838999905</v>
      </c>
      <c r="P204" t="s">
        <v>942</v>
      </c>
      <c r="R204" t="s">
        <v>942</v>
      </c>
    </row>
    <row r="205" spans="1:18" x14ac:dyDescent="0.25">
      <c r="A205">
        <v>204</v>
      </c>
      <c r="C205" t="s">
        <v>292</v>
      </c>
      <c r="D205" t="s">
        <v>536</v>
      </c>
      <c r="E205" t="s">
        <v>108</v>
      </c>
      <c r="F205" t="s">
        <v>838</v>
      </c>
      <c r="G205">
        <v>6.75</v>
      </c>
      <c r="H205">
        <v>3580487027</v>
      </c>
      <c r="I205" t="s">
        <v>936</v>
      </c>
      <c r="J205">
        <v>1</v>
      </c>
      <c r="K205">
        <v>59874365</v>
      </c>
      <c r="L205">
        <v>59.8</v>
      </c>
      <c r="M205">
        <v>61.18</v>
      </c>
      <c r="N205">
        <v>59.8</v>
      </c>
      <c r="O205">
        <v>19922656.467099998</v>
      </c>
      <c r="P205" t="s">
        <v>942</v>
      </c>
      <c r="R205" t="s">
        <v>942</v>
      </c>
    </row>
    <row r="206" spans="1:18" x14ac:dyDescent="0.25">
      <c r="A206">
        <v>205</v>
      </c>
      <c r="C206" t="s">
        <v>293</v>
      </c>
      <c r="D206" t="s">
        <v>537</v>
      </c>
      <c r="E206" t="s">
        <v>108</v>
      </c>
      <c r="F206" t="s">
        <v>839</v>
      </c>
      <c r="G206">
        <v>6.75</v>
      </c>
      <c r="H206">
        <v>3577425762.3000011</v>
      </c>
      <c r="I206" t="s">
        <v>936</v>
      </c>
      <c r="J206">
        <v>0.3</v>
      </c>
      <c r="K206">
        <v>98960602</v>
      </c>
      <c r="L206">
        <v>120.5</v>
      </c>
      <c r="M206">
        <v>130.19999999999999</v>
      </c>
      <c r="N206">
        <v>120.5</v>
      </c>
      <c r="O206">
        <v>8955430.1135000009</v>
      </c>
      <c r="P206" t="s">
        <v>942</v>
      </c>
      <c r="R206" t="s">
        <v>942</v>
      </c>
    </row>
    <row r="207" spans="1:18" x14ac:dyDescent="0.25">
      <c r="A207">
        <v>206</v>
      </c>
      <c r="B207">
        <v>113</v>
      </c>
      <c r="C207" t="s">
        <v>294</v>
      </c>
      <c r="D207" t="s">
        <v>538</v>
      </c>
      <c r="E207" t="s">
        <v>109</v>
      </c>
      <c r="F207" t="s">
        <v>840</v>
      </c>
      <c r="G207">
        <v>6.75</v>
      </c>
      <c r="H207">
        <v>3435206607.2034001</v>
      </c>
      <c r="I207" t="s">
        <v>936</v>
      </c>
      <c r="J207">
        <v>0.9</v>
      </c>
      <c r="K207">
        <v>507431033</v>
      </c>
      <c r="L207">
        <v>7.5220000000000002</v>
      </c>
      <c r="M207">
        <v>8.1940000000000008</v>
      </c>
      <c r="N207">
        <v>7.5220000000000002</v>
      </c>
      <c r="O207">
        <v>22642682.268399999</v>
      </c>
    </row>
    <row r="208" spans="1:18" x14ac:dyDescent="0.25">
      <c r="A208">
        <v>207</v>
      </c>
      <c r="C208" t="s">
        <v>295</v>
      </c>
      <c r="D208" t="s">
        <v>539</v>
      </c>
      <c r="E208" t="s">
        <v>115</v>
      </c>
      <c r="F208" t="s">
        <v>841</v>
      </c>
      <c r="G208">
        <v>6.75</v>
      </c>
      <c r="H208">
        <v>2932880365.9882998</v>
      </c>
      <c r="I208" t="s">
        <v>936</v>
      </c>
      <c r="J208">
        <v>0.65</v>
      </c>
      <c r="K208">
        <v>1995631862</v>
      </c>
      <c r="L208">
        <v>2.2610000000000001</v>
      </c>
      <c r="M208">
        <v>2.355</v>
      </c>
      <c r="N208">
        <v>2.2610000000000001</v>
      </c>
      <c r="O208">
        <v>82879276.994749904</v>
      </c>
      <c r="P208" t="s">
        <v>944</v>
      </c>
      <c r="Q208" t="s">
        <v>944</v>
      </c>
    </row>
    <row r="209" spans="1:18" x14ac:dyDescent="0.25">
      <c r="A209">
        <v>208</v>
      </c>
      <c r="C209" t="s">
        <v>296</v>
      </c>
      <c r="D209" t="s">
        <v>540</v>
      </c>
      <c r="E209" t="s">
        <v>112</v>
      </c>
      <c r="F209" t="s">
        <v>842</v>
      </c>
      <c r="G209">
        <v>6.75</v>
      </c>
      <c r="H209">
        <v>2886068109.3299999</v>
      </c>
      <c r="I209" t="s">
        <v>936</v>
      </c>
      <c r="J209">
        <v>0.70000000000000007</v>
      </c>
      <c r="K209">
        <v>171361365</v>
      </c>
      <c r="L209">
        <v>24.06</v>
      </c>
      <c r="M209">
        <v>24.28</v>
      </c>
      <c r="N209">
        <v>24.06</v>
      </c>
      <c r="O209">
        <v>6444725.3447000002</v>
      </c>
      <c r="P209" t="s">
        <v>943</v>
      </c>
      <c r="Q209" t="s">
        <v>944</v>
      </c>
      <c r="R209" t="s">
        <v>942</v>
      </c>
    </row>
    <row r="210" spans="1:18" x14ac:dyDescent="0.25">
      <c r="A210">
        <v>209</v>
      </c>
      <c r="C210" t="s">
        <v>297</v>
      </c>
      <c r="D210" t="s">
        <v>541</v>
      </c>
      <c r="E210" t="s">
        <v>114</v>
      </c>
      <c r="F210" t="s">
        <v>843</v>
      </c>
      <c r="G210">
        <v>6.75</v>
      </c>
      <c r="H210">
        <v>2853909989.0999999</v>
      </c>
      <c r="I210" t="s">
        <v>936</v>
      </c>
      <c r="J210">
        <v>0.9</v>
      </c>
      <c r="K210">
        <v>502696750</v>
      </c>
      <c r="L210">
        <v>6.3079999999999998</v>
      </c>
      <c r="M210">
        <v>6.56</v>
      </c>
      <c r="N210">
        <v>6.3079999999999998</v>
      </c>
      <c r="O210">
        <v>4502276.0941000003</v>
      </c>
      <c r="P210" t="s">
        <v>943</v>
      </c>
      <c r="Q210" t="s">
        <v>944</v>
      </c>
      <c r="R210" t="s">
        <v>942</v>
      </c>
    </row>
    <row r="211" spans="1:18" x14ac:dyDescent="0.25">
      <c r="A211">
        <v>210</v>
      </c>
      <c r="C211" t="s">
        <v>298</v>
      </c>
      <c r="D211" t="s">
        <v>542</v>
      </c>
      <c r="E211" t="s">
        <v>109</v>
      </c>
      <c r="F211" t="s">
        <v>844</v>
      </c>
      <c r="G211">
        <v>6.75</v>
      </c>
      <c r="H211">
        <v>2626111193.5999999</v>
      </c>
      <c r="I211" t="s">
        <v>936</v>
      </c>
      <c r="J211">
        <v>0.4</v>
      </c>
      <c r="K211">
        <v>92468704</v>
      </c>
      <c r="L211">
        <v>71</v>
      </c>
      <c r="M211">
        <v>70.849999999999994</v>
      </c>
      <c r="N211">
        <v>71</v>
      </c>
      <c r="O211">
        <v>8502267.1732500009</v>
      </c>
      <c r="P211" t="s">
        <v>943</v>
      </c>
      <c r="Q211" t="s">
        <v>944</v>
      </c>
      <c r="R211" t="s">
        <v>942</v>
      </c>
    </row>
    <row r="212" spans="1:18" x14ac:dyDescent="0.25">
      <c r="A212">
        <v>211</v>
      </c>
      <c r="C212" t="s">
        <v>299</v>
      </c>
      <c r="D212" t="s">
        <v>543</v>
      </c>
      <c r="E212" t="s">
        <v>112</v>
      </c>
      <c r="F212" t="s">
        <v>845</v>
      </c>
      <c r="G212">
        <v>6.75</v>
      </c>
      <c r="H212">
        <v>2574343678.224</v>
      </c>
      <c r="I212" t="s">
        <v>936</v>
      </c>
      <c r="J212">
        <v>0.8</v>
      </c>
      <c r="K212">
        <v>90442091</v>
      </c>
      <c r="L212">
        <v>35.58</v>
      </c>
      <c r="M212">
        <v>35.880000000000003</v>
      </c>
      <c r="N212">
        <v>35.58</v>
      </c>
      <c r="O212">
        <v>8668053.8672000002</v>
      </c>
      <c r="P212" t="s">
        <v>943</v>
      </c>
      <c r="Q212" t="s">
        <v>944</v>
      </c>
      <c r="R212" t="s">
        <v>942</v>
      </c>
    </row>
    <row r="213" spans="1:18" x14ac:dyDescent="0.25">
      <c r="A213">
        <v>212</v>
      </c>
      <c r="C213" t="s">
        <v>300</v>
      </c>
      <c r="D213" t="s">
        <v>544</v>
      </c>
      <c r="E213" t="s">
        <v>112</v>
      </c>
      <c r="F213" t="s">
        <v>846</v>
      </c>
      <c r="G213">
        <v>6.75</v>
      </c>
      <c r="H213">
        <v>2300923907.5500002</v>
      </c>
      <c r="I213" t="s">
        <v>936</v>
      </c>
      <c r="J213">
        <v>0.60000000000000009</v>
      </c>
      <c r="K213">
        <v>601548734</v>
      </c>
      <c r="L213">
        <v>6.375</v>
      </c>
      <c r="M213">
        <v>7.73</v>
      </c>
      <c r="N213">
        <v>6.375</v>
      </c>
      <c r="O213">
        <v>4987309.9564749999</v>
      </c>
      <c r="P213" t="s">
        <v>943</v>
      </c>
      <c r="Q213" t="s">
        <v>944</v>
      </c>
      <c r="R213" t="s">
        <v>942</v>
      </c>
    </row>
    <row r="214" spans="1:18" x14ac:dyDescent="0.25">
      <c r="A214">
        <v>213</v>
      </c>
      <c r="C214" t="s">
        <v>301</v>
      </c>
      <c r="D214" t="s">
        <v>545</v>
      </c>
      <c r="E214" t="s">
        <v>115</v>
      </c>
      <c r="F214" t="s">
        <v>847</v>
      </c>
      <c r="G214">
        <v>6.75</v>
      </c>
      <c r="H214">
        <v>2000831494.4496</v>
      </c>
      <c r="I214" t="s">
        <v>936</v>
      </c>
      <c r="J214">
        <v>0.45</v>
      </c>
      <c r="K214">
        <v>1172545414</v>
      </c>
      <c r="L214">
        <v>3.7919999999999998</v>
      </c>
      <c r="M214">
        <v>4.069</v>
      </c>
      <c r="N214">
        <v>3.7919999999999998</v>
      </c>
      <c r="O214">
        <v>32552187.039019998</v>
      </c>
      <c r="P214" t="s">
        <v>944</v>
      </c>
      <c r="Q214" t="s">
        <v>944</v>
      </c>
    </row>
    <row r="215" spans="1:18" x14ac:dyDescent="0.25">
      <c r="A215">
        <v>214</v>
      </c>
      <c r="B215">
        <v>114</v>
      </c>
      <c r="C215" t="s">
        <v>302</v>
      </c>
      <c r="D215" t="s">
        <v>546</v>
      </c>
      <c r="E215" t="s">
        <v>109</v>
      </c>
      <c r="F215" t="s">
        <v>848</v>
      </c>
      <c r="G215">
        <v>6.6770370370370369</v>
      </c>
      <c r="H215">
        <v>43860000000</v>
      </c>
      <c r="I215" t="s">
        <v>936</v>
      </c>
      <c r="J215">
        <v>0.85</v>
      </c>
      <c r="K215">
        <v>1200000000</v>
      </c>
      <c r="L215">
        <v>43</v>
      </c>
      <c r="M215">
        <v>47</v>
      </c>
      <c r="N215">
        <v>43</v>
      </c>
      <c r="O215">
        <v>63448323.867550001</v>
      </c>
    </row>
    <row r="216" spans="1:18" x14ac:dyDescent="0.25">
      <c r="A216">
        <v>215</v>
      </c>
      <c r="B216">
        <v>115</v>
      </c>
      <c r="C216" t="s">
        <v>303</v>
      </c>
      <c r="D216" t="s">
        <v>547</v>
      </c>
      <c r="E216" t="s">
        <v>112</v>
      </c>
      <c r="F216" t="s">
        <v>849</v>
      </c>
      <c r="G216">
        <v>6.6770370370370369</v>
      </c>
      <c r="H216">
        <v>41012255640</v>
      </c>
      <c r="I216" t="s">
        <v>936</v>
      </c>
      <c r="J216">
        <v>1</v>
      </c>
      <c r="K216">
        <v>31523640</v>
      </c>
      <c r="L216">
        <v>1301</v>
      </c>
      <c r="M216">
        <v>1331</v>
      </c>
      <c r="N216">
        <v>1301</v>
      </c>
      <c r="O216">
        <v>99682518.983999893</v>
      </c>
    </row>
    <row r="217" spans="1:18" x14ac:dyDescent="0.25">
      <c r="A217">
        <v>216</v>
      </c>
      <c r="B217">
        <v>116</v>
      </c>
      <c r="C217" t="s">
        <v>304</v>
      </c>
      <c r="D217" t="s">
        <v>548</v>
      </c>
      <c r="E217" t="s">
        <v>115</v>
      </c>
      <c r="F217" t="s">
        <v>850</v>
      </c>
      <c r="G217">
        <v>6.6770370370370369</v>
      </c>
      <c r="H217">
        <v>39234602317.680008</v>
      </c>
      <c r="I217" t="s">
        <v>936</v>
      </c>
      <c r="J217">
        <v>0.60000000000000009</v>
      </c>
      <c r="K217">
        <v>193923499</v>
      </c>
      <c r="L217">
        <v>337.2</v>
      </c>
      <c r="M217">
        <v>314.39999999999998</v>
      </c>
      <c r="N217">
        <v>337.2</v>
      </c>
      <c r="O217">
        <v>175205141.329</v>
      </c>
    </row>
    <row r="218" spans="1:18" x14ac:dyDescent="0.25">
      <c r="A218">
        <v>217</v>
      </c>
      <c r="B218">
        <v>117</v>
      </c>
      <c r="C218" t="s">
        <v>305</v>
      </c>
      <c r="D218" t="s">
        <v>549</v>
      </c>
      <c r="E218" t="s">
        <v>112</v>
      </c>
      <c r="F218" t="s">
        <v>851</v>
      </c>
      <c r="G218">
        <v>6.6770370370370369</v>
      </c>
      <c r="H218">
        <v>24882506961.563999</v>
      </c>
      <c r="I218" t="s">
        <v>936</v>
      </c>
      <c r="J218">
        <v>0.60000000000000009</v>
      </c>
      <c r="K218">
        <v>1834181554</v>
      </c>
      <c r="L218">
        <v>22.61</v>
      </c>
      <c r="M218">
        <v>21.97</v>
      </c>
      <c r="N218">
        <v>22.61</v>
      </c>
      <c r="O218">
        <v>39603259.70025</v>
      </c>
    </row>
    <row r="219" spans="1:18" x14ac:dyDescent="0.25">
      <c r="A219">
        <v>218</v>
      </c>
      <c r="B219">
        <v>118</v>
      </c>
      <c r="C219" t="s">
        <v>306</v>
      </c>
      <c r="D219" t="s">
        <v>550</v>
      </c>
      <c r="E219" t="s">
        <v>108</v>
      </c>
      <c r="F219" t="s">
        <v>852</v>
      </c>
      <c r="G219">
        <v>6.6770370370370369</v>
      </c>
      <c r="H219">
        <v>8265075000</v>
      </c>
      <c r="I219" t="s">
        <v>936</v>
      </c>
      <c r="J219">
        <v>0.75</v>
      </c>
      <c r="K219">
        <v>98000000</v>
      </c>
      <c r="L219">
        <v>112.45</v>
      </c>
      <c r="M219">
        <v>121.4</v>
      </c>
      <c r="N219">
        <v>112.45</v>
      </c>
      <c r="O219">
        <v>22402107.146000002</v>
      </c>
    </row>
    <row r="220" spans="1:18" x14ac:dyDescent="0.25">
      <c r="A220">
        <v>219</v>
      </c>
      <c r="C220" t="s">
        <v>307</v>
      </c>
      <c r="D220" t="s">
        <v>551</v>
      </c>
      <c r="E220" t="s">
        <v>109</v>
      </c>
      <c r="F220" t="s">
        <v>853</v>
      </c>
      <c r="G220">
        <v>6.6770370370370369</v>
      </c>
      <c r="H220">
        <v>6998005900</v>
      </c>
      <c r="I220" t="s">
        <v>936</v>
      </c>
      <c r="J220">
        <v>0.25</v>
      </c>
      <c r="K220">
        <v>258229000</v>
      </c>
      <c r="L220">
        <v>108.4</v>
      </c>
      <c r="M220">
        <v>109.9</v>
      </c>
      <c r="N220">
        <v>108.4</v>
      </c>
      <c r="O220">
        <v>10959341.527000001</v>
      </c>
      <c r="P220" t="s">
        <v>942</v>
      </c>
      <c r="R220" t="s">
        <v>942</v>
      </c>
    </row>
    <row r="221" spans="1:18" x14ac:dyDescent="0.25">
      <c r="A221">
        <v>220</v>
      </c>
      <c r="C221" t="s">
        <v>308</v>
      </c>
      <c r="D221" t="s">
        <v>552</v>
      </c>
      <c r="E221" t="s">
        <v>108</v>
      </c>
      <c r="F221" t="s">
        <v>854</v>
      </c>
      <c r="G221">
        <v>6.6770370370370369</v>
      </c>
      <c r="H221">
        <v>6637559214.8879995</v>
      </c>
      <c r="I221" t="s">
        <v>936</v>
      </c>
      <c r="J221">
        <v>0.9</v>
      </c>
      <c r="K221">
        <v>168073514</v>
      </c>
      <c r="L221">
        <v>43.88</v>
      </c>
      <c r="M221">
        <v>46.76</v>
      </c>
      <c r="N221">
        <v>43.88</v>
      </c>
      <c r="O221">
        <v>16922745.71195</v>
      </c>
      <c r="P221" t="s">
        <v>942</v>
      </c>
      <c r="R221" t="s">
        <v>942</v>
      </c>
    </row>
    <row r="222" spans="1:18" x14ac:dyDescent="0.25">
      <c r="A222">
        <v>221</v>
      </c>
      <c r="C222" t="s">
        <v>309</v>
      </c>
      <c r="D222" t="s">
        <v>553</v>
      </c>
      <c r="E222" t="s">
        <v>109</v>
      </c>
      <c r="F222" t="s">
        <v>855</v>
      </c>
      <c r="G222">
        <v>6.6770370370370369</v>
      </c>
      <c r="H222">
        <v>6216210000</v>
      </c>
      <c r="I222" t="s">
        <v>936</v>
      </c>
      <c r="J222">
        <v>0.6</v>
      </c>
      <c r="K222">
        <v>115500000</v>
      </c>
      <c r="L222">
        <v>89.7</v>
      </c>
      <c r="M222">
        <v>92.3</v>
      </c>
      <c r="N222">
        <v>89.7</v>
      </c>
      <c r="O222">
        <v>15792137.710000001</v>
      </c>
      <c r="P222" t="s">
        <v>942</v>
      </c>
      <c r="R222" t="s">
        <v>942</v>
      </c>
    </row>
    <row r="223" spans="1:18" x14ac:dyDescent="0.25">
      <c r="A223">
        <v>222</v>
      </c>
      <c r="C223" t="s">
        <v>310</v>
      </c>
      <c r="D223" t="s">
        <v>554</v>
      </c>
      <c r="E223" t="s">
        <v>115</v>
      </c>
      <c r="F223" t="s">
        <v>856</v>
      </c>
      <c r="G223">
        <v>6.6770370370370369</v>
      </c>
      <c r="H223">
        <v>4130197074.5310011</v>
      </c>
      <c r="I223" t="s">
        <v>936</v>
      </c>
      <c r="J223">
        <v>0.3</v>
      </c>
      <c r="K223">
        <v>745388391</v>
      </c>
      <c r="L223">
        <v>18.47</v>
      </c>
      <c r="M223">
        <v>18.73</v>
      </c>
      <c r="N223">
        <v>18.47</v>
      </c>
      <c r="O223">
        <v>18639151.426899999</v>
      </c>
      <c r="P223" t="s">
        <v>942</v>
      </c>
      <c r="R223" t="s">
        <v>942</v>
      </c>
    </row>
    <row r="224" spans="1:18" x14ac:dyDescent="0.25">
      <c r="A224">
        <v>223</v>
      </c>
      <c r="B224">
        <v>119</v>
      </c>
      <c r="C224" t="s">
        <v>311</v>
      </c>
      <c r="D224" t="s">
        <v>555</v>
      </c>
      <c r="E224" t="s">
        <v>115</v>
      </c>
      <c r="F224" t="s">
        <v>857</v>
      </c>
      <c r="G224">
        <v>6.6770370370370369</v>
      </c>
      <c r="H224">
        <v>3849441061.5360012</v>
      </c>
      <c r="I224" t="s">
        <v>936</v>
      </c>
      <c r="J224">
        <v>0.4</v>
      </c>
      <c r="K224">
        <v>192626154</v>
      </c>
      <c r="L224">
        <v>49.96</v>
      </c>
      <c r="M224">
        <v>52.25</v>
      </c>
      <c r="N224">
        <v>49.96</v>
      </c>
      <c r="O224">
        <v>24514151.200350001</v>
      </c>
    </row>
    <row r="225" spans="1:18" x14ac:dyDescent="0.25">
      <c r="A225">
        <v>224</v>
      </c>
      <c r="C225" t="s">
        <v>312</v>
      </c>
      <c r="D225" t="s">
        <v>556</v>
      </c>
      <c r="E225" t="s">
        <v>108</v>
      </c>
      <c r="F225" t="s">
        <v>858</v>
      </c>
      <c r="G225">
        <v>6.6770370370370369</v>
      </c>
      <c r="H225">
        <v>3831172874.0339999</v>
      </c>
      <c r="I225" t="s">
        <v>936</v>
      </c>
      <c r="J225">
        <v>0.55000000000000004</v>
      </c>
      <c r="K225">
        <v>147454887</v>
      </c>
      <c r="L225">
        <v>47.24</v>
      </c>
      <c r="M225">
        <v>45.18</v>
      </c>
      <c r="N225">
        <v>47.24</v>
      </c>
      <c r="O225">
        <v>10369019.750499999</v>
      </c>
      <c r="P225" t="s">
        <v>942</v>
      </c>
      <c r="R225" t="s">
        <v>942</v>
      </c>
    </row>
    <row r="226" spans="1:18" x14ac:dyDescent="0.25">
      <c r="A226">
        <v>225</v>
      </c>
      <c r="C226" t="s">
        <v>313</v>
      </c>
      <c r="D226" t="s">
        <v>557</v>
      </c>
      <c r="E226" t="s">
        <v>115</v>
      </c>
      <c r="F226" t="s">
        <v>859</v>
      </c>
      <c r="G226">
        <v>6.6770370370370369</v>
      </c>
      <c r="H226">
        <v>3408466298.6700001</v>
      </c>
      <c r="I226" t="s">
        <v>936</v>
      </c>
      <c r="J226">
        <v>0.75</v>
      </c>
      <c r="K226">
        <v>108879294</v>
      </c>
      <c r="L226">
        <v>41.74</v>
      </c>
      <c r="M226">
        <v>45.5</v>
      </c>
      <c r="N226">
        <v>41.74</v>
      </c>
      <c r="O226">
        <v>10317370.0384</v>
      </c>
      <c r="P226" t="s">
        <v>942</v>
      </c>
      <c r="R226" t="s">
        <v>942</v>
      </c>
    </row>
    <row r="227" spans="1:18" x14ac:dyDescent="0.25">
      <c r="A227">
        <v>226</v>
      </c>
      <c r="C227" t="s">
        <v>314</v>
      </c>
      <c r="D227" t="s">
        <v>558</v>
      </c>
      <c r="E227" t="s">
        <v>109</v>
      </c>
      <c r="F227" t="s">
        <v>860</v>
      </c>
      <c r="G227">
        <v>6.6770370370370369</v>
      </c>
      <c r="H227">
        <v>3143322000</v>
      </c>
      <c r="I227" t="s">
        <v>936</v>
      </c>
      <c r="J227">
        <v>0.65</v>
      </c>
      <c r="K227">
        <v>126000000</v>
      </c>
      <c r="L227">
        <v>38.380000000000003</v>
      </c>
      <c r="M227">
        <v>43.36</v>
      </c>
      <c r="N227">
        <v>38.380000000000003</v>
      </c>
      <c r="O227">
        <v>7471312.8624999998</v>
      </c>
      <c r="P227" t="s">
        <v>942</v>
      </c>
      <c r="R227" t="s">
        <v>942</v>
      </c>
    </row>
    <row r="228" spans="1:18" x14ac:dyDescent="0.25">
      <c r="A228">
        <v>227</v>
      </c>
      <c r="C228" t="s">
        <v>315</v>
      </c>
      <c r="D228" t="s">
        <v>559</v>
      </c>
      <c r="E228" t="s">
        <v>109</v>
      </c>
      <c r="F228" t="s">
        <v>861</v>
      </c>
      <c r="G228">
        <v>6.6770370370370369</v>
      </c>
      <c r="H228">
        <v>3120576831.54</v>
      </c>
      <c r="I228" t="s">
        <v>936</v>
      </c>
      <c r="J228">
        <v>0.9</v>
      </c>
      <c r="K228">
        <v>37606373</v>
      </c>
      <c r="L228">
        <v>92.2</v>
      </c>
      <c r="M228">
        <v>107.5</v>
      </c>
      <c r="N228">
        <v>92.2</v>
      </c>
      <c r="O228">
        <v>9255431.8635000009</v>
      </c>
      <c r="P228" t="s">
        <v>942</v>
      </c>
      <c r="R228" t="s">
        <v>942</v>
      </c>
    </row>
    <row r="229" spans="1:18" x14ac:dyDescent="0.25">
      <c r="A229">
        <v>228</v>
      </c>
      <c r="C229" t="s">
        <v>316</v>
      </c>
      <c r="D229" t="s">
        <v>560</v>
      </c>
      <c r="E229" t="s">
        <v>115</v>
      </c>
      <c r="F229" t="s">
        <v>862</v>
      </c>
      <c r="G229">
        <v>6.6770370370370369</v>
      </c>
      <c r="H229">
        <v>2774618557.6199999</v>
      </c>
      <c r="I229" t="s">
        <v>936</v>
      </c>
      <c r="J229">
        <v>0.65</v>
      </c>
      <c r="K229">
        <v>37411428</v>
      </c>
      <c r="L229">
        <v>114.1</v>
      </c>
      <c r="M229">
        <v>116.2</v>
      </c>
      <c r="N229">
        <v>114.1</v>
      </c>
      <c r="O229">
        <v>7473276.7304999996</v>
      </c>
      <c r="P229" t="s">
        <v>943</v>
      </c>
      <c r="Q229" t="s">
        <v>944</v>
      </c>
      <c r="R229" t="s">
        <v>942</v>
      </c>
    </row>
    <row r="230" spans="1:18" x14ac:dyDescent="0.25">
      <c r="A230">
        <v>229</v>
      </c>
      <c r="C230" t="s">
        <v>317</v>
      </c>
      <c r="D230" t="s">
        <v>561</v>
      </c>
      <c r="E230" t="s">
        <v>115</v>
      </c>
      <c r="F230" t="s">
        <v>863</v>
      </c>
      <c r="G230">
        <v>6.6770370370370369</v>
      </c>
      <c r="H230">
        <v>2768507409.6224999</v>
      </c>
      <c r="I230" t="s">
        <v>936</v>
      </c>
      <c r="J230">
        <v>0.45</v>
      </c>
      <c r="K230">
        <v>116851637</v>
      </c>
      <c r="L230">
        <v>52.65</v>
      </c>
      <c r="M230">
        <v>55.7</v>
      </c>
      <c r="N230">
        <v>52.65</v>
      </c>
      <c r="O230">
        <v>10851453.85005</v>
      </c>
      <c r="P230" t="s">
        <v>943</v>
      </c>
      <c r="Q230" t="s">
        <v>944</v>
      </c>
      <c r="R230" t="s">
        <v>942</v>
      </c>
    </row>
    <row r="231" spans="1:18" x14ac:dyDescent="0.25">
      <c r="A231">
        <v>230</v>
      </c>
      <c r="C231" t="s">
        <v>318</v>
      </c>
      <c r="D231" t="s">
        <v>562</v>
      </c>
      <c r="E231" t="s">
        <v>109</v>
      </c>
      <c r="F231" t="s">
        <v>864</v>
      </c>
      <c r="G231">
        <v>6.6770370370370369</v>
      </c>
      <c r="H231">
        <v>2521750000</v>
      </c>
      <c r="I231" t="s">
        <v>936</v>
      </c>
      <c r="J231">
        <v>1</v>
      </c>
      <c r="K231">
        <v>65500000</v>
      </c>
      <c r="L231">
        <v>38.5</v>
      </c>
      <c r="M231">
        <v>38.619999999999997</v>
      </c>
      <c r="N231">
        <v>38.5</v>
      </c>
      <c r="O231">
        <v>4250961.5630999999</v>
      </c>
      <c r="P231" t="s">
        <v>943</v>
      </c>
      <c r="Q231" t="s">
        <v>944</v>
      </c>
      <c r="R231" t="s">
        <v>942</v>
      </c>
    </row>
    <row r="232" spans="1:18" x14ac:dyDescent="0.25">
      <c r="A232">
        <v>231</v>
      </c>
      <c r="C232" t="s">
        <v>319</v>
      </c>
      <c r="D232" t="s">
        <v>563</v>
      </c>
      <c r="E232" t="s">
        <v>112</v>
      </c>
      <c r="F232" t="s">
        <v>865</v>
      </c>
      <c r="G232">
        <v>6.6770370370370369</v>
      </c>
      <c r="H232">
        <v>2473898041.9439998</v>
      </c>
      <c r="I232" t="s">
        <v>936</v>
      </c>
      <c r="J232">
        <v>0.85000000000000009</v>
      </c>
      <c r="K232">
        <v>110580102</v>
      </c>
      <c r="L232">
        <v>26.32</v>
      </c>
      <c r="M232">
        <v>28.64</v>
      </c>
      <c r="N232">
        <v>26.32</v>
      </c>
      <c r="O232">
        <v>7823464.4468</v>
      </c>
      <c r="P232" t="s">
        <v>943</v>
      </c>
      <c r="Q232" t="s">
        <v>944</v>
      </c>
      <c r="R232" t="s">
        <v>942</v>
      </c>
    </row>
    <row r="233" spans="1:18" x14ac:dyDescent="0.25">
      <c r="A233">
        <v>232</v>
      </c>
      <c r="C233" t="s">
        <v>320</v>
      </c>
      <c r="D233" t="s">
        <v>564</v>
      </c>
      <c r="E233" t="s">
        <v>115</v>
      </c>
      <c r="F233" t="s">
        <v>866</v>
      </c>
      <c r="G233">
        <v>6.6770370370370369</v>
      </c>
      <c r="H233">
        <v>2063861912.96</v>
      </c>
      <c r="I233" t="s">
        <v>936</v>
      </c>
      <c r="J233">
        <v>0.5</v>
      </c>
      <c r="K233">
        <v>328640432</v>
      </c>
      <c r="L233">
        <v>12.56</v>
      </c>
      <c r="M233">
        <v>12.51</v>
      </c>
      <c r="N233">
        <v>12.56</v>
      </c>
      <c r="O233">
        <v>5244600.9850000003</v>
      </c>
      <c r="P233" t="s">
        <v>943</v>
      </c>
      <c r="Q233" t="s">
        <v>944</v>
      </c>
      <c r="R233" t="s">
        <v>942</v>
      </c>
    </row>
    <row r="234" spans="1:18" x14ac:dyDescent="0.25">
      <c r="A234">
        <v>233</v>
      </c>
      <c r="C234" t="s">
        <v>321</v>
      </c>
      <c r="D234" t="s">
        <v>565</v>
      </c>
      <c r="E234" t="s">
        <v>112</v>
      </c>
      <c r="F234" t="s">
        <v>867</v>
      </c>
      <c r="G234">
        <v>6.5375925925925928</v>
      </c>
      <c r="H234">
        <v>3683241264.7800002</v>
      </c>
      <c r="I234" t="s">
        <v>936</v>
      </c>
      <c r="J234">
        <v>0.25</v>
      </c>
      <c r="K234">
        <v>1062984492</v>
      </c>
      <c r="L234">
        <v>13.86</v>
      </c>
      <c r="M234">
        <v>13.63</v>
      </c>
      <c r="N234">
        <v>13.86</v>
      </c>
      <c r="O234">
        <v>8446041.7333000004</v>
      </c>
      <c r="P234" t="s">
        <v>942</v>
      </c>
      <c r="R234" t="s">
        <v>942</v>
      </c>
    </row>
    <row r="235" spans="1:18" x14ac:dyDescent="0.25">
      <c r="A235">
        <v>234</v>
      </c>
      <c r="B235">
        <v>120</v>
      </c>
      <c r="C235" t="s">
        <v>322</v>
      </c>
      <c r="D235" t="s">
        <v>566</v>
      </c>
      <c r="E235" t="s">
        <v>115</v>
      </c>
      <c r="F235" t="s">
        <v>868</v>
      </c>
      <c r="G235">
        <v>6.5375925925925928</v>
      </c>
      <c r="H235">
        <v>3615385368.0374999</v>
      </c>
      <c r="I235" t="s">
        <v>936</v>
      </c>
      <c r="J235">
        <v>0.75</v>
      </c>
      <c r="K235">
        <v>143254497</v>
      </c>
      <c r="L235">
        <v>33.65</v>
      </c>
      <c r="M235">
        <v>35.42</v>
      </c>
      <c r="N235">
        <v>33.65</v>
      </c>
      <c r="O235">
        <v>28988469.221700002</v>
      </c>
    </row>
    <row r="236" spans="1:18" x14ac:dyDescent="0.25">
      <c r="A236">
        <v>235</v>
      </c>
      <c r="C236" t="s">
        <v>323</v>
      </c>
      <c r="D236" t="s">
        <v>567</v>
      </c>
      <c r="E236" t="s">
        <v>109</v>
      </c>
      <c r="F236" t="s">
        <v>869</v>
      </c>
      <c r="G236">
        <v>6.5375925925925928</v>
      </c>
      <c r="H236">
        <v>3583244623.9499998</v>
      </c>
      <c r="I236" t="s">
        <v>936</v>
      </c>
      <c r="J236">
        <v>0.75</v>
      </c>
      <c r="K236">
        <v>298230930</v>
      </c>
      <c r="L236">
        <v>16.02</v>
      </c>
      <c r="M236">
        <v>21.44</v>
      </c>
      <c r="N236">
        <v>16.02</v>
      </c>
      <c r="O236">
        <v>19592829.702649999</v>
      </c>
      <c r="P236" t="s">
        <v>942</v>
      </c>
      <c r="R236" t="s">
        <v>942</v>
      </c>
    </row>
    <row r="237" spans="1:18" x14ac:dyDescent="0.25">
      <c r="A237">
        <v>236</v>
      </c>
      <c r="C237" t="s">
        <v>324</v>
      </c>
      <c r="D237" t="s">
        <v>568</v>
      </c>
      <c r="E237" t="s">
        <v>111</v>
      </c>
      <c r="F237" t="s">
        <v>870</v>
      </c>
      <c r="G237">
        <v>6.5375925925925928</v>
      </c>
      <c r="H237">
        <v>3514049945.2800002</v>
      </c>
      <c r="I237" t="s">
        <v>936</v>
      </c>
      <c r="J237">
        <v>0.4</v>
      </c>
      <c r="K237">
        <v>36696428</v>
      </c>
      <c r="L237">
        <v>239.4</v>
      </c>
      <c r="M237">
        <v>237.2</v>
      </c>
      <c r="N237">
        <v>239.4</v>
      </c>
      <c r="O237">
        <v>6513028.9910000004</v>
      </c>
      <c r="P237" t="s">
        <v>942</v>
      </c>
      <c r="R237" t="s">
        <v>942</v>
      </c>
    </row>
    <row r="238" spans="1:18" x14ac:dyDescent="0.25">
      <c r="A238">
        <v>237</v>
      </c>
      <c r="C238" t="s">
        <v>325</v>
      </c>
      <c r="D238" t="s">
        <v>569</v>
      </c>
      <c r="E238" t="s">
        <v>109</v>
      </c>
      <c r="F238" t="s">
        <v>871</v>
      </c>
      <c r="G238">
        <v>6.5375925925925928</v>
      </c>
      <c r="H238">
        <v>3351339763.1999998</v>
      </c>
      <c r="I238" t="s">
        <v>936</v>
      </c>
      <c r="J238">
        <v>0.65</v>
      </c>
      <c r="K238">
        <v>220337920</v>
      </c>
      <c r="L238">
        <v>23.4</v>
      </c>
      <c r="M238">
        <v>26.04</v>
      </c>
      <c r="N238">
        <v>23.4</v>
      </c>
      <c r="O238">
        <v>9339027.2872000001</v>
      </c>
      <c r="P238" t="s">
        <v>942</v>
      </c>
      <c r="R238" t="s">
        <v>942</v>
      </c>
    </row>
    <row r="239" spans="1:18" x14ac:dyDescent="0.25">
      <c r="A239">
        <v>238</v>
      </c>
      <c r="C239" t="s">
        <v>326</v>
      </c>
      <c r="D239" t="s">
        <v>570</v>
      </c>
      <c r="E239" t="s">
        <v>111</v>
      </c>
      <c r="F239" t="s">
        <v>872</v>
      </c>
      <c r="G239">
        <v>6.5375925925925928</v>
      </c>
      <c r="H239">
        <v>3156976821.5999999</v>
      </c>
      <c r="I239" t="s">
        <v>936</v>
      </c>
      <c r="J239">
        <v>0.4</v>
      </c>
      <c r="K239">
        <v>53690082</v>
      </c>
      <c r="L239">
        <v>147</v>
      </c>
      <c r="M239">
        <v>144.69999999999999</v>
      </c>
      <c r="N239">
        <v>147</v>
      </c>
      <c r="O239">
        <v>6982086.8739999998</v>
      </c>
      <c r="P239" t="s">
        <v>942</v>
      </c>
      <c r="R239" t="s">
        <v>942</v>
      </c>
    </row>
    <row r="240" spans="1:18" x14ac:dyDescent="0.25">
      <c r="A240">
        <v>239</v>
      </c>
      <c r="C240" t="s">
        <v>327</v>
      </c>
      <c r="D240" t="s">
        <v>571</v>
      </c>
      <c r="E240" t="s">
        <v>109</v>
      </c>
      <c r="F240" t="s">
        <v>873</v>
      </c>
      <c r="G240">
        <v>6.5375925925925928</v>
      </c>
      <c r="H240">
        <v>2832770606.224</v>
      </c>
      <c r="I240" t="s">
        <v>936</v>
      </c>
      <c r="J240">
        <v>0.85</v>
      </c>
      <c r="K240">
        <v>110134544</v>
      </c>
      <c r="L240">
        <v>30.26</v>
      </c>
      <c r="M240">
        <v>34.1</v>
      </c>
      <c r="N240">
        <v>30.26</v>
      </c>
      <c r="O240">
        <v>7907874.1929000001</v>
      </c>
      <c r="P240" t="s">
        <v>943</v>
      </c>
      <c r="Q240" t="s">
        <v>944</v>
      </c>
      <c r="R240" t="s">
        <v>942</v>
      </c>
    </row>
    <row r="241" spans="1:19" x14ac:dyDescent="0.25">
      <c r="A241">
        <v>240</v>
      </c>
      <c r="C241" t="s">
        <v>328</v>
      </c>
      <c r="D241" t="s">
        <v>572</v>
      </c>
      <c r="E241" t="s">
        <v>113</v>
      </c>
      <c r="F241" t="s">
        <v>874</v>
      </c>
      <c r="G241">
        <v>6.5375925925925928</v>
      </c>
      <c r="H241">
        <v>2804603921.216001</v>
      </c>
      <c r="I241" t="s">
        <v>936</v>
      </c>
      <c r="J241">
        <v>0.8</v>
      </c>
      <c r="K241">
        <v>243793804</v>
      </c>
      <c r="L241">
        <v>14.38</v>
      </c>
      <c r="M241">
        <v>14.71</v>
      </c>
      <c r="N241">
        <v>14.38</v>
      </c>
      <c r="O241">
        <v>10724818.116002999</v>
      </c>
      <c r="P241" t="s">
        <v>943</v>
      </c>
      <c r="Q241" t="s">
        <v>944</v>
      </c>
      <c r="R241" t="s">
        <v>942</v>
      </c>
    </row>
    <row r="242" spans="1:19" x14ac:dyDescent="0.25">
      <c r="A242">
        <v>241</v>
      </c>
      <c r="C242" t="s">
        <v>329</v>
      </c>
      <c r="D242" t="s">
        <v>573</v>
      </c>
      <c r="E242" t="s">
        <v>108</v>
      </c>
      <c r="F242" t="s">
        <v>875</v>
      </c>
      <c r="G242">
        <v>6.5375925925925928</v>
      </c>
      <c r="H242">
        <v>2060030091.5999999</v>
      </c>
      <c r="I242" t="s">
        <v>936</v>
      </c>
      <c r="J242">
        <v>0.95000000000000007</v>
      </c>
      <c r="K242">
        <v>383457600</v>
      </c>
      <c r="L242">
        <v>5.6550000000000002</v>
      </c>
      <c r="M242">
        <v>5.38</v>
      </c>
      <c r="N242">
        <v>5.6550000000000002</v>
      </c>
      <c r="O242">
        <v>2686273.8563049999</v>
      </c>
      <c r="P242" t="s">
        <v>943</v>
      </c>
      <c r="Q242" t="s">
        <v>944</v>
      </c>
      <c r="R242" t="s">
        <v>942</v>
      </c>
    </row>
    <row r="243" spans="1:19" x14ac:dyDescent="0.25">
      <c r="A243">
        <v>242</v>
      </c>
      <c r="C243" t="s">
        <v>330</v>
      </c>
      <c r="D243" t="s">
        <v>574</v>
      </c>
      <c r="E243" t="s">
        <v>111</v>
      </c>
      <c r="F243" t="s">
        <v>876</v>
      </c>
      <c r="G243">
        <v>6.3359259259259257</v>
      </c>
      <c r="H243">
        <v>3114532794.5</v>
      </c>
      <c r="I243" t="s">
        <v>936</v>
      </c>
      <c r="J243">
        <v>1</v>
      </c>
      <c r="K243">
        <v>47550119</v>
      </c>
      <c r="L243">
        <v>65.5</v>
      </c>
      <c r="M243">
        <v>63.3</v>
      </c>
      <c r="N243">
        <v>65.5</v>
      </c>
      <c r="O243">
        <v>4983047.0975000001</v>
      </c>
      <c r="P243" t="s">
        <v>942</v>
      </c>
      <c r="R243" t="s">
        <v>942</v>
      </c>
    </row>
    <row r="244" spans="1:19" x14ac:dyDescent="0.25">
      <c r="A244">
        <v>243</v>
      </c>
      <c r="C244" t="s">
        <v>331</v>
      </c>
      <c r="D244" t="s">
        <v>575</v>
      </c>
      <c r="E244" t="s">
        <v>108</v>
      </c>
      <c r="F244" t="s">
        <v>877</v>
      </c>
      <c r="G244">
        <v>6.3244444444444454</v>
      </c>
      <c r="H244">
        <v>5988935240.0999994</v>
      </c>
      <c r="I244" t="s">
        <v>936</v>
      </c>
      <c r="J244">
        <v>0.75</v>
      </c>
      <c r="K244">
        <v>77828918</v>
      </c>
      <c r="L244">
        <v>102.6</v>
      </c>
      <c r="M244">
        <v>115.8</v>
      </c>
      <c r="N244">
        <v>102.6</v>
      </c>
      <c r="O244">
        <v>8926486.8140500002</v>
      </c>
      <c r="P244" t="s">
        <v>942</v>
      </c>
      <c r="R244" t="s">
        <v>942</v>
      </c>
    </row>
    <row r="245" spans="1:19" x14ac:dyDescent="0.25">
      <c r="A245">
        <v>244</v>
      </c>
      <c r="C245" t="s">
        <v>332</v>
      </c>
      <c r="D245" t="s">
        <v>576</v>
      </c>
      <c r="E245" t="s">
        <v>109</v>
      </c>
      <c r="F245" t="s">
        <v>878</v>
      </c>
      <c r="G245">
        <v>6.1859550561797754</v>
      </c>
      <c r="H245">
        <v>4875840000</v>
      </c>
      <c r="I245" t="s">
        <v>936</v>
      </c>
      <c r="J245">
        <v>0.6</v>
      </c>
      <c r="K245">
        <v>96000000</v>
      </c>
      <c r="L245">
        <v>84.65</v>
      </c>
      <c r="M245">
        <v>77.8</v>
      </c>
      <c r="N245">
        <v>84.65</v>
      </c>
      <c r="O245">
        <v>16416208.912249999</v>
      </c>
      <c r="P245" t="s">
        <v>942</v>
      </c>
      <c r="R245" t="s">
        <v>942</v>
      </c>
    </row>
    <row r="246" spans="1:19" x14ac:dyDescent="0.25">
      <c r="A246">
        <v>245</v>
      </c>
      <c r="C246" t="s">
        <v>333</v>
      </c>
      <c r="D246" t="s">
        <v>577</v>
      </c>
      <c r="E246" t="s">
        <v>111</v>
      </c>
      <c r="F246" t="s">
        <v>879</v>
      </c>
      <c r="G246">
        <v>6.1859550561797754</v>
      </c>
      <c r="H246">
        <v>4582069472.5</v>
      </c>
      <c r="I246" t="s">
        <v>936</v>
      </c>
      <c r="J246">
        <v>0.65</v>
      </c>
      <c r="K246">
        <v>33157750</v>
      </c>
      <c r="L246">
        <v>212.6</v>
      </c>
      <c r="M246">
        <v>228</v>
      </c>
      <c r="N246">
        <v>212.6</v>
      </c>
      <c r="O246">
        <v>5349930.2860000003</v>
      </c>
      <c r="P246" t="s">
        <v>942</v>
      </c>
      <c r="R246" t="s">
        <v>942</v>
      </c>
    </row>
    <row r="247" spans="1:19" x14ac:dyDescent="0.25">
      <c r="A247">
        <v>246</v>
      </c>
      <c r="C247" t="s">
        <v>334</v>
      </c>
      <c r="D247" t="s">
        <v>578</v>
      </c>
      <c r="E247" t="s">
        <v>633</v>
      </c>
      <c r="G247">
        <v>6.1859550561797754</v>
      </c>
      <c r="H247">
        <v>4452000000</v>
      </c>
      <c r="I247" t="s">
        <v>936</v>
      </c>
      <c r="J247">
        <v>1</v>
      </c>
      <c r="K247">
        <v>84000000</v>
      </c>
      <c r="L247">
        <v>53</v>
      </c>
      <c r="O247">
        <v>95136.392000000007</v>
      </c>
      <c r="P247" t="s">
        <v>942</v>
      </c>
      <c r="R247" t="s">
        <v>942</v>
      </c>
    </row>
    <row r="248" spans="1:19" x14ac:dyDescent="0.25">
      <c r="A248">
        <v>247</v>
      </c>
      <c r="C248" t="s">
        <v>335</v>
      </c>
      <c r="D248" t="s">
        <v>579</v>
      </c>
      <c r="E248" t="s">
        <v>109</v>
      </c>
      <c r="F248" t="s">
        <v>880</v>
      </c>
      <c r="G248">
        <v>3.75</v>
      </c>
      <c r="H248">
        <v>29482889803.200001</v>
      </c>
      <c r="I248" t="s">
        <v>937</v>
      </c>
      <c r="J248">
        <v>0.9</v>
      </c>
      <c r="K248">
        <v>743841200</v>
      </c>
      <c r="L248">
        <v>44.04</v>
      </c>
      <c r="M248">
        <v>43.1</v>
      </c>
      <c r="N248">
        <v>44.04</v>
      </c>
      <c r="O248">
        <v>66190049.507799998</v>
      </c>
      <c r="P248" t="s">
        <v>940</v>
      </c>
      <c r="S248" t="s">
        <v>940</v>
      </c>
    </row>
    <row r="249" spans="1:19" x14ac:dyDescent="0.25">
      <c r="A249">
        <v>248</v>
      </c>
      <c r="C249" t="s">
        <v>336</v>
      </c>
      <c r="D249" t="s">
        <v>580</v>
      </c>
      <c r="E249" t="s">
        <v>115</v>
      </c>
      <c r="F249" t="s">
        <v>881</v>
      </c>
      <c r="G249">
        <v>3.75</v>
      </c>
      <c r="H249">
        <v>3373656303.5505009</v>
      </c>
      <c r="I249" t="s">
        <v>937</v>
      </c>
      <c r="J249">
        <v>0.55000000000000004</v>
      </c>
      <c r="K249">
        <v>1489538745</v>
      </c>
      <c r="L249">
        <v>4.1180000000000003</v>
      </c>
      <c r="M249">
        <v>3.952</v>
      </c>
      <c r="N249">
        <v>4.1180000000000003</v>
      </c>
      <c r="O249">
        <v>10394722.95861</v>
      </c>
      <c r="P249" t="s">
        <v>939</v>
      </c>
      <c r="R249" t="s">
        <v>942</v>
      </c>
      <c r="S249" t="s">
        <v>940</v>
      </c>
    </row>
    <row r="250" spans="1:19" x14ac:dyDescent="0.25">
      <c r="A250">
        <v>249</v>
      </c>
      <c r="C250" t="s">
        <v>337</v>
      </c>
      <c r="D250" t="s">
        <v>581</v>
      </c>
      <c r="E250" t="s">
        <v>112</v>
      </c>
      <c r="F250" t="s">
        <v>882</v>
      </c>
      <c r="G250">
        <v>3.6982758620689649</v>
      </c>
      <c r="H250">
        <v>20355932343.419998</v>
      </c>
      <c r="I250" t="s">
        <v>937</v>
      </c>
      <c r="J250">
        <v>0.5</v>
      </c>
      <c r="K250">
        <v>576002613</v>
      </c>
      <c r="L250">
        <v>70.680000000000007</v>
      </c>
      <c r="M250">
        <v>69.02</v>
      </c>
      <c r="N250">
        <v>70.680000000000007</v>
      </c>
      <c r="O250">
        <v>57580976.658299997</v>
      </c>
      <c r="P250" t="s">
        <v>940</v>
      </c>
      <c r="S250" t="s">
        <v>940</v>
      </c>
    </row>
    <row r="251" spans="1:19" x14ac:dyDescent="0.25">
      <c r="A251">
        <v>250</v>
      </c>
      <c r="C251" t="s">
        <v>338</v>
      </c>
      <c r="D251" t="s">
        <v>582</v>
      </c>
      <c r="E251" t="s">
        <v>108</v>
      </c>
      <c r="F251" t="s">
        <v>883</v>
      </c>
      <c r="G251">
        <v>3.6982758620689649</v>
      </c>
      <c r="H251">
        <v>16391443214.32</v>
      </c>
      <c r="I251" t="s">
        <v>937</v>
      </c>
      <c r="J251">
        <v>0.8</v>
      </c>
      <c r="K251">
        <v>252269195</v>
      </c>
      <c r="L251">
        <v>81.22</v>
      </c>
      <c r="M251">
        <v>75.459999999999994</v>
      </c>
      <c r="N251">
        <v>81.22</v>
      </c>
      <c r="O251">
        <v>52609602.074979</v>
      </c>
      <c r="P251" t="s">
        <v>940</v>
      </c>
      <c r="S251" t="s">
        <v>940</v>
      </c>
    </row>
    <row r="252" spans="1:19" x14ac:dyDescent="0.25">
      <c r="A252">
        <v>251</v>
      </c>
      <c r="C252" t="s">
        <v>339</v>
      </c>
      <c r="D252" t="s">
        <v>583</v>
      </c>
      <c r="E252" t="s">
        <v>115</v>
      </c>
      <c r="F252" t="s">
        <v>884</v>
      </c>
      <c r="G252">
        <v>3.6982758620689649</v>
      </c>
      <c r="H252">
        <v>3403224027.8319998</v>
      </c>
      <c r="I252" t="s">
        <v>937</v>
      </c>
      <c r="J252">
        <v>0.5</v>
      </c>
      <c r="K252">
        <v>1231267738</v>
      </c>
      <c r="L252">
        <v>5.5279999999999996</v>
      </c>
      <c r="M252">
        <v>5.8860000000000001</v>
      </c>
      <c r="N252">
        <v>5.5279999999999996</v>
      </c>
      <c r="O252">
        <v>40839650.455150001</v>
      </c>
      <c r="P252" t="s">
        <v>940</v>
      </c>
      <c r="S252" t="s">
        <v>940</v>
      </c>
    </row>
    <row r="253" spans="1:19" x14ac:dyDescent="0.25">
      <c r="A253">
        <v>252</v>
      </c>
      <c r="C253" t="s">
        <v>340</v>
      </c>
      <c r="D253" t="s">
        <v>584</v>
      </c>
      <c r="E253" t="s">
        <v>108</v>
      </c>
      <c r="F253" t="s">
        <v>885</v>
      </c>
      <c r="G253">
        <v>3.6159003831417631</v>
      </c>
      <c r="H253">
        <v>120476637546.1875</v>
      </c>
      <c r="I253" t="s">
        <v>937</v>
      </c>
      <c r="J253">
        <v>0.75</v>
      </c>
      <c r="K253">
        <v>792283683</v>
      </c>
      <c r="L253">
        <v>202.75</v>
      </c>
      <c r="M253">
        <v>193.28</v>
      </c>
      <c r="N253">
        <v>202.75</v>
      </c>
      <c r="O253">
        <v>167366310.91666001</v>
      </c>
      <c r="P253" t="s">
        <v>940</v>
      </c>
      <c r="S253" t="s">
        <v>940</v>
      </c>
    </row>
    <row r="254" spans="1:19" x14ac:dyDescent="0.25">
      <c r="A254">
        <v>253</v>
      </c>
      <c r="C254" t="s">
        <v>341</v>
      </c>
      <c r="D254" t="s">
        <v>585</v>
      </c>
      <c r="E254" t="s">
        <v>110</v>
      </c>
      <c r="F254" t="s">
        <v>886</v>
      </c>
      <c r="G254">
        <v>3.6159003831417631</v>
      </c>
      <c r="H254">
        <v>107845033691.25</v>
      </c>
      <c r="I254" t="s">
        <v>937</v>
      </c>
      <c r="J254">
        <v>0.9</v>
      </c>
      <c r="K254">
        <v>6681227500</v>
      </c>
      <c r="L254">
        <v>17.934999999999999</v>
      </c>
      <c r="M254">
        <v>17.71</v>
      </c>
      <c r="N254">
        <v>17.934999999999999</v>
      </c>
      <c r="O254">
        <v>143534435.44280499</v>
      </c>
      <c r="P254" t="s">
        <v>940</v>
      </c>
      <c r="S254" t="s">
        <v>940</v>
      </c>
    </row>
    <row r="255" spans="1:19" x14ac:dyDescent="0.25">
      <c r="A255">
        <v>254</v>
      </c>
      <c r="C255" t="s">
        <v>342</v>
      </c>
      <c r="D255" t="s">
        <v>586</v>
      </c>
      <c r="E255" t="s">
        <v>109</v>
      </c>
      <c r="F255" t="s">
        <v>887</v>
      </c>
      <c r="G255">
        <v>3.6159003831417631</v>
      </c>
      <c r="H255">
        <v>94836951193.600006</v>
      </c>
      <c r="I255" t="s">
        <v>937</v>
      </c>
      <c r="J255">
        <v>0.7</v>
      </c>
      <c r="K255">
        <v>4905190400</v>
      </c>
      <c r="L255">
        <v>27.62</v>
      </c>
      <c r="M255">
        <v>26.92</v>
      </c>
      <c r="N255">
        <v>27.62</v>
      </c>
      <c r="O255">
        <v>168756818.14930001</v>
      </c>
      <c r="P255" t="s">
        <v>940</v>
      </c>
      <c r="S255" t="s">
        <v>940</v>
      </c>
    </row>
    <row r="256" spans="1:19" x14ac:dyDescent="0.25">
      <c r="A256">
        <v>255</v>
      </c>
      <c r="C256" t="s">
        <v>343</v>
      </c>
      <c r="D256" t="s">
        <v>587</v>
      </c>
      <c r="E256" t="s">
        <v>108</v>
      </c>
      <c r="F256" t="s">
        <v>888</v>
      </c>
      <c r="G256">
        <v>3.6159003831417631</v>
      </c>
      <c r="H256">
        <v>91949453008.349991</v>
      </c>
      <c r="I256" t="s">
        <v>937</v>
      </c>
      <c r="J256">
        <v>0.75</v>
      </c>
      <c r="K256">
        <v>423632587</v>
      </c>
      <c r="L256">
        <v>289.39999999999998</v>
      </c>
      <c r="M256">
        <v>291.3</v>
      </c>
      <c r="N256">
        <v>289.39999999999998</v>
      </c>
      <c r="O256">
        <v>131784930.993448</v>
      </c>
      <c r="P256" t="s">
        <v>940</v>
      </c>
      <c r="S256" t="s">
        <v>940</v>
      </c>
    </row>
    <row r="257" spans="1:19" x14ac:dyDescent="0.25">
      <c r="A257">
        <v>256</v>
      </c>
      <c r="C257" t="s">
        <v>344</v>
      </c>
      <c r="D257" t="s">
        <v>588</v>
      </c>
      <c r="E257" t="s">
        <v>115</v>
      </c>
      <c r="F257" t="s">
        <v>889</v>
      </c>
      <c r="G257">
        <v>3.6159003831417631</v>
      </c>
      <c r="H257">
        <v>66978087484.248009</v>
      </c>
      <c r="I257" t="s">
        <v>937</v>
      </c>
      <c r="J257">
        <v>0.75</v>
      </c>
      <c r="K257">
        <v>10166679946</v>
      </c>
      <c r="L257">
        <v>8.7840000000000007</v>
      </c>
      <c r="M257">
        <v>8.7149999999999999</v>
      </c>
      <c r="N257">
        <v>8.7840000000000007</v>
      </c>
      <c r="O257">
        <v>149832237.82745501</v>
      </c>
      <c r="P257" t="s">
        <v>940</v>
      </c>
      <c r="S257" t="s">
        <v>940</v>
      </c>
    </row>
    <row r="258" spans="1:19" x14ac:dyDescent="0.25">
      <c r="A258">
        <v>257</v>
      </c>
      <c r="C258" t="s">
        <v>345</v>
      </c>
      <c r="D258" t="s">
        <v>589</v>
      </c>
      <c r="E258" t="s">
        <v>109</v>
      </c>
      <c r="F258" t="s">
        <v>890</v>
      </c>
      <c r="G258">
        <v>3.6159003831417631</v>
      </c>
      <c r="H258">
        <v>41178576730.5</v>
      </c>
      <c r="I258" t="s">
        <v>937</v>
      </c>
      <c r="J258">
        <v>0.75</v>
      </c>
      <c r="K258">
        <v>962903700</v>
      </c>
      <c r="L258">
        <v>57.02</v>
      </c>
      <c r="M258">
        <v>61.15</v>
      </c>
      <c r="N258">
        <v>57.02</v>
      </c>
      <c r="O258">
        <v>108855975.98317499</v>
      </c>
      <c r="P258" t="s">
        <v>940</v>
      </c>
      <c r="S258" t="s">
        <v>940</v>
      </c>
    </row>
    <row r="259" spans="1:19" x14ac:dyDescent="0.25">
      <c r="A259">
        <v>258</v>
      </c>
      <c r="C259" t="s">
        <v>346</v>
      </c>
      <c r="D259" t="s">
        <v>590</v>
      </c>
      <c r="E259" t="s">
        <v>108</v>
      </c>
      <c r="F259" t="s">
        <v>891</v>
      </c>
      <c r="G259">
        <v>3.6159003831417631</v>
      </c>
      <c r="H259">
        <v>39488146453.365013</v>
      </c>
      <c r="I259" t="s">
        <v>937</v>
      </c>
      <c r="J259">
        <v>0.75</v>
      </c>
      <c r="K259">
        <v>2435285011</v>
      </c>
      <c r="L259">
        <v>21.62</v>
      </c>
      <c r="M259">
        <v>21.46</v>
      </c>
      <c r="N259">
        <v>21.62</v>
      </c>
      <c r="O259">
        <v>77569150.878999993</v>
      </c>
      <c r="P259" t="s">
        <v>940</v>
      </c>
      <c r="S259" t="s">
        <v>940</v>
      </c>
    </row>
    <row r="260" spans="1:19" x14ac:dyDescent="0.25">
      <c r="A260">
        <v>259</v>
      </c>
      <c r="C260" t="s">
        <v>347</v>
      </c>
      <c r="D260" t="s">
        <v>591</v>
      </c>
      <c r="E260" t="s">
        <v>108</v>
      </c>
      <c r="F260" t="s">
        <v>892</v>
      </c>
      <c r="G260">
        <v>3.6159003831417631</v>
      </c>
      <c r="H260">
        <v>21027699026.865002</v>
      </c>
      <c r="I260" t="s">
        <v>937</v>
      </c>
      <c r="J260">
        <v>0.45</v>
      </c>
      <c r="K260">
        <v>205941913</v>
      </c>
      <c r="L260">
        <v>226.9</v>
      </c>
      <c r="M260">
        <v>228.4</v>
      </c>
      <c r="N260">
        <v>226.9</v>
      </c>
      <c r="O260">
        <v>59951230.420415103</v>
      </c>
      <c r="P260" t="s">
        <v>940</v>
      </c>
      <c r="S260" t="s">
        <v>940</v>
      </c>
    </row>
    <row r="261" spans="1:19" x14ac:dyDescent="0.25">
      <c r="A261">
        <v>260</v>
      </c>
      <c r="C261" t="s">
        <v>348</v>
      </c>
      <c r="D261" t="s">
        <v>592</v>
      </c>
      <c r="E261" t="s">
        <v>109</v>
      </c>
      <c r="F261" t="s">
        <v>893</v>
      </c>
      <c r="G261">
        <v>3.6159003831417631</v>
      </c>
      <c r="H261">
        <v>19531779276.799999</v>
      </c>
      <c r="I261" t="s">
        <v>937</v>
      </c>
      <c r="J261">
        <v>1</v>
      </c>
      <c r="K261">
        <v>206205440</v>
      </c>
      <c r="L261">
        <v>94.72</v>
      </c>
      <c r="M261">
        <v>107.15</v>
      </c>
      <c r="N261">
        <v>94.72</v>
      </c>
      <c r="O261">
        <v>94898815.369749993</v>
      </c>
      <c r="P261" t="s">
        <v>940</v>
      </c>
      <c r="S261" t="s">
        <v>940</v>
      </c>
    </row>
    <row r="262" spans="1:19" x14ac:dyDescent="0.25">
      <c r="A262">
        <v>261</v>
      </c>
      <c r="C262" t="s">
        <v>349</v>
      </c>
      <c r="D262" t="s">
        <v>593</v>
      </c>
      <c r="E262" t="s">
        <v>115</v>
      </c>
      <c r="F262" t="s">
        <v>894</v>
      </c>
      <c r="G262">
        <v>3.6159003831417631</v>
      </c>
      <c r="H262">
        <v>18632630930.060001</v>
      </c>
      <c r="I262" t="s">
        <v>937</v>
      </c>
      <c r="J262">
        <v>0.70000000000000007</v>
      </c>
      <c r="K262">
        <v>578150395</v>
      </c>
      <c r="L262">
        <v>46.04</v>
      </c>
      <c r="M262">
        <v>47.64</v>
      </c>
      <c r="N262">
        <v>46.04</v>
      </c>
      <c r="O262">
        <v>152622164.83995</v>
      </c>
      <c r="P262" t="s">
        <v>940</v>
      </c>
      <c r="S262" t="s">
        <v>940</v>
      </c>
    </row>
    <row r="263" spans="1:19" x14ac:dyDescent="0.25">
      <c r="A263">
        <v>262</v>
      </c>
      <c r="C263" t="s">
        <v>350</v>
      </c>
      <c r="D263" t="s">
        <v>594</v>
      </c>
      <c r="E263" t="s">
        <v>108</v>
      </c>
      <c r="F263" t="s">
        <v>895</v>
      </c>
      <c r="G263">
        <v>3.6159003831417631</v>
      </c>
      <c r="H263">
        <v>17968250261.325001</v>
      </c>
      <c r="I263" t="s">
        <v>937</v>
      </c>
      <c r="J263">
        <v>0.85000000000000009</v>
      </c>
      <c r="K263">
        <v>741723437</v>
      </c>
      <c r="L263">
        <v>28.5</v>
      </c>
      <c r="M263">
        <v>29.38</v>
      </c>
      <c r="N263">
        <v>28.5</v>
      </c>
      <c r="O263">
        <v>46294505.968924999</v>
      </c>
      <c r="P263" t="s">
        <v>940</v>
      </c>
      <c r="S263" t="s">
        <v>940</v>
      </c>
    </row>
    <row r="264" spans="1:19" x14ac:dyDescent="0.25">
      <c r="A264">
        <v>263</v>
      </c>
      <c r="C264" t="s">
        <v>351</v>
      </c>
      <c r="D264" t="s">
        <v>595</v>
      </c>
      <c r="E264" t="s">
        <v>115</v>
      </c>
      <c r="F264" t="s">
        <v>896</v>
      </c>
      <c r="G264">
        <v>3.6159003831417631</v>
      </c>
      <c r="H264">
        <v>17136356903.2957</v>
      </c>
      <c r="I264" t="s">
        <v>937</v>
      </c>
      <c r="J264">
        <v>0.70000000000000007</v>
      </c>
      <c r="K264">
        <v>2896073567</v>
      </c>
      <c r="L264">
        <v>8.4529999999999994</v>
      </c>
      <c r="M264">
        <v>10.02</v>
      </c>
      <c r="N264">
        <v>8.4529999999999994</v>
      </c>
      <c r="O264">
        <v>221281151.13585499</v>
      </c>
      <c r="P264" t="s">
        <v>940</v>
      </c>
      <c r="S264" t="s">
        <v>940</v>
      </c>
    </row>
    <row r="265" spans="1:19" x14ac:dyDescent="0.25">
      <c r="A265">
        <v>264</v>
      </c>
      <c r="C265" t="s">
        <v>352</v>
      </c>
      <c r="D265" t="s">
        <v>596</v>
      </c>
      <c r="E265" t="s">
        <v>109</v>
      </c>
      <c r="F265" t="s">
        <v>897</v>
      </c>
      <c r="G265">
        <v>3.6159003831417631</v>
      </c>
      <c r="H265">
        <v>16330256532</v>
      </c>
      <c r="I265" t="s">
        <v>937</v>
      </c>
      <c r="J265">
        <v>0.6</v>
      </c>
      <c r="K265">
        <v>765600400</v>
      </c>
      <c r="L265">
        <v>35.549999999999997</v>
      </c>
      <c r="M265">
        <v>38.54</v>
      </c>
      <c r="N265">
        <v>35.549999999999997</v>
      </c>
      <c r="O265">
        <v>42833332.2733</v>
      </c>
      <c r="P265" t="s">
        <v>940</v>
      </c>
      <c r="S265" t="s">
        <v>940</v>
      </c>
    </row>
    <row r="266" spans="1:19" x14ac:dyDescent="0.25">
      <c r="A266">
        <v>265</v>
      </c>
      <c r="C266" t="s">
        <v>353</v>
      </c>
      <c r="D266" t="s">
        <v>597</v>
      </c>
      <c r="E266" t="s">
        <v>110</v>
      </c>
      <c r="F266" t="s">
        <v>898</v>
      </c>
      <c r="G266">
        <v>3.6159003831417631</v>
      </c>
      <c r="H266">
        <v>14731011850.5</v>
      </c>
      <c r="I266" t="s">
        <v>937</v>
      </c>
      <c r="J266">
        <v>0.75</v>
      </c>
      <c r="K266">
        <v>271664580</v>
      </c>
      <c r="L266">
        <v>72.3</v>
      </c>
      <c r="M266">
        <v>85.4</v>
      </c>
      <c r="N266">
        <v>72.3</v>
      </c>
      <c r="O266">
        <v>20028280.788249999</v>
      </c>
      <c r="P266" t="s">
        <v>939</v>
      </c>
      <c r="R266" t="s">
        <v>942</v>
      </c>
      <c r="S266" t="s">
        <v>940</v>
      </c>
    </row>
    <row r="267" spans="1:19" x14ac:dyDescent="0.25">
      <c r="A267">
        <v>266</v>
      </c>
      <c r="C267" t="s">
        <v>354</v>
      </c>
      <c r="D267" t="s">
        <v>598</v>
      </c>
      <c r="E267" t="s">
        <v>634</v>
      </c>
      <c r="F267" t="s">
        <v>899</v>
      </c>
      <c r="G267">
        <v>3.6159003831417631</v>
      </c>
      <c r="H267">
        <v>11012344914.368</v>
      </c>
      <c r="I267" t="s">
        <v>937</v>
      </c>
      <c r="J267">
        <v>0.70000000000000007</v>
      </c>
      <c r="K267">
        <v>4184021624</v>
      </c>
      <c r="L267">
        <v>3.76</v>
      </c>
      <c r="M267">
        <v>3.7050000000000001</v>
      </c>
      <c r="N267">
        <v>3.76</v>
      </c>
      <c r="O267">
        <v>32735235.212990001</v>
      </c>
      <c r="P267" t="s">
        <v>940</v>
      </c>
      <c r="S267" t="s">
        <v>940</v>
      </c>
    </row>
    <row r="268" spans="1:19" x14ac:dyDescent="0.25">
      <c r="A268">
        <v>267</v>
      </c>
      <c r="C268" t="s">
        <v>355</v>
      </c>
      <c r="D268" t="s">
        <v>599</v>
      </c>
      <c r="E268" t="s">
        <v>108</v>
      </c>
      <c r="F268" t="s">
        <v>900</v>
      </c>
      <c r="G268">
        <v>3.6159003831417631</v>
      </c>
      <c r="H268">
        <v>9082995158.4067497</v>
      </c>
      <c r="I268" t="s">
        <v>937</v>
      </c>
      <c r="J268">
        <v>0.95000000000000007</v>
      </c>
      <c r="K268">
        <v>736314789</v>
      </c>
      <c r="L268">
        <v>12.984999999999999</v>
      </c>
      <c r="M268">
        <v>14.115</v>
      </c>
      <c r="N268">
        <v>12.984999999999999</v>
      </c>
      <c r="O268">
        <v>30849225.684599001</v>
      </c>
      <c r="P268" t="s">
        <v>940</v>
      </c>
      <c r="S268" t="s">
        <v>940</v>
      </c>
    </row>
    <row r="269" spans="1:19" x14ac:dyDescent="0.25">
      <c r="A269">
        <v>268</v>
      </c>
      <c r="C269" t="s">
        <v>356</v>
      </c>
      <c r="D269" t="s">
        <v>600</v>
      </c>
      <c r="E269" t="s">
        <v>108</v>
      </c>
      <c r="F269" t="s">
        <v>901</v>
      </c>
      <c r="G269">
        <v>3.6159003831417631</v>
      </c>
      <c r="H269">
        <v>8008071424.5</v>
      </c>
      <c r="I269" t="s">
        <v>937</v>
      </c>
      <c r="J269">
        <v>0.5</v>
      </c>
      <c r="K269">
        <v>383620188</v>
      </c>
      <c r="L269">
        <v>41.75</v>
      </c>
      <c r="M269">
        <v>43.36</v>
      </c>
      <c r="N269">
        <v>41.75</v>
      </c>
      <c r="O269">
        <v>28143007.760294002</v>
      </c>
      <c r="P269" t="s">
        <v>940</v>
      </c>
      <c r="S269" t="s">
        <v>940</v>
      </c>
    </row>
    <row r="270" spans="1:19" x14ac:dyDescent="0.25">
      <c r="A270">
        <v>269</v>
      </c>
      <c r="C270" t="s">
        <v>357</v>
      </c>
      <c r="D270" t="s">
        <v>601</v>
      </c>
      <c r="E270" t="s">
        <v>108</v>
      </c>
      <c r="F270" t="s">
        <v>902</v>
      </c>
      <c r="G270">
        <v>3.6159003831417631</v>
      </c>
      <c r="H270">
        <v>6596972711.4720001</v>
      </c>
      <c r="I270" t="s">
        <v>937</v>
      </c>
      <c r="J270">
        <v>0.65</v>
      </c>
      <c r="K270">
        <v>295722284</v>
      </c>
      <c r="L270">
        <v>34.32</v>
      </c>
      <c r="M270">
        <v>36.25</v>
      </c>
      <c r="N270">
        <v>34.32</v>
      </c>
      <c r="O270">
        <v>40778256.695029996</v>
      </c>
      <c r="P270" t="s">
        <v>940</v>
      </c>
      <c r="S270" t="s">
        <v>940</v>
      </c>
    </row>
    <row r="271" spans="1:19" x14ac:dyDescent="0.25">
      <c r="A271">
        <v>270</v>
      </c>
      <c r="C271" t="s">
        <v>358</v>
      </c>
      <c r="D271" t="s">
        <v>602</v>
      </c>
      <c r="E271" t="s">
        <v>114</v>
      </c>
      <c r="F271" t="s">
        <v>903</v>
      </c>
      <c r="G271">
        <v>3.6159003831417631</v>
      </c>
      <c r="H271">
        <v>5918649219.6000004</v>
      </c>
      <c r="I271" t="s">
        <v>937</v>
      </c>
      <c r="J271">
        <v>1</v>
      </c>
      <c r="K271">
        <v>613077400</v>
      </c>
      <c r="L271">
        <v>9.6539999999999999</v>
      </c>
      <c r="M271">
        <v>10.26</v>
      </c>
      <c r="N271">
        <v>9.6539999999999999</v>
      </c>
      <c r="O271">
        <v>16458522.8967</v>
      </c>
      <c r="P271" t="s">
        <v>939</v>
      </c>
      <c r="R271" t="s">
        <v>942</v>
      </c>
      <c r="S271" t="s">
        <v>940</v>
      </c>
    </row>
    <row r="272" spans="1:19" x14ac:dyDescent="0.25">
      <c r="A272">
        <v>271</v>
      </c>
      <c r="C272" t="s">
        <v>359</v>
      </c>
      <c r="D272" t="s">
        <v>603</v>
      </c>
      <c r="E272" t="s">
        <v>109</v>
      </c>
      <c r="F272" t="s">
        <v>904</v>
      </c>
      <c r="G272">
        <v>3.6159003831417631</v>
      </c>
      <c r="H272">
        <v>5478811784.4000006</v>
      </c>
      <c r="I272" t="s">
        <v>937</v>
      </c>
      <c r="J272">
        <v>1</v>
      </c>
      <c r="K272">
        <v>153124980</v>
      </c>
      <c r="L272">
        <v>35.78</v>
      </c>
      <c r="M272">
        <v>41.06</v>
      </c>
      <c r="N272">
        <v>35.78</v>
      </c>
      <c r="O272">
        <v>19617606.202399999</v>
      </c>
      <c r="P272" t="s">
        <v>939</v>
      </c>
      <c r="R272" t="s">
        <v>942</v>
      </c>
      <c r="S272" t="s">
        <v>940</v>
      </c>
    </row>
    <row r="273" spans="1:19" x14ac:dyDescent="0.25">
      <c r="A273">
        <v>272</v>
      </c>
      <c r="C273" t="s">
        <v>360</v>
      </c>
      <c r="D273" t="s">
        <v>604</v>
      </c>
      <c r="E273" t="s">
        <v>109</v>
      </c>
      <c r="F273" t="s">
        <v>905</v>
      </c>
      <c r="G273">
        <v>3.6159003831417631</v>
      </c>
      <c r="H273">
        <v>4920538750</v>
      </c>
      <c r="I273" t="s">
        <v>937</v>
      </c>
      <c r="J273">
        <v>0.25</v>
      </c>
      <c r="K273">
        <v>455500000</v>
      </c>
      <c r="L273">
        <v>43.21</v>
      </c>
      <c r="M273">
        <v>46.29</v>
      </c>
      <c r="N273">
        <v>43.21</v>
      </c>
      <c r="O273">
        <v>33007070.571699999</v>
      </c>
      <c r="P273" t="s">
        <v>940</v>
      </c>
      <c r="S273" t="s">
        <v>940</v>
      </c>
    </row>
    <row r="274" spans="1:19" x14ac:dyDescent="0.25">
      <c r="A274">
        <v>273</v>
      </c>
      <c r="C274" t="s">
        <v>361</v>
      </c>
      <c r="D274" t="s">
        <v>605</v>
      </c>
      <c r="E274" t="s">
        <v>109</v>
      </c>
      <c r="F274" t="s">
        <v>906</v>
      </c>
      <c r="G274">
        <v>3.6159003831417631</v>
      </c>
      <c r="H274">
        <v>4221263229.3727999</v>
      </c>
      <c r="I274" t="s">
        <v>937</v>
      </c>
      <c r="J274">
        <v>0.8</v>
      </c>
      <c r="K274">
        <v>622531741</v>
      </c>
      <c r="L274">
        <v>8.4760000000000009</v>
      </c>
      <c r="M274">
        <v>9.0939999999999994</v>
      </c>
      <c r="N274">
        <v>8.4760000000000009</v>
      </c>
      <c r="O274">
        <v>34160944.896430001</v>
      </c>
      <c r="P274" t="s">
        <v>940</v>
      </c>
      <c r="S274" t="s">
        <v>940</v>
      </c>
    </row>
    <row r="275" spans="1:19" x14ac:dyDescent="0.25">
      <c r="A275">
        <v>274</v>
      </c>
      <c r="C275" t="s">
        <v>362</v>
      </c>
      <c r="D275" t="s">
        <v>606</v>
      </c>
      <c r="E275" t="s">
        <v>109</v>
      </c>
      <c r="F275" t="s">
        <v>907</v>
      </c>
      <c r="G275">
        <v>3.6159003831417631</v>
      </c>
      <c r="H275">
        <v>4196410200</v>
      </c>
      <c r="I275" t="s">
        <v>937</v>
      </c>
      <c r="J275">
        <v>0.2</v>
      </c>
      <c r="K275">
        <v>77711300</v>
      </c>
      <c r="L275">
        <v>270</v>
      </c>
      <c r="M275">
        <v>330</v>
      </c>
      <c r="N275">
        <v>270</v>
      </c>
      <c r="O275">
        <v>14396818.562999999</v>
      </c>
      <c r="P275" t="s">
        <v>939</v>
      </c>
      <c r="R275" t="s">
        <v>942</v>
      </c>
      <c r="S275" t="s">
        <v>940</v>
      </c>
    </row>
    <row r="276" spans="1:19" x14ac:dyDescent="0.25">
      <c r="A276">
        <v>275</v>
      </c>
      <c r="C276" t="s">
        <v>363</v>
      </c>
      <c r="D276" t="s">
        <v>607</v>
      </c>
      <c r="E276" t="s">
        <v>110</v>
      </c>
      <c r="F276" t="s">
        <v>908</v>
      </c>
      <c r="G276">
        <v>3.6159003831417631</v>
      </c>
      <c r="H276">
        <v>4174316781.75</v>
      </c>
      <c r="I276" t="s">
        <v>937</v>
      </c>
      <c r="J276">
        <v>0.45</v>
      </c>
      <c r="K276">
        <v>54856650</v>
      </c>
      <c r="L276">
        <v>169.1</v>
      </c>
      <c r="M276">
        <v>176.4</v>
      </c>
      <c r="N276">
        <v>169.1</v>
      </c>
      <c r="O276">
        <v>14441957.300000001</v>
      </c>
      <c r="P276" t="s">
        <v>939</v>
      </c>
      <c r="R276" t="s">
        <v>942</v>
      </c>
      <c r="S276" t="s">
        <v>940</v>
      </c>
    </row>
    <row r="277" spans="1:19" x14ac:dyDescent="0.25">
      <c r="A277">
        <v>276</v>
      </c>
      <c r="C277" t="s">
        <v>364</v>
      </c>
      <c r="D277" t="s">
        <v>608</v>
      </c>
      <c r="E277" t="s">
        <v>110</v>
      </c>
      <c r="F277" t="s">
        <v>909</v>
      </c>
      <c r="G277">
        <v>3.6159003831417631</v>
      </c>
      <c r="H277">
        <v>3582021268.8000002</v>
      </c>
      <c r="I277" t="s">
        <v>937</v>
      </c>
      <c r="J277">
        <v>0.45</v>
      </c>
      <c r="K277">
        <v>176654400</v>
      </c>
      <c r="L277">
        <v>45.06</v>
      </c>
      <c r="M277">
        <v>49.38</v>
      </c>
      <c r="N277">
        <v>45.06</v>
      </c>
      <c r="O277">
        <v>33961984.443149999</v>
      </c>
      <c r="P277" t="s">
        <v>940</v>
      </c>
      <c r="S277" t="s">
        <v>940</v>
      </c>
    </row>
    <row r="278" spans="1:19" x14ac:dyDescent="0.25">
      <c r="A278">
        <v>277</v>
      </c>
      <c r="C278" t="s">
        <v>365</v>
      </c>
      <c r="D278" t="s">
        <v>609</v>
      </c>
      <c r="E278" t="s">
        <v>115</v>
      </c>
      <c r="F278" t="s">
        <v>910</v>
      </c>
      <c r="G278">
        <v>3.6159003831417631</v>
      </c>
      <c r="H278">
        <v>3225225732.9499998</v>
      </c>
      <c r="I278" t="s">
        <v>937</v>
      </c>
      <c r="J278">
        <v>0.65</v>
      </c>
      <c r="K278">
        <v>271215400</v>
      </c>
      <c r="L278">
        <v>18.295000000000002</v>
      </c>
      <c r="M278">
        <v>18.734999999999999</v>
      </c>
      <c r="N278">
        <v>18.295000000000002</v>
      </c>
      <c r="O278">
        <v>40731027.871250004</v>
      </c>
      <c r="P278" t="s">
        <v>940</v>
      </c>
      <c r="S278" t="s">
        <v>940</v>
      </c>
    </row>
    <row r="279" spans="1:19" x14ac:dyDescent="0.25">
      <c r="A279">
        <v>278</v>
      </c>
      <c r="C279" t="s">
        <v>366</v>
      </c>
      <c r="D279" t="s">
        <v>610</v>
      </c>
      <c r="E279" t="s">
        <v>108</v>
      </c>
      <c r="F279" t="s">
        <v>911</v>
      </c>
      <c r="G279">
        <v>3.6159003831417631</v>
      </c>
      <c r="H279">
        <v>2909480080</v>
      </c>
      <c r="I279" t="s">
        <v>937</v>
      </c>
      <c r="J279">
        <v>0.65</v>
      </c>
      <c r="K279">
        <v>185270000</v>
      </c>
      <c r="L279">
        <v>24.16</v>
      </c>
      <c r="M279">
        <v>22.92</v>
      </c>
      <c r="N279">
        <v>24.16</v>
      </c>
      <c r="O279">
        <v>10921710.987600001</v>
      </c>
      <c r="P279" t="s">
        <v>941</v>
      </c>
      <c r="Q279" t="s">
        <v>944</v>
      </c>
      <c r="R279" t="s">
        <v>942</v>
      </c>
      <c r="S279" t="s">
        <v>940</v>
      </c>
    </row>
    <row r="280" spans="1:19" x14ac:dyDescent="0.25">
      <c r="A280">
        <v>279</v>
      </c>
      <c r="C280" t="s">
        <v>367</v>
      </c>
      <c r="D280" t="s">
        <v>611</v>
      </c>
      <c r="E280" t="s">
        <v>108</v>
      </c>
      <c r="F280" t="s">
        <v>912</v>
      </c>
      <c r="G280">
        <v>3.6159003831417631</v>
      </c>
      <c r="H280">
        <v>2594459639.9271998</v>
      </c>
      <c r="I280" t="s">
        <v>937</v>
      </c>
      <c r="J280">
        <v>0.2</v>
      </c>
      <c r="K280">
        <v>2809072802</v>
      </c>
      <c r="L280">
        <v>4.6180000000000003</v>
      </c>
      <c r="M280">
        <v>4.6340000000000003</v>
      </c>
      <c r="N280">
        <v>4.6180000000000003</v>
      </c>
      <c r="O280">
        <v>3998417.7434</v>
      </c>
      <c r="P280" t="s">
        <v>941</v>
      </c>
      <c r="Q280" t="s">
        <v>944</v>
      </c>
      <c r="R280" t="s">
        <v>942</v>
      </c>
      <c r="S280" t="s">
        <v>940</v>
      </c>
    </row>
    <row r="281" spans="1:19" x14ac:dyDescent="0.25">
      <c r="A281">
        <v>280</v>
      </c>
      <c r="C281" t="s">
        <v>368</v>
      </c>
      <c r="D281" t="s">
        <v>612</v>
      </c>
      <c r="E281" t="s">
        <v>108</v>
      </c>
      <c r="F281" t="s">
        <v>913</v>
      </c>
      <c r="G281">
        <v>3.6159003831417631</v>
      </c>
      <c r="H281">
        <v>1946710396.0799999</v>
      </c>
      <c r="I281" t="s">
        <v>937</v>
      </c>
      <c r="J281">
        <v>0.85000000000000009</v>
      </c>
      <c r="K281">
        <v>35343326</v>
      </c>
      <c r="L281">
        <v>64.8</v>
      </c>
      <c r="M281">
        <v>70.95</v>
      </c>
      <c r="N281">
        <v>64.8</v>
      </c>
      <c r="O281">
        <v>3590671.4937499999</v>
      </c>
      <c r="P281" t="s">
        <v>941</v>
      </c>
      <c r="Q281" t="s">
        <v>944</v>
      </c>
      <c r="R281" t="s">
        <v>942</v>
      </c>
      <c r="S281" t="s">
        <v>940</v>
      </c>
    </row>
    <row r="282" spans="1:19" x14ac:dyDescent="0.25">
      <c r="A282">
        <v>281</v>
      </c>
      <c r="C282" t="s">
        <v>369</v>
      </c>
      <c r="D282" t="s">
        <v>613</v>
      </c>
      <c r="E282" t="s">
        <v>109</v>
      </c>
      <c r="F282" t="s">
        <v>914</v>
      </c>
      <c r="G282">
        <v>3.297892720306514</v>
      </c>
      <c r="H282">
        <v>4186875000</v>
      </c>
      <c r="I282" t="s">
        <v>937</v>
      </c>
      <c r="J282">
        <v>0.5</v>
      </c>
      <c r="K282">
        <v>115500000</v>
      </c>
      <c r="L282">
        <v>72.5</v>
      </c>
      <c r="M282">
        <v>71.3</v>
      </c>
      <c r="N282">
        <v>72.5</v>
      </c>
      <c r="O282">
        <v>52695790.730750002</v>
      </c>
      <c r="P282" t="s">
        <v>940</v>
      </c>
      <c r="S282" t="s">
        <v>940</v>
      </c>
    </row>
    <row r="283" spans="1:19" x14ac:dyDescent="0.25">
      <c r="A283">
        <v>282</v>
      </c>
      <c r="C283" t="s">
        <v>370</v>
      </c>
      <c r="D283" t="s">
        <v>614</v>
      </c>
      <c r="E283" t="s">
        <v>111</v>
      </c>
      <c r="F283" t="s">
        <v>915</v>
      </c>
      <c r="G283">
        <v>3.0511811023622051</v>
      </c>
      <c r="H283">
        <v>53772223192.160004</v>
      </c>
      <c r="I283" t="s">
        <v>937</v>
      </c>
      <c r="J283">
        <v>0.55000000000000004</v>
      </c>
      <c r="K283">
        <v>1797199973</v>
      </c>
      <c r="L283">
        <v>54.4</v>
      </c>
      <c r="M283">
        <v>54.12</v>
      </c>
      <c r="N283">
        <v>54.4</v>
      </c>
      <c r="O283">
        <v>76696295.864549994</v>
      </c>
      <c r="P283" t="s">
        <v>940</v>
      </c>
      <c r="S283" t="s">
        <v>940</v>
      </c>
    </row>
    <row r="284" spans="1:19" x14ac:dyDescent="0.25">
      <c r="A284">
        <v>283</v>
      </c>
      <c r="C284" t="s">
        <v>371</v>
      </c>
      <c r="D284" t="s">
        <v>615</v>
      </c>
      <c r="E284" t="s">
        <v>113</v>
      </c>
      <c r="F284" t="s">
        <v>916</v>
      </c>
      <c r="G284">
        <v>3.0511811023622051</v>
      </c>
      <c r="H284">
        <v>27923605785.919998</v>
      </c>
      <c r="I284" t="s">
        <v>937</v>
      </c>
      <c r="J284">
        <v>1</v>
      </c>
      <c r="K284">
        <v>1052132848</v>
      </c>
      <c r="L284">
        <v>26.54</v>
      </c>
      <c r="M284">
        <v>29.07</v>
      </c>
      <c r="N284">
        <v>26.54</v>
      </c>
      <c r="O284">
        <v>42718725.341025002</v>
      </c>
      <c r="P284" t="s">
        <v>940</v>
      </c>
      <c r="S284" t="s">
        <v>940</v>
      </c>
    </row>
    <row r="285" spans="1:19" x14ac:dyDescent="0.25">
      <c r="A285">
        <v>284</v>
      </c>
      <c r="C285" t="s">
        <v>372</v>
      </c>
      <c r="D285" t="s">
        <v>616</v>
      </c>
      <c r="E285" t="s">
        <v>108</v>
      </c>
      <c r="F285" t="s">
        <v>917</v>
      </c>
      <c r="G285">
        <v>3.0511811023622051</v>
      </c>
      <c r="H285">
        <v>5209482909.3000002</v>
      </c>
      <c r="I285" t="s">
        <v>937</v>
      </c>
      <c r="J285">
        <v>0.25</v>
      </c>
      <c r="K285">
        <v>78397034</v>
      </c>
      <c r="L285">
        <v>265.8</v>
      </c>
      <c r="M285">
        <v>270.2</v>
      </c>
      <c r="N285">
        <v>265.8</v>
      </c>
      <c r="O285">
        <v>15322628.130000001</v>
      </c>
      <c r="P285" t="s">
        <v>939</v>
      </c>
      <c r="R285" t="s">
        <v>942</v>
      </c>
      <c r="S285" t="s">
        <v>940</v>
      </c>
    </row>
    <row r="286" spans="1:19" x14ac:dyDescent="0.25">
      <c r="A286">
        <v>285</v>
      </c>
      <c r="C286" t="s">
        <v>373</v>
      </c>
      <c r="D286" t="s">
        <v>617</v>
      </c>
      <c r="E286" t="s">
        <v>111</v>
      </c>
      <c r="F286" t="s">
        <v>918</v>
      </c>
      <c r="G286">
        <v>3.0511811023622051</v>
      </c>
      <c r="H286">
        <v>3145730115</v>
      </c>
      <c r="I286" t="s">
        <v>937</v>
      </c>
      <c r="J286">
        <v>0.5</v>
      </c>
      <c r="K286">
        <v>816013</v>
      </c>
      <c r="L286">
        <v>7710</v>
      </c>
      <c r="M286">
        <v>7700</v>
      </c>
      <c r="N286">
        <v>7710</v>
      </c>
      <c r="O286">
        <v>5776494.2000000002</v>
      </c>
      <c r="P286" t="s">
        <v>939</v>
      </c>
      <c r="R286" t="s">
        <v>942</v>
      </c>
      <c r="S286" t="s">
        <v>940</v>
      </c>
    </row>
    <row r="287" spans="1:19" x14ac:dyDescent="0.25">
      <c r="A287">
        <v>286</v>
      </c>
      <c r="C287" t="s">
        <v>374</v>
      </c>
      <c r="D287" t="s">
        <v>618</v>
      </c>
      <c r="E287" t="s">
        <v>115</v>
      </c>
      <c r="F287" t="s">
        <v>919</v>
      </c>
      <c r="G287">
        <v>3.0511811023622051</v>
      </c>
      <c r="H287">
        <v>3012400000</v>
      </c>
      <c r="I287" t="s">
        <v>937</v>
      </c>
      <c r="J287">
        <v>0.5</v>
      </c>
      <c r="K287">
        <v>68000000</v>
      </c>
      <c r="L287">
        <v>88.6</v>
      </c>
      <c r="M287">
        <v>96</v>
      </c>
      <c r="N287">
        <v>88.6</v>
      </c>
      <c r="O287">
        <v>38558810.932750002</v>
      </c>
      <c r="P287" t="s">
        <v>940</v>
      </c>
      <c r="S287" t="s">
        <v>940</v>
      </c>
    </row>
    <row r="288" spans="1:19" x14ac:dyDescent="0.25">
      <c r="A288">
        <v>287</v>
      </c>
      <c r="C288" t="s">
        <v>375</v>
      </c>
      <c r="D288" t="s">
        <v>619</v>
      </c>
      <c r="E288" t="s">
        <v>115</v>
      </c>
      <c r="F288" t="s">
        <v>920</v>
      </c>
      <c r="G288">
        <v>3.0511811023622051</v>
      </c>
      <c r="H288">
        <v>2380168802.4840002</v>
      </c>
      <c r="I288" t="s">
        <v>937</v>
      </c>
      <c r="J288">
        <v>0.45</v>
      </c>
      <c r="K288">
        <v>151294737</v>
      </c>
      <c r="L288">
        <v>34.96</v>
      </c>
      <c r="M288">
        <v>37.76</v>
      </c>
      <c r="N288">
        <v>34.96</v>
      </c>
      <c r="O288">
        <v>3881064.0465000002</v>
      </c>
      <c r="P288" t="s">
        <v>941</v>
      </c>
      <c r="Q288" t="s">
        <v>944</v>
      </c>
      <c r="R288" t="s">
        <v>942</v>
      </c>
      <c r="S288" t="s">
        <v>940</v>
      </c>
    </row>
    <row r="289" spans="1:19" x14ac:dyDescent="0.25">
      <c r="A289">
        <v>288</v>
      </c>
      <c r="C289" t="s">
        <v>376</v>
      </c>
      <c r="D289" t="s">
        <v>620</v>
      </c>
      <c r="E289" t="s">
        <v>112</v>
      </c>
      <c r="F289" t="s">
        <v>921</v>
      </c>
      <c r="G289">
        <v>2.7637795275590551</v>
      </c>
      <c r="H289">
        <v>6587137587.7800007</v>
      </c>
      <c r="I289" t="s">
        <v>937</v>
      </c>
      <c r="J289">
        <v>0.45</v>
      </c>
      <c r="K289">
        <v>207779752</v>
      </c>
      <c r="L289">
        <v>70.45</v>
      </c>
      <c r="M289">
        <v>71.55</v>
      </c>
      <c r="N289">
        <v>70.45</v>
      </c>
      <c r="O289">
        <v>15558977.466</v>
      </c>
      <c r="P289" t="s">
        <v>939</v>
      </c>
      <c r="R289" t="s">
        <v>942</v>
      </c>
      <c r="S289" t="s">
        <v>940</v>
      </c>
    </row>
    <row r="290" spans="1:19" x14ac:dyDescent="0.25">
      <c r="A290">
        <v>289</v>
      </c>
      <c r="C290" t="s">
        <v>377</v>
      </c>
      <c r="D290" t="s">
        <v>621</v>
      </c>
      <c r="E290" t="s">
        <v>633</v>
      </c>
      <c r="F290" t="s">
        <v>922</v>
      </c>
      <c r="G290">
        <v>1.25</v>
      </c>
      <c r="H290">
        <v>7048473001.3800001</v>
      </c>
      <c r="I290" t="s">
        <v>938</v>
      </c>
      <c r="J290">
        <v>0.45</v>
      </c>
      <c r="K290">
        <v>327272740</v>
      </c>
      <c r="L290">
        <v>47.86</v>
      </c>
      <c r="M290">
        <v>47.24</v>
      </c>
      <c r="N290">
        <v>47.86</v>
      </c>
      <c r="O290">
        <v>14995039.578600001</v>
      </c>
      <c r="P290" t="s">
        <v>939</v>
      </c>
      <c r="R290" t="s">
        <v>942</v>
      </c>
      <c r="S290" t="s">
        <v>940</v>
      </c>
    </row>
    <row r="291" spans="1:19" x14ac:dyDescent="0.25">
      <c r="A291">
        <v>290</v>
      </c>
      <c r="C291" t="s">
        <v>378</v>
      </c>
      <c r="D291" t="s">
        <v>622</v>
      </c>
      <c r="E291" t="s">
        <v>634</v>
      </c>
      <c r="F291" t="s">
        <v>923</v>
      </c>
      <c r="G291">
        <v>1.167721518987342</v>
      </c>
      <c r="H291">
        <v>7299778025.5650005</v>
      </c>
      <c r="I291" t="s">
        <v>938</v>
      </c>
      <c r="J291">
        <v>0.60000000000000009</v>
      </c>
      <c r="K291">
        <v>695415645</v>
      </c>
      <c r="L291">
        <v>17.495000000000001</v>
      </c>
      <c r="M291">
        <v>14.414999999999999</v>
      </c>
      <c r="N291">
        <v>17.495000000000001</v>
      </c>
      <c r="O291">
        <v>22913628.820175</v>
      </c>
      <c r="P291" t="s">
        <v>940</v>
      </c>
      <c r="S291" t="s">
        <v>940</v>
      </c>
    </row>
    <row r="292" spans="1:19" x14ac:dyDescent="0.25">
      <c r="A292">
        <v>291</v>
      </c>
      <c r="C292" t="s">
        <v>379</v>
      </c>
      <c r="D292" t="s">
        <v>623</v>
      </c>
      <c r="E292" t="s">
        <v>114</v>
      </c>
      <c r="F292" t="s">
        <v>924</v>
      </c>
      <c r="G292">
        <v>1.167721518987342</v>
      </c>
      <c r="H292">
        <v>7075780238.1750011</v>
      </c>
      <c r="I292" t="s">
        <v>938</v>
      </c>
      <c r="J292">
        <v>0.55000000000000004</v>
      </c>
      <c r="K292">
        <v>769211060</v>
      </c>
      <c r="L292">
        <v>16.725000000000001</v>
      </c>
      <c r="M292">
        <v>18.98</v>
      </c>
      <c r="N292">
        <v>16.725000000000001</v>
      </c>
      <c r="O292">
        <v>20441555.6226</v>
      </c>
      <c r="P292" t="s">
        <v>939</v>
      </c>
      <c r="R292" t="s">
        <v>942</v>
      </c>
      <c r="S292" t="s">
        <v>940</v>
      </c>
    </row>
    <row r="293" spans="1:19" x14ac:dyDescent="0.25">
      <c r="A293">
        <v>292</v>
      </c>
      <c r="C293" t="s">
        <v>380</v>
      </c>
      <c r="D293" t="s">
        <v>624</v>
      </c>
      <c r="E293" t="s">
        <v>108</v>
      </c>
      <c r="F293" t="s">
        <v>925</v>
      </c>
      <c r="G293">
        <v>1.167721518987342</v>
      </c>
      <c r="H293">
        <v>4489792080.3600006</v>
      </c>
      <c r="I293" t="s">
        <v>938</v>
      </c>
      <c r="J293">
        <v>0.75</v>
      </c>
      <c r="K293">
        <v>178378708</v>
      </c>
      <c r="L293">
        <v>33.56</v>
      </c>
      <c r="M293">
        <v>32.479999999999997</v>
      </c>
      <c r="N293">
        <v>33.56</v>
      </c>
      <c r="O293">
        <v>10873127.9366</v>
      </c>
      <c r="P293" t="s">
        <v>939</v>
      </c>
      <c r="R293" t="s">
        <v>942</v>
      </c>
      <c r="S293" t="s">
        <v>940</v>
      </c>
    </row>
    <row r="294" spans="1:19" x14ac:dyDescent="0.25">
      <c r="A294">
        <v>293</v>
      </c>
      <c r="C294" t="s">
        <v>381</v>
      </c>
      <c r="D294" t="s">
        <v>625</v>
      </c>
      <c r="E294" t="s">
        <v>108</v>
      </c>
      <c r="F294" t="s">
        <v>926</v>
      </c>
      <c r="G294">
        <v>1.04746835443038</v>
      </c>
      <c r="H294">
        <v>2641100023.6960001</v>
      </c>
      <c r="I294" t="s">
        <v>938</v>
      </c>
      <c r="J294">
        <v>0.8</v>
      </c>
      <c r="K294">
        <v>103361773</v>
      </c>
      <c r="L294">
        <v>31.94</v>
      </c>
      <c r="M294">
        <v>31.82</v>
      </c>
      <c r="N294">
        <v>31.94</v>
      </c>
      <c r="O294">
        <v>3912921.3190000001</v>
      </c>
      <c r="P294" t="s">
        <v>941</v>
      </c>
      <c r="Q294" t="s">
        <v>944</v>
      </c>
      <c r="R294" t="s">
        <v>942</v>
      </c>
      <c r="S294" t="s">
        <v>940</v>
      </c>
    </row>
    <row r="295" spans="1:19" x14ac:dyDescent="0.25">
      <c r="A295">
        <v>294</v>
      </c>
      <c r="C295" t="s">
        <v>382</v>
      </c>
      <c r="D295" t="s">
        <v>626</v>
      </c>
      <c r="E295" t="s">
        <v>112</v>
      </c>
      <c r="F295" t="s">
        <v>927</v>
      </c>
      <c r="G295">
        <v>0.97151898734177222</v>
      </c>
      <c r="H295">
        <v>189942155601.47501</v>
      </c>
      <c r="I295" t="s">
        <v>938</v>
      </c>
      <c r="J295">
        <v>1</v>
      </c>
      <c r="K295">
        <v>5977723229</v>
      </c>
      <c r="L295">
        <v>31.774999999999999</v>
      </c>
      <c r="M295">
        <v>31.01</v>
      </c>
      <c r="N295">
        <v>31.774999999999999</v>
      </c>
      <c r="O295">
        <v>149490466.630375</v>
      </c>
      <c r="P295" t="s">
        <v>940</v>
      </c>
      <c r="S295" t="s">
        <v>940</v>
      </c>
    </row>
    <row r="296" spans="1:19" x14ac:dyDescent="0.25">
      <c r="A296">
        <v>295</v>
      </c>
      <c r="C296" t="s">
        <v>383</v>
      </c>
      <c r="D296" t="s">
        <v>627</v>
      </c>
      <c r="E296" t="s">
        <v>108</v>
      </c>
      <c r="F296" t="s">
        <v>928</v>
      </c>
      <c r="G296">
        <v>0.97151898734177222</v>
      </c>
      <c r="H296">
        <v>111152333557.539</v>
      </c>
      <c r="I296" t="s">
        <v>938</v>
      </c>
      <c r="J296">
        <v>0.9</v>
      </c>
      <c r="K296">
        <v>2206585543</v>
      </c>
      <c r="L296">
        <v>55.97</v>
      </c>
      <c r="M296">
        <v>55.84</v>
      </c>
      <c r="N296">
        <v>55.97</v>
      </c>
      <c r="O296">
        <v>192680641.18713701</v>
      </c>
      <c r="P296" t="s">
        <v>940</v>
      </c>
      <c r="S296" t="s">
        <v>940</v>
      </c>
    </row>
    <row r="297" spans="1:19" x14ac:dyDescent="0.25">
      <c r="A297">
        <v>296</v>
      </c>
      <c r="C297" t="s">
        <v>384</v>
      </c>
      <c r="D297" t="s">
        <v>628</v>
      </c>
      <c r="E297" t="s">
        <v>115</v>
      </c>
      <c r="F297" t="s">
        <v>929</v>
      </c>
      <c r="G297">
        <v>0.97151898734177222</v>
      </c>
      <c r="H297">
        <v>32922715328.7136</v>
      </c>
      <c r="I297" t="s">
        <v>938</v>
      </c>
      <c r="J297">
        <v>0.65</v>
      </c>
      <c r="K297">
        <v>3146765114</v>
      </c>
      <c r="L297">
        <v>16.096</v>
      </c>
      <c r="M297">
        <v>15.904</v>
      </c>
      <c r="N297">
        <v>16.096</v>
      </c>
      <c r="O297">
        <v>151581012.86406001</v>
      </c>
      <c r="P297" t="s">
        <v>940</v>
      </c>
      <c r="S297" t="s">
        <v>940</v>
      </c>
    </row>
    <row r="298" spans="1:19" x14ac:dyDescent="0.25">
      <c r="A298">
        <v>297</v>
      </c>
      <c r="C298" t="s">
        <v>385</v>
      </c>
      <c r="D298" t="s">
        <v>629</v>
      </c>
      <c r="E298" t="s">
        <v>109</v>
      </c>
      <c r="F298" t="s">
        <v>930</v>
      </c>
      <c r="G298">
        <v>0.97151898734177222</v>
      </c>
      <c r="H298">
        <v>27100168798.5</v>
      </c>
      <c r="I298" t="s">
        <v>938</v>
      </c>
      <c r="J298">
        <v>1</v>
      </c>
      <c r="K298">
        <v>982424100</v>
      </c>
      <c r="L298">
        <v>27.585000000000001</v>
      </c>
      <c r="M298">
        <v>36.33</v>
      </c>
      <c r="N298">
        <v>27.585000000000001</v>
      </c>
      <c r="O298">
        <v>65891736.374425001</v>
      </c>
      <c r="P298" t="s">
        <v>940</v>
      </c>
      <c r="S298" t="s">
        <v>940</v>
      </c>
    </row>
    <row r="299" spans="1:19" x14ac:dyDescent="0.25">
      <c r="A299">
        <v>298</v>
      </c>
      <c r="C299" t="s">
        <v>386</v>
      </c>
      <c r="D299" t="s">
        <v>630</v>
      </c>
      <c r="E299" t="s">
        <v>112</v>
      </c>
      <c r="F299" t="s">
        <v>931</v>
      </c>
      <c r="G299">
        <v>0.97151898734177222</v>
      </c>
      <c r="H299">
        <v>18095195120.543999</v>
      </c>
      <c r="I299" t="s">
        <v>938</v>
      </c>
      <c r="J299">
        <v>0.8</v>
      </c>
      <c r="K299">
        <v>962920132</v>
      </c>
      <c r="L299">
        <v>23.49</v>
      </c>
      <c r="M299">
        <v>23.04</v>
      </c>
      <c r="N299">
        <v>23.49</v>
      </c>
      <c r="O299">
        <v>32729478.7487</v>
      </c>
      <c r="P299" t="s">
        <v>940</v>
      </c>
      <c r="S299" t="s">
        <v>940</v>
      </c>
    </row>
    <row r="300" spans="1:19" x14ac:dyDescent="0.25">
      <c r="A300">
        <v>299</v>
      </c>
      <c r="C300" t="s">
        <v>387</v>
      </c>
      <c r="D300" t="s">
        <v>631</v>
      </c>
      <c r="E300" t="s">
        <v>110</v>
      </c>
      <c r="F300" t="s">
        <v>932</v>
      </c>
      <c r="G300">
        <v>0.97151898734177222</v>
      </c>
      <c r="H300">
        <v>17715445110</v>
      </c>
      <c r="I300" t="s">
        <v>938</v>
      </c>
      <c r="J300">
        <v>1</v>
      </c>
      <c r="K300">
        <v>1128372300</v>
      </c>
      <c r="L300">
        <v>15.7</v>
      </c>
      <c r="M300">
        <v>16</v>
      </c>
      <c r="N300">
        <v>15.7</v>
      </c>
      <c r="O300">
        <v>58111880.668295003</v>
      </c>
      <c r="P300" t="s">
        <v>940</v>
      </c>
      <c r="S300" t="s">
        <v>940</v>
      </c>
    </row>
    <row r="301" spans="1:19" x14ac:dyDescent="0.25">
      <c r="A301">
        <v>300</v>
      </c>
      <c r="C301" t="s">
        <v>388</v>
      </c>
      <c r="D301" t="s">
        <v>632</v>
      </c>
      <c r="E301" t="s">
        <v>109</v>
      </c>
      <c r="F301" t="s">
        <v>933</v>
      </c>
      <c r="G301">
        <v>0.49393939393939401</v>
      </c>
      <c r="H301">
        <v>69900848893.5</v>
      </c>
      <c r="I301" t="s">
        <v>938</v>
      </c>
      <c r="J301">
        <v>1</v>
      </c>
      <c r="K301">
        <v>46002533</v>
      </c>
      <c r="L301">
        <v>1519.5</v>
      </c>
      <c r="M301">
        <v>1602.5</v>
      </c>
      <c r="N301">
        <v>1519.5</v>
      </c>
      <c r="O301">
        <v>406969931.77499998</v>
      </c>
      <c r="P301" t="s">
        <v>940</v>
      </c>
      <c r="S301" t="s">
        <v>940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945</v>
      </c>
    </row>
    <row r="2" spans="1:1" x14ac:dyDescent="0.25">
      <c r="A2">
        <v>1387587521.3410001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2025-12-16T10:36:58Z</dcterms:created>
  <dcterms:modified xsi:type="dcterms:W3CDTF">2025-12-16T10:37:36Z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2025-12-16T10:37:36Z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0ac89bb2-503f-4784-baff-b19574e1e1a0</vt:lpwstr>
  </property>
  <property fmtid="{D5CDD505-2E9C-101B-9397-08002B2CF9AE}" pid="8" name="MSIP_Label_ac0b9ce6-6e99-42a1-af95-429494370cbc_ContentBits">
    <vt:lpwstr>2</vt:lpwstr>
  </property>
</Properties>
</file>