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F247AFA948BF23A4EDB1C7F283D137831E09E630" xr6:coauthVersionLast="47" xr6:coauthVersionMax="47" xr10:uidLastSave="{E6F6E4D6-C680-4990-836E-2D8D0C175381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4" l="1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</calcChain>
</file>

<file path=xl/sharedStrings.xml><?xml version="1.0" encoding="utf-8"?>
<sst xmlns="http://schemas.openxmlformats.org/spreadsheetml/2006/main" count="313" uniqueCount="88">
  <si>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</si>
  <si>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</si>
  <si>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</si>
  <si>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</si>
  <si>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</si>
  <si>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</si>
  <si>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</si>
  <si>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</si>
  <si>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</si>
  <si>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</si>
  <si>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</si>
  <si>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</si>
  <si>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</si>
  <si>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</si>
  <si>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</si>
  <si>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</si>
  <si>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</si>
  <si>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</si>
  <si>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</si>
  <si>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</si>
  <si>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</si>
  <si>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</si>
  <si>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</si>
  <si>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</si>
  <si>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</si>
  <si>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</si>
  <si>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</si>
  <si>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</si>
  <si>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</si>
  <si>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</si>
  <si>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</si>
  <si>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</si>
  <si>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</si>
  <si>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</si>
  <si>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</si>
  <si>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</si>
  <si>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</si>
  <si>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</si>
  <si>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</si>
  <si>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</si>
  <si>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</si>
  <si>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</si>
  <si>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</si>
  <si>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</si>
  <si>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</si>
  <si>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</si>
  <si>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</si>
  <si>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</si>
  <si>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</si>
  <si>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</si>
  <si>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</si>
  <si>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</si>
  <si>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</si>
  <si>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</si>
  <si>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</si>
  <si>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</si>
  <si>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</si>
  <si>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</si>
  <si>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</si>
  <si>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</si>
  <si>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</si>
  <si>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</si>
  <si>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</si>
  <si>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</si>
  <si>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</si>
  <si>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Unrounded NOSH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</si>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</sst>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3723538457</v>
      </c>
      <c r="E2">
        <v>0.75</v>
      </c>
      <c r="F2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136078847</v>
      </c>
      <c r="E3">
        <v>0.95000000000000007</v>
      </c>
      <c r="F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80634564</v>
      </c>
      <c r="E4">
        <v>1</v>
      </c>
      <c r="F4">
        <v>1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12300810102</v>
      </c>
      <c r="E5">
        <v>0.60000000000000009</v>
      </c>
      <c r="F5">
        <v>1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6283655698</v>
      </c>
      <c r="E6">
        <v>0.75</v>
      </c>
      <c r="F6">
        <v>1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7082311258</v>
      </c>
      <c r="E7">
        <v>1</v>
      </c>
      <c r="F7">
        <v>1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3701505685</v>
      </c>
      <c r="E8">
        <v>1</v>
      </c>
      <c r="F8">
        <v>1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570953296</v>
      </c>
      <c r="E9">
        <v>0.9</v>
      </c>
      <c r="F9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13823604040</v>
      </c>
      <c r="E10">
        <v>0.5</v>
      </c>
      <c r="F10">
        <v>1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2961684173</v>
      </c>
      <c r="E11">
        <v>0.65</v>
      </c>
      <c r="F11">
        <v>1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2459703804</v>
      </c>
      <c r="E12">
        <v>0.65</v>
      </c>
      <c r="F12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1933550472</v>
      </c>
      <c r="E13">
        <v>1</v>
      </c>
      <c r="F13">
        <v>1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1820143148</v>
      </c>
      <c r="E14">
        <v>1</v>
      </c>
      <c r="F14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4994656674</v>
      </c>
      <c r="E15">
        <v>0.65</v>
      </c>
      <c r="F15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749403200</v>
      </c>
      <c r="E16">
        <v>1</v>
      </c>
      <c r="F16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261853597</v>
      </c>
      <c r="E17">
        <v>1</v>
      </c>
      <c r="F17">
        <v>1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759944677</v>
      </c>
      <c r="E18">
        <v>0.85</v>
      </c>
      <c r="F18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1167033380</v>
      </c>
      <c r="E19">
        <v>0.9</v>
      </c>
      <c r="F19">
        <v>1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3672001592</v>
      </c>
      <c r="E20">
        <v>0.70000000000000007</v>
      </c>
      <c r="F20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925232349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tabSelected="1" topLeftCell="B1" workbookViewId="0">
      <selection activeCell="S11" sqref="S1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2.5703125" bestFit="1" customWidth="1"/>
    <col min="10" max="10" width="16.7109375" bestFit="1" customWidth="1"/>
    <col min="11" max="11" width="14.85546875" bestFit="1" customWidth="1"/>
    <col min="12" max="12" width="12" bestFit="1" customWidth="1"/>
    <col min="13" max="13" width="11.28515625" bestFit="1" customWidth="1"/>
    <col min="14" max="14" width="12" bestFit="1" customWidth="1"/>
    <col min="15" max="15" width="9.85546875" bestFit="1" customWidth="1"/>
    <col min="16" max="16" width="16.85546875" bestFit="1" customWidth="1"/>
    <col min="17" max="17" width="14.7109375" bestFit="1" customWidth="1"/>
    <col min="18" max="18" width="14.140625" bestFit="1" customWidth="1"/>
    <col min="19" max="19" width="12" bestFit="1" customWidth="1"/>
  </cols>
  <sheetData>
    <row r="1" spans="1:20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66</v>
      </c>
      <c r="R1" s="1" t="s">
        <v>5</v>
      </c>
    </row>
    <row r="2" spans="1:20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67</v>
      </c>
      <c r="G2">
        <v>1</v>
      </c>
      <c r="H2">
        <v>737</v>
      </c>
      <c r="I2">
        <v>646.20000000000005</v>
      </c>
      <c r="J2">
        <v>1</v>
      </c>
      <c r="K2">
        <v>10102020</v>
      </c>
      <c r="L2">
        <v>393830692</v>
      </c>
      <c r="M2">
        <v>646.20000000000005</v>
      </c>
      <c r="N2">
        <v>254493393170.39999</v>
      </c>
      <c r="O2">
        <v>1</v>
      </c>
      <c r="P2">
        <v>80634564.133923888</v>
      </c>
      <c r="Q2">
        <v>80634564</v>
      </c>
      <c r="R2">
        <v>1</v>
      </c>
      <c r="S2">
        <f>L2*M2*J2</f>
        <v>254493393170.40002</v>
      </c>
      <c r="T2" t="b">
        <f>S2=N2</f>
        <v>1</v>
      </c>
    </row>
    <row r="3" spans="1:20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68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261853596.68077511</v>
      </c>
      <c r="Q3">
        <v>261853597</v>
      </c>
      <c r="R3">
        <v>1</v>
      </c>
      <c r="S3">
        <f t="shared" ref="S3:S21" si="0">L3*M3*J3</f>
        <v>124312189084.8</v>
      </c>
      <c r="T3" t="b">
        <f t="shared" ref="T3:T21" si="1">S3=N3</f>
        <v>1</v>
      </c>
    </row>
    <row r="4" spans="1:20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69</v>
      </c>
      <c r="G4">
        <v>1</v>
      </c>
      <c r="H4">
        <v>8.391</v>
      </c>
      <c r="I4">
        <v>8.3160000000000007</v>
      </c>
      <c r="J4">
        <v>1</v>
      </c>
      <c r="K4">
        <v>30101010</v>
      </c>
      <c r="L4">
        <v>14885325000</v>
      </c>
      <c r="M4">
        <v>8.3160000000000007</v>
      </c>
      <c r="N4">
        <v>123786362700</v>
      </c>
      <c r="O4">
        <v>1</v>
      </c>
      <c r="P4">
        <v>7082311258.0981894</v>
      </c>
      <c r="Q4">
        <v>7082311258</v>
      </c>
      <c r="R4">
        <v>1</v>
      </c>
      <c r="S4">
        <f t="shared" si="0"/>
        <v>123786362700.00002</v>
      </c>
      <c r="T4" t="b">
        <f t="shared" si="1"/>
        <v>1</v>
      </c>
    </row>
    <row r="5" spans="1:20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70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925232348.85103381</v>
      </c>
      <c r="Q5">
        <v>925232349</v>
      </c>
      <c r="R5">
        <v>1</v>
      </c>
      <c r="S5">
        <f t="shared" si="0"/>
        <v>107775545427.44</v>
      </c>
      <c r="T5" t="b">
        <f t="shared" si="1"/>
        <v>1</v>
      </c>
    </row>
    <row r="6" spans="1:20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71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749403200.08451331</v>
      </c>
      <c r="Q6">
        <v>749403200</v>
      </c>
      <c r="R6">
        <v>1</v>
      </c>
      <c r="S6">
        <f t="shared" si="0"/>
        <v>22374921639</v>
      </c>
      <c r="T6" t="b">
        <f t="shared" si="1"/>
        <v>1</v>
      </c>
    </row>
    <row r="7" spans="1:20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72</v>
      </c>
      <c r="G7">
        <v>1</v>
      </c>
      <c r="H7">
        <v>16.055</v>
      </c>
      <c r="I7">
        <v>16.454999999999998</v>
      </c>
      <c r="J7">
        <v>1</v>
      </c>
      <c r="K7">
        <v>30101010</v>
      </c>
      <c r="L7">
        <v>5763285600</v>
      </c>
      <c r="M7">
        <v>16.454999999999998</v>
      </c>
      <c r="N7">
        <v>94834864547.999985</v>
      </c>
      <c r="O7">
        <v>1</v>
      </c>
      <c r="P7">
        <v>3701505684.6279612</v>
      </c>
      <c r="Q7">
        <v>3701505685</v>
      </c>
      <c r="R7">
        <v>1</v>
      </c>
      <c r="S7">
        <f t="shared" si="0"/>
        <v>94834864547.999985</v>
      </c>
      <c r="T7" t="b">
        <f t="shared" si="1"/>
        <v>1</v>
      </c>
    </row>
    <row r="8" spans="1:20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73</v>
      </c>
      <c r="G8">
        <v>1</v>
      </c>
      <c r="H8">
        <v>92</v>
      </c>
      <c r="I8">
        <v>92.9</v>
      </c>
      <c r="J8">
        <v>0.85</v>
      </c>
      <c r="K8">
        <v>60102020</v>
      </c>
      <c r="L8">
        <v>799335450</v>
      </c>
      <c r="M8">
        <v>92.9</v>
      </c>
      <c r="N8">
        <v>74258263305</v>
      </c>
      <c r="O8">
        <v>0.85</v>
      </c>
      <c r="P8">
        <v>759944677.32355368</v>
      </c>
      <c r="Q8">
        <v>759944677</v>
      </c>
      <c r="R8">
        <v>1</v>
      </c>
      <c r="S8">
        <f t="shared" si="0"/>
        <v>63119523809.25</v>
      </c>
      <c r="T8" t="b">
        <f t="shared" si="1"/>
        <v>0</v>
      </c>
    </row>
    <row r="9" spans="1:20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74</v>
      </c>
      <c r="G9">
        <v>1</v>
      </c>
      <c r="H9">
        <v>30.734999999999999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1933550472.3182659</v>
      </c>
      <c r="Q9">
        <v>1933550472</v>
      </c>
      <c r="R9">
        <v>1</v>
      </c>
      <c r="S9">
        <f t="shared" si="0"/>
        <v>61759616930</v>
      </c>
      <c r="T9" t="b">
        <f t="shared" si="1"/>
        <v>1</v>
      </c>
    </row>
    <row r="10" spans="1:20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75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1820143147.525326</v>
      </c>
      <c r="Q10">
        <v>1820143148</v>
      </c>
      <c r="R10">
        <v>1</v>
      </c>
      <c r="S10">
        <f t="shared" si="0"/>
        <v>48123192535</v>
      </c>
      <c r="T10" t="b">
        <f t="shared" si="1"/>
        <v>1</v>
      </c>
    </row>
    <row r="11" spans="1:20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76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1167033379.8103361</v>
      </c>
      <c r="Q11">
        <v>1167033380</v>
      </c>
      <c r="R11">
        <v>1</v>
      </c>
      <c r="S11">
        <f t="shared" si="0"/>
        <v>40873347102.312004</v>
      </c>
      <c r="T11" t="b">
        <f t="shared" si="1"/>
        <v>0</v>
      </c>
    </row>
    <row r="12" spans="1:20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77</v>
      </c>
      <c r="G12">
        <v>1</v>
      </c>
      <c r="H12">
        <v>8.5980000000000008</v>
      </c>
      <c r="I12">
        <v>8.7940000000000005</v>
      </c>
      <c r="J12">
        <v>0.5</v>
      </c>
      <c r="K12">
        <v>30101010</v>
      </c>
      <c r="L12">
        <v>7085565400</v>
      </c>
      <c r="M12">
        <v>8.7940000000000005</v>
      </c>
      <c r="N12">
        <v>62310462127.600014</v>
      </c>
      <c r="O12">
        <v>0.5</v>
      </c>
      <c r="P12">
        <v>13823604039.70735</v>
      </c>
      <c r="Q12">
        <v>13823604040</v>
      </c>
      <c r="R12">
        <v>1</v>
      </c>
      <c r="S12">
        <f t="shared" si="0"/>
        <v>31155231063.800003</v>
      </c>
      <c r="T12" t="b">
        <f t="shared" si="1"/>
        <v>0</v>
      </c>
    </row>
    <row r="13" spans="1:20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78</v>
      </c>
      <c r="G13">
        <v>1</v>
      </c>
      <c r="H13">
        <v>459.7</v>
      </c>
      <c r="I13">
        <v>409.7</v>
      </c>
      <c r="J13">
        <v>0.95000000000000007</v>
      </c>
      <c r="K13">
        <v>10102020</v>
      </c>
      <c r="L13">
        <v>49328548</v>
      </c>
      <c r="M13">
        <v>409.7</v>
      </c>
      <c r="N13">
        <v>20209906115.599998</v>
      </c>
      <c r="O13">
        <v>0.95000000000000007</v>
      </c>
      <c r="P13">
        <v>136078847.22691429</v>
      </c>
      <c r="Q13">
        <v>136078847</v>
      </c>
      <c r="R13">
        <v>1</v>
      </c>
      <c r="S13">
        <f t="shared" si="0"/>
        <v>19199410809.82</v>
      </c>
      <c r="T13" t="b">
        <f t="shared" si="1"/>
        <v>0</v>
      </c>
    </row>
    <row r="14" spans="1:20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79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2459703804.420517</v>
      </c>
      <c r="Q14">
        <v>2459703804</v>
      </c>
      <c r="R14">
        <v>1</v>
      </c>
      <c r="S14">
        <f t="shared" si="0"/>
        <v>21422413119.899998</v>
      </c>
      <c r="T14" t="b">
        <f t="shared" si="1"/>
        <v>0</v>
      </c>
    </row>
    <row r="15" spans="1:20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80</v>
      </c>
      <c r="G15">
        <v>1</v>
      </c>
      <c r="H15">
        <v>23.12</v>
      </c>
      <c r="I15">
        <v>23.434999999999999</v>
      </c>
      <c r="J15">
        <v>0.70000000000000007</v>
      </c>
      <c r="K15">
        <v>10102010</v>
      </c>
      <c r="L15">
        <v>911281920</v>
      </c>
      <c r="M15">
        <v>23.434999999999999</v>
      </c>
      <c r="N15">
        <v>21355891795.200001</v>
      </c>
      <c r="O15">
        <v>0.70000000000000007</v>
      </c>
      <c r="P15">
        <v>3672001592.1096082</v>
      </c>
      <c r="Q15">
        <v>3672001592</v>
      </c>
      <c r="R15">
        <v>1</v>
      </c>
      <c r="S15">
        <f t="shared" si="0"/>
        <v>14949124256.639999</v>
      </c>
      <c r="T15" t="b">
        <f t="shared" si="1"/>
        <v>0</v>
      </c>
    </row>
    <row r="16" spans="1:20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81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18280672350.189999</v>
      </c>
      <c r="O16">
        <v>0.75</v>
      </c>
      <c r="P16">
        <v>6283655698.3031359</v>
      </c>
      <c r="Q16">
        <v>6283655698</v>
      </c>
      <c r="R16">
        <v>1</v>
      </c>
      <c r="S16">
        <f t="shared" si="0"/>
        <v>13710504262.642498</v>
      </c>
      <c r="T16" t="b">
        <f t="shared" si="1"/>
        <v>0</v>
      </c>
    </row>
    <row r="17" spans="1:20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82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2961684172.6696019</v>
      </c>
      <c r="Q17">
        <v>2961684173</v>
      </c>
      <c r="R17">
        <v>1</v>
      </c>
      <c r="S17">
        <f t="shared" si="0"/>
        <v>26720532443.799999</v>
      </c>
      <c r="T17" t="b">
        <f t="shared" si="1"/>
        <v>0</v>
      </c>
    </row>
    <row r="18" spans="1:20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83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570953295.54404473</v>
      </c>
      <c r="Q18">
        <v>570953296</v>
      </c>
      <c r="R18">
        <v>1</v>
      </c>
      <c r="S18">
        <f t="shared" si="0"/>
        <v>8690815639.8000011</v>
      </c>
      <c r="T18" t="b">
        <f t="shared" si="1"/>
        <v>0</v>
      </c>
    </row>
    <row r="19" spans="1:20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84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3723538456.5602689</v>
      </c>
      <c r="Q19">
        <v>3723538457</v>
      </c>
      <c r="R19">
        <v>1</v>
      </c>
      <c r="S19">
        <f t="shared" si="0"/>
        <v>7585376966.8050003</v>
      </c>
      <c r="T19" t="b">
        <f t="shared" si="1"/>
        <v>0</v>
      </c>
    </row>
    <row r="20" spans="1:20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85</v>
      </c>
      <c r="G20">
        <v>1</v>
      </c>
      <c r="H20">
        <v>8.0519999999999996</v>
      </c>
      <c r="I20">
        <v>8.298</v>
      </c>
      <c r="J20">
        <v>0.60000000000000009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0.60000000000000009</v>
      </c>
      <c r="P20">
        <v>12300810102.39731</v>
      </c>
      <c r="Q20">
        <v>12300810102</v>
      </c>
      <c r="R20">
        <v>1</v>
      </c>
      <c r="S20">
        <f t="shared" si="0"/>
        <v>6271743108.2328014</v>
      </c>
      <c r="T20" t="b">
        <f t="shared" si="1"/>
        <v>0</v>
      </c>
    </row>
    <row r="21" spans="1:20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86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4994656673.6034203</v>
      </c>
      <c r="Q21">
        <v>4994656674</v>
      </c>
      <c r="R21">
        <v>1</v>
      </c>
      <c r="S21">
        <f t="shared" si="0"/>
        <v>3233158783.4000001</v>
      </c>
      <c r="T21" t="b">
        <f t="shared" si="1"/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87</v>
      </c>
    </row>
    <row r="2" spans="1:1" x14ac:dyDescent="0.25">
      <c r="A2">
        <v>1188553475334.0381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2025-11-19T14:37:39Z</dcterms:created>
  <dcterms:modified xsi:type="dcterms:W3CDTF">2025-11-19T14:38:55Z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2025-11-19T14:38:55Z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28403e41-e167-4eac-bc69-3922d992927b</vt:lpwstr>
  </property>
  <property fmtid="{D5CDD505-2E9C-101B-9397-08002B2CF9AE}" pid="8" name="MSIP_Label_ac0b9ce6-6e99-42a1-af95-429494370cbc_ContentBits">
    <vt:lpwstr>2</vt:lpwstr>
  </property>
</Properties>
</file>