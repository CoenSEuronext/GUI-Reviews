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305" documentId="11_8DE5579389B08972958D6ECE077ED6869E310140" xr6:coauthVersionLast="47" xr6:coauthVersionMax="47" xr10:uidLastSave="{D25351B4-1F8D-4BBE-A73F-6D5763CE8FDC}"/>
  <bookViews>
    <workbookView xWindow="-120" yWindow="-120" windowWidth="29040" windowHeight="15720" activeTab="5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Capping Iterations" sheetId="5" r:id="rId5"/>
    <sheet name="Company Iterations" sheetId="6" r:id="rId6"/>
    <sheet name="Sector Summary" sheetId="7" r:id="rId7"/>
    <sheet name="Index Market Cap" sheetId="8" r:id="rId8"/>
  </sheets>
  <definedNames>
    <definedName name="_xlnm._FilterDatabase" localSheetId="5" hidden="1">'Company Iterations'!$C$52:$J$52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" i="6" l="1"/>
  <c r="M17" i="6"/>
  <c r="I9" i="6"/>
  <c r="I11" i="6"/>
  <c r="I16" i="6"/>
  <c r="I25" i="6"/>
  <c r="O25" i="6"/>
  <c r="O18" i="6"/>
  <c r="O17" i="6"/>
  <c r="O11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L25" i="6"/>
  <c r="L11" i="6"/>
  <c r="E5" i="6"/>
  <c r="I12" i="6" s="1"/>
  <c r="I13" i="6" l="1"/>
  <c r="I14" i="6"/>
  <c r="I15" i="6"/>
  <c r="I17" i="6"/>
  <c r="I18" i="6"/>
  <c r="I19" i="6"/>
  <c r="I20" i="6"/>
  <c r="I21" i="6"/>
  <c r="I22" i="6"/>
  <c r="I23" i="6"/>
  <c r="I24" i="6"/>
  <c r="I26" i="6"/>
  <c r="I29" i="6"/>
  <c r="I30" i="6"/>
  <c r="I27" i="6"/>
  <c r="I28" i="6"/>
  <c r="J29" i="6"/>
  <c r="J12" i="6"/>
  <c r="J13" i="6"/>
  <c r="J14" i="6"/>
  <c r="J15" i="6"/>
  <c r="J17" i="6"/>
  <c r="J18" i="6"/>
  <c r="J19" i="6"/>
  <c r="J30" i="6"/>
  <c r="I5" i="6" s="1"/>
  <c r="J20" i="6"/>
  <c r="J21" i="6"/>
  <c r="J22" i="6"/>
  <c r="J23" i="6"/>
  <c r="J24" i="6"/>
  <c r="J26" i="6"/>
  <c r="J27" i="6"/>
  <c r="J28" i="6"/>
  <c r="I4" i="6" l="1"/>
  <c r="I3" i="6"/>
  <c r="K9" i="6" s="1"/>
  <c r="I2" i="6"/>
  <c r="E3" i="6" l="1"/>
  <c r="K12" i="6" s="1"/>
  <c r="K29" i="6" l="1"/>
  <c r="L29" i="6" s="1"/>
  <c r="K28" i="6"/>
  <c r="L28" i="6" s="1"/>
  <c r="K15" i="6"/>
  <c r="L15" i="6" s="1"/>
  <c r="K14" i="6"/>
  <c r="L14" i="6" s="1"/>
  <c r="K27" i="6"/>
  <c r="L27" i="6" s="1"/>
  <c r="K26" i="6"/>
  <c r="L26" i="6" s="1"/>
  <c r="K30" i="6"/>
  <c r="L30" i="6" s="1"/>
  <c r="E4" i="6"/>
  <c r="K13" i="6"/>
  <c r="L13" i="6" s="1"/>
  <c r="L12" i="6"/>
  <c r="N2" i="6" l="1"/>
  <c r="N5" i="6"/>
  <c r="N4" i="6"/>
  <c r="K24" i="6"/>
  <c r="L24" i="6" s="1"/>
  <c r="K23" i="6"/>
  <c r="L23" i="6" s="1"/>
  <c r="K22" i="6"/>
  <c r="L22" i="6" s="1"/>
  <c r="K21" i="6"/>
  <c r="L21" i="6" s="1"/>
  <c r="K20" i="6"/>
  <c r="L20" i="6" s="1"/>
  <c r="K19" i="6"/>
  <c r="L19" i="6" s="1"/>
  <c r="K18" i="6"/>
  <c r="L18" i="6" s="1"/>
  <c r="K17" i="6"/>
  <c r="L17" i="6" s="1"/>
  <c r="K16" i="6"/>
  <c r="L16" i="6" s="1"/>
  <c r="M9" i="6" l="1"/>
  <c r="F5" i="6"/>
  <c r="N3" i="6"/>
  <c r="N20" i="6" l="1"/>
  <c r="O20" i="6" s="1"/>
  <c r="M30" i="6"/>
  <c r="M27" i="6"/>
  <c r="M24" i="6"/>
  <c r="M23" i="6"/>
  <c r="M22" i="6"/>
  <c r="M20" i="6"/>
  <c r="M16" i="6"/>
  <c r="M15" i="6"/>
  <c r="M14" i="6"/>
  <c r="M13" i="6"/>
  <c r="M12" i="6"/>
  <c r="M29" i="6"/>
  <c r="M21" i="6"/>
  <c r="M28" i="6"/>
  <c r="M26" i="6"/>
  <c r="M19" i="6"/>
  <c r="N19" i="6"/>
  <c r="O19" i="6" s="1"/>
  <c r="N23" i="6"/>
  <c r="O23" i="6" s="1"/>
  <c r="N22" i="6"/>
  <c r="O22" i="6" s="1"/>
  <c r="N16" i="6"/>
  <c r="O16" i="6" s="1"/>
  <c r="N24" i="6"/>
  <c r="O24" i="6" s="1"/>
  <c r="N13" i="6"/>
  <c r="O13" i="6" s="1"/>
  <c r="N30" i="6"/>
  <c r="O30" i="6" s="1"/>
  <c r="N27" i="6"/>
  <c r="O27" i="6" s="1"/>
  <c r="N15" i="6"/>
  <c r="O15" i="6" s="1"/>
  <c r="N28" i="6"/>
  <c r="O28" i="6" s="1"/>
  <c r="N26" i="6"/>
  <c r="O26" i="6" s="1"/>
  <c r="N14" i="6"/>
  <c r="O14" i="6" s="1"/>
  <c r="N29" i="6"/>
  <c r="O29" i="6" s="1"/>
  <c r="N12" i="6"/>
  <c r="O12" i="6" s="1"/>
  <c r="N21" i="6"/>
  <c r="O21" i="6" s="1"/>
  <c r="P21" i="6" l="1"/>
  <c r="P19" i="6"/>
  <c r="P27" i="6"/>
  <c r="P29" i="6"/>
  <c r="P26" i="6"/>
  <c r="P28" i="6"/>
  <c r="P13" i="6"/>
  <c r="P16" i="6"/>
  <c r="P22" i="6"/>
  <c r="P23" i="6"/>
  <c r="P12" i="6"/>
  <c r="P18" i="6"/>
  <c r="P25" i="6"/>
  <c r="P11" i="6"/>
  <c r="P17" i="6"/>
  <c r="P14" i="6"/>
  <c r="P15" i="6"/>
  <c r="P30" i="6"/>
  <c r="P24" i="6"/>
  <c r="P20" i="6"/>
</calcChain>
</file>

<file path=xl/sharedStrings.xml><?xml version="1.0" encoding="utf-8"?>
<sst xmlns="http://schemas.openxmlformats.org/spreadsheetml/2006/main" count="565" uniqueCount="124">
  <si>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</si>
  <si>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</si>
  <si>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</si>
  <si>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</si>
  <si>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</si>
  <si>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</si>
  <si>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</si>
  <si>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</si>
  <si>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</si>
  <si>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</si>
  <si>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</si>
  <si>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</si>
  <si>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</si>
  <si>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</si>
  <si>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</si>
  <si>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</si>
  <si>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</si>
  <si>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</si>
  <si>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</si>
  <si>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</si>
  <si>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</si>
  <si>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</si>
  <si>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</si>
  <si>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</si>
  <si>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</si>
  <si>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</si>
  <si>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</si>
  <si>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</si>
  <si>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</si>
  <si>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</si>
  <si>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</si>
  <si>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</si>
  <si>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</si>
  <si>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</si>
  <si>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</si>
  <si>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</si>
  <si>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</si>
  <si>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</si>
  <si>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</si>
  <si>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</si>
  <si>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</si>
  <si>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</si>
  <si>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</si>
  <si>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</si>
  <si>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</si>
  <si>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</si>
  <si>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</si>
  <si>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</si>
  <si>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</si>
  <si>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</si>
  <si>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</si>
  <si>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</si>
  <si>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</si>
  <si>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</si>
  <si>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</si>
  <si>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</si>
  <si>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</si>
  <si>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</si>
  <si>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</si>
  <si>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</si>
  <si>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</si>
  <si>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</si>
  <si>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</si>
  <si>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</si>
  <si>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</si>
  <si>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Mcap in EUR_EOD</t>
  </si>
  <si>
    <t>Initial Weight</t>
  </si>
  <si>
    <t>Capped Mcap</t>
  </si>
  <si>
    <t>Current Weight</t>
  </si>
  <si>
    <t>ICB Industry</t>
  </si>
  <si>
    <t>Unnormalized Capping Factor</t>
  </si>
  <si>
    <t>Final Weight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</si>
  <si>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</si>
  <si>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</si>
  <si>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</si>
  <si>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</si>
  <si>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</si>
  <si>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</si>
  <si>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</si>
  <si>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</si>
  <si>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</si>
  <si>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</si>
  <si>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</si>
  <si>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</si>
  <si>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</si>
  <si>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</si>
  <si>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</si>
  <si>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</si>
  <si>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</si>
  <si>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</si>
  <si>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</si>
  <si>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</si>
  <si>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</si>
  <si>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1010</t>
  </si>
  <si>
    <t>5020</t>
  </si>
  <si>
    <t>3010</t>
  </si>
  <si>
    <t>6010</t>
  </si>
  <si>
    <t>Iteration</t>
  </si>
  <si>
    <t>Max Individual Weight</t>
  </si>
  <si>
    <t>Max Sector Weight</t>
  </si>
  <si>
    <t>Companies Above 10%</t>
  </si>
  <si>
    <t>Sectors Above 50%</t>
  </si>
  <si>
    <t>Final (Normalized)</t>
  </si>
  <si>
    <t>Above Individual Cap</t>
  </si>
  <si>
    <t>Sector Weight</t>
  </si>
  <si>
    <t>Number of Companies</t>
  </si>
  <si>
    <t>Within 50% Cap</t>
  </si>
  <si>
    <t>Index Market Cap</t>
  </si>
  <si>
    <t>R1S1</t>
  </si>
  <si>
    <t>R1S2</t>
  </si>
  <si>
    <t>R2S1</t>
  </si>
  <si>
    <t>R1</t>
  </si>
  <si>
    <t>R2</t>
  </si>
  <si>
    <t>R2R1</t>
  </si>
  <si>
    <t>R1R2</t>
  </si>
  <si>
    <t>Redistr Amt</t>
  </si>
  <si>
    <t>Delta</t>
  </si>
  <si>
    <t>New W</t>
  </si>
  <si>
    <t>Adj Factor</t>
  </si>
  <si>
    <t>Scaled</t>
  </si>
  <si>
    <t>Sum to redistribute to for S2</t>
  </si>
  <si>
    <t>Sum to remove for S2</t>
  </si>
  <si>
    <t>S2 ok?</t>
  </si>
  <si>
    <t>SUM without &gt;0.1 for 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</si>
</sst>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61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1"/>
    <xf numFmtId="0" fontId="0" fillId="0" borderId="2" xfId="0" applyBorder="1"/>
    <xf numFmtId="0" fontId="0" fillId="0" borderId="3" xfId="0" applyBorder="1"/>
    <xf numFmtId="0" fontId="0" fillId="0" borderId="1" xfId="0" applyFont="1" applyBorder="1" applyAlignment="1">
      <alignment horizontal="center" vertical="top"/>
    </xf>
    <xf numFmtId="0" fontId="0" fillId="0" borderId="1" xfId="0" applyFont="1" applyFill="1" applyBorder="1" applyAlignment="1">
      <alignment horizontal="center" vertical="top"/>
    </xf>
    <xf numFmtId="0" fontId="0" fillId="0" borderId="1" xfId="0" applyBorder="1"/>
    <xf numFmtId="0" fontId="0" fillId="0" borderId="1" xfId="0" applyFill="1" applyBorder="1"/>
    <xf numFmtId="0" fontId="1" fillId="0" borderId="4" xfId="0" applyFont="1" applyBorder="1" applyAlignment="1">
      <alignment horizontal="center" vertical="top"/>
    </xf>
    <xf numFmtId="0" fontId="0" fillId="0" borderId="5" xfId="0" applyBorder="1"/>
    <xf numFmtId="0" fontId="0" fillId="0" borderId="0" xfId="0" applyBorder="1"/>
    <xf numFmtId="0" fontId="0" fillId="0" borderId="0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8" xfId="0" applyNumberForma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I3" sqref="I3:I4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28</v>
      </c>
      <c r="C2" t="s">
        <v>48</v>
      </c>
      <c r="D2">
        <v>462029966</v>
      </c>
      <c r="E2">
        <v>0.75</v>
      </c>
      <c r="F2">
        <v>0.99999999999999978</v>
      </c>
      <c r="G2" t="s">
        <v>53</v>
      </c>
      <c r="H2" t="s">
        <v>54</v>
      </c>
    </row>
    <row r="3" spans="1:8" x14ac:dyDescent="0.25">
      <c r="A3" t="s">
        <v>9</v>
      </c>
      <c r="B3" t="s">
        <v>29</v>
      </c>
      <c r="C3" t="s">
        <v>49</v>
      </c>
      <c r="D3">
        <v>49328548</v>
      </c>
      <c r="E3">
        <v>0.95000000000000007</v>
      </c>
      <c r="F3">
        <v>1</v>
      </c>
      <c r="G3" t="s">
        <v>53</v>
      </c>
      <c r="H3" t="s">
        <v>54</v>
      </c>
    </row>
    <row r="4" spans="1:8" x14ac:dyDescent="0.25">
      <c r="A4" t="s">
        <v>10</v>
      </c>
      <c r="B4" t="s">
        <v>30</v>
      </c>
      <c r="C4" t="s">
        <v>49</v>
      </c>
      <c r="D4">
        <v>393830692</v>
      </c>
      <c r="E4">
        <v>1</v>
      </c>
      <c r="F4">
        <v>0.22731647714025041</v>
      </c>
      <c r="G4" t="s">
        <v>53</v>
      </c>
      <c r="H4" t="s">
        <v>54</v>
      </c>
    </row>
    <row r="5" spans="1:8" x14ac:dyDescent="0.25">
      <c r="A5" t="s">
        <v>11</v>
      </c>
      <c r="B5" t="s">
        <v>31</v>
      </c>
      <c r="C5" t="s">
        <v>50</v>
      </c>
      <c r="D5">
        <v>1259689706</v>
      </c>
      <c r="E5">
        <v>0.60000000000000009</v>
      </c>
      <c r="F5">
        <v>0.75693533858523643</v>
      </c>
      <c r="G5" t="s">
        <v>53</v>
      </c>
      <c r="H5" t="s">
        <v>54</v>
      </c>
    </row>
    <row r="6" spans="1:8" x14ac:dyDescent="0.25">
      <c r="A6" t="s">
        <v>12</v>
      </c>
      <c r="B6" t="s">
        <v>32</v>
      </c>
      <c r="C6" t="s">
        <v>50</v>
      </c>
      <c r="D6">
        <v>1515182126</v>
      </c>
      <c r="E6">
        <v>0.75</v>
      </c>
      <c r="F6">
        <v>0.75693533858523643</v>
      </c>
      <c r="G6" t="s">
        <v>53</v>
      </c>
      <c r="H6" t="s">
        <v>54</v>
      </c>
    </row>
    <row r="7" spans="1:8" x14ac:dyDescent="0.25">
      <c r="A7" t="s">
        <v>13</v>
      </c>
      <c r="B7" t="s">
        <v>33</v>
      </c>
      <c r="C7" t="s">
        <v>51</v>
      </c>
      <c r="D7">
        <v>14885325000</v>
      </c>
      <c r="E7">
        <v>1</v>
      </c>
      <c r="F7">
        <v>0.49265853117179492</v>
      </c>
      <c r="G7" t="s">
        <v>53</v>
      </c>
      <c r="H7" t="s">
        <v>54</v>
      </c>
    </row>
    <row r="8" spans="1:8" x14ac:dyDescent="0.25">
      <c r="A8" t="s">
        <v>14</v>
      </c>
      <c r="B8" t="s">
        <v>34</v>
      </c>
      <c r="C8" t="s">
        <v>51</v>
      </c>
      <c r="D8">
        <v>5763285600</v>
      </c>
      <c r="E8">
        <v>1</v>
      </c>
      <c r="F8">
        <v>0.71306235932521145</v>
      </c>
      <c r="G8" t="s">
        <v>53</v>
      </c>
      <c r="H8" t="s">
        <v>54</v>
      </c>
    </row>
    <row r="9" spans="1:8" x14ac:dyDescent="0.25">
      <c r="A9" t="s">
        <v>15</v>
      </c>
      <c r="B9" t="s">
        <v>35</v>
      </c>
      <c r="C9" t="s">
        <v>49</v>
      </c>
      <c r="D9">
        <v>81146738</v>
      </c>
      <c r="E9">
        <v>0.9</v>
      </c>
      <c r="F9">
        <v>0.99999999999999978</v>
      </c>
      <c r="G9" t="s">
        <v>53</v>
      </c>
      <c r="H9" t="s">
        <v>54</v>
      </c>
    </row>
    <row r="10" spans="1:8" x14ac:dyDescent="0.25">
      <c r="A10" t="s">
        <v>16</v>
      </c>
      <c r="B10" t="s">
        <v>36</v>
      </c>
      <c r="C10" t="s">
        <v>51</v>
      </c>
      <c r="D10">
        <v>7085565400</v>
      </c>
      <c r="E10">
        <v>0.5</v>
      </c>
      <c r="F10">
        <v>0.75693533858523643</v>
      </c>
      <c r="G10" t="s">
        <v>53</v>
      </c>
      <c r="H10" t="s">
        <v>54</v>
      </c>
    </row>
    <row r="11" spans="1:8" x14ac:dyDescent="0.25">
      <c r="A11" t="s">
        <v>17</v>
      </c>
      <c r="B11" t="s">
        <v>37</v>
      </c>
      <c r="C11" t="s">
        <v>52</v>
      </c>
      <c r="D11">
        <v>1127496200</v>
      </c>
      <c r="E11">
        <v>0.65</v>
      </c>
      <c r="F11">
        <v>0.75693533858523643</v>
      </c>
      <c r="G11" t="s">
        <v>53</v>
      </c>
      <c r="H11" t="s">
        <v>54</v>
      </c>
    </row>
    <row r="12" spans="1:8" x14ac:dyDescent="0.25">
      <c r="A12" t="s">
        <v>18</v>
      </c>
      <c r="B12" t="s">
        <v>38</v>
      </c>
      <c r="C12" t="s">
        <v>52</v>
      </c>
      <c r="D12">
        <v>791868300</v>
      </c>
      <c r="E12">
        <v>0.65</v>
      </c>
      <c r="F12">
        <v>0.99999999999999978</v>
      </c>
      <c r="G12" t="s">
        <v>53</v>
      </c>
      <c r="H12" t="s">
        <v>54</v>
      </c>
    </row>
    <row r="13" spans="1:8" x14ac:dyDescent="0.25">
      <c r="A13" t="s">
        <v>19</v>
      </c>
      <c r="B13" t="s">
        <v>39</v>
      </c>
      <c r="C13" t="s">
        <v>52</v>
      </c>
      <c r="D13">
        <v>1948252900</v>
      </c>
      <c r="E13">
        <v>1</v>
      </c>
      <c r="F13">
        <v>0.75693533858523643</v>
      </c>
      <c r="G13" t="s">
        <v>53</v>
      </c>
      <c r="H13" t="s">
        <v>54</v>
      </c>
    </row>
    <row r="14" spans="1:8" x14ac:dyDescent="0.25">
      <c r="A14" t="s">
        <v>20</v>
      </c>
      <c r="B14" t="s">
        <v>40</v>
      </c>
      <c r="C14" t="s">
        <v>52</v>
      </c>
      <c r="D14">
        <v>1305921100</v>
      </c>
      <c r="E14">
        <v>1</v>
      </c>
      <c r="F14">
        <v>1</v>
      </c>
      <c r="G14" t="s">
        <v>53</v>
      </c>
      <c r="H14" t="s">
        <v>54</v>
      </c>
    </row>
    <row r="15" spans="1:8" x14ac:dyDescent="0.25">
      <c r="A15" t="s">
        <v>21</v>
      </c>
      <c r="B15" t="s">
        <v>41</v>
      </c>
      <c r="C15" t="s">
        <v>50</v>
      </c>
      <c r="D15">
        <v>271215400</v>
      </c>
      <c r="E15">
        <v>0.65</v>
      </c>
      <c r="F15">
        <v>0.99999999999999978</v>
      </c>
      <c r="G15" t="s">
        <v>53</v>
      </c>
      <c r="H15" t="s">
        <v>54</v>
      </c>
    </row>
    <row r="16" spans="1:8" x14ac:dyDescent="0.25">
      <c r="A16" t="s">
        <v>22</v>
      </c>
      <c r="B16" t="s">
        <v>42</v>
      </c>
      <c r="C16" t="s">
        <v>50</v>
      </c>
      <c r="D16">
        <v>296356578</v>
      </c>
      <c r="E16">
        <v>1</v>
      </c>
      <c r="F16">
        <v>0.99999999999999978</v>
      </c>
      <c r="G16" t="s">
        <v>53</v>
      </c>
      <c r="H16" t="s">
        <v>54</v>
      </c>
    </row>
    <row r="17" spans="1:8" x14ac:dyDescent="0.25">
      <c r="A17" t="s">
        <v>23</v>
      </c>
      <c r="B17" t="s">
        <v>43</v>
      </c>
      <c r="C17" t="s">
        <v>48</v>
      </c>
      <c r="D17">
        <v>577122512</v>
      </c>
      <c r="E17">
        <v>1</v>
      </c>
      <c r="F17">
        <v>0.50374385448374726</v>
      </c>
      <c r="G17" t="s">
        <v>53</v>
      </c>
      <c r="H17" t="s">
        <v>54</v>
      </c>
    </row>
    <row r="18" spans="1:8" x14ac:dyDescent="0.25">
      <c r="A18" t="s">
        <v>24</v>
      </c>
      <c r="B18" t="s">
        <v>44</v>
      </c>
      <c r="C18" t="s">
        <v>52</v>
      </c>
      <c r="D18">
        <v>799335450</v>
      </c>
      <c r="E18">
        <v>0.85</v>
      </c>
      <c r="F18">
        <v>1</v>
      </c>
      <c r="G18" t="s">
        <v>53</v>
      </c>
      <c r="H18" t="s">
        <v>54</v>
      </c>
    </row>
    <row r="19" spans="1:8" x14ac:dyDescent="0.25">
      <c r="A19" t="s">
        <v>25</v>
      </c>
      <c r="B19" t="s">
        <v>45</v>
      </c>
      <c r="C19" t="s">
        <v>48</v>
      </c>
      <c r="D19">
        <v>785180327</v>
      </c>
      <c r="E19">
        <v>0.9</v>
      </c>
      <c r="F19">
        <v>0.75693533858523643</v>
      </c>
      <c r="G19" t="s">
        <v>53</v>
      </c>
      <c r="H19" t="s">
        <v>54</v>
      </c>
    </row>
    <row r="20" spans="1:8" x14ac:dyDescent="0.25">
      <c r="A20" t="s">
        <v>26</v>
      </c>
      <c r="B20" t="s">
        <v>46</v>
      </c>
      <c r="C20" t="s">
        <v>48</v>
      </c>
      <c r="D20">
        <v>911281920</v>
      </c>
      <c r="E20">
        <v>0.70000000000000007</v>
      </c>
      <c r="F20">
        <v>0.99999999999999978</v>
      </c>
      <c r="G20" t="s">
        <v>53</v>
      </c>
      <c r="H20" t="s">
        <v>54</v>
      </c>
    </row>
    <row r="21" spans="1:8" x14ac:dyDescent="0.25">
      <c r="A21" t="s">
        <v>27</v>
      </c>
      <c r="B21" t="s">
        <v>47</v>
      </c>
      <c r="C21" t="s">
        <v>50</v>
      </c>
      <c r="D21">
        <v>1557675176</v>
      </c>
      <c r="E21">
        <v>1</v>
      </c>
      <c r="F21">
        <v>0.65946711289384463</v>
      </c>
      <c r="G21" t="s">
        <v>53</v>
      </c>
      <c r="H21" t="s">
        <v>54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55</v>
      </c>
      <c r="C1" s="1" t="s">
        <v>2</v>
      </c>
    </row>
    <row r="2" spans="1:3" x14ac:dyDescent="0.25">
      <c r="A2" t="s">
        <v>8</v>
      </c>
      <c r="B2" t="s">
        <v>28</v>
      </c>
      <c r="C2" t="s">
        <v>48</v>
      </c>
    </row>
    <row r="3" spans="1:3" x14ac:dyDescent="0.25">
      <c r="A3" t="s">
        <v>9</v>
      </c>
      <c r="B3" t="s">
        <v>29</v>
      </c>
      <c r="C3" t="s">
        <v>49</v>
      </c>
    </row>
    <row r="4" spans="1:3" x14ac:dyDescent="0.25">
      <c r="A4" t="s">
        <v>10</v>
      </c>
      <c r="B4" t="s">
        <v>30</v>
      </c>
      <c r="C4" t="s">
        <v>49</v>
      </c>
    </row>
    <row r="5" spans="1:3" x14ac:dyDescent="0.25">
      <c r="A5" t="s">
        <v>11</v>
      </c>
      <c r="B5" t="s">
        <v>31</v>
      </c>
      <c r="C5" t="s">
        <v>50</v>
      </c>
    </row>
    <row r="6" spans="1:3" x14ac:dyDescent="0.25">
      <c r="A6" t="s">
        <v>12</v>
      </c>
      <c r="B6" t="s">
        <v>32</v>
      </c>
      <c r="C6" t="s">
        <v>50</v>
      </c>
    </row>
    <row r="7" spans="1:3" x14ac:dyDescent="0.25">
      <c r="A7" t="s">
        <v>13</v>
      </c>
      <c r="B7" t="s">
        <v>33</v>
      </c>
      <c r="C7" t="s">
        <v>51</v>
      </c>
    </row>
    <row r="8" spans="1:3" x14ac:dyDescent="0.25">
      <c r="A8" t="s">
        <v>14</v>
      </c>
      <c r="B8" t="s">
        <v>34</v>
      </c>
      <c r="C8" t="s">
        <v>51</v>
      </c>
    </row>
    <row r="9" spans="1:3" x14ac:dyDescent="0.25">
      <c r="A9" t="s">
        <v>15</v>
      </c>
      <c r="B9" t="s">
        <v>35</v>
      </c>
      <c r="C9" t="s">
        <v>49</v>
      </c>
    </row>
    <row r="10" spans="1:3" x14ac:dyDescent="0.25">
      <c r="A10" t="s">
        <v>16</v>
      </c>
      <c r="B10" t="s">
        <v>36</v>
      </c>
      <c r="C10" t="s">
        <v>51</v>
      </c>
    </row>
    <row r="11" spans="1:3" x14ac:dyDescent="0.25">
      <c r="A11" t="s">
        <v>17</v>
      </c>
      <c r="B11" t="s">
        <v>37</v>
      </c>
      <c r="C11" t="s">
        <v>52</v>
      </c>
    </row>
    <row r="12" spans="1:3" x14ac:dyDescent="0.25">
      <c r="A12" t="s">
        <v>18</v>
      </c>
      <c r="B12" t="s">
        <v>38</v>
      </c>
      <c r="C12" t="s">
        <v>52</v>
      </c>
    </row>
    <row r="13" spans="1:3" x14ac:dyDescent="0.25">
      <c r="A13" t="s">
        <v>19</v>
      </c>
      <c r="B13" t="s">
        <v>39</v>
      </c>
      <c r="C13" t="s">
        <v>52</v>
      </c>
    </row>
    <row r="14" spans="1:3" x14ac:dyDescent="0.25">
      <c r="A14" t="s">
        <v>20</v>
      </c>
      <c r="B14" t="s">
        <v>40</v>
      </c>
      <c r="C14" t="s">
        <v>52</v>
      </c>
    </row>
    <row r="15" spans="1:3" x14ac:dyDescent="0.25">
      <c r="A15" t="s">
        <v>21</v>
      </c>
      <c r="B15" t="s">
        <v>41</v>
      </c>
      <c r="C15" t="s">
        <v>50</v>
      </c>
    </row>
    <row r="16" spans="1:3" x14ac:dyDescent="0.25">
      <c r="A16" t="s">
        <v>22</v>
      </c>
      <c r="B16" t="s">
        <v>42</v>
      </c>
      <c r="C16" t="s">
        <v>50</v>
      </c>
    </row>
    <row r="17" spans="1:3" x14ac:dyDescent="0.25">
      <c r="A17" t="s">
        <v>23</v>
      </c>
      <c r="B17" t="s">
        <v>43</v>
      </c>
      <c r="C17" t="s">
        <v>48</v>
      </c>
    </row>
    <row r="18" spans="1:3" x14ac:dyDescent="0.25">
      <c r="A18" t="s">
        <v>24</v>
      </c>
      <c r="B18" t="s">
        <v>44</v>
      </c>
      <c r="C18" t="s">
        <v>52</v>
      </c>
    </row>
    <row r="19" spans="1:3" x14ac:dyDescent="0.25">
      <c r="A19" t="s">
        <v>25</v>
      </c>
      <c r="B19" t="s">
        <v>45</v>
      </c>
      <c r="C19" t="s">
        <v>48</v>
      </c>
    </row>
    <row r="20" spans="1:3" x14ac:dyDescent="0.25">
      <c r="A20" t="s">
        <v>26</v>
      </c>
      <c r="B20" t="s">
        <v>46</v>
      </c>
      <c r="C20" t="s">
        <v>48</v>
      </c>
    </row>
    <row r="21" spans="1:3" x14ac:dyDescent="0.25">
      <c r="A21" t="s">
        <v>27</v>
      </c>
      <c r="B21" t="s">
        <v>47</v>
      </c>
      <c r="C21" t="s">
        <v>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21"/>
  <sheetViews>
    <sheetView workbookViewId="0"/>
  </sheetViews>
  <sheetFormatPr defaultRowHeight="15" x14ac:dyDescent="0.25"/>
  <sheetData>
    <row r="1" spans="1:24" x14ac:dyDescent="0.25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4</v>
      </c>
      <c r="P1" s="1" t="s">
        <v>65</v>
      </c>
      <c r="Q1" s="1" t="s">
        <v>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</row>
    <row r="2" spans="1:24" x14ac:dyDescent="0.25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73</v>
      </c>
      <c r="G2">
        <v>1</v>
      </c>
      <c r="H2">
        <v>737</v>
      </c>
      <c r="I2">
        <v>646.20000000000005</v>
      </c>
      <c r="J2">
        <v>1</v>
      </c>
      <c r="K2">
        <v>10102020</v>
      </c>
      <c r="L2">
        <v>393830692</v>
      </c>
      <c r="M2">
        <v>646.20000000000005</v>
      </c>
      <c r="N2">
        <v>254493393170.39999</v>
      </c>
      <c r="O2">
        <v>1</v>
      </c>
      <c r="P2">
        <v>290253220004</v>
      </c>
      <c r="Q2">
        <v>0.22731647714025041</v>
      </c>
      <c r="R2">
        <v>0.26027174882911641</v>
      </c>
      <c r="S2">
        <v>65979339449.923332</v>
      </c>
      <c r="T2">
        <v>9.9999999999999992E-2</v>
      </c>
      <c r="U2" t="s">
        <v>93</v>
      </c>
      <c r="V2">
        <v>0.38421380902794727</v>
      </c>
      <c r="W2">
        <v>0.1</v>
      </c>
      <c r="X2">
        <v>393830692</v>
      </c>
    </row>
    <row r="3" spans="1:24" x14ac:dyDescent="0.25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74</v>
      </c>
      <c r="G3">
        <v>1</v>
      </c>
      <c r="H3">
        <v>226.95</v>
      </c>
      <c r="I3">
        <v>215.4</v>
      </c>
      <c r="J3">
        <v>1</v>
      </c>
      <c r="K3">
        <v>50202010</v>
      </c>
      <c r="L3">
        <v>577122512</v>
      </c>
      <c r="M3">
        <v>215.4</v>
      </c>
      <c r="N3">
        <v>124312189084.8</v>
      </c>
      <c r="O3">
        <v>1</v>
      </c>
      <c r="P3">
        <v>130977954098.39999</v>
      </c>
      <c r="Q3">
        <v>0.50374385448374726</v>
      </c>
      <c r="R3">
        <v>0.11744869245819391</v>
      </c>
      <c r="S3">
        <v>65979339449.923332</v>
      </c>
      <c r="T3">
        <v>9.9999999999999992E-2</v>
      </c>
      <c r="U3" t="s">
        <v>94</v>
      </c>
      <c r="V3">
        <v>0.85143561760464181</v>
      </c>
      <c r="W3">
        <v>0.1</v>
      </c>
      <c r="X3">
        <v>577122512</v>
      </c>
    </row>
    <row r="4" spans="1:24" x14ac:dyDescent="0.25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75</v>
      </c>
      <c r="G4">
        <v>1</v>
      </c>
      <c r="H4">
        <v>8.391</v>
      </c>
      <c r="I4">
        <v>8.3160000000000007</v>
      </c>
      <c r="J4">
        <v>1</v>
      </c>
      <c r="K4">
        <v>30101010</v>
      </c>
      <c r="L4">
        <v>14885325000</v>
      </c>
      <c r="M4">
        <v>8.3160000000000007</v>
      </c>
      <c r="N4">
        <v>123786362700</v>
      </c>
      <c r="O4">
        <v>1</v>
      </c>
      <c r="P4">
        <v>124902762075</v>
      </c>
      <c r="Q4">
        <v>0.49265853117179492</v>
      </c>
      <c r="R4">
        <v>0.1120010324722643</v>
      </c>
      <c r="S4">
        <v>61534411303.169662</v>
      </c>
      <c r="T4">
        <v>9.3263151489827709E-2</v>
      </c>
      <c r="U4" t="s">
        <v>95</v>
      </c>
      <c r="V4">
        <v>0.83269903349259922</v>
      </c>
      <c r="W4">
        <v>9.3263151489827723E-2</v>
      </c>
      <c r="X4">
        <v>14885325000</v>
      </c>
    </row>
    <row r="5" spans="1:24" x14ac:dyDescent="0.25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76</v>
      </c>
      <c r="G5">
        <v>1</v>
      </c>
      <c r="H5">
        <v>64.23</v>
      </c>
      <c r="I5">
        <v>69.19</v>
      </c>
      <c r="J5">
        <v>1</v>
      </c>
      <c r="K5">
        <v>30101010</v>
      </c>
      <c r="L5">
        <v>1557675176</v>
      </c>
      <c r="M5">
        <v>69.19</v>
      </c>
      <c r="N5">
        <v>107775545427.44</v>
      </c>
      <c r="O5">
        <v>1</v>
      </c>
      <c r="P5">
        <v>100049476554.48</v>
      </c>
      <c r="Q5">
        <v>0.65946711289384463</v>
      </c>
      <c r="R5">
        <v>8.9714946941547566E-2</v>
      </c>
      <c r="S5">
        <v>65979339449.923332</v>
      </c>
      <c r="T5">
        <v>9.9999999999999992E-2</v>
      </c>
      <c r="U5" t="s">
        <v>95</v>
      </c>
      <c r="V5">
        <v>1.11464146621135</v>
      </c>
      <c r="W5">
        <v>0.1</v>
      </c>
      <c r="X5">
        <v>1557675176</v>
      </c>
    </row>
    <row r="6" spans="1:24" x14ac:dyDescent="0.25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77</v>
      </c>
      <c r="G6">
        <v>1</v>
      </c>
      <c r="H6">
        <v>79.3</v>
      </c>
      <c r="I6">
        <v>75.5</v>
      </c>
      <c r="J6">
        <v>1</v>
      </c>
      <c r="K6">
        <v>50202010</v>
      </c>
      <c r="L6">
        <v>296356578</v>
      </c>
      <c r="M6">
        <v>75.5</v>
      </c>
      <c r="N6">
        <v>22374921639</v>
      </c>
      <c r="O6">
        <v>1</v>
      </c>
      <c r="P6">
        <v>23501076635.400002</v>
      </c>
      <c r="Q6">
        <v>0.99999999999999978</v>
      </c>
      <c r="R6">
        <v>2.1073551966721851E-2</v>
      </c>
      <c r="S6">
        <v>23501076635.39999</v>
      </c>
      <c r="T6">
        <v>3.5618841945571043E-2</v>
      </c>
      <c r="U6" t="s">
        <v>94</v>
      </c>
      <c r="V6">
        <v>1.6902153942447991</v>
      </c>
      <c r="W6">
        <v>3.5618841945571043E-2</v>
      </c>
      <c r="X6">
        <v>296356578</v>
      </c>
    </row>
    <row r="7" spans="1:24" x14ac:dyDescent="0.25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78</v>
      </c>
      <c r="G7">
        <v>1</v>
      </c>
      <c r="H7">
        <v>16.055</v>
      </c>
      <c r="I7">
        <v>16.454999999999998</v>
      </c>
      <c r="J7">
        <v>1</v>
      </c>
      <c r="K7">
        <v>30101010</v>
      </c>
      <c r="L7">
        <v>5763285600</v>
      </c>
      <c r="M7">
        <v>16.454999999999998</v>
      </c>
      <c r="N7">
        <v>94834864547.999985</v>
      </c>
      <c r="O7">
        <v>1</v>
      </c>
      <c r="P7">
        <v>92529550308</v>
      </c>
      <c r="Q7">
        <v>0.71306235932521145</v>
      </c>
      <c r="R7">
        <v>8.2971785383476479E-2</v>
      </c>
      <c r="S7">
        <v>65979339449.923317</v>
      </c>
      <c r="T7">
        <v>9.9999999999999992E-2</v>
      </c>
      <c r="U7" t="s">
        <v>95</v>
      </c>
      <c r="V7">
        <v>1.2052289767879889</v>
      </c>
      <c r="W7">
        <v>9.9999999999999992E-2</v>
      </c>
      <c r="X7">
        <v>5763285600</v>
      </c>
    </row>
    <row r="8" spans="1:24" x14ac:dyDescent="0.25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79</v>
      </c>
      <c r="G8">
        <v>1</v>
      </c>
      <c r="H8">
        <v>92</v>
      </c>
      <c r="I8">
        <v>92.9</v>
      </c>
      <c r="J8">
        <v>0.85</v>
      </c>
      <c r="K8">
        <v>60102020</v>
      </c>
      <c r="L8">
        <v>799335450</v>
      </c>
      <c r="M8">
        <v>92.9</v>
      </c>
      <c r="N8">
        <v>74258263305</v>
      </c>
      <c r="O8">
        <v>0.85</v>
      </c>
      <c r="P8">
        <v>62508032190</v>
      </c>
      <c r="Q8">
        <v>1</v>
      </c>
      <c r="R8">
        <v>5.605131565373779E-2</v>
      </c>
      <c r="S8">
        <v>62508032190</v>
      </c>
      <c r="T8">
        <v>9.473879658562212E-2</v>
      </c>
      <c r="U8" t="s">
        <v>96</v>
      </c>
      <c r="V8">
        <v>1.6902153942447999</v>
      </c>
      <c r="W8">
        <v>9.4738796585622134E-2</v>
      </c>
      <c r="X8">
        <v>799335450</v>
      </c>
    </row>
    <row r="9" spans="1:24" x14ac:dyDescent="0.25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80</v>
      </c>
      <c r="G9">
        <v>1</v>
      </c>
      <c r="H9">
        <v>30.734999999999999</v>
      </c>
      <c r="I9">
        <v>31.7</v>
      </c>
      <c r="J9">
        <v>1</v>
      </c>
      <c r="K9">
        <v>30101010</v>
      </c>
      <c r="L9">
        <v>1948252900</v>
      </c>
      <c r="M9">
        <v>31.7</v>
      </c>
      <c r="N9">
        <v>61759616930</v>
      </c>
      <c r="O9">
        <v>1</v>
      </c>
      <c r="P9">
        <v>59879552881.5</v>
      </c>
      <c r="Q9">
        <v>0.75693533858523643</v>
      </c>
      <c r="R9">
        <v>5.3694342985613687E-2</v>
      </c>
      <c r="S9">
        <v>45324949634.690773</v>
      </c>
      <c r="T9">
        <v>6.869567051226888E-2</v>
      </c>
      <c r="U9" t="s">
        <v>95</v>
      </c>
      <c r="V9">
        <v>1.2793837617246659</v>
      </c>
      <c r="W9">
        <v>6.8695670512268894E-2</v>
      </c>
      <c r="X9">
        <v>1948252900</v>
      </c>
    </row>
    <row r="10" spans="1:24" x14ac:dyDescent="0.25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81</v>
      </c>
      <c r="G10">
        <v>1</v>
      </c>
      <c r="H10">
        <v>32.65</v>
      </c>
      <c r="I10">
        <v>36.85</v>
      </c>
      <c r="J10">
        <v>1</v>
      </c>
      <c r="K10">
        <v>10102010</v>
      </c>
      <c r="L10">
        <v>1305921100</v>
      </c>
      <c r="M10">
        <v>36.85</v>
      </c>
      <c r="N10">
        <v>48123192535</v>
      </c>
      <c r="O10">
        <v>1</v>
      </c>
      <c r="P10">
        <v>42638323915</v>
      </c>
      <c r="Q10">
        <v>1</v>
      </c>
      <c r="R10">
        <v>3.8234032795041693E-2</v>
      </c>
      <c r="S10">
        <v>42638323915</v>
      </c>
      <c r="T10">
        <v>6.4623750814239989E-2</v>
      </c>
      <c r="U10" t="s">
        <v>93</v>
      </c>
      <c r="V10">
        <v>1.6902153942447999</v>
      </c>
      <c r="W10">
        <v>6.4623750814240002E-2</v>
      </c>
      <c r="X10">
        <v>1305921100</v>
      </c>
    </row>
    <row r="11" spans="1:24" x14ac:dyDescent="0.25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82</v>
      </c>
      <c r="G11">
        <v>1</v>
      </c>
      <c r="H11">
        <v>56.58</v>
      </c>
      <c r="I11">
        <v>57.84</v>
      </c>
      <c r="J11">
        <v>0.9</v>
      </c>
      <c r="K11">
        <v>30101010</v>
      </c>
      <c r="L11">
        <v>785180327</v>
      </c>
      <c r="M11">
        <v>57.84</v>
      </c>
      <c r="N11">
        <v>45414830113.68</v>
      </c>
      <c r="O11">
        <v>0.9</v>
      </c>
      <c r="P11">
        <v>39982952611.494003</v>
      </c>
      <c r="Q11">
        <v>0.75693533858523643</v>
      </c>
      <c r="R11">
        <v>3.5852945918745771E-2</v>
      </c>
      <c r="S11">
        <v>30264509772.618671</v>
      </c>
      <c r="T11">
        <v>4.5869676818435977E-2</v>
      </c>
      <c r="U11" t="s">
        <v>95</v>
      </c>
      <c r="V11">
        <v>1.2793837617246659</v>
      </c>
      <c r="W11">
        <v>4.5869676818435991E-2</v>
      </c>
      <c r="X11">
        <v>785180327</v>
      </c>
    </row>
    <row r="12" spans="1:24" x14ac:dyDescent="0.25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83</v>
      </c>
      <c r="G12">
        <v>1</v>
      </c>
      <c r="H12">
        <v>8.5980000000000008</v>
      </c>
      <c r="I12">
        <v>8.7940000000000005</v>
      </c>
      <c r="J12">
        <v>0.5</v>
      </c>
      <c r="K12">
        <v>30101010</v>
      </c>
      <c r="L12">
        <v>7085565400</v>
      </c>
      <c r="M12">
        <v>8.7940000000000005</v>
      </c>
      <c r="N12">
        <v>62310462127.600014</v>
      </c>
      <c r="O12">
        <v>0.5</v>
      </c>
      <c r="P12">
        <v>30460845654.599998</v>
      </c>
      <c r="Q12">
        <v>0.75693533858523643</v>
      </c>
      <c r="R12">
        <v>2.7314417284422469E-2</v>
      </c>
      <c r="S12">
        <v>23056890519.15728</v>
      </c>
      <c r="T12">
        <v>3.494562193466165E-2</v>
      </c>
      <c r="U12" t="s">
        <v>95</v>
      </c>
      <c r="V12">
        <v>1.2793837617246659</v>
      </c>
      <c r="W12">
        <v>3.4945621934661657E-2</v>
      </c>
      <c r="X12">
        <v>7085565400</v>
      </c>
    </row>
    <row r="13" spans="1:24" x14ac:dyDescent="0.25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84</v>
      </c>
      <c r="G13">
        <v>1</v>
      </c>
      <c r="H13">
        <v>459.7</v>
      </c>
      <c r="I13">
        <v>409.7</v>
      </c>
      <c r="J13">
        <v>0.95000000000000007</v>
      </c>
      <c r="K13">
        <v>10102020</v>
      </c>
      <c r="L13">
        <v>49328548</v>
      </c>
      <c r="M13">
        <v>409.7</v>
      </c>
      <c r="N13">
        <v>20209906115.599998</v>
      </c>
      <c r="O13">
        <v>0.95000000000000007</v>
      </c>
      <c r="P13">
        <v>21542516839.82</v>
      </c>
      <c r="Q13">
        <v>1</v>
      </c>
      <c r="R13">
        <v>1.9317300018250869E-2</v>
      </c>
      <c r="S13">
        <v>21542516839.82</v>
      </c>
      <c r="T13">
        <v>3.2650397866092959E-2</v>
      </c>
      <c r="U13" t="s">
        <v>93</v>
      </c>
      <c r="V13">
        <v>1.6902153942447999</v>
      </c>
      <c r="W13">
        <v>3.2650397866092973E-2</v>
      </c>
      <c r="X13">
        <v>49328548</v>
      </c>
    </row>
    <row r="14" spans="1:24" x14ac:dyDescent="0.25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85</v>
      </c>
      <c r="G14">
        <v>1</v>
      </c>
      <c r="H14">
        <v>37.17</v>
      </c>
      <c r="I14">
        <v>41.62</v>
      </c>
      <c r="J14">
        <v>0.65</v>
      </c>
      <c r="K14">
        <v>50206015</v>
      </c>
      <c r="L14">
        <v>791868300</v>
      </c>
      <c r="M14">
        <v>41.62</v>
      </c>
      <c r="N14">
        <v>32957558646</v>
      </c>
      <c r="O14">
        <v>0.65</v>
      </c>
      <c r="P14">
        <v>19131934062.150002</v>
      </c>
      <c r="Q14">
        <v>0.99999999999999978</v>
      </c>
      <c r="R14">
        <v>1.7155716435361162E-2</v>
      </c>
      <c r="S14">
        <v>19131934062.150002</v>
      </c>
      <c r="T14">
        <v>2.8996856018345941E-2</v>
      </c>
      <c r="U14" t="s">
        <v>94</v>
      </c>
      <c r="V14">
        <v>1.6902153942447991</v>
      </c>
      <c r="W14">
        <v>2.8996856018345951E-2</v>
      </c>
      <c r="X14">
        <v>791868300</v>
      </c>
    </row>
    <row r="15" spans="1:24" x14ac:dyDescent="0.25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86</v>
      </c>
      <c r="G15">
        <v>1</v>
      </c>
      <c r="H15">
        <v>23.12</v>
      </c>
      <c r="I15">
        <v>23.434999999999999</v>
      </c>
      <c r="J15">
        <v>0.70000000000000007</v>
      </c>
      <c r="K15">
        <v>10102010</v>
      </c>
      <c r="L15">
        <v>911281920</v>
      </c>
      <c r="M15">
        <v>23.434999999999999</v>
      </c>
      <c r="N15">
        <v>21355891795.200001</v>
      </c>
      <c r="O15">
        <v>0.70000000000000007</v>
      </c>
      <c r="P15">
        <v>14748186593.280001</v>
      </c>
      <c r="Q15">
        <v>0.99999999999999978</v>
      </c>
      <c r="R15">
        <v>1.322478460923953E-2</v>
      </c>
      <c r="S15">
        <v>14748186593.280001</v>
      </c>
      <c r="T15">
        <v>2.2352734532108339E-2</v>
      </c>
      <c r="U15" t="s">
        <v>93</v>
      </c>
      <c r="V15">
        <v>1.6902153942447991</v>
      </c>
      <c r="W15">
        <v>2.235273453210835E-2</v>
      </c>
      <c r="X15">
        <v>911281920</v>
      </c>
    </row>
    <row r="16" spans="1:24" x14ac:dyDescent="0.25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87</v>
      </c>
      <c r="G16">
        <v>1</v>
      </c>
      <c r="H16">
        <v>12.61</v>
      </c>
      <c r="I16">
        <v>12.065</v>
      </c>
      <c r="J16">
        <v>0.75</v>
      </c>
      <c r="K16">
        <v>30101010</v>
      </c>
      <c r="L16">
        <v>1515182126</v>
      </c>
      <c r="M16">
        <v>12.065</v>
      </c>
      <c r="N16">
        <v>18280672350.189999</v>
      </c>
      <c r="O16">
        <v>0.75</v>
      </c>
      <c r="P16">
        <v>14329834956.645</v>
      </c>
      <c r="Q16">
        <v>0.75693533858523643</v>
      </c>
      <c r="R16">
        <v>1.284964626593015E-2</v>
      </c>
      <c r="S16">
        <v>10846758474.778641</v>
      </c>
      <c r="T16">
        <v>1.643962877653702E-2</v>
      </c>
      <c r="U16" t="s">
        <v>95</v>
      </c>
      <c r="V16">
        <v>1.2793837617246659</v>
      </c>
      <c r="W16">
        <v>1.643962877653702E-2</v>
      </c>
      <c r="X16">
        <v>1515182126</v>
      </c>
    </row>
    <row r="17" spans="1:24" x14ac:dyDescent="0.25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88</v>
      </c>
      <c r="G17">
        <v>1</v>
      </c>
      <c r="H17">
        <v>30.87</v>
      </c>
      <c r="I17">
        <v>36.46</v>
      </c>
      <c r="J17">
        <v>0.65</v>
      </c>
      <c r="K17">
        <v>30101010</v>
      </c>
      <c r="L17">
        <v>1127496200</v>
      </c>
      <c r="M17">
        <v>36.46</v>
      </c>
      <c r="N17">
        <v>41108511452</v>
      </c>
      <c r="O17">
        <v>0.65</v>
      </c>
      <c r="P17">
        <v>22623775001.099998</v>
      </c>
      <c r="Q17">
        <v>0.75693533858523643</v>
      </c>
      <c r="R17">
        <v>2.0286870493879769E-2</v>
      </c>
      <c r="S17">
        <v>17124734790.533831</v>
      </c>
      <c r="T17">
        <v>2.5954692686081041E-2</v>
      </c>
      <c r="U17" t="s">
        <v>95</v>
      </c>
      <c r="V17">
        <v>1.2793837617246659</v>
      </c>
      <c r="W17">
        <v>2.5954692686081041E-2</v>
      </c>
      <c r="X17">
        <v>1127496200</v>
      </c>
    </row>
    <row r="18" spans="1:24" x14ac:dyDescent="0.25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89</v>
      </c>
      <c r="G18">
        <v>1</v>
      </c>
      <c r="H18">
        <v>115.65</v>
      </c>
      <c r="I18">
        <v>119</v>
      </c>
      <c r="J18">
        <v>0.9</v>
      </c>
      <c r="K18">
        <v>10102010</v>
      </c>
      <c r="L18">
        <v>81146738</v>
      </c>
      <c r="M18">
        <v>119</v>
      </c>
      <c r="N18">
        <v>9656461822</v>
      </c>
      <c r="O18">
        <v>0.9</v>
      </c>
      <c r="P18">
        <v>8446158224.7299995</v>
      </c>
      <c r="Q18">
        <v>0.99999999999999978</v>
      </c>
      <c r="R18">
        <v>7.5737191546319717E-3</v>
      </c>
      <c r="S18">
        <v>8446158224.7299986</v>
      </c>
      <c r="T18">
        <v>1.2801216706845661E-2</v>
      </c>
      <c r="U18" t="s">
        <v>93</v>
      </c>
      <c r="V18">
        <v>1.6902153942447991</v>
      </c>
      <c r="W18">
        <v>1.2801216706845669E-2</v>
      </c>
      <c r="X18">
        <v>81146738</v>
      </c>
    </row>
    <row r="19" spans="1:24" x14ac:dyDescent="0.25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90</v>
      </c>
      <c r="G19">
        <v>1</v>
      </c>
      <c r="H19">
        <v>21.28</v>
      </c>
      <c r="I19">
        <v>21.89</v>
      </c>
      <c r="J19">
        <v>0.75</v>
      </c>
      <c r="K19">
        <v>50202010</v>
      </c>
      <c r="L19">
        <v>462029966</v>
      </c>
      <c r="M19">
        <v>21.89</v>
      </c>
      <c r="N19">
        <v>10113835955.74</v>
      </c>
      <c r="O19">
        <v>0.75</v>
      </c>
      <c r="P19">
        <v>7373998257.3600006</v>
      </c>
      <c r="Q19">
        <v>0.99999999999999978</v>
      </c>
      <c r="R19">
        <v>6.6123070823451849E-3</v>
      </c>
      <c r="S19">
        <v>7373998257.3599987</v>
      </c>
      <c r="T19">
        <v>1.1176223222053741E-2</v>
      </c>
      <c r="U19" t="s">
        <v>94</v>
      </c>
      <c r="V19">
        <v>1.6902153942447991</v>
      </c>
      <c r="W19">
        <v>1.1176223222053749E-2</v>
      </c>
      <c r="X19">
        <v>462029966</v>
      </c>
    </row>
    <row r="20" spans="1:24" x14ac:dyDescent="0.25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91</v>
      </c>
      <c r="G20">
        <v>1</v>
      </c>
      <c r="H20">
        <v>8.0519999999999996</v>
      </c>
      <c r="I20">
        <v>8.298</v>
      </c>
      <c r="J20">
        <v>0.60000000000000009</v>
      </c>
      <c r="K20">
        <v>30101010</v>
      </c>
      <c r="L20">
        <v>1259689706</v>
      </c>
      <c r="M20">
        <v>8.298</v>
      </c>
      <c r="N20">
        <v>10452905180.388</v>
      </c>
      <c r="O20">
        <v>0.60000000000000009</v>
      </c>
      <c r="P20">
        <v>6085812907.6272011</v>
      </c>
      <c r="Q20">
        <v>0.75693533858523643</v>
      </c>
      <c r="R20">
        <v>5.4571837945264238E-3</v>
      </c>
      <c r="S20">
        <v>4606566853.801198</v>
      </c>
      <c r="T20">
        <v>6.9818323314641039E-3</v>
      </c>
      <c r="U20" t="s">
        <v>95</v>
      </c>
      <c r="V20">
        <v>1.2793837617246659</v>
      </c>
      <c r="W20">
        <v>6.9818323314641056E-3</v>
      </c>
      <c r="X20">
        <v>1259689706</v>
      </c>
    </row>
    <row r="21" spans="1:24" x14ac:dyDescent="0.25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92</v>
      </c>
      <c r="G21">
        <v>1</v>
      </c>
      <c r="H21">
        <v>18.305</v>
      </c>
      <c r="I21">
        <v>18.34</v>
      </c>
      <c r="J21">
        <v>0.65</v>
      </c>
      <c r="K21">
        <v>50206015</v>
      </c>
      <c r="L21">
        <v>271215400</v>
      </c>
      <c r="M21">
        <v>18.34</v>
      </c>
      <c r="N21">
        <v>4974090436</v>
      </c>
      <c r="O21">
        <v>0.65</v>
      </c>
      <c r="P21">
        <v>3226988633.0500002</v>
      </c>
      <c r="Q21">
        <v>0.99999999999999978</v>
      </c>
      <c r="R21">
        <v>2.8936594569528942E-3</v>
      </c>
      <c r="S21">
        <v>3226988633.0499992</v>
      </c>
      <c r="T21">
        <v>4.8909077598438258E-3</v>
      </c>
      <c r="U21" t="s">
        <v>94</v>
      </c>
      <c r="V21">
        <v>1.6902153942447991</v>
      </c>
      <c r="W21">
        <v>4.8909077598438266E-3</v>
      </c>
      <c r="X21">
        <v>271215400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</row>
    <row r="2" spans="1:5" x14ac:dyDescent="0.25">
      <c r="A2">
        <v>1</v>
      </c>
      <c r="B2">
        <v>0.26027174882911641</v>
      </c>
      <c r="C2">
        <v>0.44014317154040672</v>
      </c>
      <c r="D2">
        <v>3</v>
      </c>
      <c r="E2">
        <v>0</v>
      </c>
    </row>
    <row r="3" spans="1:5" x14ac:dyDescent="0.25">
      <c r="A3">
        <v>2</v>
      </c>
      <c r="B3">
        <v>0.1118531252216871</v>
      </c>
      <c r="C3">
        <v>0.50000000000000011</v>
      </c>
      <c r="D3">
        <v>2</v>
      </c>
      <c r="E3">
        <v>1</v>
      </c>
    </row>
    <row r="4" spans="1:5" x14ac:dyDescent="0.25">
      <c r="A4" t="s">
        <v>102</v>
      </c>
      <c r="B4">
        <v>0.1</v>
      </c>
      <c r="C4">
        <v>0.49215027454927651</v>
      </c>
      <c r="D4">
        <v>0</v>
      </c>
      <c r="E4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72"/>
  <sheetViews>
    <sheetView tabSelected="1" topLeftCell="B1" workbookViewId="0">
      <selection activeCell="D2" sqref="D2"/>
    </sheetView>
  </sheetViews>
  <sheetFormatPr defaultRowHeight="15" x14ac:dyDescent="0.25"/>
  <cols>
    <col min="1" max="1" width="17.7109375" bestFit="1" customWidth="1"/>
    <col min="2" max="2" width="27.42578125" bestFit="1" customWidth="1"/>
    <col min="3" max="3" width="14.140625" bestFit="1" customWidth="1"/>
    <col min="4" max="4" width="26.42578125" bestFit="1" customWidth="1"/>
    <col min="5" max="5" width="14.140625" bestFit="1" customWidth="1"/>
    <col min="6" max="6" width="14.85546875" bestFit="1" customWidth="1"/>
    <col min="7" max="7" width="20" bestFit="1" customWidth="1"/>
    <col min="8" max="8" width="13.7109375" bestFit="1" customWidth="1"/>
    <col min="9" max="9" width="11.42578125" bestFit="1" customWidth="1"/>
    <col min="11" max="11" width="11.42578125" bestFit="1" customWidth="1"/>
    <col min="13" max="13" width="11.42578125" bestFit="1" customWidth="1"/>
    <col min="15" max="15" width="9.85546875" bestFit="1" customWidth="1"/>
    <col min="16" max="16" width="10" customWidth="1"/>
  </cols>
  <sheetData>
    <row r="1" spans="1:16" x14ac:dyDescent="0.25">
      <c r="H1" t="s">
        <v>122</v>
      </c>
      <c r="M1" t="s">
        <v>122</v>
      </c>
    </row>
    <row r="2" spans="1:16" x14ac:dyDescent="0.25">
      <c r="D2" s="18"/>
      <c r="E2" s="19" t="s">
        <v>111</v>
      </c>
      <c r="F2" s="20" t="s">
        <v>112</v>
      </c>
      <c r="H2" s="18">
        <v>1010</v>
      </c>
      <c r="I2" s="20">
        <f>SUMIF($D$11:$D$30,H2,$J$11:$J$30)</f>
        <v>0.20748029318046168</v>
      </c>
      <c r="J2" s="11"/>
      <c r="M2" s="18">
        <v>1010</v>
      </c>
      <c r="N2" s="20">
        <f>SUMIF($D$11:$D$30,M2,$L$11:$L$30)</f>
        <v>0.22905137374288564</v>
      </c>
    </row>
    <row r="3" spans="1:16" x14ac:dyDescent="0.25">
      <c r="D3" s="10" t="s">
        <v>120</v>
      </c>
      <c r="E3" s="11">
        <f>(I2+I4+I5)-0.2</f>
        <v>0.24985466654837568</v>
      </c>
      <c r="F3" s="13"/>
      <c r="H3" s="10">
        <v>3010</v>
      </c>
      <c r="I3" s="13">
        <f>SUMIF($D$11:$D$30,H3,$J$11:$J$30)</f>
        <v>0.55014533345162409</v>
      </c>
      <c r="J3" s="11"/>
      <c r="M3" s="10">
        <v>3010</v>
      </c>
      <c r="N3" s="13">
        <f>SUMIF($D$11:$D$30,M3,$L$11:$L$30)</f>
        <v>0.49999999999999994</v>
      </c>
    </row>
    <row r="4" spans="1:16" x14ac:dyDescent="0.25">
      <c r="D4" s="10" t="s">
        <v>121</v>
      </c>
      <c r="E4" s="11">
        <f>SUM($J$16:$J$24)</f>
        <v>0.55014533345162409</v>
      </c>
      <c r="F4" s="13"/>
      <c r="H4" s="10">
        <v>5020</v>
      </c>
      <c r="I4" s="13">
        <f>SUMIF($D$11:$D$30,H4,$J$11:$J$30)</f>
        <v>0.16548318759395128</v>
      </c>
      <c r="J4" s="11"/>
      <c r="M4" s="10">
        <v>5020</v>
      </c>
      <c r="N4" s="13">
        <f>SUMIF($D$11:$D$30,M4,$L$11:$L$30)</f>
        <v>0.17862553279300791</v>
      </c>
    </row>
    <row r="5" spans="1:16" x14ac:dyDescent="0.25">
      <c r="D5" s="14" t="s">
        <v>123</v>
      </c>
      <c r="E5" s="15">
        <f>SUMIF($F$11:$F$30,"&lt;0.1",$F$11:$F$30)</f>
        <v>0.51027852624042536</v>
      </c>
      <c r="F5" s="17">
        <f>SUMIF($L$11:$L$30,"&lt;0.1",$L$11:$L$30)</f>
        <v>0.58470086252784992</v>
      </c>
      <c r="H5" s="14">
        <v>6010</v>
      </c>
      <c r="I5" s="17">
        <f>SUMIF($D$11:$D$30,H5,$J$11:$J$30)</f>
        <v>7.68911857739627E-2</v>
      </c>
      <c r="J5" s="11"/>
      <c r="M5" s="14">
        <v>6010</v>
      </c>
      <c r="N5" s="17">
        <f>SUMIF($D$11:$D$30,M5,$L$11:$L$30)</f>
        <v>9.2323093464106262E-2</v>
      </c>
    </row>
    <row r="7" spans="1:16" x14ac:dyDescent="0.25">
      <c r="I7" t="s">
        <v>108</v>
      </c>
      <c r="K7" t="s">
        <v>109</v>
      </c>
      <c r="M7" t="s">
        <v>110</v>
      </c>
    </row>
    <row r="8" spans="1:16" x14ac:dyDescent="0.25">
      <c r="I8" s="3" t="s">
        <v>115</v>
      </c>
      <c r="K8" s="3" t="s">
        <v>115</v>
      </c>
      <c r="M8" s="3" t="s">
        <v>115</v>
      </c>
    </row>
    <row r="9" spans="1:16" x14ac:dyDescent="0.25">
      <c r="I9" s="4">
        <f>(F11+F16+F25)-0.3</f>
        <v>0.1897214737595746</v>
      </c>
      <c r="K9" s="4">
        <f>I3-0.5</f>
        <v>5.0145333451624086E-2</v>
      </c>
      <c r="M9" s="4">
        <f>SUMIF($L$11:$L$30,"&gt;0.1",$L$11:$L$30)-0.2</f>
        <v>1.5299137472149782E-2</v>
      </c>
    </row>
    <row r="10" spans="1:16" x14ac:dyDescent="0.25">
      <c r="A10" s="9" t="s">
        <v>97</v>
      </c>
      <c r="B10" s="1" t="s">
        <v>0</v>
      </c>
      <c r="C10" s="1" t="s">
        <v>55</v>
      </c>
      <c r="D10" s="1" t="s">
        <v>69</v>
      </c>
      <c r="E10" s="1" t="s">
        <v>5</v>
      </c>
      <c r="F10" s="1" t="s">
        <v>68</v>
      </c>
      <c r="G10" s="1" t="s">
        <v>103</v>
      </c>
      <c r="H10" s="1" t="s">
        <v>104</v>
      </c>
      <c r="I10" s="5" t="s">
        <v>116</v>
      </c>
      <c r="J10" s="6" t="s">
        <v>117</v>
      </c>
      <c r="K10" s="7" t="s">
        <v>116</v>
      </c>
      <c r="L10" s="7" t="s">
        <v>117</v>
      </c>
      <c r="M10" s="7" t="s">
        <v>116</v>
      </c>
      <c r="N10" s="8" t="s">
        <v>117</v>
      </c>
      <c r="O10" s="8" t="s">
        <v>118</v>
      </c>
      <c r="P10" s="8" t="s">
        <v>119</v>
      </c>
    </row>
    <row r="11" spans="1:16" x14ac:dyDescent="0.25">
      <c r="A11">
        <v>1</v>
      </c>
      <c r="B11" s="10" t="s">
        <v>10</v>
      </c>
      <c r="C11" s="11" t="s">
        <v>30</v>
      </c>
      <c r="D11" s="12">
        <v>1010</v>
      </c>
      <c r="E11" s="11">
        <v>1</v>
      </c>
      <c r="F11" s="11">
        <v>0.26027174882911641</v>
      </c>
      <c r="G11" s="11" t="b">
        <v>1</v>
      </c>
      <c r="H11" s="11">
        <v>0.33862158540628051</v>
      </c>
      <c r="I11" s="11">
        <f>-(F11-0.1)</f>
        <v>-0.16027174882911641</v>
      </c>
      <c r="J11" s="11">
        <v>0.1</v>
      </c>
      <c r="K11" s="11">
        <v>0</v>
      </c>
      <c r="L11" s="11">
        <f>SUM(J11:K11)</f>
        <v>0.1</v>
      </c>
      <c r="M11" s="11">
        <v>0</v>
      </c>
      <c r="N11" s="11">
        <v>0.1</v>
      </c>
      <c r="O11" s="11">
        <f>N11/F11</f>
        <v>0.38421380902794733</v>
      </c>
      <c r="P11" s="13">
        <f>O11/MAX($O$11:$O$30)</f>
        <v>0.22731647714025055</v>
      </c>
    </row>
    <row r="12" spans="1:16" x14ac:dyDescent="0.25">
      <c r="A12">
        <v>1</v>
      </c>
      <c r="B12" s="10" t="s">
        <v>20</v>
      </c>
      <c r="C12" s="11" t="s">
        <v>40</v>
      </c>
      <c r="D12" s="12">
        <v>1010</v>
      </c>
      <c r="E12" s="11">
        <v>1</v>
      </c>
      <c r="F12" s="11">
        <v>3.8234032795041693E-2</v>
      </c>
      <c r="G12" s="11" t="b">
        <v>0</v>
      </c>
      <c r="H12" s="11">
        <v>0.33862158540628051</v>
      </c>
      <c r="I12" s="11">
        <f>F12/$E$5*$I$9</f>
        <v>1.4215407226894499E-2</v>
      </c>
      <c r="J12" s="11">
        <f>F12/$E$5*$I$9+F12</f>
        <v>5.2449440021936189E-2</v>
      </c>
      <c r="K12" s="11">
        <f>J12/$E$3*$K$9</f>
        <v>1.0526498046182064E-2</v>
      </c>
      <c r="L12" s="11">
        <f>SUM(J12:K12)</f>
        <v>6.2975938068118256E-2</v>
      </c>
      <c r="M12" s="11">
        <f>L12/$F$5*$M$9</f>
        <v>1.6478127461216812E-3</v>
      </c>
      <c r="N12" s="11">
        <f>L12/$F$5*$M$9+L12</f>
        <v>6.4623750814239933E-2</v>
      </c>
      <c r="O12" s="11">
        <f>N12/F12</f>
        <v>1.6902153942447979</v>
      </c>
      <c r="P12" s="13">
        <f>O12/MAX($O$11:$O$30)</f>
        <v>0.99999999999999956</v>
      </c>
    </row>
    <row r="13" spans="1:16" x14ac:dyDescent="0.25">
      <c r="A13">
        <v>1</v>
      </c>
      <c r="B13" s="10" t="s">
        <v>9</v>
      </c>
      <c r="C13" s="11" t="s">
        <v>29</v>
      </c>
      <c r="D13" s="12">
        <v>1010</v>
      </c>
      <c r="E13" s="11">
        <v>1</v>
      </c>
      <c r="F13" s="11">
        <v>1.9317300018250869E-2</v>
      </c>
      <c r="G13" s="11" t="b">
        <v>0</v>
      </c>
      <c r="H13" s="11">
        <v>0.33862158540628051</v>
      </c>
      <c r="I13" s="11">
        <f>F13/$E$5*$I$9</f>
        <v>7.1821690313333643E-3</v>
      </c>
      <c r="J13" s="11">
        <f>F13/$E$5*$I$9+F13</f>
        <v>2.6499469049584234E-2</v>
      </c>
      <c r="K13" s="11">
        <f>J13/$E$3*$K$9</f>
        <v>5.3183906073858041E-3</v>
      </c>
      <c r="L13" s="11">
        <f t="shared" ref="L13:L30" si="0">SUM(J13:K13)</f>
        <v>3.1817859656970038E-2</v>
      </c>
      <c r="M13" s="11">
        <f>L13/$F$5*$M$9</f>
        <v>8.3253820912290342E-4</v>
      </c>
      <c r="N13" s="11">
        <f>L13/$F$5*$M$9+L13</f>
        <v>3.2650397866092938E-2</v>
      </c>
      <c r="O13" s="11">
        <f>N13/F13</f>
        <v>1.6902153942447982</v>
      </c>
      <c r="P13" s="13">
        <f>O13/MAX($O$11:$O$30)</f>
        <v>0.99999999999999978</v>
      </c>
    </row>
    <row r="14" spans="1:16" x14ac:dyDescent="0.25">
      <c r="A14">
        <v>1</v>
      </c>
      <c r="B14" s="10" t="s">
        <v>26</v>
      </c>
      <c r="C14" s="11" t="s">
        <v>46</v>
      </c>
      <c r="D14" s="12">
        <v>1010</v>
      </c>
      <c r="E14" s="11">
        <v>1</v>
      </c>
      <c r="F14" s="11">
        <v>1.322478460923953E-2</v>
      </c>
      <c r="G14" s="11" t="b">
        <v>0</v>
      </c>
      <c r="H14" s="11">
        <v>0.33862158540628051</v>
      </c>
      <c r="I14" s="11">
        <f>F14/$E$5*$I$9</f>
        <v>4.916972784850638E-3</v>
      </c>
      <c r="J14" s="11">
        <f>F14/$E$5*$I$9+F14</f>
        <v>1.8141757394090168E-2</v>
      </c>
      <c r="K14" s="11">
        <f>J14/$E$3*$K$9</f>
        <v>3.6410145405428389E-3</v>
      </c>
      <c r="L14" s="11">
        <f t="shared" si="0"/>
        <v>2.1782771934633006E-2</v>
      </c>
      <c r="M14" s="11">
        <f>L14/$F$5*$M$9</f>
        <v>5.6996259747532521E-4</v>
      </c>
      <c r="N14" s="11">
        <f>L14/$F$5*$M$9+L14</f>
        <v>2.2352734532108332E-2</v>
      </c>
      <c r="O14" s="11">
        <f>N14/F14</f>
        <v>1.6902153942447982</v>
      </c>
      <c r="P14" s="13">
        <f>O14/MAX($O$11:$O$30)</f>
        <v>0.99999999999999978</v>
      </c>
    </row>
    <row r="15" spans="1:16" x14ac:dyDescent="0.25">
      <c r="A15">
        <v>1</v>
      </c>
      <c r="B15" s="10" t="s">
        <v>15</v>
      </c>
      <c r="C15" s="11" t="s">
        <v>35</v>
      </c>
      <c r="D15" s="12">
        <v>1010</v>
      </c>
      <c r="E15" s="11">
        <v>1</v>
      </c>
      <c r="F15" s="11">
        <v>7.5737191546319717E-3</v>
      </c>
      <c r="G15" s="11" t="b">
        <v>0</v>
      </c>
      <c r="H15" s="11">
        <v>0.33862158540628051</v>
      </c>
      <c r="I15" s="11">
        <f>F15/$E$5*$I$9</f>
        <v>2.8159075602191448E-3</v>
      </c>
      <c r="J15" s="11">
        <f>F15/$E$5*$I$9+F15</f>
        <v>1.0389626714851117E-2</v>
      </c>
      <c r="K15" s="11">
        <f>J15/$E$3*$K$9</f>
        <v>2.0851773683131874E-3</v>
      </c>
      <c r="L15" s="11">
        <f t="shared" si="0"/>
        <v>1.2474804083164304E-2</v>
      </c>
      <c r="M15" s="11">
        <f>L15/$F$5*$M$9</f>
        <v>3.2641262368135389E-4</v>
      </c>
      <c r="N15" s="11">
        <f>L15/$F$5*$M$9+L15</f>
        <v>1.2801216706845659E-2</v>
      </c>
      <c r="O15" s="11">
        <f>N15/F15</f>
        <v>1.6902153942447984</v>
      </c>
      <c r="P15" s="13">
        <f>O15/MAX($O$11:$O$30)</f>
        <v>0.99999999999999989</v>
      </c>
    </row>
    <row r="16" spans="1:16" x14ac:dyDescent="0.25">
      <c r="A16">
        <v>1</v>
      </c>
      <c r="B16" s="10" t="s">
        <v>13</v>
      </c>
      <c r="C16" s="11" t="s">
        <v>33</v>
      </c>
      <c r="D16" s="12">
        <v>3010</v>
      </c>
      <c r="E16" s="11">
        <v>1</v>
      </c>
      <c r="F16" s="11">
        <v>0.1120010324722643</v>
      </c>
      <c r="G16" s="11" t="b">
        <v>1</v>
      </c>
      <c r="H16" s="11">
        <v>0.44014317154040672</v>
      </c>
      <c r="I16" s="11">
        <f>-(F16-0.1)</f>
        <v>-1.2001032472264292E-2</v>
      </c>
      <c r="J16" s="11">
        <v>0.1</v>
      </c>
      <c r="K16" s="11">
        <f>-J16/$E$4*$K$9</f>
        <v>-9.1149248030536131E-3</v>
      </c>
      <c r="L16" s="11">
        <f t="shared" si="0"/>
        <v>9.0885075196946385E-2</v>
      </c>
      <c r="M16" s="11">
        <f>L16/$F$5*$M$9</f>
        <v>2.3780762928813431E-3</v>
      </c>
      <c r="N16" s="11">
        <f>L16/$F$5*$M$9+L16</f>
        <v>9.3263151489827723E-2</v>
      </c>
      <c r="O16" s="11">
        <f>N16/F16</f>
        <v>0.83269903349259944</v>
      </c>
      <c r="P16" s="13">
        <f>O16/MAX($O$11:$O$30)</f>
        <v>0.49265853117179531</v>
      </c>
    </row>
    <row r="17" spans="1:16" x14ac:dyDescent="0.25">
      <c r="A17">
        <v>1</v>
      </c>
      <c r="B17" s="10" t="s">
        <v>27</v>
      </c>
      <c r="C17" s="11" t="s">
        <v>47</v>
      </c>
      <c r="D17" s="12">
        <v>3010</v>
      </c>
      <c r="E17" s="11">
        <v>1</v>
      </c>
      <c r="F17" s="11">
        <v>8.9714946941547566E-2</v>
      </c>
      <c r="G17" s="11" t="b">
        <v>0</v>
      </c>
      <c r="H17" s="11">
        <v>0.44014317154040672</v>
      </c>
      <c r="I17" s="11">
        <f>F17/$E$5*$I$9</f>
        <v>3.335600280383505E-2</v>
      </c>
      <c r="J17" s="11">
        <f>F17/$E$5*$I$9+F17</f>
        <v>0.12307094974538262</v>
      </c>
      <c r="K17" s="11">
        <f>-J17/$E$4*$K$9</f>
        <v>-1.1217824523695526E-2</v>
      </c>
      <c r="L17" s="11">
        <f t="shared" si="0"/>
        <v>0.11185312522168708</v>
      </c>
      <c r="M17" s="11">
        <f>-(L17-N17)</f>
        <v>-1.1853125221687077E-2</v>
      </c>
      <c r="N17" s="11">
        <v>0.1</v>
      </c>
      <c r="O17" s="11">
        <f>N17/F17</f>
        <v>1.1146414662113495</v>
      </c>
      <c r="P17" s="13">
        <f>O17/MAX($O$11:$O$30)</f>
        <v>0.65946711289384508</v>
      </c>
    </row>
    <row r="18" spans="1:16" x14ac:dyDescent="0.25">
      <c r="A18">
        <v>1</v>
      </c>
      <c r="B18" s="10" t="s">
        <v>14</v>
      </c>
      <c r="C18" s="11" t="s">
        <v>34</v>
      </c>
      <c r="D18" s="12">
        <v>3010</v>
      </c>
      <c r="E18" s="11">
        <v>1</v>
      </c>
      <c r="F18" s="11">
        <v>8.2971785383476479E-2</v>
      </c>
      <c r="G18" s="11" t="b">
        <v>0</v>
      </c>
      <c r="H18" s="11">
        <v>0.44014317154040672</v>
      </c>
      <c r="I18" s="11">
        <f>F18/$E$5*$I$9</f>
        <v>3.0848896424066709E-2</v>
      </c>
      <c r="J18" s="11">
        <f>F18/$E$5*$I$9+F18</f>
        <v>0.11382068180754319</v>
      </c>
      <c r="K18" s="11">
        <f>-J18/$E$4*$K$9</f>
        <v>-1.0374669557080485E-2</v>
      </c>
      <c r="L18" s="11">
        <f t="shared" si="0"/>
        <v>0.10344601225046271</v>
      </c>
      <c r="M18" s="11">
        <f>-(L18-N18)</f>
        <v>-3.4460122504627044E-3</v>
      </c>
      <c r="N18" s="11">
        <v>0.1</v>
      </c>
      <c r="O18" s="11">
        <f>N18/F18</f>
        <v>1.2052289767879893</v>
      </c>
      <c r="P18" s="13">
        <f>O18/MAX($O$11:$O$30)</f>
        <v>0.71306235932521189</v>
      </c>
    </row>
    <row r="19" spans="1:16" x14ac:dyDescent="0.25">
      <c r="A19">
        <v>1</v>
      </c>
      <c r="B19" s="10" t="s">
        <v>19</v>
      </c>
      <c r="C19" s="11" t="s">
        <v>39</v>
      </c>
      <c r="D19" s="12">
        <v>3010</v>
      </c>
      <c r="E19" s="11">
        <v>1</v>
      </c>
      <c r="F19" s="11">
        <v>5.3694342985613687E-2</v>
      </c>
      <c r="G19" s="11" t="b">
        <v>0</v>
      </c>
      <c r="H19" s="11">
        <v>0.44014317154040672</v>
      </c>
      <c r="I19" s="11">
        <f>F19/$E$5*$I$9</f>
        <v>1.9963548062343822E-2</v>
      </c>
      <c r="J19" s="11">
        <f>F19/$E$5*$I$9+F19</f>
        <v>7.3657891047957502E-2</v>
      </c>
      <c r="K19" s="11">
        <f>-J19/$E$4*$K$9</f>
        <v>-6.7138613805364849E-3</v>
      </c>
      <c r="L19" s="11">
        <f t="shared" si="0"/>
        <v>6.6944029667421023E-2</v>
      </c>
      <c r="M19" s="11">
        <f>L19/$F$5*$M$9</f>
        <v>1.7516408448478467E-3</v>
      </c>
      <c r="N19" s="11">
        <f>L19/$F$5*$M$9+L19</f>
        <v>6.8695670512268867E-2</v>
      </c>
      <c r="O19" s="11">
        <f>N19/F19</f>
        <v>1.2793837617246659</v>
      </c>
      <c r="P19" s="13">
        <f>O19/MAX($O$11:$O$30)</f>
        <v>0.75693533858523665</v>
      </c>
    </row>
    <row r="20" spans="1:16" x14ac:dyDescent="0.25">
      <c r="A20">
        <v>1</v>
      </c>
      <c r="B20" s="10" t="s">
        <v>25</v>
      </c>
      <c r="C20" s="11" t="s">
        <v>45</v>
      </c>
      <c r="D20" s="12">
        <v>3010</v>
      </c>
      <c r="E20" s="11">
        <v>1</v>
      </c>
      <c r="F20" s="11">
        <v>3.5852945918745771E-2</v>
      </c>
      <c r="G20" s="11" t="b">
        <v>0</v>
      </c>
      <c r="H20" s="11">
        <v>0.44014317154040672</v>
      </c>
      <c r="I20" s="11">
        <f>F20/$E$5*$I$9</f>
        <v>1.333011951030421E-2</v>
      </c>
      <c r="J20" s="11">
        <f>F20/$E$5*$I$9+F20</f>
        <v>4.9183065429049981E-2</v>
      </c>
      <c r="K20" s="11">
        <f>-J20/$E$4*$K$9</f>
        <v>-4.4829994296945626E-3</v>
      </c>
      <c r="L20" s="11">
        <f t="shared" si="0"/>
        <v>4.4700065999355415E-2</v>
      </c>
      <c r="M20" s="11">
        <f>L20/$F$5*$M$9</f>
        <v>1.169610819080557E-3</v>
      </c>
      <c r="N20" s="11">
        <f>L20/$F$5*$M$9+L20</f>
        <v>4.586967681843597E-2</v>
      </c>
      <c r="O20" s="11">
        <f>N20/F20</f>
        <v>1.2793837617246657</v>
      </c>
      <c r="P20" s="13">
        <f>O20/MAX($O$11:$O$30)</f>
        <v>0.75693533858523654</v>
      </c>
    </row>
    <row r="21" spans="1:16" x14ac:dyDescent="0.25">
      <c r="A21">
        <v>1</v>
      </c>
      <c r="B21" s="10" t="s">
        <v>16</v>
      </c>
      <c r="C21" s="11" t="s">
        <v>36</v>
      </c>
      <c r="D21" s="12">
        <v>3010</v>
      </c>
      <c r="E21" s="11">
        <v>1</v>
      </c>
      <c r="F21" s="11">
        <v>2.7314417284422469E-2</v>
      </c>
      <c r="G21" s="11" t="b">
        <v>0</v>
      </c>
      <c r="H21" s="11">
        <v>0.44014317154040672</v>
      </c>
      <c r="I21" s="11">
        <f>F21/$E$5*$I$9</f>
        <v>1.0155495941138213E-2</v>
      </c>
      <c r="J21" s="11">
        <f>F21/$E$5*$I$9+F21</f>
        <v>3.7469913225560682E-2</v>
      </c>
      <c r="K21" s="11">
        <f>-J21/$E$4*$K$9</f>
        <v>-3.4153544142792969E-3</v>
      </c>
      <c r="L21" s="11">
        <f t="shared" si="0"/>
        <v>3.4054558811281388E-2</v>
      </c>
      <c r="M21" s="11">
        <f>L21/$F$5*$M$9</f>
        <v>8.9106312338026964E-4</v>
      </c>
      <c r="N21" s="11">
        <f>L21/$F$5*$M$9+L21</f>
        <v>3.4945621934661657E-2</v>
      </c>
      <c r="O21" s="11">
        <f>N21/F21</f>
        <v>1.2793837617246662</v>
      </c>
      <c r="P21" s="13">
        <f>O21/MAX($O$11:$O$30)</f>
        <v>0.75693533858523687</v>
      </c>
    </row>
    <row r="22" spans="1:16" x14ac:dyDescent="0.25">
      <c r="A22">
        <v>1</v>
      </c>
      <c r="B22" s="10" t="s">
        <v>12</v>
      </c>
      <c r="C22" s="11" t="s">
        <v>32</v>
      </c>
      <c r="D22" s="12">
        <v>3010</v>
      </c>
      <c r="E22" s="11">
        <v>1</v>
      </c>
      <c r="F22" s="11">
        <v>1.284964626593015E-2</v>
      </c>
      <c r="G22" s="11" t="b">
        <v>0</v>
      </c>
      <c r="H22" s="11">
        <v>0.44014317154040672</v>
      </c>
      <c r="I22" s="11">
        <f>F22/$E$5*$I$9</f>
        <v>4.7774964093097103E-3</v>
      </c>
      <c r="J22" s="11">
        <f>F22/$E$5*$I$9+F22</f>
        <v>1.7627142675239862E-2</v>
      </c>
      <c r="K22" s="11">
        <f>-J22/$E$4*$K$9</f>
        <v>-1.6067007997750864E-3</v>
      </c>
      <c r="L22" s="11">
        <f t="shared" si="0"/>
        <v>1.6020441875464777E-2</v>
      </c>
      <c r="M22" s="11">
        <f>L22/$F$5*$M$9</f>
        <v>4.1918690107224936E-4</v>
      </c>
      <c r="N22" s="11">
        <f>L22/$F$5*$M$9+L22</f>
        <v>1.6439628776537027E-2</v>
      </c>
      <c r="O22" s="11">
        <f>N22/F22</f>
        <v>1.2793837617246662</v>
      </c>
      <c r="P22" s="13">
        <f>O22/MAX($O$11:$O$30)</f>
        <v>0.75693533858523687</v>
      </c>
    </row>
    <row r="23" spans="1:16" x14ac:dyDescent="0.25">
      <c r="A23">
        <v>1</v>
      </c>
      <c r="B23" s="10" t="s">
        <v>17</v>
      </c>
      <c r="C23" s="11" t="s">
        <v>37</v>
      </c>
      <c r="D23" s="12">
        <v>3010</v>
      </c>
      <c r="E23" s="11">
        <v>1</v>
      </c>
      <c r="F23" s="11">
        <v>2.0286870493879769E-2</v>
      </c>
      <c r="G23" s="11" t="b">
        <v>0</v>
      </c>
      <c r="H23" s="11">
        <v>0.44014317154040672</v>
      </c>
      <c r="I23" s="11">
        <f>F23/$E$5*$I$9</f>
        <v>7.5426551778019621E-3</v>
      </c>
      <c r="J23" s="11">
        <f>F23/$E$5*$I$9+F23</f>
        <v>2.7829525671681732E-2</v>
      </c>
      <c r="K23" s="11">
        <f>-J23/$E$4*$K$9</f>
        <v>-2.5366403380202903E-3</v>
      </c>
      <c r="L23" s="11">
        <f t="shared" si="0"/>
        <v>2.529288533366144E-2</v>
      </c>
      <c r="M23" s="11">
        <f>L23/$F$5*$M$9</f>
        <v>6.6180735241959062E-4</v>
      </c>
      <c r="N23" s="11">
        <f>L23/$F$5*$M$9+L23</f>
        <v>2.595469268608103E-2</v>
      </c>
      <c r="O23" s="11">
        <f>N23/F23</f>
        <v>1.2793837617246659</v>
      </c>
      <c r="P23" s="13">
        <f>O23/MAX($O$11:$O$30)</f>
        <v>0.75693533858523665</v>
      </c>
    </row>
    <row r="24" spans="1:16" x14ac:dyDescent="0.25">
      <c r="A24">
        <v>1</v>
      </c>
      <c r="B24" s="10" t="s">
        <v>11</v>
      </c>
      <c r="C24" s="11" t="s">
        <v>31</v>
      </c>
      <c r="D24" s="12">
        <v>3010</v>
      </c>
      <c r="E24" s="11">
        <v>1</v>
      </c>
      <c r="F24" s="11">
        <v>5.4571837945264238E-3</v>
      </c>
      <c r="G24" s="11" t="b">
        <v>0</v>
      </c>
      <c r="H24" s="11">
        <v>0.44014317154040672</v>
      </c>
      <c r="I24" s="11">
        <f>F24/$E$5*$I$9</f>
        <v>2.0289800546821413E-3</v>
      </c>
      <c r="J24" s="11">
        <f>F24/$E$5*$I$9+F24</f>
        <v>7.4861638492085651E-3</v>
      </c>
      <c r="K24" s="11">
        <f>-J24/$E$4*$K$9</f>
        <v>-6.8235820548874461E-4</v>
      </c>
      <c r="L24" s="11">
        <f t="shared" si="0"/>
        <v>6.8038056437198201E-3</v>
      </c>
      <c r="M24" s="11">
        <f>L24/$F$5*$M$9</f>
        <v>1.7802668774428231E-4</v>
      </c>
      <c r="N24" s="11">
        <f>L24/$F$5*$M$9+L24</f>
        <v>6.9818323314641021E-3</v>
      </c>
      <c r="O24" s="11">
        <f>N24/F24</f>
        <v>1.2793837617246659</v>
      </c>
      <c r="P24" s="13">
        <f>O24/MAX($O$11:$O$30)</f>
        <v>0.75693533858523665</v>
      </c>
    </row>
    <row r="25" spans="1:16" x14ac:dyDescent="0.25">
      <c r="A25">
        <v>1</v>
      </c>
      <c r="B25" s="10" t="s">
        <v>23</v>
      </c>
      <c r="C25" s="11" t="s">
        <v>43</v>
      </c>
      <c r="D25" s="12">
        <v>5020</v>
      </c>
      <c r="E25" s="11">
        <v>1</v>
      </c>
      <c r="F25" s="11">
        <v>0.11744869245819391</v>
      </c>
      <c r="G25" s="11" t="b">
        <v>1</v>
      </c>
      <c r="H25" s="11">
        <v>0.16518392739957499</v>
      </c>
      <c r="I25" s="11">
        <f>-(F25-0.1)</f>
        <v>-1.7448692458193901E-2</v>
      </c>
      <c r="J25" s="11">
        <v>0.1</v>
      </c>
      <c r="K25" s="11">
        <v>0</v>
      </c>
      <c r="L25" s="11">
        <f t="shared" si="0"/>
        <v>0.1</v>
      </c>
      <c r="M25" s="11">
        <v>0</v>
      </c>
      <c r="N25" s="11">
        <v>0.1</v>
      </c>
      <c r="O25" s="11">
        <f>N25/F25</f>
        <v>0.85143561760464215</v>
      </c>
      <c r="P25" s="13">
        <f>O25/MAX($O$11:$O$30)</f>
        <v>0.5037438544837477</v>
      </c>
    </row>
    <row r="26" spans="1:16" x14ac:dyDescent="0.25">
      <c r="A26">
        <v>1</v>
      </c>
      <c r="B26" s="10" t="s">
        <v>22</v>
      </c>
      <c r="C26" s="11" t="s">
        <v>42</v>
      </c>
      <c r="D26" s="12">
        <v>5020</v>
      </c>
      <c r="E26" s="11">
        <v>1</v>
      </c>
      <c r="F26" s="11">
        <v>2.1073551966721851E-2</v>
      </c>
      <c r="G26" s="11" t="b">
        <v>0</v>
      </c>
      <c r="H26" s="11">
        <v>0.16518392739957499</v>
      </c>
      <c r="I26" s="11">
        <f>F26/$E$5*$I$9</f>
        <v>7.8351432225303649E-3</v>
      </c>
      <c r="J26" s="11">
        <f>F26/$E$5*$I$9+F26</f>
        <v>2.8908695189252216E-2</v>
      </c>
      <c r="K26" s="11">
        <f>J26/$E$3*$K$9</f>
        <v>5.8019174904453573E-3</v>
      </c>
      <c r="L26" s="11">
        <f t="shared" si="0"/>
        <v>3.4710612679697571E-2</v>
      </c>
      <c r="M26" s="11">
        <f>L26/$F$5*$M$9</f>
        <v>9.0822926587344368E-4</v>
      </c>
      <c r="N26" s="11">
        <f>L26/$F$5*$M$9+L26</f>
        <v>3.5618841945571016E-2</v>
      </c>
      <c r="O26" s="11">
        <f>N26/F26</f>
        <v>1.6902153942447982</v>
      </c>
      <c r="P26" s="13">
        <f>O26/MAX($O$11:$O$30)</f>
        <v>0.99999999999999978</v>
      </c>
    </row>
    <row r="27" spans="1:16" x14ac:dyDescent="0.25">
      <c r="A27">
        <v>1</v>
      </c>
      <c r="B27" s="10" t="s">
        <v>18</v>
      </c>
      <c r="C27" s="11" t="s">
        <v>38</v>
      </c>
      <c r="D27" s="12">
        <v>5020</v>
      </c>
      <c r="E27" s="11">
        <v>1</v>
      </c>
      <c r="F27" s="11">
        <v>1.7155716435361162E-2</v>
      </c>
      <c r="G27" s="11" t="b">
        <v>0</v>
      </c>
      <c r="H27" s="11">
        <v>0.16518392739957499</v>
      </c>
      <c r="I27" s="11">
        <f>F27/$E$5*$I$9</f>
        <v>6.3784926038304894E-3</v>
      </c>
      <c r="J27" s="11">
        <f>F27/$E$5*$I$9+F27</f>
        <v>2.353420903919165E-2</v>
      </c>
      <c r="K27" s="11">
        <f>J27/$E$3*$K$9</f>
        <v>4.7232688350129321E-3</v>
      </c>
      <c r="L27" s="11">
        <f t="shared" si="0"/>
        <v>2.8257477874204583E-2</v>
      </c>
      <c r="M27" s="11">
        <f>L27/$F$5*$M$9</f>
        <v>7.3937814414134736E-4</v>
      </c>
      <c r="N27" s="11">
        <f>L27/$F$5*$M$9+L27</f>
        <v>2.899685601834593E-2</v>
      </c>
      <c r="O27" s="11">
        <f>N27/F27</f>
        <v>1.6902153942447982</v>
      </c>
      <c r="P27" s="13">
        <f>O27/MAX($O$11:$O$30)</f>
        <v>0.99999999999999978</v>
      </c>
    </row>
    <row r="28" spans="1:16" x14ac:dyDescent="0.25">
      <c r="A28">
        <v>1</v>
      </c>
      <c r="B28" s="10" t="s">
        <v>8</v>
      </c>
      <c r="C28" s="11" t="s">
        <v>28</v>
      </c>
      <c r="D28" s="12">
        <v>5020</v>
      </c>
      <c r="E28" s="11">
        <v>1</v>
      </c>
      <c r="F28" s="11">
        <v>6.6123070823451849E-3</v>
      </c>
      <c r="G28" s="11" t="b">
        <v>0</v>
      </c>
      <c r="H28" s="11">
        <v>0.16518392739957499</v>
      </c>
      <c r="I28" s="11">
        <f>F28/$E$5*$I$9</f>
        <v>2.4584547067973746E-3</v>
      </c>
      <c r="J28" s="11">
        <f>F28/$E$5*$I$9+F28</f>
        <v>9.0707617891425604E-3</v>
      </c>
      <c r="K28" s="11">
        <f>J28/$E$3*$K$9</f>
        <v>1.8204838070884574E-3</v>
      </c>
      <c r="L28" s="11">
        <f t="shared" si="0"/>
        <v>1.0891245596231018E-2</v>
      </c>
      <c r="M28" s="11">
        <f>L28/$F$5*$M$9</f>
        <v>2.8497762582272172E-4</v>
      </c>
      <c r="N28" s="11">
        <f>L28/$F$5*$M$9+L28</f>
        <v>1.1176223222053741E-2</v>
      </c>
      <c r="O28" s="11">
        <f>N28/F28</f>
        <v>1.6902153942447986</v>
      </c>
      <c r="P28" s="13">
        <f>O28/MAX($O$11:$O$30)</f>
        <v>1</v>
      </c>
    </row>
    <row r="29" spans="1:16" x14ac:dyDescent="0.25">
      <c r="A29">
        <v>1</v>
      </c>
      <c r="B29" s="10" t="s">
        <v>21</v>
      </c>
      <c r="C29" s="11" t="s">
        <v>41</v>
      </c>
      <c r="D29" s="12">
        <v>5020</v>
      </c>
      <c r="E29" s="11">
        <v>1</v>
      </c>
      <c r="F29" s="11">
        <v>2.8936594569528942E-3</v>
      </c>
      <c r="G29" s="11" t="b">
        <v>0</v>
      </c>
      <c r="H29" s="11">
        <v>0.16518392739957499</v>
      </c>
      <c r="I29" s="11">
        <f>F29/$E$5*$I$9</f>
        <v>1.0758621194119559E-3</v>
      </c>
      <c r="J29" s="11">
        <f>F29/$E$5*$I$9+F29</f>
        <v>3.9695215763648501E-3</v>
      </c>
      <c r="K29" s="11">
        <f>J29/$E$3*$K$9</f>
        <v>7.9667506650988316E-4</v>
      </c>
      <c r="L29" s="11">
        <f t="shared" si="0"/>
        <v>4.7661966428747329E-3</v>
      </c>
      <c r="M29" s="11">
        <f>L29/$F$5*$M$9</f>
        <v>1.2471111696909137E-4</v>
      </c>
      <c r="N29" s="11">
        <f>L29/$F$5*$M$9+L29</f>
        <v>4.890907759843824E-3</v>
      </c>
      <c r="O29" s="11">
        <f>N29/F29</f>
        <v>1.6902153942447979</v>
      </c>
      <c r="P29" s="13">
        <f>O29/MAX($O$11:$O$30)</f>
        <v>0.99999999999999956</v>
      </c>
    </row>
    <row r="30" spans="1:16" x14ac:dyDescent="0.25">
      <c r="A30">
        <v>1</v>
      </c>
      <c r="B30" s="14" t="s">
        <v>24</v>
      </c>
      <c r="C30" s="15" t="s">
        <v>44</v>
      </c>
      <c r="D30" s="16">
        <v>6010</v>
      </c>
      <c r="E30" s="15">
        <v>1</v>
      </c>
      <c r="F30" s="15">
        <v>5.605131565373779E-2</v>
      </c>
      <c r="G30" s="15" t="b">
        <v>0</v>
      </c>
      <c r="H30" s="15">
        <v>5.605131565373779E-2</v>
      </c>
      <c r="I30" s="15">
        <f>F30/$E$5*$I$9</f>
        <v>2.0839870120224917E-2</v>
      </c>
      <c r="J30" s="15">
        <f>F30/$E$5*$I$9+F30</f>
        <v>7.68911857739627E-2</v>
      </c>
      <c r="K30" s="15">
        <f>J30/$E$3*$K$9</f>
        <v>1.543190769014356E-2</v>
      </c>
      <c r="L30" s="15">
        <f t="shared" si="0"/>
        <v>9.2323093464106262E-2</v>
      </c>
      <c r="M30" s="15">
        <f>L30/$F$5*$M$9</f>
        <v>2.4157031215157779E-3</v>
      </c>
      <c r="N30" s="15">
        <f>L30/$F$5*$M$9+L30</f>
        <v>9.4738796585622037E-2</v>
      </c>
      <c r="O30" s="15">
        <f>N30/F30</f>
        <v>1.6902153942447979</v>
      </c>
      <c r="P30" s="17">
        <f>O30/MAX($O$11:$O$30)</f>
        <v>0.99999999999999956</v>
      </c>
    </row>
    <row r="31" spans="1:16" x14ac:dyDescent="0.25">
      <c r="F31" t="s">
        <v>114</v>
      </c>
      <c r="I31" t="s">
        <v>114</v>
      </c>
    </row>
    <row r="32" spans="1:16" x14ac:dyDescent="0.25">
      <c r="A32">
        <v>2</v>
      </c>
      <c r="B32" t="s">
        <v>10</v>
      </c>
      <c r="C32" t="s">
        <v>30</v>
      </c>
      <c r="D32" t="s">
        <v>93</v>
      </c>
      <c r="E32">
        <v>0.38421380902794727</v>
      </c>
      <c r="F32" s="2">
        <v>0.1</v>
      </c>
      <c r="G32" t="b">
        <v>0</v>
      </c>
      <c r="H32">
        <v>0.2290513737428857</v>
      </c>
      <c r="I32" s="2">
        <v>0.1</v>
      </c>
      <c r="J32" t="b">
        <f>I32=F32</f>
        <v>1</v>
      </c>
    </row>
    <row r="33" spans="1:10" x14ac:dyDescent="0.25">
      <c r="A33">
        <v>2</v>
      </c>
      <c r="B33" t="s">
        <v>20</v>
      </c>
      <c r="C33" t="s">
        <v>40</v>
      </c>
      <c r="D33" t="s">
        <v>93</v>
      </c>
      <c r="E33">
        <v>1.647117331454641</v>
      </c>
      <c r="F33" s="2">
        <v>6.2975938068118298E-2</v>
      </c>
      <c r="G33" t="b">
        <v>0</v>
      </c>
      <c r="H33">
        <v>0.2290513737428857</v>
      </c>
      <c r="I33" s="2">
        <v>6.2975938068118256E-2</v>
      </c>
      <c r="J33" t="b">
        <f t="shared" ref="J33:J51" si="1">I33=F33</f>
        <v>1</v>
      </c>
    </row>
    <row r="34" spans="1:10" x14ac:dyDescent="0.25">
      <c r="A34">
        <v>2</v>
      </c>
      <c r="B34" t="s">
        <v>9</v>
      </c>
      <c r="C34" t="s">
        <v>29</v>
      </c>
      <c r="D34" t="s">
        <v>93</v>
      </c>
      <c r="E34">
        <v>1.647117331454641</v>
      </c>
      <c r="F34" s="2">
        <v>3.1817859656970052E-2</v>
      </c>
      <c r="G34" t="b">
        <v>0</v>
      </c>
      <c r="H34">
        <v>0.2290513737428857</v>
      </c>
      <c r="I34" s="2">
        <v>3.1817859656970038E-2</v>
      </c>
      <c r="J34" t="b">
        <f t="shared" si="1"/>
        <v>0</v>
      </c>
    </row>
    <row r="35" spans="1:10" x14ac:dyDescent="0.25">
      <c r="A35">
        <v>2</v>
      </c>
      <c r="B35" t="s">
        <v>26</v>
      </c>
      <c r="C35" t="s">
        <v>46</v>
      </c>
      <c r="D35" t="s">
        <v>93</v>
      </c>
      <c r="E35">
        <v>1.647117331454641</v>
      </c>
      <c r="F35" s="2">
        <v>2.178277193463302E-2</v>
      </c>
      <c r="G35" t="b">
        <v>0</v>
      </c>
      <c r="H35">
        <v>0.2290513737428857</v>
      </c>
      <c r="I35" s="2">
        <v>2.1782771934633006E-2</v>
      </c>
      <c r="J35" t="b">
        <f t="shared" si="1"/>
        <v>1</v>
      </c>
    </row>
    <row r="36" spans="1:10" x14ac:dyDescent="0.25">
      <c r="A36">
        <v>2</v>
      </c>
      <c r="B36" t="s">
        <v>15</v>
      </c>
      <c r="C36" t="s">
        <v>35</v>
      </c>
      <c r="D36" t="s">
        <v>93</v>
      </c>
      <c r="E36">
        <v>1.647117331454641</v>
      </c>
      <c r="F36" s="2">
        <v>1.247480408316431E-2</v>
      </c>
      <c r="G36" t="b">
        <v>0</v>
      </c>
      <c r="H36">
        <v>0.2290513737428857</v>
      </c>
      <c r="I36" s="2">
        <v>1.2474804083164304E-2</v>
      </c>
      <c r="J36" t="b">
        <f t="shared" si="1"/>
        <v>1</v>
      </c>
    </row>
    <row r="37" spans="1:10" x14ac:dyDescent="0.25">
      <c r="A37">
        <v>2</v>
      </c>
      <c r="B37" t="s">
        <v>13</v>
      </c>
      <c r="C37" t="s">
        <v>33</v>
      </c>
      <c r="D37" t="s">
        <v>95</v>
      </c>
      <c r="E37">
        <v>0.81146640518204993</v>
      </c>
      <c r="F37" s="2">
        <v>9.0885075196946385E-2</v>
      </c>
      <c r="G37" t="b">
        <v>0</v>
      </c>
      <c r="H37">
        <v>0.50000000000000011</v>
      </c>
      <c r="I37" s="2">
        <v>9.0885075196946385E-2</v>
      </c>
      <c r="J37" t="b">
        <f t="shared" si="1"/>
        <v>1</v>
      </c>
    </row>
    <row r="38" spans="1:10" x14ac:dyDescent="0.25">
      <c r="A38">
        <v>2</v>
      </c>
      <c r="B38" t="s">
        <v>27</v>
      </c>
      <c r="C38" t="s">
        <v>47</v>
      </c>
      <c r="D38" t="s">
        <v>95</v>
      </c>
      <c r="E38">
        <v>1.24676131497423</v>
      </c>
      <c r="F38" s="2">
        <v>0.1118531252216871</v>
      </c>
      <c r="G38" t="b">
        <v>1</v>
      </c>
      <c r="H38">
        <v>0.50000000000000011</v>
      </c>
      <c r="I38" s="2">
        <v>0.11185312522168708</v>
      </c>
      <c r="J38" t="b">
        <f t="shared" si="1"/>
        <v>1</v>
      </c>
    </row>
    <row r="39" spans="1:10" x14ac:dyDescent="0.25">
      <c r="A39">
        <v>2</v>
      </c>
      <c r="B39" t="s">
        <v>14</v>
      </c>
      <c r="C39" t="s">
        <v>34</v>
      </c>
      <c r="D39" t="s">
        <v>95</v>
      </c>
      <c r="E39">
        <v>1.24676131497423</v>
      </c>
      <c r="F39" s="2">
        <v>0.1034460122504627</v>
      </c>
      <c r="G39" t="b">
        <v>1</v>
      </c>
      <c r="H39">
        <v>0.50000000000000011</v>
      </c>
      <c r="I39" s="2">
        <v>0.10344601225046271</v>
      </c>
      <c r="J39" t="b">
        <f t="shared" si="1"/>
        <v>1</v>
      </c>
    </row>
    <row r="40" spans="1:10" x14ac:dyDescent="0.25">
      <c r="A40">
        <v>2</v>
      </c>
      <c r="B40" t="s">
        <v>19</v>
      </c>
      <c r="C40" t="s">
        <v>39</v>
      </c>
      <c r="D40" t="s">
        <v>95</v>
      </c>
      <c r="E40">
        <v>1.24676131497423</v>
      </c>
      <c r="F40" s="2">
        <v>6.6944029667421037E-2</v>
      </c>
      <c r="G40" t="b">
        <v>0</v>
      </c>
      <c r="H40">
        <v>0.50000000000000011</v>
      </c>
      <c r="I40" s="2">
        <v>6.6944029667421023E-2</v>
      </c>
      <c r="J40" t="b">
        <f t="shared" si="1"/>
        <v>1</v>
      </c>
    </row>
    <row r="41" spans="1:10" x14ac:dyDescent="0.25">
      <c r="A41">
        <v>2</v>
      </c>
      <c r="B41" t="s">
        <v>25</v>
      </c>
      <c r="C41" t="s">
        <v>45</v>
      </c>
      <c r="D41" t="s">
        <v>95</v>
      </c>
      <c r="E41">
        <v>1.24676131497423</v>
      </c>
      <c r="F41" s="2">
        <v>4.4700065999355422E-2</v>
      </c>
      <c r="G41" t="b">
        <v>0</v>
      </c>
      <c r="H41">
        <v>0.50000000000000011</v>
      </c>
      <c r="I41" s="2">
        <v>4.4700065999355415E-2</v>
      </c>
      <c r="J41" t="b">
        <f t="shared" si="1"/>
        <v>1</v>
      </c>
    </row>
    <row r="42" spans="1:10" x14ac:dyDescent="0.25">
      <c r="A42">
        <v>2</v>
      </c>
      <c r="B42" t="s">
        <v>16</v>
      </c>
      <c r="C42" t="s">
        <v>36</v>
      </c>
      <c r="D42" t="s">
        <v>95</v>
      </c>
      <c r="E42">
        <v>1.24676131497423</v>
      </c>
      <c r="F42" s="2">
        <v>3.4054558811281388E-2</v>
      </c>
      <c r="G42" t="b">
        <v>0</v>
      </c>
      <c r="H42">
        <v>0.50000000000000011</v>
      </c>
      <c r="I42" s="2">
        <v>3.4054558811281388E-2</v>
      </c>
      <c r="J42" t="b">
        <f t="shared" si="1"/>
        <v>1</v>
      </c>
    </row>
    <row r="43" spans="1:10" x14ac:dyDescent="0.25">
      <c r="A43">
        <v>2</v>
      </c>
      <c r="B43" t="s">
        <v>12</v>
      </c>
      <c r="C43" t="s">
        <v>32</v>
      </c>
      <c r="D43" t="s">
        <v>95</v>
      </c>
      <c r="E43">
        <v>1.24676131497423</v>
      </c>
      <c r="F43" s="2">
        <v>1.602044187546477E-2</v>
      </c>
      <c r="G43" t="b">
        <v>0</v>
      </c>
      <c r="H43">
        <v>0.50000000000000011</v>
      </c>
      <c r="I43" s="2">
        <v>1.6020441875464777E-2</v>
      </c>
      <c r="J43" t="b">
        <f t="shared" si="1"/>
        <v>1</v>
      </c>
    </row>
    <row r="44" spans="1:10" x14ac:dyDescent="0.25">
      <c r="A44">
        <v>2</v>
      </c>
      <c r="B44" t="s">
        <v>17</v>
      </c>
      <c r="C44" t="s">
        <v>37</v>
      </c>
      <c r="D44" t="s">
        <v>95</v>
      </c>
      <c r="E44">
        <v>1.24676131497423</v>
      </c>
      <c r="F44" s="2">
        <v>2.529288533366145E-2</v>
      </c>
      <c r="G44" t="b">
        <v>0</v>
      </c>
      <c r="H44">
        <v>0.50000000000000011</v>
      </c>
      <c r="I44" s="2">
        <v>2.529288533366144E-2</v>
      </c>
      <c r="J44" t="b">
        <f t="shared" si="1"/>
        <v>0</v>
      </c>
    </row>
    <row r="45" spans="1:10" x14ac:dyDescent="0.25">
      <c r="A45">
        <v>2</v>
      </c>
      <c r="B45" t="s">
        <v>11</v>
      </c>
      <c r="C45" t="s">
        <v>31</v>
      </c>
      <c r="D45" t="s">
        <v>95</v>
      </c>
      <c r="E45">
        <v>1.24676131497423</v>
      </c>
      <c r="F45" s="2">
        <v>6.8038056437198218E-3</v>
      </c>
      <c r="G45" t="b">
        <v>0</v>
      </c>
      <c r="H45">
        <v>0.50000000000000011</v>
      </c>
      <c r="I45" s="2">
        <v>6.8038056437198201E-3</v>
      </c>
      <c r="J45" t="b">
        <f t="shared" si="1"/>
        <v>1</v>
      </c>
    </row>
    <row r="46" spans="1:10" x14ac:dyDescent="0.25">
      <c r="A46">
        <v>2</v>
      </c>
      <c r="B46" t="s">
        <v>23</v>
      </c>
      <c r="C46" t="s">
        <v>43</v>
      </c>
      <c r="D46" t="s">
        <v>94</v>
      </c>
      <c r="E46">
        <v>0.85143561760464181</v>
      </c>
      <c r="F46" s="2">
        <v>0.1</v>
      </c>
      <c r="G46" t="b">
        <v>0</v>
      </c>
      <c r="H46">
        <v>0.178625532793008</v>
      </c>
      <c r="I46" s="2">
        <v>0.1</v>
      </c>
      <c r="J46" t="b">
        <f t="shared" si="1"/>
        <v>1</v>
      </c>
    </row>
    <row r="47" spans="1:10" x14ac:dyDescent="0.25">
      <c r="A47">
        <v>2</v>
      </c>
      <c r="B47" t="s">
        <v>22</v>
      </c>
      <c r="C47" t="s">
        <v>42</v>
      </c>
      <c r="D47" t="s">
        <v>94</v>
      </c>
      <c r="E47">
        <v>1.647117331454641</v>
      </c>
      <c r="F47" s="2">
        <v>3.4710612679697599E-2</v>
      </c>
      <c r="G47" t="b">
        <v>0</v>
      </c>
      <c r="H47">
        <v>0.178625532793008</v>
      </c>
      <c r="I47" s="2">
        <v>3.4710612679697571E-2</v>
      </c>
      <c r="J47" t="b">
        <f t="shared" si="1"/>
        <v>1</v>
      </c>
    </row>
    <row r="48" spans="1:10" x14ac:dyDescent="0.25">
      <c r="A48">
        <v>2</v>
      </c>
      <c r="B48" t="s">
        <v>18</v>
      </c>
      <c r="C48" t="s">
        <v>38</v>
      </c>
      <c r="D48" t="s">
        <v>94</v>
      </c>
      <c r="E48">
        <v>1.647117331454641</v>
      </c>
      <c r="F48" s="2">
        <v>2.8257477874204601E-2</v>
      </c>
      <c r="G48" t="b">
        <v>0</v>
      </c>
      <c r="H48">
        <v>0.178625532793008</v>
      </c>
      <c r="I48" s="2">
        <v>2.8257477874204583E-2</v>
      </c>
      <c r="J48" t="b">
        <f t="shared" si="1"/>
        <v>1</v>
      </c>
    </row>
    <row r="49" spans="1:10" x14ac:dyDescent="0.25">
      <c r="A49">
        <v>2</v>
      </c>
      <c r="B49" t="s">
        <v>8</v>
      </c>
      <c r="C49" t="s">
        <v>28</v>
      </c>
      <c r="D49" t="s">
        <v>94</v>
      </c>
      <c r="E49">
        <v>1.647117331454641</v>
      </c>
      <c r="F49" s="2">
        <v>1.089124559623102E-2</v>
      </c>
      <c r="G49" t="b">
        <v>0</v>
      </c>
      <c r="H49">
        <v>0.178625532793008</v>
      </c>
      <c r="I49" s="2">
        <v>1.0891245596231018E-2</v>
      </c>
      <c r="J49" t="b">
        <f t="shared" si="1"/>
        <v>1</v>
      </c>
    </row>
    <row r="50" spans="1:10" x14ac:dyDescent="0.25">
      <c r="A50">
        <v>2</v>
      </c>
      <c r="B50" t="s">
        <v>21</v>
      </c>
      <c r="C50" t="s">
        <v>41</v>
      </c>
      <c r="D50" t="s">
        <v>94</v>
      </c>
      <c r="E50">
        <v>1.647117331454641</v>
      </c>
      <c r="F50" s="2">
        <v>4.7661966428747347E-3</v>
      </c>
      <c r="G50" t="b">
        <v>0</v>
      </c>
      <c r="H50">
        <v>0.178625532793008</v>
      </c>
      <c r="I50" s="2">
        <v>4.7661966428747329E-3</v>
      </c>
      <c r="J50" t="b">
        <f t="shared" si="1"/>
        <v>1</v>
      </c>
    </row>
    <row r="51" spans="1:10" x14ac:dyDescent="0.25">
      <c r="A51">
        <v>2</v>
      </c>
      <c r="B51" t="s">
        <v>24</v>
      </c>
      <c r="C51" t="s">
        <v>44</v>
      </c>
      <c r="D51" t="s">
        <v>96</v>
      </c>
      <c r="E51">
        <v>1.647117331454641</v>
      </c>
      <c r="F51" s="2">
        <v>9.2323093464106346E-2</v>
      </c>
      <c r="G51" t="b">
        <v>0</v>
      </c>
      <c r="H51">
        <v>9.2323093464106346E-2</v>
      </c>
      <c r="I51" s="2">
        <v>9.2323093464106262E-2</v>
      </c>
      <c r="J51" t="b">
        <f t="shared" si="1"/>
        <v>1</v>
      </c>
    </row>
    <row r="52" spans="1:10" x14ac:dyDescent="0.25">
      <c r="I52" t="s">
        <v>113</v>
      </c>
    </row>
    <row r="53" spans="1:10" x14ac:dyDescent="0.25">
      <c r="A53" t="s">
        <v>102</v>
      </c>
      <c r="B53" t="s">
        <v>10</v>
      </c>
      <c r="C53" t="s">
        <v>30</v>
      </c>
      <c r="D53" t="s">
        <v>93</v>
      </c>
      <c r="E53">
        <v>0.22731647714025041</v>
      </c>
      <c r="F53" s="2">
        <v>0.1</v>
      </c>
      <c r="G53" t="b">
        <v>0</v>
      </c>
      <c r="H53">
        <v>0.23242809991928701</v>
      </c>
      <c r="I53" s="2">
        <v>0.1</v>
      </c>
      <c r="J53" t="b">
        <f>I53=F53</f>
        <v>1</v>
      </c>
    </row>
    <row r="54" spans="1:10" x14ac:dyDescent="0.25">
      <c r="A54" t="s">
        <v>102</v>
      </c>
      <c r="B54" t="s">
        <v>20</v>
      </c>
      <c r="C54" t="s">
        <v>40</v>
      </c>
      <c r="D54" t="s">
        <v>93</v>
      </c>
      <c r="E54">
        <v>1</v>
      </c>
      <c r="F54" s="2">
        <v>6.4623750814240002E-2</v>
      </c>
      <c r="G54" t="b">
        <v>0</v>
      </c>
      <c r="H54">
        <v>0.23242809991928701</v>
      </c>
      <c r="I54" s="2">
        <v>6.4623750814239933E-2</v>
      </c>
      <c r="J54" t="b">
        <f t="shared" ref="J54:J72" si="2">I54=F54</f>
        <v>0</v>
      </c>
    </row>
    <row r="55" spans="1:10" x14ac:dyDescent="0.25">
      <c r="A55" t="s">
        <v>102</v>
      </c>
      <c r="B55" t="s">
        <v>9</v>
      </c>
      <c r="C55" t="s">
        <v>29</v>
      </c>
      <c r="D55" t="s">
        <v>93</v>
      </c>
      <c r="E55">
        <v>1</v>
      </c>
      <c r="F55" s="2">
        <v>3.2650397866092973E-2</v>
      </c>
      <c r="G55" t="b">
        <v>0</v>
      </c>
      <c r="H55">
        <v>0.23242809991928701</v>
      </c>
      <c r="I55" s="2">
        <v>3.2650397866092938E-2</v>
      </c>
      <c r="J55" t="b">
        <f t="shared" si="2"/>
        <v>0</v>
      </c>
    </row>
    <row r="56" spans="1:10" x14ac:dyDescent="0.25">
      <c r="A56" t="s">
        <v>102</v>
      </c>
      <c r="B56" t="s">
        <v>26</v>
      </c>
      <c r="C56" t="s">
        <v>46</v>
      </c>
      <c r="D56" t="s">
        <v>93</v>
      </c>
      <c r="E56">
        <v>0.99999999999999978</v>
      </c>
      <c r="F56" s="2">
        <v>2.235273453210835E-2</v>
      </c>
      <c r="G56" t="b">
        <v>0</v>
      </c>
      <c r="H56">
        <v>0.23242809991928701</v>
      </c>
      <c r="I56" s="2">
        <v>2.2352734532108332E-2</v>
      </c>
      <c r="J56" t="b">
        <f t="shared" si="2"/>
        <v>1</v>
      </c>
    </row>
    <row r="57" spans="1:10" x14ac:dyDescent="0.25">
      <c r="A57" t="s">
        <v>102</v>
      </c>
      <c r="B57" t="s">
        <v>15</v>
      </c>
      <c r="C57" t="s">
        <v>35</v>
      </c>
      <c r="D57" t="s">
        <v>93</v>
      </c>
      <c r="E57">
        <v>0.99999999999999978</v>
      </c>
      <c r="F57" s="2">
        <v>1.2801216706845669E-2</v>
      </c>
      <c r="G57" t="b">
        <v>0</v>
      </c>
      <c r="H57">
        <v>0.23242809991928701</v>
      </c>
      <c r="I57" s="2">
        <v>1.2801216706845659E-2</v>
      </c>
      <c r="J57" t="b">
        <f t="shared" si="2"/>
        <v>1</v>
      </c>
    </row>
    <row r="58" spans="1:10" x14ac:dyDescent="0.25">
      <c r="A58" t="s">
        <v>102</v>
      </c>
      <c r="B58" t="s">
        <v>13</v>
      </c>
      <c r="C58" t="s">
        <v>33</v>
      </c>
      <c r="D58" t="s">
        <v>95</v>
      </c>
      <c r="E58">
        <v>0.49265853117179492</v>
      </c>
      <c r="F58" s="2">
        <v>9.3263151489827723E-2</v>
      </c>
      <c r="G58" t="b">
        <v>0</v>
      </c>
      <c r="H58">
        <v>0.49215027454927651</v>
      </c>
      <c r="I58" s="2">
        <v>9.3263151489827723E-2</v>
      </c>
      <c r="J58" t="b">
        <f t="shared" si="2"/>
        <v>1</v>
      </c>
    </row>
    <row r="59" spans="1:10" x14ac:dyDescent="0.25">
      <c r="A59" t="s">
        <v>102</v>
      </c>
      <c r="B59" t="s">
        <v>27</v>
      </c>
      <c r="C59" t="s">
        <v>47</v>
      </c>
      <c r="D59" t="s">
        <v>95</v>
      </c>
      <c r="E59">
        <v>0.65946711289384463</v>
      </c>
      <c r="F59" s="2">
        <v>0.1</v>
      </c>
      <c r="G59" t="b">
        <v>0</v>
      </c>
      <c r="H59">
        <v>0.49215027454927651</v>
      </c>
      <c r="I59" s="2">
        <v>0.1</v>
      </c>
      <c r="J59" t="b">
        <f t="shared" si="2"/>
        <v>1</v>
      </c>
    </row>
    <row r="60" spans="1:10" x14ac:dyDescent="0.25">
      <c r="A60" t="s">
        <v>102</v>
      </c>
      <c r="B60" t="s">
        <v>14</v>
      </c>
      <c r="C60" t="s">
        <v>34</v>
      </c>
      <c r="D60" t="s">
        <v>95</v>
      </c>
      <c r="E60">
        <v>0.71306235932521145</v>
      </c>
      <c r="F60" s="2">
        <v>9.9999999999999992E-2</v>
      </c>
      <c r="G60" t="b">
        <v>0</v>
      </c>
      <c r="H60">
        <v>0.49215027454927651</v>
      </c>
      <c r="I60" s="2">
        <v>0.1</v>
      </c>
      <c r="J60" t="b">
        <f t="shared" si="2"/>
        <v>1</v>
      </c>
    </row>
    <row r="61" spans="1:10" x14ac:dyDescent="0.25">
      <c r="A61" t="s">
        <v>102</v>
      </c>
      <c r="B61" t="s">
        <v>19</v>
      </c>
      <c r="C61" t="s">
        <v>39</v>
      </c>
      <c r="D61" t="s">
        <v>95</v>
      </c>
      <c r="E61">
        <v>0.75693533858523643</v>
      </c>
      <c r="F61" s="2">
        <v>6.8695670512268894E-2</v>
      </c>
      <c r="G61" t="b">
        <v>0</v>
      </c>
      <c r="H61">
        <v>0.49215027454927651</v>
      </c>
      <c r="I61" s="2">
        <v>6.8695670512268867E-2</v>
      </c>
      <c r="J61" t="b">
        <f t="shared" si="2"/>
        <v>1</v>
      </c>
    </row>
    <row r="62" spans="1:10" x14ac:dyDescent="0.25">
      <c r="A62" t="s">
        <v>102</v>
      </c>
      <c r="B62" t="s">
        <v>25</v>
      </c>
      <c r="C62" t="s">
        <v>45</v>
      </c>
      <c r="D62" t="s">
        <v>95</v>
      </c>
      <c r="E62">
        <v>0.75693533858523643</v>
      </c>
      <c r="F62" s="2">
        <v>4.5869676818435991E-2</v>
      </c>
      <c r="G62" t="b">
        <v>0</v>
      </c>
      <c r="H62">
        <v>0.49215027454927651</v>
      </c>
      <c r="I62" s="2">
        <v>4.586967681843597E-2</v>
      </c>
      <c r="J62" t="b">
        <f t="shared" si="2"/>
        <v>1</v>
      </c>
    </row>
    <row r="63" spans="1:10" x14ac:dyDescent="0.25">
      <c r="A63" t="s">
        <v>102</v>
      </c>
      <c r="B63" t="s">
        <v>16</v>
      </c>
      <c r="C63" t="s">
        <v>36</v>
      </c>
      <c r="D63" t="s">
        <v>95</v>
      </c>
      <c r="E63">
        <v>0.75693533858523643</v>
      </c>
      <c r="F63" s="2">
        <v>3.4945621934661657E-2</v>
      </c>
      <c r="G63" t="b">
        <v>0</v>
      </c>
      <c r="H63">
        <v>0.49215027454927651</v>
      </c>
      <c r="I63" s="2">
        <v>3.4945621934661657E-2</v>
      </c>
      <c r="J63" t="b">
        <f t="shared" si="2"/>
        <v>1</v>
      </c>
    </row>
    <row r="64" spans="1:10" x14ac:dyDescent="0.25">
      <c r="A64" t="s">
        <v>102</v>
      </c>
      <c r="B64" t="s">
        <v>12</v>
      </c>
      <c r="C64" t="s">
        <v>32</v>
      </c>
      <c r="D64" t="s">
        <v>95</v>
      </c>
      <c r="E64">
        <v>0.75693533858523643</v>
      </c>
      <c r="F64" s="2">
        <v>1.643962877653702E-2</v>
      </c>
      <c r="G64" t="b">
        <v>0</v>
      </c>
      <c r="H64">
        <v>0.49215027454927651</v>
      </c>
      <c r="I64" s="2">
        <v>1.6439628776537027E-2</v>
      </c>
      <c r="J64" t="b">
        <f t="shared" si="2"/>
        <v>1</v>
      </c>
    </row>
    <row r="65" spans="1:10" x14ac:dyDescent="0.25">
      <c r="A65" t="s">
        <v>102</v>
      </c>
      <c r="B65" t="s">
        <v>17</v>
      </c>
      <c r="C65" t="s">
        <v>37</v>
      </c>
      <c r="D65" t="s">
        <v>95</v>
      </c>
      <c r="E65">
        <v>0.75693533858523643</v>
      </c>
      <c r="F65" s="2">
        <v>2.5954692686081041E-2</v>
      </c>
      <c r="G65" t="b">
        <v>0</v>
      </c>
      <c r="H65">
        <v>0.49215027454927651</v>
      </c>
      <c r="I65" s="2">
        <v>2.595469268608103E-2</v>
      </c>
      <c r="J65" t="b">
        <f t="shared" si="2"/>
        <v>1</v>
      </c>
    </row>
    <row r="66" spans="1:10" x14ac:dyDescent="0.25">
      <c r="A66" t="s">
        <v>102</v>
      </c>
      <c r="B66" t="s">
        <v>11</v>
      </c>
      <c r="C66" t="s">
        <v>31</v>
      </c>
      <c r="D66" t="s">
        <v>95</v>
      </c>
      <c r="E66">
        <v>0.75693533858523643</v>
      </c>
      <c r="F66" s="2">
        <v>6.9818323314641056E-3</v>
      </c>
      <c r="G66" t="b">
        <v>0</v>
      </c>
      <c r="H66">
        <v>0.49215027454927651</v>
      </c>
      <c r="I66" s="2">
        <v>6.9818323314641021E-3</v>
      </c>
      <c r="J66" t="b">
        <f t="shared" si="2"/>
        <v>0</v>
      </c>
    </row>
    <row r="67" spans="1:10" x14ac:dyDescent="0.25">
      <c r="A67" t="s">
        <v>102</v>
      </c>
      <c r="B67" t="s">
        <v>23</v>
      </c>
      <c r="C67" t="s">
        <v>43</v>
      </c>
      <c r="D67" t="s">
        <v>94</v>
      </c>
      <c r="E67">
        <v>0.50374385448374726</v>
      </c>
      <c r="F67" s="2">
        <v>0.1</v>
      </c>
      <c r="G67" t="b">
        <v>0</v>
      </c>
      <c r="H67">
        <v>0.18068282894581461</v>
      </c>
      <c r="I67" s="2">
        <v>0.1</v>
      </c>
      <c r="J67" t="b">
        <f t="shared" si="2"/>
        <v>1</v>
      </c>
    </row>
    <row r="68" spans="1:10" x14ac:dyDescent="0.25">
      <c r="A68" t="s">
        <v>102</v>
      </c>
      <c r="B68" t="s">
        <v>22</v>
      </c>
      <c r="C68" t="s">
        <v>42</v>
      </c>
      <c r="D68" t="s">
        <v>94</v>
      </c>
      <c r="E68">
        <v>0.99999999999999978</v>
      </c>
      <c r="F68" s="2">
        <v>3.5618841945571043E-2</v>
      </c>
      <c r="G68" t="b">
        <v>0</v>
      </c>
      <c r="H68">
        <v>0.18068282894581461</v>
      </c>
      <c r="I68" s="2">
        <v>3.5618841945571016E-2</v>
      </c>
      <c r="J68" t="b">
        <f t="shared" si="2"/>
        <v>1</v>
      </c>
    </row>
    <row r="69" spans="1:10" x14ac:dyDescent="0.25">
      <c r="A69" t="s">
        <v>102</v>
      </c>
      <c r="B69" t="s">
        <v>18</v>
      </c>
      <c r="C69" t="s">
        <v>38</v>
      </c>
      <c r="D69" t="s">
        <v>94</v>
      </c>
      <c r="E69">
        <v>0.99999999999999978</v>
      </c>
      <c r="F69" s="2">
        <v>2.8996856018345951E-2</v>
      </c>
      <c r="G69" t="b">
        <v>0</v>
      </c>
      <c r="H69">
        <v>0.18068282894581461</v>
      </c>
      <c r="I69" s="2">
        <v>2.899685601834593E-2</v>
      </c>
      <c r="J69" t="b">
        <f t="shared" si="2"/>
        <v>0</v>
      </c>
    </row>
    <row r="70" spans="1:10" x14ac:dyDescent="0.25">
      <c r="A70" t="s">
        <v>102</v>
      </c>
      <c r="B70" t="s">
        <v>8</v>
      </c>
      <c r="C70" t="s">
        <v>28</v>
      </c>
      <c r="D70" t="s">
        <v>94</v>
      </c>
      <c r="E70">
        <v>0.99999999999999978</v>
      </c>
      <c r="F70" s="2">
        <v>1.1176223222053749E-2</v>
      </c>
      <c r="G70" t="b">
        <v>0</v>
      </c>
      <c r="H70">
        <v>0.18068282894581461</v>
      </c>
      <c r="I70" s="2">
        <v>1.1176223222053741E-2</v>
      </c>
      <c r="J70" t="b">
        <f t="shared" si="2"/>
        <v>1</v>
      </c>
    </row>
    <row r="71" spans="1:10" x14ac:dyDescent="0.25">
      <c r="A71" t="s">
        <v>102</v>
      </c>
      <c r="B71" t="s">
        <v>21</v>
      </c>
      <c r="C71" t="s">
        <v>41</v>
      </c>
      <c r="D71" t="s">
        <v>94</v>
      </c>
      <c r="E71">
        <v>0.99999999999999978</v>
      </c>
      <c r="F71" s="2">
        <v>4.8909077598438266E-3</v>
      </c>
      <c r="G71" t="b">
        <v>0</v>
      </c>
      <c r="H71">
        <v>0.18068282894581461</v>
      </c>
      <c r="I71" s="2">
        <v>4.890907759843824E-3</v>
      </c>
      <c r="J71" t="b">
        <f t="shared" si="2"/>
        <v>0</v>
      </c>
    </row>
    <row r="72" spans="1:10" x14ac:dyDescent="0.25">
      <c r="A72" t="s">
        <v>102</v>
      </c>
      <c r="B72" t="s">
        <v>24</v>
      </c>
      <c r="C72" t="s">
        <v>44</v>
      </c>
      <c r="D72" t="s">
        <v>96</v>
      </c>
      <c r="E72">
        <v>1</v>
      </c>
      <c r="F72" s="2">
        <v>9.4738796585622134E-2</v>
      </c>
      <c r="G72" t="b">
        <v>0</v>
      </c>
      <c r="H72">
        <v>9.4738796585622134E-2</v>
      </c>
      <c r="I72" s="2">
        <v>9.4738796585622037E-2</v>
      </c>
      <c r="J72" t="b">
        <f t="shared" si="2"/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/>
  </sheetViews>
  <sheetFormatPr defaultRowHeight="15" x14ac:dyDescent="0.25"/>
  <sheetData>
    <row r="1" spans="1:4" x14ac:dyDescent="0.25">
      <c r="A1" s="1" t="s">
        <v>69</v>
      </c>
      <c r="B1" s="1" t="s">
        <v>71</v>
      </c>
      <c r="C1" s="1" t="s">
        <v>105</v>
      </c>
      <c r="D1" s="1" t="s">
        <v>106</v>
      </c>
    </row>
    <row r="2" spans="1:4" x14ac:dyDescent="0.25">
      <c r="A2" t="s">
        <v>93</v>
      </c>
      <c r="B2">
        <v>0.23242809991928701</v>
      </c>
      <c r="C2">
        <v>5</v>
      </c>
      <c r="D2" t="b">
        <v>1</v>
      </c>
    </row>
    <row r="3" spans="1:4" x14ac:dyDescent="0.25">
      <c r="A3" t="s">
        <v>95</v>
      </c>
      <c r="B3">
        <v>0.49215027454927651</v>
      </c>
      <c r="C3">
        <v>9</v>
      </c>
      <c r="D3" t="b">
        <v>1</v>
      </c>
    </row>
    <row r="4" spans="1:4" x14ac:dyDescent="0.25">
      <c r="A4" t="s">
        <v>94</v>
      </c>
      <c r="B4">
        <v>0.18068282894581461</v>
      </c>
      <c r="C4">
        <v>5</v>
      </c>
      <c r="D4" t="b">
        <v>1</v>
      </c>
    </row>
    <row r="5" spans="1:4" x14ac:dyDescent="0.25">
      <c r="A5" t="s">
        <v>96</v>
      </c>
      <c r="B5">
        <v>9.4738796585622134E-2</v>
      </c>
      <c r="C5">
        <v>1</v>
      </c>
      <c r="D5" t="b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107</v>
      </c>
    </row>
    <row r="2" spans="1:1" x14ac:dyDescent="0.25">
      <c r="A2">
        <v>1115192952403.636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Capping Iterations</vt:lpstr>
      <vt:lpstr>Company Iterations</vt:lpstr>
      <vt:lpstr>Sector Summary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2025-11-20T11:03:28Z</dcterms:created>
  <dcterms:modified xsi:type="dcterms:W3CDTF">2025-11-20T11:36:55Z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2025-11-20T11:04:01Z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af923ece-0b07-44f0-adae-0b51b9b83680</vt:lpwstr>
  </property>
  <property fmtid="{D5CDD505-2E9C-101B-9397-08002B2CF9AE}" pid="8" name="MSIP_Label_ac0b9ce6-6e99-42a1-af95-429494370cbc_ContentBits">
    <vt:lpwstr>2</vt:lpwstr>
  </property>
</Properties>
</file>