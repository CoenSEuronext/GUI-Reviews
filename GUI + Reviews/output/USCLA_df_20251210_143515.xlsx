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3" documentId="11_C479BBE0E9E3D53AB61968DD2DC37B74A9C855D0" xr6:coauthVersionLast="47" xr6:coauthVersionMax="47" xr10:uidLastSave="{223301D6-896B-42D2-AF9B-00AA97E4A706}"/>
  <bookViews>
    <workbookView xWindow="-29115" yWindow="-1600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definedNames>
    <definedName name="_xlnm._FilterDatabase" localSheetId="5" hidden="1">'Final Selection'!$A$1:$BM$26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6" l="1"/>
  <c r="BG22" i="6" s="1"/>
  <c r="Q7" i="6"/>
  <c r="BG7" i="6" s="1"/>
  <c r="Q20" i="6"/>
  <c r="BG20" i="6" s="1"/>
  <c r="Q8" i="6"/>
  <c r="BG8" i="6" s="1"/>
  <c r="Q24" i="6"/>
  <c r="BG24" i="6" s="1"/>
  <c r="Q10" i="6"/>
  <c r="BG10" i="6" s="1"/>
  <c r="Q5" i="6"/>
  <c r="BG5" i="6" s="1"/>
  <c r="Q19" i="6"/>
  <c r="BG19" i="6" s="1"/>
  <c r="Q21" i="6"/>
  <c r="BG21" i="6" s="1"/>
  <c r="Q18" i="6"/>
  <c r="BG18" i="6" s="1"/>
  <c r="Q11" i="6"/>
  <c r="BG11" i="6" s="1"/>
  <c r="Q26" i="6"/>
  <c r="BG26" i="6" s="1"/>
  <c r="Q12" i="6"/>
  <c r="BG12" i="6" s="1"/>
  <c r="Q14" i="6"/>
  <c r="BG14" i="6" s="1"/>
  <c r="Q17" i="6"/>
  <c r="BG17" i="6" s="1"/>
  <c r="Q9" i="6"/>
  <c r="BG9" i="6" s="1"/>
  <c r="Q25" i="6"/>
  <c r="BG25" i="6" s="1"/>
  <c r="Q13" i="6"/>
  <c r="BG13" i="6" s="1"/>
  <c r="Q23" i="6"/>
  <c r="BG23" i="6" s="1"/>
  <c r="Q2" i="6"/>
  <c r="BG2" i="6" s="1"/>
  <c r="Q6" i="6"/>
  <c r="BG6" i="6" s="1"/>
  <c r="Q15" i="6"/>
  <c r="BG15" i="6" s="1"/>
  <c r="Q3" i="6"/>
  <c r="BG3" i="6" s="1"/>
  <c r="Q4" i="6"/>
  <c r="BG4" i="6" s="1"/>
  <c r="Q16" i="6"/>
  <c r="BG16" i="6" s="1"/>
</calcChain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<sst xmlns="http://schemas.openxmlformats.org/spreadsheetml/2006/main" count="14121" uniqueCount="1952">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</sst>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L14" sqref="L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29</v>
      </c>
      <c r="B4" t="s">
        <v>54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59</v>
      </c>
    </row>
    <row r="3" spans="1:3" x14ac:dyDescent="0.25">
      <c r="A3" t="s">
        <v>64</v>
      </c>
      <c r="B3" t="s">
        <v>67</v>
      </c>
      <c r="C3" t="s">
        <v>59</v>
      </c>
    </row>
    <row r="4" spans="1:3" x14ac:dyDescent="0.25">
      <c r="A4" t="s">
        <v>65</v>
      </c>
      <c r="B4" t="s">
        <v>68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59"/>
  <sheetViews>
    <sheetView workbookViewId="0">
      <selection activeCell="R9" sqref="R9"/>
    </sheetView>
  </sheetViews>
  <sheetFormatPr defaultRowHeight="15" x14ac:dyDescent="0.25"/>
  <sheetData>
    <row r="1" spans="1:54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 x14ac:dyDescent="0.25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135.44970000000001</v>
      </c>
      <c r="G2">
        <v>532629700</v>
      </c>
      <c r="H2" t="s">
        <v>1438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 t="s">
        <v>1440</v>
      </c>
      <c r="R2">
        <v>0.84373944999999995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 x14ac:dyDescent="0.25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 t="s">
        <v>1441</v>
      </c>
      <c r="R3">
        <v>0.84373944999999995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 x14ac:dyDescent="0.25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 t="s">
        <v>1442</v>
      </c>
      <c r="R4">
        <v>0.84373944999999995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 x14ac:dyDescent="0.25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221.21520000000001</v>
      </c>
      <c r="G5">
        <v>622852700</v>
      </c>
      <c r="H5" t="s">
        <v>1438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 t="s">
        <v>1443</v>
      </c>
      <c r="R5">
        <v>0.84373944999999995</v>
      </c>
      <c r="S5">
        <v>0.69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 x14ac:dyDescent="0.25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309.00319999999999</v>
      </c>
      <c r="G6">
        <v>424200000</v>
      </c>
      <c r="H6" t="s">
        <v>1439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 t="s">
        <v>1444</v>
      </c>
      <c r="R6">
        <v>0.84373944999999995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 x14ac:dyDescent="0.25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 t="s">
        <v>1445</v>
      </c>
      <c r="R7">
        <v>0.84373944999999995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 x14ac:dyDescent="0.25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101.92870000000001</v>
      </c>
      <c r="G8">
        <v>176566560</v>
      </c>
      <c r="H8" t="s">
        <v>1438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 t="s">
        <v>1446</v>
      </c>
      <c r="R8">
        <v>0.84373944999999995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 x14ac:dyDescent="0.25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67.835809999999995</v>
      </c>
      <c r="G9">
        <v>281825620</v>
      </c>
      <c r="H9" t="s">
        <v>1439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 t="s">
        <v>1447</v>
      </c>
      <c r="R9">
        <v>0.84373944999999995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 x14ac:dyDescent="0.25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92.558459999999997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 t="s">
        <v>1448</v>
      </c>
      <c r="R10">
        <v>0.84373944999999995</v>
      </c>
      <c r="S10">
        <v>0.81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 x14ac:dyDescent="0.25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 t="s">
        <v>1449</v>
      </c>
      <c r="R11">
        <v>0.84373944999999995</v>
      </c>
      <c r="S11">
        <v>0.57999999999999996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 x14ac:dyDescent="0.25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255.41900000000001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 t="s">
        <v>1450</v>
      </c>
      <c r="R12">
        <v>0.84373944999999995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 x14ac:dyDescent="0.25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110.87220000000001</v>
      </c>
      <c r="G13">
        <v>429079560</v>
      </c>
      <c r="H13" t="s">
        <v>1439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 t="s">
        <v>1451</v>
      </c>
      <c r="R13">
        <v>0.84373944999999995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 x14ac:dyDescent="0.25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175.38829999999999</v>
      </c>
      <c r="G14">
        <v>263505340</v>
      </c>
      <c r="H14" t="s">
        <v>1438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 t="s">
        <v>1452</v>
      </c>
      <c r="R14">
        <v>0.84373944999999995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 x14ac:dyDescent="0.25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387.76240000000001</v>
      </c>
      <c r="G15">
        <v>131079010</v>
      </c>
      <c r="H15" t="s">
        <v>1439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 t="s">
        <v>1453</v>
      </c>
      <c r="R15">
        <v>0.84373944999999995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 x14ac:dyDescent="0.25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175.87469999999999</v>
      </c>
      <c r="G16">
        <v>5817000000</v>
      </c>
      <c r="H16" t="s">
        <v>1439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 t="s">
        <v>1454</v>
      </c>
      <c r="R16">
        <v>0.84373944999999995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 x14ac:dyDescent="0.25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57.748759999999997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 t="s">
        <v>1455</v>
      </c>
      <c r="R17">
        <v>0.84373944999999995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 x14ac:dyDescent="0.25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 t="s">
        <v>1456</v>
      </c>
      <c r="R18">
        <v>0.84373944999999995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 x14ac:dyDescent="0.25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7.4330090000000002</v>
      </c>
      <c r="G19">
        <v>2305359900</v>
      </c>
      <c r="H19" t="s">
        <v>1438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 t="s">
        <v>1457</v>
      </c>
      <c r="R19">
        <v>0.84373944999999995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 x14ac:dyDescent="0.25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87.002899999999997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 t="s">
        <v>1458</v>
      </c>
      <c r="R20">
        <v>0.84373944999999995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 x14ac:dyDescent="0.25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97.303290000000004</v>
      </c>
      <c r="G21">
        <v>534794740</v>
      </c>
      <c r="H21" t="s">
        <v>1439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 t="s">
        <v>1459</v>
      </c>
      <c r="R21">
        <v>0.84373944999999995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0.25090000000000001</v>
      </c>
      <c r="AH21">
        <v>0.73</v>
      </c>
      <c r="AI21">
        <v>0</v>
      </c>
      <c r="AJ21">
        <v>0.25090000000000001</v>
      </c>
      <c r="AK21">
        <v>276</v>
      </c>
      <c r="AW21" t="s">
        <v>1917</v>
      </c>
      <c r="AZ21" t="s">
        <v>1923</v>
      </c>
      <c r="BA21" t="s">
        <v>1941</v>
      </c>
    </row>
    <row r="22" spans="1:54" x14ac:dyDescent="0.25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 t="s">
        <v>1460</v>
      </c>
      <c r="R22">
        <v>0.84373944999999995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 x14ac:dyDescent="0.25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 t="s">
        <v>1461</v>
      </c>
      <c r="R23">
        <v>0.84373944999999995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 x14ac:dyDescent="0.25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0.84373944999999995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 x14ac:dyDescent="0.25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 t="s">
        <v>1463</v>
      </c>
      <c r="R25">
        <v>0.84373944999999995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 x14ac:dyDescent="0.25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441.13330000000002</v>
      </c>
      <c r="G26">
        <v>94271570</v>
      </c>
      <c r="H26" t="s">
        <v>1438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 t="s">
        <v>1464</v>
      </c>
      <c r="R26">
        <v>0.84373944999999995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 x14ac:dyDescent="0.25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159.54089999999999</v>
      </c>
      <c r="G27">
        <v>230953960</v>
      </c>
      <c r="H27" t="s">
        <v>1438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 t="s">
        <v>1465</v>
      </c>
      <c r="R27">
        <v>0.84373944999999995</v>
      </c>
      <c r="S27">
        <v>2.1800000000000002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 x14ac:dyDescent="0.25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250.65710000000001</v>
      </c>
      <c r="G28">
        <v>538361900</v>
      </c>
      <c r="H28" t="s">
        <v>1439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 t="s">
        <v>1466</v>
      </c>
      <c r="R28">
        <v>0.84373944999999995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 x14ac:dyDescent="0.25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93.326509999999999</v>
      </c>
      <c r="G29">
        <v>1220921100</v>
      </c>
      <c r="H29" t="s">
        <v>1438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 t="s">
        <v>1467</v>
      </c>
      <c r="R29">
        <v>0.84373944999999995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 x14ac:dyDescent="0.25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43.727600000000002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 x14ac:dyDescent="0.25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 t="s">
        <v>1469</v>
      </c>
      <c r="R31">
        <v>0.84373944999999995</v>
      </c>
      <c r="S31">
        <v>0.28999999999999998</v>
      </c>
      <c r="T31">
        <v>54.21</v>
      </c>
      <c r="U31">
        <v>0.94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0.94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 x14ac:dyDescent="0.25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46.603520000000003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 t="s">
        <v>1470</v>
      </c>
      <c r="R32">
        <v>0.84373944999999995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 x14ac:dyDescent="0.25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320.10579999999999</v>
      </c>
      <c r="G33">
        <v>215626600</v>
      </c>
      <c r="H33" t="s">
        <v>1438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 t="s">
        <v>1471</v>
      </c>
      <c r="R33">
        <v>0.84373944999999995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 x14ac:dyDescent="0.25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 t="s">
        <v>1472</v>
      </c>
      <c r="R34">
        <v>0.84373944999999995</v>
      </c>
      <c r="S34">
        <v>4.3899999999999997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 x14ac:dyDescent="0.25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194.36760000000001</v>
      </c>
      <c r="G35">
        <v>14840390000</v>
      </c>
      <c r="H35" t="s">
        <v>1439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 t="s">
        <v>1473</v>
      </c>
      <c r="R35">
        <v>0.84373944999999995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 x14ac:dyDescent="0.25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 t="s">
        <v>1474</v>
      </c>
      <c r="R36">
        <v>0.84373944999999995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 x14ac:dyDescent="0.25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376.92439999999999</v>
      </c>
      <c r="G37">
        <v>307636380</v>
      </c>
      <c r="H37" t="s">
        <v>1439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 t="s">
        <v>1475</v>
      </c>
      <c r="R37">
        <v>0.84373944999999995</v>
      </c>
      <c r="S37">
        <v>2.5299999999999998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 x14ac:dyDescent="0.25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79.714969999999994</v>
      </c>
      <c r="G38">
        <v>373220300</v>
      </c>
      <c r="H38" t="s">
        <v>1439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 t="s">
        <v>1476</v>
      </c>
      <c r="R38">
        <v>0.84373944999999995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 x14ac:dyDescent="0.25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53.695169999999997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 t="s">
        <v>1477</v>
      </c>
      <c r="R39">
        <v>0.84373944999999995</v>
      </c>
      <c r="S39">
        <v>2.7</v>
      </c>
      <c r="T39">
        <v>52.37</v>
      </c>
      <c r="U39">
        <v>0.94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0.94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 x14ac:dyDescent="0.25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 t="s">
        <v>1478</v>
      </c>
      <c r="R40">
        <v>0.84373944999999995</v>
      </c>
      <c r="S40">
        <v>2.5099999999999998</v>
      </c>
      <c r="T40">
        <v>27.77</v>
      </c>
      <c r="U40">
        <v>0.56999999999999995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0.56999999999999995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 x14ac:dyDescent="0.25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 t="s">
        <v>1479</v>
      </c>
      <c r="R41">
        <v>0.84373944999999995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 x14ac:dyDescent="0.25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258.72160000000002</v>
      </c>
      <c r="G42">
        <v>256400000</v>
      </c>
      <c r="H42" t="s">
        <v>1438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 t="s">
        <v>1480</v>
      </c>
      <c r="R42">
        <v>0.84373944999999995</v>
      </c>
      <c r="S42">
        <v>2.5499999999999998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 x14ac:dyDescent="0.25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152.83330000000001</v>
      </c>
      <c r="G43">
        <v>166219150</v>
      </c>
      <c r="H43" t="s">
        <v>1439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0.84373944999999995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 x14ac:dyDescent="0.25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24.551970000000001</v>
      </c>
      <c r="G44">
        <v>7150385300</v>
      </c>
      <c r="H44" t="s">
        <v>1438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 t="s">
        <v>1482</v>
      </c>
      <c r="R44">
        <v>0.84373944999999995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 x14ac:dyDescent="0.25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 t="s">
        <v>1483</v>
      </c>
      <c r="R45">
        <v>0.84373944999999995</v>
      </c>
      <c r="S45">
        <v>0.55000000000000004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 x14ac:dyDescent="0.25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143.54839999999999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0.84373944999999995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 x14ac:dyDescent="0.25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 t="s">
        <v>1485</v>
      </c>
      <c r="R47">
        <v>0.84373944999999995</v>
      </c>
      <c r="S47">
        <v>2.4700000000000002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 x14ac:dyDescent="0.25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262.80079999999998</v>
      </c>
      <c r="G48">
        <v>405043150</v>
      </c>
      <c r="H48" t="s">
        <v>1439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 t="s">
        <v>1486</v>
      </c>
      <c r="R48">
        <v>0.84373944999999995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 x14ac:dyDescent="0.25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3507.9450000000002</v>
      </c>
      <c r="G49">
        <v>16728714</v>
      </c>
      <c r="H49" t="s">
        <v>1438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 t="s">
        <v>1487</v>
      </c>
      <c r="R49">
        <v>0.84373944999999995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 x14ac:dyDescent="0.25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 t="s">
        <v>1488</v>
      </c>
      <c r="R50">
        <v>0.84373944999999995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 x14ac:dyDescent="0.25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 t="s">
        <v>1489</v>
      </c>
      <c r="R51">
        <v>0.84373944999999995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 x14ac:dyDescent="0.25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 t="s">
        <v>1490</v>
      </c>
      <c r="R52">
        <v>0.84373944999999995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 x14ac:dyDescent="0.25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87.506399999999999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 t="s">
        <v>1491</v>
      </c>
      <c r="R53">
        <v>0.84373944999999995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 x14ac:dyDescent="0.25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42.225639999999999</v>
      </c>
      <c r="G54">
        <v>7406947300</v>
      </c>
      <c r="H54" t="s">
        <v>1438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 t="s">
        <v>1492</v>
      </c>
      <c r="R54">
        <v>0.84373944999999995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 x14ac:dyDescent="0.25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170.38740000000001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 t="s">
        <v>1493</v>
      </c>
      <c r="R55">
        <v>0.84373944999999995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 x14ac:dyDescent="0.25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417.30669999999998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 t="s">
        <v>1494</v>
      </c>
      <c r="R56">
        <v>0.84373944999999995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5.0000000000000001E-3</v>
      </c>
      <c r="AF56">
        <v>2.0400000000000001E-2</v>
      </c>
      <c r="AI56">
        <v>5.0000000000000001E-3</v>
      </c>
      <c r="AJ56">
        <v>2.0400000000000001E-2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 x14ac:dyDescent="0.25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118.88549999999999</v>
      </c>
      <c r="G57">
        <v>146614600</v>
      </c>
      <c r="H57" t="s">
        <v>1439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 t="s">
        <v>1495</v>
      </c>
      <c r="R57">
        <v>0.84373944999999995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 x14ac:dyDescent="0.25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979.83450000000005</v>
      </c>
      <c r="G58">
        <v>154853330</v>
      </c>
      <c r="H58" t="s">
        <v>1438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 t="s">
        <v>1496</v>
      </c>
      <c r="R58">
        <v>0.84373944999999995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 x14ac:dyDescent="0.25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 t="s">
        <v>1497</v>
      </c>
      <c r="R59">
        <v>0.84373944999999995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 x14ac:dyDescent="0.25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67.520060000000001</v>
      </c>
      <c r="G60">
        <v>549574000</v>
      </c>
      <c r="H60" t="s">
        <v>1438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 t="s">
        <v>1498</v>
      </c>
      <c r="R60">
        <v>0.84373944999999995</v>
      </c>
      <c r="S60">
        <v>0.62</v>
      </c>
      <c r="T60">
        <v>36.549999999999997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 x14ac:dyDescent="0.25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196.38159999999999</v>
      </c>
      <c r="G61">
        <v>756157700</v>
      </c>
      <c r="H61" t="s">
        <v>1438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 t="s">
        <v>1499</v>
      </c>
      <c r="R61">
        <v>0.84373944999999995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 x14ac:dyDescent="0.25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4882.1220000000003</v>
      </c>
      <c r="G62">
        <v>32409885</v>
      </c>
      <c r="H62" t="s">
        <v>1439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0.84373944999999995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 x14ac:dyDescent="0.25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90.604190000000003</v>
      </c>
      <c r="G63">
        <v>1481751600</v>
      </c>
      <c r="H63" t="s">
        <v>1438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 t="s">
        <v>1501</v>
      </c>
      <c r="R63">
        <v>0.84373944999999995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 x14ac:dyDescent="0.25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40.894350000000003</v>
      </c>
      <c r="G64">
        <v>2035435800</v>
      </c>
      <c r="H64" t="s">
        <v>1438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 t="s">
        <v>1502</v>
      </c>
      <c r="R64">
        <v>0.84373944999999995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 x14ac:dyDescent="0.25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250.89609999999999</v>
      </c>
      <c r="G65">
        <v>4703471000</v>
      </c>
      <c r="H65" t="s">
        <v>1439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 t="s">
        <v>1503</v>
      </c>
      <c r="R65">
        <v>0.84373944999999995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 x14ac:dyDescent="0.25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223.74119999999999</v>
      </c>
      <c r="G66">
        <v>117129320</v>
      </c>
      <c r="H66" t="s">
        <v>1438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 t="s">
        <v>1504</v>
      </c>
      <c r="R66">
        <v>0.84373944999999995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 x14ac:dyDescent="0.25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82.488479999999996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 t="s">
        <v>1505</v>
      </c>
      <c r="R67">
        <v>0.84373944999999995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 x14ac:dyDescent="0.25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239.66550000000001</v>
      </c>
      <c r="G68">
        <v>63086660</v>
      </c>
      <c r="H68" t="s">
        <v>1438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 t="s">
        <v>1506</v>
      </c>
      <c r="R68">
        <v>0.84373944999999995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 x14ac:dyDescent="0.25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 t="s">
        <v>1507</v>
      </c>
      <c r="R69">
        <v>0.84373944999999995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 x14ac:dyDescent="0.25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188.78649999999999</v>
      </c>
      <c r="G70">
        <v>639517330</v>
      </c>
      <c r="H70" t="s">
        <v>1438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 t="s">
        <v>1508</v>
      </c>
      <c r="R70">
        <v>0.84373944999999995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 x14ac:dyDescent="0.25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126.38679999999999</v>
      </c>
      <c r="G71">
        <v>238793640</v>
      </c>
      <c r="H71" t="s">
        <v>1438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 t="s">
        <v>1509</v>
      </c>
      <c r="R71">
        <v>0.84373944999999995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 x14ac:dyDescent="0.25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26.711040000000001</v>
      </c>
      <c r="G72">
        <v>1167404000</v>
      </c>
      <c r="H72" t="s">
        <v>1438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 t="s">
        <v>1510</v>
      </c>
      <c r="R72">
        <v>0.84373944999999995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 x14ac:dyDescent="0.25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57.817030000000003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 t="s">
        <v>1511</v>
      </c>
      <c r="R73">
        <v>0.84373944999999995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 x14ac:dyDescent="0.25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305.35070000000002</v>
      </c>
      <c r="G74">
        <v>138083500</v>
      </c>
      <c r="H74" t="s">
        <v>1438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 t="s">
        <v>1512</v>
      </c>
      <c r="R74">
        <v>0.84373944999999995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 x14ac:dyDescent="0.25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 t="s">
        <v>1513</v>
      </c>
      <c r="R75">
        <v>0.84373944999999995</v>
      </c>
      <c r="S75">
        <v>2.2200000000000002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 x14ac:dyDescent="0.25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 t="s">
        <v>1514</v>
      </c>
      <c r="R76">
        <v>0.84373944999999995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 x14ac:dyDescent="0.25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140.30549999999999</v>
      </c>
      <c r="G77">
        <v>297554320</v>
      </c>
      <c r="H77" t="s">
        <v>1438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 t="s">
        <v>1515</v>
      </c>
      <c r="R77">
        <v>0.84373944999999995</v>
      </c>
      <c r="S77">
        <v>0.34</v>
      </c>
      <c r="T77">
        <v>65.099999999999994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 x14ac:dyDescent="0.25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142.51580000000001</v>
      </c>
      <c r="G78">
        <v>131060750</v>
      </c>
      <c r="H78" t="s">
        <v>1439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 t="s">
        <v>1516</v>
      </c>
      <c r="R78">
        <v>0.84373944999999995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 x14ac:dyDescent="0.25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 t="s">
        <v>1517</v>
      </c>
      <c r="R79">
        <v>0.84373944999999995</v>
      </c>
      <c r="S79">
        <v>2.3199999999999998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 x14ac:dyDescent="0.25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32.471409999999999</v>
      </c>
      <c r="G80">
        <v>652864870</v>
      </c>
      <c r="H80" t="s">
        <v>1438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 t="s">
        <v>1518</v>
      </c>
      <c r="R80">
        <v>0.84373944999999995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6.0999999999999999E-2</v>
      </c>
      <c r="AH80">
        <v>0.87</v>
      </c>
      <c r="AI80">
        <v>0</v>
      </c>
      <c r="AJ80">
        <v>6.0999999999999999E-2</v>
      </c>
      <c r="AK80">
        <v>256</v>
      </c>
      <c r="AZ80" t="s">
        <v>1920</v>
      </c>
      <c r="BA80" t="s">
        <v>1940</v>
      </c>
      <c r="BB80">
        <v>183</v>
      </c>
    </row>
    <row r="81" spans="1:54" x14ac:dyDescent="0.25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81.780169999999998</v>
      </c>
      <c r="G81">
        <v>1815219400</v>
      </c>
      <c r="H81" t="s">
        <v>1438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 t="s">
        <v>1519</v>
      </c>
      <c r="R81">
        <v>0.84373944999999995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 x14ac:dyDescent="0.25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236.88339999999999</v>
      </c>
      <c r="G82">
        <v>136627990</v>
      </c>
      <c r="H82" t="s">
        <v>1439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 t="s">
        <v>1520</v>
      </c>
      <c r="R82">
        <v>0.84373944999999995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 x14ac:dyDescent="0.25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202.73079999999999</v>
      </c>
      <c r="G83">
        <v>219768100</v>
      </c>
      <c r="H83" t="s">
        <v>1438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 t="s">
        <v>1521</v>
      </c>
      <c r="R83">
        <v>0.84373944999999995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 x14ac:dyDescent="0.25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0.84373944999999995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9.9000000000000008E-3</v>
      </c>
      <c r="AG84" t="s">
        <v>1905</v>
      </c>
      <c r="AH84">
        <v>0.99</v>
      </c>
      <c r="AI84">
        <v>0</v>
      </c>
      <c r="AJ84">
        <v>9.9000000000000008E-3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 x14ac:dyDescent="0.25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37.241849999999999</v>
      </c>
      <c r="G85">
        <v>1340885000</v>
      </c>
      <c r="H85" t="s">
        <v>1438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 t="s">
        <v>1523</v>
      </c>
      <c r="R85">
        <v>0.84373944999999995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 x14ac:dyDescent="0.25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236.97730000000001</v>
      </c>
      <c r="G86">
        <v>398690300</v>
      </c>
      <c r="H86" t="s">
        <v>1438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0.84373944999999995</v>
      </c>
      <c r="S86">
        <v>2.5099999999999998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 x14ac:dyDescent="0.25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81.088920000000002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 t="s">
        <v>1525</v>
      </c>
      <c r="R87">
        <v>0.84373944999999995</v>
      </c>
      <c r="S87">
        <v>2.2000000000000002</v>
      </c>
      <c r="T87">
        <v>52.75</v>
      </c>
      <c r="U87">
        <v>0.94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0.94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 x14ac:dyDescent="0.25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 x14ac:dyDescent="0.25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 t="s">
        <v>1527</v>
      </c>
      <c r="R89">
        <v>0.84373944999999995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 x14ac:dyDescent="0.25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 t="s">
        <v>1528</v>
      </c>
      <c r="R90">
        <v>0.84373944999999995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 x14ac:dyDescent="0.25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Q91" t="s">
        <v>1529</v>
      </c>
      <c r="R91">
        <v>0.84373944999999995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 x14ac:dyDescent="0.25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 t="s">
        <v>1530</v>
      </c>
      <c r="R92">
        <v>0.84373944999999995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 x14ac:dyDescent="0.25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 t="s">
        <v>1531</v>
      </c>
      <c r="R93">
        <v>0.84373944999999995</v>
      </c>
      <c r="S93">
        <v>0.56000000000000005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 x14ac:dyDescent="0.25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43.326509999999999</v>
      </c>
      <c r="G94">
        <v>431349000</v>
      </c>
      <c r="H94" t="s">
        <v>1438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 t="s">
        <v>1532</v>
      </c>
      <c r="R94">
        <v>0.84373944999999995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 x14ac:dyDescent="0.25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 t="s">
        <v>1533</v>
      </c>
      <c r="R95">
        <v>0.84373944999999995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 x14ac:dyDescent="0.25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 t="s">
        <v>1534</v>
      </c>
      <c r="R96">
        <v>0.84373944999999995</v>
      </c>
      <c r="S96">
        <v>2.2799999999999998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 x14ac:dyDescent="0.25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62.399729999999998</v>
      </c>
      <c r="G97">
        <v>299335450</v>
      </c>
      <c r="H97" t="s">
        <v>1438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0.84373944999999995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0.45100000000000001</v>
      </c>
      <c r="AH97">
        <v>0.91</v>
      </c>
      <c r="AI97">
        <v>0</v>
      </c>
      <c r="AJ97">
        <v>0.45100000000000001</v>
      </c>
      <c r="AK97">
        <v>366</v>
      </c>
      <c r="AW97" t="s">
        <v>1917</v>
      </c>
      <c r="AZ97" t="s">
        <v>1923</v>
      </c>
      <c r="BA97" t="s">
        <v>1941</v>
      </c>
    </row>
    <row r="98" spans="1:54" x14ac:dyDescent="0.25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59.848089999999999</v>
      </c>
      <c r="G98">
        <v>4303667500</v>
      </c>
      <c r="H98" t="s">
        <v>1438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0.84373944999999995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 x14ac:dyDescent="0.25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77.095060000000004</v>
      </c>
      <c r="G99">
        <v>460780980</v>
      </c>
      <c r="H99" t="s">
        <v>1439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 t="s">
        <v>1537</v>
      </c>
      <c r="R99">
        <v>0.84373944999999995</v>
      </c>
      <c r="S99">
        <v>0.66</v>
      </c>
      <c r="T99">
        <v>55.82</v>
      </c>
      <c r="U99">
        <v>0.94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0.94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 x14ac:dyDescent="0.25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61.759689999999999</v>
      </c>
      <c r="G100">
        <v>488395940</v>
      </c>
      <c r="H100" t="s">
        <v>1439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0.84373944999999995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 x14ac:dyDescent="0.25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272.95609999999999</v>
      </c>
      <c r="G101">
        <v>215159120</v>
      </c>
      <c r="H101" t="s">
        <v>1439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 t="s">
        <v>1539</v>
      </c>
      <c r="R101">
        <v>0.84373944999999995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 x14ac:dyDescent="0.25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73.340159999999997</v>
      </c>
      <c r="G102">
        <v>808220800</v>
      </c>
      <c r="H102" t="s">
        <v>1438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 t="s">
        <v>1540</v>
      </c>
      <c r="R102">
        <v>0.84373944999999995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 x14ac:dyDescent="0.25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 t="s">
        <v>1541</v>
      </c>
      <c r="R103">
        <v>0.84373944999999995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 x14ac:dyDescent="0.25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588.39390000000003</v>
      </c>
      <c r="G104">
        <v>35281452</v>
      </c>
      <c r="H104" t="s">
        <v>1438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 t="s">
        <v>1542</v>
      </c>
      <c r="R104">
        <v>0.84373944999999995</v>
      </c>
      <c r="S104">
        <v>3.05</v>
      </c>
      <c r="T104">
        <v>32.4</v>
      </c>
      <c r="U104">
        <v>0.55000000000000004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0.55000000000000004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 x14ac:dyDescent="0.25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82.590879999999999</v>
      </c>
      <c r="G105">
        <v>1248942300</v>
      </c>
      <c r="H105" t="s">
        <v>1438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 t="s">
        <v>1543</v>
      </c>
      <c r="R105">
        <v>0.84373944999999995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 x14ac:dyDescent="0.25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86.746889999999993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0.84373944999999995</v>
      </c>
      <c r="S106">
        <v>2.2999999999999998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7.9699999999999993E-2</v>
      </c>
      <c r="AH106">
        <v>0.85</v>
      </c>
      <c r="AI106">
        <v>0</v>
      </c>
      <c r="AJ106">
        <v>7.9699999999999993E-2</v>
      </c>
      <c r="AK106">
        <v>265</v>
      </c>
      <c r="AZ106" t="s">
        <v>1920</v>
      </c>
      <c r="BA106" t="s">
        <v>1940</v>
      </c>
      <c r="BB106">
        <v>274</v>
      </c>
    </row>
    <row r="107" spans="1:54" x14ac:dyDescent="0.25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143.04490000000001</v>
      </c>
      <c r="G107">
        <v>176266240</v>
      </c>
      <c r="H107" t="s">
        <v>1438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 t="s">
        <v>1545</v>
      </c>
      <c r="R107">
        <v>0.84373944999999995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 x14ac:dyDescent="0.25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264.68680000000001</v>
      </c>
      <c r="G108">
        <v>312405580</v>
      </c>
      <c r="H108" t="s">
        <v>1439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 t="s">
        <v>1546</v>
      </c>
      <c r="R108">
        <v>0.84373944999999995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6.4399999999999999E-2</v>
      </c>
      <c r="AH108">
        <v>0.91</v>
      </c>
      <c r="AI108">
        <v>0</v>
      </c>
      <c r="AJ108">
        <v>6.4399999999999999E-2</v>
      </c>
      <c r="AK108">
        <v>191</v>
      </c>
      <c r="AZ108" t="s">
        <v>1920</v>
      </c>
      <c r="BA108" t="s">
        <v>1940</v>
      </c>
      <c r="BB108">
        <v>241</v>
      </c>
    </row>
    <row r="109" spans="1:54" x14ac:dyDescent="0.25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41.781869999999998</v>
      </c>
      <c r="G109">
        <v>966936200</v>
      </c>
      <c r="H109" t="s">
        <v>1439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0.84373944999999995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 x14ac:dyDescent="0.25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Q110" t="s">
        <v>1548</v>
      </c>
      <c r="R110">
        <v>0.84373944999999995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 x14ac:dyDescent="0.25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56.127319999999997</v>
      </c>
      <c r="G111">
        <v>856618700</v>
      </c>
      <c r="H111" t="s">
        <v>1438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 t="s">
        <v>1549</v>
      </c>
      <c r="R111">
        <v>0.84373944999999995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 x14ac:dyDescent="0.25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282.63350000000003</v>
      </c>
      <c r="G112">
        <v>70614380</v>
      </c>
      <c r="H112" t="s">
        <v>1438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 t="s">
        <v>1550</v>
      </c>
      <c r="R112">
        <v>0.84373944999999995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 x14ac:dyDescent="0.25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62.613079999999997</v>
      </c>
      <c r="G113">
        <v>679100000</v>
      </c>
      <c r="H113" t="s">
        <v>1438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 t="s">
        <v>1551</v>
      </c>
      <c r="R113">
        <v>0.84373944999999995</v>
      </c>
      <c r="S113">
        <v>1.53</v>
      </c>
      <c r="T113">
        <v>32.869999999999997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 x14ac:dyDescent="0.25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77.846050000000005</v>
      </c>
      <c r="G114">
        <v>423650360</v>
      </c>
      <c r="H114" t="s">
        <v>1439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 t="s">
        <v>1552</v>
      </c>
      <c r="R114">
        <v>0.84373944999999995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 x14ac:dyDescent="0.25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818.00649999999996</v>
      </c>
      <c r="G115">
        <v>443477080</v>
      </c>
      <c r="H115" t="s">
        <v>1439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0.84373944999999995</v>
      </c>
      <c r="S115">
        <v>2.4500000000000002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 x14ac:dyDescent="0.25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 t="s">
        <v>1554</v>
      </c>
      <c r="R116">
        <v>0.84373944999999995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 x14ac:dyDescent="0.25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 t="s">
        <v>1555</v>
      </c>
      <c r="R117">
        <v>0.84373944999999995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 x14ac:dyDescent="0.25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97.320369999999997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0.84373944999999995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 x14ac:dyDescent="0.25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96.714449999999999</v>
      </c>
      <c r="G119">
        <v>672659300</v>
      </c>
      <c r="H119" t="s">
        <v>1438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 t="s">
        <v>1557</v>
      </c>
      <c r="R119">
        <v>1.152273E-2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 x14ac:dyDescent="0.25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358.89229999999998</v>
      </c>
      <c r="G120">
        <v>249248170</v>
      </c>
      <c r="H120" t="s">
        <v>1439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0.84373944999999995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 x14ac:dyDescent="0.25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88.573139999999995</v>
      </c>
      <c r="G121">
        <v>435470060</v>
      </c>
      <c r="H121" t="s">
        <v>1438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0.84373944999999995</v>
      </c>
      <c r="S121">
        <v>2.5299999999999998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 x14ac:dyDescent="0.25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29.510159999999999</v>
      </c>
      <c r="G122">
        <v>1864277000</v>
      </c>
      <c r="H122" t="s">
        <v>1439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 t="s">
        <v>1560</v>
      </c>
      <c r="R122">
        <v>0.84373944999999995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 x14ac:dyDescent="0.25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343.31799999999998</v>
      </c>
      <c r="G123">
        <v>137786040</v>
      </c>
      <c r="H123" t="s">
        <v>1438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0.84373944999999995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 x14ac:dyDescent="0.25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410.41989999999998</v>
      </c>
      <c r="G124">
        <v>37678110</v>
      </c>
      <c r="H124" t="s">
        <v>1438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 t="s">
        <v>1562</v>
      </c>
      <c r="R124">
        <v>0.84373944999999995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 x14ac:dyDescent="0.25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 t="s">
        <v>1563</v>
      </c>
      <c r="R125">
        <v>0.84373944999999995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 x14ac:dyDescent="0.25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 t="s">
        <v>1564</v>
      </c>
      <c r="R126">
        <v>0.84373944999999995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 x14ac:dyDescent="0.25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145.65620000000001</v>
      </c>
      <c r="G127">
        <v>298123540</v>
      </c>
      <c r="H127" t="s">
        <v>1438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 t="s">
        <v>1565</v>
      </c>
      <c r="R127">
        <v>0.84373944999999995</v>
      </c>
      <c r="S127">
        <v>3.37</v>
      </c>
      <c r="T127">
        <v>29.22</v>
      </c>
      <c r="U127">
        <v>0.56000000000000005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0.56000000000000005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 x14ac:dyDescent="0.25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180.74760000000001</v>
      </c>
      <c r="G128">
        <v>716051600</v>
      </c>
      <c r="H128" t="s">
        <v>1438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 t="s">
        <v>1566</v>
      </c>
      <c r="R128">
        <v>0.84373944999999995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 x14ac:dyDescent="0.25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177.99969999999999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 t="s">
        <v>1567</v>
      </c>
      <c r="R129">
        <v>0.84373944999999995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 x14ac:dyDescent="0.25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 t="s">
        <v>1568</v>
      </c>
      <c r="R130">
        <v>0.84373944999999995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 x14ac:dyDescent="0.25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423.27190000000002</v>
      </c>
      <c r="G131">
        <v>270827060</v>
      </c>
      <c r="H131" t="s">
        <v>1438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 t="s">
        <v>1569</v>
      </c>
      <c r="R131">
        <v>0.84373944999999995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 x14ac:dyDescent="0.25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111.65730000000001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 t="s">
        <v>1570</v>
      </c>
      <c r="R132">
        <v>0.84373944999999995</v>
      </c>
      <c r="S132">
        <v>1.27</v>
      </c>
      <c r="T132">
        <v>66.989999999999995</v>
      </c>
      <c r="U132">
        <v>0.94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0.94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 x14ac:dyDescent="0.25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52.645499999999998</v>
      </c>
      <c r="G133">
        <v>652948400</v>
      </c>
      <c r="H133" t="s">
        <v>1438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 t="s">
        <v>1571</v>
      </c>
      <c r="R133">
        <v>0.84373944999999995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 x14ac:dyDescent="0.25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30.005120000000002</v>
      </c>
      <c r="G134">
        <v>634800000</v>
      </c>
      <c r="H134" t="s">
        <v>1438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 t="s">
        <v>1572</v>
      </c>
      <c r="R134">
        <v>0.84373944999999995</v>
      </c>
      <c r="S134">
        <v>2.4900000000000002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 x14ac:dyDescent="0.25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70.199690000000004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0.84373944999999995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 x14ac:dyDescent="0.25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 t="s">
        <v>1574</v>
      </c>
      <c r="R136">
        <v>0.84373944999999995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 x14ac:dyDescent="0.25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142.56700000000001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 t="s">
        <v>1575</v>
      </c>
      <c r="R137">
        <v>0.84373944999999995</v>
      </c>
      <c r="S137">
        <v>2.2599999999999998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 x14ac:dyDescent="0.25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95.920810000000003</v>
      </c>
      <c r="G138">
        <v>220070620</v>
      </c>
      <c r="H138" t="s">
        <v>1438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 t="s">
        <v>1576</v>
      </c>
      <c r="R138">
        <v>0.84373944999999995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 x14ac:dyDescent="0.25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96.705920000000006</v>
      </c>
      <c r="G139">
        <v>208695820</v>
      </c>
      <c r="H139" t="s">
        <v>1439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 t="s">
        <v>1577</v>
      </c>
      <c r="R139">
        <v>0.84373944999999995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 x14ac:dyDescent="0.25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52.824710000000003</v>
      </c>
      <c r="G140">
        <v>853433650</v>
      </c>
      <c r="H140" t="s">
        <v>1438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 t="s">
        <v>1578</v>
      </c>
      <c r="R140">
        <v>0.84373944999999995</v>
      </c>
      <c r="S140">
        <v>1.94</v>
      </c>
      <c r="T140">
        <v>42.61</v>
      </c>
      <c r="U140">
        <v>0.94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0.36109999999999998</v>
      </c>
      <c r="AG140" t="s">
        <v>1905</v>
      </c>
      <c r="AH140">
        <v>0.94</v>
      </c>
      <c r="AI140">
        <v>0</v>
      </c>
      <c r="AJ140">
        <v>0.36109999999999998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 x14ac:dyDescent="0.25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 t="s">
        <v>1579</v>
      </c>
      <c r="R141">
        <v>0.84373944999999995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 x14ac:dyDescent="0.25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156.22970000000001</v>
      </c>
      <c r="G142">
        <v>137134460</v>
      </c>
      <c r="H142" t="s">
        <v>1438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 t="s">
        <v>1580</v>
      </c>
      <c r="R142">
        <v>0.84373944999999995</v>
      </c>
      <c r="S142">
        <v>0.56000000000000005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 x14ac:dyDescent="0.25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21.428570000000001</v>
      </c>
      <c r="G143">
        <v>708844200</v>
      </c>
      <c r="H143" t="s">
        <v>1438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0.84373944999999995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 x14ac:dyDescent="0.25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40.262839999999997</v>
      </c>
      <c r="G144">
        <v>496470060</v>
      </c>
      <c r="H144" t="s">
        <v>1439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 t="s">
        <v>1582</v>
      </c>
      <c r="R144">
        <v>0.84373944999999995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 x14ac:dyDescent="0.25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119.42310000000001</v>
      </c>
      <c r="G145">
        <v>207587800</v>
      </c>
      <c r="H145" t="s">
        <v>1438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 t="s">
        <v>1583</v>
      </c>
      <c r="R145">
        <v>0.84373944999999995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0.30399999999999999</v>
      </c>
      <c r="AH145">
        <v>0.76</v>
      </c>
      <c r="AI145">
        <v>0</v>
      </c>
      <c r="AJ145">
        <v>0.30399999999999999</v>
      </c>
      <c r="AK145">
        <v>273</v>
      </c>
      <c r="AW145" t="s">
        <v>1917</v>
      </c>
      <c r="AZ145" t="s">
        <v>1923</v>
      </c>
      <c r="BA145" t="s">
        <v>1941</v>
      </c>
    </row>
    <row r="146" spans="1:54" x14ac:dyDescent="0.25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 t="s">
        <v>1584</v>
      </c>
      <c r="R146">
        <v>0.84373944999999995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0.50749999999999995</v>
      </c>
      <c r="AH146">
        <v>0.7</v>
      </c>
      <c r="AI146">
        <v>0</v>
      </c>
      <c r="AJ146">
        <v>0.50749999999999995</v>
      </c>
      <c r="AK146">
        <v>224</v>
      </c>
      <c r="AW146" t="s">
        <v>1917</v>
      </c>
      <c r="AZ146" t="s">
        <v>1923</v>
      </c>
      <c r="BA146" t="s">
        <v>1941</v>
      </c>
    </row>
    <row r="147" spans="1:54" x14ac:dyDescent="0.25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65.983959999999996</v>
      </c>
      <c r="G147">
        <v>418716670</v>
      </c>
      <c r="H147" t="s">
        <v>1438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 t="s">
        <v>1585</v>
      </c>
      <c r="R147">
        <v>0.84373944999999995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 x14ac:dyDescent="0.25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296.64620000000002</v>
      </c>
      <c r="G148">
        <v>389300000</v>
      </c>
      <c r="H148" t="s">
        <v>1438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 t="s">
        <v>1586</v>
      </c>
      <c r="R148">
        <v>0.84373944999999995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 x14ac:dyDescent="0.25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84.673159999999996</v>
      </c>
      <c r="G149">
        <v>457000000</v>
      </c>
      <c r="H149" t="s">
        <v>1439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 t="s">
        <v>1587</v>
      </c>
      <c r="R149">
        <v>0.84373944999999995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 x14ac:dyDescent="0.25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 t="s">
        <v>1588</v>
      </c>
      <c r="R150">
        <v>0.84373944999999995</v>
      </c>
      <c r="S150">
        <v>0.89</v>
      </c>
      <c r="T150">
        <v>65.459999999999994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 x14ac:dyDescent="0.25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47.448369999999997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 t="s">
        <v>1589</v>
      </c>
      <c r="R151">
        <v>0.84373944999999995</v>
      </c>
      <c r="S151">
        <v>0.65</v>
      </c>
      <c r="T151">
        <v>39.119999999999997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4.3999999999999997E-2</v>
      </c>
      <c r="AH151">
        <v>0.66</v>
      </c>
      <c r="AI151">
        <v>0</v>
      </c>
      <c r="AJ151">
        <v>4.3999999999999997E-2</v>
      </c>
      <c r="AK151">
        <v>58</v>
      </c>
      <c r="AZ151" t="s">
        <v>1920</v>
      </c>
      <c r="BA151" t="s">
        <v>1940</v>
      </c>
      <c r="BB151">
        <v>272</v>
      </c>
    </row>
    <row r="152" spans="1:54" x14ac:dyDescent="0.25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69.832740000000001</v>
      </c>
      <c r="G152">
        <v>587100000</v>
      </c>
      <c r="H152" t="s">
        <v>1438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 t="s">
        <v>1590</v>
      </c>
      <c r="R152">
        <v>0.84373944999999995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 x14ac:dyDescent="0.25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146.27070000000001</v>
      </c>
      <c r="G153">
        <v>250207300</v>
      </c>
      <c r="H153" t="s">
        <v>1439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 t="s">
        <v>1591</v>
      </c>
      <c r="R153">
        <v>0.84373944999999995</v>
      </c>
      <c r="S153">
        <v>0.5</v>
      </c>
      <c r="T153">
        <v>45.65</v>
      </c>
      <c r="U153">
        <v>0.56999999999999995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0.56999999999999995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 x14ac:dyDescent="0.25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 t="s">
        <v>1592</v>
      </c>
      <c r="R154">
        <v>0.84373944999999995</v>
      </c>
      <c r="S154">
        <v>18.68</v>
      </c>
      <c r="T154">
        <v>69.680000000000007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 x14ac:dyDescent="0.25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607.33910000000003</v>
      </c>
      <c r="G155">
        <v>946456800</v>
      </c>
      <c r="H155" t="s">
        <v>1438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 t="s">
        <v>1593</v>
      </c>
      <c r="R155">
        <v>0.84373944999999995</v>
      </c>
      <c r="S155">
        <v>2.5499999999999998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 x14ac:dyDescent="0.25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520.77149999999995</v>
      </c>
      <c r="G156">
        <v>44764250</v>
      </c>
      <c r="H156" t="s">
        <v>1438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 t="s">
        <v>1594</v>
      </c>
      <c r="R156">
        <v>0.84373944999999995</v>
      </c>
      <c r="S156">
        <v>1.86</v>
      </c>
      <c r="T156">
        <v>33.380000000000003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 x14ac:dyDescent="0.25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114.15770000000001</v>
      </c>
      <c r="G157">
        <v>562800000</v>
      </c>
      <c r="H157" t="s">
        <v>1438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0.84373944999999995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 x14ac:dyDescent="0.25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14.942819999999999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0.84373944999999995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8.9999999999999993E-3</v>
      </c>
      <c r="AF158" t="s">
        <v>1903</v>
      </c>
      <c r="AG158" t="s">
        <v>1904</v>
      </c>
      <c r="AI158">
        <v>8.9999999999999993E-3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 x14ac:dyDescent="0.25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76.233149999999995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 t="s">
        <v>1597</v>
      </c>
      <c r="R159">
        <v>0.84373944999999995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0.53559999999999997</v>
      </c>
      <c r="AH159">
        <v>0.97</v>
      </c>
      <c r="AI159">
        <v>0</v>
      </c>
      <c r="AJ159">
        <v>0.53559999999999997</v>
      </c>
      <c r="AK159">
        <v>349</v>
      </c>
      <c r="AW159" t="s">
        <v>1917</v>
      </c>
      <c r="AZ159" t="s">
        <v>1923</v>
      </c>
      <c r="BA159" t="s">
        <v>1941</v>
      </c>
    </row>
    <row r="160" spans="1:54" x14ac:dyDescent="0.25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0.84373944999999995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 x14ac:dyDescent="0.25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103.35380000000001</v>
      </c>
      <c r="G161">
        <v>545993400</v>
      </c>
      <c r="H161" t="s">
        <v>1438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 t="s">
        <v>1599</v>
      </c>
      <c r="R161">
        <v>0.84373944999999995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 x14ac:dyDescent="0.25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44.350569999999998</v>
      </c>
      <c r="G162">
        <v>624063100</v>
      </c>
      <c r="H162" t="s">
        <v>1438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 t="s">
        <v>1600</v>
      </c>
      <c r="R162">
        <v>0.84373944999999995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 x14ac:dyDescent="0.25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 t="s">
        <v>1601</v>
      </c>
      <c r="R163">
        <v>0.84373944999999995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 x14ac:dyDescent="0.25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671.16399999999999</v>
      </c>
      <c r="G164">
        <v>97863980</v>
      </c>
      <c r="H164" t="s">
        <v>1439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0.84373944999999995</v>
      </c>
      <c r="S164">
        <v>1.41</v>
      </c>
      <c r="T164">
        <v>72.599999999999994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 x14ac:dyDescent="0.25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55.692100000000003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0.84373944999999995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 x14ac:dyDescent="0.25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77.854579999999999</v>
      </c>
      <c r="G166">
        <v>234347410</v>
      </c>
      <c r="H166" t="s">
        <v>1438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 t="s">
        <v>1604</v>
      </c>
      <c r="R166">
        <v>0.84373944999999995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 x14ac:dyDescent="0.25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 t="s">
        <v>1605</v>
      </c>
      <c r="R167">
        <v>0.84373944999999995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 x14ac:dyDescent="0.25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38.368319999999997</v>
      </c>
      <c r="G168">
        <v>1009987300</v>
      </c>
      <c r="H168" t="s">
        <v>1439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0.84373944999999995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 x14ac:dyDescent="0.25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80.781710000000004</v>
      </c>
      <c r="G169">
        <v>238145680</v>
      </c>
      <c r="H169" t="s">
        <v>1439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0.84373944999999995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 x14ac:dyDescent="0.25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183.31630000000001</v>
      </c>
      <c r="G170">
        <v>118192130</v>
      </c>
      <c r="H170" t="s">
        <v>1439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 t="s">
        <v>1608</v>
      </c>
      <c r="R170">
        <v>0.84373944999999995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 x14ac:dyDescent="0.25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0.84373944999999995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 x14ac:dyDescent="0.25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94.965010000000007</v>
      </c>
      <c r="G172">
        <v>4263247000</v>
      </c>
      <c r="H172" t="s">
        <v>1438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 t="s">
        <v>1610</v>
      </c>
      <c r="R172">
        <v>0.84373944999999995</v>
      </c>
      <c r="S172">
        <v>5.73</v>
      </c>
      <c r="T172">
        <v>35.340000000000003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 x14ac:dyDescent="0.25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270.72030000000001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0.84373944999999995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 x14ac:dyDescent="0.25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1208.3119999999999</v>
      </c>
      <c r="G174">
        <v>24003656</v>
      </c>
      <c r="H174" t="s">
        <v>1438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 t="s">
        <v>1612</v>
      </c>
      <c r="R174">
        <v>0.84373944999999995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 x14ac:dyDescent="0.25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43.002220000000001</v>
      </c>
      <c r="G175">
        <v>1147636600</v>
      </c>
      <c r="H175" t="s">
        <v>1439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 t="s">
        <v>1613</v>
      </c>
      <c r="R175">
        <v>0.84373944999999995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 x14ac:dyDescent="0.25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0.84373944999999995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 x14ac:dyDescent="0.25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199.36850000000001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 t="s">
        <v>1615</v>
      </c>
      <c r="R177">
        <v>1.152273E-2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 x14ac:dyDescent="0.25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 t="s">
        <v>1616</v>
      </c>
      <c r="R178">
        <v>0.84373944999999995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 x14ac:dyDescent="0.25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 t="s">
        <v>1617</v>
      </c>
      <c r="R179">
        <v>0.84373944999999995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 x14ac:dyDescent="0.25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 t="s">
        <v>1618</v>
      </c>
      <c r="R180">
        <v>0.84373944999999995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 x14ac:dyDescent="0.25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 t="s">
        <v>1619</v>
      </c>
      <c r="R181">
        <v>0.84373944999999995</v>
      </c>
      <c r="S181">
        <v>4.26</v>
      </c>
      <c r="T181">
        <v>72.150000000000006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 x14ac:dyDescent="0.25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37.369860000000003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0.84373944999999995</v>
      </c>
      <c r="S182">
        <v>2.0699999999999998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9.4E-2</v>
      </c>
      <c r="AH182">
        <v>0.86</v>
      </c>
      <c r="AI182">
        <v>0.01</v>
      </c>
      <c r="AJ182">
        <v>9.4E-2</v>
      </c>
      <c r="AK182">
        <v>234</v>
      </c>
      <c r="AV182" t="s">
        <v>1916</v>
      </c>
      <c r="AZ182" t="s">
        <v>1933</v>
      </c>
      <c r="BA182" t="s">
        <v>1941</v>
      </c>
    </row>
    <row r="183" spans="1:54" x14ac:dyDescent="0.25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 t="s">
        <v>1621</v>
      </c>
      <c r="R183">
        <v>0.84373944999999995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 x14ac:dyDescent="0.25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44.307899999999997</v>
      </c>
      <c r="G184">
        <v>375324830</v>
      </c>
      <c r="H184" t="s">
        <v>1439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 t="s">
        <v>1622</v>
      </c>
      <c r="R184">
        <v>0.84373944999999995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 x14ac:dyDescent="0.25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 t="s">
        <v>1623</v>
      </c>
      <c r="R185">
        <v>1.152273E-2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 x14ac:dyDescent="0.25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0.84373944999999995</v>
      </c>
      <c r="S186">
        <v>0.57999999999999996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 x14ac:dyDescent="0.25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 t="s">
        <v>1625</v>
      </c>
      <c r="R187">
        <v>0.84373944999999995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 x14ac:dyDescent="0.25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36.934629999999999</v>
      </c>
      <c r="G188">
        <v>1435774200</v>
      </c>
      <c r="H188" t="s">
        <v>1438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 t="s">
        <v>1626</v>
      </c>
      <c r="R188">
        <v>0.84373944999999995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 x14ac:dyDescent="0.25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 t="s">
        <v>1627</v>
      </c>
      <c r="R189">
        <v>0.84373944999999995</v>
      </c>
      <c r="S189">
        <v>2.65</v>
      </c>
      <c r="T189">
        <v>38.869999999999997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 x14ac:dyDescent="0.25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213.26159999999999</v>
      </c>
      <c r="G190">
        <v>75735794</v>
      </c>
      <c r="H190" t="s">
        <v>1438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 t="s">
        <v>1628</v>
      </c>
      <c r="R190">
        <v>0.84373944999999995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 x14ac:dyDescent="0.25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227.45349999999999</v>
      </c>
      <c r="G191">
        <v>1060439300</v>
      </c>
      <c r="H191" t="s">
        <v>1438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0.84373944999999995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 x14ac:dyDescent="0.25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64.191839999999999</v>
      </c>
      <c r="G192">
        <v>456562040</v>
      </c>
      <c r="H192" t="s">
        <v>1439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 t="s">
        <v>1630</v>
      </c>
      <c r="R192">
        <v>0.84373944999999995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 x14ac:dyDescent="0.25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518.06619999999998</v>
      </c>
      <c r="G193">
        <v>272223940</v>
      </c>
      <c r="H193" t="s">
        <v>1438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 t="s">
        <v>1631</v>
      </c>
      <c r="R193">
        <v>0.84373944999999995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 x14ac:dyDescent="0.25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 t="s">
        <v>1632</v>
      </c>
      <c r="R194">
        <v>0.84373944999999995</v>
      </c>
      <c r="S194">
        <v>1.94</v>
      </c>
      <c r="T194">
        <v>59.66</v>
      </c>
      <c r="U194">
        <v>0.94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0.94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 x14ac:dyDescent="0.25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272.75130000000001</v>
      </c>
      <c r="G195">
        <v>268993350</v>
      </c>
      <c r="H195" t="s">
        <v>1438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0.84373944999999995</v>
      </c>
      <c r="S195">
        <v>1.05</v>
      </c>
      <c r="T195">
        <v>35.04</v>
      </c>
      <c r="U195">
        <v>0.94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0.94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 x14ac:dyDescent="0.25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42.823009999999996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0.84373944999999995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 x14ac:dyDescent="0.25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49.812249999999999</v>
      </c>
      <c r="G197">
        <v>952077800</v>
      </c>
      <c r="H197" t="s">
        <v>1438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 t="s">
        <v>1635</v>
      </c>
      <c r="R197">
        <v>0.84373944999999995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 x14ac:dyDescent="0.25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 t="s">
        <v>1636</v>
      </c>
      <c r="R198">
        <v>0.84373944999999995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 x14ac:dyDescent="0.25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97.943330000000003</v>
      </c>
      <c r="G199">
        <v>1240806900</v>
      </c>
      <c r="H199" t="s">
        <v>1439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 t="s">
        <v>1637</v>
      </c>
      <c r="R199">
        <v>0.84373944999999995</v>
      </c>
      <c r="S199">
        <v>0.56999999999999995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 x14ac:dyDescent="0.25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76.813450000000003</v>
      </c>
      <c r="G200">
        <v>242607100</v>
      </c>
      <c r="H200" t="s">
        <v>1438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 t="s">
        <v>1638</v>
      </c>
      <c r="R200">
        <v>0.84373944999999995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 x14ac:dyDescent="0.25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 t="s">
        <v>1639</v>
      </c>
      <c r="R201">
        <v>0.84373944999999995</v>
      </c>
      <c r="S201">
        <v>1.6</v>
      </c>
      <c r="T201">
        <v>53.2</v>
      </c>
      <c r="U201">
        <v>0.56000000000000005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0.56000000000000005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 x14ac:dyDescent="0.25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 t="s">
        <v>1640</v>
      </c>
      <c r="R202">
        <v>0.84373944999999995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 x14ac:dyDescent="0.25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 t="s">
        <v>1641</v>
      </c>
      <c r="R203">
        <v>0.84373944999999995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 x14ac:dyDescent="0.25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19.004950000000001</v>
      </c>
      <c r="G204">
        <v>852602100</v>
      </c>
      <c r="H204" t="s">
        <v>1438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 t="s">
        <v>1642</v>
      </c>
      <c r="R204">
        <v>0.84373944999999995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 x14ac:dyDescent="0.25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 t="s">
        <v>1643</v>
      </c>
      <c r="R205">
        <v>0.84373944999999995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 x14ac:dyDescent="0.25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345.59649999999999</v>
      </c>
      <c r="G206">
        <v>233993500</v>
      </c>
      <c r="H206" t="s">
        <v>1438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 t="s">
        <v>1644</v>
      </c>
      <c r="R206">
        <v>0.84373944999999995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 x14ac:dyDescent="0.25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154.83019999999999</v>
      </c>
      <c r="G207">
        <v>148110720</v>
      </c>
      <c r="H207" t="s">
        <v>1438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 t="s">
        <v>1645</v>
      </c>
      <c r="R207">
        <v>0.84373944999999995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 x14ac:dyDescent="0.25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19.158560000000001</v>
      </c>
      <c r="G208">
        <v>1312215600</v>
      </c>
      <c r="H208" t="s">
        <v>1438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 t="s">
        <v>1646</v>
      </c>
      <c r="R208">
        <v>0.84373944999999995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 x14ac:dyDescent="0.25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 t="s">
        <v>1647</v>
      </c>
      <c r="R209">
        <v>0.84373944999999995</v>
      </c>
      <c r="S209">
        <v>4.3499999999999996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 x14ac:dyDescent="0.25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 t="s">
        <v>1648</v>
      </c>
      <c r="R210">
        <v>0.84373944999999995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 x14ac:dyDescent="0.25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190.16040000000001</v>
      </c>
      <c r="G211">
        <v>634896550</v>
      </c>
      <c r="H211" t="s">
        <v>1439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 t="s">
        <v>1649</v>
      </c>
      <c r="R211">
        <v>0.84373944999999995</v>
      </c>
      <c r="S211">
        <v>0.56000000000000005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 x14ac:dyDescent="0.25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145.92930000000001</v>
      </c>
      <c r="G212">
        <v>403126300</v>
      </c>
      <c r="H212" t="s">
        <v>1438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 t="s">
        <v>1650</v>
      </c>
      <c r="R212">
        <v>0.84373944999999995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 x14ac:dyDescent="0.25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23.672979999999999</v>
      </c>
      <c r="G213">
        <v>939272900</v>
      </c>
      <c r="H213" t="s">
        <v>1438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0.84373944999999995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 x14ac:dyDescent="0.25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1438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0.84373944999999995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 x14ac:dyDescent="0.25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404.76190000000003</v>
      </c>
      <c r="G215">
        <v>52693110</v>
      </c>
      <c r="H215" t="s">
        <v>1438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 t="s">
        <v>1653</v>
      </c>
      <c r="R215">
        <v>0.84373944999999995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 x14ac:dyDescent="0.25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255.59819999999999</v>
      </c>
      <c r="G216">
        <v>120271820</v>
      </c>
      <c r="H216" t="s">
        <v>1438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 t="s">
        <v>1654</v>
      </c>
      <c r="R216">
        <v>0.84373944999999995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 x14ac:dyDescent="0.25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14.814819999999999</v>
      </c>
      <c r="G217">
        <v>1465886400</v>
      </c>
      <c r="H217" t="s">
        <v>1439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 t="s">
        <v>1655</v>
      </c>
      <c r="R217">
        <v>0.84373944999999995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 x14ac:dyDescent="0.25">
      <c r="A218">
        <v>239</v>
      </c>
      <c r="B218" t="s">
        <v>64</v>
      </c>
      <c r="C218" t="s">
        <v>766</v>
      </c>
      <c r="D218" t="s">
        <v>67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 t="s">
        <v>1656</v>
      </c>
      <c r="R218">
        <v>0.84373944999999995</v>
      </c>
      <c r="S218">
        <v>1.03</v>
      </c>
      <c r="T218">
        <v>70.06</v>
      </c>
      <c r="U218">
        <v>0.94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0.94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 x14ac:dyDescent="0.25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550.90459999999996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 t="s">
        <v>1657</v>
      </c>
      <c r="R219">
        <v>0.84373944999999995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 x14ac:dyDescent="0.25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229.91130000000001</v>
      </c>
      <c r="G220">
        <v>291500000</v>
      </c>
      <c r="H220" t="s">
        <v>1438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 t="s">
        <v>1658</v>
      </c>
      <c r="R220">
        <v>0.84373944999999995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 x14ac:dyDescent="0.25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68.808670000000006</v>
      </c>
      <c r="G221">
        <v>397452500</v>
      </c>
      <c r="H221" t="s">
        <v>1438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 t="s">
        <v>1659</v>
      </c>
      <c r="R221">
        <v>0.84373944999999995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 x14ac:dyDescent="0.25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0.84373944999999995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 x14ac:dyDescent="0.25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282.27510000000001</v>
      </c>
      <c r="G223">
        <v>70392530</v>
      </c>
      <c r="H223" t="s">
        <v>1439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0.84373944999999995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 x14ac:dyDescent="0.25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21.164020000000001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 t="s">
        <v>1662</v>
      </c>
      <c r="R224">
        <v>0.84373944999999995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 x14ac:dyDescent="0.25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 t="s">
        <v>1663</v>
      </c>
      <c r="R225">
        <v>0.84373944999999995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 x14ac:dyDescent="0.25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 t="s">
        <v>1664</v>
      </c>
      <c r="R226">
        <v>0.84373944999999995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 x14ac:dyDescent="0.25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41.722140000000003</v>
      </c>
      <c r="G227">
        <v>527982100</v>
      </c>
      <c r="H227" t="s">
        <v>1438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 t="s">
        <v>1665</v>
      </c>
      <c r="R227">
        <v>0.84373944999999995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 x14ac:dyDescent="0.25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565.50599999999997</v>
      </c>
      <c r="G228">
        <v>278947000</v>
      </c>
      <c r="H228" t="s">
        <v>1439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0.84373944999999995</v>
      </c>
      <c r="S228">
        <v>17.989999999999998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 x14ac:dyDescent="0.25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 t="s">
        <v>1667</v>
      </c>
      <c r="R229">
        <v>0.84373944999999995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 x14ac:dyDescent="0.25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0.84373944999999995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 x14ac:dyDescent="0.25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80.098990000000001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0.84373944999999995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 x14ac:dyDescent="0.25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179.07490000000001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 t="s">
        <v>1670</v>
      </c>
      <c r="R232">
        <v>0.84373944999999995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 x14ac:dyDescent="0.25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0.84373944999999995</v>
      </c>
      <c r="S233">
        <v>0.59</v>
      </c>
      <c r="T233">
        <v>64.510000000000005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 x14ac:dyDescent="0.25">
      <c r="A234">
        <v>256</v>
      </c>
      <c r="B234" t="s">
        <v>18</v>
      </c>
      <c r="C234" t="s">
        <v>782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1438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0.84373944999999995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 x14ac:dyDescent="0.25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91.534390000000002</v>
      </c>
      <c r="G235">
        <v>654385440</v>
      </c>
      <c r="H235" t="s">
        <v>1438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 t="s">
        <v>1673</v>
      </c>
      <c r="R235">
        <v>0.84373944999999995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 x14ac:dyDescent="0.25">
      <c r="A236">
        <v>258</v>
      </c>
      <c r="B236" t="s">
        <v>19</v>
      </c>
      <c r="C236" t="s">
        <v>784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1438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0.84373944999999995</v>
      </c>
      <c r="S236">
        <v>1.76</v>
      </c>
      <c r="T236">
        <v>47.38</v>
      </c>
      <c r="U236">
        <v>0.94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0.94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 x14ac:dyDescent="0.25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68.399050000000003</v>
      </c>
      <c r="G237">
        <v>347669200</v>
      </c>
      <c r="H237" t="s">
        <v>1438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0.84373944999999995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 x14ac:dyDescent="0.25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 t="s">
        <v>1676</v>
      </c>
      <c r="R238">
        <v>0.84373944999999995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 x14ac:dyDescent="0.25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29.983779999999999</v>
      </c>
      <c r="G239">
        <v>1358435300</v>
      </c>
      <c r="H239" t="s">
        <v>1439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 t="s">
        <v>1677</v>
      </c>
      <c r="R239">
        <v>0.84373944999999995</v>
      </c>
      <c r="S239">
        <v>0.81</v>
      </c>
      <c r="T239">
        <v>49.72</v>
      </c>
      <c r="U239">
        <v>0.94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0.94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 x14ac:dyDescent="0.25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16.197299999999998</v>
      </c>
      <c r="G240">
        <v>1096515900</v>
      </c>
      <c r="H240" t="s">
        <v>1438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 t="s">
        <v>1678</v>
      </c>
      <c r="R240">
        <v>0.84373944999999995</v>
      </c>
      <c r="S240">
        <v>2.8</v>
      </c>
      <c r="T240">
        <v>39.979999999999997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 x14ac:dyDescent="0.25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142.40479999999999</v>
      </c>
      <c r="G241">
        <v>172108860</v>
      </c>
      <c r="H241" t="s">
        <v>1438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0.84373944999999995</v>
      </c>
      <c r="S241">
        <v>2.17</v>
      </c>
      <c r="T241">
        <v>56.63</v>
      </c>
      <c r="U241">
        <v>0.94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0.94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 x14ac:dyDescent="0.25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 t="s">
        <v>1680</v>
      </c>
      <c r="R242">
        <v>0.84373944999999995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 x14ac:dyDescent="0.25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 t="s">
        <v>1681</v>
      </c>
      <c r="R243">
        <v>0.84373944999999995</v>
      </c>
      <c r="S243">
        <v>2.0499999999999998</v>
      </c>
      <c r="T243">
        <v>40.270000000000003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 x14ac:dyDescent="0.25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120.98480000000001</v>
      </c>
      <c r="G244">
        <v>890948700</v>
      </c>
      <c r="H244" t="s">
        <v>1438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 t="s">
        <v>1682</v>
      </c>
      <c r="R244">
        <v>0.84373944999999995</v>
      </c>
      <c r="S244">
        <v>5.16</v>
      </c>
      <c r="T244">
        <v>33.869999999999997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 x14ac:dyDescent="0.25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742.68650000000002</v>
      </c>
      <c r="G245">
        <v>131961360</v>
      </c>
      <c r="H245" t="s">
        <v>1439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 t="s">
        <v>1683</v>
      </c>
      <c r="R245">
        <v>0.84373944999999995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 x14ac:dyDescent="0.25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23.946069999999999</v>
      </c>
      <c r="G246">
        <v>1183599200</v>
      </c>
      <c r="H246" t="s">
        <v>1439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 t="s">
        <v>1684</v>
      </c>
      <c r="R246">
        <v>0.84373944999999995</v>
      </c>
      <c r="S246">
        <v>1.01</v>
      </c>
      <c r="T246">
        <v>53.23</v>
      </c>
      <c r="U246">
        <v>0.94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0.94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 x14ac:dyDescent="0.25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59.361660000000001</v>
      </c>
      <c r="G247">
        <v>661155800</v>
      </c>
      <c r="H247" t="s">
        <v>1438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 t="s">
        <v>1685</v>
      </c>
      <c r="R247">
        <v>0.84373944999999995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 x14ac:dyDescent="0.25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235.33879999999999</v>
      </c>
      <c r="G248">
        <v>187094800</v>
      </c>
      <c r="H248" t="s">
        <v>1438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 t="s">
        <v>1686</v>
      </c>
      <c r="R248">
        <v>0.84373944999999995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 x14ac:dyDescent="0.25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 t="s">
        <v>1687</v>
      </c>
      <c r="R249">
        <v>0.84373944999999995</v>
      </c>
      <c r="S249">
        <v>4.1399999999999997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 x14ac:dyDescent="0.25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85.407070000000004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 t="s">
        <v>1688</v>
      </c>
      <c r="R250">
        <v>0.84373944999999995</v>
      </c>
      <c r="S250">
        <v>3.81</v>
      </c>
      <c r="T250">
        <v>49.76</v>
      </c>
      <c r="U250">
        <v>0.81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 x14ac:dyDescent="0.25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155.09469999999999</v>
      </c>
      <c r="G251">
        <v>128297330</v>
      </c>
      <c r="H251" t="s">
        <v>1438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 t="s">
        <v>1689</v>
      </c>
      <c r="R251">
        <v>0.84373944999999995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 x14ac:dyDescent="0.25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115.84739999999999</v>
      </c>
      <c r="G252">
        <v>227601640</v>
      </c>
      <c r="H252" t="s">
        <v>1438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 t="s">
        <v>1690</v>
      </c>
      <c r="R252">
        <v>0.84373944999999995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 x14ac:dyDescent="0.25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505.13740000000001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 t="s">
        <v>1691</v>
      </c>
      <c r="R253">
        <v>0.84373944999999995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 x14ac:dyDescent="0.25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87.847759999999994</v>
      </c>
      <c r="G254">
        <v>223627030</v>
      </c>
      <c r="H254" t="s">
        <v>1439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 t="s">
        <v>1692</v>
      </c>
      <c r="R254">
        <v>0.84373944999999995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 x14ac:dyDescent="0.25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 t="s">
        <v>1693</v>
      </c>
      <c r="R255">
        <v>0.84373944999999995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 x14ac:dyDescent="0.25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141.42339999999999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 t="s">
        <v>1694</v>
      </c>
      <c r="R256">
        <v>0.84373944999999995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 x14ac:dyDescent="0.25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 t="s">
        <v>1695</v>
      </c>
      <c r="R257">
        <v>0.84373944999999995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 x14ac:dyDescent="0.25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225.06399999999999</v>
      </c>
      <c r="G258">
        <v>560437700</v>
      </c>
      <c r="H258" t="s">
        <v>1438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 t="s">
        <v>1696</v>
      </c>
      <c r="R258">
        <v>0.84373944999999995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 x14ac:dyDescent="0.25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309.30189999999999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 t="s">
        <v>1697</v>
      </c>
      <c r="R259">
        <v>0.84373944999999995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 x14ac:dyDescent="0.25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177.15479999999999</v>
      </c>
      <c r="G260">
        <v>114729430</v>
      </c>
      <c r="H260" t="s">
        <v>1439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0.84373944999999995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 x14ac:dyDescent="0.25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170.45570000000001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 t="s">
        <v>1699</v>
      </c>
      <c r="R261">
        <v>0.84373944999999995</v>
      </c>
      <c r="S261">
        <v>3.15</v>
      </c>
      <c r="T261">
        <v>40.549999999999997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 x14ac:dyDescent="0.25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145.82689999999999</v>
      </c>
      <c r="G262">
        <v>304020300</v>
      </c>
      <c r="H262" t="s">
        <v>1438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 t="s">
        <v>1700</v>
      </c>
      <c r="R262">
        <v>0.84373944999999995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 x14ac:dyDescent="0.25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 t="s">
        <v>1701</v>
      </c>
      <c r="R263">
        <v>0.84373944999999995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 x14ac:dyDescent="0.25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 t="s">
        <v>1702</v>
      </c>
      <c r="R264">
        <v>0.84373944999999995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 x14ac:dyDescent="0.25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 t="s">
        <v>1703</v>
      </c>
      <c r="R265">
        <v>0.84373944999999995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 x14ac:dyDescent="0.25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518.76599999999996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0.84373944999999995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 x14ac:dyDescent="0.25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62.297319999999999</v>
      </c>
      <c r="G267">
        <v>862200000</v>
      </c>
      <c r="H267" t="s">
        <v>1439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 t="s">
        <v>1705</v>
      </c>
      <c r="R267">
        <v>0.84373944999999995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 x14ac:dyDescent="0.25">
      <c r="A268">
        <v>293</v>
      </c>
      <c r="B268" t="s">
        <v>20</v>
      </c>
      <c r="C268" t="s">
        <v>816</v>
      </c>
      <c r="D268" t="s">
        <v>45</v>
      </c>
      <c r="E268" t="s">
        <v>61</v>
      </c>
      <c r="F268">
        <v>511.14530000000002</v>
      </c>
      <c r="G268">
        <v>897274200</v>
      </c>
      <c r="H268" t="s">
        <v>1438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0.84373944999999995</v>
      </c>
      <c r="S268">
        <v>0.56999999999999995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 x14ac:dyDescent="0.25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 t="s">
        <v>1707</v>
      </c>
      <c r="R269">
        <v>0.84373944999999995</v>
      </c>
      <c r="S269">
        <v>1.0900000000000001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 x14ac:dyDescent="0.25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268.02359999999999</v>
      </c>
      <c r="G270">
        <v>713604430</v>
      </c>
      <c r="H270" t="s">
        <v>1438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 t="s">
        <v>1708</v>
      </c>
      <c r="R270">
        <v>0.84373944999999995</v>
      </c>
      <c r="S270">
        <v>0.59</v>
      </c>
      <c r="T270">
        <v>33.520000000000003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 x14ac:dyDescent="0.25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588.36829999999998</v>
      </c>
      <c r="G271">
        <v>124384390</v>
      </c>
      <c r="H271" t="s">
        <v>1438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0.84373944999999995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 x14ac:dyDescent="0.25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79.117599999999996</v>
      </c>
      <c r="G272">
        <v>1281264600</v>
      </c>
      <c r="H272" t="s">
        <v>1438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 t="s">
        <v>1710</v>
      </c>
      <c r="R272">
        <v>0.84373944999999995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 x14ac:dyDescent="0.25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2074.2620000000002</v>
      </c>
      <c r="G273">
        <v>50697376</v>
      </c>
      <c r="H273" t="s">
        <v>1439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 t="s">
        <v>1711</v>
      </c>
      <c r="R273">
        <v>0.84373944999999995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 x14ac:dyDescent="0.25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74.560509999999994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 t="s">
        <v>1712</v>
      </c>
      <c r="R274">
        <v>0.84373944999999995</v>
      </c>
      <c r="S274">
        <v>0.56000000000000005</v>
      </c>
      <c r="T274">
        <v>68.739999999999995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 x14ac:dyDescent="0.25">
      <c r="A275">
        <v>300</v>
      </c>
      <c r="B275" t="s">
        <v>21</v>
      </c>
      <c r="C275" t="s">
        <v>823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1439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 t="s">
        <v>1713</v>
      </c>
      <c r="R275">
        <v>0.84373944999999995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 x14ac:dyDescent="0.25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69.542580000000001</v>
      </c>
      <c r="G276">
        <v>665026060</v>
      </c>
      <c r="H276" t="s">
        <v>1438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 t="s">
        <v>1714</v>
      </c>
      <c r="R276">
        <v>0.84373944999999995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 x14ac:dyDescent="0.25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1127.7090000000001</v>
      </c>
      <c r="G277">
        <v>20599040</v>
      </c>
      <c r="H277" t="s">
        <v>1438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 t="s">
        <v>1715</v>
      </c>
      <c r="R277">
        <v>0.84373944999999995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 x14ac:dyDescent="0.25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59.003239999999998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 t="s">
        <v>1716</v>
      </c>
      <c r="R278">
        <v>0.84373944999999995</v>
      </c>
      <c r="S278">
        <v>3.96</v>
      </c>
      <c r="T278">
        <v>47.49</v>
      </c>
      <c r="U278">
        <v>0.57999999999999996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0.57999999999999996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 x14ac:dyDescent="0.25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 t="s">
        <v>1717</v>
      </c>
      <c r="R279">
        <v>0.84373944999999995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 x14ac:dyDescent="0.25">
      <c r="A280">
        <v>305</v>
      </c>
      <c r="B280" t="s">
        <v>22</v>
      </c>
      <c r="C280" t="s">
        <v>828</v>
      </c>
      <c r="D280" t="s">
        <v>47</v>
      </c>
      <c r="E280" t="s">
        <v>61</v>
      </c>
      <c r="F280">
        <v>432.86399999999998</v>
      </c>
      <c r="G280">
        <v>7433166500</v>
      </c>
      <c r="H280" t="s">
        <v>1439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 t="s">
        <v>1718</v>
      </c>
      <c r="R280">
        <v>0.84373944999999995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 x14ac:dyDescent="0.25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54.113329999999998</v>
      </c>
      <c r="G281">
        <v>1293945400</v>
      </c>
      <c r="H281" t="s">
        <v>1439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 t="s">
        <v>1719</v>
      </c>
      <c r="R281">
        <v>0.84373944999999995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 x14ac:dyDescent="0.25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186.94319999999999</v>
      </c>
      <c r="G282">
        <v>81714310</v>
      </c>
      <c r="H282" t="s">
        <v>1439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 t="s">
        <v>1720</v>
      </c>
      <c r="R282">
        <v>0.84373944999999995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 x14ac:dyDescent="0.25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 t="s">
        <v>1721</v>
      </c>
      <c r="R283">
        <v>0.84373944999999995</v>
      </c>
      <c r="S283">
        <v>4.1100000000000003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 x14ac:dyDescent="0.25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53.626899999999999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 t="s">
        <v>1722</v>
      </c>
      <c r="R284">
        <v>0.84373944999999995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 x14ac:dyDescent="0.25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440.35669999999999</v>
      </c>
      <c r="G285">
        <v>179400000</v>
      </c>
      <c r="H285" t="s">
        <v>1438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 t="s">
        <v>1723</v>
      </c>
      <c r="R285">
        <v>0.84373944999999995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 x14ac:dyDescent="0.25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 t="s">
        <v>1724</v>
      </c>
      <c r="R286">
        <v>0.84373944999999995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 x14ac:dyDescent="0.25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0.84373944999999995</v>
      </c>
      <c r="S287">
        <v>1.1299999999999999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 x14ac:dyDescent="0.25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43.292369999999998</v>
      </c>
      <c r="G288">
        <v>1019065900</v>
      </c>
      <c r="H288" t="s">
        <v>1438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 t="s">
        <v>1726</v>
      </c>
      <c r="R288">
        <v>0.84373944999999995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 x14ac:dyDescent="0.25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 t="s">
        <v>1727</v>
      </c>
      <c r="R289">
        <v>0.84373944999999995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 x14ac:dyDescent="0.25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80.858509999999995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 t="s">
        <v>1728</v>
      </c>
      <c r="R290">
        <v>0.84373944999999995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 x14ac:dyDescent="0.25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0.84373944999999995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 x14ac:dyDescent="0.25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0.84373944999999995</v>
      </c>
      <c r="S292">
        <v>2.0099999999999998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 x14ac:dyDescent="0.25">
      <c r="A293">
        <v>319</v>
      </c>
      <c r="B293" t="s">
        <v>23</v>
      </c>
      <c r="C293" t="s">
        <v>841</v>
      </c>
      <c r="D293" t="s">
        <v>48</v>
      </c>
      <c r="E293" t="s">
        <v>61</v>
      </c>
      <c r="F293">
        <v>1028.0340000000001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 t="s">
        <v>1731</v>
      </c>
      <c r="R293">
        <v>0.84373944999999995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 x14ac:dyDescent="0.25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60.394260000000003</v>
      </c>
      <c r="G294">
        <v>1098449700</v>
      </c>
      <c r="H294" t="s">
        <v>1438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 t="s">
        <v>1732</v>
      </c>
      <c r="R294">
        <v>0.84373944999999995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 x14ac:dyDescent="0.25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65.130570000000006</v>
      </c>
      <c r="G295">
        <v>2059292500</v>
      </c>
      <c r="H295" t="s">
        <v>1438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 t="s">
        <v>1733</v>
      </c>
      <c r="R295">
        <v>0.84373944999999995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0.43509999999999999</v>
      </c>
      <c r="AH295">
        <v>0.97</v>
      </c>
      <c r="AI295">
        <v>0</v>
      </c>
      <c r="AJ295">
        <v>0.43509999999999999</v>
      </c>
      <c r="AK295">
        <v>138</v>
      </c>
      <c r="AW295" t="s">
        <v>1917</v>
      </c>
      <c r="AZ295" t="s">
        <v>1923</v>
      </c>
      <c r="BA295" t="s">
        <v>1941</v>
      </c>
    </row>
    <row r="296" spans="1:54" x14ac:dyDescent="0.25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66.888540000000006</v>
      </c>
      <c r="G296">
        <v>1188015700</v>
      </c>
      <c r="H296" t="s">
        <v>1438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 t="s">
        <v>1734</v>
      </c>
      <c r="R296">
        <v>0.84373944999999995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 x14ac:dyDescent="0.25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36.644480000000001</v>
      </c>
      <c r="G297">
        <v>470855000</v>
      </c>
      <c r="H297" t="s">
        <v>1438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 t="s">
        <v>1735</v>
      </c>
      <c r="R297">
        <v>0.84373944999999995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 x14ac:dyDescent="0.25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 t="s">
        <v>1736</v>
      </c>
      <c r="R298">
        <v>0.84373944999999995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 x14ac:dyDescent="0.25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110.99160000000001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 t="s">
        <v>1737</v>
      </c>
      <c r="R299">
        <v>0.84373944999999995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 x14ac:dyDescent="0.25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505.58109999999999</v>
      </c>
      <c r="G300">
        <v>143182980</v>
      </c>
      <c r="H300" t="s">
        <v>1438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 t="s">
        <v>1738</v>
      </c>
      <c r="R300">
        <v>0.84373944999999995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 x14ac:dyDescent="0.25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 t="s">
        <v>1739</v>
      </c>
      <c r="R301">
        <v>0.84373944999999995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0.19089999999999999</v>
      </c>
      <c r="AH301">
        <v>0.92</v>
      </c>
      <c r="AI301">
        <v>0</v>
      </c>
      <c r="AJ301">
        <v>0.19089999999999999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 x14ac:dyDescent="0.25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11.896229999999999</v>
      </c>
      <c r="G302">
        <v>3768057900</v>
      </c>
      <c r="H302" t="s">
        <v>1438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 t="s">
        <v>1740</v>
      </c>
      <c r="R302">
        <v>0.84373944999999995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 x14ac:dyDescent="0.25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126.24169999999999</v>
      </c>
      <c r="G303">
        <v>229535450</v>
      </c>
      <c r="H303" t="s">
        <v>1438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 t="s">
        <v>1741</v>
      </c>
      <c r="R303">
        <v>0.84373944999999995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 x14ac:dyDescent="0.25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58.704560000000001</v>
      </c>
      <c r="G304">
        <v>268077450</v>
      </c>
      <c r="H304" t="s">
        <v>1439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 t="s">
        <v>1742</v>
      </c>
      <c r="R304">
        <v>0.84373944999999995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 x14ac:dyDescent="0.25">
      <c r="A305">
        <v>332</v>
      </c>
      <c r="B305" t="s">
        <v>65</v>
      </c>
      <c r="C305" t="s">
        <v>853</v>
      </c>
      <c r="D305" t="s">
        <v>68</v>
      </c>
      <c r="E305" t="s">
        <v>61</v>
      </c>
      <c r="F305">
        <v>151.89449999999999</v>
      </c>
      <c r="G305">
        <v>24400000000</v>
      </c>
      <c r="H305" t="s">
        <v>1439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0.84373944999999995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 x14ac:dyDescent="0.25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7008.7129999999997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 t="s">
        <v>1744</v>
      </c>
      <c r="R306">
        <v>0.84373944999999995</v>
      </c>
      <c r="S306">
        <v>2.4900000000000002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 x14ac:dyDescent="0.25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200.40110000000001</v>
      </c>
      <c r="G307">
        <v>252114600</v>
      </c>
      <c r="H307" t="s">
        <v>1439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 t="s">
        <v>1745</v>
      </c>
      <c r="R307">
        <v>0.84373944999999995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 x14ac:dyDescent="0.25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39.110770000000002</v>
      </c>
      <c r="G308">
        <v>984439760</v>
      </c>
      <c r="H308" t="s">
        <v>1438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 t="s">
        <v>1746</v>
      </c>
      <c r="R308">
        <v>0.84373944999999995</v>
      </c>
      <c r="S308">
        <v>2.5499999999999998</v>
      </c>
      <c r="T308">
        <v>37.630000000000003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9.9000000000000008E-3</v>
      </c>
      <c r="AG308" t="s">
        <v>1905</v>
      </c>
      <c r="AH308">
        <v>0.99</v>
      </c>
      <c r="AI308">
        <v>0</v>
      </c>
      <c r="AJ308">
        <v>9.9000000000000008E-3</v>
      </c>
      <c r="AK308">
        <v>302</v>
      </c>
      <c r="AX308" t="s">
        <v>1918</v>
      </c>
      <c r="AZ308" t="s">
        <v>1929</v>
      </c>
      <c r="BA308" t="s">
        <v>1941</v>
      </c>
    </row>
    <row r="309" spans="1:54" x14ac:dyDescent="0.25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 t="s">
        <v>1747</v>
      </c>
      <c r="R309">
        <v>0.84373944999999995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 x14ac:dyDescent="0.25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44.248170000000002</v>
      </c>
      <c r="G310">
        <v>408974000</v>
      </c>
      <c r="H310" t="s">
        <v>1439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 t="s">
        <v>1748</v>
      </c>
      <c r="R310">
        <v>0.84373944999999995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 x14ac:dyDescent="0.25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63.867550000000001</v>
      </c>
      <c r="G311">
        <v>629756000</v>
      </c>
      <c r="H311" t="s">
        <v>1438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 t="s">
        <v>1749</v>
      </c>
      <c r="R311">
        <v>0.84373944999999995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 x14ac:dyDescent="0.25">
      <c r="A312">
        <v>339</v>
      </c>
      <c r="B312" t="s">
        <v>24</v>
      </c>
      <c r="C312" t="s">
        <v>860</v>
      </c>
      <c r="D312" t="s">
        <v>49</v>
      </c>
      <c r="E312" t="s">
        <v>61</v>
      </c>
      <c r="F312">
        <v>201.71530000000001</v>
      </c>
      <c r="G312">
        <v>2808833000</v>
      </c>
      <c r="H312" t="s">
        <v>1438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 t="s">
        <v>1750</v>
      </c>
      <c r="R312">
        <v>0.84373944999999995</v>
      </c>
      <c r="S312">
        <v>0.84</v>
      </c>
      <c r="T312">
        <v>65.099999999999994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 x14ac:dyDescent="0.25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87.310119999999998</v>
      </c>
      <c r="G313">
        <v>848496700</v>
      </c>
      <c r="H313" t="s">
        <v>1439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 t="s">
        <v>1751</v>
      </c>
      <c r="R313">
        <v>0.84373944999999995</v>
      </c>
      <c r="S313">
        <v>1.87</v>
      </c>
      <c r="T313">
        <v>36.630000000000003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 x14ac:dyDescent="0.25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75.593109999999996</v>
      </c>
      <c r="G314">
        <v>392475220</v>
      </c>
      <c r="H314" t="s">
        <v>1438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 t="s">
        <v>1752</v>
      </c>
      <c r="R314">
        <v>0.84373944999999995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 x14ac:dyDescent="0.25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86.618870000000001</v>
      </c>
      <c r="G315">
        <v>525103400</v>
      </c>
      <c r="H315" t="s">
        <v>1439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 t="s">
        <v>1753</v>
      </c>
      <c r="R315">
        <v>0.84373944999999995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 x14ac:dyDescent="0.25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 t="s">
        <v>1754</v>
      </c>
      <c r="R316">
        <v>0.84373944999999995</v>
      </c>
      <c r="S316">
        <v>2.3199999999999998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 x14ac:dyDescent="0.25">
      <c r="A317">
        <v>344</v>
      </c>
      <c r="B317" t="s">
        <v>25</v>
      </c>
      <c r="C317" t="s">
        <v>865</v>
      </c>
      <c r="D317" t="s">
        <v>50</v>
      </c>
      <c r="E317" t="s">
        <v>61</v>
      </c>
      <c r="F317">
        <v>135.46680000000001</v>
      </c>
      <c r="G317">
        <v>2274261500</v>
      </c>
      <c r="H317" t="s">
        <v>1439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 t="s">
        <v>1755</v>
      </c>
      <c r="R317">
        <v>0.84373944999999995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 x14ac:dyDescent="0.25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158.62780000000001</v>
      </c>
      <c r="G318">
        <v>667472960</v>
      </c>
      <c r="H318" t="s">
        <v>1439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 t="s">
        <v>1756</v>
      </c>
      <c r="R318">
        <v>0.84373944999999995</v>
      </c>
      <c r="S318">
        <v>7.38</v>
      </c>
      <c r="T318">
        <v>65.569999999999993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 x14ac:dyDescent="0.25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642.02940000000001</v>
      </c>
      <c r="G319">
        <v>126682150</v>
      </c>
      <c r="H319" t="s">
        <v>1438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 t="s">
        <v>1757</v>
      </c>
      <c r="R319">
        <v>0.84373944999999995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 x14ac:dyDescent="0.25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0.84373944999999995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 x14ac:dyDescent="0.25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59.651820000000001</v>
      </c>
      <c r="G321">
        <v>955378400</v>
      </c>
      <c r="H321" t="s">
        <v>1439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 t="s">
        <v>1759</v>
      </c>
      <c r="R321">
        <v>0.84373944999999995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 x14ac:dyDescent="0.25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92.677930000000003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0.84373944999999995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 x14ac:dyDescent="0.25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127.70099999999999</v>
      </c>
      <c r="G323">
        <v>1369077100</v>
      </c>
      <c r="H323" t="s">
        <v>1439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0.84373944999999995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 x14ac:dyDescent="0.25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 t="s">
        <v>1762</v>
      </c>
      <c r="R324">
        <v>0.84373944999999995</v>
      </c>
      <c r="S324">
        <v>0.89</v>
      </c>
      <c r="T324">
        <v>67.989999999999995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 x14ac:dyDescent="0.25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12.962960000000001</v>
      </c>
      <c r="G325">
        <v>2197837400</v>
      </c>
      <c r="H325" t="s">
        <v>1438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 t="s">
        <v>1763</v>
      </c>
      <c r="R325">
        <v>0.84373944999999995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8.8400000000000006E-2</v>
      </c>
      <c r="AH325">
        <v>0.93</v>
      </c>
      <c r="AI325">
        <v>0</v>
      </c>
      <c r="AJ325">
        <v>8.8400000000000006E-2</v>
      </c>
      <c r="AK325">
        <v>26</v>
      </c>
      <c r="AZ325" t="s">
        <v>1920</v>
      </c>
      <c r="BA325" t="s">
        <v>1940</v>
      </c>
      <c r="BB325">
        <v>175</v>
      </c>
    </row>
    <row r="326" spans="1:54" x14ac:dyDescent="0.25">
      <c r="A326">
        <v>354</v>
      </c>
      <c r="B326" t="s">
        <v>26</v>
      </c>
      <c r="C326" t="s">
        <v>874</v>
      </c>
      <c r="D326" t="s">
        <v>51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 t="s">
        <v>1764</v>
      </c>
      <c r="R326">
        <v>0.84373944999999995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 x14ac:dyDescent="0.25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 t="s">
        <v>1765</v>
      </c>
      <c r="R327">
        <v>0.84373944999999995</v>
      </c>
      <c r="S327">
        <v>1.68</v>
      </c>
      <c r="T327">
        <v>33.799999999999997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 x14ac:dyDescent="0.25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30.389140000000001</v>
      </c>
      <c r="G328">
        <v>599264160</v>
      </c>
      <c r="H328" t="s">
        <v>1438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0.84373944999999995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 x14ac:dyDescent="0.25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 t="s">
        <v>1767</v>
      </c>
      <c r="R329">
        <v>0.84373944999999995</v>
      </c>
      <c r="S329">
        <v>2.3199999999999998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 x14ac:dyDescent="0.25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97.516639999999995</v>
      </c>
      <c r="G330">
        <v>225700000</v>
      </c>
      <c r="H330" t="s">
        <v>1438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 t="s">
        <v>1768</v>
      </c>
      <c r="R330">
        <v>0.84373944999999995</v>
      </c>
      <c r="S330">
        <v>0.53</v>
      </c>
      <c r="T330">
        <v>38.18</v>
      </c>
      <c r="U330">
        <v>0.94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0.94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 x14ac:dyDescent="0.25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31.490020000000001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0.84373944999999995</v>
      </c>
      <c r="S331">
        <v>3.49</v>
      </c>
      <c r="T331">
        <v>35.130000000000003</v>
      </c>
      <c r="U331">
        <v>0.69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0.40689999999999998</v>
      </c>
      <c r="AH331">
        <v>0.69</v>
      </c>
      <c r="AI331">
        <v>0</v>
      </c>
      <c r="AJ331">
        <v>0.40689999999999998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 x14ac:dyDescent="0.25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68.885480000000001</v>
      </c>
      <c r="G332">
        <v>222768450</v>
      </c>
      <c r="H332" t="s">
        <v>1439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0.84373944999999995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 x14ac:dyDescent="0.25">
      <c r="A333">
        <v>362</v>
      </c>
      <c r="B333" t="s">
        <v>27</v>
      </c>
      <c r="C333" t="s">
        <v>881</v>
      </c>
      <c r="D333" t="s">
        <v>52</v>
      </c>
      <c r="E333" t="s">
        <v>61</v>
      </c>
      <c r="F333">
        <v>135.40710000000001</v>
      </c>
      <c r="G333">
        <v>2342371600</v>
      </c>
      <c r="H333" t="s">
        <v>1438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0.84373944999999995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 x14ac:dyDescent="0.25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 t="s">
        <v>1772</v>
      </c>
      <c r="R334">
        <v>0.84373944999999995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 x14ac:dyDescent="0.25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95.818399999999997</v>
      </c>
      <c r="G335">
        <v>928063000</v>
      </c>
      <c r="H335" t="s">
        <v>1438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 t="s">
        <v>1773</v>
      </c>
      <c r="R335">
        <v>0.84373944999999995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 x14ac:dyDescent="0.25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93.778800000000004</v>
      </c>
      <c r="G336">
        <v>352000000</v>
      </c>
      <c r="H336" t="s">
        <v>1438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 t="s">
        <v>1774</v>
      </c>
      <c r="R336">
        <v>0.84373944999999995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 x14ac:dyDescent="0.25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183.52109999999999</v>
      </c>
      <c r="G337">
        <v>119792700</v>
      </c>
      <c r="H337" t="s">
        <v>1439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0.84373944999999995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 x14ac:dyDescent="0.25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71.428569999999993</v>
      </c>
      <c r="G338">
        <v>499079740</v>
      </c>
      <c r="H338" t="s">
        <v>1438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0.84373944999999995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 x14ac:dyDescent="0.25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250.64859999999999</v>
      </c>
      <c r="G339">
        <v>175452850</v>
      </c>
      <c r="H339" t="s">
        <v>1438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 t="s">
        <v>1777</v>
      </c>
      <c r="R339">
        <v>0.84373944999999995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 x14ac:dyDescent="0.25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0.84373944999999995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 x14ac:dyDescent="0.25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49.778120000000001</v>
      </c>
      <c r="G341">
        <v>326831670</v>
      </c>
      <c r="H341" t="s">
        <v>1438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 t="s">
        <v>1779</v>
      </c>
      <c r="R341">
        <v>0.84373944999999995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 x14ac:dyDescent="0.25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134.84379999999999</v>
      </c>
      <c r="G342">
        <v>1079000000</v>
      </c>
      <c r="H342" t="s">
        <v>1439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 t="s">
        <v>1780</v>
      </c>
      <c r="R342">
        <v>0.84373944999999995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 x14ac:dyDescent="0.25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324.15089999999998</v>
      </c>
      <c r="G343">
        <v>147329770</v>
      </c>
      <c r="H343" t="s">
        <v>1438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 t="s">
        <v>1781</v>
      </c>
      <c r="R343">
        <v>0.84373944999999995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 x14ac:dyDescent="0.25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153.80609999999999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0.84373944999999995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 x14ac:dyDescent="0.25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 t="s">
        <v>1783</v>
      </c>
      <c r="R345">
        <v>0.84373944999999995</v>
      </c>
      <c r="S345">
        <v>2.5099999999999998</v>
      </c>
      <c r="T345">
        <v>32.880000000000003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 x14ac:dyDescent="0.25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50.281619999999997</v>
      </c>
      <c r="G346">
        <v>914306100</v>
      </c>
      <c r="H346" t="s">
        <v>1438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 t="s">
        <v>1784</v>
      </c>
      <c r="R346">
        <v>0.84373944999999995</v>
      </c>
      <c r="S346">
        <v>4.8499999999999996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 x14ac:dyDescent="0.25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185.44970000000001</v>
      </c>
      <c r="G347">
        <v>134585850</v>
      </c>
      <c r="H347" t="s">
        <v>1438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Q347" t="s">
        <v>1785</v>
      </c>
      <c r="R347">
        <v>0.84373944999999995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 x14ac:dyDescent="0.25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503.05509999999998</v>
      </c>
      <c r="G348">
        <v>104170296</v>
      </c>
      <c r="H348" t="s">
        <v>1439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 t="s">
        <v>1786</v>
      </c>
      <c r="R348">
        <v>0.84373944999999995</v>
      </c>
      <c r="S348">
        <v>2.1</v>
      </c>
      <c r="T348">
        <v>66.209999999999994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 x14ac:dyDescent="0.25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22.836659999999998</v>
      </c>
      <c r="G349">
        <v>892308350</v>
      </c>
      <c r="H349" t="s">
        <v>1438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0.84373944999999995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 x14ac:dyDescent="0.25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 t="s">
        <v>1788</v>
      </c>
      <c r="R350">
        <v>0.84373944999999995</v>
      </c>
      <c r="S350">
        <v>2.34</v>
      </c>
      <c r="T350">
        <v>55.05</v>
      </c>
      <c r="U350">
        <v>0.94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0.94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 x14ac:dyDescent="0.25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250.66560000000001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 t="s">
        <v>1789</v>
      </c>
      <c r="R351">
        <v>0.84373944999999995</v>
      </c>
      <c r="S351">
        <v>3</v>
      </c>
      <c r="T351">
        <v>55.05</v>
      </c>
      <c r="U351">
        <v>0.69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 x14ac:dyDescent="0.25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93.292370000000005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0.84373944999999995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 x14ac:dyDescent="0.25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 t="s">
        <v>1791</v>
      </c>
      <c r="R353">
        <v>0.84373944999999995</v>
      </c>
      <c r="S353">
        <v>7.52</v>
      </c>
      <c r="T353">
        <v>34.590000000000003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 x14ac:dyDescent="0.25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37.873359999999998</v>
      </c>
      <c r="G354">
        <v>482413300</v>
      </c>
      <c r="H354" t="s">
        <v>1439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 t="s">
        <v>1792</v>
      </c>
      <c r="R354">
        <v>0.84373944999999995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 x14ac:dyDescent="0.25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 t="s">
        <v>1793</v>
      </c>
      <c r="R355">
        <v>0.84373944999999995</v>
      </c>
      <c r="S355">
        <v>2.4500000000000002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 x14ac:dyDescent="0.25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49.487969999999997</v>
      </c>
      <c r="G356">
        <v>484640000</v>
      </c>
      <c r="H356" t="s">
        <v>1438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 t="s">
        <v>1794</v>
      </c>
      <c r="R356">
        <v>0.84373944999999995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 x14ac:dyDescent="0.25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458.13279999999997</v>
      </c>
      <c r="G357">
        <v>107613820</v>
      </c>
      <c r="H357" t="s">
        <v>1439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 t="s">
        <v>1795</v>
      </c>
      <c r="R357">
        <v>0.84373944999999995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 x14ac:dyDescent="0.25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 t="s">
        <v>1796</v>
      </c>
      <c r="R358">
        <v>0.84373944999999995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 x14ac:dyDescent="0.25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294.13720000000001</v>
      </c>
      <c r="G359">
        <v>271627660</v>
      </c>
      <c r="H359" t="s">
        <v>1438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 t="s">
        <v>1797</v>
      </c>
      <c r="R359">
        <v>0.84373944999999995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 x14ac:dyDescent="0.25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133.33330000000001</v>
      </c>
      <c r="G360">
        <v>1338541900</v>
      </c>
      <c r="H360" t="s">
        <v>1438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 t="s">
        <v>1798</v>
      </c>
      <c r="R360">
        <v>0.84373944999999995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 x14ac:dyDescent="0.25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475.04689999999999</v>
      </c>
      <c r="G361">
        <v>305300000</v>
      </c>
      <c r="H361" t="s">
        <v>1438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 t="s">
        <v>1799</v>
      </c>
      <c r="R361">
        <v>0.84373944999999995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 x14ac:dyDescent="0.25">
      <c r="A362">
        <v>394</v>
      </c>
      <c r="B362" t="s">
        <v>28</v>
      </c>
      <c r="C362" t="s">
        <v>910</v>
      </c>
      <c r="D362" t="s">
        <v>53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0.84373944999999995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 x14ac:dyDescent="0.25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190.19460000000001</v>
      </c>
      <c r="G363">
        <v>107379010</v>
      </c>
      <c r="H363" t="s">
        <v>1439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 t="s">
        <v>1801</v>
      </c>
      <c r="R363">
        <v>0.84373944999999995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 x14ac:dyDescent="0.25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30.389140000000001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 t="s">
        <v>1802</v>
      </c>
      <c r="R364">
        <v>0.84373944999999995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 x14ac:dyDescent="0.25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135.86789999999999</v>
      </c>
      <c r="G365">
        <v>212677190</v>
      </c>
      <c r="H365" t="s">
        <v>1439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 t="s">
        <v>1803</v>
      </c>
      <c r="R365">
        <v>0.84373944999999995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 x14ac:dyDescent="0.25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70.745859999999993</v>
      </c>
      <c r="G366">
        <v>652472400</v>
      </c>
      <c r="H366" t="s">
        <v>1438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 t="s">
        <v>1804</v>
      </c>
      <c r="R366">
        <v>0.84373944999999995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 x14ac:dyDescent="0.25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756.74180000000001</v>
      </c>
      <c r="G367">
        <v>208000000</v>
      </c>
      <c r="H367" t="s">
        <v>1438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0.84373944999999995</v>
      </c>
      <c r="S367">
        <v>1.0900000000000001</v>
      </c>
      <c r="T367">
        <v>68.09</v>
      </c>
      <c r="U367">
        <v>0.81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 x14ac:dyDescent="0.25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318.25400000000002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 t="s">
        <v>1806</v>
      </c>
      <c r="R368">
        <v>0.84373944999999995</v>
      </c>
      <c r="S368">
        <v>1.87</v>
      </c>
      <c r="T368">
        <v>38.520000000000003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 x14ac:dyDescent="0.25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121.27500000000001</v>
      </c>
      <c r="G369">
        <v>1220418800</v>
      </c>
      <c r="H369" t="s">
        <v>1439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 t="s">
        <v>1807</v>
      </c>
      <c r="R369">
        <v>0.84373944999999995</v>
      </c>
      <c r="S369">
        <v>4.6100000000000003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 x14ac:dyDescent="0.25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150.67420000000001</v>
      </c>
      <c r="G370">
        <v>326484770</v>
      </c>
      <c r="H370" t="s">
        <v>1438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 t="s">
        <v>1808</v>
      </c>
      <c r="R370">
        <v>0.84373944999999995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 x14ac:dyDescent="0.25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38.999830000000003</v>
      </c>
      <c r="G371">
        <v>522125060</v>
      </c>
      <c r="H371" t="s">
        <v>1438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0.84373944999999995</v>
      </c>
      <c r="S371">
        <v>4.0199999999999996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 x14ac:dyDescent="0.25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0.84373944999999995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 x14ac:dyDescent="0.25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167.95529999999999</v>
      </c>
      <c r="G373">
        <v>333658000</v>
      </c>
      <c r="H373" t="s">
        <v>1438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 t="s">
        <v>1811</v>
      </c>
      <c r="R373">
        <v>0.84373944999999995</v>
      </c>
      <c r="S373">
        <v>9.0500000000000007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 x14ac:dyDescent="0.25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21.351769999999998</v>
      </c>
      <c r="G374">
        <v>1185385500</v>
      </c>
      <c r="H374" t="s">
        <v>1439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 t="s">
        <v>1812</v>
      </c>
      <c r="R374">
        <v>0.84373944999999995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 x14ac:dyDescent="0.25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71.505380000000002</v>
      </c>
      <c r="G375">
        <v>209888100</v>
      </c>
      <c r="H375" t="s">
        <v>1438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0.84373944999999995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 x14ac:dyDescent="0.25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80.628100000000003</v>
      </c>
      <c r="G376">
        <v>1100047400</v>
      </c>
      <c r="H376" t="s">
        <v>1438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 t="s">
        <v>1814</v>
      </c>
      <c r="R376">
        <v>0.84373944999999995</v>
      </c>
      <c r="S376">
        <v>2.67</v>
      </c>
      <c r="T376">
        <v>42.46</v>
      </c>
      <c r="U376">
        <v>0.94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0.49630000000000002</v>
      </c>
      <c r="AH376">
        <v>0.94</v>
      </c>
      <c r="AI376">
        <v>0</v>
      </c>
      <c r="AJ376">
        <v>0.49630000000000002</v>
      </c>
      <c r="AK376">
        <v>321</v>
      </c>
      <c r="AW376" t="s">
        <v>1917</v>
      </c>
      <c r="AZ376" t="s">
        <v>1923</v>
      </c>
      <c r="BA376" t="s">
        <v>1941</v>
      </c>
    </row>
    <row r="377" spans="1:54" x14ac:dyDescent="0.25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591.38930000000005</v>
      </c>
      <c r="G377">
        <v>205777760</v>
      </c>
      <c r="H377" t="s">
        <v>1438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0.84373944999999995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 x14ac:dyDescent="0.25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76.975589999999997</v>
      </c>
      <c r="G378">
        <v>244220640</v>
      </c>
      <c r="H378" t="s">
        <v>1439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 t="s">
        <v>1816</v>
      </c>
      <c r="R378">
        <v>0.84373944999999995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 x14ac:dyDescent="0.25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75.422420000000002</v>
      </c>
      <c r="G379">
        <v>1136700000</v>
      </c>
      <c r="H379" t="s">
        <v>1439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 t="s">
        <v>1817</v>
      </c>
      <c r="R379">
        <v>0.84373944999999995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 x14ac:dyDescent="0.25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98.549239999999998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 t="s">
        <v>1818</v>
      </c>
      <c r="R380">
        <v>0.84373944999999995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 x14ac:dyDescent="0.25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113.22750000000001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 t="s">
        <v>1819</v>
      </c>
      <c r="R381">
        <v>0.84373944999999995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 x14ac:dyDescent="0.25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214.94280000000001</v>
      </c>
      <c r="G382">
        <v>98490610</v>
      </c>
      <c r="H382" t="s">
        <v>1438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0.84373944999999995</v>
      </c>
      <c r="S382">
        <v>4.1500000000000004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 x14ac:dyDescent="0.25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305.62380000000002</v>
      </c>
      <c r="G383">
        <v>263912700</v>
      </c>
      <c r="H383" t="s">
        <v>1439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 t="s">
        <v>1821</v>
      </c>
      <c r="R383">
        <v>0.84373944999999995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 x14ac:dyDescent="0.25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336.42259999999999</v>
      </c>
      <c r="G384">
        <v>382307300</v>
      </c>
      <c r="H384" t="s">
        <v>1438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 t="s">
        <v>1822</v>
      </c>
      <c r="R384">
        <v>0.84373944999999995</v>
      </c>
      <c r="S384">
        <v>39.770000000000003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 x14ac:dyDescent="0.25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37.446660000000001</v>
      </c>
      <c r="G385">
        <v>596817600</v>
      </c>
      <c r="H385" t="s">
        <v>1439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 t="s">
        <v>1823</v>
      </c>
      <c r="R385">
        <v>0.84373944999999995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 x14ac:dyDescent="0.25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0.84373944999999995</v>
      </c>
      <c r="S386">
        <v>2.65</v>
      </c>
      <c r="T386">
        <v>42.11</v>
      </c>
      <c r="U386">
        <v>0.56000000000000005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0.56000000000000005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 x14ac:dyDescent="0.25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517.59690000000001</v>
      </c>
      <c r="G387">
        <v>185043640</v>
      </c>
      <c r="H387" t="s">
        <v>1439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0.84373944999999995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 x14ac:dyDescent="0.25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68.518519999999995</v>
      </c>
      <c r="G388">
        <v>478212370</v>
      </c>
      <c r="H388" t="s">
        <v>1438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 t="s">
        <v>1826</v>
      </c>
      <c r="R388">
        <v>0.84373944999999995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 x14ac:dyDescent="0.25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92.413380000000004</v>
      </c>
      <c r="G389">
        <v>219715240</v>
      </c>
      <c r="H389" t="s">
        <v>1439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0.84373944999999995</v>
      </c>
      <c r="S389">
        <v>1.2</v>
      </c>
      <c r="T389">
        <v>47.36</v>
      </c>
      <c r="U389">
        <v>0.94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0.94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 x14ac:dyDescent="0.25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195.45140000000001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 t="s">
        <v>1828</v>
      </c>
      <c r="R390">
        <v>0.84373944999999995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 x14ac:dyDescent="0.25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85.048649999999995</v>
      </c>
      <c r="G391">
        <v>208123630</v>
      </c>
      <c r="H391" t="s">
        <v>1438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 t="s">
        <v>1829</v>
      </c>
      <c r="R391">
        <v>0.84373944999999995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 x14ac:dyDescent="0.25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139.32409999999999</v>
      </c>
      <c r="G392">
        <v>215191850</v>
      </c>
      <c r="H392" t="s">
        <v>1438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 t="s">
        <v>1830</v>
      </c>
      <c r="R392">
        <v>0.84373944999999995</v>
      </c>
      <c r="S392">
        <v>1.89</v>
      </c>
      <c r="T392">
        <v>39.229999999999997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 x14ac:dyDescent="0.25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84.690219999999997</v>
      </c>
      <c r="G393">
        <v>454365900</v>
      </c>
      <c r="H393" t="s">
        <v>1438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 t="s">
        <v>1831</v>
      </c>
      <c r="R393">
        <v>0.84373944999999995</v>
      </c>
      <c r="S393">
        <v>0.57999999999999996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 x14ac:dyDescent="0.25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174.94450000000001</v>
      </c>
      <c r="G394">
        <v>295481480</v>
      </c>
      <c r="H394" t="s">
        <v>1438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 t="s">
        <v>1832</v>
      </c>
      <c r="R394">
        <v>0.84373944999999995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 x14ac:dyDescent="0.25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470.26799999999997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0.84373944999999995</v>
      </c>
      <c r="S395">
        <v>2.9</v>
      </c>
      <c r="T395">
        <v>39.659999999999997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 x14ac:dyDescent="0.25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98.395629999999997</v>
      </c>
      <c r="G396">
        <v>159073530</v>
      </c>
      <c r="H396" t="s">
        <v>1439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0.84373944999999995</v>
      </c>
      <c r="S396">
        <v>1.45</v>
      </c>
      <c r="T396">
        <v>46.33</v>
      </c>
      <c r="U396">
        <v>0.69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 x14ac:dyDescent="0.25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1439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 t="s">
        <v>1835</v>
      </c>
      <c r="R397">
        <v>0.84373944999999995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 x14ac:dyDescent="0.25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175.84909999999999</v>
      </c>
      <c r="G398">
        <v>909137150</v>
      </c>
      <c r="H398" t="s">
        <v>1439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 t="s">
        <v>1836</v>
      </c>
      <c r="R398">
        <v>0.84373944999999995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 x14ac:dyDescent="0.25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777.97410000000002</v>
      </c>
      <c r="G399">
        <v>22987326</v>
      </c>
      <c r="H399" t="s">
        <v>1438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 t="s">
        <v>1837</v>
      </c>
      <c r="R399">
        <v>0.84373944999999995</v>
      </c>
      <c r="S399">
        <v>2.21</v>
      </c>
      <c r="T399">
        <v>39.270000000000003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 x14ac:dyDescent="0.25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0.84373944999999995</v>
      </c>
      <c r="S400">
        <v>1.1100000000000001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 x14ac:dyDescent="0.25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426.68540000000002</v>
      </c>
      <c r="G401">
        <v>377612120</v>
      </c>
      <c r="H401" t="s">
        <v>1438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 t="s">
        <v>1839</v>
      </c>
      <c r="R401">
        <v>0.84373944999999995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 x14ac:dyDescent="0.25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116.52160000000001</v>
      </c>
      <c r="G402">
        <v>1115615600</v>
      </c>
      <c r="H402" t="s">
        <v>1438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 t="s">
        <v>1840</v>
      </c>
      <c r="R402">
        <v>0.84373944999999995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 x14ac:dyDescent="0.25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0.84373944999999995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 x14ac:dyDescent="0.25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0.84373944999999995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 x14ac:dyDescent="0.25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 t="s">
        <v>1843</v>
      </c>
      <c r="R405">
        <v>0.84373944999999995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 x14ac:dyDescent="0.25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45.400239999999997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 t="s">
        <v>1844</v>
      </c>
      <c r="R406">
        <v>0.84373944999999995</v>
      </c>
      <c r="S406">
        <v>4.3099999999999996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 x14ac:dyDescent="0.25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361.93040000000002</v>
      </c>
      <c r="G407">
        <v>222515370</v>
      </c>
      <c r="H407" t="s">
        <v>1438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 t="s">
        <v>1845</v>
      </c>
      <c r="R407">
        <v>0.84373944999999995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 x14ac:dyDescent="0.25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 t="s">
        <v>1846</v>
      </c>
      <c r="R408">
        <v>0.84373944999999995</v>
      </c>
      <c r="S408">
        <v>1.1399999999999999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 x14ac:dyDescent="0.25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77.709500000000006</v>
      </c>
      <c r="G409">
        <v>194800000</v>
      </c>
      <c r="H409" t="s">
        <v>1438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0.84373944999999995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 x14ac:dyDescent="0.25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 t="s">
        <v>1848</v>
      </c>
      <c r="R410">
        <v>0.84373944999999995</v>
      </c>
      <c r="S410">
        <v>1.96</v>
      </c>
      <c r="T410">
        <v>42.71</v>
      </c>
      <c r="U410">
        <v>0.94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0.94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 x14ac:dyDescent="0.25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 t="s">
        <v>1849</v>
      </c>
      <c r="R411">
        <v>0.84373944999999995</v>
      </c>
      <c r="S411">
        <v>0.4</v>
      </c>
      <c r="T411">
        <v>39.44</v>
      </c>
      <c r="U411">
        <v>0.56999999999999995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0.56999999999999995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 x14ac:dyDescent="0.25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39.179040000000001</v>
      </c>
      <c r="G412">
        <v>1289435200</v>
      </c>
      <c r="H412" t="s">
        <v>1438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 t="s">
        <v>1850</v>
      </c>
      <c r="R412">
        <v>0.84373944999999995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 x14ac:dyDescent="0.25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478.87009999999998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0.84373944999999995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 x14ac:dyDescent="0.25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41.201569999999997</v>
      </c>
      <c r="G414">
        <v>1556189500</v>
      </c>
      <c r="H414" t="s">
        <v>1438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 t="s">
        <v>1852</v>
      </c>
      <c r="R414">
        <v>0.84373944999999995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 x14ac:dyDescent="0.25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82.599419999999995</v>
      </c>
      <c r="G415">
        <v>2085418700</v>
      </c>
      <c r="H415" t="s">
        <v>1438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0.84373944999999995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 x14ac:dyDescent="0.25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0.84373944999999995</v>
      </c>
      <c r="S416">
        <v>1.79</v>
      </c>
      <c r="T416">
        <v>39.520000000000003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 x14ac:dyDescent="0.25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 t="s">
        <v>1855</v>
      </c>
      <c r="R417">
        <v>0.84373944999999995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 x14ac:dyDescent="0.25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87.881900000000002</v>
      </c>
      <c r="G418">
        <v>323732100</v>
      </c>
      <c r="H418" t="s">
        <v>1439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 t="s">
        <v>1856</v>
      </c>
      <c r="R418">
        <v>0.84373944999999995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 x14ac:dyDescent="0.25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 t="s">
        <v>1857</v>
      </c>
      <c r="R419">
        <v>0.84373944999999995</v>
      </c>
      <c r="S419">
        <v>1.72</v>
      </c>
      <c r="T419">
        <v>70.209999999999994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 x14ac:dyDescent="0.25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793.60820000000001</v>
      </c>
      <c r="G420">
        <v>64341225</v>
      </c>
      <c r="H420" t="s">
        <v>1438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 t="s">
        <v>1858</v>
      </c>
      <c r="R420">
        <v>0.84373944999999995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 x14ac:dyDescent="0.25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75.797920000000005</v>
      </c>
      <c r="G421">
        <v>736042900</v>
      </c>
      <c r="H421" t="s">
        <v>1438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 t="s">
        <v>1859</v>
      </c>
      <c r="R421">
        <v>0.84373944999999995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 x14ac:dyDescent="0.25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66.623999999999995</v>
      </c>
      <c r="G422">
        <v>225171620</v>
      </c>
      <c r="H422" t="s">
        <v>1438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0.84373944999999995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 x14ac:dyDescent="0.25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 t="s">
        <v>1861</v>
      </c>
      <c r="R423">
        <v>0.84373944999999995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 x14ac:dyDescent="0.25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248.21639999999999</v>
      </c>
      <c r="G424">
        <v>163412280</v>
      </c>
      <c r="H424" t="s">
        <v>1438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 t="s">
        <v>1862</v>
      </c>
      <c r="R424">
        <v>0.84373944999999995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 x14ac:dyDescent="0.25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57.851170000000003</v>
      </c>
      <c r="G425">
        <v>454471200</v>
      </c>
      <c r="H425" t="s">
        <v>1438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0.84373944999999995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 x14ac:dyDescent="0.25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93.147289999999998</v>
      </c>
      <c r="G426">
        <v>248160840</v>
      </c>
      <c r="H426" t="s">
        <v>1438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 t="s">
        <v>1864</v>
      </c>
      <c r="R426">
        <v>0.84373944999999995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 x14ac:dyDescent="0.25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0.84373944999999995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 x14ac:dyDescent="0.25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0.84373944999999995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 x14ac:dyDescent="0.25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 t="s">
        <v>1867</v>
      </c>
      <c r="R429">
        <v>0.84373944999999995</v>
      </c>
      <c r="S429">
        <v>0.93</v>
      </c>
      <c r="T429">
        <v>64.61</v>
      </c>
      <c r="U429">
        <v>0.94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0.94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 x14ac:dyDescent="0.25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337.19060000000002</v>
      </c>
      <c r="G430">
        <v>256390660</v>
      </c>
      <c r="H430" t="s">
        <v>1439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 t="s">
        <v>1868</v>
      </c>
      <c r="R430">
        <v>0.84373944999999995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 x14ac:dyDescent="0.25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 t="s">
        <v>1869</v>
      </c>
      <c r="R431">
        <v>0.84373944999999995</v>
      </c>
      <c r="S431">
        <v>3.03</v>
      </c>
      <c r="T431">
        <v>38.450000000000003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 x14ac:dyDescent="0.25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28.503160000000001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 t="s">
        <v>1870</v>
      </c>
      <c r="R432">
        <v>0.84373944999999995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 x14ac:dyDescent="0.25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 t="s">
        <v>1871</v>
      </c>
      <c r="R433">
        <v>0.84373944999999995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 x14ac:dyDescent="0.25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162.53630000000001</v>
      </c>
      <c r="G434">
        <v>338820300</v>
      </c>
      <c r="H434" t="s">
        <v>1438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 t="s">
        <v>1872</v>
      </c>
      <c r="R434">
        <v>0.84373944999999995</v>
      </c>
      <c r="S434">
        <v>9.74</v>
      </c>
      <c r="T434">
        <v>40.119999999999997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0.76100000000000001</v>
      </c>
      <c r="AH434">
        <v>0.92</v>
      </c>
      <c r="AI434">
        <v>0.01</v>
      </c>
      <c r="AJ434">
        <v>0.76100000000000001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 x14ac:dyDescent="0.25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249.53059999999999</v>
      </c>
      <c r="G435">
        <v>132124160</v>
      </c>
      <c r="H435" t="s">
        <v>1438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 t="s">
        <v>1873</v>
      </c>
      <c r="R435">
        <v>0.84373944999999995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 x14ac:dyDescent="0.25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61.563409999999998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 t="s">
        <v>1874</v>
      </c>
      <c r="R436">
        <v>0.84373944999999995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 x14ac:dyDescent="0.25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872.04300000000001</v>
      </c>
      <c r="G437">
        <v>47832245</v>
      </c>
      <c r="H437" t="s">
        <v>1438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0.84373944999999995</v>
      </c>
      <c r="S437">
        <v>4.0999999999999996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 x14ac:dyDescent="0.25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1438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 t="s">
        <v>1876</v>
      </c>
      <c r="R438">
        <v>0.84373944999999995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 x14ac:dyDescent="0.25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10.283329999999999</v>
      </c>
      <c r="G439">
        <v>2475772200</v>
      </c>
      <c r="H439" t="s">
        <v>1439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 t="s">
        <v>1877</v>
      </c>
      <c r="R439">
        <v>0.84373944999999995</v>
      </c>
      <c r="S439">
        <v>7.47</v>
      </c>
      <c r="T439">
        <v>38.299999999999997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 x14ac:dyDescent="0.25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193.73609999999999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 t="s">
        <v>1878</v>
      </c>
      <c r="R440">
        <v>0.84373944999999995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 x14ac:dyDescent="0.25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257.88529999999997</v>
      </c>
      <c r="G441">
        <v>59524130</v>
      </c>
      <c r="H441" t="s">
        <v>1438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 t="s">
        <v>1879</v>
      </c>
      <c r="R441">
        <v>0.84373944999999995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 x14ac:dyDescent="0.25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92.626729999999995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 t="s">
        <v>1880</v>
      </c>
      <c r="R442">
        <v>0.84373944999999995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 x14ac:dyDescent="0.25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67.502979999999994</v>
      </c>
      <c r="G443">
        <v>3203441200</v>
      </c>
      <c r="H443" t="s">
        <v>1438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0.84373944999999995</v>
      </c>
      <c r="S443">
        <v>0.5</v>
      </c>
      <c r="T443">
        <v>41.29</v>
      </c>
      <c r="U443">
        <v>0.94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0.94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 x14ac:dyDescent="0.25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140.32259999999999</v>
      </c>
      <c r="G444">
        <v>667943900</v>
      </c>
      <c r="H444" t="s">
        <v>1438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 t="s">
        <v>1882</v>
      </c>
      <c r="R444">
        <v>0.84373944999999995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 x14ac:dyDescent="0.25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211.51220000000001</v>
      </c>
      <c r="G445">
        <v>71907326</v>
      </c>
      <c r="H445" t="s">
        <v>1438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0.84373944999999995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 x14ac:dyDescent="0.25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65.685270000000003</v>
      </c>
      <c r="G446">
        <v>346922120</v>
      </c>
      <c r="H446" t="s">
        <v>1439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 t="s">
        <v>1884</v>
      </c>
      <c r="R446">
        <v>0.84373944999999995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 x14ac:dyDescent="0.25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167.04220000000001</v>
      </c>
      <c r="G447">
        <v>170953170</v>
      </c>
      <c r="H447" t="s">
        <v>1438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 t="s">
        <v>1885</v>
      </c>
      <c r="R447">
        <v>0.84373944999999995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 x14ac:dyDescent="0.25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0.84373944999999995</v>
      </c>
      <c r="S448">
        <v>1.1399999999999999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 x14ac:dyDescent="0.25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48.702849999999998</v>
      </c>
      <c r="G449">
        <v>1221177400</v>
      </c>
      <c r="H449" t="s">
        <v>1438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 t="s">
        <v>1887</v>
      </c>
      <c r="R449">
        <v>0.84373944999999995</v>
      </c>
      <c r="S449">
        <v>2.0099999999999998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 x14ac:dyDescent="0.25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173.59620000000001</v>
      </c>
      <c r="G450">
        <v>122998060</v>
      </c>
      <c r="H450" t="s">
        <v>1438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0.84373944999999995</v>
      </c>
      <c r="S450">
        <v>0.55000000000000004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 x14ac:dyDescent="0.25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289.51190000000003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 t="s">
        <v>1889</v>
      </c>
      <c r="R451">
        <v>0.84373944999999995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 x14ac:dyDescent="0.25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188.82919999999999</v>
      </c>
      <c r="G452">
        <v>217000000</v>
      </c>
      <c r="H452" t="s">
        <v>1439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 t="s">
        <v>1890</v>
      </c>
      <c r="R452">
        <v>0.84373944999999995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 x14ac:dyDescent="0.25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63.372590000000002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0.84373944999999995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0.40589999999999998</v>
      </c>
      <c r="AH453">
        <v>0.98</v>
      </c>
      <c r="AI453">
        <v>0</v>
      </c>
      <c r="AJ453">
        <v>0.40589999999999998</v>
      </c>
      <c r="AK453">
        <v>343</v>
      </c>
      <c r="AW453" t="s">
        <v>1917</v>
      </c>
      <c r="AZ453" t="s">
        <v>1923</v>
      </c>
      <c r="BA453" t="s">
        <v>1941</v>
      </c>
    </row>
    <row r="454" spans="1:54" x14ac:dyDescent="0.25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 t="s">
        <v>1892</v>
      </c>
      <c r="R454">
        <v>0.84373944999999995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 x14ac:dyDescent="0.25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0.84373944999999995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 x14ac:dyDescent="0.25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91.918419999999998</v>
      </c>
      <c r="G456">
        <v>198095980</v>
      </c>
      <c r="H456" t="s">
        <v>1438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 t="s">
        <v>1894</v>
      </c>
      <c r="R456">
        <v>0.84373944999999995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 x14ac:dyDescent="0.25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0.84373944999999995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 x14ac:dyDescent="0.25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70.378910000000005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 t="s">
        <v>1896</v>
      </c>
      <c r="R458">
        <v>0.84373944999999995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 x14ac:dyDescent="0.25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232.56100000000001</v>
      </c>
      <c r="G459">
        <v>155695680</v>
      </c>
      <c r="H459" t="s">
        <v>1439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 t="s">
        <v>1897</v>
      </c>
      <c r="R459">
        <v>0.84373944999999995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topLeftCell="A218" workbookViewId="0">
      <selection activeCell="AF8" sqref="AF8"/>
    </sheetView>
  </sheetViews>
  <sheetFormatPr defaultRowHeight="15" x14ac:dyDescent="0.25"/>
  <sheetData>
    <row r="1" spans="1:59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 x14ac:dyDescent="0.25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429.49712962799998</v>
      </c>
      <c r="BF2">
        <v>2714774022474.0601</v>
      </c>
      <c r="BG2">
        <v>1</v>
      </c>
    </row>
    <row r="3" spans="1:59" x14ac:dyDescent="0.25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2433758839208.458</v>
      </c>
      <c r="BG3">
        <v>2</v>
      </c>
    </row>
    <row r="4" spans="1:59" x14ac:dyDescent="0.25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197.47721827250001</v>
      </c>
      <c r="BF4">
        <v>1581563341125.54</v>
      </c>
      <c r="BG4">
        <v>3</v>
      </c>
    </row>
    <row r="5" spans="1:59" x14ac:dyDescent="0.25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644.12869999999998</v>
      </c>
      <c r="G5">
        <v>2168962400</v>
      </c>
      <c r="H5" t="s">
        <v>1439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 t="s">
        <v>1713</v>
      </c>
      <c r="R5">
        <v>0.84373944999999995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657.27303154999993</v>
      </c>
      <c r="BF5">
        <v>1178780733773.2949</v>
      </c>
      <c r="BG5">
        <v>4</v>
      </c>
    </row>
    <row r="6" spans="1:59" x14ac:dyDescent="0.25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250.89609999999999</v>
      </c>
      <c r="G6">
        <v>4703471000</v>
      </c>
      <c r="H6" t="s">
        <v>1439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 t="s">
        <v>1503</v>
      </c>
      <c r="R6">
        <v>0.84373944999999995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303.74620199999998</v>
      </c>
      <c r="BF6">
        <v>995682185123.17017</v>
      </c>
      <c r="BG6">
        <v>5</v>
      </c>
    </row>
    <row r="7" spans="1:59" x14ac:dyDescent="0.25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211.91360026199999</v>
      </c>
      <c r="BF7">
        <v>863198722537.10449</v>
      </c>
      <c r="BG7">
        <v>6</v>
      </c>
    </row>
    <row r="8" spans="1:59" x14ac:dyDescent="0.25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355.73742690900002</v>
      </c>
      <c r="BF8">
        <v>671205647271.32971</v>
      </c>
      <c r="BG8">
        <v>7</v>
      </c>
    </row>
    <row r="9" spans="1:59" x14ac:dyDescent="0.25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586532827073.1416</v>
      </c>
      <c r="BG9">
        <v>8</v>
      </c>
    </row>
    <row r="10" spans="1:59" x14ac:dyDescent="0.25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 t="s">
        <v>1871</v>
      </c>
      <c r="R10">
        <v>0.84373944999999995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286.89672518349988</v>
      </c>
      <c r="BF10">
        <v>428138933996.85211</v>
      </c>
      <c r="BG10">
        <v>9</v>
      </c>
    </row>
    <row r="11" spans="1:59" x14ac:dyDescent="0.25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607.33910000000003</v>
      </c>
      <c r="G11">
        <v>946456800</v>
      </c>
      <c r="H11" t="s">
        <v>1438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 t="s">
        <v>1593</v>
      </c>
      <c r="R11">
        <v>0.84373944999999995</v>
      </c>
      <c r="S11">
        <v>2.5499999999999998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645.21599480949999</v>
      </c>
      <c r="BF11">
        <v>412248722620.45459</v>
      </c>
      <c r="BG11">
        <v>10</v>
      </c>
    </row>
    <row r="12" spans="1:59" x14ac:dyDescent="0.25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1028.0340000000001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 t="s">
        <v>1731</v>
      </c>
      <c r="R12">
        <v>0.84373944999999995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368578082931.18671</v>
      </c>
      <c r="BG12">
        <v>11</v>
      </c>
    </row>
    <row r="13" spans="1:59" x14ac:dyDescent="0.25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511.14530000000002</v>
      </c>
      <c r="G13">
        <v>897274200</v>
      </c>
      <c r="H13" t="s">
        <v>1438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 t="s">
        <v>1706</v>
      </c>
      <c r="R13">
        <v>0.84373944999999995</v>
      </c>
      <c r="S13">
        <v>0.56999999999999995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586.41999999999996</v>
      </c>
      <c r="BE13">
        <v>494.78568826899988</v>
      </c>
      <c r="BF13">
        <v>348273489313.05042</v>
      </c>
      <c r="BG13">
        <v>12</v>
      </c>
    </row>
    <row r="14" spans="1:59" x14ac:dyDescent="0.25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153.00389999999999</v>
      </c>
      <c r="G14">
        <v>2408338900</v>
      </c>
      <c r="H14" t="s">
        <v>1438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 t="s">
        <v>1672</v>
      </c>
      <c r="R14">
        <v>0.84373944999999995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148.88626334700001</v>
      </c>
      <c r="BF14">
        <v>310905537292.74121</v>
      </c>
      <c r="BG14">
        <v>13</v>
      </c>
    </row>
    <row r="15" spans="1:59" x14ac:dyDescent="0.25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0.55000000000000004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87.259533918999992</v>
      </c>
      <c r="BF15">
        <v>306022351413.6272</v>
      </c>
      <c r="BG15">
        <v>14</v>
      </c>
    </row>
    <row r="16" spans="1:59" x14ac:dyDescent="0.25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 t="s">
        <v>1648</v>
      </c>
      <c r="R16">
        <v>0.84373944999999995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355.59399120249998</v>
      </c>
      <c r="BF16">
        <v>295716575436.32678</v>
      </c>
      <c r="BG16">
        <v>15</v>
      </c>
    </row>
    <row r="17" spans="1:59" x14ac:dyDescent="0.25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201.71530000000001</v>
      </c>
      <c r="G17">
        <v>2808833000</v>
      </c>
      <c r="H17" t="s">
        <v>1438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0.6</v>
      </c>
      <c r="Q17" t="s">
        <v>1750</v>
      </c>
      <c r="R17">
        <v>0.84373944999999995</v>
      </c>
      <c r="S17">
        <v>0.84</v>
      </c>
      <c r="T17">
        <v>65.099999999999994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306.64999999999998</v>
      </c>
      <c r="BE17">
        <v>258.73270234249998</v>
      </c>
      <c r="BF17">
        <v>286829862837.26801</v>
      </c>
      <c r="BG17">
        <v>16</v>
      </c>
    </row>
    <row r="18" spans="1:59" x14ac:dyDescent="0.25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135.40710000000001</v>
      </c>
      <c r="G18">
        <v>2342371600</v>
      </c>
      <c r="H18" t="s">
        <v>1438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0.84373944999999995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158.05000000000001</v>
      </c>
      <c r="BE18">
        <v>133.35302007249999</v>
      </c>
      <c r="BF18">
        <v>267612001564.3515</v>
      </c>
      <c r="BG18">
        <v>17</v>
      </c>
    </row>
    <row r="19" spans="1:59" x14ac:dyDescent="0.25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135.46680000000001</v>
      </c>
      <c r="G19">
        <v>2274261500</v>
      </c>
      <c r="H19" t="s">
        <v>1439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 t="s">
        <v>1755</v>
      </c>
      <c r="R19">
        <v>0.84373944999999995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143.65507875700001</v>
      </c>
      <c r="BF19">
        <v>259945094987.33081</v>
      </c>
      <c r="BG19">
        <v>18</v>
      </c>
    </row>
    <row r="20" spans="1:59" x14ac:dyDescent="0.25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0.9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42.743840536999997</v>
      </c>
      <c r="BF20">
        <v>237501501926.5574</v>
      </c>
      <c r="BG20">
        <v>19</v>
      </c>
    </row>
    <row r="21" spans="1:59" x14ac:dyDescent="0.25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247.19034666650001</v>
      </c>
      <c r="BF21">
        <v>203510487168.00159</v>
      </c>
      <c r="BG21">
        <v>20</v>
      </c>
    </row>
    <row r="22" spans="1:59" x14ac:dyDescent="0.25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286.68579032100001</v>
      </c>
      <c r="BF22">
        <v>200474285057.27371</v>
      </c>
      <c r="BG22">
        <v>21</v>
      </c>
    </row>
    <row r="23" spans="1:59" x14ac:dyDescent="0.25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59.848089999999999</v>
      </c>
      <c r="G23">
        <v>4303667500</v>
      </c>
      <c r="H23" t="s">
        <v>1438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0.9</v>
      </c>
      <c r="Q23" t="s">
        <v>1536</v>
      </c>
      <c r="R23">
        <v>0.84373944999999995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66.239999999999995</v>
      </c>
      <c r="BE23">
        <v>55.889301167999989</v>
      </c>
      <c r="BF23">
        <v>195586948184.5108</v>
      </c>
      <c r="BG23">
        <v>22</v>
      </c>
    </row>
    <row r="24" spans="1:59" x14ac:dyDescent="0.25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 t="s">
        <v>1764</v>
      </c>
      <c r="R24">
        <v>0.84373944999999995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137.49578077199999</v>
      </c>
      <c r="BF24">
        <v>192497783938.3288</v>
      </c>
      <c r="BG24">
        <v>23</v>
      </c>
    </row>
    <row r="25" spans="1:59" x14ac:dyDescent="0.25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 t="s">
        <v>1530</v>
      </c>
      <c r="R25">
        <v>0.84373944999999995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66.930000000000007</v>
      </c>
      <c r="BE25">
        <v>56.471481388500003</v>
      </c>
      <c r="BF25">
        <v>191952597246.62961</v>
      </c>
      <c r="BG25">
        <v>24</v>
      </c>
    </row>
    <row r="26" spans="1:59" x14ac:dyDescent="0.25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 t="s">
        <v>1800</v>
      </c>
      <c r="R26">
        <v>0.84373944999999995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201.91528777950001</v>
      </c>
      <c r="BF26">
        <v>170911778955.53531</v>
      </c>
      <c r="BG26">
        <v>25</v>
      </c>
    </row>
    <row r="27" spans="1:59" x14ac:dyDescent="0.25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59</v>
      </c>
      <c r="P27">
        <v>1</v>
      </c>
      <c r="Q27" t="s">
        <v>1441</v>
      </c>
      <c r="R27">
        <v>0.84373944999999995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112.01484938199999</v>
      </c>
      <c r="BF27">
        <v>166161114926.70789</v>
      </c>
      <c r="BG27">
        <v>26</v>
      </c>
    </row>
    <row r="28" spans="1:59" x14ac:dyDescent="0.25">
      <c r="A28">
        <v>239</v>
      </c>
      <c r="B28" t="s">
        <v>64</v>
      </c>
      <c r="C28" t="s">
        <v>766</v>
      </c>
      <c r="D28" t="s">
        <v>67</v>
      </c>
      <c r="E28" t="s">
        <v>61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1053160944.5447299</v>
      </c>
      <c r="M28">
        <v>1222154836.9649501</v>
      </c>
      <c r="N28">
        <v>985290448.89441597</v>
      </c>
      <c r="O28" t="s">
        <v>59</v>
      </c>
      <c r="P28">
        <v>1</v>
      </c>
      <c r="Q28" t="s">
        <v>1656</v>
      </c>
      <c r="R28">
        <v>0.84373944999999995</v>
      </c>
      <c r="S28">
        <v>1.03</v>
      </c>
      <c r="T28">
        <v>70.06</v>
      </c>
      <c r="U28">
        <v>0.94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0.94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217.27978316400001</v>
      </c>
      <c r="BF28">
        <v>162376638511.46439</v>
      </c>
      <c r="BG28">
        <v>27</v>
      </c>
    </row>
    <row r="29" spans="1:59" x14ac:dyDescent="0.25">
      <c r="A29">
        <v>299</v>
      </c>
      <c r="B29" t="s">
        <v>377</v>
      </c>
      <c r="C29" t="s">
        <v>822</v>
      </c>
      <c r="D29" t="s">
        <v>1265</v>
      </c>
      <c r="E29" t="s">
        <v>61</v>
      </c>
      <c r="F29">
        <v>74.560509999999994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1138244113.5702701</v>
      </c>
      <c r="L29">
        <v>983157347.68014002</v>
      </c>
      <c r="M29">
        <v>1139478746.2140999</v>
      </c>
      <c r="N29">
        <v>1131152608.1069901</v>
      </c>
      <c r="O29" t="s">
        <v>59</v>
      </c>
      <c r="P29">
        <v>1</v>
      </c>
      <c r="Q29" t="s">
        <v>1712</v>
      </c>
      <c r="R29">
        <v>0.84373944999999995</v>
      </c>
      <c r="S29">
        <v>0.56000000000000005</v>
      </c>
      <c r="T29">
        <v>68.739999999999995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68.418832000500004</v>
      </c>
      <c r="BF29">
        <v>157134651149.64651</v>
      </c>
      <c r="BG29">
        <v>28</v>
      </c>
    </row>
    <row r="30" spans="1:59" x14ac:dyDescent="0.25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0.84373944999999995</v>
      </c>
      <c r="S30">
        <v>1.1100000000000001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97.224096823499991</v>
      </c>
      <c r="BF30">
        <v>153873672785.27469</v>
      </c>
      <c r="BG30">
        <v>29</v>
      </c>
    </row>
    <row r="31" spans="1:59" x14ac:dyDescent="0.25">
      <c r="A31">
        <v>45</v>
      </c>
      <c r="B31" t="s">
        <v>158</v>
      </c>
      <c r="C31" t="s">
        <v>592</v>
      </c>
      <c r="D31" t="s">
        <v>1046</v>
      </c>
      <c r="E31" t="s">
        <v>61</v>
      </c>
      <c r="F31">
        <v>24.551970000000001</v>
      </c>
      <c r="G31">
        <v>7150385300</v>
      </c>
      <c r="H31" t="s">
        <v>1438</v>
      </c>
      <c r="I31">
        <v>175556.1</v>
      </c>
      <c r="J31">
        <v>707493094.55368102</v>
      </c>
      <c r="K31">
        <v>899197125.75118697</v>
      </c>
      <c r="L31">
        <v>760971853.12662303</v>
      </c>
      <c r="M31">
        <v>882251933.79410803</v>
      </c>
      <c r="N31">
        <v>828642483.35025501</v>
      </c>
      <c r="O31" t="s">
        <v>59</v>
      </c>
      <c r="P31">
        <v>1</v>
      </c>
      <c r="Q31" t="s">
        <v>1482</v>
      </c>
      <c r="R31">
        <v>0.84373944999999995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24.746878068499999</v>
      </c>
      <c r="BF31">
        <v>148123561168.06839</v>
      </c>
      <c r="BG31">
        <v>30</v>
      </c>
    </row>
    <row r="32" spans="1:59" x14ac:dyDescent="0.25">
      <c r="A32">
        <v>351</v>
      </c>
      <c r="B32" t="s">
        <v>420</v>
      </c>
      <c r="C32" t="s">
        <v>871</v>
      </c>
      <c r="D32" t="s">
        <v>1308</v>
      </c>
      <c r="E32" t="s">
        <v>61</v>
      </c>
      <c r="F32">
        <v>127.70099999999999</v>
      </c>
      <c r="G32">
        <v>1369077100</v>
      </c>
      <c r="H32" t="s">
        <v>1439</v>
      </c>
      <c r="I32">
        <v>174832.5</v>
      </c>
      <c r="J32">
        <v>934983408.87370503</v>
      </c>
      <c r="K32">
        <v>1096851270.65098</v>
      </c>
      <c r="L32">
        <v>1139028520.4605501</v>
      </c>
      <c r="M32">
        <v>1320215123.74824</v>
      </c>
      <c r="N32">
        <v>1008909646.71197</v>
      </c>
      <c r="O32" t="s">
        <v>58</v>
      </c>
      <c r="P32">
        <v>1</v>
      </c>
      <c r="Q32" t="s">
        <v>1761</v>
      </c>
      <c r="R32">
        <v>0.84373944999999995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118.1488351835</v>
      </c>
      <c r="BF32">
        <v>147513089834.83511</v>
      </c>
      <c r="BG32">
        <v>31</v>
      </c>
    </row>
    <row r="33" spans="1:59" x14ac:dyDescent="0.25">
      <c r="A33">
        <v>87</v>
      </c>
      <c r="B33" t="s">
        <v>188</v>
      </c>
      <c r="C33" t="s">
        <v>624</v>
      </c>
      <c r="D33" t="s">
        <v>1076</v>
      </c>
      <c r="E33" t="s">
        <v>61</v>
      </c>
      <c r="F33">
        <v>371.7955</v>
      </c>
      <c r="G33">
        <v>468478900</v>
      </c>
      <c r="H33" t="s">
        <v>1438</v>
      </c>
      <c r="I33">
        <v>174178.4</v>
      </c>
      <c r="J33">
        <v>1266121495.3303101</v>
      </c>
      <c r="K33">
        <v>910270181.80166304</v>
      </c>
      <c r="L33">
        <v>963077289.32815695</v>
      </c>
      <c r="M33">
        <v>1117300658.49</v>
      </c>
      <c r="N33">
        <v>853266473.45873106</v>
      </c>
      <c r="O33" t="s">
        <v>59</v>
      </c>
      <c r="P33">
        <v>1</v>
      </c>
      <c r="Q33" t="s">
        <v>1514</v>
      </c>
      <c r="R33">
        <v>0.84373944999999995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371.81066343150002</v>
      </c>
      <c r="BF33">
        <v>146961142585.7421</v>
      </c>
      <c r="BG33">
        <v>32</v>
      </c>
    </row>
    <row r="34" spans="1:59" x14ac:dyDescent="0.25">
      <c r="A34">
        <v>453</v>
      </c>
      <c r="B34" t="s">
        <v>508</v>
      </c>
      <c r="C34" t="s">
        <v>963</v>
      </c>
      <c r="D34" t="s">
        <v>1396</v>
      </c>
      <c r="E34" t="s">
        <v>61</v>
      </c>
      <c r="F34">
        <v>82.599419999999995</v>
      </c>
      <c r="G34">
        <v>2085418700</v>
      </c>
      <c r="H34" t="s">
        <v>1438</v>
      </c>
      <c r="I34">
        <v>172254.4</v>
      </c>
      <c r="J34">
        <v>1538092925.0422699</v>
      </c>
      <c r="K34">
        <v>1482359491.3961301</v>
      </c>
      <c r="L34">
        <v>1509283570.7553599</v>
      </c>
      <c r="M34">
        <v>1747931746.7678101</v>
      </c>
      <c r="N34">
        <v>1479819598.27529</v>
      </c>
      <c r="O34" t="s">
        <v>59</v>
      </c>
      <c r="P34">
        <v>1</v>
      </c>
      <c r="Q34" t="s">
        <v>1853</v>
      </c>
      <c r="R34">
        <v>0.84373944999999995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82.54303039349999</v>
      </c>
      <c r="BF34">
        <v>145337811687.69159</v>
      </c>
      <c r="BG34">
        <v>33</v>
      </c>
    </row>
    <row r="35" spans="1:59" x14ac:dyDescent="0.25">
      <c r="A35">
        <v>437</v>
      </c>
      <c r="B35" t="s">
        <v>494</v>
      </c>
      <c r="C35" t="s">
        <v>949</v>
      </c>
      <c r="D35" t="s">
        <v>1382</v>
      </c>
      <c r="E35" t="s">
        <v>61</v>
      </c>
      <c r="F35">
        <v>426.68540000000002</v>
      </c>
      <c r="G35">
        <v>377612120</v>
      </c>
      <c r="H35" t="s">
        <v>1438</v>
      </c>
      <c r="I35">
        <v>161121.60000000001</v>
      </c>
      <c r="J35">
        <v>830447756.05835104</v>
      </c>
      <c r="K35">
        <v>1016521812.99466</v>
      </c>
      <c r="L35">
        <v>1024025379.81883</v>
      </c>
      <c r="M35">
        <v>1188375770.44368</v>
      </c>
      <c r="N35">
        <v>956768625.45759499</v>
      </c>
      <c r="O35" t="s">
        <v>59</v>
      </c>
      <c r="P35">
        <v>1</v>
      </c>
      <c r="Q35" t="s">
        <v>1839</v>
      </c>
      <c r="R35">
        <v>0.84373944999999995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405.61930319300001</v>
      </c>
      <c r="BF35">
        <v>135944631998.9189</v>
      </c>
      <c r="BG35">
        <v>34</v>
      </c>
    </row>
    <row r="36" spans="1:59" x14ac:dyDescent="0.25">
      <c r="A36">
        <v>467</v>
      </c>
      <c r="B36" t="s">
        <v>521</v>
      </c>
      <c r="C36" t="s">
        <v>977</v>
      </c>
      <c r="D36" t="s">
        <v>1409</v>
      </c>
      <c r="E36" t="s">
        <v>61</v>
      </c>
      <c r="F36">
        <v>37.92456</v>
      </c>
      <c r="G36">
        <v>4216324700</v>
      </c>
      <c r="H36" t="s">
        <v>1438</v>
      </c>
      <c r="I36">
        <v>159902.20000000001</v>
      </c>
      <c r="J36">
        <v>573940175.967713</v>
      </c>
      <c r="K36">
        <v>807668445.93597305</v>
      </c>
      <c r="L36">
        <v>652433401.58422196</v>
      </c>
      <c r="M36">
        <v>756990324.31854796</v>
      </c>
      <c r="N36">
        <v>784812502.85205603</v>
      </c>
      <c r="O36" t="s">
        <v>59</v>
      </c>
      <c r="P36">
        <v>1</v>
      </c>
      <c r="Q36" t="s">
        <v>1867</v>
      </c>
      <c r="R36">
        <v>0.84373944999999995</v>
      </c>
      <c r="S36">
        <v>0.93</v>
      </c>
      <c r="T36">
        <v>64.61</v>
      </c>
      <c r="U36">
        <v>0.94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0.94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36.905163543</v>
      </c>
      <c r="BF36">
        <v>134915844116.9501</v>
      </c>
      <c r="BG36">
        <v>35</v>
      </c>
    </row>
    <row r="37" spans="1:59" x14ac:dyDescent="0.25">
      <c r="A37">
        <v>399</v>
      </c>
      <c r="B37" t="s">
        <v>461</v>
      </c>
      <c r="C37" t="s">
        <v>915</v>
      </c>
      <c r="D37" t="s">
        <v>1349</v>
      </c>
      <c r="E37" t="s">
        <v>61</v>
      </c>
      <c r="F37">
        <v>756.74180000000001</v>
      </c>
      <c r="G37">
        <v>208000000</v>
      </c>
      <c r="H37" t="s">
        <v>1438</v>
      </c>
      <c r="I37">
        <v>157402.29999999999</v>
      </c>
      <c r="J37">
        <v>1439262491.4648099</v>
      </c>
      <c r="K37">
        <v>1390415962.8743899</v>
      </c>
      <c r="L37">
        <v>1234419009.8475299</v>
      </c>
      <c r="M37">
        <v>1432352579.9279699</v>
      </c>
      <c r="N37">
        <v>1319453139.84973</v>
      </c>
      <c r="O37" t="s">
        <v>59</v>
      </c>
      <c r="P37">
        <v>1</v>
      </c>
      <c r="Q37" t="s">
        <v>1805</v>
      </c>
      <c r="R37">
        <v>0.84373944999999995</v>
      </c>
      <c r="S37">
        <v>1.0900000000000001</v>
      </c>
      <c r="T37">
        <v>68.09</v>
      </c>
      <c r="U37">
        <v>0.81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0.81</v>
      </c>
      <c r="AI37">
        <v>0</v>
      </c>
      <c r="AJ37">
        <v>0</v>
      </c>
      <c r="AK37">
        <v>118</v>
      </c>
      <c r="AZ37" t="s">
        <v>1920</v>
      </c>
      <c r="BA37" t="s">
        <v>1940</v>
      </c>
      <c r="BB37">
        <v>10</v>
      </c>
      <c r="BC37" t="s">
        <v>1805</v>
      </c>
      <c r="BD37">
        <v>932.01</v>
      </c>
      <c r="BE37">
        <v>786.3736047944999</v>
      </c>
      <c r="BF37">
        <v>132806525305.7941</v>
      </c>
      <c r="BG37">
        <v>36</v>
      </c>
    </row>
    <row r="38" spans="1:59" x14ac:dyDescent="0.25">
      <c r="A38">
        <v>23</v>
      </c>
      <c r="B38" t="s">
        <v>137</v>
      </c>
      <c r="C38" t="s">
        <v>570</v>
      </c>
      <c r="D38" t="s">
        <v>1025</v>
      </c>
      <c r="E38" t="s">
        <v>61</v>
      </c>
      <c r="F38">
        <v>272.3673</v>
      </c>
      <c r="G38">
        <v>695882200</v>
      </c>
      <c r="H38" t="s">
        <v>1438</v>
      </c>
      <c r="I38">
        <v>189535.6</v>
      </c>
      <c r="J38">
        <v>614786654.05890596</v>
      </c>
      <c r="K38">
        <v>765376913.24781501</v>
      </c>
      <c r="L38">
        <v>688528716.82108998</v>
      </c>
      <c r="M38">
        <v>798446385.31213999</v>
      </c>
      <c r="N38">
        <v>727323593.68563402</v>
      </c>
      <c r="O38" t="s">
        <v>59</v>
      </c>
      <c r="P38">
        <v>0.8</v>
      </c>
      <c r="Q38" t="s">
        <v>1460</v>
      </c>
      <c r="R38">
        <v>0.84373944999999995</v>
      </c>
      <c r="S38">
        <v>0.71</v>
      </c>
      <c r="T38">
        <v>48.25</v>
      </c>
      <c r="U38">
        <v>0.86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0.86</v>
      </c>
      <c r="AI38">
        <v>0</v>
      </c>
      <c r="AJ38">
        <v>0</v>
      </c>
      <c r="AK38">
        <v>64</v>
      </c>
      <c r="AZ38" t="s">
        <v>1920</v>
      </c>
      <c r="BA38" t="s">
        <v>1940</v>
      </c>
      <c r="BB38">
        <v>192</v>
      </c>
      <c r="BC38" t="s">
        <v>1460</v>
      </c>
      <c r="BD38">
        <v>327.04000000000002</v>
      </c>
      <c r="BE38">
        <v>275.93654972799999</v>
      </c>
      <c r="BF38">
        <v>127934900574.0484</v>
      </c>
      <c r="BG38">
        <v>37</v>
      </c>
    </row>
    <row r="39" spans="1:59" x14ac:dyDescent="0.25">
      <c r="A39">
        <v>311</v>
      </c>
      <c r="B39" t="s">
        <v>387</v>
      </c>
      <c r="C39" t="s">
        <v>834</v>
      </c>
      <c r="D39" t="s">
        <v>1275</v>
      </c>
      <c r="E39" t="s">
        <v>61</v>
      </c>
      <c r="F39">
        <v>126.3185</v>
      </c>
      <c r="G39">
        <v>1596335800</v>
      </c>
      <c r="H39" t="s">
        <v>1438</v>
      </c>
      <c r="I39">
        <v>201646.7</v>
      </c>
      <c r="J39">
        <v>570081824.22159195</v>
      </c>
      <c r="K39">
        <v>742315418.83532596</v>
      </c>
      <c r="L39">
        <v>629809603.66704202</v>
      </c>
      <c r="M39">
        <v>730572037.570485</v>
      </c>
      <c r="N39">
        <v>730609431.82698798</v>
      </c>
      <c r="O39" t="s">
        <v>59</v>
      </c>
      <c r="P39">
        <v>0.75</v>
      </c>
      <c r="Q39" t="s">
        <v>1724</v>
      </c>
      <c r="R39">
        <v>0.84373944999999995</v>
      </c>
      <c r="S39">
        <v>2.86</v>
      </c>
      <c r="T39">
        <v>45.5</v>
      </c>
      <c r="U39">
        <v>0.92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0.92</v>
      </c>
      <c r="AI39">
        <v>0</v>
      </c>
      <c r="AJ39">
        <v>0</v>
      </c>
      <c r="AK39">
        <v>340</v>
      </c>
      <c r="AZ39" t="s">
        <v>1920</v>
      </c>
      <c r="BA39" t="s">
        <v>1940</v>
      </c>
      <c r="BB39">
        <v>214</v>
      </c>
      <c r="BC39" t="s">
        <v>1724</v>
      </c>
      <c r="BD39">
        <v>155.81</v>
      </c>
      <c r="BE39">
        <v>131.4630437045</v>
      </c>
      <c r="BF39">
        <v>127602984500.8924</v>
      </c>
      <c r="BG39">
        <v>38</v>
      </c>
    </row>
    <row r="40" spans="1:59" x14ac:dyDescent="0.25">
      <c r="A40">
        <v>108</v>
      </c>
      <c r="B40" t="s">
        <v>204</v>
      </c>
      <c r="C40" t="s">
        <v>641</v>
      </c>
      <c r="D40" t="s">
        <v>1092</v>
      </c>
      <c r="E40" t="s">
        <v>61</v>
      </c>
      <c r="F40">
        <v>81.29374</v>
      </c>
      <c r="G40">
        <v>1840898000</v>
      </c>
      <c r="H40" t="s">
        <v>1438</v>
      </c>
      <c r="I40">
        <v>149653.5</v>
      </c>
      <c r="J40">
        <v>1148475392.16377</v>
      </c>
      <c r="K40">
        <v>1080009845.5856099</v>
      </c>
      <c r="L40">
        <v>1082422138.49862</v>
      </c>
      <c r="M40">
        <v>1256721267.2894599</v>
      </c>
      <c r="N40">
        <v>993110010.89100599</v>
      </c>
      <c r="O40" t="s">
        <v>59</v>
      </c>
      <c r="P40">
        <v>1</v>
      </c>
      <c r="Q40" t="s">
        <v>1531</v>
      </c>
      <c r="R40">
        <v>0.84373944999999995</v>
      </c>
      <c r="S40">
        <v>0.56000000000000005</v>
      </c>
      <c r="T40">
        <v>53.38</v>
      </c>
      <c r="U40">
        <v>0.96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0.96</v>
      </c>
      <c r="AI40">
        <v>0</v>
      </c>
      <c r="AJ40">
        <v>0</v>
      </c>
      <c r="AK40">
        <v>39</v>
      </c>
      <c r="AZ40" t="s">
        <v>1920</v>
      </c>
      <c r="BA40" t="s">
        <v>1940</v>
      </c>
      <c r="BB40">
        <v>131</v>
      </c>
      <c r="BC40" t="s">
        <v>1531</v>
      </c>
      <c r="BD40">
        <v>100.64</v>
      </c>
      <c r="BE40">
        <v>84.913938247999994</v>
      </c>
      <c r="BF40">
        <v>126268547756.3766</v>
      </c>
      <c r="BG40">
        <v>39</v>
      </c>
    </row>
    <row r="41" spans="1:59" x14ac:dyDescent="0.25">
      <c r="A41">
        <v>251</v>
      </c>
      <c r="B41" t="s">
        <v>335</v>
      </c>
      <c r="C41" t="s">
        <v>777</v>
      </c>
      <c r="D41" t="s">
        <v>1223</v>
      </c>
      <c r="E41" t="s">
        <v>61</v>
      </c>
      <c r="F41">
        <v>406.3492</v>
      </c>
      <c r="G41">
        <v>358476500</v>
      </c>
      <c r="H41" t="s">
        <v>1439</v>
      </c>
      <c r="I41">
        <v>145666.6</v>
      </c>
      <c r="J41">
        <v>764110878.23156095</v>
      </c>
      <c r="K41">
        <v>933642553.44183898</v>
      </c>
      <c r="L41">
        <v>818145025.43019795</v>
      </c>
      <c r="M41">
        <v>948497746.72081399</v>
      </c>
      <c r="N41">
        <v>816674169.46835899</v>
      </c>
      <c r="O41" t="s">
        <v>58</v>
      </c>
      <c r="P41">
        <v>1</v>
      </c>
      <c r="Q41" t="s">
        <v>1667</v>
      </c>
      <c r="R41">
        <v>0.84373944999999995</v>
      </c>
      <c r="S41">
        <v>3.19</v>
      </c>
      <c r="T41">
        <v>52.99</v>
      </c>
      <c r="U41">
        <v>0.91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0.91</v>
      </c>
      <c r="AI41">
        <v>0</v>
      </c>
      <c r="AJ41">
        <v>0</v>
      </c>
      <c r="AK41">
        <v>364</v>
      </c>
      <c r="AZ41" t="s">
        <v>1920</v>
      </c>
      <c r="BA41" t="s">
        <v>1940</v>
      </c>
      <c r="BB41">
        <v>137</v>
      </c>
      <c r="BC41" t="s">
        <v>1667</v>
      </c>
      <c r="BD41">
        <v>434.5</v>
      </c>
      <c r="BE41">
        <v>366.604791025</v>
      </c>
      <c r="BF41">
        <v>122904689867.97729</v>
      </c>
      <c r="BG41">
        <v>40</v>
      </c>
    </row>
    <row r="42" spans="1:59" x14ac:dyDescent="0.25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134.84379999999999</v>
      </c>
      <c r="G42">
        <v>1079000000</v>
      </c>
      <c r="H42" t="s">
        <v>1439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 t="s">
        <v>1780</v>
      </c>
      <c r="R42">
        <v>0.84373944999999995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138.49139332300001</v>
      </c>
      <c r="BF42">
        <v>122761103306.09489</v>
      </c>
      <c r="BG42">
        <v>41</v>
      </c>
    </row>
    <row r="43" spans="1:59" x14ac:dyDescent="0.25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475.04689999999999</v>
      </c>
      <c r="G43">
        <v>305300000</v>
      </c>
      <c r="H43" t="s">
        <v>1438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 t="s">
        <v>1799</v>
      </c>
      <c r="R43">
        <v>0.84373944999999995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456.70772689049988</v>
      </c>
      <c r="BF43">
        <v>122369066832.7516</v>
      </c>
      <c r="BG43">
        <v>42</v>
      </c>
    </row>
    <row r="44" spans="1:59" x14ac:dyDescent="0.25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979.83450000000005</v>
      </c>
      <c r="G44">
        <v>154853330</v>
      </c>
      <c r="H44" t="s">
        <v>1438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 t="s">
        <v>1496</v>
      </c>
      <c r="R44">
        <v>0.84373944999999995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1118.8900000000001</v>
      </c>
      <c r="BE44">
        <v>944.05163321049997</v>
      </c>
      <c r="BF44">
        <v>121620066536.2762</v>
      </c>
      <c r="BG44">
        <v>43</v>
      </c>
    </row>
    <row r="45" spans="1:59" x14ac:dyDescent="0.25">
      <c r="A45">
        <v>4</v>
      </c>
      <c r="B45" t="s">
        <v>122</v>
      </c>
      <c r="C45" t="s">
        <v>553</v>
      </c>
      <c r="D45" t="s">
        <v>1010</v>
      </c>
      <c r="E45" t="s">
        <v>61</v>
      </c>
      <c r="F45">
        <v>221.21520000000001</v>
      </c>
      <c r="G45">
        <v>622852700</v>
      </c>
      <c r="H45" t="s">
        <v>1438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 t="s">
        <v>1443</v>
      </c>
      <c r="R45">
        <v>0.84373944999999995</v>
      </c>
      <c r="S45">
        <v>0.69</v>
      </c>
      <c r="T45">
        <v>63.16</v>
      </c>
      <c r="U45">
        <v>0.99</v>
      </c>
      <c r="V45" t="s">
        <v>1901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0.99</v>
      </c>
      <c r="AI45">
        <v>0</v>
      </c>
      <c r="AJ45">
        <v>0</v>
      </c>
      <c r="AK45">
        <v>62</v>
      </c>
      <c r="AZ45" t="s">
        <v>1920</v>
      </c>
      <c r="BA45" t="s">
        <v>1940</v>
      </c>
      <c r="BB45">
        <v>29</v>
      </c>
      <c r="BC45" t="s">
        <v>1443</v>
      </c>
      <c r="BD45">
        <v>236.81</v>
      </c>
      <c r="BE45">
        <v>199.80593915450001</v>
      </c>
      <c r="BF45">
        <v>116254205255.815</v>
      </c>
      <c r="BG45">
        <v>44</v>
      </c>
    </row>
    <row r="46" spans="1:59" x14ac:dyDescent="0.25">
      <c r="A46">
        <v>29</v>
      </c>
      <c r="B46" t="s">
        <v>143</v>
      </c>
      <c r="C46" t="s">
        <v>576</v>
      </c>
      <c r="D46" t="s">
        <v>1031</v>
      </c>
      <c r="E46" t="s">
        <v>61</v>
      </c>
      <c r="F46">
        <v>250.65710000000001</v>
      </c>
      <c r="G46">
        <v>538361900</v>
      </c>
      <c r="H46" t="s">
        <v>1439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 t="s">
        <v>1466</v>
      </c>
      <c r="R46">
        <v>0.84373944999999995</v>
      </c>
      <c r="S46">
        <v>1.06</v>
      </c>
      <c r="T46">
        <v>60.78</v>
      </c>
      <c r="U46">
        <v>0.99</v>
      </c>
      <c r="V46" t="s">
        <v>1901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0.99</v>
      </c>
      <c r="AI46">
        <v>0</v>
      </c>
      <c r="AJ46">
        <v>0</v>
      </c>
      <c r="AK46">
        <v>113</v>
      </c>
      <c r="AZ46" t="s">
        <v>1920</v>
      </c>
      <c r="BA46" t="s">
        <v>1940</v>
      </c>
      <c r="BB46">
        <v>43</v>
      </c>
      <c r="BC46" t="s">
        <v>1466</v>
      </c>
      <c r="BD46">
        <v>273.08499999999998</v>
      </c>
      <c r="BE46">
        <v>230.41258770325001</v>
      </c>
      <c r="BF46">
        <v>113857772598.38451</v>
      </c>
      <c r="BG46">
        <v>45</v>
      </c>
    </row>
    <row r="47" spans="1:59" x14ac:dyDescent="0.25">
      <c r="A47">
        <v>68</v>
      </c>
      <c r="B47" t="s">
        <v>176</v>
      </c>
      <c r="C47" t="s">
        <v>611</v>
      </c>
      <c r="D47" t="s">
        <v>1064</v>
      </c>
      <c r="E47" t="s">
        <v>61</v>
      </c>
      <c r="F47">
        <v>90.604190000000003</v>
      </c>
      <c r="G47">
        <v>1481751600</v>
      </c>
      <c r="H47" t="s">
        <v>1438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 t="s">
        <v>1501</v>
      </c>
      <c r="R47">
        <v>0.84373944999999995</v>
      </c>
      <c r="S47">
        <v>1.18</v>
      </c>
      <c r="T47">
        <v>55.95</v>
      </c>
      <c r="U47">
        <v>0.89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0.89</v>
      </c>
      <c r="AI47">
        <v>0</v>
      </c>
      <c r="AJ47">
        <v>0</v>
      </c>
      <c r="AK47">
        <v>124</v>
      </c>
      <c r="AZ47" t="s">
        <v>1920</v>
      </c>
      <c r="BA47" t="s">
        <v>1940</v>
      </c>
      <c r="BB47">
        <v>92</v>
      </c>
      <c r="BC47" t="s">
        <v>1501</v>
      </c>
      <c r="BD47">
        <v>98.98</v>
      </c>
      <c r="BE47">
        <v>83.513330760999992</v>
      </c>
      <c r="BF47">
        <v>113274470959.3215</v>
      </c>
      <c r="BG47">
        <v>46</v>
      </c>
    </row>
    <row r="48" spans="1:59" x14ac:dyDescent="0.25">
      <c r="A48">
        <v>5</v>
      </c>
      <c r="B48" t="s">
        <v>123</v>
      </c>
      <c r="C48" t="s">
        <v>554</v>
      </c>
      <c r="D48" t="s">
        <v>1011</v>
      </c>
      <c r="E48" t="s">
        <v>61</v>
      </c>
      <c r="F48">
        <v>309.00319999999999</v>
      </c>
      <c r="G48">
        <v>424200000</v>
      </c>
      <c r="H48" t="s">
        <v>1439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 t="s">
        <v>1444</v>
      </c>
      <c r="R48">
        <v>0.84373944999999995</v>
      </c>
      <c r="S48">
        <v>0.62</v>
      </c>
      <c r="T48">
        <v>69.03</v>
      </c>
      <c r="U48">
        <v>0.92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0.92</v>
      </c>
      <c r="AI48">
        <v>0</v>
      </c>
      <c r="AJ48">
        <v>0</v>
      </c>
      <c r="AK48">
        <v>52</v>
      </c>
      <c r="AZ48" t="s">
        <v>1920</v>
      </c>
      <c r="BA48" t="s">
        <v>1940</v>
      </c>
      <c r="BB48">
        <v>8</v>
      </c>
      <c r="BC48" t="s">
        <v>1444</v>
      </c>
      <c r="BD48">
        <v>352.73</v>
      </c>
      <c r="BE48">
        <v>297.61221619849999</v>
      </c>
      <c r="BF48">
        <v>110596656204.88901</v>
      </c>
      <c r="BG48">
        <v>47</v>
      </c>
    </row>
    <row r="49" spans="1:59" x14ac:dyDescent="0.25">
      <c r="A49">
        <v>282</v>
      </c>
      <c r="B49" t="s">
        <v>362</v>
      </c>
      <c r="C49" t="s">
        <v>806</v>
      </c>
      <c r="D49" t="s">
        <v>1250</v>
      </c>
      <c r="E49" t="s">
        <v>61</v>
      </c>
      <c r="F49">
        <v>225.06399999999999</v>
      </c>
      <c r="G49">
        <v>560437700</v>
      </c>
      <c r="H49" t="s">
        <v>1438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 t="s">
        <v>1696</v>
      </c>
      <c r="R49">
        <v>0.84373944999999995</v>
      </c>
      <c r="S49">
        <v>1.5</v>
      </c>
      <c r="T49">
        <v>48</v>
      </c>
      <c r="U49">
        <v>0.97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0.97</v>
      </c>
      <c r="AI49">
        <v>0</v>
      </c>
      <c r="AJ49">
        <v>0</v>
      </c>
      <c r="AK49">
        <v>159</v>
      </c>
      <c r="AZ49" t="s">
        <v>1920</v>
      </c>
      <c r="BA49" t="s">
        <v>1940</v>
      </c>
      <c r="BB49">
        <v>193</v>
      </c>
      <c r="BC49" t="s">
        <v>1696</v>
      </c>
      <c r="BD49">
        <v>270.52</v>
      </c>
      <c r="BE49">
        <v>228.24839601400001</v>
      </c>
      <c r="BF49">
        <v>106424527527.7771</v>
      </c>
      <c r="BG49">
        <v>48</v>
      </c>
    </row>
    <row r="50" spans="1:59" x14ac:dyDescent="0.25">
      <c r="A50">
        <v>352</v>
      </c>
      <c r="B50" t="s">
        <v>421</v>
      </c>
      <c r="C50" t="s">
        <v>872</v>
      </c>
      <c r="D50" t="s">
        <v>1309</v>
      </c>
      <c r="E50" t="s">
        <v>61</v>
      </c>
      <c r="F50">
        <v>22.08568</v>
      </c>
      <c r="G50">
        <v>5685550300</v>
      </c>
      <c r="H50" t="s">
        <v>1438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 t="s">
        <v>1762</v>
      </c>
      <c r="R50">
        <v>0.84373944999999995</v>
      </c>
      <c r="S50">
        <v>0.89</v>
      </c>
      <c r="T50">
        <v>67.989999999999995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95</v>
      </c>
      <c r="AZ50" t="s">
        <v>1920</v>
      </c>
      <c r="BA50" t="s">
        <v>1940</v>
      </c>
      <c r="BB50">
        <v>11</v>
      </c>
      <c r="BC50" t="s">
        <v>1762</v>
      </c>
      <c r="BD50">
        <v>23.9</v>
      </c>
      <c r="BE50">
        <v>20.165372855000001</v>
      </c>
      <c r="BF50">
        <v>105947725333.2827</v>
      </c>
      <c r="BG50">
        <v>49</v>
      </c>
    </row>
    <row r="51" spans="1:59" x14ac:dyDescent="0.25">
      <c r="A51">
        <v>363</v>
      </c>
      <c r="B51" t="s">
        <v>429</v>
      </c>
      <c r="C51" t="s">
        <v>882</v>
      </c>
      <c r="D51" t="s">
        <v>1317</v>
      </c>
      <c r="E51" t="s">
        <v>61</v>
      </c>
      <c r="F51">
        <v>212.6728</v>
      </c>
      <c r="G51">
        <v>586208500</v>
      </c>
      <c r="H51" t="s">
        <v>1438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 t="s">
        <v>1772</v>
      </c>
      <c r="R51">
        <v>0.84373944999999995</v>
      </c>
      <c r="S51">
        <v>2.69</v>
      </c>
      <c r="T51">
        <v>51.96</v>
      </c>
      <c r="U51">
        <v>0.87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0.87</v>
      </c>
      <c r="AI51">
        <v>0</v>
      </c>
      <c r="AJ51">
        <v>0</v>
      </c>
      <c r="AK51">
        <v>324</v>
      </c>
      <c r="AZ51" t="s">
        <v>1920</v>
      </c>
      <c r="BA51" t="s">
        <v>1940</v>
      </c>
      <c r="BB51">
        <v>154</v>
      </c>
      <c r="BC51" t="s">
        <v>1772</v>
      </c>
      <c r="BD51">
        <v>244.97</v>
      </c>
      <c r="BE51">
        <v>206.69085306650001</v>
      </c>
      <c r="BF51">
        <v>105189506072.875</v>
      </c>
      <c r="BG51">
        <v>50</v>
      </c>
    </row>
    <row r="52" spans="1:59" x14ac:dyDescent="0.25">
      <c r="A52">
        <v>220</v>
      </c>
      <c r="B52" t="s">
        <v>307</v>
      </c>
      <c r="C52" t="s">
        <v>747</v>
      </c>
      <c r="D52" t="s">
        <v>1195</v>
      </c>
      <c r="E52" t="s">
        <v>61</v>
      </c>
      <c r="F52">
        <v>97.943330000000003</v>
      </c>
      <c r="G52">
        <v>1240806900</v>
      </c>
      <c r="H52" t="s">
        <v>1439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 t="s">
        <v>1637</v>
      </c>
      <c r="R52">
        <v>0.84373944999999995</v>
      </c>
      <c r="S52">
        <v>0.56999999999999995</v>
      </c>
      <c r="T52">
        <v>55.84</v>
      </c>
      <c r="U52">
        <v>0.89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H52">
        <v>0.89</v>
      </c>
      <c r="AI52">
        <v>0</v>
      </c>
      <c r="AJ52">
        <v>0</v>
      </c>
      <c r="AK52">
        <v>43</v>
      </c>
      <c r="AZ52" t="s">
        <v>1920</v>
      </c>
      <c r="BA52" t="s">
        <v>1940</v>
      </c>
      <c r="BB52">
        <v>96</v>
      </c>
      <c r="BC52" t="s">
        <v>1637</v>
      </c>
      <c r="BD52">
        <v>110.86</v>
      </c>
      <c r="BE52">
        <v>93.536955426999995</v>
      </c>
      <c r="BF52">
        <v>102538608845.65981</v>
      </c>
      <c r="BG52">
        <v>51</v>
      </c>
    </row>
    <row r="53" spans="1:59" x14ac:dyDescent="0.25">
      <c r="A53">
        <v>232</v>
      </c>
      <c r="B53" t="s">
        <v>318</v>
      </c>
      <c r="C53" t="s">
        <v>759</v>
      </c>
      <c r="D53" t="s">
        <v>1206</v>
      </c>
      <c r="E53" t="s">
        <v>61</v>
      </c>
      <c r="F53">
        <v>190.16040000000001</v>
      </c>
      <c r="G53">
        <v>634896550</v>
      </c>
      <c r="H53" t="s">
        <v>1439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 t="s">
        <v>1649</v>
      </c>
      <c r="R53">
        <v>0.84373944999999995</v>
      </c>
      <c r="S53">
        <v>0.56000000000000005</v>
      </c>
      <c r="T53">
        <v>53.96</v>
      </c>
      <c r="U53">
        <v>0.89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G53" t="s">
        <v>1904</v>
      </c>
      <c r="AH53">
        <v>0.89</v>
      </c>
      <c r="AI53">
        <v>0</v>
      </c>
      <c r="AJ53">
        <v>0</v>
      </c>
      <c r="AK53">
        <v>39</v>
      </c>
      <c r="AZ53" t="s">
        <v>1920</v>
      </c>
      <c r="BA53" t="s">
        <v>1940</v>
      </c>
      <c r="BB53">
        <v>120</v>
      </c>
      <c r="BC53" t="s">
        <v>1649</v>
      </c>
      <c r="BD53">
        <v>210.95</v>
      </c>
      <c r="BE53">
        <v>177.98683697749999</v>
      </c>
      <c r="BF53">
        <v>101866504759.1915</v>
      </c>
      <c r="BG53">
        <v>52</v>
      </c>
    </row>
    <row r="54" spans="1:59" x14ac:dyDescent="0.25">
      <c r="A54">
        <v>144</v>
      </c>
      <c r="B54" t="s">
        <v>238</v>
      </c>
      <c r="C54" t="s">
        <v>676</v>
      </c>
      <c r="D54" t="s">
        <v>1126</v>
      </c>
      <c r="E54" t="s">
        <v>61</v>
      </c>
      <c r="F54">
        <v>180.74760000000001</v>
      </c>
      <c r="G54">
        <v>716051600</v>
      </c>
      <c r="H54" t="s">
        <v>1438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 t="s">
        <v>1566</v>
      </c>
      <c r="R54">
        <v>0.84373944999999995</v>
      </c>
      <c r="S54">
        <v>1.57</v>
      </c>
      <c r="T54">
        <v>57.15</v>
      </c>
      <c r="U54">
        <v>0.63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0.63</v>
      </c>
      <c r="AI54">
        <v>0</v>
      </c>
      <c r="AJ54">
        <v>0</v>
      </c>
      <c r="AK54">
        <v>166</v>
      </c>
      <c r="AZ54" t="s">
        <v>1920</v>
      </c>
      <c r="BA54" t="s">
        <v>1940</v>
      </c>
      <c r="BB54">
        <v>80</v>
      </c>
      <c r="BC54" t="s">
        <v>1566</v>
      </c>
      <c r="BD54">
        <v>190.47</v>
      </c>
      <c r="BE54">
        <v>160.70705304149999</v>
      </c>
      <c r="BF54">
        <v>98280582947.116867</v>
      </c>
      <c r="BG54">
        <v>53</v>
      </c>
    </row>
    <row r="55" spans="1:59" x14ac:dyDescent="0.25">
      <c r="A55">
        <v>165</v>
      </c>
      <c r="B55" t="s">
        <v>258</v>
      </c>
      <c r="C55" t="s">
        <v>696</v>
      </c>
      <c r="D55" t="s">
        <v>1146</v>
      </c>
      <c r="E55" t="s">
        <v>61</v>
      </c>
      <c r="F55">
        <v>296.64620000000002</v>
      </c>
      <c r="G55">
        <v>389300000</v>
      </c>
      <c r="H55" t="s">
        <v>1438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 t="s">
        <v>1586</v>
      </c>
      <c r="R55">
        <v>0.84373944999999995</v>
      </c>
      <c r="S55">
        <v>2.6</v>
      </c>
      <c r="T55">
        <v>54.76</v>
      </c>
      <c r="U55">
        <v>0.99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G55" t="s">
        <v>1904</v>
      </c>
      <c r="AH55">
        <v>0.99</v>
      </c>
      <c r="AI55">
        <v>0</v>
      </c>
      <c r="AJ55">
        <v>0</v>
      </c>
      <c r="AK55">
        <v>308</v>
      </c>
      <c r="AZ55" t="s">
        <v>1920</v>
      </c>
      <c r="BA55" t="s">
        <v>1940</v>
      </c>
      <c r="BB55">
        <v>110</v>
      </c>
      <c r="BC55" t="s">
        <v>1586</v>
      </c>
      <c r="BD55">
        <v>371.19</v>
      </c>
      <c r="BE55">
        <v>313.18764644549998</v>
      </c>
      <c r="BF55">
        <v>97438715165.567291</v>
      </c>
      <c r="BG55">
        <v>54</v>
      </c>
    </row>
    <row r="56" spans="1:59" x14ac:dyDescent="0.25">
      <c r="A56">
        <v>455</v>
      </c>
      <c r="B56" t="s">
        <v>510</v>
      </c>
      <c r="C56" t="s">
        <v>965</v>
      </c>
      <c r="D56" t="s">
        <v>1398</v>
      </c>
      <c r="E56" t="s">
        <v>61</v>
      </c>
      <c r="F56">
        <v>194.4444</v>
      </c>
      <c r="G56">
        <v>593039860</v>
      </c>
      <c r="H56" t="s">
        <v>1438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 t="s">
        <v>1855</v>
      </c>
      <c r="R56">
        <v>0.84373944999999995</v>
      </c>
      <c r="S56">
        <v>1.44</v>
      </c>
      <c r="T56">
        <v>54.72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1901</v>
      </c>
      <c r="AE56">
        <v>0</v>
      </c>
      <c r="AF56">
        <v>0</v>
      </c>
      <c r="AG56" t="s">
        <v>1904</v>
      </c>
      <c r="AH56">
        <v>0.97</v>
      </c>
      <c r="AI56">
        <v>0</v>
      </c>
      <c r="AJ56">
        <v>0</v>
      </c>
      <c r="AK56">
        <v>154</v>
      </c>
      <c r="AZ56" t="s">
        <v>1920</v>
      </c>
      <c r="BA56" t="s">
        <v>1940</v>
      </c>
      <c r="BB56">
        <v>111</v>
      </c>
      <c r="BC56" t="s">
        <v>1855</v>
      </c>
      <c r="BD56">
        <v>216</v>
      </c>
      <c r="BE56">
        <v>182.2477212</v>
      </c>
      <c r="BF56">
        <v>97294363237.153839</v>
      </c>
      <c r="BG56">
        <v>55</v>
      </c>
    </row>
    <row r="57" spans="1:59" x14ac:dyDescent="0.25">
      <c r="A57">
        <v>30</v>
      </c>
      <c r="B57" t="s">
        <v>144</v>
      </c>
      <c r="C57" t="s">
        <v>577</v>
      </c>
      <c r="D57" t="s">
        <v>1032</v>
      </c>
      <c r="E57" t="s">
        <v>61</v>
      </c>
      <c r="F57">
        <v>93.326509999999999</v>
      </c>
      <c r="G57">
        <v>1220921100</v>
      </c>
      <c r="H57" t="s">
        <v>1438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 t="s">
        <v>1467</v>
      </c>
      <c r="R57">
        <v>0.84373944999999995</v>
      </c>
      <c r="S57">
        <v>1.2</v>
      </c>
      <c r="T57">
        <v>47.59</v>
      </c>
      <c r="U57">
        <v>0.67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0.67</v>
      </c>
      <c r="AI57">
        <v>0</v>
      </c>
      <c r="AJ57">
        <v>0</v>
      </c>
      <c r="AK57">
        <v>126</v>
      </c>
      <c r="AZ57" t="s">
        <v>1920</v>
      </c>
      <c r="BA57" t="s">
        <v>1940</v>
      </c>
      <c r="BB57">
        <v>196</v>
      </c>
      <c r="BC57" t="s">
        <v>1467</v>
      </c>
      <c r="BD57">
        <v>119.04</v>
      </c>
      <c r="BE57">
        <v>100.438744128</v>
      </c>
      <c r="BF57">
        <v>96139305440.884216</v>
      </c>
      <c r="BG57">
        <v>56</v>
      </c>
    </row>
    <row r="58" spans="1:59" x14ac:dyDescent="0.25">
      <c r="A58">
        <v>304</v>
      </c>
      <c r="B58" t="s">
        <v>381</v>
      </c>
      <c r="C58" t="s">
        <v>827</v>
      </c>
      <c r="D58" t="s">
        <v>1269</v>
      </c>
      <c r="E58" t="s">
        <v>61</v>
      </c>
      <c r="F58">
        <v>100.4267</v>
      </c>
      <c r="G58">
        <v>1119125100</v>
      </c>
      <c r="H58" t="s">
        <v>1439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 t="s">
        <v>1717</v>
      </c>
      <c r="R58">
        <v>0.84373944999999995</v>
      </c>
      <c r="S58">
        <v>2.35</v>
      </c>
      <c r="T58">
        <v>52.37</v>
      </c>
      <c r="U58">
        <v>0.85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0.85</v>
      </c>
      <c r="AI58">
        <v>0</v>
      </c>
      <c r="AJ58">
        <v>0</v>
      </c>
      <c r="AK58">
        <v>273</v>
      </c>
      <c r="AZ58" t="s">
        <v>1920</v>
      </c>
      <c r="BA58" t="s">
        <v>1940</v>
      </c>
      <c r="BB58">
        <v>147</v>
      </c>
      <c r="BC58" t="s">
        <v>1717</v>
      </c>
      <c r="BD58">
        <v>158.82</v>
      </c>
      <c r="BE58">
        <v>134.002699449</v>
      </c>
      <c r="BF58">
        <v>94827911108.964249</v>
      </c>
      <c r="BG58">
        <v>57</v>
      </c>
    </row>
    <row r="59" spans="1:59" x14ac:dyDescent="0.25">
      <c r="A59">
        <v>37</v>
      </c>
      <c r="B59" t="s">
        <v>150</v>
      </c>
      <c r="C59" t="s">
        <v>584</v>
      </c>
      <c r="D59" t="s">
        <v>1038</v>
      </c>
      <c r="E59" t="s">
        <v>61</v>
      </c>
      <c r="F59">
        <v>138.667</v>
      </c>
      <c r="G59">
        <v>796642460</v>
      </c>
      <c r="H59" t="s">
        <v>1439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 t="s">
        <v>1474</v>
      </c>
      <c r="R59">
        <v>0.84373944999999995</v>
      </c>
      <c r="S59">
        <v>1.06</v>
      </c>
      <c r="T59">
        <v>58.08</v>
      </c>
      <c r="U59">
        <v>0.99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0.99</v>
      </c>
      <c r="AI59">
        <v>0</v>
      </c>
      <c r="AJ59">
        <v>0</v>
      </c>
      <c r="AK59">
        <v>113</v>
      </c>
      <c r="AZ59" t="s">
        <v>1920</v>
      </c>
      <c r="BA59" t="s">
        <v>1940</v>
      </c>
      <c r="BB59">
        <v>70</v>
      </c>
      <c r="BC59" t="s">
        <v>1474</v>
      </c>
      <c r="BD59">
        <v>173.54</v>
      </c>
      <c r="BE59">
        <v>146.42254415299999</v>
      </c>
      <c r="BF59">
        <v>93206226438.080872</v>
      </c>
      <c r="BG59">
        <v>58</v>
      </c>
    </row>
    <row r="60" spans="1:59" x14ac:dyDescent="0.25">
      <c r="A60">
        <v>147</v>
      </c>
      <c r="B60" t="s">
        <v>241</v>
      </c>
      <c r="C60" t="s">
        <v>679</v>
      </c>
      <c r="D60" t="s">
        <v>1129</v>
      </c>
      <c r="E60" t="s">
        <v>61</v>
      </c>
      <c r="F60">
        <v>423.27190000000002</v>
      </c>
      <c r="G60">
        <v>270827060</v>
      </c>
      <c r="H60" t="s">
        <v>1438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 t="s">
        <v>1569</v>
      </c>
      <c r="R60">
        <v>0.84373944999999995</v>
      </c>
      <c r="S60">
        <v>1.65</v>
      </c>
      <c r="T60">
        <v>58.74</v>
      </c>
      <c r="U60">
        <v>0.99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0.99</v>
      </c>
      <c r="AI60">
        <v>0</v>
      </c>
      <c r="AJ60">
        <v>0</v>
      </c>
      <c r="AK60">
        <v>178</v>
      </c>
      <c r="AZ60" t="s">
        <v>1920</v>
      </c>
      <c r="BA60" t="s">
        <v>1940</v>
      </c>
      <c r="BB60">
        <v>60</v>
      </c>
      <c r="BC60" t="s">
        <v>1569</v>
      </c>
      <c r="BD60">
        <v>468.7</v>
      </c>
      <c r="BE60">
        <v>395.46068021500002</v>
      </c>
      <c r="BF60">
        <v>91884753311.147736</v>
      </c>
      <c r="BG60">
        <v>59</v>
      </c>
    </row>
    <row r="61" spans="1:59" x14ac:dyDescent="0.25">
      <c r="A61">
        <v>118</v>
      </c>
      <c r="B61" t="s">
        <v>213</v>
      </c>
      <c r="C61" t="s">
        <v>651</v>
      </c>
      <c r="D61" t="s">
        <v>1101</v>
      </c>
      <c r="E61" t="s">
        <v>61</v>
      </c>
      <c r="F61">
        <v>29.1432</v>
      </c>
      <c r="G61">
        <v>3682762200</v>
      </c>
      <c r="H61" t="s">
        <v>1439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 t="s">
        <v>1541</v>
      </c>
      <c r="R61">
        <v>0.84373944999999995</v>
      </c>
      <c r="S61">
        <v>1.76</v>
      </c>
      <c r="T61">
        <v>51.68</v>
      </c>
      <c r="U61">
        <v>0.92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191</v>
      </c>
      <c r="AZ61" t="s">
        <v>1920</v>
      </c>
      <c r="BA61" t="s">
        <v>1940</v>
      </c>
      <c r="BB61">
        <v>159</v>
      </c>
      <c r="BC61" t="s">
        <v>1541</v>
      </c>
      <c r="BD61">
        <v>32.29</v>
      </c>
      <c r="BE61">
        <v>27.2443468405</v>
      </c>
      <c r="BF61">
        <v>90556425019.200073</v>
      </c>
      <c r="BG61">
        <v>60</v>
      </c>
    </row>
    <row r="62" spans="1:59" x14ac:dyDescent="0.25">
      <c r="A62">
        <v>49</v>
      </c>
      <c r="B62" t="s">
        <v>162</v>
      </c>
      <c r="C62" t="s">
        <v>596</v>
      </c>
      <c r="D62" t="s">
        <v>1050</v>
      </c>
      <c r="E62" t="s">
        <v>61</v>
      </c>
      <c r="F62">
        <v>262.80079999999998</v>
      </c>
      <c r="G62">
        <v>405043150</v>
      </c>
      <c r="H62" t="s">
        <v>1439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 t="s">
        <v>1486</v>
      </c>
      <c r="R62">
        <v>0.84373944999999995</v>
      </c>
      <c r="S62">
        <v>1.86</v>
      </c>
      <c r="T62">
        <v>59.95</v>
      </c>
      <c r="U62">
        <v>0.89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0.89</v>
      </c>
      <c r="AI62">
        <v>0</v>
      </c>
      <c r="AJ62">
        <v>0</v>
      </c>
      <c r="AK62">
        <v>204</v>
      </c>
      <c r="AZ62" t="s">
        <v>1920</v>
      </c>
      <c r="BA62" t="s">
        <v>1940</v>
      </c>
      <c r="BB62">
        <v>50</v>
      </c>
      <c r="BC62" t="s">
        <v>1486</v>
      </c>
      <c r="BD62">
        <v>288.69</v>
      </c>
      <c r="BE62">
        <v>243.57914182050001</v>
      </c>
      <c r="BF62">
        <v>89812405875.497574</v>
      </c>
      <c r="BG62">
        <v>61</v>
      </c>
    </row>
    <row r="63" spans="1:59" x14ac:dyDescent="0.25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 t="s">
        <v>1469</v>
      </c>
      <c r="R63">
        <v>0.84373944999999995</v>
      </c>
      <c r="S63">
        <v>0.28999999999999998</v>
      </c>
      <c r="T63">
        <v>54.21</v>
      </c>
      <c r="U63">
        <v>0.94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0.94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205.95679974500001</v>
      </c>
      <c r="BF63">
        <v>89335820108.029068</v>
      </c>
      <c r="BG63">
        <v>62</v>
      </c>
    </row>
    <row r="64" spans="1:59" x14ac:dyDescent="0.25">
      <c r="A64">
        <v>297</v>
      </c>
      <c r="B64" t="s">
        <v>375</v>
      </c>
      <c r="C64" t="s">
        <v>820</v>
      </c>
      <c r="D64" t="s">
        <v>1263</v>
      </c>
      <c r="E64" t="s">
        <v>61</v>
      </c>
      <c r="F64">
        <v>79.117599999999996</v>
      </c>
      <c r="G64">
        <v>1281264600</v>
      </c>
      <c r="H64" t="s">
        <v>1438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 t="s">
        <v>1710</v>
      </c>
      <c r="R64">
        <v>0.84373944999999995</v>
      </c>
      <c r="S64">
        <v>1.33</v>
      </c>
      <c r="T64">
        <v>63.53</v>
      </c>
      <c r="U64">
        <v>0.96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0.96</v>
      </c>
      <c r="AI64">
        <v>0</v>
      </c>
      <c r="AJ64">
        <v>0</v>
      </c>
      <c r="AK64">
        <v>143</v>
      </c>
      <c r="AZ64" t="s">
        <v>1920</v>
      </c>
      <c r="BA64" t="s">
        <v>1940</v>
      </c>
      <c r="BB64">
        <v>28</v>
      </c>
      <c r="BC64" t="s">
        <v>1710</v>
      </c>
      <c r="BD64">
        <v>94.19</v>
      </c>
      <c r="BE64">
        <v>79.471818795499999</v>
      </c>
      <c r="BF64">
        <v>85530357514.064758</v>
      </c>
      <c r="BG64">
        <v>63</v>
      </c>
    </row>
    <row r="65" spans="1:59" x14ac:dyDescent="0.25">
      <c r="A65">
        <v>268</v>
      </c>
      <c r="B65" t="s">
        <v>349</v>
      </c>
      <c r="C65" t="s">
        <v>793</v>
      </c>
      <c r="D65" t="s">
        <v>1237</v>
      </c>
      <c r="E65" t="s">
        <v>61</v>
      </c>
      <c r="F65">
        <v>742.68650000000002</v>
      </c>
      <c r="G65">
        <v>131961360</v>
      </c>
      <c r="H65" t="s">
        <v>1439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 t="s">
        <v>1683</v>
      </c>
      <c r="R65">
        <v>0.84373944999999995</v>
      </c>
      <c r="S65">
        <v>1.51</v>
      </c>
      <c r="T65">
        <v>50.03</v>
      </c>
      <c r="U65">
        <v>0.91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0.91</v>
      </c>
      <c r="AI65">
        <v>0</v>
      </c>
      <c r="AJ65">
        <v>0</v>
      </c>
      <c r="AK65">
        <v>160</v>
      </c>
      <c r="AZ65" t="s">
        <v>1920</v>
      </c>
      <c r="BA65" t="s">
        <v>1940</v>
      </c>
      <c r="BB65">
        <v>174</v>
      </c>
      <c r="BC65" t="s">
        <v>1683</v>
      </c>
      <c r="BD65">
        <v>990.57</v>
      </c>
      <c r="BE65">
        <v>835.78298698649996</v>
      </c>
      <c r="BF65">
        <v>82691461538.421478</v>
      </c>
      <c r="BG65">
        <v>64</v>
      </c>
    </row>
    <row r="66" spans="1:59" x14ac:dyDescent="0.25">
      <c r="A66">
        <v>18</v>
      </c>
      <c r="B66" t="s">
        <v>133</v>
      </c>
      <c r="C66" t="s">
        <v>565</v>
      </c>
      <c r="D66" t="s">
        <v>1021</v>
      </c>
      <c r="E66" t="s">
        <v>61</v>
      </c>
      <c r="F66">
        <v>57.748759999999997</v>
      </c>
      <c r="G66">
        <v>1679891000</v>
      </c>
      <c r="H66" t="s">
        <v>1438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 t="s">
        <v>1455</v>
      </c>
      <c r="R66">
        <v>0.84373944999999995</v>
      </c>
      <c r="S66">
        <v>0.79</v>
      </c>
      <c r="T66">
        <v>43.06</v>
      </c>
      <c r="U66">
        <v>0.99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0.99</v>
      </c>
      <c r="AI66">
        <v>0</v>
      </c>
      <c r="AJ66">
        <v>0</v>
      </c>
      <c r="AK66">
        <v>77</v>
      </c>
      <c r="AZ66" t="s">
        <v>1920</v>
      </c>
      <c r="BA66" t="s">
        <v>1940</v>
      </c>
      <c r="BB66">
        <v>242</v>
      </c>
      <c r="BC66" t="s">
        <v>1455</v>
      </c>
      <c r="BD66">
        <v>64.81</v>
      </c>
      <c r="BE66">
        <v>54.682753754499998</v>
      </c>
      <c r="BF66">
        <v>81852532746.114685</v>
      </c>
      <c r="BG66">
        <v>65</v>
      </c>
    </row>
    <row r="67" spans="1:59" x14ac:dyDescent="0.25">
      <c r="A67">
        <v>421</v>
      </c>
      <c r="B67" t="s">
        <v>481</v>
      </c>
      <c r="C67" t="s">
        <v>935</v>
      </c>
      <c r="D67" t="s">
        <v>1369</v>
      </c>
      <c r="E67" t="s">
        <v>61</v>
      </c>
      <c r="F67">
        <v>517.59690000000001</v>
      </c>
      <c r="G67">
        <v>185043640</v>
      </c>
      <c r="H67" t="s">
        <v>1439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 t="s">
        <v>1825</v>
      </c>
      <c r="R67">
        <v>0.84373944999999995</v>
      </c>
      <c r="S67">
        <v>1.75</v>
      </c>
      <c r="T67">
        <v>58</v>
      </c>
      <c r="U67">
        <v>0.9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0.9</v>
      </c>
      <c r="AI67">
        <v>0</v>
      </c>
      <c r="AJ67">
        <v>0</v>
      </c>
      <c r="AK67">
        <v>189</v>
      </c>
      <c r="AZ67" t="s">
        <v>1920</v>
      </c>
      <c r="BA67" t="s">
        <v>1940</v>
      </c>
      <c r="BB67">
        <v>71</v>
      </c>
      <c r="BC67" t="s">
        <v>1825</v>
      </c>
      <c r="BD67">
        <v>425.97</v>
      </c>
      <c r="BE67">
        <v>359.40769351649999</v>
      </c>
      <c r="BF67">
        <v>80811689216.176895</v>
      </c>
      <c r="BG67">
        <v>66</v>
      </c>
    </row>
    <row r="68" spans="1:59" x14ac:dyDescent="0.25">
      <c r="A68">
        <v>483</v>
      </c>
      <c r="B68" t="s">
        <v>534</v>
      </c>
      <c r="C68" t="s">
        <v>992</v>
      </c>
      <c r="D68" t="s">
        <v>1422</v>
      </c>
      <c r="E68" t="s">
        <v>61</v>
      </c>
      <c r="F68">
        <v>140.32259999999999</v>
      </c>
      <c r="G68">
        <v>667943900</v>
      </c>
      <c r="H68" t="s">
        <v>1438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 t="s">
        <v>1882</v>
      </c>
      <c r="R68">
        <v>0.84373944999999995</v>
      </c>
      <c r="S68">
        <v>2.04</v>
      </c>
      <c r="T68">
        <v>58.28</v>
      </c>
      <c r="U68">
        <v>0.84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0.84</v>
      </c>
      <c r="AI68">
        <v>0</v>
      </c>
      <c r="AJ68">
        <v>0</v>
      </c>
      <c r="AK68">
        <v>230</v>
      </c>
      <c r="AZ68" t="s">
        <v>1920</v>
      </c>
      <c r="BA68" t="s">
        <v>1940</v>
      </c>
      <c r="BB68">
        <v>66</v>
      </c>
      <c r="BC68" t="s">
        <v>1882</v>
      </c>
      <c r="BD68">
        <v>165.21</v>
      </c>
      <c r="BE68">
        <v>139.3941945345</v>
      </c>
      <c r="BF68">
        <v>79081694515.990005</v>
      </c>
      <c r="BG68">
        <v>67</v>
      </c>
    </row>
    <row r="69" spans="1:59" x14ac:dyDescent="0.25">
      <c r="A69">
        <v>246</v>
      </c>
      <c r="B69" t="s">
        <v>330</v>
      </c>
      <c r="C69" t="s">
        <v>772</v>
      </c>
      <c r="D69" t="s">
        <v>1218</v>
      </c>
      <c r="E69" t="s">
        <v>61</v>
      </c>
      <c r="F69">
        <v>21.164020000000001</v>
      </c>
      <c r="G69">
        <v>4377000000</v>
      </c>
      <c r="H69" t="s">
        <v>1439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 t="s">
        <v>1662</v>
      </c>
      <c r="R69">
        <v>0.84373944999999995</v>
      </c>
      <c r="S69">
        <v>1.43</v>
      </c>
      <c r="T69">
        <v>60.89</v>
      </c>
      <c r="U69">
        <v>1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1</v>
      </c>
      <c r="AI69">
        <v>0</v>
      </c>
      <c r="AJ69">
        <v>0</v>
      </c>
      <c r="AK69">
        <v>153</v>
      </c>
      <c r="AZ69" t="s">
        <v>1920</v>
      </c>
      <c r="BA69" t="s">
        <v>1940</v>
      </c>
      <c r="BB69">
        <v>41</v>
      </c>
      <c r="BC69" t="s">
        <v>1662</v>
      </c>
      <c r="BD69">
        <v>25.27</v>
      </c>
      <c r="BE69">
        <v>21.321295901500001</v>
      </c>
      <c r="BF69">
        <v>78159732688.516052</v>
      </c>
      <c r="BG69">
        <v>68</v>
      </c>
    </row>
    <row r="70" spans="1:59" x14ac:dyDescent="0.25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236.97730000000001</v>
      </c>
      <c r="G70">
        <v>398690300</v>
      </c>
      <c r="H70" t="s">
        <v>1438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0.84373944999999995</v>
      </c>
      <c r="S70">
        <v>2.5099999999999998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229.51400518899999</v>
      </c>
      <c r="BF70">
        <v>75731119593.503464</v>
      </c>
      <c r="BG70">
        <v>69</v>
      </c>
    </row>
    <row r="71" spans="1:59" x14ac:dyDescent="0.25">
      <c r="A71">
        <v>364</v>
      </c>
      <c r="B71" t="s">
        <v>430</v>
      </c>
      <c r="C71" t="s">
        <v>883</v>
      </c>
      <c r="D71" t="s">
        <v>1318</v>
      </c>
      <c r="E71" t="s">
        <v>61</v>
      </c>
      <c r="F71">
        <v>95.818399999999997</v>
      </c>
      <c r="G71">
        <v>928063000</v>
      </c>
      <c r="H71" t="s">
        <v>1438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 t="s">
        <v>1773</v>
      </c>
      <c r="R71">
        <v>0.84373944999999995</v>
      </c>
      <c r="S71">
        <v>0.4</v>
      </c>
      <c r="T71">
        <v>52.77</v>
      </c>
      <c r="U71">
        <v>0.93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0.93</v>
      </c>
      <c r="AI71">
        <v>0</v>
      </c>
      <c r="AJ71">
        <v>0</v>
      </c>
      <c r="AK71">
        <v>16</v>
      </c>
      <c r="AZ71" t="s">
        <v>1920</v>
      </c>
      <c r="BA71" t="s">
        <v>1940</v>
      </c>
      <c r="BB71">
        <v>140</v>
      </c>
      <c r="BC71" t="s">
        <v>1773</v>
      </c>
      <c r="BD71">
        <v>114.03</v>
      </c>
      <c r="BE71">
        <v>96.211609483499998</v>
      </c>
      <c r="BF71">
        <v>75029962382.675934</v>
      </c>
      <c r="BG71">
        <v>70</v>
      </c>
    </row>
    <row r="72" spans="1:59" x14ac:dyDescent="0.25">
      <c r="A72">
        <v>290</v>
      </c>
      <c r="B72" t="s">
        <v>369</v>
      </c>
      <c r="C72" t="s">
        <v>813</v>
      </c>
      <c r="D72" t="s">
        <v>1257</v>
      </c>
      <c r="E72" t="s">
        <v>61</v>
      </c>
      <c r="F72">
        <v>179.6808</v>
      </c>
      <c r="G72">
        <v>491624050</v>
      </c>
      <c r="H72" t="s">
        <v>1438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 t="s">
        <v>1703</v>
      </c>
      <c r="R72">
        <v>0.84373944999999995</v>
      </c>
      <c r="S72">
        <v>2.39</v>
      </c>
      <c r="T72">
        <v>48.38</v>
      </c>
      <c r="U72">
        <v>0.86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0.86</v>
      </c>
      <c r="AI72">
        <v>0</v>
      </c>
      <c r="AJ72">
        <v>0</v>
      </c>
      <c r="AK72">
        <v>281</v>
      </c>
      <c r="AZ72" t="s">
        <v>1920</v>
      </c>
      <c r="BA72" t="s">
        <v>1940</v>
      </c>
      <c r="BB72">
        <v>191</v>
      </c>
      <c r="BC72" t="s">
        <v>1703</v>
      </c>
      <c r="BD72">
        <v>196.83</v>
      </c>
      <c r="BE72">
        <v>166.07323594350001</v>
      </c>
      <c r="BF72">
        <v>74532064007.986282</v>
      </c>
      <c r="BG72">
        <v>71</v>
      </c>
    </row>
    <row r="73" spans="1:59" x14ac:dyDescent="0.25">
      <c r="A73">
        <v>248</v>
      </c>
      <c r="B73" t="s">
        <v>332</v>
      </c>
      <c r="C73" t="s">
        <v>774</v>
      </c>
      <c r="D73" t="s">
        <v>1220</v>
      </c>
      <c r="E73" t="s">
        <v>61</v>
      </c>
      <c r="F73">
        <v>154.1816</v>
      </c>
      <c r="G73">
        <v>572423100</v>
      </c>
      <c r="H73" t="s">
        <v>1438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 t="s">
        <v>1664</v>
      </c>
      <c r="R73">
        <v>0.84373944999999995</v>
      </c>
      <c r="S73">
        <v>2.16</v>
      </c>
      <c r="T73">
        <v>45.9</v>
      </c>
      <c r="U73">
        <v>0.83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0.83</v>
      </c>
      <c r="AI73">
        <v>0</v>
      </c>
      <c r="AJ73">
        <v>0</v>
      </c>
      <c r="AK73">
        <v>247</v>
      </c>
      <c r="AZ73" t="s">
        <v>1920</v>
      </c>
      <c r="BA73" t="s">
        <v>1940</v>
      </c>
      <c r="BB73">
        <v>212</v>
      </c>
      <c r="BC73" t="s">
        <v>1664</v>
      </c>
      <c r="BD73">
        <v>171.4</v>
      </c>
      <c r="BE73">
        <v>144.61694173000001</v>
      </c>
      <c r="BF73">
        <v>74466004973.242966</v>
      </c>
      <c r="BG73">
        <v>72</v>
      </c>
    </row>
    <row r="74" spans="1:59" x14ac:dyDescent="0.25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75.422420000000002</v>
      </c>
      <c r="G74">
        <v>1136700000</v>
      </c>
      <c r="H74" t="s">
        <v>1439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 t="s">
        <v>1817</v>
      </c>
      <c r="R74">
        <v>0.84373944999999995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71.186297396499995</v>
      </c>
      <c r="BF74">
        <v>72336031457.198715</v>
      </c>
      <c r="BG74">
        <v>73</v>
      </c>
    </row>
    <row r="75" spans="1:59" x14ac:dyDescent="0.25">
      <c r="A75">
        <v>440</v>
      </c>
      <c r="B75" t="s">
        <v>496</v>
      </c>
      <c r="C75" t="s">
        <v>951</v>
      </c>
      <c r="D75" t="s">
        <v>1384</v>
      </c>
      <c r="E75" t="s">
        <v>61</v>
      </c>
      <c r="F75">
        <v>215.0111</v>
      </c>
      <c r="G75">
        <v>1125419100</v>
      </c>
      <c r="H75" t="s">
        <v>1439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 t="s">
        <v>1841</v>
      </c>
      <c r="R75">
        <v>0.84373944999999995</v>
      </c>
      <c r="S75">
        <v>0.93</v>
      </c>
      <c r="T75">
        <v>53.77</v>
      </c>
      <c r="U75">
        <v>0.84</v>
      </c>
      <c r="V75" t="s">
        <v>1901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0.84</v>
      </c>
      <c r="AI75">
        <v>0</v>
      </c>
      <c r="AJ75">
        <v>0</v>
      </c>
      <c r="AK75">
        <v>99</v>
      </c>
      <c r="AZ75" t="s">
        <v>1920</v>
      </c>
      <c r="BA75" t="s">
        <v>1940</v>
      </c>
      <c r="BB75">
        <v>124</v>
      </c>
      <c r="BC75" t="s">
        <v>1841</v>
      </c>
      <c r="BD75">
        <v>237.62</v>
      </c>
      <c r="BE75">
        <v>200.489368109</v>
      </c>
      <c r="BF75">
        <v>71458116099.638672</v>
      </c>
      <c r="BG75">
        <v>74</v>
      </c>
    </row>
    <row r="76" spans="1:59" x14ac:dyDescent="0.25">
      <c r="A76">
        <v>69</v>
      </c>
      <c r="B76" t="s">
        <v>177</v>
      </c>
      <c r="C76" t="s">
        <v>612</v>
      </c>
      <c r="D76" t="s">
        <v>1065</v>
      </c>
      <c r="E76" t="s">
        <v>61</v>
      </c>
      <c r="F76">
        <v>40.894350000000003</v>
      </c>
      <c r="G76">
        <v>2035435800</v>
      </c>
      <c r="H76" t="s">
        <v>1438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 t="s">
        <v>1502</v>
      </c>
      <c r="R76">
        <v>0.84373944999999995</v>
      </c>
      <c r="S76">
        <v>0.34</v>
      </c>
      <c r="T76">
        <v>61.48</v>
      </c>
      <c r="U76">
        <v>0.97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0.97</v>
      </c>
      <c r="AI76">
        <v>0</v>
      </c>
      <c r="AJ76">
        <v>0</v>
      </c>
      <c r="AK76">
        <v>9</v>
      </c>
      <c r="AZ76" t="s">
        <v>1920</v>
      </c>
      <c r="BA76" t="s">
        <v>1940</v>
      </c>
      <c r="BB76">
        <v>37</v>
      </c>
      <c r="BC76" t="s">
        <v>1502</v>
      </c>
      <c r="BD76">
        <v>46.34</v>
      </c>
      <c r="BE76">
        <v>39.098886112999999</v>
      </c>
      <c r="BF76">
        <v>70231035847.478912</v>
      </c>
      <c r="BG76">
        <v>75</v>
      </c>
    </row>
    <row r="77" spans="1:59" x14ac:dyDescent="0.25">
      <c r="A77">
        <v>111</v>
      </c>
      <c r="B77" t="s">
        <v>207</v>
      </c>
      <c r="C77" t="s">
        <v>644</v>
      </c>
      <c r="D77" t="s">
        <v>1095</v>
      </c>
      <c r="E77" t="s">
        <v>61</v>
      </c>
      <c r="F77">
        <v>230.0051</v>
      </c>
      <c r="G77">
        <v>360377040</v>
      </c>
      <c r="H77" t="s">
        <v>1439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 t="s">
        <v>1534</v>
      </c>
      <c r="R77">
        <v>0.84373944999999995</v>
      </c>
      <c r="S77">
        <v>2.2799999999999998</v>
      </c>
      <c r="T77">
        <v>43.34</v>
      </c>
      <c r="U77">
        <v>0.61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0.61</v>
      </c>
      <c r="AI77">
        <v>0</v>
      </c>
      <c r="AJ77">
        <v>0</v>
      </c>
      <c r="AK77">
        <v>262</v>
      </c>
      <c r="AZ77" t="s">
        <v>1920</v>
      </c>
      <c r="BA77" t="s">
        <v>1940</v>
      </c>
      <c r="BB77">
        <v>234</v>
      </c>
      <c r="BC77" t="s">
        <v>1534</v>
      </c>
      <c r="BD77">
        <v>259.83</v>
      </c>
      <c r="BE77">
        <v>219.2288212935</v>
      </c>
      <c r="BF77">
        <v>69936345598.172607</v>
      </c>
      <c r="BG77">
        <v>76</v>
      </c>
    </row>
    <row r="78" spans="1:59" x14ac:dyDescent="0.25">
      <c r="A78">
        <v>123</v>
      </c>
      <c r="B78" t="s">
        <v>218</v>
      </c>
      <c r="C78" t="s">
        <v>656</v>
      </c>
      <c r="D78" t="s">
        <v>1106</v>
      </c>
      <c r="E78" t="s">
        <v>61</v>
      </c>
      <c r="F78">
        <v>264.68680000000001</v>
      </c>
      <c r="G78">
        <v>312405580</v>
      </c>
      <c r="H78" t="s">
        <v>1439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 t="s">
        <v>1546</v>
      </c>
      <c r="R78">
        <v>0.84373944999999995</v>
      </c>
      <c r="S78">
        <v>1.76</v>
      </c>
      <c r="T78">
        <v>43.08</v>
      </c>
      <c r="U78">
        <v>0.91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6.4399999999999999E-2</v>
      </c>
      <c r="AH78">
        <v>0.91</v>
      </c>
      <c r="AI78">
        <v>0</v>
      </c>
      <c r="AJ78">
        <v>6.4399999999999999E-2</v>
      </c>
      <c r="AK78">
        <v>191</v>
      </c>
      <c r="AZ78" t="s">
        <v>1920</v>
      </c>
      <c r="BA78" t="s">
        <v>1940</v>
      </c>
      <c r="BB78">
        <v>241</v>
      </c>
      <c r="BC78" t="s">
        <v>1546</v>
      </c>
      <c r="BD78">
        <v>322.91000000000003</v>
      </c>
      <c r="BE78">
        <v>272.45190579950003</v>
      </c>
      <c r="BF78">
        <v>69768505697.90921</v>
      </c>
      <c r="BG78">
        <v>77</v>
      </c>
    </row>
    <row r="79" spans="1:59" x14ac:dyDescent="0.25">
      <c r="A79">
        <v>346</v>
      </c>
      <c r="B79" t="s">
        <v>416</v>
      </c>
      <c r="C79" t="s">
        <v>867</v>
      </c>
      <c r="D79" t="s">
        <v>1304</v>
      </c>
      <c r="E79" t="s">
        <v>61</v>
      </c>
      <c r="F79">
        <v>642.02940000000001</v>
      </c>
      <c r="G79">
        <v>126682150</v>
      </c>
      <c r="H79" t="s">
        <v>1438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 t="s">
        <v>1757</v>
      </c>
      <c r="R79">
        <v>0.84373944999999995</v>
      </c>
      <c r="S79">
        <v>0.73</v>
      </c>
      <c r="T79">
        <v>46.49</v>
      </c>
      <c r="U79">
        <v>0.68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0.68</v>
      </c>
      <c r="AI79">
        <v>0</v>
      </c>
      <c r="AJ79">
        <v>0</v>
      </c>
      <c r="AK79">
        <v>70</v>
      </c>
      <c r="AZ79" t="s">
        <v>1920</v>
      </c>
      <c r="BA79" t="s">
        <v>1940</v>
      </c>
      <c r="BB79">
        <v>206</v>
      </c>
      <c r="BC79" t="s">
        <v>1757</v>
      </c>
      <c r="BD79">
        <v>754.05</v>
      </c>
      <c r="BE79">
        <v>636.22173227249993</v>
      </c>
      <c r="BF79">
        <v>68624421567.045273</v>
      </c>
      <c r="BG79">
        <v>78</v>
      </c>
    </row>
    <row r="80" spans="1:59" x14ac:dyDescent="0.25">
      <c r="A80">
        <v>76</v>
      </c>
      <c r="B80" t="s">
        <v>181</v>
      </c>
      <c r="C80" t="s">
        <v>617</v>
      </c>
      <c r="D80" t="s">
        <v>1069</v>
      </c>
      <c r="E80" t="s">
        <v>61</v>
      </c>
      <c r="F80">
        <v>298.37</v>
      </c>
      <c r="G80">
        <v>272490000</v>
      </c>
      <c r="H80" t="s">
        <v>1439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 t="s">
        <v>1507</v>
      </c>
      <c r="R80">
        <v>0.84373944999999995</v>
      </c>
      <c r="S80">
        <v>0.44</v>
      </c>
      <c r="T80">
        <v>57.4</v>
      </c>
      <c r="U80">
        <v>0.85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0.85</v>
      </c>
      <c r="AI80">
        <v>0</v>
      </c>
      <c r="AJ80">
        <v>0</v>
      </c>
      <c r="AK80">
        <v>22</v>
      </c>
      <c r="AZ80" t="s">
        <v>1920</v>
      </c>
      <c r="BA80" t="s">
        <v>1940</v>
      </c>
      <c r="BB80">
        <v>76</v>
      </c>
      <c r="BC80" t="s">
        <v>1507</v>
      </c>
      <c r="BD80">
        <v>349.01</v>
      </c>
      <c r="BE80">
        <v>294.47350544449989</v>
      </c>
      <c r="BF80">
        <v>68598414601.899277</v>
      </c>
      <c r="BG80">
        <v>79</v>
      </c>
    </row>
    <row r="81" spans="1:59" x14ac:dyDescent="0.25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361.93040000000002</v>
      </c>
      <c r="G81">
        <v>222515370</v>
      </c>
      <c r="H81" t="s">
        <v>1438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 t="s">
        <v>1845</v>
      </c>
      <c r="R81">
        <v>0.84373944999999995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337.48734260549998</v>
      </c>
      <c r="BF81">
        <v>67950621464.210762</v>
      </c>
      <c r="BG81">
        <v>80</v>
      </c>
    </row>
    <row r="82" spans="1:59" x14ac:dyDescent="0.25">
      <c r="A82">
        <v>322</v>
      </c>
      <c r="B82" t="s">
        <v>396</v>
      </c>
      <c r="C82" t="s">
        <v>844</v>
      </c>
      <c r="D82" t="s">
        <v>1284</v>
      </c>
      <c r="E82" t="s">
        <v>61</v>
      </c>
      <c r="F82">
        <v>66.888540000000006</v>
      </c>
      <c r="G82">
        <v>1188015700</v>
      </c>
      <c r="H82" t="s">
        <v>1438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 t="s">
        <v>1734</v>
      </c>
      <c r="R82">
        <v>0.84373944999999995</v>
      </c>
      <c r="S82">
        <v>0.42</v>
      </c>
      <c r="T82">
        <v>56.09</v>
      </c>
      <c r="U82" t="s">
        <v>1899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I82">
        <v>0</v>
      </c>
      <c r="AJ82">
        <v>0</v>
      </c>
      <c r="AK82">
        <v>18</v>
      </c>
      <c r="AZ82" t="s">
        <v>1920</v>
      </c>
      <c r="BA82" t="s">
        <v>1940</v>
      </c>
      <c r="BB82">
        <v>91</v>
      </c>
      <c r="BC82" t="s">
        <v>1734</v>
      </c>
      <c r="BD82">
        <v>72.75</v>
      </c>
      <c r="BE82">
        <v>61.382044987500002</v>
      </c>
      <c r="BF82">
        <v>67047447994.721992</v>
      </c>
      <c r="BG82">
        <v>81</v>
      </c>
    </row>
    <row r="83" spans="1:59" x14ac:dyDescent="0.25">
      <c r="A83">
        <v>141</v>
      </c>
      <c r="B83" t="s">
        <v>235</v>
      </c>
      <c r="C83" t="s">
        <v>673</v>
      </c>
      <c r="D83" t="s">
        <v>1123</v>
      </c>
      <c r="E83" t="s">
        <v>61</v>
      </c>
      <c r="F83">
        <v>60.84657</v>
      </c>
      <c r="G83">
        <v>1268326400</v>
      </c>
      <c r="H83" t="s">
        <v>1438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 t="s">
        <v>1563</v>
      </c>
      <c r="R83">
        <v>0.84373944999999995</v>
      </c>
      <c r="S83">
        <v>0.46</v>
      </c>
      <c r="T83">
        <v>61.35</v>
      </c>
      <c r="U83">
        <v>0.99</v>
      </c>
      <c r="V83" t="s">
        <v>1901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0.99</v>
      </c>
      <c r="AI83">
        <v>0</v>
      </c>
      <c r="AJ83">
        <v>0</v>
      </c>
      <c r="AK83">
        <v>23</v>
      </c>
      <c r="AZ83" t="s">
        <v>1920</v>
      </c>
      <c r="BA83" t="s">
        <v>1940</v>
      </c>
      <c r="BB83">
        <v>38</v>
      </c>
      <c r="BC83" t="s">
        <v>1563</v>
      </c>
      <c r="BD83">
        <v>73.48</v>
      </c>
      <c r="BE83">
        <v>61.997974786</v>
      </c>
      <c r="BF83">
        <v>65114167045.696098</v>
      </c>
      <c r="BG83">
        <v>82</v>
      </c>
    </row>
    <row r="84" spans="1:59" x14ac:dyDescent="0.25">
      <c r="A84">
        <v>391</v>
      </c>
      <c r="B84" t="s">
        <v>454</v>
      </c>
      <c r="C84" t="s">
        <v>907</v>
      </c>
      <c r="D84" t="s">
        <v>1342</v>
      </c>
      <c r="E84" t="s">
        <v>61</v>
      </c>
      <c r="F84">
        <v>294.13720000000001</v>
      </c>
      <c r="G84">
        <v>271627660</v>
      </c>
      <c r="H84" t="s">
        <v>1438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 t="s">
        <v>1797</v>
      </c>
      <c r="R84">
        <v>0.84373944999999995</v>
      </c>
      <c r="S84">
        <v>1.06</v>
      </c>
      <c r="T84">
        <v>51.2</v>
      </c>
      <c r="U84">
        <v>0.93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H84">
        <v>0.93</v>
      </c>
      <c r="AI84">
        <v>0</v>
      </c>
      <c r="AJ84">
        <v>0</v>
      </c>
      <c r="AK84">
        <v>113</v>
      </c>
      <c r="AZ84" t="s">
        <v>1920</v>
      </c>
      <c r="BA84" t="s">
        <v>1940</v>
      </c>
      <c r="BB84">
        <v>162</v>
      </c>
      <c r="BC84" t="s">
        <v>1797</v>
      </c>
      <c r="BD84">
        <v>321.7</v>
      </c>
      <c r="BE84">
        <v>271.43098106500003</v>
      </c>
      <c r="BF84">
        <v>64040675914.804657</v>
      </c>
      <c r="BG84">
        <v>83</v>
      </c>
    </row>
    <row r="85" spans="1:59" x14ac:dyDescent="0.25">
      <c r="A85">
        <v>1</v>
      </c>
      <c r="B85" t="s">
        <v>120</v>
      </c>
      <c r="C85" t="s">
        <v>550</v>
      </c>
      <c r="D85" t="s">
        <v>1008</v>
      </c>
      <c r="E85" t="s">
        <v>61</v>
      </c>
      <c r="F85">
        <v>135.44970000000001</v>
      </c>
      <c r="G85">
        <v>532629700</v>
      </c>
      <c r="H85" t="s">
        <v>1438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 t="s">
        <v>1440</v>
      </c>
      <c r="R85">
        <v>0.84373944999999995</v>
      </c>
      <c r="S85">
        <v>2.06</v>
      </c>
      <c r="T85">
        <v>62.06</v>
      </c>
      <c r="U85">
        <v>0.99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G85" t="s">
        <v>1904</v>
      </c>
      <c r="AH85">
        <v>0.99</v>
      </c>
      <c r="AI85">
        <v>0</v>
      </c>
      <c r="AJ85">
        <v>0</v>
      </c>
      <c r="AK85">
        <v>233</v>
      </c>
      <c r="AZ85" t="s">
        <v>1920</v>
      </c>
      <c r="BA85" t="s">
        <v>1940</v>
      </c>
      <c r="BB85">
        <v>34</v>
      </c>
      <c r="BC85" t="s">
        <v>1440</v>
      </c>
      <c r="BD85">
        <v>156.5</v>
      </c>
      <c r="BE85">
        <v>132.04522392499999</v>
      </c>
      <c r="BF85">
        <v>60871188658.126984</v>
      </c>
      <c r="BG85">
        <v>84</v>
      </c>
    </row>
    <row r="86" spans="1:59" x14ac:dyDescent="0.25">
      <c r="A86">
        <v>479</v>
      </c>
      <c r="B86" t="s">
        <v>530</v>
      </c>
      <c r="C86" t="s">
        <v>988</v>
      </c>
      <c r="D86" t="s">
        <v>1418</v>
      </c>
      <c r="E86" t="s">
        <v>61</v>
      </c>
      <c r="F86">
        <v>193.73609999999999</v>
      </c>
      <c r="G86">
        <v>402830320</v>
      </c>
      <c r="H86" t="s">
        <v>1438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 t="s">
        <v>1878</v>
      </c>
      <c r="R86">
        <v>0.84373944999999995</v>
      </c>
      <c r="S86">
        <v>2.13</v>
      </c>
      <c r="T86">
        <v>57.3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243</v>
      </c>
      <c r="AZ86" t="s">
        <v>1920</v>
      </c>
      <c r="BA86" t="s">
        <v>1940</v>
      </c>
      <c r="BB86">
        <v>78</v>
      </c>
      <c r="BC86" t="s">
        <v>1878</v>
      </c>
      <c r="BD86">
        <v>213.88</v>
      </c>
      <c r="BE86">
        <v>180.458993566</v>
      </c>
      <c r="BF86">
        <v>59262991369.875298</v>
      </c>
      <c r="BG86">
        <v>85</v>
      </c>
    </row>
    <row r="87" spans="1:59" x14ac:dyDescent="0.25">
      <c r="A87">
        <v>306</v>
      </c>
      <c r="B87" t="s">
        <v>382</v>
      </c>
      <c r="C87" t="s">
        <v>829</v>
      </c>
      <c r="D87" t="s">
        <v>1270</v>
      </c>
      <c r="E87" t="s">
        <v>61</v>
      </c>
      <c r="F87">
        <v>54.113329999999998</v>
      </c>
      <c r="G87">
        <v>1293945400</v>
      </c>
      <c r="H87" t="s">
        <v>1439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 t="s">
        <v>1719</v>
      </c>
      <c r="R87">
        <v>0.84373944999999995</v>
      </c>
      <c r="S87">
        <v>0.78</v>
      </c>
      <c r="T87">
        <v>49.02</v>
      </c>
      <c r="U87">
        <v>0.96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0.96</v>
      </c>
      <c r="AI87">
        <v>0</v>
      </c>
      <c r="AJ87">
        <v>0</v>
      </c>
      <c r="AK87">
        <v>74</v>
      </c>
      <c r="AZ87" t="s">
        <v>1920</v>
      </c>
      <c r="BA87" t="s">
        <v>1940</v>
      </c>
      <c r="BB87">
        <v>184</v>
      </c>
      <c r="BC87" t="s">
        <v>1719</v>
      </c>
      <c r="BD87">
        <v>62.7</v>
      </c>
      <c r="BE87">
        <v>52.902463515000001</v>
      </c>
      <c r="BF87">
        <v>59078378469.377289</v>
      </c>
      <c r="BG87">
        <v>86</v>
      </c>
    </row>
    <row r="88" spans="1:59" x14ac:dyDescent="0.25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  <c r="BC88" t="s">
        <v>1526</v>
      </c>
      <c r="BD88">
        <v>294.20999999999998</v>
      </c>
      <c r="BE88">
        <v>248.23658358450001</v>
      </c>
      <c r="BF88">
        <v>58495489077.111549</v>
      </c>
      <c r="BG88">
        <v>87</v>
      </c>
    </row>
    <row r="89" spans="1:59" x14ac:dyDescent="0.25">
      <c r="A89">
        <v>357</v>
      </c>
      <c r="B89" t="s">
        <v>425</v>
      </c>
      <c r="C89" t="s">
        <v>877</v>
      </c>
      <c r="D89" t="s">
        <v>1313</v>
      </c>
      <c r="E89" t="s">
        <v>61</v>
      </c>
      <c r="F89">
        <v>172.1198</v>
      </c>
      <c r="G89">
        <v>393807370</v>
      </c>
      <c r="H89" t="s">
        <v>1438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 t="s">
        <v>1767</v>
      </c>
      <c r="R89">
        <v>0.84373944999999995</v>
      </c>
      <c r="S89">
        <v>2.3199999999999998</v>
      </c>
      <c r="T89">
        <v>41.84</v>
      </c>
      <c r="U89">
        <v>0.97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0.97</v>
      </c>
      <c r="AI89">
        <v>0</v>
      </c>
      <c r="AJ89">
        <v>0</v>
      </c>
      <c r="AK89">
        <v>266</v>
      </c>
      <c r="AZ89" t="s">
        <v>1920</v>
      </c>
      <c r="BA89" t="s">
        <v>1940</v>
      </c>
      <c r="BB89">
        <v>250</v>
      </c>
      <c r="BC89" t="s">
        <v>1767</v>
      </c>
      <c r="BD89">
        <v>200.94</v>
      </c>
      <c r="BE89">
        <v>169.54100508299999</v>
      </c>
      <c r="BF89">
        <v>57190386011.886009</v>
      </c>
      <c r="BG89">
        <v>88</v>
      </c>
    </row>
    <row r="90" spans="1:59" x14ac:dyDescent="0.25">
      <c r="A90">
        <v>310</v>
      </c>
      <c r="B90" t="s">
        <v>386</v>
      </c>
      <c r="C90" t="s">
        <v>833</v>
      </c>
      <c r="D90" t="s">
        <v>1274</v>
      </c>
      <c r="E90" t="s">
        <v>61</v>
      </c>
      <c r="F90">
        <v>440.35669999999999</v>
      </c>
      <c r="G90">
        <v>179400000</v>
      </c>
      <c r="H90" t="s">
        <v>1438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 t="s">
        <v>1723</v>
      </c>
      <c r="R90">
        <v>0.84373944999999995</v>
      </c>
      <c r="S90">
        <v>0.71</v>
      </c>
      <c r="T90">
        <v>65.7</v>
      </c>
      <c r="U90">
        <v>0.88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0.88</v>
      </c>
      <c r="AI90">
        <v>0</v>
      </c>
      <c r="AJ90">
        <v>0</v>
      </c>
      <c r="AK90">
        <v>64</v>
      </c>
      <c r="AZ90" t="s">
        <v>1920</v>
      </c>
      <c r="BA90" t="s">
        <v>1940</v>
      </c>
      <c r="BB90">
        <v>17</v>
      </c>
      <c r="BC90" t="s">
        <v>1723</v>
      </c>
      <c r="BD90">
        <v>508</v>
      </c>
      <c r="BE90">
        <v>428.61964060000003</v>
      </c>
      <c r="BF90">
        <v>56657098315.728157</v>
      </c>
      <c r="BG90">
        <v>89</v>
      </c>
    </row>
    <row r="91" spans="1:59" x14ac:dyDescent="0.25">
      <c r="A91">
        <v>320</v>
      </c>
      <c r="B91" t="s">
        <v>394</v>
      </c>
      <c r="C91" t="s">
        <v>842</v>
      </c>
      <c r="D91" t="s">
        <v>1282</v>
      </c>
      <c r="E91" t="s">
        <v>61</v>
      </c>
      <c r="F91">
        <v>60.394260000000003</v>
      </c>
      <c r="G91">
        <v>1098449700</v>
      </c>
      <c r="H91" t="s">
        <v>1438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 t="s">
        <v>1732</v>
      </c>
      <c r="R91">
        <v>0.84373944999999995</v>
      </c>
      <c r="S91">
        <v>1.2</v>
      </c>
      <c r="T91">
        <v>53.39</v>
      </c>
      <c r="U91">
        <v>0.99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0.99</v>
      </c>
      <c r="AI91">
        <v>0</v>
      </c>
      <c r="AJ91">
        <v>0</v>
      </c>
      <c r="AK91">
        <v>126</v>
      </c>
      <c r="AZ91" t="s">
        <v>1920</v>
      </c>
      <c r="BA91" t="s">
        <v>1940</v>
      </c>
      <c r="BB91">
        <v>130</v>
      </c>
      <c r="BC91" t="s">
        <v>1732</v>
      </c>
      <c r="BD91">
        <v>79.02</v>
      </c>
      <c r="BE91">
        <v>66.672291338999997</v>
      </c>
      <c r="BF91">
        <v>55973723019.44767</v>
      </c>
      <c r="BG91">
        <v>90</v>
      </c>
    </row>
    <row r="92" spans="1:59" x14ac:dyDescent="0.25">
      <c r="A92">
        <v>182</v>
      </c>
      <c r="B92" t="s">
        <v>273</v>
      </c>
      <c r="C92" t="s">
        <v>712</v>
      </c>
      <c r="D92" t="s">
        <v>1161</v>
      </c>
      <c r="E92" t="s">
        <v>61</v>
      </c>
      <c r="F92">
        <v>671.16399999999999</v>
      </c>
      <c r="G92">
        <v>97863980</v>
      </c>
      <c r="H92" t="s">
        <v>1439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 t="s">
        <v>1602</v>
      </c>
      <c r="R92">
        <v>0.84373944999999995</v>
      </c>
      <c r="S92">
        <v>1.41</v>
      </c>
      <c r="T92">
        <v>72.599999999999994</v>
      </c>
      <c r="U92">
        <v>0.9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</v>
      </c>
      <c r="AI92">
        <v>0</v>
      </c>
      <c r="AJ92">
        <v>0</v>
      </c>
      <c r="AK92">
        <v>151</v>
      </c>
      <c r="AZ92" t="s">
        <v>1920</v>
      </c>
      <c r="BA92" t="s">
        <v>1940</v>
      </c>
      <c r="BB92">
        <v>1</v>
      </c>
      <c r="BC92" t="s">
        <v>1602</v>
      </c>
      <c r="BD92">
        <v>779.31</v>
      </c>
      <c r="BE92">
        <v>657.53459077949992</v>
      </c>
      <c r="BF92">
        <v>55419152901.77562</v>
      </c>
      <c r="BG92">
        <v>91</v>
      </c>
    </row>
    <row r="93" spans="1:59" x14ac:dyDescent="0.25">
      <c r="A93">
        <v>312</v>
      </c>
      <c r="B93" t="s">
        <v>388</v>
      </c>
      <c r="C93" t="s">
        <v>835</v>
      </c>
      <c r="D93" t="s">
        <v>1276</v>
      </c>
      <c r="E93" t="s">
        <v>61</v>
      </c>
      <c r="F93">
        <v>394.1884</v>
      </c>
      <c r="G93">
        <v>166603900</v>
      </c>
      <c r="H93" t="s">
        <v>1438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 t="s">
        <v>1725</v>
      </c>
      <c r="R93">
        <v>0.84373944999999995</v>
      </c>
      <c r="S93">
        <v>1.1299999999999999</v>
      </c>
      <c r="T93">
        <v>54.27</v>
      </c>
      <c r="U93">
        <v>0.99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0.99</v>
      </c>
      <c r="AI93">
        <v>0</v>
      </c>
      <c r="AJ93">
        <v>0</v>
      </c>
      <c r="AK93">
        <v>121</v>
      </c>
      <c r="AZ93" t="s">
        <v>1920</v>
      </c>
      <c r="BA93" t="s">
        <v>1940</v>
      </c>
      <c r="BB93">
        <v>117</v>
      </c>
      <c r="BC93" t="s">
        <v>1725</v>
      </c>
      <c r="BD93">
        <v>476.84</v>
      </c>
      <c r="BE93">
        <v>402.32871933799993</v>
      </c>
      <c r="BF93">
        <v>55411174925.127373</v>
      </c>
      <c r="BG93">
        <v>92</v>
      </c>
    </row>
    <row r="94" spans="1:59" x14ac:dyDescent="0.25">
      <c r="A94">
        <v>202</v>
      </c>
      <c r="B94" t="s">
        <v>292</v>
      </c>
      <c r="C94" t="s">
        <v>731</v>
      </c>
      <c r="D94" t="s">
        <v>1180</v>
      </c>
      <c r="E94" t="s">
        <v>61</v>
      </c>
      <c r="F94">
        <v>119.2012</v>
      </c>
      <c r="G94">
        <v>543593200</v>
      </c>
      <c r="H94" t="s">
        <v>1438</v>
      </c>
      <c r="I94">
        <v>64796.97</v>
      </c>
      <c r="J94">
        <v>523525779.94649601</v>
      </c>
      <c r="K94">
        <v>754042772.11817396</v>
      </c>
      <c r="L94">
        <v>724454572.46918201</v>
      </c>
      <c r="M94">
        <v>838831837.97345805</v>
      </c>
      <c r="N94">
        <v>630848949.06587696</v>
      </c>
      <c r="O94" t="s">
        <v>59</v>
      </c>
      <c r="P94">
        <v>1</v>
      </c>
      <c r="Q94" t="s">
        <v>1621</v>
      </c>
      <c r="R94">
        <v>0.84373944999999995</v>
      </c>
      <c r="S94">
        <v>2.11</v>
      </c>
      <c r="T94">
        <v>42.72</v>
      </c>
      <c r="U94" t="s">
        <v>1899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I94">
        <v>0</v>
      </c>
      <c r="AJ94">
        <v>0</v>
      </c>
      <c r="AK94">
        <v>240</v>
      </c>
      <c r="AZ94" t="s">
        <v>1920</v>
      </c>
      <c r="BA94" t="s">
        <v>1940</v>
      </c>
      <c r="BB94">
        <v>243</v>
      </c>
      <c r="BC94" t="s">
        <v>1621</v>
      </c>
      <c r="BD94">
        <v>132.75</v>
      </c>
      <c r="BE94">
        <v>112.0064119875</v>
      </c>
      <c r="BF94">
        <v>54671752870.16851</v>
      </c>
      <c r="BG94">
        <v>93</v>
      </c>
    </row>
    <row r="95" spans="1:59" x14ac:dyDescent="0.25">
      <c r="A95">
        <v>174</v>
      </c>
      <c r="B95" t="s">
        <v>266</v>
      </c>
      <c r="C95" t="s">
        <v>705</v>
      </c>
      <c r="D95" t="s">
        <v>1154</v>
      </c>
      <c r="E95" t="s">
        <v>61</v>
      </c>
      <c r="F95">
        <v>114.15770000000001</v>
      </c>
      <c r="G95">
        <v>562800000</v>
      </c>
      <c r="H95" t="s">
        <v>1438</v>
      </c>
      <c r="I95">
        <v>64247.96</v>
      </c>
      <c r="J95">
        <v>453751717.67037302</v>
      </c>
      <c r="K95">
        <v>348400513.47448403</v>
      </c>
      <c r="L95">
        <v>369179408.91558599</v>
      </c>
      <c r="M95">
        <v>427945875.232099</v>
      </c>
      <c r="N95">
        <v>336061612.378995</v>
      </c>
      <c r="O95" t="s">
        <v>59</v>
      </c>
      <c r="P95">
        <v>1</v>
      </c>
      <c r="Q95" t="s">
        <v>1595</v>
      </c>
      <c r="R95">
        <v>0.84373944999999995</v>
      </c>
      <c r="S95">
        <v>0.93</v>
      </c>
      <c r="T95">
        <v>44.23</v>
      </c>
      <c r="U95">
        <v>0.88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G95" t="s">
        <v>1904</v>
      </c>
      <c r="AH95">
        <v>0.88</v>
      </c>
      <c r="AI95">
        <v>0</v>
      </c>
      <c r="AJ95">
        <v>0</v>
      </c>
      <c r="AK95">
        <v>99</v>
      </c>
      <c r="AZ95" t="s">
        <v>1920</v>
      </c>
      <c r="BA95" t="s">
        <v>1940</v>
      </c>
      <c r="BB95">
        <v>225</v>
      </c>
      <c r="BC95" t="s">
        <v>1595</v>
      </c>
      <c r="BD95">
        <v>129.03</v>
      </c>
      <c r="BE95">
        <v>108.8677012335</v>
      </c>
      <c r="BF95">
        <v>54208533000.339943</v>
      </c>
      <c r="BG95">
        <v>94</v>
      </c>
    </row>
    <row r="96" spans="1:59" x14ac:dyDescent="0.25">
      <c r="A96">
        <v>452</v>
      </c>
      <c r="B96" t="s">
        <v>507</v>
      </c>
      <c r="C96" t="s">
        <v>962</v>
      </c>
      <c r="D96" t="s">
        <v>1395</v>
      </c>
      <c r="E96" t="s">
        <v>61</v>
      </c>
      <c r="F96">
        <v>41.201569999999997</v>
      </c>
      <c r="G96">
        <v>1556189500</v>
      </c>
      <c r="H96" t="s">
        <v>1438</v>
      </c>
      <c r="I96">
        <v>64117.45</v>
      </c>
      <c r="J96">
        <v>289025983.94707298</v>
      </c>
      <c r="K96">
        <v>420434073.40290201</v>
      </c>
      <c r="L96">
        <v>399635621.73099202</v>
      </c>
      <c r="M96">
        <v>463862845.33785099</v>
      </c>
      <c r="N96">
        <v>393987641.95182699</v>
      </c>
      <c r="O96" t="s">
        <v>59</v>
      </c>
      <c r="P96">
        <v>1</v>
      </c>
      <c r="Q96" t="s">
        <v>1852</v>
      </c>
      <c r="R96">
        <v>0.84373944999999995</v>
      </c>
      <c r="S96">
        <v>2.82</v>
      </c>
      <c r="T96">
        <v>44.37</v>
      </c>
      <c r="U96">
        <v>0.9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0.9</v>
      </c>
      <c r="AI96">
        <v>0</v>
      </c>
      <c r="AJ96">
        <v>0</v>
      </c>
      <c r="AK96">
        <v>335</v>
      </c>
      <c r="AZ96" t="s">
        <v>1920</v>
      </c>
      <c r="BA96" t="s">
        <v>1940</v>
      </c>
      <c r="BB96">
        <v>223</v>
      </c>
      <c r="BC96" t="s">
        <v>1852</v>
      </c>
      <c r="BD96">
        <v>48.39</v>
      </c>
      <c r="BE96">
        <v>40.828551985499999</v>
      </c>
      <c r="BF96">
        <v>54098422519.424263</v>
      </c>
      <c r="BG96">
        <v>95</v>
      </c>
    </row>
    <row r="97" spans="1:59" x14ac:dyDescent="0.25">
      <c r="A97">
        <v>105</v>
      </c>
      <c r="B97" t="s">
        <v>202</v>
      </c>
      <c r="C97" t="s">
        <v>638</v>
      </c>
      <c r="D97" t="s">
        <v>1090</v>
      </c>
      <c r="E97" t="s">
        <v>61</v>
      </c>
      <c r="F97">
        <v>183.9819</v>
      </c>
      <c r="G97">
        <v>402977940</v>
      </c>
      <c r="H97" t="s">
        <v>1439</v>
      </c>
      <c r="I97">
        <v>74140.639999999999</v>
      </c>
      <c r="J97">
        <v>266484449.014202</v>
      </c>
      <c r="K97">
        <v>313124707.73117</v>
      </c>
      <c r="L97">
        <v>274002867.39095098</v>
      </c>
      <c r="M97">
        <v>317524543.62664801</v>
      </c>
      <c r="N97">
        <v>312339058.84411299</v>
      </c>
      <c r="O97" t="s">
        <v>58</v>
      </c>
      <c r="P97">
        <v>0.85</v>
      </c>
      <c r="Q97" t="s">
        <v>1528</v>
      </c>
      <c r="R97">
        <v>0.84373944999999995</v>
      </c>
      <c r="S97">
        <v>1.63</v>
      </c>
      <c r="T97">
        <v>45.18</v>
      </c>
      <c r="U97">
        <v>0.67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0.67</v>
      </c>
      <c r="AI97">
        <v>0</v>
      </c>
      <c r="AJ97">
        <v>0</v>
      </c>
      <c r="AK97">
        <v>172</v>
      </c>
      <c r="AZ97" t="s">
        <v>1920</v>
      </c>
      <c r="BA97" t="s">
        <v>1940</v>
      </c>
      <c r="BB97">
        <v>218</v>
      </c>
      <c r="BC97" t="s">
        <v>1528</v>
      </c>
      <c r="BD97">
        <v>199.29</v>
      </c>
      <c r="BE97">
        <v>168.14883499050001</v>
      </c>
      <c r="BF97">
        <v>53172080456.57917</v>
      </c>
      <c r="BG97">
        <v>96</v>
      </c>
    </row>
    <row r="98" spans="1:59" x14ac:dyDescent="0.25">
      <c r="A98">
        <v>167</v>
      </c>
      <c r="B98" t="s">
        <v>260</v>
      </c>
      <c r="C98" t="s">
        <v>698</v>
      </c>
      <c r="D98" t="s">
        <v>1148</v>
      </c>
      <c r="E98" t="s">
        <v>61</v>
      </c>
      <c r="F98">
        <v>242.1318</v>
      </c>
      <c r="G98">
        <v>283624900</v>
      </c>
      <c r="H98" t="s">
        <v>1438</v>
      </c>
      <c r="I98">
        <v>68674.600000000006</v>
      </c>
      <c r="J98">
        <v>253904071.25035399</v>
      </c>
      <c r="K98">
        <v>305075421.59488201</v>
      </c>
      <c r="L98">
        <v>278183544.19251502</v>
      </c>
      <c r="M98">
        <v>322464741.84727299</v>
      </c>
      <c r="N98">
        <v>275621630.85593998</v>
      </c>
      <c r="O98" t="s">
        <v>59</v>
      </c>
      <c r="P98">
        <v>0.9</v>
      </c>
      <c r="Q98" t="s">
        <v>1588</v>
      </c>
      <c r="R98">
        <v>0.84373944999999995</v>
      </c>
      <c r="S98">
        <v>0.89</v>
      </c>
      <c r="T98">
        <v>65.459999999999994</v>
      </c>
      <c r="U98">
        <v>0.96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0.96</v>
      </c>
      <c r="AI98">
        <v>0</v>
      </c>
      <c r="AJ98">
        <v>0</v>
      </c>
      <c r="AK98">
        <v>95</v>
      </c>
      <c r="AZ98" t="s">
        <v>1920</v>
      </c>
      <c r="BA98" t="s">
        <v>1940</v>
      </c>
      <c r="BB98">
        <v>20</v>
      </c>
      <c r="BC98" t="s">
        <v>1588</v>
      </c>
      <c r="BD98">
        <v>264.06</v>
      </c>
      <c r="BE98">
        <v>222.79783916700001</v>
      </c>
      <c r="BF98">
        <v>52149128051.858261</v>
      </c>
      <c r="BG98">
        <v>97</v>
      </c>
    </row>
    <row r="99" spans="1:59" x14ac:dyDescent="0.25">
      <c r="A99">
        <v>54</v>
      </c>
      <c r="B99" t="s">
        <v>167</v>
      </c>
      <c r="C99" t="s">
        <v>601</v>
      </c>
      <c r="D99" t="s">
        <v>1055</v>
      </c>
      <c r="E99" t="s">
        <v>61</v>
      </c>
      <c r="F99">
        <v>87.506399999999999</v>
      </c>
      <c r="G99">
        <v>705240840</v>
      </c>
      <c r="H99" t="s">
        <v>1438</v>
      </c>
      <c r="I99">
        <v>61713.09</v>
      </c>
      <c r="J99">
        <v>283628231.296498</v>
      </c>
      <c r="K99">
        <v>331943936.06070399</v>
      </c>
      <c r="L99">
        <v>327498745.54878598</v>
      </c>
      <c r="M99">
        <v>379870249.11382902</v>
      </c>
      <c r="N99">
        <v>307253315.00660002</v>
      </c>
      <c r="O99" t="s">
        <v>59</v>
      </c>
      <c r="P99">
        <v>1</v>
      </c>
      <c r="Q99" t="s">
        <v>1491</v>
      </c>
      <c r="R99">
        <v>0.84373944999999995</v>
      </c>
      <c r="S99">
        <v>0.31</v>
      </c>
      <c r="T99">
        <v>55.08</v>
      </c>
      <c r="U99">
        <v>0.97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0.97</v>
      </c>
      <c r="AI99">
        <v>0</v>
      </c>
      <c r="AJ99">
        <v>0</v>
      </c>
      <c r="AK99">
        <v>8</v>
      </c>
      <c r="AZ99" t="s">
        <v>1920</v>
      </c>
      <c r="BA99" t="s">
        <v>1940</v>
      </c>
      <c r="BB99">
        <v>103</v>
      </c>
      <c r="BC99" t="s">
        <v>1491</v>
      </c>
      <c r="BD99">
        <v>105.49</v>
      </c>
      <c r="BE99">
        <v>89.006074580499984</v>
      </c>
      <c r="BF99">
        <v>52069766118.092712</v>
      </c>
      <c r="BG99">
        <v>98</v>
      </c>
    </row>
    <row r="100" spans="1:59" x14ac:dyDescent="0.25">
      <c r="A100">
        <v>241</v>
      </c>
      <c r="B100" t="s">
        <v>326</v>
      </c>
      <c r="C100" t="s">
        <v>768</v>
      </c>
      <c r="D100" t="s">
        <v>1214</v>
      </c>
      <c r="E100" t="s">
        <v>61</v>
      </c>
      <c r="F100">
        <v>229.91130000000001</v>
      </c>
      <c r="G100">
        <v>291500000</v>
      </c>
      <c r="H100" t="s">
        <v>1438</v>
      </c>
      <c r="I100">
        <v>67019.13</v>
      </c>
      <c r="J100">
        <v>206072389.67121601</v>
      </c>
      <c r="K100">
        <v>248551616.297941</v>
      </c>
      <c r="L100">
        <v>210315669.360668</v>
      </c>
      <c r="M100">
        <v>243760531.50458801</v>
      </c>
      <c r="N100">
        <v>230497258.46833199</v>
      </c>
      <c r="O100" t="s">
        <v>59</v>
      </c>
      <c r="P100">
        <v>0.9</v>
      </c>
      <c r="Q100" t="s">
        <v>1658</v>
      </c>
      <c r="R100">
        <v>0.84373944999999995</v>
      </c>
      <c r="S100">
        <v>2.35</v>
      </c>
      <c r="T100">
        <v>45.47</v>
      </c>
      <c r="U100">
        <v>0.95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0.95</v>
      </c>
      <c r="AI100">
        <v>0</v>
      </c>
      <c r="AJ100">
        <v>0</v>
      </c>
      <c r="AK100">
        <v>273</v>
      </c>
      <c r="AZ100" t="s">
        <v>1920</v>
      </c>
      <c r="BA100" t="s">
        <v>1940</v>
      </c>
      <c r="BB100">
        <v>216</v>
      </c>
      <c r="BC100" t="s">
        <v>1658</v>
      </c>
      <c r="BD100">
        <v>261.83999999999997</v>
      </c>
      <c r="BE100">
        <v>220.924737588</v>
      </c>
      <c r="BF100">
        <v>50892026090.259453</v>
      </c>
      <c r="BG100">
        <v>99</v>
      </c>
    </row>
    <row r="101" spans="1:59" x14ac:dyDescent="0.25">
      <c r="A101">
        <v>257</v>
      </c>
      <c r="B101" t="s">
        <v>340</v>
      </c>
      <c r="C101" t="s">
        <v>783</v>
      </c>
      <c r="D101" t="s">
        <v>1228</v>
      </c>
      <c r="E101" t="s">
        <v>61</v>
      </c>
      <c r="F101">
        <v>91.534390000000002</v>
      </c>
      <c r="G101">
        <v>654385440</v>
      </c>
      <c r="H101" t="s">
        <v>1438</v>
      </c>
      <c r="I101">
        <v>59898.78</v>
      </c>
      <c r="J101">
        <v>470443190.88100201</v>
      </c>
      <c r="K101">
        <v>401992744.13071501</v>
      </c>
      <c r="L101">
        <v>443364823.041798</v>
      </c>
      <c r="M101">
        <v>513954831.283539</v>
      </c>
      <c r="N101">
        <v>346429399.99060601</v>
      </c>
      <c r="O101" t="s">
        <v>59</v>
      </c>
      <c r="P101">
        <v>1</v>
      </c>
      <c r="Q101" t="s">
        <v>1673</v>
      </c>
      <c r="R101">
        <v>0.84373944999999995</v>
      </c>
      <c r="S101">
        <v>0.72</v>
      </c>
      <c r="T101">
        <v>58.76</v>
      </c>
      <c r="U101">
        <v>0.88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0.88</v>
      </c>
      <c r="AI101">
        <v>0</v>
      </c>
      <c r="AJ101">
        <v>0</v>
      </c>
      <c r="AK101">
        <v>67</v>
      </c>
      <c r="AZ101" t="s">
        <v>1920</v>
      </c>
      <c r="BA101" t="s">
        <v>1940</v>
      </c>
      <c r="BB101">
        <v>59</v>
      </c>
      <c r="BC101" t="s">
        <v>1673</v>
      </c>
      <c r="BD101">
        <v>106.96</v>
      </c>
      <c r="BE101">
        <v>90.246371571999987</v>
      </c>
      <c r="BF101">
        <v>50538957006.47345</v>
      </c>
      <c r="BG101">
        <v>100</v>
      </c>
    </row>
    <row r="102" spans="1:59" x14ac:dyDescent="0.25">
      <c r="A102">
        <v>489</v>
      </c>
      <c r="B102" t="s">
        <v>539</v>
      </c>
      <c r="C102" t="s">
        <v>997</v>
      </c>
      <c r="D102" t="s">
        <v>1427</v>
      </c>
      <c r="E102" t="s">
        <v>61</v>
      </c>
      <c r="F102">
        <v>48.702849999999998</v>
      </c>
      <c r="G102">
        <v>1221177400</v>
      </c>
      <c r="H102" t="s">
        <v>1438</v>
      </c>
      <c r="I102">
        <v>59474.82</v>
      </c>
      <c r="J102">
        <v>345146749.49628103</v>
      </c>
      <c r="K102">
        <v>399367160.67969698</v>
      </c>
      <c r="L102">
        <v>406816336.56008101</v>
      </c>
      <c r="M102">
        <v>471321626.16341001</v>
      </c>
      <c r="N102">
        <v>364722938.07907701</v>
      </c>
      <c r="O102" t="s">
        <v>59</v>
      </c>
      <c r="P102">
        <v>1</v>
      </c>
      <c r="Q102" t="s">
        <v>1887</v>
      </c>
      <c r="R102">
        <v>0.84373944999999995</v>
      </c>
      <c r="S102">
        <v>2.0099999999999998</v>
      </c>
      <c r="T102">
        <v>50.62</v>
      </c>
      <c r="U102">
        <v>0.93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0.93</v>
      </c>
      <c r="AI102">
        <v>0</v>
      </c>
      <c r="AJ102">
        <v>0</v>
      </c>
      <c r="AK102">
        <v>226</v>
      </c>
      <c r="AZ102" t="s">
        <v>1920</v>
      </c>
      <c r="BA102" t="s">
        <v>1940</v>
      </c>
      <c r="BB102">
        <v>168</v>
      </c>
      <c r="BC102" t="s">
        <v>1887</v>
      </c>
      <c r="BD102">
        <v>57.95</v>
      </c>
      <c r="BE102">
        <v>48.894701127499999</v>
      </c>
      <c r="BF102">
        <v>50181251692.555847</v>
      </c>
      <c r="BG102">
        <v>101</v>
      </c>
    </row>
    <row r="103" spans="1:59" x14ac:dyDescent="0.25">
      <c r="A103">
        <v>117</v>
      </c>
      <c r="B103" t="s">
        <v>212</v>
      </c>
      <c r="C103" t="s">
        <v>650</v>
      </c>
      <c r="D103" t="s">
        <v>1100</v>
      </c>
      <c r="E103" t="s">
        <v>61</v>
      </c>
      <c r="F103">
        <v>73.340159999999997</v>
      </c>
      <c r="G103">
        <v>808220800</v>
      </c>
      <c r="H103" t="s">
        <v>1438</v>
      </c>
      <c r="I103">
        <v>59275.05</v>
      </c>
      <c r="J103">
        <v>335390424.50797999</v>
      </c>
      <c r="K103">
        <v>425642125.64200699</v>
      </c>
      <c r="L103">
        <v>385373583.54321897</v>
      </c>
      <c r="M103">
        <v>446297088.52785599</v>
      </c>
      <c r="N103">
        <v>413936065.52719301</v>
      </c>
      <c r="O103" t="s">
        <v>59</v>
      </c>
      <c r="P103">
        <v>1</v>
      </c>
      <c r="Q103" t="s">
        <v>1540</v>
      </c>
      <c r="R103">
        <v>0.84373944999999995</v>
      </c>
      <c r="S103">
        <v>0.83</v>
      </c>
      <c r="T103">
        <v>57.12</v>
      </c>
      <c r="U103">
        <v>0.97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0.97</v>
      </c>
      <c r="AI103">
        <v>0</v>
      </c>
      <c r="AJ103">
        <v>0</v>
      </c>
      <c r="AK103">
        <v>83</v>
      </c>
      <c r="AZ103" t="s">
        <v>1920</v>
      </c>
      <c r="BA103" t="s">
        <v>1940</v>
      </c>
      <c r="BB103">
        <v>82</v>
      </c>
      <c r="BC103" t="s">
        <v>1540</v>
      </c>
      <c r="BD103">
        <v>81.48</v>
      </c>
      <c r="BE103">
        <v>68.747890385999995</v>
      </c>
      <c r="BF103">
        <v>50012692000.10659</v>
      </c>
      <c r="BG103">
        <v>102</v>
      </c>
    </row>
    <row r="104" spans="1:59" x14ac:dyDescent="0.25">
      <c r="A104">
        <v>498</v>
      </c>
      <c r="B104" t="s">
        <v>547</v>
      </c>
      <c r="C104" t="s">
        <v>1005</v>
      </c>
      <c r="D104" t="s">
        <v>1435</v>
      </c>
      <c r="E104" t="s">
        <v>61</v>
      </c>
      <c r="F104">
        <v>133.6576</v>
      </c>
      <c r="G104">
        <v>443183470</v>
      </c>
      <c r="H104" t="s">
        <v>1438</v>
      </c>
      <c r="I104">
        <v>59234.85</v>
      </c>
      <c r="J104">
        <v>452918281.06009603</v>
      </c>
      <c r="K104">
        <v>424451561.17872798</v>
      </c>
      <c r="L104">
        <v>426060542.74639201</v>
      </c>
      <c r="M104">
        <v>493679878.26185799</v>
      </c>
      <c r="N104">
        <v>417280196.80864</v>
      </c>
      <c r="O104" t="s">
        <v>59</v>
      </c>
      <c r="P104">
        <v>1</v>
      </c>
      <c r="Q104" t="s">
        <v>1895</v>
      </c>
      <c r="R104">
        <v>0.84373944999999995</v>
      </c>
      <c r="S104">
        <v>2.48</v>
      </c>
      <c r="T104">
        <v>46.76</v>
      </c>
      <c r="U104">
        <v>0.67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0.67</v>
      </c>
      <c r="AI104">
        <v>0</v>
      </c>
      <c r="AJ104">
        <v>0</v>
      </c>
      <c r="AK104">
        <v>291</v>
      </c>
      <c r="AZ104" t="s">
        <v>1920</v>
      </c>
      <c r="BA104" t="s">
        <v>1940</v>
      </c>
      <c r="BB104">
        <v>202</v>
      </c>
      <c r="BC104" t="s">
        <v>1895</v>
      </c>
      <c r="BD104">
        <v>147.46</v>
      </c>
      <c r="BE104">
        <v>124.41781929699999</v>
      </c>
      <c r="BF104">
        <v>49978770444.840973</v>
      </c>
      <c r="BG104">
        <v>103</v>
      </c>
    </row>
    <row r="105" spans="1:59" x14ac:dyDescent="0.25">
      <c r="A105">
        <v>233</v>
      </c>
      <c r="B105" t="s">
        <v>319</v>
      </c>
      <c r="C105" t="s">
        <v>760</v>
      </c>
      <c r="D105" t="s">
        <v>1207</v>
      </c>
      <c r="E105" t="s">
        <v>61</v>
      </c>
      <c r="F105">
        <v>145.92930000000001</v>
      </c>
      <c r="G105">
        <v>403126300</v>
      </c>
      <c r="H105" t="s">
        <v>1438</v>
      </c>
      <c r="I105">
        <v>58827.96</v>
      </c>
      <c r="J105">
        <v>362323200.54552197</v>
      </c>
      <c r="K105">
        <v>429858218.64920998</v>
      </c>
      <c r="L105">
        <v>484731122.74571002</v>
      </c>
      <c r="M105">
        <v>562394163.44248497</v>
      </c>
      <c r="N105">
        <v>342475573.19971901</v>
      </c>
      <c r="O105" t="s">
        <v>59</v>
      </c>
      <c r="P105">
        <v>1</v>
      </c>
      <c r="Q105" t="s">
        <v>1650</v>
      </c>
      <c r="R105">
        <v>0.84373944999999995</v>
      </c>
      <c r="S105">
        <v>0.3</v>
      </c>
      <c r="T105">
        <v>49.41</v>
      </c>
      <c r="U105">
        <v>0.91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0.91</v>
      </c>
      <c r="AI105">
        <v>0</v>
      </c>
      <c r="AJ105">
        <v>0</v>
      </c>
      <c r="AK105">
        <v>7</v>
      </c>
      <c r="AZ105" t="s">
        <v>1920</v>
      </c>
      <c r="BA105" t="s">
        <v>1940</v>
      </c>
      <c r="BB105">
        <v>180</v>
      </c>
      <c r="BC105" t="s">
        <v>1650</v>
      </c>
      <c r="BD105">
        <v>187.46</v>
      </c>
      <c r="BE105">
        <v>158.16739729700001</v>
      </c>
      <c r="BF105">
        <v>49635452702.931282</v>
      </c>
      <c r="BG105">
        <v>104</v>
      </c>
    </row>
    <row r="106" spans="1:59" x14ac:dyDescent="0.25">
      <c r="A106">
        <v>348</v>
      </c>
      <c r="B106" t="s">
        <v>418</v>
      </c>
      <c r="C106" t="s">
        <v>869</v>
      </c>
      <c r="D106" t="s">
        <v>1306</v>
      </c>
      <c r="E106" t="s">
        <v>61</v>
      </c>
      <c r="F106">
        <v>59.651820000000001</v>
      </c>
      <c r="G106">
        <v>955378400</v>
      </c>
      <c r="H106" t="s">
        <v>1439</v>
      </c>
      <c r="I106">
        <v>56990.06</v>
      </c>
      <c r="J106">
        <v>585849987.27684295</v>
      </c>
      <c r="K106">
        <v>679862307.70146704</v>
      </c>
      <c r="L106">
        <v>654791912.83758295</v>
      </c>
      <c r="M106">
        <v>758667329.32199299</v>
      </c>
      <c r="N106">
        <v>732291416.52105296</v>
      </c>
      <c r="O106" t="s">
        <v>58</v>
      </c>
      <c r="P106">
        <v>1</v>
      </c>
      <c r="Q106" t="s">
        <v>1759</v>
      </c>
      <c r="R106">
        <v>0.84373944999999995</v>
      </c>
      <c r="S106">
        <v>0.98</v>
      </c>
      <c r="T106">
        <v>43.23</v>
      </c>
      <c r="U106">
        <v>0.86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0.86</v>
      </c>
      <c r="AI106">
        <v>0</v>
      </c>
      <c r="AJ106">
        <v>0</v>
      </c>
      <c r="AK106">
        <v>105</v>
      </c>
      <c r="AZ106" t="s">
        <v>1920</v>
      </c>
      <c r="BA106" t="s">
        <v>1940</v>
      </c>
      <c r="BB106">
        <v>238</v>
      </c>
      <c r="BC106" t="s">
        <v>1759</v>
      </c>
      <c r="BD106">
        <v>66.849999999999994</v>
      </c>
      <c r="BE106">
        <v>56.403982232499992</v>
      </c>
      <c r="BF106">
        <v>48084762174.068817</v>
      </c>
      <c r="BG106">
        <v>105</v>
      </c>
    </row>
    <row r="107" spans="1:59" x14ac:dyDescent="0.25">
      <c r="A107">
        <v>12</v>
      </c>
      <c r="B107" t="s">
        <v>129</v>
      </c>
      <c r="C107" t="s">
        <v>560</v>
      </c>
      <c r="D107" t="s">
        <v>1017</v>
      </c>
      <c r="E107" t="s">
        <v>61</v>
      </c>
      <c r="F107">
        <v>255.41900000000001</v>
      </c>
      <c r="G107">
        <v>222553630</v>
      </c>
      <c r="H107" t="s">
        <v>1438</v>
      </c>
      <c r="I107">
        <v>56844.43</v>
      </c>
      <c r="J107">
        <v>219175995.427558</v>
      </c>
      <c r="K107">
        <v>296265845.99622202</v>
      </c>
      <c r="L107">
        <v>269042170.35786903</v>
      </c>
      <c r="M107">
        <v>311524272.35162097</v>
      </c>
      <c r="N107">
        <v>358300897.94405699</v>
      </c>
      <c r="O107" t="s">
        <v>59</v>
      </c>
      <c r="P107">
        <v>1</v>
      </c>
      <c r="Q107" t="s">
        <v>1450</v>
      </c>
      <c r="R107">
        <v>0.84373944999999995</v>
      </c>
      <c r="S107">
        <v>2.75</v>
      </c>
      <c r="T107">
        <v>58.25</v>
      </c>
      <c r="U107">
        <v>0.99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0.01</v>
      </c>
      <c r="AG107" t="s">
        <v>1904</v>
      </c>
      <c r="AH107">
        <v>0.99</v>
      </c>
      <c r="AI107">
        <v>0</v>
      </c>
      <c r="AJ107">
        <v>0.01</v>
      </c>
      <c r="AK107">
        <v>328</v>
      </c>
      <c r="AZ107" t="s">
        <v>1920</v>
      </c>
      <c r="BA107" t="s">
        <v>1940</v>
      </c>
      <c r="BB107">
        <v>68</v>
      </c>
      <c r="BC107" t="s">
        <v>1450</v>
      </c>
      <c r="BD107">
        <v>284.95</v>
      </c>
      <c r="BE107">
        <v>240.42355627750001</v>
      </c>
      <c r="BF107">
        <v>47961884409.003143</v>
      </c>
      <c r="BG107">
        <v>106</v>
      </c>
    </row>
    <row r="108" spans="1:59" x14ac:dyDescent="0.25">
      <c r="A108">
        <v>227</v>
      </c>
      <c r="B108" t="s">
        <v>314</v>
      </c>
      <c r="C108" t="s">
        <v>754</v>
      </c>
      <c r="D108" t="s">
        <v>1202</v>
      </c>
      <c r="E108" t="s">
        <v>61</v>
      </c>
      <c r="F108">
        <v>345.59649999999999</v>
      </c>
      <c r="G108">
        <v>233993500</v>
      </c>
      <c r="H108" t="s">
        <v>1438</v>
      </c>
      <c r="I108">
        <v>80867.34</v>
      </c>
      <c r="J108">
        <v>390423133.39514399</v>
      </c>
      <c r="K108">
        <v>485382521.78917599</v>
      </c>
      <c r="L108">
        <v>455259013.23098397</v>
      </c>
      <c r="M108">
        <v>527711360.83067501</v>
      </c>
      <c r="N108">
        <v>473906894.71813601</v>
      </c>
      <c r="O108" t="s">
        <v>59</v>
      </c>
      <c r="P108">
        <v>0.7</v>
      </c>
      <c r="Q108" t="s">
        <v>1644</v>
      </c>
      <c r="R108">
        <v>0.84373944999999995</v>
      </c>
      <c r="S108">
        <v>2.29</v>
      </c>
      <c r="T108">
        <v>56.82</v>
      </c>
      <c r="U108" t="s">
        <v>1899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</v>
      </c>
      <c r="AI108">
        <v>0</v>
      </c>
      <c r="AJ108">
        <v>0</v>
      </c>
      <c r="AK108">
        <v>263</v>
      </c>
      <c r="AZ108" t="s">
        <v>1920</v>
      </c>
      <c r="BA108" t="s">
        <v>1940</v>
      </c>
      <c r="BB108">
        <v>86</v>
      </c>
      <c r="BC108" t="s">
        <v>1644</v>
      </c>
      <c r="BD108">
        <v>399.75</v>
      </c>
      <c r="BE108">
        <v>337.28484513749999</v>
      </c>
      <c r="BF108">
        <v>47761672306.295517</v>
      </c>
      <c r="BG108">
        <v>107</v>
      </c>
    </row>
    <row r="109" spans="1:59" x14ac:dyDescent="0.25">
      <c r="A109">
        <v>138</v>
      </c>
      <c r="B109" t="s">
        <v>232</v>
      </c>
      <c r="C109" t="s">
        <v>670</v>
      </c>
      <c r="D109" t="s">
        <v>1120</v>
      </c>
      <c r="E109" t="s">
        <v>61</v>
      </c>
      <c r="F109">
        <v>29.510159999999999</v>
      </c>
      <c r="G109">
        <v>1864277000</v>
      </c>
      <c r="H109" t="s">
        <v>1439</v>
      </c>
      <c r="I109">
        <v>55015.11</v>
      </c>
      <c r="J109">
        <v>673426895.61300099</v>
      </c>
      <c r="K109">
        <v>485448148.87536299</v>
      </c>
      <c r="L109">
        <v>547331154.89422202</v>
      </c>
      <c r="M109">
        <v>634951506.43778801</v>
      </c>
      <c r="N109">
        <v>436302933.54345298</v>
      </c>
      <c r="O109" t="s">
        <v>58</v>
      </c>
      <c r="P109">
        <v>1</v>
      </c>
      <c r="Q109" t="s">
        <v>1560</v>
      </c>
      <c r="R109">
        <v>0.84373944999999995</v>
      </c>
      <c r="S109">
        <v>1.86</v>
      </c>
      <c r="T109">
        <v>57.31</v>
      </c>
      <c r="U109">
        <v>0.99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0.99</v>
      </c>
      <c r="AI109">
        <v>0</v>
      </c>
      <c r="AJ109">
        <v>0</v>
      </c>
      <c r="AK109">
        <v>204</v>
      </c>
      <c r="AZ109" t="s">
        <v>1920</v>
      </c>
      <c r="BA109" t="s">
        <v>1940</v>
      </c>
      <c r="BB109">
        <v>77</v>
      </c>
      <c r="BC109" t="s">
        <v>1560</v>
      </c>
      <c r="BD109">
        <v>32.47</v>
      </c>
      <c r="BE109">
        <v>27.3962199415</v>
      </c>
      <c r="BF109">
        <v>46418420808.27005</v>
      </c>
      <c r="BG109">
        <v>108</v>
      </c>
    </row>
    <row r="110" spans="1:59" x14ac:dyDescent="0.25">
      <c r="A110">
        <v>324</v>
      </c>
      <c r="B110" t="s">
        <v>398</v>
      </c>
      <c r="C110" t="s">
        <v>846</v>
      </c>
      <c r="D110" t="s">
        <v>1286</v>
      </c>
      <c r="E110" t="s">
        <v>61</v>
      </c>
      <c r="F110">
        <v>242.8742</v>
      </c>
      <c r="G110">
        <v>224354310</v>
      </c>
      <c r="H110" t="s">
        <v>1438</v>
      </c>
      <c r="I110">
        <v>54489.88</v>
      </c>
      <c r="J110">
        <v>492361170.84906298</v>
      </c>
      <c r="K110">
        <v>375557016.511985</v>
      </c>
      <c r="L110">
        <v>475812389.92158097</v>
      </c>
      <c r="M110">
        <v>551835196.18336701</v>
      </c>
      <c r="N110">
        <v>329480704.20811301</v>
      </c>
      <c r="O110" t="s">
        <v>59</v>
      </c>
      <c r="P110">
        <v>1</v>
      </c>
      <c r="Q110" t="s">
        <v>1736</v>
      </c>
      <c r="R110">
        <v>0.84373944999999995</v>
      </c>
      <c r="S110">
        <v>2.1</v>
      </c>
      <c r="T110">
        <v>50.39</v>
      </c>
      <c r="U110">
        <v>0.98</v>
      </c>
      <c r="V110" t="s">
        <v>1901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0.98</v>
      </c>
      <c r="AI110">
        <v>0</v>
      </c>
      <c r="AJ110">
        <v>0</v>
      </c>
      <c r="AK110">
        <v>237</v>
      </c>
      <c r="AZ110" t="s">
        <v>1920</v>
      </c>
      <c r="BA110" t="s">
        <v>1940</v>
      </c>
      <c r="BB110">
        <v>171</v>
      </c>
      <c r="BC110" t="s">
        <v>1736</v>
      </c>
      <c r="BD110">
        <v>278.08999999999997</v>
      </c>
      <c r="BE110">
        <v>234.6355036505</v>
      </c>
      <c r="BF110">
        <v>45975255946.229401</v>
      </c>
      <c r="BG110">
        <v>109</v>
      </c>
    </row>
    <row r="111" spans="1:59" x14ac:dyDescent="0.25">
      <c r="A111">
        <v>448</v>
      </c>
      <c r="B111" t="s">
        <v>503</v>
      </c>
      <c r="C111" t="s">
        <v>958</v>
      </c>
      <c r="D111" t="s">
        <v>1391</v>
      </c>
      <c r="E111" t="s">
        <v>61</v>
      </c>
      <c r="F111">
        <v>235.7826</v>
      </c>
      <c r="G111">
        <v>225133830</v>
      </c>
      <c r="H111" t="s">
        <v>1438</v>
      </c>
      <c r="I111">
        <v>53082.63</v>
      </c>
      <c r="J111">
        <v>274400847.93914402</v>
      </c>
      <c r="K111">
        <v>308835995.29685301</v>
      </c>
      <c r="L111">
        <v>291765835.12643701</v>
      </c>
      <c r="M111">
        <v>338083157.28528601</v>
      </c>
      <c r="N111">
        <v>298938536.31179303</v>
      </c>
      <c r="O111" t="s">
        <v>59</v>
      </c>
      <c r="P111">
        <v>1</v>
      </c>
      <c r="Q111" t="s">
        <v>1848</v>
      </c>
      <c r="R111">
        <v>0.84373944999999995</v>
      </c>
      <c r="S111">
        <v>1.96</v>
      </c>
      <c r="T111">
        <v>42.71</v>
      </c>
      <c r="U111">
        <v>0.94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0.94</v>
      </c>
      <c r="AI111">
        <v>0</v>
      </c>
      <c r="AJ111">
        <v>0</v>
      </c>
      <c r="AK111">
        <v>221</v>
      </c>
      <c r="AZ111" t="s">
        <v>1920</v>
      </c>
      <c r="BA111" t="s">
        <v>1940</v>
      </c>
      <c r="BB111">
        <v>244</v>
      </c>
      <c r="BC111" t="s">
        <v>1848</v>
      </c>
      <c r="BD111">
        <v>271.95</v>
      </c>
      <c r="BE111">
        <v>229.45494342750001</v>
      </c>
      <c r="BF111">
        <v>44787917297.046066</v>
      </c>
      <c r="BG111">
        <v>110</v>
      </c>
    </row>
    <row r="112" spans="1:59" x14ac:dyDescent="0.25">
      <c r="A112">
        <v>209</v>
      </c>
      <c r="B112" t="s">
        <v>297</v>
      </c>
      <c r="C112" t="s">
        <v>736</v>
      </c>
      <c r="D112" t="s">
        <v>1185</v>
      </c>
      <c r="E112" t="s">
        <v>61</v>
      </c>
      <c r="F112">
        <v>36.934629999999999</v>
      </c>
      <c r="G112">
        <v>1435774200</v>
      </c>
      <c r="H112" t="s">
        <v>1438</v>
      </c>
      <c r="I112">
        <v>53029.79</v>
      </c>
      <c r="J112">
        <v>358883551.76951897</v>
      </c>
      <c r="K112">
        <v>552025228.44839799</v>
      </c>
      <c r="L112">
        <v>527528457.36922902</v>
      </c>
      <c r="M112">
        <v>611913144.81753695</v>
      </c>
      <c r="N112">
        <v>521997290.93621701</v>
      </c>
      <c r="O112" t="s">
        <v>59</v>
      </c>
      <c r="P112">
        <v>1</v>
      </c>
      <c r="Q112" t="s">
        <v>1626</v>
      </c>
      <c r="R112">
        <v>0.84373944999999995</v>
      </c>
      <c r="S112">
        <v>2.14</v>
      </c>
      <c r="T112">
        <v>46.03</v>
      </c>
      <c r="U112">
        <v>0.99</v>
      </c>
      <c r="V112" t="s">
        <v>1901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0.01</v>
      </c>
      <c r="AH112">
        <v>0.99</v>
      </c>
      <c r="AI112">
        <v>0</v>
      </c>
      <c r="AJ112">
        <v>0.01</v>
      </c>
      <c r="AK112">
        <v>245</v>
      </c>
      <c r="AZ112" t="s">
        <v>1920</v>
      </c>
      <c r="BA112" t="s">
        <v>1940</v>
      </c>
      <c r="BB112">
        <v>211</v>
      </c>
      <c r="BC112" t="s">
        <v>1626</v>
      </c>
      <c r="BD112">
        <v>45.3</v>
      </c>
      <c r="BE112">
        <v>38.221397084999992</v>
      </c>
      <c r="BF112">
        <v>44743324869.938423</v>
      </c>
      <c r="BG112">
        <v>111</v>
      </c>
    </row>
    <row r="113" spans="1:59" x14ac:dyDescent="0.25">
      <c r="A113">
        <v>48</v>
      </c>
      <c r="B113" t="s">
        <v>161</v>
      </c>
      <c r="C113" t="s">
        <v>595</v>
      </c>
      <c r="D113" t="s">
        <v>1049</v>
      </c>
      <c r="E113" t="s">
        <v>61</v>
      </c>
      <c r="F113">
        <v>247.6788</v>
      </c>
      <c r="G113">
        <v>213944530</v>
      </c>
      <c r="H113" t="s">
        <v>1439</v>
      </c>
      <c r="I113">
        <v>52989.52</v>
      </c>
      <c r="J113">
        <v>338071801.46177399</v>
      </c>
      <c r="K113">
        <v>411208252.470972</v>
      </c>
      <c r="L113">
        <v>404853911.12070602</v>
      </c>
      <c r="M113">
        <v>469139000.84455401</v>
      </c>
      <c r="N113">
        <v>399859134.45132899</v>
      </c>
      <c r="O113" t="s">
        <v>58</v>
      </c>
      <c r="P113">
        <v>1</v>
      </c>
      <c r="Q113" t="s">
        <v>1485</v>
      </c>
      <c r="R113">
        <v>0.84373944999999995</v>
      </c>
      <c r="S113">
        <v>2.4700000000000002</v>
      </c>
      <c r="T113">
        <v>60.39</v>
      </c>
      <c r="U113">
        <v>0.91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0.91</v>
      </c>
      <c r="AI113">
        <v>0</v>
      </c>
      <c r="AJ113">
        <v>0</v>
      </c>
      <c r="AK113">
        <v>290</v>
      </c>
      <c r="AZ113" t="s">
        <v>1920</v>
      </c>
      <c r="BA113" t="s">
        <v>1940</v>
      </c>
      <c r="BB113">
        <v>46</v>
      </c>
      <c r="BC113" t="s">
        <v>1485</v>
      </c>
      <c r="BD113">
        <v>318.51</v>
      </c>
      <c r="BE113">
        <v>268.73945221949998</v>
      </c>
      <c r="BF113">
        <v>44709352221.080353</v>
      </c>
      <c r="BG113">
        <v>112</v>
      </c>
    </row>
    <row r="114" spans="1:59" x14ac:dyDescent="0.25">
      <c r="A114">
        <v>378</v>
      </c>
      <c r="B114" t="s">
        <v>443</v>
      </c>
      <c r="C114" t="s">
        <v>896</v>
      </c>
      <c r="D114" t="s">
        <v>1331</v>
      </c>
      <c r="E114" t="s">
        <v>61</v>
      </c>
      <c r="F114">
        <v>503.05509999999998</v>
      </c>
      <c r="G114">
        <v>104170296</v>
      </c>
      <c r="H114" t="s">
        <v>1439</v>
      </c>
      <c r="I114">
        <v>52403.4</v>
      </c>
      <c r="J114">
        <v>507673700.38327098</v>
      </c>
      <c r="K114">
        <v>592494891.57999301</v>
      </c>
      <c r="L114">
        <v>547538444.52180398</v>
      </c>
      <c r="M114">
        <v>633035442.990798</v>
      </c>
      <c r="N114">
        <v>604625395.21338201</v>
      </c>
      <c r="O114" t="s">
        <v>58</v>
      </c>
      <c r="P114">
        <v>1</v>
      </c>
      <c r="Q114" t="s">
        <v>1786</v>
      </c>
      <c r="R114">
        <v>0.84373944999999995</v>
      </c>
      <c r="S114">
        <v>2.1</v>
      </c>
      <c r="T114">
        <v>66.209999999999994</v>
      </c>
      <c r="U114">
        <v>0.93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0.93</v>
      </c>
      <c r="AI114">
        <v>0</v>
      </c>
      <c r="AJ114">
        <v>0</v>
      </c>
      <c r="AK114">
        <v>237</v>
      </c>
      <c r="AZ114" t="s">
        <v>1920</v>
      </c>
      <c r="BA114" t="s">
        <v>1940</v>
      </c>
      <c r="BB114">
        <v>16</v>
      </c>
      <c r="BC114" t="s">
        <v>1786</v>
      </c>
      <c r="BD114">
        <v>575.05999999999995</v>
      </c>
      <c r="BE114">
        <v>485.20080811700001</v>
      </c>
      <c r="BF114">
        <v>44214814773.061493</v>
      </c>
      <c r="BG114">
        <v>113</v>
      </c>
    </row>
    <row r="115" spans="1:59" x14ac:dyDescent="0.25">
      <c r="A115">
        <v>429</v>
      </c>
      <c r="B115" t="s">
        <v>488</v>
      </c>
      <c r="C115" t="s">
        <v>942</v>
      </c>
      <c r="D115" t="s">
        <v>1376</v>
      </c>
      <c r="E115" t="s">
        <v>61</v>
      </c>
      <c r="F115">
        <v>174.94450000000001</v>
      </c>
      <c r="G115">
        <v>295481480</v>
      </c>
      <c r="H115" t="s">
        <v>1438</v>
      </c>
      <c r="I115">
        <v>51692.87</v>
      </c>
      <c r="J115">
        <v>279519722.54118699</v>
      </c>
      <c r="K115">
        <v>271979137.53491902</v>
      </c>
      <c r="L115">
        <v>287699041.61490399</v>
      </c>
      <c r="M115">
        <v>333806467.57827598</v>
      </c>
      <c r="N115">
        <v>246270254.47034499</v>
      </c>
      <c r="O115" t="s">
        <v>59</v>
      </c>
      <c r="P115">
        <v>1</v>
      </c>
      <c r="Q115" t="s">
        <v>1832</v>
      </c>
      <c r="R115">
        <v>0.84373944999999995</v>
      </c>
      <c r="S115">
        <v>1.78</v>
      </c>
      <c r="T115">
        <v>53.47</v>
      </c>
      <c r="U115">
        <v>0.98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0.98</v>
      </c>
      <c r="AI115">
        <v>0</v>
      </c>
      <c r="AJ115">
        <v>0</v>
      </c>
      <c r="AK115">
        <v>194</v>
      </c>
      <c r="AZ115" t="s">
        <v>1920</v>
      </c>
      <c r="BA115" t="s">
        <v>1940</v>
      </c>
      <c r="BB115">
        <v>129</v>
      </c>
      <c r="BC115" t="s">
        <v>1832</v>
      </c>
      <c r="BD115">
        <v>212.56</v>
      </c>
      <c r="BE115">
        <v>179.345257492</v>
      </c>
      <c r="BF115">
        <v>43615305077.89872</v>
      </c>
      <c r="BG115">
        <v>114</v>
      </c>
    </row>
    <row r="116" spans="1:59" x14ac:dyDescent="0.25">
      <c r="A116">
        <v>458</v>
      </c>
      <c r="B116" t="s">
        <v>512</v>
      </c>
      <c r="C116" t="s">
        <v>968</v>
      </c>
      <c r="D116" t="s">
        <v>1400</v>
      </c>
      <c r="E116" t="s">
        <v>61</v>
      </c>
      <c r="F116">
        <v>793.60820000000001</v>
      </c>
      <c r="G116">
        <v>64341225</v>
      </c>
      <c r="H116" t="s">
        <v>1438</v>
      </c>
      <c r="I116">
        <v>51061.72</v>
      </c>
      <c r="J116">
        <v>346632848.82644802</v>
      </c>
      <c r="K116">
        <v>396815873.49757802</v>
      </c>
      <c r="L116">
        <v>370638386.729433</v>
      </c>
      <c r="M116">
        <v>430579596.97705197</v>
      </c>
      <c r="N116">
        <v>394804470.72786701</v>
      </c>
      <c r="O116" t="s">
        <v>59</v>
      </c>
      <c r="P116">
        <v>1</v>
      </c>
      <c r="Q116" t="s">
        <v>1858</v>
      </c>
      <c r="R116">
        <v>0.84373944999999995</v>
      </c>
      <c r="S116">
        <v>1.3</v>
      </c>
      <c r="T116">
        <v>52.25</v>
      </c>
      <c r="U116">
        <v>0.66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0.66</v>
      </c>
      <c r="AI116">
        <v>0</v>
      </c>
      <c r="AJ116">
        <v>0</v>
      </c>
      <c r="AK116">
        <v>140</v>
      </c>
      <c r="AZ116" t="s">
        <v>1920</v>
      </c>
      <c r="BA116" t="s">
        <v>1940</v>
      </c>
      <c r="BB116">
        <v>149</v>
      </c>
      <c r="BC116" t="s">
        <v>1858</v>
      </c>
      <c r="BD116">
        <v>958.65</v>
      </c>
      <c r="BE116">
        <v>808.85082374249998</v>
      </c>
      <c r="BF116">
        <v>43082790719.664818</v>
      </c>
      <c r="BG116">
        <v>115</v>
      </c>
    </row>
    <row r="117" spans="1:59" x14ac:dyDescent="0.25">
      <c r="A117">
        <v>334</v>
      </c>
      <c r="B117" t="s">
        <v>406</v>
      </c>
      <c r="C117" t="s">
        <v>855</v>
      </c>
      <c r="D117" t="s">
        <v>1294</v>
      </c>
      <c r="E117" t="s">
        <v>61</v>
      </c>
      <c r="F117">
        <v>200.40110000000001</v>
      </c>
      <c r="G117">
        <v>252114600</v>
      </c>
      <c r="H117" t="s">
        <v>1439</v>
      </c>
      <c r="I117">
        <v>50524.04</v>
      </c>
      <c r="J117">
        <v>543322665.46855795</v>
      </c>
      <c r="K117">
        <v>551375607.10422206</v>
      </c>
      <c r="L117">
        <v>503202827.78474802</v>
      </c>
      <c r="M117">
        <v>583638854.68865395</v>
      </c>
      <c r="N117">
        <v>542755436.78909194</v>
      </c>
      <c r="O117" t="s">
        <v>58</v>
      </c>
      <c r="P117">
        <v>1</v>
      </c>
      <c r="Q117" t="s">
        <v>1745</v>
      </c>
      <c r="R117">
        <v>0.84373944999999995</v>
      </c>
      <c r="S117">
        <v>2.12</v>
      </c>
      <c r="T117">
        <v>63.08</v>
      </c>
      <c r="U117">
        <v>0.67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0.67</v>
      </c>
      <c r="AI117">
        <v>0</v>
      </c>
      <c r="AJ117">
        <v>0</v>
      </c>
      <c r="AK117">
        <v>241</v>
      </c>
      <c r="AZ117" t="s">
        <v>1920</v>
      </c>
      <c r="BA117" t="s">
        <v>1940</v>
      </c>
      <c r="BB117">
        <v>30</v>
      </c>
      <c r="BC117" t="s">
        <v>1745</v>
      </c>
      <c r="BD117">
        <v>220.99</v>
      </c>
      <c r="BE117">
        <v>186.4579810555</v>
      </c>
      <c r="BF117">
        <v>42629128392.707733</v>
      </c>
      <c r="BG117">
        <v>116</v>
      </c>
    </row>
    <row r="118" spans="1:59" x14ac:dyDescent="0.25">
      <c r="A118">
        <v>99</v>
      </c>
      <c r="B118" t="s">
        <v>197</v>
      </c>
      <c r="C118" t="s">
        <v>633</v>
      </c>
      <c r="D118" t="s">
        <v>1085</v>
      </c>
      <c r="E118" t="s">
        <v>61</v>
      </c>
      <c r="F118">
        <v>37.241849999999999</v>
      </c>
      <c r="G118">
        <v>1340885000</v>
      </c>
      <c r="H118" t="s">
        <v>1438</v>
      </c>
      <c r="I118">
        <v>49937.04</v>
      </c>
      <c r="J118">
        <v>618855164.52933598</v>
      </c>
      <c r="K118">
        <v>658270882.047575</v>
      </c>
      <c r="L118">
        <v>674359323.61576498</v>
      </c>
      <c r="M118">
        <v>782850771.43635297</v>
      </c>
      <c r="N118">
        <v>597966604.22017598</v>
      </c>
      <c r="O118" t="s">
        <v>59</v>
      </c>
      <c r="P118">
        <v>1</v>
      </c>
      <c r="Q118" t="s">
        <v>1523</v>
      </c>
      <c r="R118">
        <v>0.84373944999999995</v>
      </c>
      <c r="S118">
        <v>0.79</v>
      </c>
      <c r="T118">
        <v>47.44</v>
      </c>
      <c r="U118">
        <v>0.93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0.93</v>
      </c>
      <c r="AI118">
        <v>0</v>
      </c>
      <c r="AJ118">
        <v>0</v>
      </c>
      <c r="AK118">
        <v>77</v>
      </c>
      <c r="AZ118" t="s">
        <v>1920</v>
      </c>
      <c r="BA118" t="s">
        <v>1940</v>
      </c>
      <c r="BB118">
        <v>197</v>
      </c>
      <c r="BC118" t="s">
        <v>1523</v>
      </c>
      <c r="BD118">
        <v>39.299999999999997</v>
      </c>
      <c r="BE118">
        <v>33.158960384999993</v>
      </c>
      <c r="BF118">
        <v>42133849008.178391</v>
      </c>
      <c r="BG118">
        <v>117</v>
      </c>
    </row>
    <row r="119" spans="1:59" x14ac:dyDescent="0.25">
      <c r="A119">
        <v>194</v>
      </c>
      <c r="B119" t="s">
        <v>284</v>
      </c>
      <c r="C119" t="s">
        <v>723</v>
      </c>
      <c r="D119" t="s">
        <v>1172</v>
      </c>
      <c r="E119" t="s">
        <v>61</v>
      </c>
      <c r="F119">
        <v>43.002220000000001</v>
      </c>
      <c r="G119">
        <v>1147636600</v>
      </c>
      <c r="H119" t="s">
        <v>1439</v>
      </c>
      <c r="I119">
        <v>49350.93</v>
      </c>
      <c r="J119">
        <v>230685423.38412699</v>
      </c>
      <c r="K119">
        <v>247997402.698347</v>
      </c>
      <c r="L119">
        <v>231023031.295948</v>
      </c>
      <c r="M119">
        <v>268086289.191394</v>
      </c>
      <c r="N119">
        <v>220487946.12343901</v>
      </c>
      <c r="O119" t="s">
        <v>58</v>
      </c>
      <c r="P119">
        <v>1</v>
      </c>
      <c r="Q119" t="s">
        <v>1613</v>
      </c>
      <c r="R119">
        <v>0.84373944999999995</v>
      </c>
      <c r="S119">
        <v>2.98</v>
      </c>
      <c r="T119">
        <v>50.89</v>
      </c>
      <c r="U119">
        <v>0.61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0.61</v>
      </c>
      <c r="AI119">
        <v>0</v>
      </c>
      <c r="AJ119">
        <v>0</v>
      </c>
      <c r="AK119">
        <v>351</v>
      </c>
      <c r="AZ119" t="s">
        <v>1920</v>
      </c>
      <c r="BA119" t="s">
        <v>1940</v>
      </c>
      <c r="BB119">
        <v>164</v>
      </c>
      <c r="BC119" t="s">
        <v>1613</v>
      </c>
      <c r="BD119">
        <v>47.25</v>
      </c>
      <c r="BE119">
        <v>39.866689012499997</v>
      </c>
      <c r="BF119">
        <v>41639319408.333977</v>
      </c>
      <c r="BG119">
        <v>118</v>
      </c>
    </row>
    <row r="120" spans="1:59" x14ac:dyDescent="0.25">
      <c r="A120">
        <v>388</v>
      </c>
      <c r="B120" t="s">
        <v>452</v>
      </c>
      <c r="C120" t="s">
        <v>905</v>
      </c>
      <c r="D120" t="s">
        <v>1340</v>
      </c>
      <c r="E120" t="s">
        <v>61</v>
      </c>
      <c r="F120">
        <v>458.13279999999997</v>
      </c>
      <c r="G120">
        <v>107613820</v>
      </c>
      <c r="H120" t="s">
        <v>1439</v>
      </c>
      <c r="I120">
        <v>49301.43</v>
      </c>
      <c r="J120">
        <v>339858264.64097399</v>
      </c>
      <c r="K120">
        <v>309980503.80720299</v>
      </c>
      <c r="L120">
        <v>291690622.01188099</v>
      </c>
      <c r="M120">
        <v>338452556.33590102</v>
      </c>
      <c r="N120">
        <v>291017875.44158697</v>
      </c>
      <c r="O120" t="s">
        <v>58</v>
      </c>
      <c r="P120">
        <v>1</v>
      </c>
      <c r="Q120" t="s">
        <v>1795</v>
      </c>
      <c r="R120">
        <v>0.84373944999999995</v>
      </c>
      <c r="S120">
        <v>1.26</v>
      </c>
      <c r="T120">
        <v>49.6</v>
      </c>
      <c r="U120">
        <v>0.63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G120" t="s">
        <v>1904</v>
      </c>
      <c r="AH120">
        <v>0.63</v>
      </c>
      <c r="AI120">
        <v>0</v>
      </c>
      <c r="AJ120">
        <v>0</v>
      </c>
      <c r="AK120">
        <v>135</v>
      </c>
      <c r="AZ120" t="s">
        <v>1920</v>
      </c>
      <c r="BA120" t="s">
        <v>1940</v>
      </c>
      <c r="BB120">
        <v>178</v>
      </c>
      <c r="BC120" t="s">
        <v>1795</v>
      </c>
      <c r="BD120">
        <v>502.44</v>
      </c>
      <c r="BE120">
        <v>423.92844925799989</v>
      </c>
      <c r="BF120">
        <v>41597553564.79287</v>
      </c>
      <c r="BG120">
        <v>119</v>
      </c>
    </row>
    <row r="121" spans="1:59" x14ac:dyDescent="0.25">
      <c r="A121">
        <v>402</v>
      </c>
      <c r="B121" t="s">
        <v>464</v>
      </c>
      <c r="C121" t="s">
        <v>918</v>
      </c>
      <c r="D121" t="s">
        <v>1352</v>
      </c>
      <c r="E121" t="s">
        <v>61</v>
      </c>
      <c r="F121">
        <v>150.67420000000001</v>
      </c>
      <c r="G121">
        <v>326484770</v>
      </c>
      <c r="H121" t="s">
        <v>1438</v>
      </c>
      <c r="I121">
        <v>49192.83</v>
      </c>
      <c r="J121">
        <v>220375917.40944499</v>
      </c>
      <c r="K121">
        <v>246971907.32652</v>
      </c>
      <c r="L121">
        <v>213051425.68485701</v>
      </c>
      <c r="M121">
        <v>246862429.35340801</v>
      </c>
      <c r="N121">
        <v>237834268.81665099</v>
      </c>
      <c r="O121" t="s">
        <v>59</v>
      </c>
      <c r="P121">
        <v>1</v>
      </c>
      <c r="Q121" t="s">
        <v>1808</v>
      </c>
      <c r="R121">
        <v>0.84373944999999995</v>
      </c>
      <c r="S121">
        <v>2.15</v>
      </c>
      <c r="T121">
        <v>53.09</v>
      </c>
      <c r="U121">
        <v>0.87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0.87</v>
      </c>
      <c r="AI121">
        <v>0</v>
      </c>
      <c r="AJ121">
        <v>0</v>
      </c>
      <c r="AK121">
        <v>246</v>
      </c>
      <c r="AZ121" t="s">
        <v>1920</v>
      </c>
      <c r="BA121" t="s">
        <v>1940</v>
      </c>
      <c r="BB121">
        <v>136</v>
      </c>
      <c r="BC121" t="s">
        <v>1808</v>
      </c>
      <c r="BD121">
        <v>181.52</v>
      </c>
      <c r="BE121">
        <v>153.15558496400001</v>
      </c>
      <c r="BF121">
        <v>41505932620.696663</v>
      </c>
      <c r="BG121">
        <v>120</v>
      </c>
    </row>
    <row r="122" spans="1:59" x14ac:dyDescent="0.25">
      <c r="A122">
        <v>91</v>
      </c>
      <c r="B122" t="s">
        <v>191</v>
      </c>
      <c r="C122" t="s">
        <v>627</v>
      </c>
      <c r="D122" t="s">
        <v>1079</v>
      </c>
      <c r="E122" t="s">
        <v>61</v>
      </c>
      <c r="F122">
        <v>249.7013</v>
      </c>
      <c r="G122">
        <v>193877880</v>
      </c>
      <c r="H122" t="s">
        <v>1438</v>
      </c>
      <c r="I122">
        <v>48411.57</v>
      </c>
      <c r="J122">
        <v>374118955.422719</v>
      </c>
      <c r="K122">
        <v>397358505.53264499</v>
      </c>
      <c r="L122">
        <v>328363276.08556497</v>
      </c>
      <c r="M122">
        <v>380395325.43073201</v>
      </c>
      <c r="N122">
        <v>355755798.912256</v>
      </c>
      <c r="O122" t="s">
        <v>59</v>
      </c>
      <c r="P122">
        <v>1</v>
      </c>
      <c r="Q122" t="s">
        <v>1517</v>
      </c>
      <c r="R122">
        <v>0.84373944999999995</v>
      </c>
      <c r="S122">
        <v>2.3199999999999998</v>
      </c>
      <c r="T122">
        <v>52.48</v>
      </c>
      <c r="U122">
        <v>0.88</v>
      </c>
      <c r="V122" t="s">
        <v>1901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0.88</v>
      </c>
      <c r="AI122">
        <v>0</v>
      </c>
      <c r="AJ122">
        <v>0</v>
      </c>
      <c r="AK122">
        <v>266</v>
      </c>
      <c r="AZ122" t="s">
        <v>1920</v>
      </c>
      <c r="BA122" t="s">
        <v>1940</v>
      </c>
      <c r="BB122">
        <v>146</v>
      </c>
      <c r="BC122" t="s">
        <v>1517</v>
      </c>
      <c r="BD122">
        <v>290</v>
      </c>
      <c r="BE122">
        <v>244.68444049999999</v>
      </c>
      <c r="BF122">
        <v>40846741891.980583</v>
      </c>
      <c r="BG122">
        <v>121</v>
      </c>
    </row>
    <row r="123" spans="1:59" x14ac:dyDescent="0.25">
      <c r="A123">
        <v>218</v>
      </c>
      <c r="B123" t="s">
        <v>305</v>
      </c>
      <c r="C123" t="s">
        <v>745</v>
      </c>
      <c r="D123" t="s">
        <v>1193</v>
      </c>
      <c r="E123" t="s">
        <v>61</v>
      </c>
      <c r="F123">
        <v>49.812249999999999</v>
      </c>
      <c r="G123">
        <v>952077800</v>
      </c>
      <c r="H123" t="s">
        <v>1438</v>
      </c>
      <c r="I123">
        <v>47425.14</v>
      </c>
      <c r="J123">
        <v>305847823.14260399</v>
      </c>
      <c r="K123">
        <v>524400620.35508198</v>
      </c>
      <c r="L123">
        <v>411080279.26053101</v>
      </c>
      <c r="M123">
        <v>476597989.48283398</v>
      </c>
      <c r="N123">
        <v>544518152.52593994</v>
      </c>
      <c r="O123" t="s">
        <v>59</v>
      </c>
      <c r="P123">
        <v>1</v>
      </c>
      <c r="Q123" t="s">
        <v>1635</v>
      </c>
      <c r="R123">
        <v>0.84373944999999995</v>
      </c>
      <c r="S123">
        <v>1.26</v>
      </c>
      <c r="T123">
        <v>52.5</v>
      </c>
      <c r="U123">
        <v>0.98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0.98</v>
      </c>
      <c r="AI123">
        <v>0</v>
      </c>
      <c r="AJ123">
        <v>0</v>
      </c>
      <c r="AK123">
        <v>135</v>
      </c>
      <c r="AZ123" t="s">
        <v>1920</v>
      </c>
      <c r="BA123" t="s">
        <v>1940</v>
      </c>
      <c r="BB123">
        <v>145</v>
      </c>
      <c r="BC123" t="s">
        <v>1635</v>
      </c>
      <c r="BD123">
        <v>58.46</v>
      </c>
      <c r="BE123">
        <v>49.325008247</v>
      </c>
      <c r="BF123">
        <v>40014459340.186432</v>
      </c>
      <c r="BG123">
        <v>122</v>
      </c>
    </row>
    <row r="124" spans="1:59" x14ac:dyDescent="0.25">
      <c r="A124">
        <v>139</v>
      </c>
      <c r="B124" t="s">
        <v>233</v>
      </c>
      <c r="C124" t="s">
        <v>671</v>
      </c>
      <c r="D124" t="s">
        <v>1121</v>
      </c>
      <c r="E124" t="s">
        <v>61</v>
      </c>
      <c r="F124">
        <v>343.31799999999998</v>
      </c>
      <c r="G124">
        <v>137786040</v>
      </c>
      <c r="H124" t="s">
        <v>1438</v>
      </c>
      <c r="I124">
        <v>47304.42</v>
      </c>
      <c r="J124">
        <v>321132851.76284403</v>
      </c>
      <c r="K124">
        <v>264028402.30585599</v>
      </c>
      <c r="L124">
        <v>254643845.969372</v>
      </c>
      <c r="M124">
        <v>295516298.64458698</v>
      </c>
      <c r="N124">
        <v>244079244.660647</v>
      </c>
      <c r="O124" t="s">
        <v>59</v>
      </c>
      <c r="P124">
        <v>1</v>
      </c>
      <c r="Q124" t="s">
        <v>1561</v>
      </c>
      <c r="R124">
        <v>0.84373944999999995</v>
      </c>
      <c r="S124">
        <v>0.73</v>
      </c>
      <c r="T124">
        <v>56.85</v>
      </c>
      <c r="U124">
        <v>0.99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G124" t="s">
        <v>1904</v>
      </c>
      <c r="AH124">
        <v>0.99</v>
      </c>
      <c r="AI124">
        <v>0</v>
      </c>
      <c r="AJ124">
        <v>0</v>
      </c>
      <c r="AK124">
        <v>70</v>
      </c>
      <c r="AZ124" t="s">
        <v>1920</v>
      </c>
      <c r="BA124" t="s">
        <v>1940</v>
      </c>
      <c r="BB124">
        <v>85</v>
      </c>
      <c r="BC124" t="s">
        <v>1561</v>
      </c>
      <c r="BD124">
        <v>415.44</v>
      </c>
      <c r="BE124">
        <v>350.52311710800001</v>
      </c>
      <c r="BF124">
        <v>39912611793.89547</v>
      </c>
      <c r="BG124">
        <v>123</v>
      </c>
    </row>
    <row r="125" spans="1:59" x14ac:dyDescent="0.25">
      <c r="A125">
        <v>84</v>
      </c>
      <c r="B125" t="s">
        <v>185</v>
      </c>
      <c r="C125" t="s">
        <v>621</v>
      </c>
      <c r="D125" t="s">
        <v>1073</v>
      </c>
      <c r="E125" t="s">
        <v>61</v>
      </c>
      <c r="F125">
        <v>57.817030000000003</v>
      </c>
      <c r="G125">
        <v>851022800</v>
      </c>
      <c r="H125" t="s">
        <v>1438</v>
      </c>
      <c r="I125">
        <v>49203.61</v>
      </c>
      <c r="J125">
        <v>264166040.058707</v>
      </c>
      <c r="K125">
        <v>309611372.30633903</v>
      </c>
      <c r="L125">
        <v>287920982.58962202</v>
      </c>
      <c r="M125">
        <v>333535753.17901099</v>
      </c>
      <c r="N125">
        <v>311696599.60635102</v>
      </c>
      <c r="O125" t="s">
        <v>59</v>
      </c>
      <c r="P125">
        <v>0.95</v>
      </c>
      <c r="Q125" t="s">
        <v>1511</v>
      </c>
      <c r="R125">
        <v>0.84373944999999995</v>
      </c>
      <c r="S125">
        <v>0.76</v>
      </c>
      <c r="T125">
        <v>54.46</v>
      </c>
      <c r="U125">
        <v>0.68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0.68</v>
      </c>
      <c r="AI125">
        <v>0</v>
      </c>
      <c r="AJ125">
        <v>0</v>
      </c>
      <c r="AK125">
        <v>73</v>
      </c>
      <c r="AZ125" t="s">
        <v>1920</v>
      </c>
      <c r="BA125" t="s">
        <v>1940</v>
      </c>
      <c r="BB125">
        <v>114</v>
      </c>
      <c r="BC125" t="s">
        <v>1511</v>
      </c>
      <c r="BD125">
        <v>60.93</v>
      </c>
      <c r="BE125">
        <v>51.409044688500003</v>
      </c>
      <c r="BF125">
        <v>39439276105.248192</v>
      </c>
      <c r="BG125">
        <v>124</v>
      </c>
    </row>
    <row r="126" spans="1:59" x14ac:dyDescent="0.25">
      <c r="A126">
        <v>15</v>
      </c>
      <c r="B126" t="s">
        <v>131</v>
      </c>
      <c r="C126" t="s">
        <v>562</v>
      </c>
      <c r="D126" t="s">
        <v>1019</v>
      </c>
      <c r="E126" t="s">
        <v>61</v>
      </c>
      <c r="F126">
        <v>175.38829999999999</v>
      </c>
      <c r="G126">
        <v>263505340</v>
      </c>
      <c r="H126" t="s">
        <v>1438</v>
      </c>
      <c r="I126">
        <v>46215.75</v>
      </c>
      <c r="J126">
        <v>230169609.69979101</v>
      </c>
      <c r="K126">
        <v>300728713.680924</v>
      </c>
      <c r="L126">
        <v>272873053.25215203</v>
      </c>
      <c r="M126">
        <v>316140975.63274503</v>
      </c>
      <c r="N126">
        <v>291949163.05703902</v>
      </c>
      <c r="O126" t="s">
        <v>59</v>
      </c>
      <c r="P126">
        <v>1</v>
      </c>
      <c r="Q126" t="s">
        <v>1452</v>
      </c>
      <c r="R126">
        <v>0.84373944999999995</v>
      </c>
      <c r="S126">
        <v>0.48</v>
      </c>
      <c r="T126">
        <v>52.89</v>
      </c>
      <c r="U126">
        <v>0.99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0.99</v>
      </c>
      <c r="AI126">
        <v>0</v>
      </c>
      <c r="AJ126">
        <v>0</v>
      </c>
      <c r="AK126">
        <v>26</v>
      </c>
      <c r="AZ126" t="s">
        <v>1920</v>
      </c>
      <c r="BA126" t="s">
        <v>1940</v>
      </c>
      <c r="BB126">
        <v>139</v>
      </c>
      <c r="BC126" t="s">
        <v>1452</v>
      </c>
      <c r="BD126">
        <v>196.3</v>
      </c>
      <c r="BE126">
        <v>165.62605403500001</v>
      </c>
      <c r="BF126">
        <v>38994054543.64595</v>
      </c>
      <c r="BG126">
        <v>125</v>
      </c>
    </row>
    <row r="127" spans="1:59" x14ac:dyDescent="0.25">
      <c r="A127">
        <v>153</v>
      </c>
      <c r="B127" t="s">
        <v>247</v>
      </c>
      <c r="C127" t="s">
        <v>685</v>
      </c>
      <c r="D127" t="s">
        <v>1135</v>
      </c>
      <c r="E127" t="s">
        <v>61</v>
      </c>
      <c r="F127">
        <v>142.56700000000001</v>
      </c>
      <c r="G127">
        <v>341050450</v>
      </c>
      <c r="H127" t="s">
        <v>1438</v>
      </c>
      <c r="I127">
        <v>48622.53</v>
      </c>
      <c r="J127">
        <v>192169664.422025</v>
      </c>
      <c r="K127">
        <v>287633413.41655499</v>
      </c>
      <c r="L127">
        <v>248742996.40768701</v>
      </c>
      <c r="M127">
        <v>288189373.331936</v>
      </c>
      <c r="N127">
        <v>305814418.89639997</v>
      </c>
      <c r="O127" t="s">
        <v>59</v>
      </c>
      <c r="P127">
        <v>0.95</v>
      </c>
      <c r="Q127" t="s">
        <v>1575</v>
      </c>
      <c r="R127">
        <v>0.84373944999999995</v>
      </c>
      <c r="S127">
        <v>2.2599999999999998</v>
      </c>
      <c r="T127">
        <v>57.88</v>
      </c>
      <c r="U127">
        <v>0.87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0.87</v>
      </c>
      <c r="AI127">
        <v>0</v>
      </c>
      <c r="AJ127">
        <v>0</v>
      </c>
      <c r="AK127">
        <v>260</v>
      </c>
      <c r="AZ127" t="s">
        <v>1920</v>
      </c>
      <c r="BA127" t="s">
        <v>1940</v>
      </c>
      <c r="BB127">
        <v>72</v>
      </c>
      <c r="BC127" t="s">
        <v>1575</v>
      </c>
      <c r="BD127">
        <v>173.86</v>
      </c>
      <c r="BE127">
        <v>146.692540777</v>
      </c>
      <c r="BF127">
        <v>38973517002.694603</v>
      </c>
      <c r="BG127">
        <v>126</v>
      </c>
    </row>
    <row r="128" spans="1:59" x14ac:dyDescent="0.25">
      <c r="A128">
        <v>396</v>
      </c>
      <c r="B128" t="s">
        <v>458</v>
      </c>
      <c r="C128" t="s">
        <v>912</v>
      </c>
      <c r="D128" t="s">
        <v>1346</v>
      </c>
      <c r="E128" t="s">
        <v>61</v>
      </c>
      <c r="F128">
        <v>30.389140000000001</v>
      </c>
      <c r="G128">
        <v>1500867600</v>
      </c>
      <c r="H128" t="s">
        <v>1438</v>
      </c>
      <c r="I128">
        <v>45610.07</v>
      </c>
      <c r="J128">
        <v>326946426.924209</v>
      </c>
      <c r="K128">
        <v>536800889.06452203</v>
      </c>
      <c r="L128">
        <v>465323599.11387801</v>
      </c>
      <c r="M128">
        <v>539333515.81324399</v>
      </c>
      <c r="N128">
        <v>517929623.66554099</v>
      </c>
      <c r="O128" t="s">
        <v>59</v>
      </c>
      <c r="P128">
        <v>1</v>
      </c>
      <c r="Q128" t="s">
        <v>1802</v>
      </c>
      <c r="R128">
        <v>0.84373944999999995</v>
      </c>
      <c r="S128">
        <v>0.43</v>
      </c>
      <c r="T128">
        <v>43.23</v>
      </c>
      <c r="U128">
        <v>0.92</v>
      </c>
      <c r="V128" t="s">
        <v>1901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G128" t="s">
        <v>1904</v>
      </c>
      <c r="AH128">
        <v>0.92</v>
      </c>
      <c r="AI128">
        <v>0</v>
      </c>
      <c r="AJ128">
        <v>0</v>
      </c>
      <c r="AK128">
        <v>20</v>
      </c>
      <c r="AZ128" t="s">
        <v>1920</v>
      </c>
      <c r="BA128" t="s">
        <v>1940</v>
      </c>
      <c r="BB128">
        <v>238</v>
      </c>
      <c r="BC128" t="s">
        <v>1802</v>
      </c>
      <c r="BD128">
        <v>35.24</v>
      </c>
      <c r="BE128">
        <v>29.733378217999999</v>
      </c>
      <c r="BF128">
        <v>38483020116.274979</v>
      </c>
      <c r="BG128">
        <v>127</v>
      </c>
    </row>
    <row r="129" spans="1:59" x14ac:dyDescent="0.25">
      <c r="A129">
        <v>97</v>
      </c>
      <c r="B129" t="s">
        <v>195</v>
      </c>
      <c r="C129" t="s">
        <v>631</v>
      </c>
      <c r="D129" t="s">
        <v>1083</v>
      </c>
      <c r="E129" t="s">
        <v>61</v>
      </c>
      <c r="F129">
        <v>202.73079999999999</v>
      </c>
      <c r="G129">
        <v>219768100</v>
      </c>
      <c r="H129" t="s">
        <v>1438</v>
      </c>
      <c r="I129">
        <v>44553.77</v>
      </c>
      <c r="J129">
        <v>354457929.44255298</v>
      </c>
      <c r="K129">
        <v>409974990.03301603</v>
      </c>
      <c r="L129">
        <v>398622634.25160003</v>
      </c>
      <c r="M129">
        <v>461655751.69738197</v>
      </c>
      <c r="N129">
        <v>381597669.19313103</v>
      </c>
      <c r="O129" t="s">
        <v>59</v>
      </c>
      <c r="P129">
        <v>1</v>
      </c>
      <c r="Q129" t="s">
        <v>1521</v>
      </c>
      <c r="R129">
        <v>0.84373944999999995</v>
      </c>
      <c r="S129">
        <v>2.85</v>
      </c>
      <c r="T129">
        <v>48.78</v>
      </c>
      <c r="U129">
        <v>0.87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0.87</v>
      </c>
      <c r="AI129">
        <v>0</v>
      </c>
      <c r="AJ129">
        <v>0</v>
      </c>
      <c r="AK129">
        <v>339</v>
      </c>
      <c r="AZ129" t="s">
        <v>1920</v>
      </c>
      <c r="BA129" t="s">
        <v>1940</v>
      </c>
      <c r="BB129">
        <v>187</v>
      </c>
      <c r="BC129" t="s">
        <v>1521</v>
      </c>
      <c r="BD129">
        <v>234.9</v>
      </c>
      <c r="BE129">
        <v>198.194396805</v>
      </c>
      <c r="BF129">
        <v>37591767259.114471</v>
      </c>
      <c r="BG129">
        <v>128</v>
      </c>
    </row>
    <row r="130" spans="1:59" x14ac:dyDescent="0.25">
      <c r="A130">
        <v>9</v>
      </c>
      <c r="B130" t="s">
        <v>127</v>
      </c>
      <c r="C130" t="s">
        <v>558</v>
      </c>
      <c r="D130" t="s">
        <v>1015</v>
      </c>
      <c r="E130" t="s">
        <v>61</v>
      </c>
      <c r="F130">
        <v>92.558459999999997</v>
      </c>
      <c r="G130">
        <v>534831500</v>
      </c>
      <c r="H130" t="s">
        <v>1438</v>
      </c>
      <c r="I130">
        <v>49503.18</v>
      </c>
      <c r="J130">
        <v>236564448.555408</v>
      </c>
      <c r="K130">
        <v>210792980.44335699</v>
      </c>
      <c r="L130">
        <v>218360578.673895</v>
      </c>
      <c r="M130">
        <v>253265986.255128</v>
      </c>
      <c r="N130">
        <v>209514128.77802801</v>
      </c>
      <c r="O130" t="s">
        <v>59</v>
      </c>
      <c r="P130">
        <v>0.9</v>
      </c>
      <c r="Q130" t="s">
        <v>1448</v>
      </c>
      <c r="R130">
        <v>0.84373944999999995</v>
      </c>
      <c r="S130">
        <v>0.81</v>
      </c>
      <c r="T130">
        <v>47.44</v>
      </c>
      <c r="U130">
        <v>0.95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0.95</v>
      </c>
      <c r="AI130">
        <v>0</v>
      </c>
      <c r="AJ130">
        <v>0</v>
      </c>
      <c r="AK130">
        <v>80</v>
      </c>
      <c r="AZ130" t="s">
        <v>1920</v>
      </c>
      <c r="BA130" t="s">
        <v>1940</v>
      </c>
      <c r="BB130">
        <v>197</v>
      </c>
      <c r="BC130" t="s">
        <v>1448</v>
      </c>
      <c r="BD130">
        <v>107.63</v>
      </c>
      <c r="BE130">
        <v>90.811677003499994</v>
      </c>
      <c r="BF130">
        <v>37591007279.418617</v>
      </c>
      <c r="BG130">
        <v>129</v>
      </c>
    </row>
    <row r="131" spans="1:59" x14ac:dyDescent="0.25">
      <c r="A131">
        <v>206</v>
      </c>
      <c r="B131" t="s">
        <v>296</v>
      </c>
      <c r="C131" t="s">
        <v>735</v>
      </c>
      <c r="D131" t="s">
        <v>1184</v>
      </c>
      <c r="E131" t="s">
        <v>61</v>
      </c>
      <c r="F131">
        <v>68.2881</v>
      </c>
      <c r="G131">
        <v>766266050</v>
      </c>
      <c r="H131" t="s">
        <v>1439</v>
      </c>
      <c r="I131">
        <v>52326.86</v>
      </c>
      <c r="J131">
        <v>914370161.33164704</v>
      </c>
      <c r="K131">
        <v>485697729.42786002</v>
      </c>
      <c r="L131">
        <v>507688726.97630298</v>
      </c>
      <c r="M131">
        <v>588720033.94227803</v>
      </c>
      <c r="N131">
        <v>434523552.97411698</v>
      </c>
      <c r="O131" t="s">
        <v>58</v>
      </c>
      <c r="P131">
        <v>0.85</v>
      </c>
      <c r="Q131" t="s">
        <v>1625</v>
      </c>
      <c r="R131">
        <v>0.84373944999999995</v>
      </c>
      <c r="S131">
        <v>0.88</v>
      </c>
      <c r="T131">
        <v>58.72</v>
      </c>
      <c r="U131">
        <v>0.83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0.83</v>
      </c>
      <c r="AI131">
        <v>0</v>
      </c>
      <c r="AJ131">
        <v>0</v>
      </c>
      <c r="AK131">
        <v>93</v>
      </c>
      <c r="AZ131" t="s">
        <v>1920</v>
      </c>
      <c r="BA131" t="s">
        <v>1940</v>
      </c>
      <c r="BB131">
        <v>62</v>
      </c>
      <c r="BC131" t="s">
        <v>1625</v>
      </c>
      <c r="BD131">
        <v>79.78</v>
      </c>
      <c r="BE131">
        <v>67.313533320999994</v>
      </c>
      <c r="BF131">
        <v>37527695393.157143</v>
      </c>
      <c r="BG131">
        <v>130</v>
      </c>
    </row>
    <row r="132" spans="1:59" x14ac:dyDescent="0.25">
      <c r="A132">
        <v>240</v>
      </c>
      <c r="B132" t="s">
        <v>325</v>
      </c>
      <c r="C132" t="s">
        <v>767</v>
      </c>
      <c r="D132" t="s">
        <v>1213</v>
      </c>
      <c r="E132" t="s">
        <v>61</v>
      </c>
      <c r="F132">
        <v>550.90459999999996</v>
      </c>
      <c r="G132">
        <v>80004690</v>
      </c>
      <c r="H132" t="s">
        <v>1439</v>
      </c>
      <c r="I132">
        <v>44074.96</v>
      </c>
      <c r="J132">
        <v>445810132.721196</v>
      </c>
      <c r="K132">
        <v>314364120.56719601</v>
      </c>
      <c r="L132">
        <v>290810634.85887402</v>
      </c>
      <c r="M132">
        <v>336904626.504713</v>
      </c>
      <c r="N132">
        <v>282129019.48180699</v>
      </c>
      <c r="O132" t="s">
        <v>58</v>
      </c>
      <c r="P132">
        <v>1</v>
      </c>
      <c r="Q132" t="s">
        <v>1657</v>
      </c>
      <c r="R132">
        <v>0.84373944999999995</v>
      </c>
      <c r="S132">
        <v>2.76</v>
      </c>
      <c r="T132">
        <v>44.05</v>
      </c>
      <c r="U132">
        <v>0.66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0.66</v>
      </c>
      <c r="AI132">
        <v>0</v>
      </c>
      <c r="AJ132">
        <v>0</v>
      </c>
      <c r="AK132">
        <v>329</v>
      </c>
      <c r="AZ132" t="s">
        <v>1920</v>
      </c>
      <c r="BA132" t="s">
        <v>1940</v>
      </c>
      <c r="BB132">
        <v>227</v>
      </c>
      <c r="BC132" t="s">
        <v>1657</v>
      </c>
      <c r="BD132">
        <v>645.65</v>
      </c>
      <c r="BE132">
        <v>544.76037589249995</v>
      </c>
      <c r="BF132">
        <v>37187775542.055923</v>
      </c>
      <c r="BG132">
        <v>131</v>
      </c>
    </row>
    <row r="133" spans="1:59" x14ac:dyDescent="0.25">
      <c r="A133">
        <v>127</v>
      </c>
      <c r="B133" t="s">
        <v>221</v>
      </c>
      <c r="C133" t="s">
        <v>659</v>
      </c>
      <c r="D133" t="s">
        <v>1109</v>
      </c>
      <c r="E133" t="s">
        <v>61</v>
      </c>
      <c r="F133">
        <v>56.127319999999997</v>
      </c>
      <c r="G133">
        <v>856618700</v>
      </c>
      <c r="H133" t="s">
        <v>1438</v>
      </c>
      <c r="I133">
        <v>48079.71</v>
      </c>
      <c r="J133">
        <v>272518568.58726901</v>
      </c>
      <c r="K133">
        <v>250141004.696015</v>
      </c>
      <c r="L133">
        <v>236858562.94191501</v>
      </c>
      <c r="M133">
        <v>274316059.80816001</v>
      </c>
      <c r="N133">
        <v>229783047.47056901</v>
      </c>
      <c r="O133" t="s">
        <v>59</v>
      </c>
      <c r="P133">
        <v>0.9</v>
      </c>
      <c r="Q133" t="s">
        <v>1549</v>
      </c>
      <c r="R133">
        <v>0.84373944999999995</v>
      </c>
      <c r="S133">
        <v>2.34</v>
      </c>
      <c r="T133">
        <v>43.59</v>
      </c>
      <c r="U133">
        <v>0.96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0.96</v>
      </c>
      <c r="AI133">
        <v>0</v>
      </c>
      <c r="AJ133">
        <v>0</v>
      </c>
      <c r="AK133">
        <v>269</v>
      </c>
      <c r="AZ133" t="s">
        <v>1920</v>
      </c>
      <c r="BA133" t="s">
        <v>1940</v>
      </c>
      <c r="BB133">
        <v>233</v>
      </c>
      <c r="BC133" t="s">
        <v>1549</v>
      </c>
      <c r="BD133">
        <v>78.7</v>
      </c>
      <c r="BE133">
        <v>66.402294714999996</v>
      </c>
      <c r="BF133">
        <v>36510074701.794357</v>
      </c>
      <c r="BG133">
        <v>132</v>
      </c>
    </row>
    <row r="134" spans="1:59" x14ac:dyDescent="0.25">
      <c r="A134">
        <v>88</v>
      </c>
      <c r="B134" t="s">
        <v>189</v>
      </c>
      <c r="C134" t="s">
        <v>625</v>
      </c>
      <c r="D134" t="s">
        <v>1077</v>
      </c>
      <c r="E134" t="s">
        <v>61</v>
      </c>
      <c r="F134">
        <v>140.30549999999999</v>
      </c>
      <c r="G134">
        <v>297554320</v>
      </c>
      <c r="H134" t="s">
        <v>1438</v>
      </c>
      <c r="I134">
        <v>41748.51</v>
      </c>
      <c r="J134">
        <v>194877095.08591101</v>
      </c>
      <c r="K134">
        <v>213232206.05644199</v>
      </c>
      <c r="L134">
        <v>196610675.76719701</v>
      </c>
      <c r="M134">
        <v>227610947.073659</v>
      </c>
      <c r="N134">
        <v>218250775.52219799</v>
      </c>
      <c r="O134" t="s">
        <v>59</v>
      </c>
      <c r="P134">
        <v>1</v>
      </c>
      <c r="Q134" t="s">
        <v>1515</v>
      </c>
      <c r="R134">
        <v>0.84373944999999995</v>
      </c>
      <c r="S134">
        <v>0.34</v>
      </c>
      <c r="T134">
        <v>65.099999999999994</v>
      </c>
      <c r="U134">
        <v>0.93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0.93</v>
      </c>
      <c r="AI134">
        <v>0</v>
      </c>
      <c r="AJ134">
        <v>0</v>
      </c>
      <c r="AK134">
        <v>9</v>
      </c>
      <c r="AZ134" t="s">
        <v>1920</v>
      </c>
      <c r="BA134" t="s">
        <v>1940</v>
      </c>
      <c r="BB134">
        <v>22</v>
      </c>
      <c r="BC134" t="s">
        <v>1515</v>
      </c>
      <c r="BD134">
        <v>162.84</v>
      </c>
      <c r="BE134">
        <v>137.39453203799999</v>
      </c>
      <c r="BF134">
        <v>35224862878.510597</v>
      </c>
      <c r="BG134">
        <v>133</v>
      </c>
    </row>
    <row r="135" spans="1:59" x14ac:dyDescent="0.25">
      <c r="A135">
        <v>27</v>
      </c>
      <c r="B135" t="s">
        <v>141</v>
      </c>
      <c r="C135" t="s">
        <v>574</v>
      </c>
      <c r="D135" t="s">
        <v>1029</v>
      </c>
      <c r="E135" t="s">
        <v>61</v>
      </c>
      <c r="F135">
        <v>441.13330000000002</v>
      </c>
      <c r="G135">
        <v>94271570</v>
      </c>
      <c r="H135" t="s">
        <v>1438</v>
      </c>
      <c r="I135">
        <v>41586.33</v>
      </c>
      <c r="J135">
        <v>168192529.93055701</v>
      </c>
      <c r="K135">
        <v>217741227.73284501</v>
      </c>
      <c r="L135">
        <v>200422981.33456501</v>
      </c>
      <c r="M135">
        <v>232247844.76809901</v>
      </c>
      <c r="N135">
        <v>225423644.332627</v>
      </c>
      <c r="O135" t="s">
        <v>59</v>
      </c>
      <c r="P135">
        <v>1</v>
      </c>
      <c r="Q135" t="s">
        <v>1464</v>
      </c>
      <c r="R135">
        <v>0.84373944999999995</v>
      </c>
      <c r="S135">
        <v>2.6</v>
      </c>
      <c r="T135">
        <v>51.83</v>
      </c>
      <c r="U135">
        <v>0.74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0.74</v>
      </c>
      <c r="AI135">
        <v>0</v>
      </c>
      <c r="AJ135">
        <v>0</v>
      </c>
      <c r="AK135">
        <v>308</v>
      </c>
      <c r="AZ135" t="s">
        <v>1920</v>
      </c>
      <c r="BA135" t="s">
        <v>1940</v>
      </c>
      <c r="BB135">
        <v>157</v>
      </c>
      <c r="BC135" t="s">
        <v>1464</v>
      </c>
      <c r="BD135">
        <v>486.13</v>
      </c>
      <c r="BE135">
        <v>410.16705882849999</v>
      </c>
      <c r="BF135">
        <v>35088026164.156067</v>
      </c>
      <c r="BG135">
        <v>134</v>
      </c>
    </row>
    <row r="136" spans="1:59" x14ac:dyDescent="0.25">
      <c r="A136">
        <v>169</v>
      </c>
      <c r="B136" t="s">
        <v>262</v>
      </c>
      <c r="C136" t="s">
        <v>700</v>
      </c>
      <c r="D136" t="s">
        <v>1150</v>
      </c>
      <c r="E136" t="s">
        <v>61</v>
      </c>
      <c r="F136">
        <v>69.832740000000001</v>
      </c>
      <c r="G136">
        <v>587100000</v>
      </c>
      <c r="H136" t="s">
        <v>1438</v>
      </c>
      <c r="I136">
        <v>40998.81</v>
      </c>
      <c r="J136">
        <v>260106247.38992599</v>
      </c>
      <c r="K136">
        <v>300978096.06299299</v>
      </c>
      <c r="L136">
        <v>284733109.49641901</v>
      </c>
      <c r="M136">
        <v>330046183.46661401</v>
      </c>
      <c r="N136">
        <v>326641385.58420098</v>
      </c>
      <c r="O136" t="s">
        <v>59</v>
      </c>
      <c r="P136">
        <v>1</v>
      </c>
      <c r="Q136" t="s">
        <v>1590</v>
      </c>
      <c r="R136">
        <v>0.84373944999999995</v>
      </c>
      <c r="S136">
        <v>1.73</v>
      </c>
      <c r="T136">
        <v>64.23</v>
      </c>
      <c r="U136">
        <v>0.88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0.88</v>
      </c>
      <c r="AI136">
        <v>0</v>
      </c>
      <c r="AJ136">
        <v>0</v>
      </c>
      <c r="AK136">
        <v>188</v>
      </c>
      <c r="AZ136" t="s">
        <v>1920</v>
      </c>
      <c r="BA136" t="s">
        <v>1940</v>
      </c>
      <c r="BB136">
        <v>27</v>
      </c>
      <c r="BC136" t="s">
        <v>1590</v>
      </c>
      <c r="BD136">
        <v>75.09</v>
      </c>
      <c r="BE136">
        <v>63.356395300499997</v>
      </c>
      <c r="BF136">
        <v>34592306358.205048</v>
      </c>
      <c r="BG136">
        <v>135</v>
      </c>
    </row>
    <row r="137" spans="1:59" x14ac:dyDescent="0.25">
      <c r="A137">
        <v>492</v>
      </c>
      <c r="B137" t="s">
        <v>542</v>
      </c>
      <c r="C137" t="s">
        <v>1000</v>
      </c>
      <c r="D137" t="s">
        <v>1430</v>
      </c>
      <c r="E137" t="s">
        <v>61</v>
      </c>
      <c r="F137">
        <v>188.82919999999999</v>
      </c>
      <c r="G137">
        <v>217000000</v>
      </c>
      <c r="H137" t="s">
        <v>1439</v>
      </c>
      <c r="I137">
        <v>40975.93</v>
      </c>
      <c r="J137">
        <v>779948842.17180705</v>
      </c>
      <c r="K137">
        <v>538019273.92053699</v>
      </c>
      <c r="L137">
        <v>574257196.19502699</v>
      </c>
      <c r="M137">
        <v>665033858.47342002</v>
      </c>
      <c r="N137">
        <v>598144077.96201098</v>
      </c>
      <c r="O137" t="s">
        <v>58</v>
      </c>
      <c r="P137">
        <v>1</v>
      </c>
      <c r="Q137" t="s">
        <v>1890</v>
      </c>
      <c r="R137">
        <v>0.84373944999999995</v>
      </c>
      <c r="S137">
        <v>0.36</v>
      </c>
      <c r="T137">
        <v>69.25</v>
      </c>
      <c r="U137">
        <v>0.86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0.86</v>
      </c>
      <c r="AI137">
        <v>0</v>
      </c>
      <c r="AJ137">
        <v>0</v>
      </c>
      <c r="AK137">
        <v>12</v>
      </c>
      <c r="AZ137" t="s">
        <v>1920</v>
      </c>
      <c r="BA137" t="s">
        <v>1940</v>
      </c>
      <c r="BB137">
        <v>6</v>
      </c>
      <c r="BC137" t="s">
        <v>1890</v>
      </c>
      <c r="BD137">
        <v>219.01</v>
      </c>
      <c r="BE137">
        <v>184.78737694450001</v>
      </c>
      <c r="BF137">
        <v>34573014041.370979</v>
      </c>
      <c r="BG137">
        <v>136</v>
      </c>
    </row>
    <row r="138" spans="1:59" x14ac:dyDescent="0.25">
      <c r="A138">
        <v>261</v>
      </c>
      <c r="B138" t="s">
        <v>343</v>
      </c>
      <c r="C138" t="s">
        <v>787</v>
      </c>
      <c r="D138" t="s">
        <v>1231</v>
      </c>
      <c r="E138" t="s">
        <v>61</v>
      </c>
      <c r="F138">
        <v>29.983779999999999</v>
      </c>
      <c r="G138">
        <v>1358435300</v>
      </c>
      <c r="H138" t="s">
        <v>1439</v>
      </c>
      <c r="I138">
        <v>40731.03</v>
      </c>
      <c r="J138">
        <v>216332978.31033599</v>
      </c>
      <c r="K138">
        <v>381686152.26090401</v>
      </c>
      <c r="L138">
        <v>284747391.839293</v>
      </c>
      <c r="M138">
        <v>329855460.15117502</v>
      </c>
      <c r="N138">
        <v>341313419.93769598</v>
      </c>
      <c r="O138" t="s">
        <v>58</v>
      </c>
      <c r="P138">
        <v>1</v>
      </c>
      <c r="Q138" t="s">
        <v>1677</v>
      </c>
      <c r="R138">
        <v>0.84373944999999995</v>
      </c>
      <c r="S138">
        <v>0.81</v>
      </c>
      <c r="T138">
        <v>49.72</v>
      </c>
      <c r="U138">
        <v>0.94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0.94</v>
      </c>
      <c r="AI138">
        <v>0</v>
      </c>
      <c r="AJ138">
        <v>0</v>
      </c>
      <c r="AK138">
        <v>80</v>
      </c>
      <c r="AZ138" t="s">
        <v>1920</v>
      </c>
      <c r="BA138" t="s">
        <v>1940</v>
      </c>
      <c r="BB138">
        <v>176</v>
      </c>
      <c r="BC138" t="s">
        <v>1677</v>
      </c>
      <c r="BD138">
        <v>26.96</v>
      </c>
      <c r="BE138">
        <v>22.747215572000002</v>
      </c>
      <c r="BF138">
        <v>34366372782.831787</v>
      </c>
      <c r="BG138">
        <v>137</v>
      </c>
    </row>
    <row r="139" spans="1:59" x14ac:dyDescent="0.25">
      <c r="A139">
        <v>380</v>
      </c>
      <c r="B139" t="s">
        <v>445</v>
      </c>
      <c r="C139" t="s">
        <v>898</v>
      </c>
      <c r="D139" t="s">
        <v>1333</v>
      </c>
      <c r="E139" t="s">
        <v>61</v>
      </c>
      <c r="F139">
        <v>199.9659</v>
      </c>
      <c r="G139">
        <v>312215820</v>
      </c>
      <c r="H139" t="s">
        <v>1438</v>
      </c>
      <c r="I139">
        <v>62432.5</v>
      </c>
      <c r="J139">
        <v>238175164.115565</v>
      </c>
      <c r="K139">
        <v>292362503.45543301</v>
      </c>
      <c r="L139">
        <v>283426488.00367099</v>
      </c>
      <c r="M139">
        <v>328280411.04854101</v>
      </c>
      <c r="N139">
        <v>241439411.43540001</v>
      </c>
      <c r="O139" t="s">
        <v>59</v>
      </c>
      <c r="P139">
        <v>0.65</v>
      </c>
      <c r="Q139" t="s">
        <v>1788</v>
      </c>
      <c r="R139">
        <v>0.84373944999999995</v>
      </c>
      <c r="S139">
        <v>2.34</v>
      </c>
      <c r="T139">
        <v>55.05</v>
      </c>
      <c r="U139">
        <v>0.94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G139" t="s">
        <v>1904</v>
      </c>
      <c r="AH139">
        <v>0.94</v>
      </c>
      <c r="AI139">
        <v>0</v>
      </c>
      <c r="AJ139">
        <v>0</v>
      </c>
      <c r="AK139">
        <v>269</v>
      </c>
      <c r="AZ139" t="s">
        <v>1920</v>
      </c>
      <c r="BA139" t="s">
        <v>1940</v>
      </c>
      <c r="BB139">
        <v>105</v>
      </c>
      <c r="BC139" t="s">
        <v>1788</v>
      </c>
      <c r="BD139">
        <v>225.33</v>
      </c>
      <c r="BE139">
        <v>190.1198102685</v>
      </c>
      <c r="BF139">
        <v>34239905652.806709</v>
      </c>
      <c r="BG139">
        <v>138</v>
      </c>
    </row>
    <row r="140" spans="1:59" x14ac:dyDescent="0.25">
      <c r="A140">
        <v>338</v>
      </c>
      <c r="B140" t="s">
        <v>410</v>
      </c>
      <c r="C140" t="s">
        <v>859</v>
      </c>
      <c r="D140" t="s">
        <v>1298</v>
      </c>
      <c r="E140" t="s">
        <v>61</v>
      </c>
      <c r="F140">
        <v>63.867550000000001</v>
      </c>
      <c r="G140">
        <v>629756000</v>
      </c>
      <c r="H140" t="s">
        <v>1438</v>
      </c>
      <c r="I140">
        <v>40220.97</v>
      </c>
      <c r="J140">
        <v>236555902.09776101</v>
      </c>
      <c r="K140">
        <v>296586027.53917998</v>
      </c>
      <c r="L140">
        <v>258489241.92013699</v>
      </c>
      <c r="M140">
        <v>299152818.50100797</v>
      </c>
      <c r="N140">
        <v>298462026.14697301</v>
      </c>
      <c r="O140" t="s">
        <v>59</v>
      </c>
      <c r="P140">
        <v>1</v>
      </c>
      <c r="Q140" t="s">
        <v>1749</v>
      </c>
      <c r="R140">
        <v>0.84373944999999995</v>
      </c>
      <c r="S140">
        <v>2.79</v>
      </c>
      <c r="T140">
        <v>44.03</v>
      </c>
      <c r="U140">
        <v>0.89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0.89</v>
      </c>
      <c r="AI140">
        <v>0</v>
      </c>
      <c r="AJ140">
        <v>0</v>
      </c>
      <c r="AK140">
        <v>332</v>
      </c>
      <c r="AZ140" t="s">
        <v>1920</v>
      </c>
      <c r="BA140" t="s">
        <v>1940</v>
      </c>
      <c r="BB140">
        <v>229</v>
      </c>
      <c r="BC140" t="s">
        <v>1749</v>
      </c>
      <c r="BD140">
        <v>72.58</v>
      </c>
      <c r="BE140">
        <v>61.238609281000002</v>
      </c>
      <c r="BF140">
        <v>33936021483.75552</v>
      </c>
      <c r="BG140">
        <v>139</v>
      </c>
    </row>
    <row r="141" spans="1:59" x14ac:dyDescent="0.25">
      <c r="A141">
        <v>301</v>
      </c>
      <c r="B141" t="s">
        <v>378</v>
      </c>
      <c r="C141" t="s">
        <v>824</v>
      </c>
      <c r="D141" t="s">
        <v>1266</v>
      </c>
      <c r="E141" t="s">
        <v>61</v>
      </c>
      <c r="F141">
        <v>69.542580000000001</v>
      </c>
      <c r="G141">
        <v>665026060</v>
      </c>
      <c r="H141" t="s">
        <v>1438</v>
      </c>
      <c r="I141">
        <v>46247.63</v>
      </c>
      <c r="J141">
        <v>230356180.87457901</v>
      </c>
      <c r="K141">
        <v>230766836.397782</v>
      </c>
      <c r="L141">
        <v>203034286.39108399</v>
      </c>
      <c r="M141">
        <v>235248491.92297</v>
      </c>
      <c r="N141">
        <v>244561130.80180699</v>
      </c>
      <c r="O141" t="s">
        <v>59</v>
      </c>
      <c r="P141">
        <v>0.85</v>
      </c>
      <c r="Q141" t="s">
        <v>1714</v>
      </c>
      <c r="R141">
        <v>0.84373944999999995</v>
      </c>
      <c r="S141">
        <v>0.43</v>
      </c>
      <c r="T141">
        <v>60.99</v>
      </c>
      <c r="U141">
        <v>0.83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H141">
        <v>0.83</v>
      </c>
      <c r="AI141">
        <v>0</v>
      </c>
      <c r="AJ141">
        <v>0</v>
      </c>
      <c r="AK141">
        <v>20</v>
      </c>
      <c r="AZ141" t="s">
        <v>1920</v>
      </c>
      <c r="BA141" t="s">
        <v>1940</v>
      </c>
      <c r="BB141">
        <v>40</v>
      </c>
      <c r="BC141" t="s">
        <v>1714</v>
      </c>
      <c r="BD141">
        <v>78.73</v>
      </c>
      <c r="BE141">
        <v>66.427606898500002</v>
      </c>
      <c r="BF141">
        <v>33167805966.040421</v>
      </c>
      <c r="BG141">
        <v>140</v>
      </c>
    </row>
    <row r="142" spans="1:59" x14ac:dyDescent="0.25">
      <c r="A142">
        <v>205</v>
      </c>
      <c r="B142" t="s">
        <v>295</v>
      </c>
      <c r="C142" t="s">
        <v>734</v>
      </c>
      <c r="D142" t="s">
        <v>1183</v>
      </c>
      <c r="E142" t="s">
        <v>61</v>
      </c>
      <c r="F142">
        <v>10.01877</v>
      </c>
      <c r="G142">
        <v>3909008300</v>
      </c>
      <c r="H142" t="s">
        <v>1438</v>
      </c>
      <c r="I142">
        <v>39163.47</v>
      </c>
      <c r="J142">
        <v>555907757.44724798</v>
      </c>
      <c r="K142">
        <v>956698250.47549403</v>
      </c>
      <c r="L142">
        <v>772975729.08465099</v>
      </c>
      <c r="M142">
        <v>894984612.99650097</v>
      </c>
      <c r="N142">
        <v>768571163.757918</v>
      </c>
      <c r="O142" t="s">
        <v>59</v>
      </c>
      <c r="P142">
        <v>1</v>
      </c>
      <c r="Q142" t="s">
        <v>1624</v>
      </c>
      <c r="R142">
        <v>0.84373944999999995</v>
      </c>
      <c r="S142">
        <v>0.57999999999999996</v>
      </c>
      <c r="T142">
        <v>54.39</v>
      </c>
      <c r="U142">
        <v>0.92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0.92</v>
      </c>
      <c r="AI142">
        <v>0</v>
      </c>
      <c r="AJ142">
        <v>0</v>
      </c>
      <c r="AK142">
        <v>45</v>
      </c>
      <c r="AZ142" t="s">
        <v>1920</v>
      </c>
      <c r="BA142" t="s">
        <v>1940</v>
      </c>
      <c r="BB142">
        <v>116</v>
      </c>
      <c r="BC142" t="s">
        <v>1624</v>
      </c>
      <c r="BD142">
        <v>11.61</v>
      </c>
      <c r="BE142">
        <v>9.7958150144999987</v>
      </c>
      <c r="BF142">
        <v>33043752054.185001</v>
      </c>
      <c r="BG142">
        <v>141</v>
      </c>
    </row>
    <row r="143" spans="1:59" x14ac:dyDescent="0.25">
      <c r="A143">
        <v>347</v>
      </c>
      <c r="B143" t="s">
        <v>417</v>
      </c>
      <c r="C143" t="s">
        <v>868</v>
      </c>
      <c r="D143" t="s">
        <v>1305</v>
      </c>
      <c r="E143" t="s">
        <v>61</v>
      </c>
      <c r="F143">
        <v>120.1656</v>
      </c>
      <c r="G143">
        <v>360243870</v>
      </c>
      <c r="H143" t="s">
        <v>1439</v>
      </c>
      <c r="I143">
        <v>43288.91</v>
      </c>
      <c r="J143">
        <v>253900470.029176</v>
      </c>
      <c r="K143">
        <v>295029911.87595999</v>
      </c>
      <c r="L143">
        <v>288920136.74623001</v>
      </c>
      <c r="M143">
        <v>335401672.901618</v>
      </c>
      <c r="N143">
        <v>263671318.799337</v>
      </c>
      <c r="O143" t="s">
        <v>58</v>
      </c>
      <c r="P143">
        <v>0.9</v>
      </c>
      <c r="Q143" t="s">
        <v>1758</v>
      </c>
      <c r="R143">
        <v>0.84373944999999995</v>
      </c>
      <c r="S143">
        <v>0.61</v>
      </c>
      <c r="T143">
        <v>56.33</v>
      </c>
      <c r="U143">
        <v>0.67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0.67</v>
      </c>
      <c r="AI143">
        <v>0</v>
      </c>
      <c r="AJ143">
        <v>0</v>
      </c>
      <c r="AK143">
        <v>50</v>
      </c>
      <c r="AZ143" t="s">
        <v>1920</v>
      </c>
      <c r="BA143" t="s">
        <v>1940</v>
      </c>
      <c r="BB143">
        <v>90</v>
      </c>
      <c r="BC143" t="s">
        <v>1758</v>
      </c>
      <c r="BD143">
        <v>131.62</v>
      </c>
      <c r="BE143">
        <v>111.052986409</v>
      </c>
      <c r="BF143">
        <v>32872113192.70932</v>
      </c>
      <c r="BG143">
        <v>142</v>
      </c>
    </row>
    <row r="144" spans="1:59" x14ac:dyDescent="0.25">
      <c r="A144">
        <v>166</v>
      </c>
      <c r="B144" t="s">
        <v>259</v>
      </c>
      <c r="C144" t="s">
        <v>697</v>
      </c>
      <c r="D144" t="s">
        <v>1147</v>
      </c>
      <c r="E144" t="s">
        <v>61</v>
      </c>
      <c r="F144">
        <v>84.673159999999996</v>
      </c>
      <c r="G144">
        <v>457000000</v>
      </c>
      <c r="H144" t="s">
        <v>1439</v>
      </c>
      <c r="I144">
        <v>38695.629999999997</v>
      </c>
      <c r="J144">
        <v>477304550.03125101</v>
      </c>
      <c r="K144">
        <v>394518058.00946498</v>
      </c>
      <c r="L144">
        <v>416759311.25724697</v>
      </c>
      <c r="M144">
        <v>482712200.66798198</v>
      </c>
      <c r="N144">
        <v>333281209.89579701</v>
      </c>
      <c r="O144" t="s">
        <v>58</v>
      </c>
      <c r="P144">
        <v>1</v>
      </c>
      <c r="Q144" t="s">
        <v>1587</v>
      </c>
      <c r="R144">
        <v>0.84373944999999995</v>
      </c>
      <c r="S144">
        <v>1.37</v>
      </c>
      <c r="T144">
        <v>54.15</v>
      </c>
      <c r="U144">
        <v>0.91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0.91</v>
      </c>
      <c r="AI144">
        <v>0</v>
      </c>
      <c r="AJ144">
        <v>0</v>
      </c>
      <c r="AK144">
        <v>146</v>
      </c>
      <c r="AZ144" t="s">
        <v>1920</v>
      </c>
      <c r="BA144" t="s">
        <v>1940</v>
      </c>
      <c r="BB144">
        <v>119</v>
      </c>
      <c r="BC144" t="s">
        <v>1587</v>
      </c>
      <c r="BD144">
        <v>88.85</v>
      </c>
      <c r="BE144">
        <v>74.966250132499994</v>
      </c>
      <c r="BF144">
        <v>32649033049.810032</v>
      </c>
      <c r="BG144">
        <v>143</v>
      </c>
    </row>
    <row r="145" spans="1:59" x14ac:dyDescent="0.25">
      <c r="A145">
        <v>137</v>
      </c>
      <c r="B145" t="s">
        <v>231</v>
      </c>
      <c r="C145" t="s">
        <v>669</v>
      </c>
      <c r="D145" t="s">
        <v>1119</v>
      </c>
      <c r="E145" t="s">
        <v>61</v>
      </c>
      <c r="F145">
        <v>88.573139999999995</v>
      </c>
      <c r="G145">
        <v>435470060</v>
      </c>
      <c r="H145" t="s">
        <v>1438</v>
      </c>
      <c r="I145">
        <v>38570.949999999997</v>
      </c>
      <c r="J145">
        <v>254665129.266743</v>
      </c>
      <c r="K145">
        <v>303081006.97766</v>
      </c>
      <c r="L145">
        <v>277698546.25612497</v>
      </c>
      <c r="M145">
        <v>321948615.77179003</v>
      </c>
      <c r="N145">
        <v>283108935.014139</v>
      </c>
      <c r="O145" t="s">
        <v>59</v>
      </c>
      <c r="P145">
        <v>1</v>
      </c>
      <c r="Q145" t="s">
        <v>1559</v>
      </c>
      <c r="R145">
        <v>0.84373944999999995</v>
      </c>
      <c r="S145">
        <v>2.5299999999999998</v>
      </c>
      <c r="T145">
        <v>47.82</v>
      </c>
      <c r="U145">
        <v>0.85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0.85</v>
      </c>
      <c r="AI145">
        <v>0</v>
      </c>
      <c r="AJ145">
        <v>0</v>
      </c>
      <c r="AK145">
        <v>299</v>
      </c>
      <c r="AZ145" t="s">
        <v>1920</v>
      </c>
      <c r="BA145" t="s">
        <v>1940</v>
      </c>
      <c r="BB145">
        <v>195</v>
      </c>
      <c r="BC145" t="s">
        <v>1559</v>
      </c>
      <c r="BD145">
        <v>93.57</v>
      </c>
      <c r="BE145">
        <v>78.948700336499982</v>
      </c>
      <c r="BF145">
        <v>32543832636.94273</v>
      </c>
      <c r="BG145">
        <v>144</v>
      </c>
    </row>
    <row r="146" spans="1:59" x14ac:dyDescent="0.25">
      <c r="A146">
        <v>427</v>
      </c>
      <c r="B146" t="s">
        <v>487</v>
      </c>
      <c r="C146" t="s">
        <v>941</v>
      </c>
      <c r="D146" t="s">
        <v>1375</v>
      </c>
      <c r="E146" t="s">
        <v>61</v>
      </c>
      <c r="F146">
        <v>84.690219999999997</v>
      </c>
      <c r="G146">
        <v>454365900</v>
      </c>
      <c r="H146" t="s">
        <v>1438</v>
      </c>
      <c r="I146">
        <v>38480.339999999997</v>
      </c>
      <c r="J146">
        <v>745178309.276016</v>
      </c>
      <c r="K146">
        <v>692795372.35887206</v>
      </c>
      <c r="L146">
        <v>561894223.04160202</v>
      </c>
      <c r="M146">
        <v>651486722.64877498</v>
      </c>
      <c r="N146">
        <v>694479354.29501998</v>
      </c>
      <c r="O146" t="s">
        <v>59</v>
      </c>
      <c r="P146">
        <v>1</v>
      </c>
      <c r="Q146" t="s">
        <v>1831</v>
      </c>
      <c r="R146">
        <v>0.84373944999999995</v>
      </c>
      <c r="S146">
        <v>0.57999999999999996</v>
      </c>
      <c r="T146">
        <v>53.73</v>
      </c>
      <c r="U146">
        <v>0.93</v>
      </c>
      <c r="V146" t="s">
        <v>1901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0.93</v>
      </c>
      <c r="AI146">
        <v>0</v>
      </c>
      <c r="AJ146">
        <v>0</v>
      </c>
      <c r="AK146">
        <v>45</v>
      </c>
      <c r="AZ146" t="s">
        <v>1920</v>
      </c>
      <c r="BA146" t="s">
        <v>1940</v>
      </c>
      <c r="BB146">
        <v>125</v>
      </c>
      <c r="BC146" t="s">
        <v>1831</v>
      </c>
      <c r="BD146">
        <v>89.72</v>
      </c>
      <c r="BE146">
        <v>75.700303453999993</v>
      </c>
      <c r="BF146">
        <v>32467387683.904709</v>
      </c>
      <c r="BG146">
        <v>145</v>
      </c>
    </row>
    <row r="147" spans="1:59" x14ac:dyDescent="0.25">
      <c r="A147">
        <v>314</v>
      </c>
      <c r="B147" t="s">
        <v>390</v>
      </c>
      <c r="C147" t="s">
        <v>837</v>
      </c>
      <c r="D147" t="s">
        <v>1278</v>
      </c>
      <c r="E147" t="s">
        <v>61</v>
      </c>
      <c r="F147">
        <v>490.553</v>
      </c>
      <c r="G147">
        <v>77365234</v>
      </c>
      <c r="H147" t="s">
        <v>1438</v>
      </c>
      <c r="I147">
        <v>37951.75</v>
      </c>
      <c r="J147">
        <v>303551288.21270901</v>
      </c>
      <c r="K147">
        <v>303692298.48332798</v>
      </c>
      <c r="L147">
        <v>320421093.01251298</v>
      </c>
      <c r="M147">
        <v>371983665.15001398</v>
      </c>
      <c r="N147">
        <v>283938234.20477402</v>
      </c>
      <c r="O147" t="s">
        <v>59</v>
      </c>
      <c r="P147">
        <v>1</v>
      </c>
      <c r="Q147" t="s">
        <v>1727</v>
      </c>
      <c r="R147">
        <v>0.84373944999999995</v>
      </c>
      <c r="S147">
        <v>0.63</v>
      </c>
      <c r="T147">
        <v>65.08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0.86</v>
      </c>
      <c r="AI147">
        <v>0</v>
      </c>
      <c r="AJ147">
        <v>0</v>
      </c>
      <c r="AK147">
        <v>56</v>
      </c>
      <c r="AZ147" t="s">
        <v>1920</v>
      </c>
      <c r="BA147" t="s">
        <v>1940</v>
      </c>
      <c r="BB147">
        <v>24</v>
      </c>
      <c r="BC147" t="s">
        <v>1727</v>
      </c>
      <c r="BD147">
        <v>567.02</v>
      </c>
      <c r="BE147">
        <v>478.41714293899997</v>
      </c>
      <c r="BF147">
        <v>32021386675.589142</v>
      </c>
      <c r="BG147">
        <v>146</v>
      </c>
    </row>
    <row r="148" spans="1:59" x14ac:dyDescent="0.25">
      <c r="A148">
        <v>264</v>
      </c>
      <c r="B148" t="s">
        <v>346</v>
      </c>
      <c r="C148" t="s">
        <v>790</v>
      </c>
      <c r="D148" t="s">
        <v>1234</v>
      </c>
      <c r="E148" t="s">
        <v>61</v>
      </c>
      <c r="F148">
        <v>113.9188</v>
      </c>
      <c r="G148">
        <v>331779940</v>
      </c>
      <c r="H148" t="s">
        <v>1439</v>
      </c>
      <c r="I148">
        <v>37795.96</v>
      </c>
      <c r="J148">
        <v>265831482.04104301</v>
      </c>
      <c r="K148">
        <v>282405710.84387898</v>
      </c>
      <c r="L148">
        <v>269455073.58852601</v>
      </c>
      <c r="M148">
        <v>311956451.01484001</v>
      </c>
      <c r="N148">
        <v>273856452.24851799</v>
      </c>
      <c r="O148" t="s">
        <v>58</v>
      </c>
      <c r="P148">
        <v>1</v>
      </c>
      <c r="Q148" t="s">
        <v>1680</v>
      </c>
      <c r="R148">
        <v>0.84373944999999995</v>
      </c>
      <c r="S148">
        <v>1.84</v>
      </c>
      <c r="T148">
        <v>54.42</v>
      </c>
      <c r="U148">
        <v>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1</v>
      </c>
      <c r="AI148">
        <v>0</v>
      </c>
      <c r="AJ148">
        <v>0</v>
      </c>
      <c r="AK148">
        <v>202</v>
      </c>
      <c r="AZ148" t="s">
        <v>1920</v>
      </c>
      <c r="BA148" t="s">
        <v>1940</v>
      </c>
      <c r="BB148">
        <v>115</v>
      </c>
      <c r="BC148" t="s">
        <v>1680</v>
      </c>
      <c r="BD148">
        <v>125.04</v>
      </c>
      <c r="BE148">
        <v>105.501180828</v>
      </c>
      <c r="BF148">
        <v>31889953158.09951</v>
      </c>
      <c r="BG148">
        <v>147</v>
      </c>
    </row>
    <row r="149" spans="1:59" x14ac:dyDescent="0.25">
      <c r="A149">
        <v>315</v>
      </c>
      <c r="B149" t="s">
        <v>391</v>
      </c>
      <c r="C149" t="s">
        <v>838</v>
      </c>
      <c r="D149" t="s">
        <v>1279</v>
      </c>
      <c r="E149" t="s">
        <v>61</v>
      </c>
      <c r="F149">
        <v>80.858509999999995</v>
      </c>
      <c r="G149">
        <v>573795200</v>
      </c>
      <c r="H149" t="s">
        <v>1439</v>
      </c>
      <c r="I149">
        <v>46396.23</v>
      </c>
      <c r="J149">
        <v>220785734.913178</v>
      </c>
      <c r="K149">
        <v>252245698.75852901</v>
      </c>
      <c r="L149">
        <v>256448084.052912</v>
      </c>
      <c r="M149">
        <v>297338373.08917999</v>
      </c>
      <c r="N149">
        <v>220973900.42140999</v>
      </c>
      <c r="O149" t="s">
        <v>58</v>
      </c>
      <c r="P149">
        <v>0.8</v>
      </c>
      <c r="Q149" t="s">
        <v>1728</v>
      </c>
      <c r="R149">
        <v>0.84373944999999995</v>
      </c>
      <c r="S149">
        <v>1.53</v>
      </c>
      <c r="T149">
        <v>58.38</v>
      </c>
      <c r="U149">
        <v>0.73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0.73</v>
      </c>
      <c r="AI149">
        <v>0</v>
      </c>
      <c r="AJ149">
        <v>0</v>
      </c>
      <c r="AK149">
        <v>161</v>
      </c>
      <c r="AZ149" t="s">
        <v>1920</v>
      </c>
      <c r="BA149" t="s">
        <v>1940</v>
      </c>
      <c r="BB149">
        <v>65</v>
      </c>
      <c r="BC149" t="s">
        <v>1728</v>
      </c>
      <c r="BD149">
        <v>92.54</v>
      </c>
      <c r="BE149">
        <v>78.079648703000004</v>
      </c>
      <c r="BF149">
        <v>31317060234.939301</v>
      </c>
      <c r="BG149">
        <v>148</v>
      </c>
    </row>
    <row r="150" spans="1:59" x14ac:dyDescent="0.25">
      <c r="A150">
        <v>381</v>
      </c>
      <c r="B150" t="s">
        <v>446</v>
      </c>
      <c r="C150" t="s">
        <v>899</v>
      </c>
      <c r="D150" t="s">
        <v>1334</v>
      </c>
      <c r="E150" t="s">
        <v>61</v>
      </c>
      <c r="F150">
        <v>250.66560000000001</v>
      </c>
      <c r="G150">
        <v>146414840</v>
      </c>
      <c r="H150" t="s">
        <v>1438</v>
      </c>
      <c r="I150">
        <v>36701.17</v>
      </c>
      <c r="J150">
        <v>244254159.134525</v>
      </c>
      <c r="K150">
        <v>217971722.781813</v>
      </c>
      <c r="L150">
        <v>208011918.63328001</v>
      </c>
      <c r="M150">
        <v>241204078.12286901</v>
      </c>
      <c r="N150">
        <v>215931235.32403001</v>
      </c>
      <c r="O150" t="s">
        <v>59</v>
      </c>
      <c r="P150">
        <v>1</v>
      </c>
      <c r="Q150" t="s">
        <v>1789</v>
      </c>
      <c r="R150">
        <v>0.84373944999999995</v>
      </c>
      <c r="S150">
        <v>3</v>
      </c>
      <c r="T150">
        <v>55.05</v>
      </c>
      <c r="U150">
        <v>0.69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0.69</v>
      </c>
      <c r="AI150">
        <v>0</v>
      </c>
      <c r="AJ150">
        <v>0</v>
      </c>
      <c r="AK150">
        <v>352</v>
      </c>
      <c r="AZ150" t="s">
        <v>1920</v>
      </c>
      <c r="BA150" t="s">
        <v>1940</v>
      </c>
      <c r="BB150">
        <v>105</v>
      </c>
      <c r="BC150" t="s">
        <v>1789</v>
      </c>
      <c r="BD150">
        <v>272.60000000000002</v>
      </c>
      <c r="BE150">
        <v>230.00337407000001</v>
      </c>
      <c r="BF150">
        <v>30966219689.366779</v>
      </c>
      <c r="BG150">
        <v>149</v>
      </c>
    </row>
    <row r="151" spans="1:59" x14ac:dyDescent="0.25">
      <c r="A151">
        <v>462</v>
      </c>
      <c r="B151" t="s">
        <v>516</v>
      </c>
      <c r="C151" t="s">
        <v>972</v>
      </c>
      <c r="D151" t="s">
        <v>1404</v>
      </c>
      <c r="E151" t="s">
        <v>61</v>
      </c>
      <c r="F151">
        <v>248.21639999999999</v>
      </c>
      <c r="G151">
        <v>163412280</v>
      </c>
      <c r="H151" t="s">
        <v>1438</v>
      </c>
      <c r="I151">
        <v>40561.61</v>
      </c>
      <c r="J151">
        <v>236099312.87038401</v>
      </c>
      <c r="K151">
        <v>312208535.41206801</v>
      </c>
      <c r="L151">
        <v>343898948.44190198</v>
      </c>
      <c r="M151">
        <v>397528665.78160501</v>
      </c>
      <c r="N151">
        <v>264404197.45527601</v>
      </c>
      <c r="O151" t="s">
        <v>59</v>
      </c>
      <c r="P151">
        <v>0.9</v>
      </c>
      <c r="Q151" t="s">
        <v>1862</v>
      </c>
      <c r="R151">
        <v>0.84373944999999995</v>
      </c>
      <c r="S151">
        <v>1.59</v>
      </c>
      <c r="T151">
        <v>50.18</v>
      </c>
      <c r="U151">
        <v>0.71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0.71</v>
      </c>
      <c r="AI151">
        <v>0</v>
      </c>
      <c r="AJ151">
        <v>0</v>
      </c>
      <c r="AK151">
        <v>168</v>
      </c>
      <c r="AZ151" t="s">
        <v>1920</v>
      </c>
      <c r="BA151" t="s">
        <v>1940</v>
      </c>
      <c r="BB151">
        <v>172</v>
      </c>
      <c r="BC151" t="s">
        <v>1862</v>
      </c>
      <c r="BD151">
        <v>273.88</v>
      </c>
      <c r="BE151">
        <v>231.08336056600001</v>
      </c>
      <c r="BF151">
        <v>30801085834.24044</v>
      </c>
      <c r="BG151">
        <v>150</v>
      </c>
    </row>
    <row r="152" spans="1:59" x14ac:dyDescent="0.25">
      <c r="A152">
        <v>146</v>
      </c>
      <c r="B152" t="s">
        <v>240</v>
      </c>
      <c r="C152" t="s">
        <v>678</v>
      </c>
      <c r="D152" t="s">
        <v>1128</v>
      </c>
      <c r="E152" t="s">
        <v>61</v>
      </c>
      <c r="F152">
        <v>111.9816</v>
      </c>
      <c r="G152">
        <v>323270700</v>
      </c>
      <c r="H152" t="s">
        <v>1439</v>
      </c>
      <c r="I152">
        <v>36200.36</v>
      </c>
      <c r="J152">
        <v>702675005.51241302</v>
      </c>
      <c r="K152">
        <v>655341355.58302796</v>
      </c>
      <c r="L152">
        <v>824016678.39979398</v>
      </c>
      <c r="M152">
        <v>958398022.23944402</v>
      </c>
      <c r="N152">
        <v>602950654.72145605</v>
      </c>
      <c r="O152" t="s">
        <v>58</v>
      </c>
      <c r="P152">
        <v>1</v>
      </c>
      <c r="Q152" t="s">
        <v>1568</v>
      </c>
      <c r="R152">
        <v>0.84373944999999995</v>
      </c>
      <c r="S152">
        <v>1.9</v>
      </c>
      <c r="T152">
        <v>55.91</v>
      </c>
      <c r="U152">
        <v>0.61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0.61</v>
      </c>
      <c r="AI152">
        <v>0</v>
      </c>
      <c r="AJ152">
        <v>0</v>
      </c>
      <c r="AK152">
        <v>213</v>
      </c>
      <c r="AZ152" t="s">
        <v>1920</v>
      </c>
      <c r="BA152" t="s">
        <v>1940</v>
      </c>
      <c r="BB152">
        <v>94</v>
      </c>
      <c r="BC152" t="s">
        <v>1568</v>
      </c>
      <c r="BD152">
        <v>134.59</v>
      </c>
      <c r="BE152">
        <v>113.5588925755</v>
      </c>
      <c r="BF152">
        <v>30543680458.476688</v>
      </c>
      <c r="BG152">
        <v>151</v>
      </c>
    </row>
    <row r="153" spans="1:59" x14ac:dyDescent="0.25">
      <c r="A153">
        <v>260</v>
      </c>
      <c r="B153" t="s">
        <v>342</v>
      </c>
      <c r="C153" t="s">
        <v>786</v>
      </c>
      <c r="D153" t="s">
        <v>1230</v>
      </c>
      <c r="E153" t="s">
        <v>61</v>
      </c>
      <c r="F153">
        <v>18.44171</v>
      </c>
      <c r="G153">
        <v>1919070000</v>
      </c>
      <c r="H153" t="s">
        <v>1438</v>
      </c>
      <c r="I153">
        <v>35390.94</v>
      </c>
      <c r="J153">
        <v>340610990.88009501</v>
      </c>
      <c r="K153">
        <v>365608786.51929802</v>
      </c>
      <c r="L153">
        <v>353147070.32849699</v>
      </c>
      <c r="M153">
        <v>408950940.46548599</v>
      </c>
      <c r="N153">
        <v>332376811.22364599</v>
      </c>
      <c r="O153" t="s">
        <v>59</v>
      </c>
      <c r="P153">
        <v>1</v>
      </c>
      <c r="Q153" t="s">
        <v>1676</v>
      </c>
      <c r="R153">
        <v>0.84373944999999995</v>
      </c>
      <c r="S153">
        <v>2.12</v>
      </c>
      <c r="T153">
        <v>43.3</v>
      </c>
      <c r="U153">
        <v>0.71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0.71</v>
      </c>
      <c r="AI153">
        <v>0</v>
      </c>
      <c r="AJ153">
        <v>0</v>
      </c>
      <c r="AK153">
        <v>241</v>
      </c>
      <c r="AZ153" t="s">
        <v>1920</v>
      </c>
      <c r="BA153" t="s">
        <v>1940</v>
      </c>
      <c r="BB153">
        <v>235</v>
      </c>
      <c r="BC153" t="s">
        <v>1676</v>
      </c>
      <c r="BD153">
        <v>18.13</v>
      </c>
      <c r="BE153">
        <v>15.296996228499999</v>
      </c>
      <c r="BF153">
        <v>29860725846.34745</v>
      </c>
      <c r="BG153">
        <v>152</v>
      </c>
    </row>
    <row r="154" spans="1:59" x14ac:dyDescent="0.25">
      <c r="A154">
        <v>496</v>
      </c>
      <c r="B154" t="s">
        <v>545</v>
      </c>
      <c r="C154" t="s">
        <v>1003</v>
      </c>
      <c r="D154" t="s">
        <v>1433</v>
      </c>
      <c r="E154" t="s">
        <v>61</v>
      </c>
      <c r="F154">
        <v>126.1905</v>
      </c>
      <c r="G154">
        <v>277535700</v>
      </c>
      <c r="H154" t="s">
        <v>1438</v>
      </c>
      <c r="I154">
        <v>35022.36</v>
      </c>
      <c r="J154">
        <v>298713457.98559701</v>
      </c>
      <c r="K154">
        <v>281899006.762945</v>
      </c>
      <c r="L154">
        <v>250771887.697171</v>
      </c>
      <c r="M154">
        <v>290674581.57452899</v>
      </c>
      <c r="N154">
        <v>260971671.488478</v>
      </c>
      <c r="O154" t="s">
        <v>59</v>
      </c>
      <c r="P154">
        <v>1</v>
      </c>
      <c r="Q154" t="s">
        <v>1893</v>
      </c>
      <c r="R154">
        <v>0.84373944999999995</v>
      </c>
      <c r="S154">
        <v>1.22</v>
      </c>
      <c r="T154">
        <v>46.48</v>
      </c>
      <c r="U154">
        <v>0.83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0.83</v>
      </c>
      <c r="AI154">
        <v>0</v>
      </c>
      <c r="AJ154">
        <v>0</v>
      </c>
      <c r="AK154">
        <v>132</v>
      </c>
      <c r="AZ154" t="s">
        <v>1920</v>
      </c>
      <c r="BA154" t="s">
        <v>1940</v>
      </c>
      <c r="BB154">
        <v>207</v>
      </c>
      <c r="BC154" t="s">
        <v>1893</v>
      </c>
      <c r="BD154">
        <v>148.01</v>
      </c>
      <c r="BE154">
        <v>124.88187599450001</v>
      </c>
      <c r="BF154">
        <v>29549754147.53936</v>
      </c>
      <c r="BG154">
        <v>153</v>
      </c>
    </row>
    <row r="155" spans="1:59" x14ac:dyDescent="0.25">
      <c r="A155">
        <v>424</v>
      </c>
      <c r="B155" t="s">
        <v>484</v>
      </c>
      <c r="C155" t="s">
        <v>938</v>
      </c>
      <c r="D155" t="s">
        <v>1372</v>
      </c>
      <c r="E155" t="s">
        <v>61</v>
      </c>
      <c r="F155">
        <v>195.45140000000001</v>
      </c>
      <c r="G155">
        <v>184470210</v>
      </c>
      <c r="H155" t="s">
        <v>1439</v>
      </c>
      <c r="I155">
        <v>36054.97</v>
      </c>
      <c r="J155">
        <v>386137507.63277</v>
      </c>
      <c r="K155">
        <v>409932980.29954302</v>
      </c>
      <c r="L155">
        <v>391519450.362795</v>
      </c>
      <c r="M155">
        <v>453665257.48133701</v>
      </c>
      <c r="N155">
        <v>333073110.21142298</v>
      </c>
      <c r="O155" t="s">
        <v>58</v>
      </c>
      <c r="P155">
        <v>0.95</v>
      </c>
      <c r="Q155" t="s">
        <v>1828</v>
      </c>
      <c r="R155">
        <v>0.84373944999999995</v>
      </c>
      <c r="S155">
        <v>2.23</v>
      </c>
      <c r="T155">
        <v>44.59</v>
      </c>
      <c r="U155">
        <v>0.91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0.91</v>
      </c>
      <c r="AI155">
        <v>0</v>
      </c>
      <c r="AJ155">
        <v>0</v>
      </c>
      <c r="AK155">
        <v>256</v>
      </c>
      <c r="AZ155" t="s">
        <v>1920</v>
      </c>
      <c r="BA155" t="s">
        <v>1940</v>
      </c>
      <c r="BB155">
        <v>222</v>
      </c>
      <c r="BC155" t="s">
        <v>1828</v>
      </c>
      <c r="BD155">
        <v>247.73</v>
      </c>
      <c r="BE155">
        <v>209.01957394850001</v>
      </c>
      <c r="BF155">
        <v>28899943157.64492</v>
      </c>
      <c r="BG155">
        <v>154</v>
      </c>
    </row>
    <row r="156" spans="1:59" x14ac:dyDescent="0.25">
      <c r="A156">
        <v>148</v>
      </c>
      <c r="B156" t="s">
        <v>242</v>
      </c>
      <c r="C156" t="s">
        <v>680</v>
      </c>
      <c r="D156" t="s">
        <v>1130</v>
      </c>
      <c r="E156" t="s">
        <v>61</v>
      </c>
      <c r="F156">
        <v>111.65730000000001</v>
      </c>
      <c r="G156">
        <v>339719020</v>
      </c>
      <c r="H156" t="s">
        <v>1438</v>
      </c>
      <c r="I156">
        <v>37932.1</v>
      </c>
      <c r="J156">
        <v>531385860.148476</v>
      </c>
      <c r="K156">
        <v>631229810.68996596</v>
      </c>
      <c r="L156">
        <v>583368833.88229299</v>
      </c>
      <c r="M156">
        <v>675251935.03496003</v>
      </c>
      <c r="N156">
        <v>812173414.67727995</v>
      </c>
      <c r="O156" t="s">
        <v>59</v>
      </c>
      <c r="P156">
        <v>0.9</v>
      </c>
      <c r="Q156" t="s">
        <v>1570</v>
      </c>
      <c r="R156">
        <v>0.84373944999999995</v>
      </c>
      <c r="S156">
        <v>1.27</v>
      </c>
      <c r="T156">
        <v>66.989999999999995</v>
      </c>
      <c r="U156">
        <v>0.94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0.94</v>
      </c>
      <c r="AI156">
        <v>0</v>
      </c>
      <c r="AJ156">
        <v>0</v>
      </c>
      <c r="AK156">
        <v>137</v>
      </c>
      <c r="AZ156" t="s">
        <v>1920</v>
      </c>
      <c r="BA156" t="s">
        <v>1940</v>
      </c>
      <c r="BB156">
        <v>14</v>
      </c>
      <c r="BC156" t="s">
        <v>1570</v>
      </c>
      <c r="BD156">
        <v>127.68</v>
      </c>
      <c r="BE156">
        <v>107.72865297600001</v>
      </c>
      <c r="BF156">
        <v>28804334751.00005</v>
      </c>
      <c r="BG156">
        <v>155</v>
      </c>
    </row>
    <row r="157" spans="1:59" x14ac:dyDescent="0.25">
      <c r="A157">
        <v>365</v>
      </c>
      <c r="B157" t="s">
        <v>431</v>
      </c>
      <c r="C157" t="s">
        <v>884</v>
      </c>
      <c r="D157" t="s">
        <v>1319</v>
      </c>
      <c r="E157" t="s">
        <v>61</v>
      </c>
      <c r="F157">
        <v>93.778800000000004</v>
      </c>
      <c r="G157">
        <v>352000000</v>
      </c>
      <c r="H157" t="s">
        <v>1438</v>
      </c>
      <c r="I157">
        <v>33010.14</v>
      </c>
      <c r="J157">
        <v>147676348.27003399</v>
      </c>
      <c r="K157">
        <v>167682693.10082501</v>
      </c>
      <c r="L157">
        <v>148720808.02306601</v>
      </c>
      <c r="M157">
        <v>172199783.77565399</v>
      </c>
      <c r="N157">
        <v>169585287.72126299</v>
      </c>
      <c r="O157" t="s">
        <v>59</v>
      </c>
      <c r="P157">
        <v>1</v>
      </c>
      <c r="Q157" t="s">
        <v>1774</v>
      </c>
      <c r="R157">
        <v>0.84373944999999995</v>
      </c>
      <c r="S157">
        <v>1.96</v>
      </c>
      <c r="T157">
        <v>51.14</v>
      </c>
      <c r="U157">
        <v>0.97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0.97</v>
      </c>
      <c r="AI157">
        <v>0</v>
      </c>
      <c r="AJ157">
        <v>0</v>
      </c>
      <c r="AK157">
        <v>221</v>
      </c>
      <c r="AZ157" t="s">
        <v>1920</v>
      </c>
      <c r="BA157" t="s">
        <v>1940</v>
      </c>
      <c r="BB157">
        <v>163</v>
      </c>
      <c r="BC157" t="s">
        <v>1774</v>
      </c>
      <c r="BD157">
        <v>102.15</v>
      </c>
      <c r="BE157">
        <v>86.187984817499995</v>
      </c>
      <c r="BF157">
        <v>27851955343.048321</v>
      </c>
      <c r="BG157">
        <v>156</v>
      </c>
    </row>
    <row r="158" spans="1:59" x14ac:dyDescent="0.25">
      <c r="A158">
        <v>130</v>
      </c>
      <c r="B158" t="s">
        <v>224</v>
      </c>
      <c r="C158" t="s">
        <v>662</v>
      </c>
      <c r="D158" t="s">
        <v>1112</v>
      </c>
      <c r="E158" t="s">
        <v>61</v>
      </c>
      <c r="F158">
        <v>77.846050000000005</v>
      </c>
      <c r="G158">
        <v>423650360</v>
      </c>
      <c r="H158" t="s">
        <v>1439</v>
      </c>
      <c r="I158">
        <v>32979.51</v>
      </c>
      <c r="J158">
        <v>229321252.17330301</v>
      </c>
      <c r="K158">
        <v>235736746.45502999</v>
      </c>
      <c r="L158">
        <v>214773726.59168199</v>
      </c>
      <c r="M158">
        <v>249092447.34149399</v>
      </c>
      <c r="N158">
        <v>211920368.09162501</v>
      </c>
      <c r="O158" t="s">
        <v>58</v>
      </c>
      <c r="P158">
        <v>1</v>
      </c>
      <c r="Q158" t="s">
        <v>1552</v>
      </c>
      <c r="R158">
        <v>0.84373944999999995</v>
      </c>
      <c r="S158">
        <v>1.63</v>
      </c>
      <c r="T158">
        <v>53.92</v>
      </c>
      <c r="U158">
        <v>0.86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0.86</v>
      </c>
      <c r="AI158">
        <v>0</v>
      </c>
      <c r="AJ158">
        <v>0</v>
      </c>
      <c r="AK158">
        <v>172</v>
      </c>
      <c r="AZ158" t="s">
        <v>1920</v>
      </c>
      <c r="BA158" t="s">
        <v>1940</v>
      </c>
      <c r="BB158">
        <v>121</v>
      </c>
      <c r="BC158" t="s">
        <v>1552</v>
      </c>
      <c r="BD158">
        <v>88.13</v>
      </c>
      <c r="BE158">
        <v>74.358757728499995</v>
      </c>
      <c r="BF158">
        <v>27826111187.797081</v>
      </c>
      <c r="BG158">
        <v>157</v>
      </c>
    </row>
    <row r="159" spans="1:59" x14ac:dyDescent="0.25">
      <c r="A159">
        <v>466</v>
      </c>
      <c r="B159" t="s">
        <v>520</v>
      </c>
      <c r="C159" t="s">
        <v>976</v>
      </c>
      <c r="D159" t="s">
        <v>1408</v>
      </c>
      <c r="E159" t="s">
        <v>61</v>
      </c>
      <c r="F159">
        <v>231.3193</v>
      </c>
      <c r="G159">
        <v>139714970</v>
      </c>
      <c r="H159" t="s">
        <v>1439</v>
      </c>
      <c r="I159">
        <v>32318.78</v>
      </c>
      <c r="J159">
        <v>262190873.22873601</v>
      </c>
      <c r="K159">
        <v>251334037.95064399</v>
      </c>
      <c r="L159">
        <v>249424607.56179199</v>
      </c>
      <c r="M159">
        <v>289197980.20839202</v>
      </c>
      <c r="N159">
        <v>214302164.443984</v>
      </c>
      <c r="O159" t="s">
        <v>58</v>
      </c>
      <c r="P159">
        <v>1</v>
      </c>
      <c r="Q159" t="s">
        <v>1866</v>
      </c>
      <c r="R159">
        <v>0.84373944999999995</v>
      </c>
      <c r="S159">
        <v>1.95</v>
      </c>
      <c r="T159">
        <v>54.71</v>
      </c>
      <c r="U159">
        <v>0.89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0.89</v>
      </c>
      <c r="AI159">
        <v>0</v>
      </c>
      <c r="AJ159">
        <v>0</v>
      </c>
      <c r="AK159">
        <v>219</v>
      </c>
      <c r="AZ159" t="s">
        <v>1920</v>
      </c>
      <c r="BA159" t="s">
        <v>1940</v>
      </c>
      <c r="BB159">
        <v>112</v>
      </c>
      <c r="BC159" t="s">
        <v>1866</v>
      </c>
      <c r="BD159">
        <v>251.83</v>
      </c>
      <c r="BE159">
        <v>212.4789056935</v>
      </c>
      <c r="BF159">
        <v>27268620431.294762</v>
      </c>
      <c r="BG159">
        <v>158</v>
      </c>
    </row>
    <row r="160" spans="1:59" x14ac:dyDescent="0.25">
      <c r="A160">
        <v>226</v>
      </c>
      <c r="B160" t="s">
        <v>313</v>
      </c>
      <c r="C160" t="s">
        <v>753</v>
      </c>
      <c r="D160" t="s">
        <v>1201</v>
      </c>
      <c r="E160" t="s">
        <v>61</v>
      </c>
      <c r="F160">
        <v>114.3711</v>
      </c>
      <c r="G160">
        <v>281171660</v>
      </c>
      <c r="H160" t="s">
        <v>1438</v>
      </c>
      <c r="I160">
        <v>32157.9</v>
      </c>
      <c r="J160">
        <v>147871981.85109001</v>
      </c>
      <c r="K160">
        <v>179053462.661587</v>
      </c>
      <c r="L160">
        <v>170904868.88745701</v>
      </c>
      <c r="M160">
        <v>197965875.13196301</v>
      </c>
      <c r="N160">
        <v>173428008.40758201</v>
      </c>
      <c r="O160" t="s">
        <v>59</v>
      </c>
      <c r="P160">
        <v>1</v>
      </c>
      <c r="Q160" t="s">
        <v>1643</v>
      </c>
      <c r="R160">
        <v>0.84373944999999995</v>
      </c>
      <c r="S160">
        <v>0.9</v>
      </c>
      <c r="T160">
        <v>52.55</v>
      </c>
      <c r="U160">
        <v>0.9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</v>
      </c>
      <c r="AI160">
        <v>0</v>
      </c>
      <c r="AJ160">
        <v>0</v>
      </c>
      <c r="AK160">
        <v>98</v>
      </c>
      <c r="AZ160" t="s">
        <v>1920</v>
      </c>
      <c r="BA160" t="s">
        <v>1940</v>
      </c>
      <c r="BB160">
        <v>144</v>
      </c>
      <c r="BC160" t="s">
        <v>1643</v>
      </c>
      <c r="BD160">
        <v>129.65</v>
      </c>
      <c r="BE160">
        <v>109.3908196925</v>
      </c>
      <c r="BF160">
        <v>27132899020.331131</v>
      </c>
      <c r="BG160">
        <v>159</v>
      </c>
    </row>
    <row r="161" spans="1:59" x14ac:dyDescent="0.25">
      <c r="A161">
        <v>197</v>
      </c>
      <c r="B161" t="s">
        <v>287</v>
      </c>
      <c r="C161" t="s">
        <v>726</v>
      </c>
      <c r="D161" t="s">
        <v>1175</v>
      </c>
      <c r="E161" t="s">
        <v>61</v>
      </c>
      <c r="F161">
        <v>61.23912</v>
      </c>
      <c r="G161">
        <v>522378600</v>
      </c>
      <c r="H161" t="s">
        <v>1438</v>
      </c>
      <c r="I161">
        <v>31990.01</v>
      </c>
      <c r="J161">
        <v>275603711.76397198</v>
      </c>
      <c r="K161">
        <v>243971125.20766899</v>
      </c>
      <c r="L161">
        <v>207790465.59890699</v>
      </c>
      <c r="M161">
        <v>240766715.288176</v>
      </c>
      <c r="N161">
        <v>244910450.21966699</v>
      </c>
      <c r="O161" t="s">
        <v>59</v>
      </c>
      <c r="P161">
        <v>1</v>
      </c>
      <c r="Q161" t="s">
        <v>1616</v>
      </c>
      <c r="R161">
        <v>0.84373944999999995</v>
      </c>
      <c r="S161">
        <v>1.62</v>
      </c>
      <c r="T161">
        <v>49.21</v>
      </c>
      <c r="U161">
        <v>0.89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0.89</v>
      </c>
      <c r="AI161">
        <v>0</v>
      </c>
      <c r="AJ161">
        <v>0</v>
      </c>
      <c r="AK161">
        <v>171</v>
      </c>
      <c r="AZ161" t="s">
        <v>1920</v>
      </c>
      <c r="BA161" t="s">
        <v>1940</v>
      </c>
      <c r="BB161">
        <v>182</v>
      </c>
      <c r="BC161" t="s">
        <v>1616</v>
      </c>
      <c r="BD161">
        <v>66.44</v>
      </c>
      <c r="BE161">
        <v>56.058049057999987</v>
      </c>
      <c r="BF161">
        <v>26991229874.578621</v>
      </c>
      <c r="BG161">
        <v>160</v>
      </c>
    </row>
    <row r="162" spans="1:59" x14ac:dyDescent="0.25">
      <c r="A162">
        <v>470</v>
      </c>
      <c r="B162" t="s">
        <v>524</v>
      </c>
      <c r="C162" t="s">
        <v>980</v>
      </c>
      <c r="D162" t="s">
        <v>1412</v>
      </c>
      <c r="E162" t="s">
        <v>61</v>
      </c>
      <c r="F162">
        <v>28.503160000000001</v>
      </c>
      <c r="G162">
        <v>1066369800</v>
      </c>
      <c r="H162" t="s">
        <v>1438</v>
      </c>
      <c r="I162">
        <v>30394.91</v>
      </c>
      <c r="J162">
        <v>216714468.957739</v>
      </c>
      <c r="K162">
        <v>200454807.858408</v>
      </c>
      <c r="L162">
        <v>178741696.091198</v>
      </c>
      <c r="M162">
        <v>207267349.64262301</v>
      </c>
      <c r="N162">
        <v>177143730.76030299</v>
      </c>
      <c r="O162" t="s">
        <v>59</v>
      </c>
      <c r="P162">
        <v>1</v>
      </c>
      <c r="Q162" t="s">
        <v>1870</v>
      </c>
      <c r="R162">
        <v>0.84373944999999995</v>
      </c>
      <c r="S162">
        <v>2.68</v>
      </c>
      <c r="T162">
        <v>46.38</v>
      </c>
      <c r="U162">
        <v>0.66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0.66</v>
      </c>
      <c r="AI162">
        <v>0</v>
      </c>
      <c r="AJ162">
        <v>0</v>
      </c>
      <c r="AK162">
        <v>322</v>
      </c>
      <c r="AZ162" t="s">
        <v>1920</v>
      </c>
      <c r="BA162" t="s">
        <v>1940</v>
      </c>
      <c r="BB162">
        <v>208</v>
      </c>
      <c r="BC162" t="s">
        <v>1870</v>
      </c>
      <c r="BD162">
        <v>32.64</v>
      </c>
      <c r="BE162">
        <v>27.539655648</v>
      </c>
      <c r="BF162">
        <v>25645383826.563999</v>
      </c>
      <c r="BG162">
        <v>161</v>
      </c>
    </row>
    <row r="163" spans="1:59" x14ac:dyDescent="0.25">
      <c r="A163">
        <v>82</v>
      </c>
      <c r="B163" t="s">
        <v>183</v>
      </c>
      <c r="C163" t="s">
        <v>619</v>
      </c>
      <c r="D163" t="s">
        <v>1071</v>
      </c>
      <c r="E163" t="s">
        <v>61</v>
      </c>
      <c r="F163">
        <v>126.38679999999999</v>
      </c>
      <c r="G163">
        <v>238793640</v>
      </c>
      <c r="H163" t="s">
        <v>1438</v>
      </c>
      <c r="I163">
        <v>30180.36</v>
      </c>
      <c r="J163">
        <v>371583307.87927902</v>
      </c>
      <c r="K163">
        <v>315454995.988922</v>
      </c>
      <c r="L163">
        <v>304918189.21864301</v>
      </c>
      <c r="M163">
        <v>353724222.700109</v>
      </c>
      <c r="N163">
        <v>276954220.56692898</v>
      </c>
      <c r="O163" t="s">
        <v>59</v>
      </c>
      <c r="P163">
        <v>1</v>
      </c>
      <c r="Q163" t="s">
        <v>1509</v>
      </c>
      <c r="R163">
        <v>0.84373944999999995</v>
      </c>
      <c r="S163">
        <v>2.23</v>
      </c>
      <c r="T163">
        <v>58.54</v>
      </c>
      <c r="U163">
        <v>0.97</v>
      </c>
      <c r="V163" t="s">
        <v>1901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0.97</v>
      </c>
      <c r="AI163">
        <v>0</v>
      </c>
      <c r="AJ163">
        <v>0</v>
      </c>
      <c r="AK163">
        <v>256</v>
      </c>
      <c r="AZ163" t="s">
        <v>1920</v>
      </c>
      <c r="BA163" t="s">
        <v>1940</v>
      </c>
      <c r="BB163">
        <v>63</v>
      </c>
      <c r="BC163" t="s">
        <v>1509</v>
      </c>
      <c r="BD163">
        <v>148.37</v>
      </c>
      <c r="BE163">
        <v>125.18562219650001</v>
      </c>
      <c r="BF163">
        <v>25464363738.994091</v>
      </c>
      <c r="BG163">
        <v>162</v>
      </c>
    </row>
    <row r="164" spans="1:59" x14ac:dyDescent="0.25">
      <c r="A164">
        <v>115</v>
      </c>
      <c r="B164" t="s">
        <v>210</v>
      </c>
      <c r="C164" t="s">
        <v>648</v>
      </c>
      <c r="D164" t="s">
        <v>1098</v>
      </c>
      <c r="E164" t="s">
        <v>61</v>
      </c>
      <c r="F164">
        <v>61.759689999999999</v>
      </c>
      <c r="G164">
        <v>488395940</v>
      </c>
      <c r="H164" t="s">
        <v>1439</v>
      </c>
      <c r="I164">
        <v>30163.18</v>
      </c>
      <c r="J164">
        <v>248878083.86301199</v>
      </c>
      <c r="K164">
        <v>270360057.87363797</v>
      </c>
      <c r="L164">
        <v>244959727.08689299</v>
      </c>
      <c r="M164">
        <v>283653899.21237397</v>
      </c>
      <c r="N164">
        <v>251393455.854258</v>
      </c>
      <c r="O164" t="s">
        <v>58</v>
      </c>
      <c r="P164">
        <v>1</v>
      </c>
      <c r="Q164" t="s">
        <v>1538</v>
      </c>
      <c r="R164">
        <v>0.84373944999999995</v>
      </c>
      <c r="S164">
        <v>0.96</v>
      </c>
      <c r="T164">
        <v>66.89</v>
      </c>
      <c r="U164">
        <v>0.96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0.96</v>
      </c>
      <c r="AI164">
        <v>0</v>
      </c>
      <c r="AJ164">
        <v>0</v>
      </c>
      <c r="AK164">
        <v>103</v>
      </c>
      <c r="AZ164" t="s">
        <v>1920</v>
      </c>
      <c r="BA164" t="s">
        <v>1940</v>
      </c>
      <c r="BB164">
        <v>15</v>
      </c>
      <c r="BC164" t="s">
        <v>1538</v>
      </c>
      <c r="BD164">
        <v>69.17</v>
      </c>
      <c r="BE164">
        <v>58.361457756499988</v>
      </c>
      <c r="BF164">
        <v>25449866465.76841</v>
      </c>
      <c r="BG164">
        <v>163</v>
      </c>
    </row>
    <row r="165" spans="1:59" x14ac:dyDescent="0.25">
      <c r="A165">
        <v>495</v>
      </c>
      <c r="B165" t="s">
        <v>544</v>
      </c>
      <c r="C165" t="s">
        <v>1002</v>
      </c>
      <c r="D165" t="s">
        <v>1432</v>
      </c>
      <c r="E165" t="s">
        <v>61</v>
      </c>
      <c r="F165">
        <v>122.666</v>
      </c>
      <c r="G165">
        <v>243409680</v>
      </c>
      <c r="H165" t="s">
        <v>1438</v>
      </c>
      <c r="I165">
        <v>29858.09</v>
      </c>
      <c r="J165">
        <v>129982865.042513</v>
      </c>
      <c r="K165">
        <v>166125226.369652</v>
      </c>
      <c r="L165">
        <v>136556979.36285201</v>
      </c>
      <c r="M165">
        <v>158176120.17047101</v>
      </c>
      <c r="N165">
        <v>160012612.57591099</v>
      </c>
      <c r="O165" t="s">
        <v>59</v>
      </c>
      <c r="P165">
        <v>1</v>
      </c>
      <c r="Q165" t="s">
        <v>1892</v>
      </c>
      <c r="R165">
        <v>0.84373944999999995</v>
      </c>
      <c r="S165">
        <v>1.2</v>
      </c>
      <c r="T165">
        <v>55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G165" t="s">
        <v>1904</v>
      </c>
      <c r="AH165">
        <v>0.93</v>
      </c>
      <c r="AI165">
        <v>0</v>
      </c>
      <c r="AJ165">
        <v>0</v>
      </c>
      <c r="AK165">
        <v>126</v>
      </c>
      <c r="AZ165" t="s">
        <v>1920</v>
      </c>
      <c r="BA165" t="s">
        <v>1940</v>
      </c>
      <c r="BB165">
        <v>107</v>
      </c>
      <c r="BC165" t="s">
        <v>1892</v>
      </c>
      <c r="BD165">
        <v>140.72</v>
      </c>
      <c r="BE165">
        <v>118.731015404</v>
      </c>
      <c r="BF165">
        <v>25192449959.18644</v>
      </c>
      <c r="BG165">
        <v>164</v>
      </c>
    </row>
    <row r="166" spans="1:59" x14ac:dyDescent="0.25">
      <c r="A166">
        <v>39</v>
      </c>
      <c r="B166" t="s">
        <v>152</v>
      </c>
      <c r="C166" t="s">
        <v>586</v>
      </c>
      <c r="D166" t="s">
        <v>1040</v>
      </c>
      <c r="E166" t="s">
        <v>61</v>
      </c>
      <c r="F166">
        <v>79.714969999999994</v>
      </c>
      <c r="G166">
        <v>373220300</v>
      </c>
      <c r="H166" t="s">
        <v>1439</v>
      </c>
      <c r="I166">
        <v>29751.24</v>
      </c>
      <c r="J166">
        <v>153193377.37661901</v>
      </c>
      <c r="K166">
        <v>154303505.573861</v>
      </c>
      <c r="L166">
        <v>168975029.08680099</v>
      </c>
      <c r="M166">
        <v>196146159.973104</v>
      </c>
      <c r="N166">
        <v>163357964.58525601</v>
      </c>
      <c r="O166" t="s">
        <v>58</v>
      </c>
      <c r="P166">
        <v>1</v>
      </c>
      <c r="Q166" t="s">
        <v>1476</v>
      </c>
      <c r="R166">
        <v>0.84373944999999995</v>
      </c>
      <c r="S166">
        <v>3</v>
      </c>
      <c r="T166">
        <v>49.52</v>
      </c>
      <c r="U166">
        <v>0.66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0.66</v>
      </c>
      <c r="AI166">
        <v>0</v>
      </c>
      <c r="AJ166">
        <v>0</v>
      </c>
      <c r="AK166">
        <v>352</v>
      </c>
      <c r="AZ166" t="s">
        <v>1920</v>
      </c>
      <c r="BA166" t="s">
        <v>1940</v>
      </c>
      <c r="BB166">
        <v>179</v>
      </c>
      <c r="BC166" t="s">
        <v>1476</v>
      </c>
      <c r="BD166">
        <v>87.38</v>
      </c>
      <c r="BE166">
        <v>73.725953140999991</v>
      </c>
      <c r="BF166">
        <v>25102299108.21059</v>
      </c>
      <c r="BG166">
        <v>165</v>
      </c>
    </row>
    <row r="167" spans="1:59" x14ac:dyDescent="0.25">
      <c r="A167">
        <v>341</v>
      </c>
      <c r="B167" t="s">
        <v>412</v>
      </c>
      <c r="C167" t="s">
        <v>862</v>
      </c>
      <c r="D167" t="s">
        <v>1300</v>
      </c>
      <c r="E167" t="s">
        <v>61</v>
      </c>
      <c r="F167">
        <v>75.593109999999996</v>
      </c>
      <c r="G167">
        <v>392475220</v>
      </c>
      <c r="H167" t="s">
        <v>1438</v>
      </c>
      <c r="I167">
        <v>29668.42</v>
      </c>
      <c r="J167">
        <v>311275609.96672702</v>
      </c>
      <c r="K167">
        <v>254096127.38365999</v>
      </c>
      <c r="L167">
        <v>239444589.326094</v>
      </c>
      <c r="M167">
        <v>277919771.21692997</v>
      </c>
      <c r="N167">
        <v>219533288.39143899</v>
      </c>
      <c r="O167" t="s">
        <v>59</v>
      </c>
      <c r="P167">
        <v>1</v>
      </c>
      <c r="Q167" t="s">
        <v>1752</v>
      </c>
      <c r="R167">
        <v>0.84373944999999995</v>
      </c>
      <c r="S167">
        <v>2.41</v>
      </c>
      <c r="T167">
        <v>56.81</v>
      </c>
      <c r="U167">
        <v>0.92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0.92</v>
      </c>
      <c r="AI167">
        <v>0</v>
      </c>
      <c r="AJ167">
        <v>0</v>
      </c>
      <c r="AK167">
        <v>283</v>
      </c>
      <c r="AZ167" t="s">
        <v>1920</v>
      </c>
      <c r="BA167" t="s">
        <v>1940</v>
      </c>
      <c r="BB167">
        <v>87</v>
      </c>
      <c r="BC167" t="s">
        <v>1752</v>
      </c>
      <c r="BD167">
        <v>89.21</v>
      </c>
      <c r="BE167">
        <v>75.269996334499993</v>
      </c>
      <c r="BF167">
        <v>25032418463.731091</v>
      </c>
      <c r="BG167">
        <v>166</v>
      </c>
    </row>
    <row r="168" spans="1:59" x14ac:dyDescent="0.25">
      <c r="A168">
        <v>10</v>
      </c>
      <c r="B168" t="s">
        <v>128</v>
      </c>
      <c r="C168" t="s">
        <v>559</v>
      </c>
      <c r="D168" t="s">
        <v>1016</v>
      </c>
      <c r="E168" t="s">
        <v>61</v>
      </c>
      <c r="F168">
        <v>103.7976</v>
      </c>
      <c r="G168">
        <v>284064730</v>
      </c>
      <c r="H168" t="s">
        <v>1438</v>
      </c>
      <c r="I168">
        <v>29485.23</v>
      </c>
      <c r="J168">
        <v>113358493.199627</v>
      </c>
      <c r="K168">
        <v>207713353.23748901</v>
      </c>
      <c r="L168">
        <v>179717054.30937901</v>
      </c>
      <c r="M168">
        <v>207900794.32647699</v>
      </c>
      <c r="N168">
        <v>210687609.89215499</v>
      </c>
      <c r="O168" t="s">
        <v>59</v>
      </c>
      <c r="P168">
        <v>1</v>
      </c>
      <c r="Q168" t="s">
        <v>1449</v>
      </c>
      <c r="R168">
        <v>0.84373944999999995</v>
      </c>
      <c r="S168">
        <v>0.57999999999999996</v>
      </c>
      <c r="T168">
        <v>54.94</v>
      </c>
      <c r="U168">
        <v>0.98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H168">
        <v>0.98</v>
      </c>
      <c r="AI168">
        <v>0</v>
      </c>
      <c r="AJ168">
        <v>0</v>
      </c>
      <c r="AK168">
        <v>45</v>
      </c>
      <c r="AZ168" t="s">
        <v>1920</v>
      </c>
      <c r="BA168" t="s">
        <v>1940</v>
      </c>
      <c r="BB168">
        <v>108</v>
      </c>
      <c r="BC168" t="s">
        <v>1449</v>
      </c>
      <c r="BD168">
        <v>127.19</v>
      </c>
      <c r="BE168">
        <v>107.31522064550001</v>
      </c>
      <c r="BF168">
        <v>24877857833.98159</v>
      </c>
      <c r="BG168">
        <v>167</v>
      </c>
    </row>
    <row r="169" spans="1:59" x14ac:dyDescent="0.25">
      <c r="A169">
        <v>213</v>
      </c>
      <c r="B169" t="s">
        <v>300</v>
      </c>
      <c r="C169" t="s">
        <v>740</v>
      </c>
      <c r="D169" t="s">
        <v>1188</v>
      </c>
      <c r="E169" t="s">
        <v>61</v>
      </c>
      <c r="F169">
        <v>64.191839999999999</v>
      </c>
      <c r="G169">
        <v>456562040</v>
      </c>
      <c r="H169" t="s">
        <v>1439</v>
      </c>
      <c r="I169">
        <v>29307.56</v>
      </c>
      <c r="J169">
        <v>202828675.43279701</v>
      </c>
      <c r="K169">
        <v>279382727.74312001</v>
      </c>
      <c r="L169">
        <v>234611520.672593</v>
      </c>
      <c r="M169">
        <v>271853249.01017702</v>
      </c>
      <c r="N169">
        <v>262838257.28489801</v>
      </c>
      <c r="O169" t="s">
        <v>58</v>
      </c>
      <c r="P169">
        <v>1</v>
      </c>
      <c r="Q169" t="s">
        <v>1630</v>
      </c>
      <c r="R169">
        <v>0.84373944999999995</v>
      </c>
      <c r="S169">
        <v>0.85</v>
      </c>
      <c r="T169">
        <v>60.69</v>
      </c>
      <c r="U169">
        <v>0.91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0.91</v>
      </c>
      <c r="AI169">
        <v>0</v>
      </c>
      <c r="AJ169">
        <v>0</v>
      </c>
      <c r="AK169">
        <v>88</v>
      </c>
      <c r="AZ169" t="s">
        <v>1920</v>
      </c>
      <c r="BA169" t="s">
        <v>1940</v>
      </c>
      <c r="BB169">
        <v>44</v>
      </c>
      <c r="BC169" t="s">
        <v>1630</v>
      </c>
      <c r="BD169">
        <v>77.48</v>
      </c>
      <c r="BE169">
        <v>65.372932586000005</v>
      </c>
      <c r="BF169">
        <v>24727942379.873798</v>
      </c>
      <c r="BG169">
        <v>168</v>
      </c>
    </row>
    <row r="170" spans="1:59" x14ac:dyDescent="0.25">
      <c r="A170">
        <v>192</v>
      </c>
      <c r="B170" t="s">
        <v>283</v>
      </c>
      <c r="C170" t="s">
        <v>722</v>
      </c>
      <c r="D170" t="s">
        <v>1171</v>
      </c>
      <c r="E170" t="s">
        <v>61</v>
      </c>
      <c r="F170">
        <v>1208.3119999999999</v>
      </c>
      <c r="G170">
        <v>24003656</v>
      </c>
      <c r="H170" t="s">
        <v>1438</v>
      </c>
      <c r="I170">
        <v>29003.91</v>
      </c>
      <c r="J170">
        <v>383967966.51447898</v>
      </c>
      <c r="K170">
        <v>418447757.24876499</v>
      </c>
      <c r="L170">
        <v>475133746.05885202</v>
      </c>
      <c r="M170">
        <v>549976505.952456</v>
      </c>
      <c r="N170">
        <v>367995507.11263698</v>
      </c>
      <c r="O170" t="s">
        <v>59</v>
      </c>
      <c r="P170">
        <v>1</v>
      </c>
      <c r="Q170" t="s">
        <v>1612</v>
      </c>
      <c r="R170">
        <v>0.84373944999999995</v>
      </c>
      <c r="S170">
        <v>2.34</v>
      </c>
      <c r="T170">
        <v>52</v>
      </c>
      <c r="U170" t="s">
        <v>1899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I170">
        <v>0</v>
      </c>
      <c r="AJ170">
        <v>0</v>
      </c>
      <c r="AK170">
        <v>269</v>
      </c>
      <c r="AZ170" t="s">
        <v>1920</v>
      </c>
      <c r="BA170" t="s">
        <v>1940</v>
      </c>
      <c r="BB170">
        <v>152</v>
      </c>
      <c r="BC170" t="s">
        <v>1612</v>
      </c>
      <c r="BD170">
        <v>1553.54</v>
      </c>
      <c r="BE170">
        <v>1310.782985153</v>
      </c>
      <c r="BF170">
        <v>24471739349.238041</v>
      </c>
      <c r="BG170">
        <v>169</v>
      </c>
    </row>
    <row r="171" spans="1:59" x14ac:dyDescent="0.25">
      <c r="A171">
        <v>329</v>
      </c>
      <c r="B171" t="s">
        <v>403</v>
      </c>
      <c r="C171" t="s">
        <v>851</v>
      </c>
      <c r="D171" t="s">
        <v>1291</v>
      </c>
      <c r="E171" t="s">
        <v>61</v>
      </c>
      <c r="F171">
        <v>126.24169999999999</v>
      </c>
      <c r="G171">
        <v>229535450</v>
      </c>
      <c r="H171" t="s">
        <v>1438</v>
      </c>
      <c r="I171">
        <v>28976.94</v>
      </c>
      <c r="J171">
        <v>151869313.09103501</v>
      </c>
      <c r="K171">
        <v>259937823.963009</v>
      </c>
      <c r="L171">
        <v>238267182.54615301</v>
      </c>
      <c r="M171">
        <v>275599391.92545098</v>
      </c>
      <c r="N171">
        <v>271524031.90000403</v>
      </c>
      <c r="O171" t="s">
        <v>59</v>
      </c>
      <c r="P171">
        <v>1</v>
      </c>
      <c r="Q171" t="s">
        <v>1741</v>
      </c>
      <c r="R171">
        <v>0.84373944999999995</v>
      </c>
      <c r="S171">
        <v>2.63</v>
      </c>
      <c r="T171">
        <v>48.89</v>
      </c>
      <c r="U171">
        <v>0.89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0.89</v>
      </c>
      <c r="AI171">
        <v>0</v>
      </c>
      <c r="AJ171">
        <v>0</v>
      </c>
      <c r="AK171">
        <v>313</v>
      </c>
      <c r="AZ171" t="s">
        <v>1920</v>
      </c>
      <c r="BA171" t="s">
        <v>1940</v>
      </c>
      <c r="BB171">
        <v>185</v>
      </c>
      <c r="BC171" t="s">
        <v>1741</v>
      </c>
      <c r="BD171">
        <v>142.93</v>
      </c>
      <c r="BE171">
        <v>120.5956795885</v>
      </c>
      <c r="BF171">
        <v>24448991989.886929</v>
      </c>
      <c r="BG171">
        <v>170</v>
      </c>
    </row>
    <row r="172" spans="1:59" x14ac:dyDescent="0.25">
      <c r="A172">
        <v>397</v>
      </c>
      <c r="B172" t="s">
        <v>459</v>
      </c>
      <c r="C172" t="s">
        <v>913</v>
      </c>
      <c r="D172" t="s">
        <v>1347</v>
      </c>
      <c r="E172" t="s">
        <v>61</v>
      </c>
      <c r="F172">
        <v>135.86789999999999</v>
      </c>
      <c r="G172">
        <v>212677190</v>
      </c>
      <c r="H172" t="s">
        <v>1439</v>
      </c>
      <c r="I172">
        <v>28896</v>
      </c>
      <c r="J172">
        <v>325371706.59852803</v>
      </c>
      <c r="K172">
        <v>404523907.31984901</v>
      </c>
      <c r="L172">
        <v>472277025.18454599</v>
      </c>
      <c r="M172">
        <v>546905353.50489604</v>
      </c>
      <c r="N172">
        <v>322424630.10448402</v>
      </c>
      <c r="O172" t="s">
        <v>58</v>
      </c>
      <c r="P172">
        <v>1</v>
      </c>
      <c r="Q172" t="s">
        <v>1803</v>
      </c>
      <c r="R172">
        <v>0.84373944999999995</v>
      </c>
      <c r="S172">
        <v>0.78</v>
      </c>
      <c r="T172">
        <v>57.13</v>
      </c>
      <c r="U172">
        <v>0.96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0.96</v>
      </c>
      <c r="AI172">
        <v>0</v>
      </c>
      <c r="AJ172">
        <v>0</v>
      </c>
      <c r="AK172">
        <v>74</v>
      </c>
      <c r="AZ172" t="s">
        <v>1920</v>
      </c>
      <c r="BA172" t="s">
        <v>1940</v>
      </c>
      <c r="BB172">
        <v>81</v>
      </c>
      <c r="BC172" t="s">
        <v>1803</v>
      </c>
      <c r="BD172">
        <v>211.13</v>
      </c>
      <c r="BE172">
        <v>178.1387100785</v>
      </c>
      <c r="BF172">
        <v>24380697832.99226</v>
      </c>
      <c r="BG172">
        <v>171</v>
      </c>
    </row>
    <row r="173" spans="1:59" x14ac:dyDescent="0.25">
      <c r="A173">
        <v>486</v>
      </c>
      <c r="B173" t="s">
        <v>537</v>
      </c>
      <c r="C173" t="s">
        <v>995</v>
      </c>
      <c r="D173" t="s">
        <v>1425</v>
      </c>
      <c r="E173" t="s">
        <v>61</v>
      </c>
      <c r="F173">
        <v>167.04220000000001</v>
      </c>
      <c r="G173">
        <v>170953170</v>
      </c>
      <c r="H173" t="s">
        <v>1438</v>
      </c>
      <c r="I173">
        <v>28556.39</v>
      </c>
      <c r="J173">
        <v>180805315.67286301</v>
      </c>
      <c r="K173">
        <v>181896702.48201299</v>
      </c>
      <c r="L173">
        <v>184017476.39416701</v>
      </c>
      <c r="M173">
        <v>213367092.279322</v>
      </c>
      <c r="N173">
        <v>184014670.15812099</v>
      </c>
      <c r="O173" t="s">
        <v>59</v>
      </c>
      <c r="P173">
        <v>1</v>
      </c>
      <c r="Q173" t="s">
        <v>1885</v>
      </c>
      <c r="R173">
        <v>0.84373944999999995</v>
      </c>
      <c r="S173">
        <v>1.02</v>
      </c>
      <c r="T173">
        <v>44.88</v>
      </c>
      <c r="U173">
        <v>0.73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0.73</v>
      </c>
      <c r="AI173">
        <v>0</v>
      </c>
      <c r="AJ173">
        <v>0</v>
      </c>
      <c r="AK173">
        <v>109</v>
      </c>
      <c r="AZ173" t="s">
        <v>1920</v>
      </c>
      <c r="BA173" t="s">
        <v>1940</v>
      </c>
      <c r="BB173">
        <v>220</v>
      </c>
      <c r="BC173" t="s">
        <v>1885</v>
      </c>
      <c r="BD173">
        <v>187.65</v>
      </c>
      <c r="BE173">
        <v>158.32770779250001</v>
      </c>
      <c r="BF173">
        <v>24094155841.669189</v>
      </c>
      <c r="BG173">
        <v>172</v>
      </c>
    </row>
    <row r="174" spans="1:59" x14ac:dyDescent="0.25">
      <c r="A174">
        <v>353</v>
      </c>
      <c r="B174" t="s">
        <v>422</v>
      </c>
      <c r="C174" t="s">
        <v>873</v>
      </c>
      <c r="D174" t="s">
        <v>1310</v>
      </c>
      <c r="E174" t="s">
        <v>61</v>
      </c>
      <c r="F174">
        <v>12.962960000000001</v>
      </c>
      <c r="G174">
        <v>2197837400</v>
      </c>
      <c r="H174" t="s">
        <v>1438</v>
      </c>
      <c r="I174">
        <v>28490.49</v>
      </c>
      <c r="J174">
        <v>375123331.23014599</v>
      </c>
      <c r="K174">
        <v>305729682.06187099</v>
      </c>
      <c r="L174">
        <v>357328586.94257897</v>
      </c>
      <c r="M174">
        <v>413792206.37575603</v>
      </c>
      <c r="N174">
        <v>315674645.90851003</v>
      </c>
      <c r="O174" t="s">
        <v>59</v>
      </c>
      <c r="P174">
        <v>1</v>
      </c>
      <c r="Q174" t="s">
        <v>1763</v>
      </c>
      <c r="R174">
        <v>0.84373944999999995</v>
      </c>
      <c r="S174">
        <v>0.48</v>
      </c>
      <c r="T174">
        <v>49.8</v>
      </c>
      <c r="U174">
        <v>0.93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8.8400000000000006E-2</v>
      </c>
      <c r="AH174">
        <v>0.93</v>
      </c>
      <c r="AI174">
        <v>0</v>
      </c>
      <c r="AJ174">
        <v>8.8400000000000006E-2</v>
      </c>
      <c r="AK174">
        <v>26</v>
      </c>
      <c r="AZ174" t="s">
        <v>1920</v>
      </c>
      <c r="BA174" t="s">
        <v>1940</v>
      </c>
      <c r="BB174">
        <v>175</v>
      </c>
      <c r="BC174" t="s">
        <v>1763</v>
      </c>
      <c r="BD174">
        <v>14.95</v>
      </c>
      <c r="BE174">
        <v>12.6139047775</v>
      </c>
      <c r="BF174">
        <v>24038540493.360409</v>
      </c>
      <c r="BG174">
        <v>173</v>
      </c>
    </row>
    <row r="175" spans="1:59" x14ac:dyDescent="0.25">
      <c r="A175">
        <v>491</v>
      </c>
      <c r="B175" t="s">
        <v>541</v>
      </c>
      <c r="C175" t="s">
        <v>999</v>
      </c>
      <c r="D175" t="s">
        <v>1429</v>
      </c>
      <c r="E175" t="s">
        <v>61</v>
      </c>
      <c r="F175">
        <v>289.51190000000003</v>
      </c>
      <c r="G175">
        <v>97547990</v>
      </c>
      <c r="H175" t="s">
        <v>1439</v>
      </c>
      <c r="I175">
        <v>28241.3</v>
      </c>
      <c r="J175">
        <v>176024610.199269</v>
      </c>
      <c r="K175">
        <v>189681174.51865199</v>
      </c>
      <c r="L175">
        <v>181145376.82472101</v>
      </c>
      <c r="M175">
        <v>210084859.47727501</v>
      </c>
      <c r="N175">
        <v>183379455.29987699</v>
      </c>
      <c r="O175" t="s">
        <v>58</v>
      </c>
      <c r="P175">
        <v>1</v>
      </c>
      <c r="Q175" t="s">
        <v>1889</v>
      </c>
      <c r="R175">
        <v>0.84373944999999995</v>
      </c>
      <c r="S175">
        <v>0.49</v>
      </c>
      <c r="T175">
        <v>43.88</v>
      </c>
      <c r="U175">
        <v>0.62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0.62</v>
      </c>
      <c r="AI175">
        <v>0</v>
      </c>
      <c r="AJ175">
        <v>0</v>
      </c>
      <c r="AK175">
        <v>29</v>
      </c>
      <c r="AZ175" t="s">
        <v>1920</v>
      </c>
      <c r="BA175" t="s">
        <v>1940</v>
      </c>
      <c r="BB175">
        <v>231</v>
      </c>
      <c r="BC175" t="s">
        <v>1889</v>
      </c>
      <c r="BD175">
        <v>330.72</v>
      </c>
      <c r="BE175">
        <v>279.04151090400001</v>
      </c>
      <c r="BF175">
        <v>23828302241.87442</v>
      </c>
      <c r="BG175">
        <v>174</v>
      </c>
    </row>
    <row r="176" spans="1:59" x14ac:dyDescent="0.25">
      <c r="A176">
        <v>83</v>
      </c>
      <c r="B176" t="s">
        <v>184</v>
      </c>
      <c r="C176" t="s">
        <v>620</v>
      </c>
      <c r="D176" t="s">
        <v>1072</v>
      </c>
      <c r="E176" t="s">
        <v>61</v>
      </c>
      <c r="F176">
        <v>26.711040000000001</v>
      </c>
      <c r="G176">
        <v>1167404000</v>
      </c>
      <c r="H176" t="s">
        <v>1438</v>
      </c>
      <c r="I176">
        <v>31182.58</v>
      </c>
      <c r="J176">
        <v>394495030.29011202</v>
      </c>
      <c r="K176">
        <v>501070171.793019</v>
      </c>
      <c r="L176">
        <v>520923713.40616298</v>
      </c>
      <c r="M176">
        <v>604574220.26011705</v>
      </c>
      <c r="N176">
        <v>499500736.62302101</v>
      </c>
      <c r="O176" t="s">
        <v>59</v>
      </c>
      <c r="P176">
        <v>0.9</v>
      </c>
      <c r="Q176" t="s">
        <v>1510</v>
      </c>
      <c r="R176">
        <v>0.84373944999999995</v>
      </c>
      <c r="S176">
        <v>1.97</v>
      </c>
      <c r="T176">
        <v>51.99</v>
      </c>
      <c r="U176">
        <v>0.98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0.98</v>
      </c>
      <c r="AI176">
        <v>0</v>
      </c>
      <c r="AJ176">
        <v>0</v>
      </c>
      <c r="AK176">
        <v>223</v>
      </c>
      <c r="AZ176" t="s">
        <v>1920</v>
      </c>
      <c r="BA176" t="s">
        <v>1940</v>
      </c>
      <c r="BB176">
        <v>153</v>
      </c>
      <c r="BC176" t="s">
        <v>1510</v>
      </c>
      <c r="BD176">
        <v>31.2</v>
      </c>
      <c r="BE176">
        <v>26.32467084</v>
      </c>
      <c r="BF176">
        <v>23678971766.634941</v>
      </c>
      <c r="BG176">
        <v>175</v>
      </c>
    </row>
    <row r="177" spans="1:59" x14ac:dyDescent="0.25">
      <c r="A177">
        <v>412</v>
      </c>
      <c r="B177" t="s">
        <v>474</v>
      </c>
      <c r="C177" t="s">
        <v>928</v>
      </c>
      <c r="D177" t="s">
        <v>1362</v>
      </c>
      <c r="E177" t="s">
        <v>61</v>
      </c>
      <c r="F177">
        <v>98.549239999999998</v>
      </c>
      <c r="G177">
        <v>283695340</v>
      </c>
      <c r="H177" t="s">
        <v>1438</v>
      </c>
      <c r="I177">
        <v>27957.96</v>
      </c>
      <c r="J177">
        <v>143890374.821136</v>
      </c>
      <c r="K177">
        <v>179041122.81118</v>
      </c>
      <c r="L177">
        <v>178639796.68801799</v>
      </c>
      <c r="M177">
        <v>207279250.12796301</v>
      </c>
      <c r="N177">
        <v>182679640.46636701</v>
      </c>
      <c r="O177" t="s">
        <v>59</v>
      </c>
      <c r="P177">
        <v>1</v>
      </c>
      <c r="Q177" t="s">
        <v>1818</v>
      </c>
      <c r="R177">
        <v>0.84373944999999995</v>
      </c>
      <c r="S177">
        <v>0.89</v>
      </c>
      <c r="T177">
        <v>57.46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95</v>
      </c>
      <c r="AZ177" t="s">
        <v>1920</v>
      </c>
      <c r="BA177" t="s">
        <v>1940</v>
      </c>
      <c r="BB177">
        <v>74</v>
      </c>
      <c r="BC177" t="s">
        <v>1818</v>
      </c>
      <c r="BD177">
        <v>110.49</v>
      </c>
      <c r="BE177">
        <v>93.224771830499989</v>
      </c>
      <c r="BF177">
        <v>23589233918.852409</v>
      </c>
      <c r="BG177">
        <v>176</v>
      </c>
    </row>
    <row r="178" spans="1:59" x14ac:dyDescent="0.25">
      <c r="A178">
        <v>252</v>
      </c>
      <c r="B178" t="s">
        <v>336</v>
      </c>
      <c r="C178" t="s">
        <v>778</v>
      </c>
      <c r="D178" t="s">
        <v>1224</v>
      </c>
      <c r="E178" t="s">
        <v>61</v>
      </c>
      <c r="F178">
        <v>163.1251</v>
      </c>
      <c r="G178">
        <v>170000000</v>
      </c>
      <c r="H178" t="s">
        <v>1438</v>
      </c>
      <c r="I178">
        <v>27731.27</v>
      </c>
      <c r="J178">
        <v>206330644.22713599</v>
      </c>
      <c r="K178">
        <v>305876533.38463199</v>
      </c>
      <c r="L178">
        <v>302860502.23228902</v>
      </c>
      <c r="M178">
        <v>351115643.87542403</v>
      </c>
      <c r="N178">
        <v>293345276.233006</v>
      </c>
      <c r="O178" t="s">
        <v>59</v>
      </c>
      <c r="P178">
        <v>1</v>
      </c>
      <c r="Q178" t="s">
        <v>1668</v>
      </c>
      <c r="R178">
        <v>0.84373944999999995</v>
      </c>
      <c r="S178">
        <v>2.61</v>
      </c>
      <c r="T178">
        <v>43.3</v>
      </c>
      <c r="U178">
        <v>0.9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0.9</v>
      </c>
      <c r="AI178">
        <v>0</v>
      </c>
      <c r="AJ178">
        <v>0</v>
      </c>
      <c r="AK178">
        <v>310</v>
      </c>
      <c r="AZ178" t="s">
        <v>1920</v>
      </c>
      <c r="BA178" t="s">
        <v>1940</v>
      </c>
      <c r="BB178">
        <v>235</v>
      </c>
      <c r="BC178" t="s">
        <v>1668</v>
      </c>
      <c r="BD178">
        <v>186.81</v>
      </c>
      <c r="BE178">
        <v>157.61896665450001</v>
      </c>
      <c r="BF178">
        <v>23397963966.383148</v>
      </c>
      <c r="BG178">
        <v>177</v>
      </c>
    </row>
    <row r="179" spans="1:59" x14ac:dyDescent="0.25">
      <c r="A179">
        <v>164</v>
      </c>
      <c r="B179" t="s">
        <v>257</v>
      </c>
      <c r="C179" t="s">
        <v>695</v>
      </c>
      <c r="D179" t="s">
        <v>1145</v>
      </c>
      <c r="E179" t="s">
        <v>61</v>
      </c>
      <c r="F179">
        <v>65.983959999999996</v>
      </c>
      <c r="G179">
        <v>418716670</v>
      </c>
      <c r="H179" t="s">
        <v>1438</v>
      </c>
      <c r="I179">
        <v>27628.58</v>
      </c>
      <c r="J179">
        <v>203138002.51407099</v>
      </c>
      <c r="K179">
        <v>187483800.761078</v>
      </c>
      <c r="L179">
        <v>172176707.23421299</v>
      </c>
      <c r="M179">
        <v>199476641.268287</v>
      </c>
      <c r="N179">
        <v>174388037.88642401</v>
      </c>
      <c r="O179" t="s">
        <v>59</v>
      </c>
      <c r="P179">
        <v>1</v>
      </c>
      <c r="Q179" t="s">
        <v>1585</v>
      </c>
      <c r="R179">
        <v>0.84373944999999995</v>
      </c>
      <c r="S179">
        <v>1.79</v>
      </c>
      <c r="T179">
        <v>48.54</v>
      </c>
      <c r="U179">
        <v>0.86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G179" t="s">
        <v>1904</v>
      </c>
      <c r="AH179">
        <v>0.86</v>
      </c>
      <c r="AI179">
        <v>0</v>
      </c>
      <c r="AJ179">
        <v>0</v>
      </c>
      <c r="AK179">
        <v>195</v>
      </c>
      <c r="AZ179" t="s">
        <v>1920</v>
      </c>
      <c r="BA179" t="s">
        <v>1940</v>
      </c>
      <c r="BB179">
        <v>189</v>
      </c>
      <c r="BC179" t="s">
        <v>1585</v>
      </c>
      <c r="BD179">
        <v>77.17</v>
      </c>
      <c r="BE179">
        <v>65.111373356499996</v>
      </c>
      <c r="BF179">
        <v>23311326272.331131</v>
      </c>
      <c r="BG179">
        <v>178</v>
      </c>
    </row>
    <row r="180" spans="1:59" x14ac:dyDescent="0.25">
      <c r="A180">
        <v>242</v>
      </c>
      <c r="B180" t="s">
        <v>327</v>
      </c>
      <c r="C180" t="s">
        <v>769</v>
      </c>
      <c r="D180" t="s">
        <v>1215</v>
      </c>
      <c r="E180" t="s">
        <v>61</v>
      </c>
      <c r="F180">
        <v>68.808670000000006</v>
      </c>
      <c r="G180">
        <v>397452500</v>
      </c>
      <c r="H180" t="s">
        <v>1438</v>
      </c>
      <c r="I180">
        <v>27348.18</v>
      </c>
      <c r="J180">
        <v>201427970.89816499</v>
      </c>
      <c r="K180">
        <v>217401464.52621901</v>
      </c>
      <c r="L180">
        <v>199576325.16361901</v>
      </c>
      <c r="M180">
        <v>231243773.30972001</v>
      </c>
      <c r="N180">
        <v>208366850.54877499</v>
      </c>
      <c r="O180" t="s">
        <v>59</v>
      </c>
      <c r="P180">
        <v>1</v>
      </c>
      <c r="Q180" t="s">
        <v>1659</v>
      </c>
      <c r="R180">
        <v>0.84373944999999995</v>
      </c>
      <c r="S180">
        <v>0.37</v>
      </c>
      <c r="T180">
        <v>61.67</v>
      </c>
      <c r="U180">
        <v>0.92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G180" t="s">
        <v>1904</v>
      </c>
      <c r="AH180">
        <v>0.92</v>
      </c>
      <c r="AI180">
        <v>0</v>
      </c>
      <c r="AJ180">
        <v>0</v>
      </c>
      <c r="AK180">
        <v>13</v>
      </c>
      <c r="AZ180" t="s">
        <v>1920</v>
      </c>
      <c r="BA180" t="s">
        <v>1940</v>
      </c>
      <c r="BB180">
        <v>36</v>
      </c>
      <c r="BC180" t="s">
        <v>1659</v>
      </c>
      <c r="BD180">
        <v>77.7</v>
      </c>
      <c r="BE180">
        <v>65.558555264999995</v>
      </c>
      <c r="BF180">
        <v>23074736590.96442</v>
      </c>
      <c r="BG180">
        <v>179</v>
      </c>
    </row>
    <row r="181" spans="1:59" x14ac:dyDescent="0.25">
      <c r="A181">
        <v>181</v>
      </c>
      <c r="B181" t="s">
        <v>272</v>
      </c>
      <c r="C181" t="s">
        <v>711</v>
      </c>
      <c r="D181" t="s">
        <v>1160</v>
      </c>
      <c r="E181" t="s">
        <v>61</v>
      </c>
      <c r="F181">
        <v>217.6139</v>
      </c>
      <c r="G181">
        <v>123797380</v>
      </c>
      <c r="H181" t="s">
        <v>1438</v>
      </c>
      <c r="I181">
        <v>26940.03</v>
      </c>
      <c r="J181">
        <v>216804075.45745501</v>
      </c>
      <c r="K181">
        <v>231267479.064123</v>
      </c>
      <c r="L181">
        <v>218247508.58441901</v>
      </c>
      <c r="M181">
        <v>253217575.11235899</v>
      </c>
      <c r="N181">
        <v>241683572.69095501</v>
      </c>
      <c r="O181" t="s">
        <v>59</v>
      </c>
      <c r="P181">
        <v>1</v>
      </c>
      <c r="Q181" t="s">
        <v>1601</v>
      </c>
      <c r="R181">
        <v>0.84373944999999995</v>
      </c>
      <c r="S181">
        <v>2.63</v>
      </c>
      <c r="T181">
        <v>54.48</v>
      </c>
      <c r="U181">
        <v>0.67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0.67</v>
      </c>
      <c r="AI181">
        <v>0</v>
      </c>
      <c r="AJ181">
        <v>0</v>
      </c>
      <c r="AK181">
        <v>313</v>
      </c>
      <c r="AZ181" t="s">
        <v>1920</v>
      </c>
      <c r="BA181" t="s">
        <v>1940</v>
      </c>
      <c r="BB181">
        <v>113</v>
      </c>
      <c r="BC181" t="s">
        <v>1601</v>
      </c>
      <c r="BD181">
        <v>260.58</v>
      </c>
      <c r="BE181">
        <v>219.86162588100001</v>
      </c>
      <c r="BF181">
        <v>22730366661.82373</v>
      </c>
      <c r="BG181">
        <v>180</v>
      </c>
    </row>
    <row r="182" spans="1:59" x14ac:dyDescent="0.25">
      <c r="A182">
        <v>71</v>
      </c>
      <c r="B182" t="s">
        <v>178</v>
      </c>
      <c r="C182" t="s">
        <v>614</v>
      </c>
      <c r="D182" t="s">
        <v>1066</v>
      </c>
      <c r="E182" t="s">
        <v>61</v>
      </c>
      <c r="F182">
        <v>223.74119999999999</v>
      </c>
      <c r="G182">
        <v>117129320</v>
      </c>
      <c r="H182" t="s">
        <v>1438</v>
      </c>
      <c r="I182">
        <v>26206.66</v>
      </c>
      <c r="J182">
        <v>181691919.15489399</v>
      </c>
      <c r="K182">
        <v>133936784.61857</v>
      </c>
      <c r="L182">
        <v>142113384.74255601</v>
      </c>
      <c r="M182">
        <v>164908788.59826899</v>
      </c>
      <c r="N182">
        <v>118031399.41577899</v>
      </c>
      <c r="O182" t="s">
        <v>59</v>
      </c>
      <c r="P182">
        <v>1</v>
      </c>
      <c r="Q182" t="s">
        <v>1504</v>
      </c>
      <c r="R182">
        <v>0.84373944999999995</v>
      </c>
      <c r="S182">
        <v>0.17</v>
      </c>
      <c r="T182">
        <v>53.57</v>
      </c>
      <c r="U182">
        <v>0.92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H182">
        <v>0.92</v>
      </c>
      <c r="AI182">
        <v>0</v>
      </c>
      <c r="AJ182">
        <v>0</v>
      </c>
      <c r="AK182">
        <v>1</v>
      </c>
      <c r="AZ182" t="s">
        <v>1920</v>
      </c>
      <c r="BA182" t="s">
        <v>1940</v>
      </c>
      <c r="BB182">
        <v>127</v>
      </c>
      <c r="BC182" t="s">
        <v>1504</v>
      </c>
      <c r="BD182">
        <v>245.61</v>
      </c>
      <c r="BE182">
        <v>207.23084631450001</v>
      </c>
      <c r="BF182">
        <v>22111588348.655338</v>
      </c>
      <c r="BG182">
        <v>181</v>
      </c>
    </row>
    <row r="183" spans="1:59" x14ac:dyDescent="0.25">
      <c r="A183">
        <v>40</v>
      </c>
      <c r="B183" t="s">
        <v>153</v>
      </c>
      <c r="C183" t="s">
        <v>587</v>
      </c>
      <c r="D183" t="s">
        <v>1041</v>
      </c>
      <c r="E183" t="s">
        <v>61</v>
      </c>
      <c r="F183">
        <v>53.695169999999997</v>
      </c>
      <c r="G183">
        <v>480464480</v>
      </c>
      <c r="H183" t="s">
        <v>1438</v>
      </c>
      <c r="I183">
        <v>25798.62</v>
      </c>
      <c r="J183">
        <v>197566938.461575</v>
      </c>
      <c r="K183">
        <v>181625808.86897901</v>
      </c>
      <c r="L183">
        <v>168414301.31849799</v>
      </c>
      <c r="M183">
        <v>195364487.807648</v>
      </c>
      <c r="N183">
        <v>168368185.90020201</v>
      </c>
      <c r="O183" t="s">
        <v>59</v>
      </c>
      <c r="P183">
        <v>1</v>
      </c>
      <c r="Q183" t="s">
        <v>1477</v>
      </c>
      <c r="R183">
        <v>0.84373944999999995</v>
      </c>
      <c r="S183">
        <v>2.7</v>
      </c>
      <c r="T183">
        <v>52.37</v>
      </c>
      <c r="U183">
        <v>0.94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H183">
        <v>0.94</v>
      </c>
      <c r="AI183">
        <v>0</v>
      </c>
      <c r="AJ183">
        <v>0</v>
      </c>
      <c r="AK183">
        <v>326</v>
      </c>
      <c r="AZ183" t="s">
        <v>1920</v>
      </c>
      <c r="BA183" t="s">
        <v>1940</v>
      </c>
      <c r="BB183">
        <v>147</v>
      </c>
      <c r="BC183" t="s">
        <v>1477</v>
      </c>
      <c r="BD183">
        <v>62.35</v>
      </c>
      <c r="BE183">
        <v>52.607154707500001</v>
      </c>
      <c r="BF183">
        <v>21767315080.137459</v>
      </c>
      <c r="BG183">
        <v>182</v>
      </c>
    </row>
    <row r="184" spans="1:59" x14ac:dyDescent="0.25">
      <c r="A184">
        <v>198</v>
      </c>
      <c r="B184" t="s">
        <v>288</v>
      </c>
      <c r="C184" t="s">
        <v>727</v>
      </c>
      <c r="D184" t="s">
        <v>1176</v>
      </c>
      <c r="E184" t="s">
        <v>61</v>
      </c>
      <c r="F184">
        <v>38.22325</v>
      </c>
      <c r="G184">
        <v>661887270</v>
      </c>
      <c r="H184" t="s">
        <v>1439</v>
      </c>
      <c r="I184">
        <v>25299.48</v>
      </c>
      <c r="J184">
        <v>121783109.04463699</v>
      </c>
      <c r="K184">
        <v>175394129.99827999</v>
      </c>
      <c r="L184">
        <v>177805561.21396399</v>
      </c>
      <c r="M184">
        <v>206353987.082618</v>
      </c>
      <c r="N184">
        <v>175494424.02287599</v>
      </c>
      <c r="O184" t="s">
        <v>58</v>
      </c>
      <c r="P184">
        <v>1</v>
      </c>
      <c r="Q184" t="s">
        <v>1617</v>
      </c>
      <c r="R184">
        <v>0.84373944999999995</v>
      </c>
      <c r="S184">
        <v>2.41</v>
      </c>
      <c r="T184">
        <v>43.16</v>
      </c>
      <c r="U184">
        <v>0.85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0.85</v>
      </c>
      <c r="AI184">
        <v>0</v>
      </c>
      <c r="AJ184">
        <v>0</v>
      </c>
      <c r="AK184">
        <v>283</v>
      </c>
      <c r="AZ184" t="s">
        <v>1920</v>
      </c>
      <c r="BA184" t="s">
        <v>1940</v>
      </c>
      <c r="BB184">
        <v>240</v>
      </c>
      <c r="BC184" t="s">
        <v>1617</v>
      </c>
      <c r="BD184">
        <v>45</v>
      </c>
      <c r="BE184">
        <v>37.968275249999998</v>
      </c>
      <c r="BF184">
        <v>21346171528.3256</v>
      </c>
      <c r="BG184">
        <v>183</v>
      </c>
    </row>
    <row r="185" spans="1:59" x14ac:dyDescent="0.25">
      <c r="A185">
        <v>26</v>
      </c>
      <c r="B185" t="s">
        <v>140</v>
      </c>
      <c r="C185" t="s">
        <v>573</v>
      </c>
      <c r="D185" t="s">
        <v>1028</v>
      </c>
      <c r="E185" t="s">
        <v>61</v>
      </c>
      <c r="F185">
        <v>124.7653</v>
      </c>
      <c r="G185">
        <v>202140820</v>
      </c>
      <c r="H185" t="s">
        <v>1438</v>
      </c>
      <c r="I185">
        <v>25220.16</v>
      </c>
      <c r="J185">
        <v>202836164.32253301</v>
      </c>
      <c r="K185">
        <v>185887782.99063101</v>
      </c>
      <c r="L185">
        <v>159087260.06987801</v>
      </c>
      <c r="M185">
        <v>184297759.80728301</v>
      </c>
      <c r="N185">
        <v>165403374.65572399</v>
      </c>
      <c r="O185" t="s">
        <v>59</v>
      </c>
      <c r="P185">
        <v>1</v>
      </c>
      <c r="Q185" t="s">
        <v>1463</v>
      </c>
      <c r="R185">
        <v>0.84373944999999995</v>
      </c>
      <c r="S185">
        <v>2.16</v>
      </c>
      <c r="T185">
        <v>69.08</v>
      </c>
      <c r="U185">
        <v>0.96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0.96</v>
      </c>
      <c r="AI185">
        <v>0</v>
      </c>
      <c r="AJ185">
        <v>0</v>
      </c>
      <c r="AK185">
        <v>247</v>
      </c>
      <c r="AZ185" t="s">
        <v>1920</v>
      </c>
      <c r="BA185" t="s">
        <v>1940</v>
      </c>
      <c r="BB185">
        <v>7</v>
      </c>
      <c r="BC185" t="s">
        <v>1463</v>
      </c>
      <c r="BD185">
        <v>136.25</v>
      </c>
      <c r="BE185">
        <v>114.9595000625</v>
      </c>
      <c r="BF185">
        <v>21279243969.11591</v>
      </c>
      <c r="BG185">
        <v>184</v>
      </c>
    </row>
    <row r="186" spans="1:59" x14ac:dyDescent="0.25">
      <c r="A186">
        <v>229</v>
      </c>
      <c r="B186" t="s">
        <v>316</v>
      </c>
      <c r="C186" t="s">
        <v>756</v>
      </c>
      <c r="D186" t="s">
        <v>1204</v>
      </c>
      <c r="E186" t="s">
        <v>61</v>
      </c>
      <c r="F186">
        <v>19.158560000000001</v>
      </c>
      <c r="G186">
        <v>1312215600</v>
      </c>
      <c r="H186" t="s">
        <v>1438</v>
      </c>
      <c r="I186">
        <v>25140.16</v>
      </c>
      <c r="J186">
        <v>275134033.41604102</v>
      </c>
      <c r="K186">
        <v>311729114.05841601</v>
      </c>
      <c r="L186">
        <v>304641433.156645</v>
      </c>
      <c r="M186">
        <v>353450752.85403597</v>
      </c>
      <c r="N186">
        <v>300638970.31788301</v>
      </c>
      <c r="O186" t="s">
        <v>59</v>
      </c>
      <c r="P186">
        <v>1</v>
      </c>
      <c r="Q186" t="s">
        <v>1646</v>
      </c>
      <c r="R186">
        <v>0.84373944999999995</v>
      </c>
      <c r="S186">
        <v>1.2</v>
      </c>
      <c r="T186">
        <v>72.05</v>
      </c>
      <c r="U186">
        <v>0.91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0.91</v>
      </c>
      <c r="AI186">
        <v>0</v>
      </c>
      <c r="AJ186">
        <v>0</v>
      </c>
      <c r="AK186">
        <v>126</v>
      </c>
      <c r="AZ186" t="s">
        <v>1920</v>
      </c>
      <c r="BA186" t="s">
        <v>1940</v>
      </c>
      <c r="BB186">
        <v>3</v>
      </c>
      <c r="BC186" t="s">
        <v>1646</v>
      </c>
      <c r="BD186">
        <v>24.43</v>
      </c>
      <c r="BE186">
        <v>20.6125547635</v>
      </c>
      <c r="BF186">
        <v>21211745872.844231</v>
      </c>
      <c r="BG186">
        <v>185</v>
      </c>
    </row>
    <row r="187" spans="1:59" x14ac:dyDescent="0.25">
      <c r="A187">
        <v>263</v>
      </c>
      <c r="B187" t="s">
        <v>345</v>
      </c>
      <c r="C187" t="s">
        <v>789</v>
      </c>
      <c r="D187" t="s">
        <v>1233</v>
      </c>
      <c r="E187" t="s">
        <v>61</v>
      </c>
      <c r="F187">
        <v>142.40479999999999</v>
      </c>
      <c r="G187">
        <v>172108860</v>
      </c>
      <c r="H187" t="s">
        <v>1438</v>
      </c>
      <c r="I187">
        <v>24509.14</v>
      </c>
      <c r="J187">
        <v>153330653.37020901</v>
      </c>
      <c r="K187">
        <v>139887838.04483199</v>
      </c>
      <c r="L187">
        <v>125861042.15158001</v>
      </c>
      <c r="M187">
        <v>145847862.97188401</v>
      </c>
      <c r="N187">
        <v>150634702.239737</v>
      </c>
      <c r="O187" t="s">
        <v>59</v>
      </c>
      <c r="P187">
        <v>1</v>
      </c>
      <c r="Q187" t="s">
        <v>1679</v>
      </c>
      <c r="R187">
        <v>0.84373944999999995</v>
      </c>
      <c r="S187">
        <v>2.17</v>
      </c>
      <c r="T187">
        <v>56.63</v>
      </c>
      <c r="U187">
        <v>0.94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0.94</v>
      </c>
      <c r="AI187">
        <v>0</v>
      </c>
      <c r="AJ187">
        <v>0</v>
      </c>
      <c r="AK187">
        <v>249</v>
      </c>
      <c r="AZ187" t="s">
        <v>1920</v>
      </c>
      <c r="BA187" t="s">
        <v>1940</v>
      </c>
      <c r="BB187">
        <v>88</v>
      </c>
      <c r="BC187" t="s">
        <v>1679</v>
      </c>
      <c r="BD187">
        <v>172.07</v>
      </c>
      <c r="BE187">
        <v>145.18224716149999</v>
      </c>
      <c r="BF187">
        <v>20679317998.58485</v>
      </c>
      <c r="BG187">
        <v>186</v>
      </c>
    </row>
    <row r="188" spans="1:59" x14ac:dyDescent="0.25">
      <c r="A188">
        <v>46</v>
      </c>
      <c r="B188" t="s">
        <v>159</v>
      </c>
      <c r="C188" t="s">
        <v>593</v>
      </c>
      <c r="D188" t="s">
        <v>1047</v>
      </c>
      <c r="E188" t="s">
        <v>61</v>
      </c>
      <c r="F188">
        <v>145.7501</v>
      </c>
      <c r="G188">
        <v>166284670</v>
      </c>
      <c r="H188" t="s">
        <v>1439</v>
      </c>
      <c r="I188">
        <v>24236.01</v>
      </c>
      <c r="J188">
        <v>493633418.86045402</v>
      </c>
      <c r="K188">
        <v>453098859.46151799</v>
      </c>
      <c r="L188">
        <v>408658431.41985297</v>
      </c>
      <c r="M188">
        <v>473608275.90673202</v>
      </c>
      <c r="N188">
        <v>446981585.45138597</v>
      </c>
      <c r="O188" t="s">
        <v>58</v>
      </c>
      <c r="P188">
        <v>1</v>
      </c>
      <c r="Q188" t="s">
        <v>1483</v>
      </c>
      <c r="R188">
        <v>0.84373944999999995</v>
      </c>
      <c r="S188">
        <v>0.55000000000000004</v>
      </c>
      <c r="T188">
        <v>61.07</v>
      </c>
      <c r="U188">
        <v>0.86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0.86</v>
      </c>
      <c r="AI188">
        <v>0</v>
      </c>
      <c r="AJ188">
        <v>0</v>
      </c>
      <c r="AK188">
        <v>37</v>
      </c>
      <c r="AZ188" t="s">
        <v>1920</v>
      </c>
      <c r="BA188" t="s">
        <v>1940</v>
      </c>
      <c r="BB188">
        <v>39</v>
      </c>
      <c r="BC188" t="s">
        <v>1483</v>
      </c>
      <c r="BD188">
        <v>172.04</v>
      </c>
      <c r="BE188">
        <v>145.15693497800001</v>
      </c>
      <c r="BF188">
        <v>20448875453.439091</v>
      </c>
      <c r="BG188">
        <v>187</v>
      </c>
    </row>
    <row r="189" spans="1:59" x14ac:dyDescent="0.25">
      <c r="A189">
        <v>253</v>
      </c>
      <c r="B189" t="s">
        <v>337</v>
      </c>
      <c r="C189" t="s">
        <v>779</v>
      </c>
      <c r="D189" t="s">
        <v>1225</v>
      </c>
      <c r="E189" t="s">
        <v>61</v>
      </c>
      <c r="F189">
        <v>80.098990000000001</v>
      </c>
      <c r="G189">
        <v>295348240</v>
      </c>
      <c r="H189" t="s">
        <v>1438</v>
      </c>
      <c r="I189">
        <v>23657.1</v>
      </c>
      <c r="J189">
        <v>134126841.888064</v>
      </c>
      <c r="K189">
        <v>142898300.688869</v>
      </c>
      <c r="L189">
        <v>129338805.052735</v>
      </c>
      <c r="M189">
        <v>149898817.39849699</v>
      </c>
      <c r="N189">
        <v>159378349.285777</v>
      </c>
      <c r="O189" t="s">
        <v>59</v>
      </c>
      <c r="P189">
        <v>1</v>
      </c>
      <c r="Q189" t="s">
        <v>1669</v>
      </c>
      <c r="R189">
        <v>0.84373944999999995</v>
      </c>
      <c r="S189">
        <v>1.2</v>
      </c>
      <c r="T189">
        <v>60.85</v>
      </c>
      <c r="U189">
        <v>0.96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0.96</v>
      </c>
      <c r="AI189">
        <v>0</v>
      </c>
      <c r="AJ189">
        <v>0</v>
      </c>
      <c r="AK189">
        <v>126</v>
      </c>
      <c r="AZ189" t="s">
        <v>1920</v>
      </c>
      <c r="BA189" t="s">
        <v>1940</v>
      </c>
      <c r="BB189">
        <v>42</v>
      </c>
      <c r="BC189" t="s">
        <v>1669</v>
      </c>
      <c r="BD189">
        <v>100.35</v>
      </c>
      <c r="BE189">
        <v>84.669253807499985</v>
      </c>
      <c r="BF189">
        <v>19960424933.311852</v>
      </c>
      <c r="BG189">
        <v>188</v>
      </c>
    </row>
    <row r="190" spans="1:59" x14ac:dyDescent="0.25">
      <c r="A190">
        <v>500</v>
      </c>
      <c r="B190" t="s">
        <v>549</v>
      </c>
      <c r="C190" t="s">
        <v>1007</v>
      </c>
      <c r="D190" t="s">
        <v>1437</v>
      </c>
      <c r="E190" t="s">
        <v>61</v>
      </c>
      <c r="F190">
        <v>232.56100000000001</v>
      </c>
      <c r="G190">
        <v>155695680</v>
      </c>
      <c r="H190" t="s">
        <v>1439</v>
      </c>
      <c r="I190">
        <v>36208.75</v>
      </c>
      <c r="J190">
        <v>309011240.82537401</v>
      </c>
      <c r="K190">
        <v>505702813.22492999</v>
      </c>
      <c r="L190">
        <v>541991930.91077697</v>
      </c>
      <c r="M190">
        <v>626370464.20833194</v>
      </c>
      <c r="N190">
        <v>414952601.32539099</v>
      </c>
      <c r="O190" t="s">
        <v>58</v>
      </c>
      <c r="P190">
        <v>0.65</v>
      </c>
      <c r="Q190" t="s">
        <v>1897</v>
      </c>
      <c r="R190">
        <v>0.84373944999999995</v>
      </c>
      <c r="S190">
        <v>0.73</v>
      </c>
      <c r="T190">
        <v>62.99</v>
      </c>
      <c r="U190">
        <v>0.86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0.86</v>
      </c>
      <c r="AI190">
        <v>0</v>
      </c>
      <c r="AJ190">
        <v>0</v>
      </c>
      <c r="AK190">
        <v>70</v>
      </c>
      <c r="AZ190" t="s">
        <v>1920</v>
      </c>
      <c r="BA190" t="s">
        <v>1940</v>
      </c>
      <c r="BB190">
        <v>31</v>
      </c>
      <c r="BC190" t="s">
        <v>1897</v>
      </c>
      <c r="BD190">
        <v>281.95999999999998</v>
      </c>
      <c r="BE190">
        <v>237.90077532199999</v>
      </c>
      <c r="BF190">
        <v>19857984207.614128</v>
      </c>
      <c r="BG190">
        <v>189</v>
      </c>
    </row>
    <row r="191" spans="1:59" x14ac:dyDescent="0.25">
      <c r="A191">
        <v>51</v>
      </c>
      <c r="B191" t="s">
        <v>164</v>
      </c>
      <c r="C191" t="s">
        <v>598</v>
      </c>
      <c r="D191" t="s">
        <v>1052</v>
      </c>
      <c r="E191" t="s">
        <v>61</v>
      </c>
      <c r="F191">
        <v>165.233</v>
      </c>
      <c r="G191">
        <v>142383030</v>
      </c>
      <c r="H191" t="s">
        <v>1438</v>
      </c>
      <c r="I191">
        <v>23526.37</v>
      </c>
      <c r="J191">
        <v>164575996.424734</v>
      </c>
      <c r="K191">
        <v>157030063.94252399</v>
      </c>
      <c r="L191">
        <v>157214741.98396</v>
      </c>
      <c r="M191">
        <v>182035633.39842001</v>
      </c>
      <c r="N191">
        <v>149173884.56963101</v>
      </c>
      <c r="O191" t="s">
        <v>59</v>
      </c>
      <c r="P191">
        <v>1</v>
      </c>
      <c r="Q191" t="s">
        <v>1488</v>
      </c>
      <c r="R191">
        <v>0.84373944999999995</v>
      </c>
      <c r="S191">
        <v>1.18</v>
      </c>
      <c r="T191">
        <v>59.07</v>
      </c>
      <c r="U191">
        <v>0.97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0.97</v>
      </c>
      <c r="AI191">
        <v>0</v>
      </c>
      <c r="AJ191">
        <v>0</v>
      </c>
      <c r="AK191">
        <v>124</v>
      </c>
      <c r="AZ191" t="s">
        <v>1920</v>
      </c>
      <c r="BA191" t="s">
        <v>1940</v>
      </c>
      <c r="BB191">
        <v>56</v>
      </c>
      <c r="BC191" t="s">
        <v>1488</v>
      </c>
      <c r="BD191">
        <v>192.28</v>
      </c>
      <c r="BE191">
        <v>162.23422144599999</v>
      </c>
      <c r="BF191">
        <v>19850130868.35825</v>
      </c>
      <c r="BG191">
        <v>190</v>
      </c>
    </row>
    <row r="192" spans="1:59" x14ac:dyDescent="0.25">
      <c r="A192">
        <v>33</v>
      </c>
      <c r="B192" t="s">
        <v>147</v>
      </c>
      <c r="C192" t="s">
        <v>580</v>
      </c>
      <c r="D192" t="s">
        <v>1035</v>
      </c>
      <c r="E192" t="s">
        <v>61</v>
      </c>
      <c r="F192">
        <v>46.603520000000003</v>
      </c>
      <c r="G192">
        <v>503527040</v>
      </c>
      <c r="H192" t="s">
        <v>1438</v>
      </c>
      <c r="I192">
        <v>23466.13</v>
      </c>
      <c r="J192">
        <v>125270378.42552</v>
      </c>
      <c r="K192">
        <v>124874290.2157</v>
      </c>
      <c r="L192">
        <v>140079549.08656099</v>
      </c>
      <c r="M192">
        <v>162561999.78452301</v>
      </c>
      <c r="N192">
        <v>97503699.034223706</v>
      </c>
      <c r="O192" t="s">
        <v>59</v>
      </c>
      <c r="P192">
        <v>1</v>
      </c>
      <c r="Q192" t="s">
        <v>1470</v>
      </c>
      <c r="R192">
        <v>0.84373944999999995</v>
      </c>
      <c r="S192">
        <v>0.98</v>
      </c>
      <c r="T192">
        <v>49.63</v>
      </c>
      <c r="U192">
        <v>0.98</v>
      </c>
      <c r="V192" t="s">
        <v>1901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0.98</v>
      </c>
      <c r="AI192">
        <v>0</v>
      </c>
      <c r="AJ192">
        <v>0</v>
      </c>
      <c r="AK192">
        <v>105</v>
      </c>
      <c r="AZ192" t="s">
        <v>1920</v>
      </c>
      <c r="BA192" t="s">
        <v>1940</v>
      </c>
      <c r="BB192">
        <v>177</v>
      </c>
      <c r="BC192" t="s">
        <v>1470</v>
      </c>
      <c r="BD192">
        <v>65.599999999999994</v>
      </c>
      <c r="BE192">
        <v>55.349307919999987</v>
      </c>
      <c r="BF192">
        <v>19799301711.611149</v>
      </c>
      <c r="BG192">
        <v>191</v>
      </c>
    </row>
    <row r="193" spans="1:59" x14ac:dyDescent="0.25">
      <c r="A193">
        <v>302</v>
      </c>
      <c r="B193" t="s">
        <v>379</v>
      </c>
      <c r="C193" t="s">
        <v>825</v>
      </c>
      <c r="D193" t="s">
        <v>1267</v>
      </c>
      <c r="E193" t="s">
        <v>61</v>
      </c>
      <c r="F193">
        <v>1127.7090000000001</v>
      </c>
      <c r="G193">
        <v>20599040</v>
      </c>
      <c r="H193" t="s">
        <v>1438</v>
      </c>
      <c r="I193">
        <v>23229.73</v>
      </c>
      <c r="J193">
        <v>158613584.37547901</v>
      </c>
      <c r="K193">
        <v>188886398.94444901</v>
      </c>
      <c r="L193">
        <v>169412684.22620401</v>
      </c>
      <c r="M193">
        <v>196099572.20854101</v>
      </c>
      <c r="N193">
        <v>172432916.47183901</v>
      </c>
      <c r="O193" t="s">
        <v>59</v>
      </c>
      <c r="P193">
        <v>1</v>
      </c>
      <c r="Q193" t="s">
        <v>1715</v>
      </c>
      <c r="R193">
        <v>0.84373944999999995</v>
      </c>
      <c r="S193">
        <v>0.86</v>
      </c>
      <c r="T193">
        <v>55.07</v>
      </c>
      <c r="U193">
        <v>0.96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0.96</v>
      </c>
      <c r="AI193">
        <v>0</v>
      </c>
      <c r="AJ193">
        <v>0</v>
      </c>
      <c r="AK193">
        <v>90</v>
      </c>
      <c r="AZ193" t="s">
        <v>1920</v>
      </c>
      <c r="BA193" t="s">
        <v>1940</v>
      </c>
      <c r="BB193">
        <v>104</v>
      </c>
      <c r="BC193" t="s">
        <v>1715</v>
      </c>
      <c r="BD193">
        <v>1276.0999999999999</v>
      </c>
      <c r="BE193">
        <v>1076.695912145</v>
      </c>
      <c r="BF193">
        <v>19599833538.38446</v>
      </c>
      <c r="BG193">
        <v>192</v>
      </c>
    </row>
    <row r="194" spans="1:59" x14ac:dyDescent="0.25">
      <c r="A194">
        <v>217</v>
      </c>
      <c r="B194" t="s">
        <v>304</v>
      </c>
      <c r="C194" t="s">
        <v>744</v>
      </c>
      <c r="D194" t="s">
        <v>1192</v>
      </c>
      <c r="E194" t="s">
        <v>61</v>
      </c>
      <c r="F194">
        <v>42.823009999999996</v>
      </c>
      <c r="G194">
        <v>542427500</v>
      </c>
      <c r="H194" t="s">
        <v>1438</v>
      </c>
      <c r="I194">
        <v>22896.86</v>
      </c>
      <c r="J194">
        <v>222409337.542968</v>
      </c>
      <c r="K194">
        <v>285693271.42615598</v>
      </c>
      <c r="L194">
        <v>250947180.20159701</v>
      </c>
      <c r="M194">
        <v>291147584.76946598</v>
      </c>
      <c r="N194">
        <v>268348975.927872</v>
      </c>
      <c r="O194" t="s">
        <v>59</v>
      </c>
      <c r="P194">
        <v>1</v>
      </c>
      <c r="Q194" t="s">
        <v>1634</v>
      </c>
      <c r="R194">
        <v>0.84373944999999995</v>
      </c>
      <c r="S194">
        <v>1.31</v>
      </c>
      <c r="T194">
        <v>57.79</v>
      </c>
      <c r="U194">
        <v>0.99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0.99</v>
      </c>
      <c r="AI194">
        <v>0</v>
      </c>
      <c r="AJ194">
        <v>0</v>
      </c>
      <c r="AK194">
        <v>141</v>
      </c>
      <c r="AZ194" t="s">
        <v>1920</v>
      </c>
      <c r="BA194" t="s">
        <v>1940</v>
      </c>
      <c r="BB194">
        <v>73</v>
      </c>
      <c r="BC194" t="s">
        <v>1634</v>
      </c>
      <c r="BD194">
        <v>49.56</v>
      </c>
      <c r="BE194">
        <v>41.815727142</v>
      </c>
      <c r="BF194">
        <v>19598699094.76329</v>
      </c>
      <c r="BG194">
        <v>193</v>
      </c>
    </row>
    <row r="195" spans="1:59" x14ac:dyDescent="0.25">
      <c r="A195">
        <v>228</v>
      </c>
      <c r="B195" t="s">
        <v>315</v>
      </c>
      <c r="C195" t="s">
        <v>755</v>
      </c>
      <c r="D195" t="s">
        <v>1203</v>
      </c>
      <c r="E195" t="s">
        <v>61</v>
      </c>
      <c r="F195">
        <v>154.83019999999999</v>
      </c>
      <c r="G195">
        <v>148110720</v>
      </c>
      <c r="H195" t="s">
        <v>1438</v>
      </c>
      <c r="I195">
        <v>22932.01</v>
      </c>
      <c r="J195">
        <v>227139502.34775701</v>
      </c>
      <c r="K195">
        <v>269101690.83102399</v>
      </c>
      <c r="L195">
        <v>264514011.841115</v>
      </c>
      <c r="M195">
        <v>306634314.76737899</v>
      </c>
      <c r="N195">
        <v>288375112.82173902</v>
      </c>
      <c r="O195" t="s">
        <v>59</v>
      </c>
      <c r="P195">
        <v>1</v>
      </c>
      <c r="Q195" t="s">
        <v>1645</v>
      </c>
      <c r="R195">
        <v>0.84373944999999995</v>
      </c>
      <c r="S195">
        <v>0.78</v>
      </c>
      <c r="T195">
        <v>52.65</v>
      </c>
      <c r="U195">
        <v>0.98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0.98</v>
      </c>
      <c r="AI195">
        <v>0</v>
      </c>
      <c r="AJ195">
        <v>0</v>
      </c>
      <c r="AK195">
        <v>74</v>
      </c>
      <c r="AZ195" t="s">
        <v>1920</v>
      </c>
      <c r="BA195" t="s">
        <v>1940</v>
      </c>
      <c r="BB195">
        <v>142</v>
      </c>
      <c r="BC195" t="s">
        <v>1645</v>
      </c>
      <c r="BD195">
        <v>193.45</v>
      </c>
      <c r="BE195">
        <v>163.22139660249999</v>
      </c>
      <c r="BF195">
        <v>19348643529.553181</v>
      </c>
      <c r="BG195">
        <v>194</v>
      </c>
    </row>
    <row r="196" spans="1:59" x14ac:dyDescent="0.25">
      <c r="A196">
        <v>485</v>
      </c>
      <c r="B196" t="s">
        <v>536</v>
      </c>
      <c r="C196" t="s">
        <v>994</v>
      </c>
      <c r="D196" t="s">
        <v>1424</v>
      </c>
      <c r="E196" t="s">
        <v>61</v>
      </c>
      <c r="F196">
        <v>65.685270000000003</v>
      </c>
      <c r="G196">
        <v>346922120</v>
      </c>
      <c r="H196" t="s">
        <v>1439</v>
      </c>
      <c r="I196">
        <v>22787.67</v>
      </c>
      <c r="J196">
        <v>380832524.90968299</v>
      </c>
      <c r="K196">
        <v>350953677.20243901</v>
      </c>
      <c r="L196">
        <v>376130558.344814</v>
      </c>
      <c r="M196">
        <v>435813177.874753</v>
      </c>
      <c r="N196">
        <v>346432690.51381302</v>
      </c>
      <c r="O196" t="s">
        <v>58</v>
      </c>
      <c r="P196">
        <v>1</v>
      </c>
      <c r="Q196" t="s">
        <v>1884</v>
      </c>
      <c r="R196">
        <v>0.84373944999999995</v>
      </c>
      <c r="S196">
        <v>1.63</v>
      </c>
      <c r="T196">
        <v>53.25</v>
      </c>
      <c r="U196">
        <v>0.65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0.65</v>
      </c>
      <c r="AI196">
        <v>0</v>
      </c>
      <c r="AJ196">
        <v>0</v>
      </c>
      <c r="AK196">
        <v>172</v>
      </c>
      <c r="AZ196" t="s">
        <v>1920</v>
      </c>
      <c r="BA196" t="s">
        <v>1940</v>
      </c>
      <c r="BB196">
        <v>132</v>
      </c>
      <c r="BC196" t="s">
        <v>1884</v>
      </c>
      <c r="BD196">
        <v>103.09</v>
      </c>
      <c r="BE196">
        <v>86.981099900499999</v>
      </c>
      <c r="BF196">
        <v>19226858786.037781</v>
      </c>
      <c r="BG196">
        <v>195</v>
      </c>
    </row>
    <row r="197" spans="1:59" x14ac:dyDescent="0.25">
      <c r="A197">
        <v>96</v>
      </c>
      <c r="B197" t="s">
        <v>194</v>
      </c>
      <c r="C197" t="s">
        <v>630</v>
      </c>
      <c r="D197" t="s">
        <v>1082</v>
      </c>
      <c r="E197" t="s">
        <v>61</v>
      </c>
      <c r="F197">
        <v>236.88339999999999</v>
      </c>
      <c r="G197">
        <v>136627990</v>
      </c>
      <c r="H197" t="s">
        <v>1439</v>
      </c>
      <c r="I197">
        <v>32364.91</v>
      </c>
      <c r="J197">
        <v>453645452.57608998</v>
      </c>
      <c r="K197">
        <v>494507282.736889</v>
      </c>
      <c r="L197">
        <v>501489560.65073401</v>
      </c>
      <c r="M197">
        <v>581585320.46619594</v>
      </c>
      <c r="N197">
        <v>443485710.05580699</v>
      </c>
      <c r="O197" t="s">
        <v>58</v>
      </c>
      <c r="P197">
        <v>0.7</v>
      </c>
      <c r="Q197" t="s">
        <v>1520</v>
      </c>
      <c r="R197">
        <v>0.84373944999999995</v>
      </c>
      <c r="S197">
        <v>3.01</v>
      </c>
      <c r="T197">
        <v>45.81</v>
      </c>
      <c r="U197">
        <v>0.66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0.66</v>
      </c>
      <c r="AI197">
        <v>0</v>
      </c>
      <c r="AJ197">
        <v>0</v>
      </c>
      <c r="AK197">
        <v>354</v>
      </c>
      <c r="AZ197" t="s">
        <v>1920</v>
      </c>
      <c r="BA197" t="s">
        <v>1940</v>
      </c>
      <c r="BB197">
        <v>213</v>
      </c>
      <c r="BC197" t="s">
        <v>1520</v>
      </c>
      <c r="BD197">
        <v>261.08</v>
      </c>
      <c r="BE197">
        <v>220.283495606</v>
      </c>
      <c r="BF197">
        <v>19115281705.20269</v>
      </c>
      <c r="BG197">
        <v>196</v>
      </c>
    </row>
    <row r="198" spans="1:59" x14ac:dyDescent="0.25">
      <c r="A198">
        <v>234</v>
      </c>
      <c r="B198" t="s">
        <v>320</v>
      </c>
      <c r="C198" t="s">
        <v>761</v>
      </c>
      <c r="D198" t="s">
        <v>1208</v>
      </c>
      <c r="E198" t="s">
        <v>61</v>
      </c>
      <c r="F198">
        <v>23.672979999999999</v>
      </c>
      <c r="G198">
        <v>939272900</v>
      </c>
      <c r="H198" t="s">
        <v>1438</v>
      </c>
      <c r="I198">
        <v>22235.39</v>
      </c>
      <c r="J198">
        <v>163236413.20848501</v>
      </c>
      <c r="K198">
        <v>206844681.93814299</v>
      </c>
      <c r="L198">
        <v>192343975.40389901</v>
      </c>
      <c r="M198">
        <v>222412520.037893</v>
      </c>
      <c r="N198">
        <v>221707139.21987</v>
      </c>
      <c r="O198" t="s">
        <v>59</v>
      </c>
      <c r="P198">
        <v>1</v>
      </c>
      <c r="Q198" t="s">
        <v>1651</v>
      </c>
      <c r="R198">
        <v>0.84373944999999995</v>
      </c>
      <c r="S198">
        <v>0.37</v>
      </c>
      <c r="T198">
        <v>72.44</v>
      </c>
      <c r="U198">
        <v>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1</v>
      </c>
      <c r="AI198">
        <v>0</v>
      </c>
      <c r="AJ198">
        <v>0</v>
      </c>
      <c r="AK198">
        <v>13</v>
      </c>
      <c r="AZ198" t="s">
        <v>1920</v>
      </c>
      <c r="BA198" t="s">
        <v>1940</v>
      </c>
      <c r="BB198">
        <v>2</v>
      </c>
      <c r="BC198" t="s">
        <v>1651</v>
      </c>
      <c r="BD198">
        <v>27.72</v>
      </c>
      <c r="BE198">
        <v>23.388457553999999</v>
      </c>
      <c r="BF198">
        <v>18760874527.85471</v>
      </c>
      <c r="BG198">
        <v>197</v>
      </c>
    </row>
    <row r="199" spans="1:59" x14ac:dyDescent="0.25">
      <c r="A199">
        <v>249</v>
      </c>
      <c r="B199" t="s">
        <v>333</v>
      </c>
      <c r="C199" t="s">
        <v>775</v>
      </c>
      <c r="D199" t="s">
        <v>1221</v>
      </c>
      <c r="E199" t="s">
        <v>61</v>
      </c>
      <c r="F199">
        <v>41.722140000000003</v>
      </c>
      <c r="G199">
        <v>527982100</v>
      </c>
      <c r="H199" t="s">
        <v>1438</v>
      </c>
      <c r="I199">
        <v>22028.54</v>
      </c>
      <c r="J199">
        <v>161484654.82560101</v>
      </c>
      <c r="K199">
        <v>223565131.706985</v>
      </c>
      <c r="L199">
        <v>178700934.042757</v>
      </c>
      <c r="M199">
        <v>207023331.94847801</v>
      </c>
      <c r="N199">
        <v>269918102.24226999</v>
      </c>
      <c r="O199" t="s">
        <v>59</v>
      </c>
      <c r="P199">
        <v>1</v>
      </c>
      <c r="Q199" t="s">
        <v>1665</v>
      </c>
      <c r="R199">
        <v>0.84373944999999995</v>
      </c>
      <c r="S199">
        <v>1.31</v>
      </c>
      <c r="T199">
        <v>53.15</v>
      </c>
      <c r="U199">
        <v>0.73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0.73</v>
      </c>
      <c r="AI199">
        <v>0</v>
      </c>
      <c r="AJ199">
        <v>0</v>
      </c>
      <c r="AK199">
        <v>141</v>
      </c>
      <c r="AZ199" t="s">
        <v>1920</v>
      </c>
      <c r="BA199" t="s">
        <v>1940</v>
      </c>
      <c r="BB199">
        <v>135</v>
      </c>
      <c r="BC199" t="s">
        <v>1665</v>
      </c>
      <c r="BD199">
        <v>46.24</v>
      </c>
      <c r="BE199">
        <v>39.014512168000003</v>
      </c>
      <c r="BF199">
        <v>18586350834.174671</v>
      </c>
      <c r="BG199">
        <v>198</v>
      </c>
    </row>
    <row r="200" spans="1:59" x14ac:dyDescent="0.25">
      <c r="A200">
        <v>366</v>
      </c>
      <c r="B200" t="s">
        <v>432</v>
      </c>
      <c r="C200" t="s">
        <v>885</v>
      </c>
      <c r="D200" t="s">
        <v>1320</v>
      </c>
      <c r="E200" t="s">
        <v>61</v>
      </c>
      <c r="F200">
        <v>183.52109999999999</v>
      </c>
      <c r="G200">
        <v>119792700</v>
      </c>
      <c r="H200" t="s">
        <v>1439</v>
      </c>
      <c r="I200">
        <v>21984.49</v>
      </c>
      <c r="J200">
        <v>151571595.16845399</v>
      </c>
      <c r="K200">
        <v>161900247.33246201</v>
      </c>
      <c r="L200">
        <v>181847612.74171299</v>
      </c>
      <c r="M200">
        <v>211079908.49316499</v>
      </c>
      <c r="N200">
        <v>154495967.693129</v>
      </c>
      <c r="O200" t="s">
        <v>58</v>
      </c>
      <c r="P200">
        <v>1</v>
      </c>
      <c r="Q200" t="s">
        <v>1775</v>
      </c>
      <c r="R200">
        <v>0.84373944999999995</v>
      </c>
      <c r="S200">
        <v>1.63</v>
      </c>
      <c r="T200">
        <v>59.17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172</v>
      </c>
      <c r="AZ200" t="s">
        <v>1920</v>
      </c>
      <c r="BA200" t="s">
        <v>1940</v>
      </c>
      <c r="BB200">
        <v>55</v>
      </c>
      <c r="BC200" t="s">
        <v>1775</v>
      </c>
      <c r="BD200">
        <v>204.95</v>
      </c>
      <c r="BE200">
        <v>172.92440027750001</v>
      </c>
      <c r="BF200">
        <v>18549179877.750481</v>
      </c>
      <c r="BG200">
        <v>199</v>
      </c>
    </row>
    <row r="201" spans="1:59" x14ac:dyDescent="0.25">
      <c r="A201">
        <v>188</v>
      </c>
      <c r="B201" t="s">
        <v>279</v>
      </c>
      <c r="C201" t="s">
        <v>718</v>
      </c>
      <c r="D201" t="s">
        <v>1167</v>
      </c>
      <c r="E201" t="s">
        <v>61</v>
      </c>
      <c r="F201">
        <v>183.31630000000001</v>
      </c>
      <c r="G201">
        <v>118192130</v>
      </c>
      <c r="H201" t="s">
        <v>1439</v>
      </c>
      <c r="I201">
        <v>21666.54</v>
      </c>
      <c r="J201">
        <v>401988498.38300598</v>
      </c>
      <c r="K201">
        <v>323773370.22210199</v>
      </c>
      <c r="L201">
        <v>276760619.444933</v>
      </c>
      <c r="M201">
        <v>321050958.97119498</v>
      </c>
      <c r="N201">
        <v>291683384.97455698</v>
      </c>
      <c r="O201" t="s">
        <v>58</v>
      </c>
      <c r="P201">
        <v>1</v>
      </c>
      <c r="Q201" t="s">
        <v>1608</v>
      </c>
      <c r="R201">
        <v>0.84373944999999995</v>
      </c>
      <c r="S201">
        <v>2.68</v>
      </c>
      <c r="T201">
        <v>43.96</v>
      </c>
      <c r="U201">
        <v>0.82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0.82</v>
      </c>
      <c r="AI201">
        <v>0</v>
      </c>
      <c r="AJ201">
        <v>0</v>
      </c>
      <c r="AK201">
        <v>322</v>
      </c>
      <c r="AZ201" t="s">
        <v>1920</v>
      </c>
      <c r="BA201" t="s">
        <v>1940</v>
      </c>
      <c r="BB201">
        <v>230</v>
      </c>
      <c r="BC201" t="s">
        <v>1608</v>
      </c>
      <c r="BD201">
        <v>224.98</v>
      </c>
      <c r="BE201">
        <v>189.82450146100001</v>
      </c>
      <c r="BF201">
        <v>18280917884.817871</v>
      </c>
      <c r="BG201">
        <v>200</v>
      </c>
    </row>
    <row r="202" spans="1:59" x14ac:dyDescent="0.25">
      <c r="A202">
        <v>159</v>
      </c>
      <c r="B202" t="s">
        <v>252</v>
      </c>
      <c r="C202" t="s">
        <v>690</v>
      </c>
      <c r="D202" t="s">
        <v>1140</v>
      </c>
      <c r="E202" t="s">
        <v>61</v>
      </c>
      <c r="F202">
        <v>156.22970000000001</v>
      </c>
      <c r="G202">
        <v>137134460</v>
      </c>
      <c r="H202" t="s">
        <v>1438</v>
      </c>
      <c r="I202">
        <v>21424.48</v>
      </c>
      <c r="J202">
        <v>144401633.80793101</v>
      </c>
      <c r="K202">
        <v>175622945.31374899</v>
      </c>
      <c r="L202">
        <v>160873056.97637299</v>
      </c>
      <c r="M202">
        <v>186581666.80803499</v>
      </c>
      <c r="N202">
        <v>164010977.32528901</v>
      </c>
      <c r="O202" t="s">
        <v>59</v>
      </c>
      <c r="P202">
        <v>1</v>
      </c>
      <c r="Q202" t="s">
        <v>1580</v>
      </c>
      <c r="R202">
        <v>0.84373944999999995</v>
      </c>
      <c r="S202">
        <v>0.56000000000000005</v>
      </c>
      <c r="T202">
        <v>46.18</v>
      </c>
      <c r="U202">
        <v>0.86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0.86</v>
      </c>
      <c r="AI202">
        <v>0</v>
      </c>
      <c r="AJ202">
        <v>0</v>
      </c>
      <c r="AK202">
        <v>39</v>
      </c>
      <c r="AZ202" t="s">
        <v>1920</v>
      </c>
      <c r="BA202" t="s">
        <v>1940</v>
      </c>
      <c r="BB202">
        <v>210</v>
      </c>
      <c r="BC202" t="s">
        <v>1580</v>
      </c>
      <c r="BD202">
        <v>172.57</v>
      </c>
      <c r="BE202">
        <v>145.60411688650001</v>
      </c>
      <c r="BF202">
        <v>18076675213.26656</v>
      </c>
      <c r="BG202">
        <v>201</v>
      </c>
    </row>
    <row r="203" spans="1:59" x14ac:dyDescent="0.25">
      <c r="A203">
        <v>236</v>
      </c>
      <c r="B203" t="s">
        <v>322</v>
      </c>
      <c r="C203" t="s">
        <v>763</v>
      </c>
      <c r="D203" t="s">
        <v>1210</v>
      </c>
      <c r="E203" t="s">
        <v>61</v>
      </c>
      <c r="F203">
        <v>404.76190000000003</v>
      </c>
      <c r="G203">
        <v>52693110</v>
      </c>
      <c r="H203" t="s">
        <v>1438</v>
      </c>
      <c r="I203">
        <v>21328.16</v>
      </c>
      <c r="J203">
        <v>475858097.80474001</v>
      </c>
      <c r="K203">
        <v>395948317.89871299</v>
      </c>
      <c r="L203">
        <v>399359442.55773503</v>
      </c>
      <c r="M203">
        <v>462807289.37766802</v>
      </c>
      <c r="N203">
        <v>343205717.68730402</v>
      </c>
      <c r="O203" t="s">
        <v>59</v>
      </c>
      <c r="P203">
        <v>1</v>
      </c>
      <c r="Q203" t="s">
        <v>1653</v>
      </c>
      <c r="R203">
        <v>0.84373944999999995</v>
      </c>
      <c r="S203">
        <v>1.24</v>
      </c>
      <c r="T203">
        <v>58.47</v>
      </c>
      <c r="U203">
        <v>0.84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0.84</v>
      </c>
      <c r="AI203">
        <v>0</v>
      </c>
      <c r="AJ203">
        <v>0</v>
      </c>
      <c r="AK203">
        <v>133</v>
      </c>
      <c r="AZ203" t="s">
        <v>1920</v>
      </c>
      <c r="BA203" t="s">
        <v>1940</v>
      </c>
      <c r="BB203">
        <v>64</v>
      </c>
      <c r="BC203" t="s">
        <v>1653</v>
      </c>
      <c r="BD203">
        <v>502.55</v>
      </c>
      <c r="BE203">
        <v>424.02126059749997</v>
      </c>
      <c r="BF203">
        <v>17995412789.556438</v>
      </c>
      <c r="BG203">
        <v>202</v>
      </c>
    </row>
    <row r="204" spans="1:59" x14ac:dyDescent="0.25">
      <c r="A204">
        <v>325</v>
      </c>
      <c r="B204" t="s">
        <v>399</v>
      </c>
      <c r="C204" t="s">
        <v>847</v>
      </c>
      <c r="D204" t="s">
        <v>1287</v>
      </c>
      <c r="E204" t="s">
        <v>61</v>
      </c>
      <c r="F204">
        <v>110.99160000000001</v>
      </c>
      <c r="G204">
        <v>191233300</v>
      </c>
      <c r="H204" t="s">
        <v>1439</v>
      </c>
      <c r="I204">
        <v>21225.3</v>
      </c>
      <c r="J204">
        <v>112615102.433245</v>
      </c>
      <c r="K204">
        <v>163903694.813647</v>
      </c>
      <c r="L204">
        <v>197355908.91684401</v>
      </c>
      <c r="M204">
        <v>228766457.99423599</v>
      </c>
      <c r="N204">
        <v>140235440.45392299</v>
      </c>
      <c r="O204" t="s">
        <v>58</v>
      </c>
      <c r="P204">
        <v>1</v>
      </c>
      <c r="Q204" t="s">
        <v>1737</v>
      </c>
      <c r="R204">
        <v>0.84373944999999995</v>
      </c>
      <c r="S204">
        <v>0.72</v>
      </c>
      <c r="T204">
        <v>55.2</v>
      </c>
      <c r="U204">
        <v>0.89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0.89</v>
      </c>
      <c r="AI204">
        <v>0</v>
      </c>
      <c r="AJ204">
        <v>0</v>
      </c>
      <c r="AK204">
        <v>67</v>
      </c>
      <c r="AZ204" t="s">
        <v>1920</v>
      </c>
      <c r="BA204" t="s">
        <v>1940</v>
      </c>
      <c r="BB204">
        <v>101</v>
      </c>
      <c r="BC204" t="s">
        <v>1737</v>
      </c>
      <c r="BD204">
        <v>129.25</v>
      </c>
      <c r="BE204">
        <v>109.05332391250001</v>
      </c>
      <c r="BF204">
        <v>17908614460.30238</v>
      </c>
      <c r="BG204">
        <v>203</v>
      </c>
    </row>
    <row r="205" spans="1:59" x14ac:dyDescent="0.25">
      <c r="A205">
        <v>93</v>
      </c>
      <c r="B205" t="s">
        <v>192</v>
      </c>
      <c r="C205" t="s">
        <v>628</v>
      </c>
      <c r="D205" t="s">
        <v>1080</v>
      </c>
      <c r="E205" t="s">
        <v>61</v>
      </c>
      <c r="F205">
        <v>32.471409999999999</v>
      </c>
      <c r="G205">
        <v>652864870</v>
      </c>
      <c r="H205" t="s">
        <v>1438</v>
      </c>
      <c r="I205">
        <v>21199.439999999999</v>
      </c>
      <c r="J205">
        <v>136112004.36421099</v>
      </c>
      <c r="K205">
        <v>180645698.51698101</v>
      </c>
      <c r="L205">
        <v>173795785.30269599</v>
      </c>
      <c r="M205">
        <v>201241200.97720101</v>
      </c>
      <c r="N205">
        <v>161970560.64626601</v>
      </c>
      <c r="O205" t="s">
        <v>59</v>
      </c>
      <c r="P205">
        <v>1</v>
      </c>
      <c r="Q205" t="s">
        <v>1518</v>
      </c>
      <c r="R205">
        <v>0.84373944999999995</v>
      </c>
      <c r="S205">
        <v>2.23</v>
      </c>
      <c r="T205">
        <v>49.18</v>
      </c>
      <c r="U205">
        <v>0.87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6.0999999999999999E-2</v>
      </c>
      <c r="AH205">
        <v>0.87</v>
      </c>
      <c r="AI205">
        <v>0</v>
      </c>
      <c r="AJ205">
        <v>6.0999999999999999E-2</v>
      </c>
      <c r="AK205">
        <v>256</v>
      </c>
      <c r="AZ205" t="s">
        <v>1920</v>
      </c>
      <c r="BA205" t="s">
        <v>1940</v>
      </c>
      <c r="BB205">
        <v>183</v>
      </c>
      <c r="BC205" t="s">
        <v>1518</v>
      </c>
      <c r="BD205">
        <v>37.65</v>
      </c>
      <c r="BE205">
        <v>31.766790292500001</v>
      </c>
      <c r="BF205">
        <v>17886806266.062141</v>
      </c>
      <c r="BG205">
        <v>204</v>
      </c>
    </row>
    <row r="206" spans="1:59" x14ac:dyDescent="0.25">
      <c r="A206">
        <v>395</v>
      </c>
      <c r="B206" t="s">
        <v>457</v>
      </c>
      <c r="C206" t="s">
        <v>911</v>
      </c>
      <c r="D206" t="s">
        <v>1345</v>
      </c>
      <c r="E206" t="s">
        <v>61</v>
      </c>
      <c r="F206">
        <v>190.19460000000001</v>
      </c>
      <c r="G206">
        <v>107379010</v>
      </c>
      <c r="H206" t="s">
        <v>1439</v>
      </c>
      <c r="I206">
        <v>20422.91</v>
      </c>
      <c r="J206">
        <v>162727372.67116299</v>
      </c>
      <c r="K206">
        <v>177557678.95774001</v>
      </c>
      <c r="L206">
        <v>143479187.79629499</v>
      </c>
      <c r="M206">
        <v>166343875.40963399</v>
      </c>
      <c r="N206">
        <v>175509297.88862699</v>
      </c>
      <c r="O206" t="s">
        <v>58</v>
      </c>
      <c r="P206">
        <v>1</v>
      </c>
      <c r="Q206" t="s">
        <v>1801</v>
      </c>
      <c r="R206">
        <v>0.84373944999999995</v>
      </c>
      <c r="S206">
        <v>1.4</v>
      </c>
      <c r="T206">
        <v>48.83</v>
      </c>
      <c r="U206">
        <v>0.67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H206">
        <v>0.67</v>
      </c>
      <c r="AI206">
        <v>0</v>
      </c>
      <c r="AJ206">
        <v>0</v>
      </c>
      <c r="AK206">
        <v>150</v>
      </c>
      <c r="AZ206" t="s">
        <v>1920</v>
      </c>
      <c r="BA206" t="s">
        <v>1940</v>
      </c>
      <c r="BB206">
        <v>186</v>
      </c>
      <c r="BC206" t="s">
        <v>1801</v>
      </c>
      <c r="BD206">
        <v>199.18</v>
      </c>
      <c r="BE206">
        <v>168.056023651</v>
      </c>
      <c r="BF206">
        <v>17231613041.270309</v>
      </c>
      <c r="BG206">
        <v>205</v>
      </c>
    </row>
    <row r="207" spans="1:59" x14ac:dyDescent="0.25">
      <c r="A207">
        <v>379</v>
      </c>
      <c r="B207" t="s">
        <v>444</v>
      </c>
      <c r="C207" t="s">
        <v>897</v>
      </c>
      <c r="D207" t="s">
        <v>1332</v>
      </c>
      <c r="E207" t="s">
        <v>61</v>
      </c>
      <c r="F207">
        <v>22.836659999999998</v>
      </c>
      <c r="G207">
        <v>892308350</v>
      </c>
      <c r="H207" t="s">
        <v>1438</v>
      </c>
      <c r="I207">
        <v>20377.349999999999</v>
      </c>
      <c r="J207">
        <v>311521926.57183403</v>
      </c>
      <c r="K207">
        <v>218038786.791931</v>
      </c>
      <c r="L207">
        <v>259053811.54873899</v>
      </c>
      <c r="M207">
        <v>300827653.48498702</v>
      </c>
      <c r="N207">
        <v>197197556.795405</v>
      </c>
      <c r="O207" t="s">
        <v>59</v>
      </c>
      <c r="P207">
        <v>1</v>
      </c>
      <c r="Q207" t="s">
        <v>1787</v>
      </c>
      <c r="R207">
        <v>0.84373944999999995</v>
      </c>
      <c r="S207">
        <v>2.65</v>
      </c>
      <c r="T207">
        <v>41.92</v>
      </c>
      <c r="U207">
        <v>0.93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0.93</v>
      </c>
      <c r="AI207">
        <v>0</v>
      </c>
      <c r="AJ207">
        <v>0</v>
      </c>
      <c r="AK207">
        <v>316</v>
      </c>
      <c r="AZ207" t="s">
        <v>1920</v>
      </c>
      <c r="BA207" t="s">
        <v>1940</v>
      </c>
      <c r="BB207">
        <v>248</v>
      </c>
      <c r="BC207" t="s">
        <v>1787</v>
      </c>
      <c r="BD207">
        <v>26.56</v>
      </c>
      <c r="BE207">
        <v>22.409719792000001</v>
      </c>
      <c r="BF207">
        <v>17193167672.50629</v>
      </c>
      <c r="BG207">
        <v>206</v>
      </c>
    </row>
    <row r="208" spans="1:59" x14ac:dyDescent="0.25">
      <c r="A208">
        <v>423</v>
      </c>
      <c r="B208" t="s">
        <v>483</v>
      </c>
      <c r="C208" t="s">
        <v>937</v>
      </c>
      <c r="D208" t="s">
        <v>1371</v>
      </c>
      <c r="E208" t="s">
        <v>61</v>
      </c>
      <c r="F208">
        <v>92.413380000000004</v>
      </c>
      <c r="G208">
        <v>219715240</v>
      </c>
      <c r="H208" t="s">
        <v>1439</v>
      </c>
      <c r="I208">
        <v>20304.63</v>
      </c>
      <c r="J208">
        <v>110854488.46689799</v>
      </c>
      <c r="K208">
        <v>157245515.25165701</v>
      </c>
      <c r="L208">
        <v>130743223.840482</v>
      </c>
      <c r="M208">
        <v>151536730.24213001</v>
      </c>
      <c r="N208">
        <v>150460297.582928</v>
      </c>
      <c r="O208" t="s">
        <v>58</v>
      </c>
      <c r="P208">
        <v>1</v>
      </c>
      <c r="Q208" t="s">
        <v>1827</v>
      </c>
      <c r="R208">
        <v>0.84373944999999995</v>
      </c>
      <c r="S208">
        <v>1.2</v>
      </c>
      <c r="T208">
        <v>47.36</v>
      </c>
      <c r="U208">
        <v>0.94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0.94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200</v>
      </c>
      <c r="BC208" t="s">
        <v>1827</v>
      </c>
      <c r="BD208">
        <v>103.69</v>
      </c>
      <c r="BE208">
        <v>87.487343570499988</v>
      </c>
      <c r="BF208">
        <v>17131815632.412531</v>
      </c>
      <c r="BG208">
        <v>207</v>
      </c>
    </row>
    <row r="209" spans="1:59" x14ac:dyDescent="0.25">
      <c r="A209">
        <v>490</v>
      </c>
      <c r="B209" t="s">
        <v>540</v>
      </c>
      <c r="C209" t="s">
        <v>998</v>
      </c>
      <c r="D209" t="s">
        <v>1428</v>
      </c>
      <c r="E209" t="s">
        <v>61</v>
      </c>
      <c r="F209">
        <v>173.59620000000001</v>
      </c>
      <c r="G209">
        <v>122998060</v>
      </c>
      <c r="H209" t="s">
        <v>1438</v>
      </c>
      <c r="I209">
        <v>21351.99</v>
      </c>
      <c r="J209">
        <v>233330863.05727199</v>
      </c>
      <c r="K209">
        <v>308855072.81317502</v>
      </c>
      <c r="L209">
        <v>223550067.172243</v>
      </c>
      <c r="M209">
        <v>258756896.96623299</v>
      </c>
      <c r="N209">
        <v>290690982.533373</v>
      </c>
      <c r="O209" t="s">
        <v>59</v>
      </c>
      <c r="P209">
        <v>0.95</v>
      </c>
      <c r="Q209" t="s">
        <v>1888</v>
      </c>
      <c r="R209">
        <v>0.84373944999999995</v>
      </c>
      <c r="S209">
        <v>0.55000000000000004</v>
      </c>
      <c r="T209">
        <v>48.56</v>
      </c>
      <c r="U209">
        <v>0.92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0.92</v>
      </c>
      <c r="AI209">
        <v>0</v>
      </c>
      <c r="AJ209">
        <v>0</v>
      </c>
      <c r="AK209">
        <v>37</v>
      </c>
      <c r="AZ209" t="s">
        <v>1920</v>
      </c>
      <c r="BA209" t="s">
        <v>1940</v>
      </c>
      <c r="BB209">
        <v>188</v>
      </c>
      <c r="BC209" t="s">
        <v>1888</v>
      </c>
      <c r="BD209">
        <v>196.06</v>
      </c>
      <c r="BE209">
        <v>165.42355656699999</v>
      </c>
      <c r="BF209">
        <v>17114745151.79348</v>
      </c>
      <c r="BG209">
        <v>208</v>
      </c>
    </row>
    <row r="210" spans="1:59" x14ac:dyDescent="0.25">
      <c r="A210">
        <v>259</v>
      </c>
      <c r="B210" t="s">
        <v>341</v>
      </c>
      <c r="C210" t="s">
        <v>785</v>
      </c>
      <c r="D210" t="s">
        <v>1229</v>
      </c>
      <c r="E210" t="s">
        <v>61</v>
      </c>
      <c r="F210">
        <v>68.399050000000003</v>
      </c>
      <c r="G210">
        <v>347669200</v>
      </c>
      <c r="H210" t="s">
        <v>1438</v>
      </c>
      <c r="I210">
        <v>23780.240000000002</v>
      </c>
      <c r="J210">
        <v>128080304.84501299</v>
      </c>
      <c r="K210">
        <v>221848974.68702999</v>
      </c>
      <c r="L210">
        <v>224395147.993139</v>
      </c>
      <c r="M210">
        <v>259925656.72560501</v>
      </c>
      <c r="N210">
        <v>193789709.109209</v>
      </c>
      <c r="O210" t="s">
        <v>59</v>
      </c>
      <c r="P210">
        <v>0.85</v>
      </c>
      <c r="Q210" t="s">
        <v>1675</v>
      </c>
      <c r="R210">
        <v>0.84373944999999995</v>
      </c>
      <c r="S210">
        <v>0.88</v>
      </c>
      <c r="T210">
        <v>50.11</v>
      </c>
      <c r="U210">
        <v>0.98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0.98</v>
      </c>
      <c r="AI210">
        <v>0</v>
      </c>
      <c r="AJ210">
        <v>0</v>
      </c>
      <c r="AK210">
        <v>93</v>
      </c>
      <c r="AZ210" t="s">
        <v>1920</v>
      </c>
      <c r="BA210" t="s">
        <v>1940</v>
      </c>
      <c r="BB210">
        <v>173</v>
      </c>
      <c r="BC210" t="s">
        <v>1675</v>
      </c>
      <c r="BD210">
        <v>79.42</v>
      </c>
      <c r="BE210">
        <v>67.009787118999995</v>
      </c>
      <c r="BF210">
        <v>17054679773.116791</v>
      </c>
      <c r="BG210">
        <v>209</v>
      </c>
    </row>
    <row r="211" spans="1:59" x14ac:dyDescent="0.25">
      <c r="A211">
        <v>235</v>
      </c>
      <c r="B211" t="s">
        <v>321</v>
      </c>
      <c r="C211" t="s">
        <v>762</v>
      </c>
      <c r="D211" t="s">
        <v>1209</v>
      </c>
      <c r="E211" t="s">
        <v>61</v>
      </c>
      <c r="F211">
        <v>376.21609999999998</v>
      </c>
      <c r="G211">
        <v>53140010</v>
      </c>
      <c r="H211" t="s">
        <v>1438</v>
      </c>
      <c r="I211">
        <v>19992.13</v>
      </c>
      <c r="J211">
        <v>162133380.69778201</v>
      </c>
      <c r="K211">
        <v>211389533.698055</v>
      </c>
      <c r="L211">
        <v>194501746.813503</v>
      </c>
      <c r="M211">
        <v>225241399.33933401</v>
      </c>
      <c r="N211">
        <v>196695252.661441</v>
      </c>
      <c r="O211" t="s">
        <v>59</v>
      </c>
      <c r="P211">
        <v>1</v>
      </c>
      <c r="Q211" t="s">
        <v>1652</v>
      </c>
      <c r="R211">
        <v>0.84373944999999995</v>
      </c>
      <c r="S211">
        <v>1.75</v>
      </c>
      <c r="T211">
        <v>48.4</v>
      </c>
      <c r="U211">
        <v>0.91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0.91</v>
      </c>
      <c r="AI211">
        <v>0</v>
      </c>
      <c r="AJ211">
        <v>0</v>
      </c>
      <c r="AK211">
        <v>189</v>
      </c>
      <c r="AZ211" t="s">
        <v>1920</v>
      </c>
      <c r="BA211" t="s">
        <v>1940</v>
      </c>
      <c r="BB211">
        <v>190</v>
      </c>
      <c r="BC211" t="s">
        <v>1652</v>
      </c>
      <c r="BD211">
        <v>435.44</v>
      </c>
      <c r="BE211">
        <v>367.39790610799997</v>
      </c>
      <c r="BF211">
        <v>16868146506.067659</v>
      </c>
      <c r="BG211">
        <v>210</v>
      </c>
    </row>
    <row r="212" spans="1:59" x14ac:dyDescent="0.25">
      <c r="A212">
        <v>274</v>
      </c>
      <c r="B212" t="s">
        <v>355</v>
      </c>
      <c r="C212" t="s">
        <v>799</v>
      </c>
      <c r="D212" t="s">
        <v>1243</v>
      </c>
      <c r="E212" t="s">
        <v>61</v>
      </c>
      <c r="F212">
        <v>155.09469999999999</v>
      </c>
      <c r="G212">
        <v>128297330</v>
      </c>
      <c r="H212" t="s">
        <v>1438</v>
      </c>
      <c r="I212">
        <v>19898.240000000002</v>
      </c>
      <c r="J212">
        <v>148746277.27362001</v>
      </c>
      <c r="K212">
        <v>172768602.111047</v>
      </c>
      <c r="L212">
        <v>144765612.90722901</v>
      </c>
      <c r="M212">
        <v>167468293.18359801</v>
      </c>
      <c r="N212">
        <v>176442130.64753601</v>
      </c>
      <c r="O212" t="s">
        <v>59</v>
      </c>
      <c r="P212">
        <v>1</v>
      </c>
      <c r="Q212" t="s">
        <v>1689</v>
      </c>
      <c r="R212">
        <v>0.84373944999999995</v>
      </c>
      <c r="S212">
        <v>2.37</v>
      </c>
      <c r="T212">
        <v>56.89</v>
      </c>
      <c r="U212">
        <v>0.87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0.87</v>
      </c>
      <c r="AI212">
        <v>0</v>
      </c>
      <c r="AJ212">
        <v>0</v>
      </c>
      <c r="AK212">
        <v>276</v>
      </c>
      <c r="AZ212" t="s">
        <v>1920</v>
      </c>
      <c r="BA212" t="s">
        <v>1940</v>
      </c>
      <c r="BB212">
        <v>84</v>
      </c>
      <c r="BC212" t="s">
        <v>1689</v>
      </c>
      <c r="BD212">
        <v>182.58</v>
      </c>
      <c r="BE212">
        <v>154.04994878100001</v>
      </c>
      <c r="BF212">
        <v>16788926620.269831</v>
      </c>
      <c r="BG212">
        <v>211</v>
      </c>
    </row>
    <row r="213" spans="1:59" x14ac:dyDescent="0.25">
      <c r="A213">
        <v>269</v>
      </c>
      <c r="B213" t="s">
        <v>350</v>
      </c>
      <c r="C213" t="s">
        <v>794</v>
      </c>
      <c r="D213" t="s">
        <v>1238</v>
      </c>
      <c r="E213" t="s">
        <v>61</v>
      </c>
      <c r="F213">
        <v>23.946069999999999</v>
      </c>
      <c r="G213">
        <v>1183599200</v>
      </c>
      <c r="H213" t="s">
        <v>1439</v>
      </c>
      <c r="I213">
        <v>28342.55</v>
      </c>
      <c r="J213">
        <v>248024959.74380401</v>
      </c>
      <c r="K213">
        <v>321514648.44335902</v>
      </c>
      <c r="L213">
        <v>339601934.055085</v>
      </c>
      <c r="M213">
        <v>394050568.934497</v>
      </c>
      <c r="N213">
        <v>296396205.90447199</v>
      </c>
      <c r="O213" t="s">
        <v>58</v>
      </c>
      <c r="P213">
        <v>0.7</v>
      </c>
      <c r="Q213" t="s">
        <v>1684</v>
      </c>
      <c r="R213">
        <v>0.84373944999999995</v>
      </c>
      <c r="S213">
        <v>1.01</v>
      </c>
      <c r="T213">
        <v>53.23</v>
      </c>
      <c r="U213">
        <v>0.94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0.94</v>
      </c>
      <c r="AI213">
        <v>0</v>
      </c>
      <c r="AJ213">
        <v>0</v>
      </c>
      <c r="AK213">
        <v>108</v>
      </c>
      <c r="AZ213" t="s">
        <v>1920</v>
      </c>
      <c r="BA213" t="s">
        <v>1940</v>
      </c>
      <c r="BB213">
        <v>134</v>
      </c>
      <c r="BC213" t="s">
        <v>1684</v>
      </c>
      <c r="BD213">
        <v>25.93</v>
      </c>
      <c r="BE213">
        <v>21.878163938499998</v>
      </c>
      <c r="BF213">
        <v>16739608867.71788</v>
      </c>
      <c r="BG213">
        <v>212</v>
      </c>
    </row>
    <row r="214" spans="1:59" x14ac:dyDescent="0.25">
      <c r="A214">
        <v>101</v>
      </c>
      <c r="B214" t="s">
        <v>199</v>
      </c>
      <c r="C214" t="s">
        <v>635</v>
      </c>
      <c r="D214" t="s">
        <v>1087</v>
      </c>
      <c r="E214" t="s">
        <v>61</v>
      </c>
      <c r="F214">
        <v>81.088920000000002</v>
      </c>
      <c r="G214">
        <v>243608690</v>
      </c>
      <c r="H214" t="s">
        <v>1438</v>
      </c>
      <c r="I214">
        <v>19753.97</v>
      </c>
      <c r="J214">
        <v>168736479.517203</v>
      </c>
      <c r="K214">
        <v>192738846.98353299</v>
      </c>
      <c r="L214">
        <v>190567487.614977</v>
      </c>
      <c r="M214">
        <v>220590919.22888601</v>
      </c>
      <c r="N214">
        <v>169753859.68758401</v>
      </c>
      <c r="O214" t="s">
        <v>59</v>
      </c>
      <c r="P214">
        <v>1</v>
      </c>
      <c r="Q214" t="s">
        <v>1525</v>
      </c>
      <c r="R214">
        <v>0.84373944999999995</v>
      </c>
      <c r="S214">
        <v>2.2000000000000002</v>
      </c>
      <c r="T214">
        <v>52.75</v>
      </c>
      <c r="U214">
        <v>0.94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0.94</v>
      </c>
      <c r="AI214">
        <v>0</v>
      </c>
      <c r="AJ214">
        <v>0</v>
      </c>
      <c r="AK214">
        <v>252</v>
      </c>
      <c r="AZ214" t="s">
        <v>1920</v>
      </c>
      <c r="BA214" t="s">
        <v>1940</v>
      </c>
      <c r="BB214">
        <v>141</v>
      </c>
      <c r="BC214" t="s">
        <v>1525</v>
      </c>
      <c r="BD214">
        <v>91.52</v>
      </c>
      <c r="BE214">
        <v>77.219034463999989</v>
      </c>
      <c r="BF214">
        <v>16667200049.3288</v>
      </c>
      <c r="BG214">
        <v>213</v>
      </c>
    </row>
    <row r="215" spans="1:59" x14ac:dyDescent="0.25">
      <c r="A215">
        <v>317</v>
      </c>
      <c r="B215" t="s">
        <v>392</v>
      </c>
      <c r="C215" t="s">
        <v>839</v>
      </c>
      <c r="D215" t="s">
        <v>1280</v>
      </c>
      <c r="E215" t="s">
        <v>61</v>
      </c>
      <c r="F215">
        <v>141.321</v>
      </c>
      <c r="G215">
        <v>137248110</v>
      </c>
      <c r="H215" t="s">
        <v>1439</v>
      </c>
      <c r="I215">
        <v>19396.05</v>
      </c>
      <c r="J215">
        <v>225709548.33144099</v>
      </c>
      <c r="K215">
        <v>210969772.13308299</v>
      </c>
      <c r="L215">
        <v>187367242.72490099</v>
      </c>
      <c r="M215">
        <v>217151876.37745199</v>
      </c>
      <c r="N215">
        <v>191438896.613383</v>
      </c>
      <c r="O215" t="s">
        <v>58</v>
      </c>
      <c r="P215">
        <v>1</v>
      </c>
      <c r="Q215" t="s">
        <v>1729</v>
      </c>
      <c r="R215">
        <v>0.84373944999999995</v>
      </c>
      <c r="S215">
        <v>2.58</v>
      </c>
      <c r="T215">
        <v>60.33</v>
      </c>
      <c r="U215">
        <v>0.6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0.6</v>
      </c>
      <c r="AI215">
        <v>0</v>
      </c>
      <c r="AJ215">
        <v>0</v>
      </c>
      <c r="AK215">
        <v>307</v>
      </c>
      <c r="AZ215" t="s">
        <v>1920</v>
      </c>
      <c r="BA215" t="s">
        <v>1940</v>
      </c>
      <c r="BB215">
        <v>48</v>
      </c>
      <c r="BC215" t="s">
        <v>1729</v>
      </c>
      <c r="BD215">
        <v>175.01</v>
      </c>
      <c r="BE215">
        <v>147.66284114449999</v>
      </c>
      <c r="BF215">
        <v>16365204251.131689</v>
      </c>
      <c r="BG215">
        <v>214</v>
      </c>
    </row>
    <row r="216" spans="1:59" x14ac:dyDescent="0.25">
      <c r="A216">
        <v>465</v>
      </c>
      <c r="B216" t="s">
        <v>519</v>
      </c>
      <c r="C216" t="s">
        <v>975</v>
      </c>
      <c r="D216" t="s">
        <v>1407</v>
      </c>
      <c r="E216" t="s">
        <v>61</v>
      </c>
      <c r="F216">
        <v>230.0307</v>
      </c>
      <c r="G216">
        <v>93408590</v>
      </c>
      <c r="H216" t="s">
        <v>1439</v>
      </c>
      <c r="I216">
        <v>21486.85</v>
      </c>
      <c r="J216">
        <v>201567955.54979801</v>
      </c>
      <c r="K216">
        <v>212940578.56982499</v>
      </c>
      <c r="L216">
        <v>204446633.527778</v>
      </c>
      <c r="M216">
        <v>236628346.67031899</v>
      </c>
      <c r="N216">
        <v>168300258.517629</v>
      </c>
      <c r="O216" t="s">
        <v>58</v>
      </c>
      <c r="P216">
        <v>0.9</v>
      </c>
      <c r="Q216" t="s">
        <v>1865</v>
      </c>
      <c r="R216">
        <v>0.84373944999999995</v>
      </c>
      <c r="S216">
        <v>2.65</v>
      </c>
      <c r="T216">
        <v>51.41</v>
      </c>
      <c r="U216" t="s">
        <v>1899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I216">
        <v>0</v>
      </c>
      <c r="AJ216">
        <v>0</v>
      </c>
      <c r="AK216">
        <v>316</v>
      </c>
      <c r="AZ216" t="s">
        <v>1920</v>
      </c>
      <c r="BA216" t="s">
        <v>1940</v>
      </c>
      <c r="BB216">
        <v>161</v>
      </c>
      <c r="BC216" t="s">
        <v>1865</v>
      </c>
      <c r="BD216">
        <v>287.47000000000003</v>
      </c>
      <c r="BE216">
        <v>242.54977969149999</v>
      </c>
      <c r="BF216">
        <v>16316367646.55451</v>
      </c>
      <c r="BG216">
        <v>215</v>
      </c>
    </row>
    <row r="217" spans="1:59" x14ac:dyDescent="0.25">
      <c r="A217">
        <v>183</v>
      </c>
      <c r="B217" t="s">
        <v>274</v>
      </c>
      <c r="C217" t="s">
        <v>713</v>
      </c>
      <c r="D217" t="s">
        <v>1162</v>
      </c>
      <c r="E217" t="s">
        <v>61</v>
      </c>
      <c r="F217">
        <v>55.692100000000003</v>
      </c>
      <c r="G217">
        <v>381898070</v>
      </c>
      <c r="H217" t="s">
        <v>1438</v>
      </c>
      <c r="I217">
        <v>21268.7</v>
      </c>
      <c r="J217">
        <v>115551052.297969</v>
      </c>
      <c r="K217">
        <v>121467112.54985499</v>
      </c>
      <c r="L217">
        <v>117760447.85456499</v>
      </c>
      <c r="M217">
        <v>136445862.46103799</v>
      </c>
      <c r="N217">
        <v>113902617.456264</v>
      </c>
      <c r="O217" t="s">
        <v>59</v>
      </c>
      <c r="P217">
        <v>0.9</v>
      </c>
      <c r="Q217" t="s">
        <v>1603</v>
      </c>
      <c r="R217">
        <v>0.84373944999999995</v>
      </c>
      <c r="S217">
        <v>2.92</v>
      </c>
      <c r="T217">
        <v>55.09</v>
      </c>
      <c r="U217">
        <v>0.93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0.93</v>
      </c>
      <c r="AI217">
        <v>0</v>
      </c>
      <c r="AJ217">
        <v>0</v>
      </c>
      <c r="AK217">
        <v>347</v>
      </c>
      <c r="AZ217" t="s">
        <v>1920</v>
      </c>
      <c r="BA217" t="s">
        <v>1940</v>
      </c>
      <c r="BB217">
        <v>102</v>
      </c>
      <c r="BC217" t="s">
        <v>1603</v>
      </c>
      <c r="BD217">
        <v>64.75</v>
      </c>
      <c r="BE217">
        <v>54.632129387499987</v>
      </c>
      <c r="BF217">
        <v>16150721295.928801</v>
      </c>
      <c r="BG217">
        <v>216</v>
      </c>
    </row>
    <row r="218" spans="1:59" x14ac:dyDescent="0.25">
      <c r="A218">
        <v>142</v>
      </c>
      <c r="B218" t="s">
        <v>236</v>
      </c>
      <c r="C218" t="s">
        <v>674</v>
      </c>
      <c r="D218" t="s">
        <v>1124</v>
      </c>
      <c r="E218" t="s">
        <v>61</v>
      </c>
      <c r="F218">
        <v>376.5489</v>
      </c>
      <c r="G218">
        <v>50407204</v>
      </c>
      <c r="H218" t="s">
        <v>1439</v>
      </c>
      <c r="I218">
        <v>18980.78</v>
      </c>
      <c r="J218">
        <v>574993918.10023904</v>
      </c>
      <c r="K218">
        <v>353949782.28619999</v>
      </c>
      <c r="L218">
        <v>486448489.63727802</v>
      </c>
      <c r="M218">
        <v>562193697.46285796</v>
      </c>
      <c r="N218">
        <v>252060183.89034599</v>
      </c>
      <c r="O218" t="s">
        <v>58</v>
      </c>
      <c r="P218">
        <v>1</v>
      </c>
      <c r="Q218" t="s">
        <v>1564</v>
      </c>
      <c r="R218">
        <v>0.84373944999999995</v>
      </c>
      <c r="S218">
        <v>3.18</v>
      </c>
      <c r="T218">
        <v>55.86</v>
      </c>
      <c r="U218">
        <v>0.82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0.82</v>
      </c>
      <c r="AI218">
        <v>0</v>
      </c>
      <c r="AJ218">
        <v>0</v>
      </c>
      <c r="AK218">
        <v>363</v>
      </c>
      <c r="AZ218" t="s">
        <v>1920</v>
      </c>
      <c r="BA218" t="s">
        <v>1940</v>
      </c>
      <c r="BB218">
        <v>95</v>
      </c>
      <c r="BC218" t="s">
        <v>1564</v>
      </c>
      <c r="BD218">
        <v>475.94</v>
      </c>
      <c r="BE218">
        <v>401.56935383299998</v>
      </c>
      <c r="BF218">
        <v>16014830530.720381</v>
      </c>
      <c r="BG218">
        <v>217</v>
      </c>
    </row>
    <row r="219" spans="1:59" x14ac:dyDescent="0.25">
      <c r="A219">
        <v>318</v>
      </c>
      <c r="B219" t="s">
        <v>393</v>
      </c>
      <c r="C219" t="s">
        <v>840</v>
      </c>
      <c r="D219" t="s">
        <v>1281</v>
      </c>
      <c r="E219" t="s">
        <v>61</v>
      </c>
      <c r="F219">
        <v>94.31644</v>
      </c>
      <c r="G219">
        <v>200098880</v>
      </c>
      <c r="H219" t="s">
        <v>1439</v>
      </c>
      <c r="I219">
        <v>18827.29</v>
      </c>
      <c r="J219">
        <v>142025909.590285</v>
      </c>
      <c r="K219">
        <v>189750743.90737501</v>
      </c>
      <c r="L219">
        <v>176163061.09731099</v>
      </c>
      <c r="M219">
        <v>203672789.87275401</v>
      </c>
      <c r="N219">
        <v>188809772.190366</v>
      </c>
      <c r="O219" t="s">
        <v>58</v>
      </c>
      <c r="P219">
        <v>1</v>
      </c>
      <c r="Q219" t="s">
        <v>1730</v>
      </c>
      <c r="R219">
        <v>0.84373944999999995</v>
      </c>
      <c r="S219">
        <v>2.0099999999999998</v>
      </c>
      <c r="T219">
        <v>53.8</v>
      </c>
      <c r="U219" t="s">
        <v>1899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I219">
        <v>0</v>
      </c>
      <c r="AJ219">
        <v>0</v>
      </c>
      <c r="AK219">
        <v>226</v>
      </c>
      <c r="AZ219" t="s">
        <v>1920</v>
      </c>
      <c r="BA219" t="s">
        <v>1940</v>
      </c>
      <c r="BB219">
        <v>123</v>
      </c>
      <c r="BC219" t="s">
        <v>1730</v>
      </c>
      <c r="BD219">
        <v>123.37</v>
      </c>
      <c r="BE219">
        <v>104.09213594649999</v>
      </c>
      <c r="BF219">
        <v>15923568964.5114</v>
      </c>
      <c r="BG219">
        <v>218</v>
      </c>
    </row>
    <row r="220" spans="1:59" x14ac:dyDescent="0.25">
      <c r="A220">
        <v>89</v>
      </c>
      <c r="B220" t="s">
        <v>190</v>
      </c>
      <c r="C220" t="s">
        <v>626</v>
      </c>
      <c r="D220" t="s">
        <v>1078</v>
      </c>
      <c r="E220" t="s">
        <v>61</v>
      </c>
      <c r="F220">
        <v>142.51580000000001</v>
      </c>
      <c r="G220">
        <v>131060750</v>
      </c>
      <c r="H220" t="s">
        <v>1439</v>
      </c>
      <c r="I220">
        <v>18678.23</v>
      </c>
      <c r="J220">
        <v>198700051.14243099</v>
      </c>
      <c r="K220">
        <v>196978577.87349999</v>
      </c>
      <c r="L220">
        <v>167154504.65584201</v>
      </c>
      <c r="M220">
        <v>193649077.93536299</v>
      </c>
      <c r="N220">
        <v>207560471.90876499</v>
      </c>
      <c r="O220" t="s">
        <v>58</v>
      </c>
      <c r="P220">
        <v>1</v>
      </c>
      <c r="Q220" t="s">
        <v>1516</v>
      </c>
      <c r="R220">
        <v>0.84373944999999995</v>
      </c>
      <c r="S220">
        <v>1.55</v>
      </c>
      <c r="T220">
        <v>53.48</v>
      </c>
      <c r="U220">
        <v>0.62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0.62</v>
      </c>
      <c r="AI220">
        <v>0</v>
      </c>
      <c r="AJ220">
        <v>0</v>
      </c>
      <c r="AK220">
        <v>165</v>
      </c>
      <c r="AZ220" t="s">
        <v>1920</v>
      </c>
      <c r="BA220" t="s">
        <v>1940</v>
      </c>
      <c r="BB220">
        <v>128</v>
      </c>
      <c r="BC220" t="s">
        <v>1516</v>
      </c>
      <c r="BD220">
        <v>166.15</v>
      </c>
      <c r="BE220">
        <v>140.18730961750001</v>
      </c>
      <c r="BF220">
        <v>15759557511.60314</v>
      </c>
      <c r="BG220">
        <v>219</v>
      </c>
    </row>
    <row r="221" spans="1:59" x14ac:dyDescent="0.25">
      <c r="A221">
        <v>284</v>
      </c>
      <c r="B221" t="s">
        <v>364</v>
      </c>
      <c r="C221" t="s">
        <v>808</v>
      </c>
      <c r="D221" t="s">
        <v>1252</v>
      </c>
      <c r="E221" t="s">
        <v>61</v>
      </c>
      <c r="F221">
        <v>177.15479999999999</v>
      </c>
      <c r="G221">
        <v>114729430</v>
      </c>
      <c r="H221" t="s">
        <v>1439</v>
      </c>
      <c r="I221">
        <v>20324.87</v>
      </c>
      <c r="J221">
        <v>585685466.55975795</v>
      </c>
      <c r="K221">
        <v>678492039.46873701</v>
      </c>
      <c r="L221">
        <v>742487969.26993501</v>
      </c>
      <c r="M221">
        <v>858921524.18741906</v>
      </c>
      <c r="N221">
        <v>642865367.580392</v>
      </c>
      <c r="O221" t="s">
        <v>58</v>
      </c>
      <c r="P221">
        <v>0.9</v>
      </c>
      <c r="Q221" t="s">
        <v>1698</v>
      </c>
      <c r="R221">
        <v>0.84373944999999995</v>
      </c>
      <c r="S221">
        <v>2.84</v>
      </c>
      <c r="T221">
        <v>55.81</v>
      </c>
      <c r="U221">
        <v>0.89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0.89</v>
      </c>
      <c r="AI221">
        <v>0</v>
      </c>
      <c r="AJ221">
        <v>0</v>
      </c>
      <c r="AK221">
        <v>337</v>
      </c>
      <c r="AZ221" t="s">
        <v>1920</v>
      </c>
      <c r="BA221" t="s">
        <v>1940</v>
      </c>
      <c r="BB221">
        <v>98</v>
      </c>
      <c r="BC221" t="s">
        <v>1698</v>
      </c>
      <c r="BD221">
        <v>162.34</v>
      </c>
      <c r="BE221">
        <v>136.972662313</v>
      </c>
      <c r="BF221">
        <v>15434004583.68124</v>
      </c>
      <c r="BG221">
        <v>220</v>
      </c>
    </row>
    <row r="222" spans="1:59" x14ac:dyDescent="0.25">
      <c r="A222">
        <v>254</v>
      </c>
      <c r="B222" t="s">
        <v>338</v>
      </c>
      <c r="C222" t="s">
        <v>780</v>
      </c>
      <c r="D222" t="s">
        <v>1226</v>
      </c>
      <c r="E222" t="s">
        <v>61</v>
      </c>
      <c r="F222">
        <v>179.07490000000001</v>
      </c>
      <c r="G222">
        <v>107318840</v>
      </c>
      <c r="H222" t="s">
        <v>1438</v>
      </c>
      <c r="I222">
        <v>19218.11</v>
      </c>
      <c r="J222">
        <v>245418878.164846</v>
      </c>
      <c r="K222">
        <v>224398456.176157</v>
      </c>
      <c r="L222">
        <v>265993213.893971</v>
      </c>
      <c r="M222">
        <v>308651754.45737797</v>
      </c>
      <c r="N222">
        <v>199171623.28808901</v>
      </c>
      <c r="O222" t="s">
        <v>59</v>
      </c>
      <c r="P222">
        <v>0.95</v>
      </c>
      <c r="Q222" t="s">
        <v>1670</v>
      </c>
      <c r="R222">
        <v>0.84373944999999995</v>
      </c>
      <c r="S222">
        <v>2.97</v>
      </c>
      <c r="T222">
        <v>52.96</v>
      </c>
      <c r="U222">
        <v>0.88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0.88</v>
      </c>
      <c r="AI222">
        <v>0</v>
      </c>
      <c r="AJ222">
        <v>0</v>
      </c>
      <c r="AK222">
        <v>350</v>
      </c>
      <c r="AZ222" t="s">
        <v>1920</v>
      </c>
      <c r="BA222" t="s">
        <v>1940</v>
      </c>
      <c r="BB222">
        <v>138</v>
      </c>
      <c r="BC222" t="s">
        <v>1670</v>
      </c>
      <c r="BD222">
        <v>213.33</v>
      </c>
      <c r="BE222">
        <v>179.99493686849999</v>
      </c>
      <c r="BF222">
        <v>15404324117.100389</v>
      </c>
      <c r="BG222">
        <v>221</v>
      </c>
    </row>
    <row r="223" spans="1:59" x14ac:dyDescent="0.25">
      <c r="A223">
        <v>184</v>
      </c>
      <c r="B223" t="s">
        <v>275</v>
      </c>
      <c r="C223" t="s">
        <v>714</v>
      </c>
      <c r="D223" t="s">
        <v>1163</v>
      </c>
      <c r="E223" t="s">
        <v>61</v>
      </c>
      <c r="F223">
        <v>77.854579999999999</v>
      </c>
      <c r="G223">
        <v>234347410</v>
      </c>
      <c r="H223" t="s">
        <v>1438</v>
      </c>
      <c r="I223">
        <v>18245.02</v>
      </c>
      <c r="J223">
        <v>336898540.43897402</v>
      </c>
      <c r="K223">
        <v>265408663.77211201</v>
      </c>
      <c r="L223">
        <v>303419109.15525502</v>
      </c>
      <c r="M223">
        <v>352309333.01222998</v>
      </c>
      <c r="N223">
        <v>295243808.15743798</v>
      </c>
      <c r="O223" t="s">
        <v>59</v>
      </c>
      <c r="P223">
        <v>1</v>
      </c>
      <c r="Q223" t="s">
        <v>1604</v>
      </c>
      <c r="R223">
        <v>0.84373944999999995</v>
      </c>
      <c r="S223">
        <v>1.71</v>
      </c>
      <c r="T223">
        <v>50.79</v>
      </c>
      <c r="U223">
        <v>0.9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0.9</v>
      </c>
      <c r="AI223">
        <v>0</v>
      </c>
      <c r="AJ223">
        <v>0</v>
      </c>
      <c r="AK223">
        <v>185</v>
      </c>
      <c r="AZ223" t="s">
        <v>1920</v>
      </c>
      <c r="BA223" t="s">
        <v>1940</v>
      </c>
      <c r="BB223">
        <v>165</v>
      </c>
      <c r="BC223" t="s">
        <v>1604</v>
      </c>
      <c r="BD223">
        <v>88.52</v>
      </c>
      <c r="BE223">
        <v>74.687816113999986</v>
      </c>
      <c r="BF223">
        <v>15394042447.86705</v>
      </c>
      <c r="BG223">
        <v>222</v>
      </c>
    </row>
    <row r="224" spans="1:59" x14ac:dyDescent="0.25">
      <c r="A224">
        <v>356</v>
      </c>
      <c r="B224" t="s">
        <v>424</v>
      </c>
      <c r="C224" t="s">
        <v>876</v>
      </c>
      <c r="D224" t="s">
        <v>1312</v>
      </c>
      <c r="E224" t="s">
        <v>61</v>
      </c>
      <c r="F224">
        <v>30.389140000000001</v>
      </c>
      <c r="G224">
        <v>599264160</v>
      </c>
      <c r="H224" t="s">
        <v>1438</v>
      </c>
      <c r="I224">
        <v>18211.12</v>
      </c>
      <c r="J224">
        <v>394672077.44678098</v>
      </c>
      <c r="K224">
        <v>335415116.46408802</v>
      </c>
      <c r="L224">
        <v>299010531.71099502</v>
      </c>
      <c r="M224">
        <v>346624330.50056499</v>
      </c>
      <c r="N224">
        <v>318746567.312989</v>
      </c>
      <c r="O224" t="s">
        <v>59</v>
      </c>
      <c r="P224">
        <v>1</v>
      </c>
      <c r="Q224" t="s">
        <v>1766</v>
      </c>
      <c r="R224">
        <v>0.84373944999999995</v>
      </c>
      <c r="S224">
        <v>1.92</v>
      </c>
      <c r="T224">
        <v>46.74</v>
      </c>
      <c r="U224">
        <v>0.71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0.71</v>
      </c>
      <c r="AI224">
        <v>0</v>
      </c>
      <c r="AJ224">
        <v>0</v>
      </c>
      <c r="AK224">
        <v>214</v>
      </c>
      <c r="AZ224" t="s">
        <v>1920</v>
      </c>
      <c r="BA224" t="s">
        <v>1940</v>
      </c>
      <c r="BB224">
        <v>203</v>
      </c>
      <c r="BC224" t="s">
        <v>1766</v>
      </c>
      <c r="BD224">
        <v>36.25</v>
      </c>
      <c r="BE224">
        <v>30.585555062499999</v>
      </c>
      <c r="BF224">
        <v>15365442444.252001</v>
      </c>
      <c r="BG224">
        <v>223</v>
      </c>
    </row>
    <row r="225" spans="1:59" x14ac:dyDescent="0.25">
      <c r="A225">
        <v>497</v>
      </c>
      <c r="B225" t="s">
        <v>546</v>
      </c>
      <c r="C225" t="s">
        <v>1004</v>
      </c>
      <c r="D225" t="s">
        <v>1434</v>
      </c>
      <c r="E225" t="s">
        <v>61</v>
      </c>
      <c r="F225">
        <v>91.918419999999998</v>
      </c>
      <c r="G225">
        <v>198095980</v>
      </c>
      <c r="H225" t="s">
        <v>1438</v>
      </c>
      <c r="I225">
        <v>18208.669999999998</v>
      </c>
      <c r="J225">
        <v>152950632.620419</v>
      </c>
      <c r="K225">
        <v>183131686.833933</v>
      </c>
      <c r="L225">
        <v>154814754.725003</v>
      </c>
      <c r="M225">
        <v>179362237.61478201</v>
      </c>
      <c r="N225">
        <v>173238670.28826499</v>
      </c>
      <c r="O225" t="s">
        <v>59</v>
      </c>
      <c r="P225">
        <v>1</v>
      </c>
      <c r="Q225" t="s">
        <v>1894</v>
      </c>
      <c r="R225">
        <v>0.84373944999999995</v>
      </c>
      <c r="S225">
        <v>0.87</v>
      </c>
      <c r="T225">
        <v>51.89</v>
      </c>
      <c r="U225">
        <v>0.83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0.83</v>
      </c>
      <c r="AI225">
        <v>0</v>
      </c>
      <c r="AJ225">
        <v>0</v>
      </c>
      <c r="AK225">
        <v>92</v>
      </c>
      <c r="AZ225" t="s">
        <v>1920</v>
      </c>
      <c r="BA225" t="s">
        <v>1940</v>
      </c>
      <c r="BB225">
        <v>156</v>
      </c>
      <c r="BC225" t="s">
        <v>1894</v>
      </c>
      <c r="BD225">
        <v>99.12</v>
      </c>
      <c r="BE225">
        <v>83.631454284</v>
      </c>
      <c r="BF225">
        <v>15363372780.68354</v>
      </c>
      <c r="BG225">
        <v>224</v>
      </c>
    </row>
    <row r="226" spans="1:59" x14ac:dyDescent="0.25">
      <c r="A226">
        <v>337</v>
      </c>
      <c r="B226" t="s">
        <v>409</v>
      </c>
      <c r="C226" t="s">
        <v>858</v>
      </c>
      <c r="D226" t="s">
        <v>1297</v>
      </c>
      <c r="E226" t="s">
        <v>61</v>
      </c>
      <c r="F226">
        <v>44.248170000000002</v>
      </c>
      <c r="G226">
        <v>408974000</v>
      </c>
      <c r="H226" t="s">
        <v>1439</v>
      </c>
      <c r="I226">
        <v>18096.349999999999</v>
      </c>
      <c r="J226">
        <v>437554177.72225398</v>
      </c>
      <c r="K226">
        <v>415038013.71200502</v>
      </c>
      <c r="L226">
        <v>442186914.97453701</v>
      </c>
      <c r="M226">
        <v>512304717.77517301</v>
      </c>
      <c r="N226">
        <v>420218055.74519598</v>
      </c>
      <c r="O226" t="s">
        <v>58</v>
      </c>
      <c r="P226">
        <v>1</v>
      </c>
      <c r="Q226" t="s">
        <v>1748</v>
      </c>
      <c r="R226">
        <v>0.84373944999999995</v>
      </c>
      <c r="S226">
        <v>1.89</v>
      </c>
      <c r="T226">
        <v>55.74</v>
      </c>
      <c r="U226">
        <v>0.9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0.9</v>
      </c>
      <c r="AI226">
        <v>0</v>
      </c>
      <c r="AJ226">
        <v>0</v>
      </c>
      <c r="AK226">
        <v>210</v>
      </c>
      <c r="AZ226" t="s">
        <v>1920</v>
      </c>
      <c r="BA226" t="s">
        <v>1940</v>
      </c>
      <c r="BB226">
        <v>99</v>
      </c>
      <c r="BC226" t="s">
        <v>1748</v>
      </c>
      <c r="BD226">
        <v>49.56</v>
      </c>
      <c r="BE226">
        <v>41.815727142</v>
      </c>
      <c r="BF226">
        <v>15268605305.20426</v>
      </c>
      <c r="BG226">
        <v>225</v>
      </c>
    </row>
    <row r="227" spans="1:59" x14ac:dyDescent="0.25">
      <c r="A227">
        <v>425</v>
      </c>
      <c r="B227" t="s">
        <v>485</v>
      </c>
      <c r="C227" t="s">
        <v>939</v>
      </c>
      <c r="D227" t="s">
        <v>1373</v>
      </c>
      <c r="E227" t="s">
        <v>61</v>
      </c>
      <c r="F227">
        <v>85.048649999999995</v>
      </c>
      <c r="G227">
        <v>208123630</v>
      </c>
      <c r="H227" t="s">
        <v>1438</v>
      </c>
      <c r="I227">
        <v>17700.63</v>
      </c>
      <c r="J227">
        <v>444740316.60313201</v>
      </c>
      <c r="K227">
        <v>353790536.05138397</v>
      </c>
      <c r="L227">
        <v>328232575.49646097</v>
      </c>
      <c r="M227">
        <v>381114831.11565202</v>
      </c>
      <c r="N227">
        <v>300375980.96032703</v>
      </c>
      <c r="O227" t="s">
        <v>59</v>
      </c>
      <c r="P227">
        <v>1</v>
      </c>
      <c r="Q227" t="s">
        <v>1829</v>
      </c>
      <c r="R227">
        <v>0.84373944999999995</v>
      </c>
      <c r="S227">
        <v>2.91</v>
      </c>
      <c r="T227">
        <v>50.73</v>
      </c>
      <c r="U227">
        <v>0.8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0.8</v>
      </c>
      <c r="AI227">
        <v>0</v>
      </c>
      <c r="AJ227">
        <v>0</v>
      </c>
      <c r="AK227">
        <v>345</v>
      </c>
      <c r="AZ227" t="s">
        <v>1920</v>
      </c>
      <c r="BA227" t="s">
        <v>1940</v>
      </c>
      <c r="BB227">
        <v>166</v>
      </c>
      <c r="BC227" t="s">
        <v>1829</v>
      </c>
      <c r="BD227">
        <v>109.5</v>
      </c>
      <c r="BE227">
        <v>92.389469774999995</v>
      </c>
      <c r="BF227">
        <v>14934722997.194611</v>
      </c>
      <c r="BG227">
        <v>226</v>
      </c>
    </row>
    <row r="228" spans="1:59" x14ac:dyDescent="0.25">
      <c r="A228">
        <v>62</v>
      </c>
      <c r="B228" t="s">
        <v>170</v>
      </c>
      <c r="C228" t="s">
        <v>605</v>
      </c>
      <c r="D228" t="s">
        <v>1058</v>
      </c>
      <c r="E228" t="s">
        <v>61</v>
      </c>
      <c r="F228">
        <v>118.88549999999999</v>
      </c>
      <c r="G228">
        <v>146614600</v>
      </c>
      <c r="H228" t="s">
        <v>1439</v>
      </c>
      <c r="I228">
        <v>17430.349999999999</v>
      </c>
      <c r="J228">
        <v>163129132.583958</v>
      </c>
      <c r="K228">
        <v>184057669.135627</v>
      </c>
      <c r="L228">
        <v>160619326.12937701</v>
      </c>
      <c r="M228">
        <v>185902032.39517301</v>
      </c>
      <c r="N228">
        <v>199868216.61398801</v>
      </c>
      <c r="O228" t="s">
        <v>58</v>
      </c>
      <c r="P228">
        <v>1</v>
      </c>
      <c r="Q228" t="s">
        <v>1495</v>
      </c>
      <c r="R228">
        <v>0.84373944999999995</v>
      </c>
      <c r="S228">
        <v>1.54</v>
      </c>
      <c r="T228">
        <v>56.39</v>
      </c>
      <c r="U228">
        <v>0.99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0.99</v>
      </c>
      <c r="AI228">
        <v>0</v>
      </c>
      <c r="AJ228">
        <v>0</v>
      </c>
      <c r="AK228">
        <v>163</v>
      </c>
      <c r="AZ228" t="s">
        <v>1920</v>
      </c>
      <c r="BA228" t="s">
        <v>1940</v>
      </c>
      <c r="BB228">
        <v>89</v>
      </c>
      <c r="BC228" t="s">
        <v>1495</v>
      </c>
      <c r="BD228">
        <v>143.68</v>
      </c>
      <c r="BE228">
        <v>121.22848417599999</v>
      </c>
      <c r="BF228">
        <v>14706673946.185329</v>
      </c>
      <c r="BG228">
        <v>227</v>
      </c>
    </row>
    <row r="229" spans="1:59" x14ac:dyDescent="0.25">
      <c r="A229">
        <v>373</v>
      </c>
      <c r="B229" t="s">
        <v>439</v>
      </c>
      <c r="C229" t="s">
        <v>892</v>
      </c>
      <c r="D229" t="s">
        <v>1327</v>
      </c>
      <c r="E229" t="s">
        <v>61</v>
      </c>
      <c r="F229">
        <v>153.80609999999999</v>
      </c>
      <c r="G229">
        <v>111823440</v>
      </c>
      <c r="H229" t="s">
        <v>1438</v>
      </c>
      <c r="I229">
        <v>17199.13</v>
      </c>
      <c r="J229">
        <v>127119048.830477</v>
      </c>
      <c r="K229">
        <v>183245384.862712</v>
      </c>
      <c r="L229">
        <v>154258626.530435</v>
      </c>
      <c r="M229">
        <v>179072107.17747599</v>
      </c>
      <c r="N229">
        <v>154730935.831296</v>
      </c>
      <c r="O229" t="s">
        <v>59</v>
      </c>
      <c r="P229">
        <v>1</v>
      </c>
      <c r="Q229" t="s">
        <v>1782</v>
      </c>
      <c r="R229">
        <v>0.84373944999999995</v>
      </c>
      <c r="S229">
        <v>2</v>
      </c>
      <c r="T229">
        <v>54.77</v>
      </c>
      <c r="U229" t="s">
        <v>1899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I229">
        <v>0</v>
      </c>
      <c r="AJ229">
        <v>0</v>
      </c>
      <c r="AK229">
        <v>225</v>
      </c>
      <c r="AZ229" t="s">
        <v>1920</v>
      </c>
      <c r="BA229" t="s">
        <v>1940</v>
      </c>
      <c r="BB229">
        <v>109</v>
      </c>
      <c r="BC229" t="s">
        <v>1782</v>
      </c>
      <c r="BD229">
        <v>180.16</v>
      </c>
      <c r="BE229">
        <v>152.00809931200001</v>
      </c>
      <c r="BF229">
        <v>14511582119.97584</v>
      </c>
      <c r="BG229">
        <v>228</v>
      </c>
    </row>
    <row r="230" spans="1:59" x14ac:dyDescent="0.25">
      <c r="A230">
        <v>20</v>
      </c>
      <c r="B230" t="s">
        <v>134</v>
      </c>
      <c r="C230" t="s">
        <v>567</v>
      </c>
      <c r="D230" t="s">
        <v>1022</v>
      </c>
      <c r="E230" t="s">
        <v>61</v>
      </c>
      <c r="F230">
        <v>7.4330090000000002</v>
      </c>
      <c r="G230">
        <v>2305359900</v>
      </c>
      <c r="H230" t="s">
        <v>1438</v>
      </c>
      <c r="I230">
        <v>17135.759999999998</v>
      </c>
      <c r="J230">
        <v>234132732.19712201</v>
      </c>
      <c r="K230">
        <v>265655022.836234</v>
      </c>
      <c r="L230">
        <v>208311578.17550501</v>
      </c>
      <c r="M230">
        <v>241311978.54317999</v>
      </c>
      <c r="N230">
        <v>196596975.51954401</v>
      </c>
      <c r="O230" t="s">
        <v>59</v>
      </c>
      <c r="P230">
        <v>1</v>
      </c>
      <c r="Q230" t="s">
        <v>1457</v>
      </c>
      <c r="R230">
        <v>0.84373944999999995</v>
      </c>
      <c r="S230">
        <v>1.44</v>
      </c>
      <c r="T230">
        <v>58.26</v>
      </c>
      <c r="U230">
        <v>0.99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0.99</v>
      </c>
      <c r="AI230">
        <v>0</v>
      </c>
      <c r="AJ230">
        <v>0</v>
      </c>
      <c r="AK230">
        <v>154</v>
      </c>
      <c r="AZ230" t="s">
        <v>1920</v>
      </c>
      <c r="BA230" t="s">
        <v>1940</v>
      </c>
      <c r="BB230">
        <v>67</v>
      </c>
      <c r="BC230" t="s">
        <v>1457</v>
      </c>
      <c r="BD230">
        <v>8.39</v>
      </c>
      <c r="BE230">
        <v>7.0789739855000002</v>
      </c>
      <c r="BF230">
        <v>14458117464.39003</v>
      </c>
      <c r="BG230">
        <v>229</v>
      </c>
    </row>
    <row r="231" spans="1:59" x14ac:dyDescent="0.25">
      <c r="A231">
        <v>487</v>
      </c>
      <c r="B231" t="s">
        <v>538</v>
      </c>
      <c r="C231" t="s">
        <v>996</v>
      </c>
      <c r="D231" t="s">
        <v>1426</v>
      </c>
      <c r="E231" t="s">
        <v>61</v>
      </c>
      <c r="F231">
        <v>22.8964</v>
      </c>
      <c r="G231">
        <v>721511000</v>
      </c>
      <c r="H231" t="s">
        <v>1438</v>
      </c>
      <c r="I231">
        <v>16520</v>
      </c>
      <c r="J231">
        <v>84423037.527151197</v>
      </c>
      <c r="K231">
        <v>99600953.2472049</v>
      </c>
      <c r="L231">
        <v>100362426.28578199</v>
      </c>
      <c r="M231">
        <v>116396157.188961</v>
      </c>
      <c r="N231">
        <v>102420269.577042</v>
      </c>
      <c r="O231" t="s">
        <v>59</v>
      </c>
      <c r="P231">
        <v>1</v>
      </c>
      <c r="Q231" t="s">
        <v>1886</v>
      </c>
      <c r="R231">
        <v>0.84373944999999995</v>
      </c>
      <c r="S231">
        <v>1.1399999999999999</v>
      </c>
      <c r="T231">
        <v>53.7</v>
      </c>
      <c r="U231">
        <v>0.99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0.99</v>
      </c>
      <c r="AI231">
        <v>0</v>
      </c>
      <c r="AJ231">
        <v>0</v>
      </c>
      <c r="AK231">
        <v>122</v>
      </c>
      <c r="AZ231" t="s">
        <v>1920</v>
      </c>
      <c r="BA231" t="s">
        <v>1940</v>
      </c>
      <c r="BB231">
        <v>126</v>
      </c>
      <c r="BC231" t="s">
        <v>1886</v>
      </c>
      <c r="BD231">
        <v>24.94</v>
      </c>
      <c r="BE231">
        <v>21.042861883</v>
      </c>
      <c r="BF231">
        <v>13938579477.41544</v>
      </c>
      <c r="BG231">
        <v>230</v>
      </c>
    </row>
    <row r="232" spans="1:59" x14ac:dyDescent="0.25">
      <c r="A232">
        <v>343</v>
      </c>
      <c r="B232" t="s">
        <v>414</v>
      </c>
      <c r="C232" t="s">
        <v>864</v>
      </c>
      <c r="D232" t="s">
        <v>1302</v>
      </c>
      <c r="E232" t="s">
        <v>61</v>
      </c>
      <c r="F232">
        <v>181.5498</v>
      </c>
      <c r="G232">
        <v>89978780</v>
      </c>
      <c r="H232" t="s">
        <v>1438</v>
      </c>
      <c r="I232">
        <v>16335.63</v>
      </c>
      <c r="J232">
        <v>127428734.34758</v>
      </c>
      <c r="K232">
        <v>144019911.00252301</v>
      </c>
      <c r="L232">
        <v>125868064.199209</v>
      </c>
      <c r="M232">
        <v>145869666.370473</v>
      </c>
      <c r="N232">
        <v>145638028.66207501</v>
      </c>
      <c r="O232" t="s">
        <v>59</v>
      </c>
      <c r="P232">
        <v>1</v>
      </c>
      <c r="Q232" t="s">
        <v>1754</v>
      </c>
      <c r="R232">
        <v>0.84373944999999995</v>
      </c>
      <c r="S232">
        <v>2.3199999999999998</v>
      </c>
      <c r="T232">
        <v>51.83</v>
      </c>
      <c r="U232">
        <v>0.68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0.68</v>
      </c>
      <c r="AI232">
        <v>0</v>
      </c>
      <c r="AJ232">
        <v>0</v>
      </c>
      <c r="AK232">
        <v>266</v>
      </c>
      <c r="AZ232" t="s">
        <v>1920</v>
      </c>
      <c r="BA232" t="s">
        <v>1940</v>
      </c>
      <c r="BB232">
        <v>157</v>
      </c>
      <c r="BC232" t="s">
        <v>1754</v>
      </c>
      <c r="BD232">
        <v>211.47</v>
      </c>
      <c r="BE232">
        <v>178.4255814915</v>
      </c>
      <c r="BF232">
        <v>13783015060.90826</v>
      </c>
      <c r="BG232">
        <v>231</v>
      </c>
    </row>
    <row r="233" spans="1:59" x14ac:dyDescent="0.25">
      <c r="A233">
        <v>211</v>
      </c>
      <c r="B233" t="s">
        <v>299</v>
      </c>
      <c r="C233" t="s">
        <v>738</v>
      </c>
      <c r="D233" t="s">
        <v>1187</v>
      </c>
      <c r="E233" t="s">
        <v>61</v>
      </c>
      <c r="F233">
        <v>213.26159999999999</v>
      </c>
      <c r="G233">
        <v>75735794</v>
      </c>
      <c r="H233" t="s">
        <v>1438</v>
      </c>
      <c r="I233">
        <v>16151.54</v>
      </c>
      <c r="J233">
        <v>425013926.18219399</v>
      </c>
      <c r="K233">
        <v>297575517.50654203</v>
      </c>
      <c r="L233">
        <v>328182574.39032203</v>
      </c>
      <c r="M233">
        <v>380383567.06583798</v>
      </c>
      <c r="N233">
        <v>240059158.78931999</v>
      </c>
      <c r="O233" t="s">
        <v>59</v>
      </c>
      <c r="P233">
        <v>1</v>
      </c>
      <c r="Q233" t="s">
        <v>1628</v>
      </c>
      <c r="R233">
        <v>0.84373944999999995</v>
      </c>
      <c r="S233">
        <v>1.28</v>
      </c>
      <c r="T233">
        <v>60.06</v>
      </c>
      <c r="U233">
        <v>0.79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0.79</v>
      </c>
      <c r="AI233">
        <v>0</v>
      </c>
      <c r="AJ233">
        <v>0</v>
      </c>
      <c r="AK233">
        <v>138</v>
      </c>
      <c r="AZ233" t="s">
        <v>1920</v>
      </c>
      <c r="BA233" t="s">
        <v>1940</v>
      </c>
      <c r="BB233">
        <v>49</v>
      </c>
      <c r="BC233" t="s">
        <v>1628</v>
      </c>
      <c r="BD233">
        <v>250.88</v>
      </c>
      <c r="BE233">
        <v>211.677353216</v>
      </c>
      <c r="BF233">
        <v>13627688612.35696</v>
      </c>
      <c r="BG233">
        <v>232</v>
      </c>
    </row>
    <row r="234" spans="1:59" x14ac:dyDescent="0.25">
      <c r="A234">
        <v>114</v>
      </c>
      <c r="B234" t="s">
        <v>209</v>
      </c>
      <c r="C234" t="s">
        <v>647</v>
      </c>
      <c r="D234" t="s">
        <v>1097</v>
      </c>
      <c r="E234" t="s">
        <v>61</v>
      </c>
      <c r="F234">
        <v>77.095060000000004</v>
      </c>
      <c r="G234">
        <v>460780980</v>
      </c>
      <c r="H234" t="s">
        <v>1439</v>
      </c>
      <c r="I234">
        <v>35523.94</v>
      </c>
      <c r="J234">
        <v>162995809.17854699</v>
      </c>
      <c r="K234">
        <v>180147139.61720699</v>
      </c>
      <c r="L234">
        <v>150693886.31168899</v>
      </c>
      <c r="M234">
        <v>174556009.18880901</v>
      </c>
      <c r="N234">
        <v>144234490.91100299</v>
      </c>
      <c r="O234" t="s">
        <v>58</v>
      </c>
      <c r="P234">
        <v>0.45</v>
      </c>
      <c r="Q234" t="s">
        <v>1537</v>
      </c>
      <c r="R234">
        <v>0.84373944999999995</v>
      </c>
      <c r="S234">
        <v>0.66</v>
      </c>
      <c r="T234">
        <v>55.82</v>
      </c>
      <c r="U234">
        <v>0.94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0.94</v>
      </c>
      <c r="AI234">
        <v>0</v>
      </c>
      <c r="AJ234">
        <v>0</v>
      </c>
      <c r="AK234">
        <v>60</v>
      </c>
      <c r="AZ234" t="s">
        <v>1920</v>
      </c>
      <c r="BA234" t="s">
        <v>1940</v>
      </c>
      <c r="BB234">
        <v>97</v>
      </c>
      <c r="BC234" t="s">
        <v>1537</v>
      </c>
      <c r="BD234">
        <v>88.76</v>
      </c>
      <c r="BE234">
        <v>74.890313582000005</v>
      </c>
      <c r="BF234">
        <v>13487826293.68578</v>
      </c>
      <c r="BG234">
        <v>233</v>
      </c>
    </row>
    <row r="235" spans="1:59" x14ac:dyDescent="0.25">
      <c r="A235">
        <v>410</v>
      </c>
      <c r="B235" t="s">
        <v>472</v>
      </c>
      <c r="C235" t="s">
        <v>926</v>
      </c>
      <c r="D235" t="s">
        <v>1360</v>
      </c>
      <c r="E235" t="s">
        <v>61</v>
      </c>
      <c r="F235">
        <v>76.975589999999997</v>
      </c>
      <c r="G235">
        <v>244220640</v>
      </c>
      <c r="H235" t="s">
        <v>1439</v>
      </c>
      <c r="I235">
        <v>18799.03</v>
      </c>
      <c r="J235">
        <v>91723714.161249399</v>
      </c>
      <c r="K235">
        <v>98841666.557788298</v>
      </c>
      <c r="L235">
        <v>82395587.363482997</v>
      </c>
      <c r="M235">
        <v>95581523.615396097</v>
      </c>
      <c r="N235">
        <v>97030199.914851204</v>
      </c>
      <c r="O235" t="s">
        <v>58</v>
      </c>
      <c r="P235">
        <v>0.85</v>
      </c>
      <c r="Q235" t="s">
        <v>1816</v>
      </c>
      <c r="R235">
        <v>0.84373944999999995</v>
      </c>
      <c r="S235">
        <v>2.5</v>
      </c>
      <c r="T235">
        <v>47.99</v>
      </c>
      <c r="U235" t="s">
        <v>1899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I235">
        <v>0</v>
      </c>
      <c r="AJ235">
        <v>0</v>
      </c>
      <c r="AK235">
        <v>295</v>
      </c>
      <c r="AZ235" t="s">
        <v>1920</v>
      </c>
      <c r="BA235" t="s">
        <v>1940</v>
      </c>
      <c r="BB235">
        <v>194</v>
      </c>
      <c r="BC235" t="s">
        <v>1816</v>
      </c>
      <c r="BD235">
        <v>88.46</v>
      </c>
      <c r="BE235">
        <v>74.637191746999989</v>
      </c>
      <c r="BF235">
        <v>13482259208.885719</v>
      </c>
      <c r="BG235">
        <v>234</v>
      </c>
    </row>
    <row r="236" spans="1:59" x14ac:dyDescent="0.25">
      <c r="A236">
        <v>276</v>
      </c>
      <c r="B236" t="s">
        <v>357</v>
      </c>
      <c r="C236" t="s">
        <v>801</v>
      </c>
      <c r="D236" t="s">
        <v>1245</v>
      </c>
      <c r="E236" t="s">
        <v>61</v>
      </c>
      <c r="F236">
        <v>505.13740000000001</v>
      </c>
      <c r="G236">
        <v>35124283</v>
      </c>
      <c r="H236" t="s">
        <v>1438</v>
      </c>
      <c r="I236">
        <v>17742.59</v>
      </c>
      <c r="J236">
        <v>173621763.945829</v>
      </c>
      <c r="K236">
        <v>210250908.026813</v>
      </c>
      <c r="L236">
        <v>192194995.709479</v>
      </c>
      <c r="M236">
        <v>222781165.85023001</v>
      </c>
      <c r="N236">
        <v>205835964.14041099</v>
      </c>
      <c r="O236" t="s">
        <v>59</v>
      </c>
      <c r="P236">
        <v>0.9</v>
      </c>
      <c r="Q236" t="s">
        <v>1691</v>
      </c>
      <c r="R236">
        <v>0.84373944999999995</v>
      </c>
      <c r="S236">
        <v>2.54</v>
      </c>
      <c r="T236">
        <v>52.06</v>
      </c>
      <c r="U236" t="s">
        <v>1899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I236">
        <v>0</v>
      </c>
      <c r="AJ236">
        <v>0</v>
      </c>
      <c r="AK236">
        <v>301</v>
      </c>
      <c r="AZ236" t="s">
        <v>1920</v>
      </c>
      <c r="BA236" t="s">
        <v>1940</v>
      </c>
      <c r="BB236">
        <v>151</v>
      </c>
      <c r="BC236" t="s">
        <v>1691</v>
      </c>
      <c r="BD236">
        <v>550.4</v>
      </c>
      <c r="BE236">
        <v>464.39419328000002</v>
      </c>
      <c r="BF236">
        <v>13473110049.525841</v>
      </c>
      <c r="BG236">
        <v>235</v>
      </c>
    </row>
    <row r="237" spans="1:59" x14ac:dyDescent="0.25">
      <c r="A237">
        <v>413</v>
      </c>
      <c r="B237" t="s">
        <v>475</v>
      </c>
      <c r="C237" t="s">
        <v>929</v>
      </c>
      <c r="D237" t="s">
        <v>1363</v>
      </c>
      <c r="E237" t="s">
        <v>61</v>
      </c>
      <c r="F237">
        <v>113.22750000000001</v>
      </c>
      <c r="G237">
        <v>147204590</v>
      </c>
      <c r="H237" t="s">
        <v>1439</v>
      </c>
      <c r="I237">
        <v>16667.61</v>
      </c>
      <c r="J237">
        <v>142963110.302939</v>
      </c>
      <c r="K237">
        <v>178138183.38273999</v>
      </c>
      <c r="L237">
        <v>162606694.37665901</v>
      </c>
      <c r="M237">
        <v>188265487.45707399</v>
      </c>
      <c r="N237">
        <v>179736453.59659201</v>
      </c>
      <c r="O237" t="s">
        <v>58</v>
      </c>
      <c r="P237">
        <v>0.95</v>
      </c>
      <c r="Q237" t="s">
        <v>1819</v>
      </c>
      <c r="R237">
        <v>0.84373944999999995</v>
      </c>
      <c r="S237">
        <v>2.37</v>
      </c>
      <c r="T237">
        <v>43.24</v>
      </c>
      <c r="U237">
        <v>0.86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0.86</v>
      </c>
      <c r="AI237">
        <v>0</v>
      </c>
      <c r="AJ237">
        <v>0</v>
      </c>
      <c r="AK237">
        <v>276</v>
      </c>
      <c r="AZ237" t="s">
        <v>1920</v>
      </c>
      <c r="BA237" t="s">
        <v>1940</v>
      </c>
      <c r="BB237">
        <v>237</v>
      </c>
      <c r="BC237" t="s">
        <v>1819</v>
      </c>
      <c r="BD237">
        <v>139.66999999999999</v>
      </c>
      <c r="BE237">
        <v>117.8450889815</v>
      </c>
      <c r="BF237">
        <v>13359962257.335159</v>
      </c>
      <c r="BG237">
        <v>236</v>
      </c>
    </row>
    <row r="238" spans="1:59" x14ac:dyDescent="0.25">
      <c r="A238">
        <v>330</v>
      </c>
      <c r="B238" t="s">
        <v>404</v>
      </c>
      <c r="C238" t="s">
        <v>852</v>
      </c>
      <c r="D238" t="s">
        <v>1292</v>
      </c>
      <c r="E238" t="s">
        <v>61</v>
      </c>
      <c r="F238">
        <v>58.704560000000001</v>
      </c>
      <c r="G238">
        <v>268077450</v>
      </c>
      <c r="H238" t="s">
        <v>1439</v>
      </c>
      <c r="I238">
        <v>15737.37</v>
      </c>
      <c r="J238">
        <v>152549430.55631199</v>
      </c>
      <c r="K238">
        <v>173286011.350106</v>
      </c>
      <c r="L238">
        <v>162433532.736269</v>
      </c>
      <c r="M238">
        <v>187818594.68440899</v>
      </c>
      <c r="N238">
        <v>156242582.19586399</v>
      </c>
      <c r="O238" t="s">
        <v>58</v>
      </c>
      <c r="P238">
        <v>1</v>
      </c>
      <c r="Q238" t="s">
        <v>1742</v>
      </c>
      <c r="R238">
        <v>0.84373944999999995</v>
      </c>
      <c r="S238">
        <v>1.61</v>
      </c>
      <c r="T238">
        <v>56.96</v>
      </c>
      <c r="U238">
        <v>0.86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0.86</v>
      </c>
      <c r="AI238">
        <v>0</v>
      </c>
      <c r="AJ238">
        <v>0</v>
      </c>
      <c r="AK238">
        <v>170</v>
      </c>
      <c r="AZ238" t="s">
        <v>1920</v>
      </c>
      <c r="BA238" t="s">
        <v>1940</v>
      </c>
      <c r="BB238">
        <v>83</v>
      </c>
      <c r="BC238" t="s">
        <v>1742</v>
      </c>
      <c r="BD238">
        <v>77.7</v>
      </c>
      <c r="BE238">
        <v>65.558555264999995</v>
      </c>
      <c r="BF238">
        <v>13278238852.029831</v>
      </c>
      <c r="BG238">
        <v>237</v>
      </c>
    </row>
    <row r="239" spans="1:59" x14ac:dyDescent="0.25">
      <c r="A239">
        <v>432</v>
      </c>
      <c r="B239" t="s">
        <v>490</v>
      </c>
      <c r="C239" t="s">
        <v>944</v>
      </c>
      <c r="D239" t="s">
        <v>1378</v>
      </c>
      <c r="E239" t="s">
        <v>61</v>
      </c>
      <c r="F239">
        <v>98.395629999999997</v>
      </c>
      <c r="G239">
        <v>159073530</v>
      </c>
      <c r="H239" t="s">
        <v>1439</v>
      </c>
      <c r="I239">
        <v>15652.14</v>
      </c>
      <c r="J239">
        <v>334405746.95337999</v>
      </c>
      <c r="K239">
        <v>296188399.90290499</v>
      </c>
      <c r="L239">
        <v>316893160.57971197</v>
      </c>
      <c r="M239">
        <v>367223332.77014399</v>
      </c>
      <c r="N239">
        <v>278105140.618653</v>
      </c>
      <c r="O239" t="s">
        <v>58</v>
      </c>
      <c r="P239">
        <v>1</v>
      </c>
      <c r="Q239" t="s">
        <v>1834</v>
      </c>
      <c r="R239">
        <v>0.84373944999999995</v>
      </c>
      <c r="S239">
        <v>1.45</v>
      </c>
      <c r="T239">
        <v>46.33</v>
      </c>
      <c r="U239">
        <v>0.69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0.69</v>
      </c>
      <c r="AI239">
        <v>0</v>
      </c>
      <c r="AJ239">
        <v>0</v>
      </c>
      <c r="AK239">
        <v>156</v>
      </c>
      <c r="AZ239" t="s">
        <v>1920</v>
      </c>
      <c r="BA239" t="s">
        <v>1940</v>
      </c>
      <c r="BB239">
        <v>209</v>
      </c>
      <c r="BC239" t="s">
        <v>1834</v>
      </c>
      <c r="BD239">
        <v>113.93</v>
      </c>
      <c r="BE239">
        <v>96.127235538500003</v>
      </c>
      <c r="BF239">
        <v>13206328164.239479</v>
      </c>
      <c r="BG239">
        <v>238</v>
      </c>
    </row>
    <row r="240" spans="1:59" x14ac:dyDescent="0.25">
      <c r="A240">
        <v>294</v>
      </c>
      <c r="B240" t="s">
        <v>372</v>
      </c>
      <c r="C240" t="s">
        <v>817</v>
      </c>
      <c r="D240" t="s">
        <v>1260</v>
      </c>
      <c r="E240" t="s">
        <v>61</v>
      </c>
      <c r="F240">
        <v>61.66581</v>
      </c>
      <c r="G240">
        <v>253041200</v>
      </c>
      <c r="H240" t="s">
        <v>1438</v>
      </c>
      <c r="I240">
        <v>15603.99</v>
      </c>
      <c r="J240">
        <v>139217063.79159099</v>
      </c>
      <c r="K240">
        <v>161707062.626017</v>
      </c>
      <c r="L240">
        <v>146716694.56168199</v>
      </c>
      <c r="M240">
        <v>170071656.62615299</v>
      </c>
      <c r="N240">
        <v>147890021.59031501</v>
      </c>
      <c r="O240" t="s">
        <v>59</v>
      </c>
      <c r="P240">
        <v>1</v>
      </c>
      <c r="Q240" t="s">
        <v>1707</v>
      </c>
      <c r="R240">
        <v>0.84373944999999995</v>
      </c>
      <c r="S240">
        <v>1.0900000000000001</v>
      </c>
      <c r="T240">
        <v>46.65</v>
      </c>
      <c r="U240">
        <v>0.98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0.98</v>
      </c>
      <c r="AI240">
        <v>0</v>
      </c>
      <c r="AJ240">
        <v>0</v>
      </c>
      <c r="AK240">
        <v>118</v>
      </c>
      <c r="AZ240" t="s">
        <v>1920</v>
      </c>
      <c r="BA240" t="s">
        <v>1940</v>
      </c>
      <c r="BB240">
        <v>204</v>
      </c>
      <c r="BC240" t="s">
        <v>1707</v>
      </c>
      <c r="BD240">
        <v>67.11</v>
      </c>
      <c r="BE240">
        <v>56.623354489500002</v>
      </c>
      <c r="BF240">
        <v>13165702414.057199</v>
      </c>
      <c r="BG240">
        <v>239</v>
      </c>
    </row>
    <row r="241" spans="1:59" x14ac:dyDescent="0.25">
      <c r="A241">
        <v>224</v>
      </c>
      <c r="B241" t="s">
        <v>311</v>
      </c>
      <c r="C241" t="s">
        <v>751</v>
      </c>
      <c r="D241" t="s">
        <v>1199</v>
      </c>
      <c r="E241" t="s">
        <v>61</v>
      </c>
      <c r="F241">
        <v>182.6165</v>
      </c>
      <c r="G241">
        <v>84195220</v>
      </c>
      <c r="H241" t="s">
        <v>1438</v>
      </c>
      <c r="I241">
        <v>15375.43</v>
      </c>
      <c r="J241">
        <v>109903226.278649</v>
      </c>
      <c r="K241">
        <v>160588245.37465701</v>
      </c>
      <c r="L241">
        <v>169921910.16146699</v>
      </c>
      <c r="M241">
        <v>196431751.549389</v>
      </c>
      <c r="N241">
        <v>174339747.55197299</v>
      </c>
      <c r="O241" t="s">
        <v>59</v>
      </c>
      <c r="P241">
        <v>1</v>
      </c>
      <c r="Q241" t="s">
        <v>1641</v>
      </c>
      <c r="R241">
        <v>0.84373944999999995</v>
      </c>
      <c r="S241">
        <v>1.54</v>
      </c>
      <c r="T241">
        <v>58.91</v>
      </c>
      <c r="U241">
        <v>0.88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0.88</v>
      </c>
      <c r="AI241">
        <v>0</v>
      </c>
      <c r="AJ241">
        <v>0</v>
      </c>
      <c r="AK241">
        <v>163</v>
      </c>
      <c r="AZ241" t="s">
        <v>1920</v>
      </c>
      <c r="BA241" t="s">
        <v>1940</v>
      </c>
      <c r="BB241">
        <v>58</v>
      </c>
      <c r="BC241" t="s">
        <v>1641</v>
      </c>
      <c r="BD241">
        <v>246.4</v>
      </c>
      <c r="BE241">
        <v>207.89740047999999</v>
      </c>
      <c r="BF241">
        <v>12972862245.849489</v>
      </c>
      <c r="BG241">
        <v>240</v>
      </c>
    </row>
    <row r="242" spans="1:59" x14ac:dyDescent="0.25">
      <c r="A242">
        <v>480</v>
      </c>
      <c r="B242" t="s">
        <v>531</v>
      </c>
      <c r="C242" t="s">
        <v>989</v>
      </c>
      <c r="D242" t="s">
        <v>1419</v>
      </c>
      <c r="E242" t="s">
        <v>61</v>
      </c>
      <c r="F242">
        <v>257.88529999999997</v>
      </c>
      <c r="G242">
        <v>59524130</v>
      </c>
      <c r="H242" t="s">
        <v>1438</v>
      </c>
      <c r="I242">
        <v>15350.4</v>
      </c>
      <c r="J242">
        <v>181171097.73953301</v>
      </c>
      <c r="K242">
        <v>191429342.66234899</v>
      </c>
      <c r="L242">
        <v>203989033.87283099</v>
      </c>
      <c r="M242">
        <v>236712164.13452101</v>
      </c>
      <c r="N242">
        <v>173359071.52774599</v>
      </c>
      <c r="O242" t="s">
        <v>59</v>
      </c>
      <c r="P242">
        <v>1</v>
      </c>
      <c r="Q242" t="s">
        <v>1879</v>
      </c>
      <c r="R242">
        <v>0.84373944999999995</v>
      </c>
      <c r="S242">
        <v>2.57</v>
      </c>
      <c r="T242">
        <v>53.24</v>
      </c>
      <c r="U242">
        <v>0.72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0.72</v>
      </c>
      <c r="AI242">
        <v>0</v>
      </c>
      <c r="AJ242">
        <v>0</v>
      </c>
      <c r="AK242">
        <v>305</v>
      </c>
      <c r="AZ242" t="s">
        <v>1920</v>
      </c>
      <c r="BA242" t="s">
        <v>1940</v>
      </c>
      <c r="BB242">
        <v>133</v>
      </c>
      <c r="BC242" t="s">
        <v>1879</v>
      </c>
      <c r="BD242">
        <v>303.08</v>
      </c>
      <c r="BE242">
        <v>255.72055250599999</v>
      </c>
      <c r="BF242">
        <v>12951736468.98115</v>
      </c>
      <c r="BG242">
        <v>241</v>
      </c>
    </row>
    <row r="243" spans="1:59" x14ac:dyDescent="0.25">
      <c r="A243">
        <v>361</v>
      </c>
      <c r="B243" t="s">
        <v>428</v>
      </c>
      <c r="C243" t="s">
        <v>880</v>
      </c>
      <c r="D243" t="s">
        <v>1316</v>
      </c>
      <c r="E243" t="s">
        <v>61</v>
      </c>
      <c r="F243">
        <v>68.885480000000001</v>
      </c>
      <c r="G243">
        <v>222768450</v>
      </c>
      <c r="H243" t="s">
        <v>1439</v>
      </c>
      <c r="I243">
        <v>15345.51</v>
      </c>
      <c r="J243">
        <v>79270006.770130605</v>
      </c>
      <c r="K243">
        <v>96346982.2584382</v>
      </c>
      <c r="L243">
        <v>81453050.030792207</v>
      </c>
      <c r="M243">
        <v>94344795.342006594</v>
      </c>
      <c r="N243">
        <v>97300139.8138244</v>
      </c>
      <c r="O243" t="s">
        <v>58</v>
      </c>
      <c r="P243">
        <v>1</v>
      </c>
      <c r="Q243" t="s">
        <v>1770</v>
      </c>
      <c r="R243">
        <v>0.84373944999999995</v>
      </c>
      <c r="S243">
        <v>0.21</v>
      </c>
      <c r="T243">
        <v>49.33</v>
      </c>
      <c r="U243">
        <v>0.86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0.86</v>
      </c>
      <c r="AI243">
        <v>0</v>
      </c>
      <c r="AJ243">
        <v>0</v>
      </c>
      <c r="AK243">
        <v>4</v>
      </c>
      <c r="AZ243" t="s">
        <v>1920</v>
      </c>
      <c r="BA243" t="s">
        <v>1940</v>
      </c>
      <c r="BB243">
        <v>181</v>
      </c>
      <c r="BC243" t="s">
        <v>1770</v>
      </c>
      <c r="BD243">
        <v>80.09</v>
      </c>
      <c r="BE243">
        <v>67.575092550500003</v>
      </c>
      <c r="BF243">
        <v>12947613523.34823</v>
      </c>
      <c r="BG243">
        <v>242</v>
      </c>
    </row>
    <row r="244" spans="1:59" x14ac:dyDescent="0.25">
      <c r="A244">
        <v>307</v>
      </c>
      <c r="B244" t="s">
        <v>383</v>
      </c>
      <c r="C244" t="s">
        <v>830</v>
      </c>
      <c r="D244" t="s">
        <v>1271</v>
      </c>
      <c r="E244" t="s">
        <v>61</v>
      </c>
      <c r="F244">
        <v>186.94319999999999</v>
      </c>
      <c r="G244">
        <v>81714310</v>
      </c>
      <c r="H244" t="s">
        <v>1439</v>
      </c>
      <c r="I244">
        <v>15275.93</v>
      </c>
      <c r="J244">
        <v>431193266.92478597</v>
      </c>
      <c r="K244">
        <v>446995176.80289298</v>
      </c>
      <c r="L244">
        <v>454573571.56023502</v>
      </c>
      <c r="M244">
        <v>526261121.73106998</v>
      </c>
      <c r="N244">
        <v>444883882.96697301</v>
      </c>
      <c r="O244" t="s">
        <v>58</v>
      </c>
      <c r="P244">
        <v>1</v>
      </c>
      <c r="Q244" t="s">
        <v>1720</v>
      </c>
      <c r="R244">
        <v>0.84373944999999995</v>
      </c>
      <c r="S244">
        <v>0.7</v>
      </c>
      <c r="T244">
        <v>55.95</v>
      </c>
      <c r="U244">
        <v>0.83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0.83</v>
      </c>
      <c r="AI244">
        <v>0</v>
      </c>
      <c r="AJ244">
        <v>0</v>
      </c>
      <c r="AK244">
        <v>63</v>
      </c>
      <c r="AZ244" t="s">
        <v>1920</v>
      </c>
      <c r="BA244" t="s">
        <v>1940</v>
      </c>
      <c r="BB244">
        <v>92</v>
      </c>
      <c r="BF244">
        <v>12888908655.27075</v>
      </c>
      <c r="BG244">
        <v>243</v>
      </c>
    </row>
    <row r="245" spans="1:59" x14ac:dyDescent="0.25">
      <c r="A245">
        <v>350</v>
      </c>
      <c r="B245" t="s">
        <v>419</v>
      </c>
      <c r="C245" t="s">
        <v>870</v>
      </c>
      <c r="D245" t="s">
        <v>1307</v>
      </c>
      <c r="E245" t="s">
        <v>61</v>
      </c>
      <c r="F245">
        <v>92.677930000000003</v>
      </c>
      <c r="G245">
        <v>163931260</v>
      </c>
      <c r="H245" t="s">
        <v>1438</v>
      </c>
      <c r="I245">
        <v>15192.81</v>
      </c>
      <c r="J245">
        <v>121004199.430298</v>
      </c>
      <c r="K245">
        <v>134954309.80664599</v>
      </c>
      <c r="L245">
        <v>134653087.47970301</v>
      </c>
      <c r="M245">
        <v>156344545.892472</v>
      </c>
      <c r="N245">
        <v>129585936.30222</v>
      </c>
      <c r="O245" t="s">
        <v>59</v>
      </c>
      <c r="P245">
        <v>1</v>
      </c>
      <c r="Q245" t="s">
        <v>1760</v>
      </c>
      <c r="R245">
        <v>0.84373944999999995</v>
      </c>
      <c r="S245">
        <v>2.61</v>
      </c>
      <c r="T245">
        <v>52.62</v>
      </c>
      <c r="U245">
        <v>0.92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G245" t="s">
        <v>1904</v>
      </c>
      <c r="AH245">
        <v>0.92</v>
      </c>
      <c r="AI245">
        <v>0</v>
      </c>
      <c r="AJ245">
        <v>0</v>
      </c>
      <c r="AK245">
        <v>310</v>
      </c>
      <c r="AZ245" t="s">
        <v>1920</v>
      </c>
      <c r="BA245" t="s">
        <v>1940</v>
      </c>
      <c r="BB245">
        <v>143</v>
      </c>
      <c r="BC245" t="s">
        <v>1760</v>
      </c>
      <c r="BD245">
        <v>111.01</v>
      </c>
      <c r="BE245">
        <v>93.663516344499996</v>
      </c>
      <c r="BF245">
        <v>12818773017.589899</v>
      </c>
      <c r="BG245">
        <v>244</v>
      </c>
    </row>
    <row r="246" spans="1:59" x14ac:dyDescent="0.25">
      <c r="A246">
        <v>160</v>
      </c>
      <c r="B246" t="s">
        <v>253</v>
      </c>
      <c r="C246" t="s">
        <v>691</v>
      </c>
      <c r="D246" t="s">
        <v>1141</v>
      </c>
      <c r="E246" t="s">
        <v>61</v>
      </c>
      <c r="F246">
        <v>21.428570000000001</v>
      </c>
      <c r="G246">
        <v>708844200</v>
      </c>
      <c r="H246" t="s">
        <v>1438</v>
      </c>
      <c r="I246">
        <v>15189.52</v>
      </c>
      <c r="J246">
        <v>288109342.43052298</v>
      </c>
      <c r="K246">
        <v>295047672.69743299</v>
      </c>
      <c r="L246">
        <v>326447170.47084099</v>
      </c>
      <c r="M246">
        <v>379090042.46488398</v>
      </c>
      <c r="N246">
        <v>282545293.647461</v>
      </c>
      <c r="O246" t="s">
        <v>59</v>
      </c>
      <c r="P246">
        <v>1</v>
      </c>
      <c r="Q246" t="s">
        <v>1581</v>
      </c>
      <c r="R246">
        <v>0.84373944999999995</v>
      </c>
      <c r="S246">
        <v>1.38</v>
      </c>
      <c r="T246">
        <v>51.67</v>
      </c>
      <c r="U246">
        <v>0.93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G246" t="s">
        <v>1904</v>
      </c>
      <c r="AH246">
        <v>0.93</v>
      </c>
      <c r="AI246">
        <v>0</v>
      </c>
      <c r="AJ246">
        <v>0</v>
      </c>
      <c r="AK246">
        <v>149</v>
      </c>
      <c r="AZ246" t="s">
        <v>1920</v>
      </c>
      <c r="BA246" t="s">
        <v>1940</v>
      </c>
      <c r="BB246">
        <v>160</v>
      </c>
      <c r="BC246" t="s">
        <v>1581</v>
      </c>
      <c r="BD246">
        <v>24.48</v>
      </c>
      <c r="BE246">
        <v>20.654741735999998</v>
      </c>
      <c r="BF246">
        <v>12815995190.822189</v>
      </c>
      <c r="BG246">
        <v>245</v>
      </c>
    </row>
    <row r="247" spans="1:59" x14ac:dyDescent="0.25">
      <c r="A247">
        <v>215</v>
      </c>
      <c r="B247" t="s">
        <v>302</v>
      </c>
      <c r="C247" t="s">
        <v>742</v>
      </c>
      <c r="D247" t="s">
        <v>1190</v>
      </c>
      <c r="E247" t="s">
        <v>61</v>
      </c>
      <c r="F247">
        <v>26.94999</v>
      </c>
      <c r="G247">
        <v>615869140</v>
      </c>
      <c r="H247" t="s">
        <v>1439</v>
      </c>
      <c r="I247">
        <v>16597.669999999998</v>
      </c>
      <c r="J247">
        <v>116068679.986845</v>
      </c>
      <c r="K247">
        <v>109582156.915618</v>
      </c>
      <c r="L247">
        <v>110982088.709226</v>
      </c>
      <c r="M247">
        <v>128422485.012844</v>
      </c>
      <c r="N247">
        <v>97692771.230871096</v>
      </c>
      <c r="O247" t="s">
        <v>58</v>
      </c>
      <c r="P247">
        <v>0.9</v>
      </c>
      <c r="Q247" t="s">
        <v>1632</v>
      </c>
      <c r="R247">
        <v>0.84373944999999995</v>
      </c>
      <c r="S247">
        <v>1.94</v>
      </c>
      <c r="T247">
        <v>59.66</v>
      </c>
      <c r="U247">
        <v>0.94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0.94</v>
      </c>
      <c r="AI247">
        <v>0</v>
      </c>
      <c r="AJ247">
        <v>0</v>
      </c>
      <c r="AK247">
        <v>216</v>
      </c>
      <c r="AZ247" t="s">
        <v>1920</v>
      </c>
      <c r="BA247" t="s">
        <v>1940</v>
      </c>
      <c r="BB247">
        <v>51</v>
      </c>
      <c r="BC247" t="s">
        <v>1632</v>
      </c>
      <c r="BD247">
        <v>28.6</v>
      </c>
      <c r="BE247">
        <v>24.130948270000001</v>
      </c>
      <c r="BF247">
        <v>12603695908.047119</v>
      </c>
      <c r="BG247">
        <v>246</v>
      </c>
    </row>
    <row r="248" spans="1:59" x14ac:dyDescent="0.25">
      <c r="A248">
        <v>404</v>
      </c>
      <c r="B248" t="s">
        <v>466</v>
      </c>
      <c r="C248" t="s">
        <v>920</v>
      </c>
      <c r="D248" t="s">
        <v>1354</v>
      </c>
      <c r="E248" t="s">
        <v>61</v>
      </c>
      <c r="F248">
        <v>284.2038</v>
      </c>
      <c r="G248">
        <v>52163372</v>
      </c>
      <c r="H248" t="s">
        <v>1438</v>
      </c>
      <c r="I248">
        <v>14825.03</v>
      </c>
      <c r="J248">
        <v>66054958.066767298</v>
      </c>
      <c r="K248">
        <v>107682547.376425</v>
      </c>
      <c r="L248">
        <v>90612850.300816193</v>
      </c>
      <c r="M248">
        <v>105030843.77765299</v>
      </c>
      <c r="N248">
        <v>111666372.279061</v>
      </c>
      <c r="O248" t="s">
        <v>59</v>
      </c>
      <c r="P248">
        <v>1</v>
      </c>
      <c r="Q248" t="s">
        <v>1810</v>
      </c>
      <c r="R248">
        <v>0.84373944999999995</v>
      </c>
      <c r="S248">
        <v>1.82</v>
      </c>
      <c r="T248">
        <v>42.32</v>
      </c>
      <c r="U248">
        <v>0.66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H248">
        <v>0.66</v>
      </c>
      <c r="AI248">
        <v>0</v>
      </c>
      <c r="AJ248">
        <v>0</v>
      </c>
      <c r="AK248">
        <v>200</v>
      </c>
      <c r="AZ248" t="s">
        <v>1920</v>
      </c>
      <c r="BA248" t="s">
        <v>1940</v>
      </c>
      <c r="BB248">
        <v>246</v>
      </c>
      <c r="BC248" t="s">
        <v>1810</v>
      </c>
      <c r="BD248">
        <v>334.01</v>
      </c>
      <c r="BE248">
        <v>281.81741369449998</v>
      </c>
      <c r="BF248">
        <v>12508461429.285339</v>
      </c>
      <c r="BG248">
        <v>247</v>
      </c>
    </row>
    <row r="249" spans="1:59" x14ac:dyDescent="0.25">
      <c r="A249">
        <v>135</v>
      </c>
      <c r="B249" t="s">
        <v>229</v>
      </c>
      <c r="C249" t="s">
        <v>667</v>
      </c>
      <c r="D249" t="s">
        <v>1117</v>
      </c>
      <c r="E249" t="s">
        <v>61</v>
      </c>
      <c r="F249">
        <v>96.714449999999999</v>
      </c>
      <c r="G249">
        <v>672659300</v>
      </c>
      <c r="H249" t="s">
        <v>1438</v>
      </c>
      <c r="I249">
        <v>65055.87</v>
      </c>
      <c r="J249">
        <v>448651641.61173898</v>
      </c>
      <c r="K249">
        <v>504887816.54145998</v>
      </c>
      <c r="L249">
        <v>354948754.94190598</v>
      </c>
      <c r="M249">
        <v>411477839.85676199</v>
      </c>
      <c r="N249">
        <v>425925712.230362</v>
      </c>
      <c r="O249" t="s">
        <v>59</v>
      </c>
      <c r="P249">
        <v>1</v>
      </c>
      <c r="Q249" t="s">
        <v>1557</v>
      </c>
      <c r="R249">
        <v>1.152273E-2</v>
      </c>
      <c r="S249">
        <v>0.72</v>
      </c>
      <c r="T249">
        <v>59.55</v>
      </c>
      <c r="U249">
        <v>0.96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0.96</v>
      </c>
      <c r="AI249">
        <v>0</v>
      </c>
      <c r="AJ249">
        <v>0</v>
      </c>
      <c r="AK249">
        <v>67</v>
      </c>
      <c r="AZ249" t="s">
        <v>1920</v>
      </c>
      <c r="BA249" t="s">
        <v>1940</v>
      </c>
      <c r="BB249">
        <v>53</v>
      </c>
      <c r="BC249" t="s">
        <v>1947</v>
      </c>
      <c r="BD249">
        <v>112.53</v>
      </c>
      <c r="BE249">
        <v>1.2966528069000001</v>
      </c>
      <c r="BF249">
        <v>749621273.74558198</v>
      </c>
      <c r="BG249">
        <v>248</v>
      </c>
    </row>
    <row r="250" spans="1:59" x14ac:dyDescent="0.25">
      <c r="A250">
        <v>204</v>
      </c>
      <c r="B250" t="s">
        <v>294</v>
      </c>
      <c r="C250" t="s">
        <v>733</v>
      </c>
      <c r="D250" t="s">
        <v>1182</v>
      </c>
      <c r="E250" t="s">
        <v>61</v>
      </c>
      <c r="F250">
        <v>255.5214</v>
      </c>
      <c r="G250">
        <v>176099560</v>
      </c>
      <c r="H250" t="s">
        <v>1438</v>
      </c>
      <c r="I250">
        <v>44997.21</v>
      </c>
      <c r="J250">
        <v>533389807.80581802</v>
      </c>
      <c r="K250">
        <v>587863115.33903503</v>
      </c>
      <c r="L250">
        <v>641620515.67695904</v>
      </c>
      <c r="M250">
        <v>744493024.350793</v>
      </c>
      <c r="N250">
        <v>498012725.92564201</v>
      </c>
      <c r="O250" t="s">
        <v>59</v>
      </c>
      <c r="P250">
        <v>1</v>
      </c>
      <c r="Q250" t="s">
        <v>1623</v>
      </c>
      <c r="R250">
        <v>1.152273E-2</v>
      </c>
      <c r="S250">
        <v>1.41</v>
      </c>
      <c r="T250">
        <v>42.68</v>
      </c>
      <c r="U250">
        <v>0.9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</v>
      </c>
      <c r="AI250">
        <v>0</v>
      </c>
      <c r="AJ250">
        <v>0</v>
      </c>
      <c r="AK250">
        <v>151</v>
      </c>
      <c r="AZ250" t="s">
        <v>1920</v>
      </c>
      <c r="BA250" t="s">
        <v>1940</v>
      </c>
      <c r="BB250">
        <v>245</v>
      </c>
      <c r="BC250" t="s">
        <v>1948</v>
      </c>
      <c r="BD250">
        <v>279.93</v>
      </c>
      <c r="BE250">
        <v>3.2255578089000001</v>
      </c>
      <c r="BF250">
        <v>518490656.76660949</v>
      </c>
      <c r="BG250">
        <v>249</v>
      </c>
    </row>
    <row r="251" spans="1:59" x14ac:dyDescent="0.25">
      <c r="A251">
        <v>196</v>
      </c>
      <c r="B251" t="s">
        <v>286</v>
      </c>
      <c r="C251" t="s">
        <v>725</v>
      </c>
      <c r="D251" t="s">
        <v>1174</v>
      </c>
      <c r="E251" t="s">
        <v>61</v>
      </c>
      <c r="F251">
        <v>199.36850000000001</v>
      </c>
      <c r="G251">
        <v>197181030</v>
      </c>
      <c r="H251" t="s">
        <v>1438</v>
      </c>
      <c r="I251">
        <v>39311.69</v>
      </c>
      <c r="J251">
        <v>213237836.093678</v>
      </c>
      <c r="K251">
        <v>294938210.808945</v>
      </c>
      <c r="L251">
        <v>276207027.13233203</v>
      </c>
      <c r="M251">
        <v>319883465.36876702</v>
      </c>
      <c r="N251">
        <v>293453926.35361803</v>
      </c>
      <c r="O251" t="s">
        <v>59</v>
      </c>
      <c r="P251">
        <v>1</v>
      </c>
      <c r="Q251" t="s">
        <v>1615</v>
      </c>
      <c r="R251">
        <v>1.152273E-2</v>
      </c>
      <c r="S251">
        <v>2.79</v>
      </c>
      <c r="T251">
        <v>50.53</v>
      </c>
      <c r="U251">
        <v>0.96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0.96</v>
      </c>
      <c r="AI251">
        <v>0</v>
      </c>
      <c r="AJ251">
        <v>0</v>
      </c>
      <c r="AK251">
        <v>332</v>
      </c>
      <c r="AZ251" t="s">
        <v>1920</v>
      </c>
      <c r="BA251" t="s">
        <v>1940</v>
      </c>
      <c r="BB251">
        <v>169</v>
      </c>
      <c r="BC251" t="s">
        <v>1949</v>
      </c>
      <c r="BD251">
        <v>231.54</v>
      </c>
      <c r="BE251">
        <v>2.6679729042</v>
      </c>
      <c r="BF251">
        <v>452977945.69174379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6"/>
  <sheetViews>
    <sheetView tabSelected="1" topLeftCell="AN1" workbookViewId="0">
      <selection activeCell="BK2" sqref="BK2"/>
    </sheetView>
  </sheetViews>
  <sheetFormatPr defaultRowHeight="15" x14ac:dyDescent="0.25"/>
  <cols>
    <col min="57" max="57" width="13.85546875" bestFit="1" customWidth="1"/>
    <col min="58" max="58" width="21.7109375" bestFit="1" customWidth="1"/>
    <col min="59" max="59" width="21.7109375" customWidth="1"/>
  </cols>
  <sheetData>
    <row r="1" spans="1:65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/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1942</v>
      </c>
      <c r="BE1" s="1" t="s">
        <v>1943</v>
      </c>
      <c r="BF1" s="1" t="s">
        <v>1944</v>
      </c>
      <c r="BG1" s="1"/>
      <c r="BH1" s="1" t="s">
        <v>1945</v>
      </c>
      <c r="BI1" s="1" t="s">
        <v>1946</v>
      </c>
      <c r="BJ1" s="1" t="s">
        <v>1950</v>
      </c>
      <c r="BK1" s="1" t="s">
        <v>1951</v>
      </c>
      <c r="BL1" s="1" t="s">
        <v>5</v>
      </c>
      <c r="BM1" s="1" t="s">
        <v>6</v>
      </c>
    </row>
    <row r="2" spans="1:65" x14ac:dyDescent="0.25">
      <c r="A2">
        <v>17</v>
      </c>
      <c r="B2" t="s">
        <v>8</v>
      </c>
      <c r="C2" t="s">
        <v>564</v>
      </c>
      <c r="D2" t="s">
        <v>33</v>
      </c>
      <c r="E2" t="s">
        <v>61</v>
      </c>
      <c r="F2">
        <v>175.87469999999999</v>
      </c>
      <c r="G2">
        <v>5817000000</v>
      </c>
      <c r="H2" t="s">
        <v>1439</v>
      </c>
      <c r="I2">
        <v>1023063</v>
      </c>
      <c r="J2">
        <v>4924880078.1669102</v>
      </c>
      <c r="K2">
        <v>5871719670.3087597</v>
      </c>
      <c r="L2">
        <v>5903367807.6370802</v>
      </c>
      <c r="M2">
        <v>6845939479.7802401</v>
      </c>
      <c r="N2">
        <v>5169967672.5729103</v>
      </c>
      <c r="O2" t="s">
        <v>58</v>
      </c>
      <c r="P2">
        <v>1</v>
      </c>
      <c r="Q2">
        <f>_xlfn.XLOOKUP(D2,'Top 250'!$D$2:$D$251,'Top 250'!$P$2:$P$251)</f>
        <v>1</v>
      </c>
      <c r="R2" t="s">
        <v>1454</v>
      </c>
      <c r="S2">
        <v>0.84373944999999995</v>
      </c>
      <c r="T2">
        <v>0.65</v>
      </c>
      <c r="U2">
        <v>57.27</v>
      </c>
      <c r="V2">
        <v>0.84</v>
      </c>
      <c r="W2" t="s">
        <v>1901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 t="s">
        <v>1900</v>
      </c>
      <c r="AF2">
        <v>0</v>
      </c>
      <c r="AG2">
        <v>0</v>
      </c>
      <c r="AI2">
        <v>0.84</v>
      </c>
      <c r="AJ2">
        <v>0</v>
      </c>
      <c r="AK2">
        <v>0</v>
      </c>
      <c r="AL2">
        <v>58</v>
      </c>
      <c r="BA2" t="s">
        <v>1920</v>
      </c>
      <c r="BB2" t="s">
        <v>1940</v>
      </c>
      <c r="BC2">
        <v>79</v>
      </c>
      <c r="BD2" t="s">
        <v>1454</v>
      </c>
      <c r="BE2">
        <v>251.16</v>
      </c>
      <c r="BF2">
        <v>211.91360026199999</v>
      </c>
      <c r="BG2">
        <f>F2*G2*Q2*S2</f>
        <v>863198722537.10449</v>
      </c>
      <c r="BH2">
        <v>863198722537.10449</v>
      </c>
      <c r="BI2">
        <v>6</v>
      </c>
      <c r="BJ2">
        <v>973105.81113173615</v>
      </c>
      <c r="BK2">
        <v>973106</v>
      </c>
      <c r="BL2">
        <v>1</v>
      </c>
      <c r="BM2" t="s">
        <v>60</v>
      </c>
    </row>
    <row r="3" spans="1:65" x14ac:dyDescent="0.25">
      <c r="A3">
        <v>19</v>
      </c>
      <c r="B3" t="s">
        <v>9</v>
      </c>
      <c r="C3" t="s">
        <v>566</v>
      </c>
      <c r="D3" t="s">
        <v>34</v>
      </c>
      <c r="E3" t="s">
        <v>61</v>
      </c>
      <c r="F3">
        <v>195.2893</v>
      </c>
      <c r="G3">
        <v>10664912000</v>
      </c>
      <c r="H3" t="s">
        <v>1439</v>
      </c>
      <c r="I3">
        <v>2082743</v>
      </c>
      <c r="J3">
        <v>7977200081.5604095</v>
      </c>
      <c r="K3">
        <v>8510479471.7246799</v>
      </c>
      <c r="L3">
        <v>7991296283.0697298</v>
      </c>
      <c r="M3">
        <v>9264357936.8119106</v>
      </c>
      <c r="N3">
        <v>7824617314.4031696</v>
      </c>
      <c r="O3" t="s">
        <v>58</v>
      </c>
      <c r="P3">
        <v>1</v>
      </c>
      <c r="Q3">
        <f>_xlfn.XLOOKUP(D3,'Top 250'!$D$2:$D$251,'Top 250'!$P$2:$P$251)</f>
        <v>0.9</v>
      </c>
      <c r="R3" t="s">
        <v>1456</v>
      </c>
      <c r="S3">
        <v>0.84373944999999995</v>
      </c>
      <c r="T3">
        <v>1.36</v>
      </c>
      <c r="U3">
        <v>43.66</v>
      </c>
      <c r="V3">
        <v>0.93</v>
      </c>
      <c r="W3" t="s">
        <v>1901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 t="s">
        <v>1900</v>
      </c>
      <c r="AF3">
        <v>0</v>
      </c>
      <c r="AG3">
        <v>0</v>
      </c>
      <c r="AI3">
        <v>0.93</v>
      </c>
      <c r="AJ3">
        <v>0</v>
      </c>
      <c r="AK3">
        <v>0</v>
      </c>
      <c r="AL3">
        <v>145</v>
      </c>
      <c r="BA3" t="s">
        <v>1920</v>
      </c>
      <c r="BB3" t="s">
        <v>1940</v>
      </c>
      <c r="BC3">
        <v>232</v>
      </c>
      <c r="BD3" t="s">
        <v>1456</v>
      </c>
      <c r="BE3">
        <v>234.05</v>
      </c>
      <c r="BF3">
        <v>197.47721827250001</v>
      </c>
      <c r="BG3">
        <f>F3*G3*Q3*S3</f>
        <v>1581563341125.54</v>
      </c>
      <c r="BH3">
        <v>1581563341125.54</v>
      </c>
      <c r="BI3">
        <v>3</v>
      </c>
      <c r="BJ3">
        <v>1044243.774936325</v>
      </c>
      <c r="BK3">
        <v>1044244</v>
      </c>
      <c r="BL3">
        <v>1</v>
      </c>
      <c r="BM3" t="s">
        <v>60</v>
      </c>
    </row>
    <row r="4" spans="1:65" x14ac:dyDescent="0.25">
      <c r="A4">
        <v>36</v>
      </c>
      <c r="B4" t="s">
        <v>10</v>
      </c>
      <c r="C4" t="s">
        <v>583</v>
      </c>
      <c r="D4" t="s">
        <v>35</v>
      </c>
      <c r="E4" t="s">
        <v>61</v>
      </c>
      <c r="F4">
        <v>194.36760000000001</v>
      </c>
      <c r="G4">
        <v>14840390000</v>
      </c>
      <c r="H4" t="s">
        <v>1439</v>
      </c>
      <c r="I4">
        <v>2884492</v>
      </c>
      <c r="J4">
        <v>11742442171.999701</v>
      </c>
      <c r="K4">
        <v>10834248916.0028</v>
      </c>
      <c r="L4">
        <v>10078043926.932301</v>
      </c>
      <c r="M4">
        <v>11681697190.574699</v>
      </c>
      <c r="N4">
        <v>10788743404.6947</v>
      </c>
      <c r="O4" t="s">
        <v>58</v>
      </c>
      <c r="P4">
        <v>1</v>
      </c>
      <c r="Q4">
        <f>_xlfn.XLOOKUP(D4,'Top 250'!$D$2:$D$251,'Top 250'!$P$2:$P$251)</f>
        <v>1</v>
      </c>
      <c r="R4" t="s">
        <v>1473</v>
      </c>
      <c r="S4">
        <v>0.84373944999999995</v>
      </c>
      <c r="T4">
        <v>0.42</v>
      </c>
      <c r="U4">
        <v>64.95</v>
      </c>
      <c r="V4">
        <v>0.93</v>
      </c>
      <c r="W4" t="s">
        <v>1901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 t="s">
        <v>1900</v>
      </c>
      <c r="AF4">
        <v>0</v>
      </c>
      <c r="AG4">
        <v>0</v>
      </c>
      <c r="AI4">
        <v>0.93</v>
      </c>
      <c r="AJ4">
        <v>0</v>
      </c>
      <c r="AK4">
        <v>0</v>
      </c>
      <c r="AL4">
        <v>18</v>
      </c>
      <c r="BA4" t="s">
        <v>1920</v>
      </c>
      <c r="BB4" t="s">
        <v>1940</v>
      </c>
      <c r="BC4">
        <v>25</v>
      </c>
      <c r="BD4" t="s">
        <v>1473</v>
      </c>
      <c r="BE4">
        <v>238.15</v>
      </c>
      <c r="BF4">
        <v>200.9365500175</v>
      </c>
      <c r="BG4">
        <f>F4*G4*Q4*S4</f>
        <v>2433758839208.458</v>
      </c>
      <c r="BH4">
        <v>2433758839208.458</v>
      </c>
      <c r="BI4">
        <v>2</v>
      </c>
      <c r="BJ4">
        <v>1026266.0320127941</v>
      </c>
      <c r="BK4">
        <v>1026266</v>
      </c>
      <c r="BL4">
        <v>1</v>
      </c>
      <c r="BM4" t="s">
        <v>60</v>
      </c>
    </row>
    <row r="5" spans="1:65" x14ac:dyDescent="0.25">
      <c r="A5">
        <v>55</v>
      </c>
      <c r="B5" t="s">
        <v>11</v>
      </c>
      <c r="C5" t="s">
        <v>602</v>
      </c>
      <c r="D5" t="s">
        <v>36</v>
      </c>
      <c r="E5" t="s">
        <v>61</v>
      </c>
      <c r="F5">
        <v>42.225639999999999</v>
      </c>
      <c r="G5">
        <v>7406947300</v>
      </c>
      <c r="H5" t="s">
        <v>1438</v>
      </c>
      <c r="I5">
        <v>312763.09999999998</v>
      </c>
      <c r="J5">
        <v>1326849891.8288801</v>
      </c>
      <c r="K5">
        <v>1671811430.33867</v>
      </c>
      <c r="L5">
        <v>1543274831.2206099</v>
      </c>
      <c r="M5">
        <v>1789607393.2502799</v>
      </c>
      <c r="N5">
        <v>1561100232.8698599</v>
      </c>
      <c r="O5" t="s">
        <v>59</v>
      </c>
      <c r="P5">
        <v>1</v>
      </c>
      <c r="Q5">
        <f>_xlfn.XLOOKUP(D5,'Top 250'!$D$2:$D$251,'Top 250'!$P$2:$P$251)</f>
        <v>0.9</v>
      </c>
      <c r="R5" t="s">
        <v>1492</v>
      </c>
      <c r="S5">
        <v>0.84373944999999995</v>
      </c>
      <c r="T5">
        <v>1.8</v>
      </c>
      <c r="U5">
        <v>45.4</v>
      </c>
      <c r="V5">
        <v>0.96</v>
      </c>
      <c r="W5" t="s">
        <v>1901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 t="s">
        <v>1900</v>
      </c>
      <c r="AF5">
        <v>0</v>
      </c>
      <c r="AG5">
        <v>0</v>
      </c>
      <c r="AI5">
        <v>0.96</v>
      </c>
      <c r="AJ5">
        <v>0</v>
      </c>
      <c r="AK5">
        <v>0</v>
      </c>
      <c r="AL5">
        <v>197</v>
      </c>
      <c r="BA5" t="s">
        <v>1920</v>
      </c>
      <c r="BB5" t="s">
        <v>1940</v>
      </c>
      <c r="BC5">
        <v>217</v>
      </c>
      <c r="BD5" t="s">
        <v>1492</v>
      </c>
      <c r="BE5">
        <v>50.66</v>
      </c>
      <c r="BF5">
        <v>42.743840536999997</v>
      </c>
      <c r="BG5">
        <f>F5*G5*Q5*S5</f>
        <v>237501501926.55737</v>
      </c>
      <c r="BH5">
        <v>237501501926.5574</v>
      </c>
      <c r="BI5">
        <v>19</v>
      </c>
      <c r="BJ5">
        <v>4824422.7304351926</v>
      </c>
      <c r="BK5">
        <v>4824423</v>
      </c>
      <c r="BL5">
        <v>1</v>
      </c>
      <c r="BM5" t="s">
        <v>60</v>
      </c>
    </row>
    <row r="6" spans="1:65" x14ac:dyDescent="0.25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250.89609999999999</v>
      </c>
      <c r="G6">
        <v>4703471000</v>
      </c>
      <c r="H6" t="s">
        <v>1439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f>_xlfn.XLOOKUP(D6,'Top 250'!$D$2:$D$251,'Top 250'!$P$2:$P$251)</f>
        <v>1</v>
      </c>
      <c r="R6" t="s">
        <v>1503</v>
      </c>
      <c r="S6">
        <v>0.84373944999999995</v>
      </c>
      <c r="T6">
        <v>3.02</v>
      </c>
      <c r="U6">
        <v>44.8</v>
      </c>
      <c r="V6">
        <v>0.63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 t="s">
        <v>1900</v>
      </c>
      <c r="AF6">
        <v>0</v>
      </c>
      <c r="AG6">
        <v>0</v>
      </c>
      <c r="AI6">
        <v>0.63</v>
      </c>
      <c r="AJ6">
        <v>0</v>
      </c>
      <c r="AK6">
        <v>0</v>
      </c>
      <c r="AL6">
        <v>355</v>
      </c>
      <c r="BA6" t="s">
        <v>1920</v>
      </c>
      <c r="BB6" t="s">
        <v>1940</v>
      </c>
      <c r="BC6">
        <v>221</v>
      </c>
      <c r="BD6" t="s">
        <v>1503</v>
      </c>
      <c r="BE6">
        <v>360</v>
      </c>
      <c r="BF6">
        <v>303.74620199999998</v>
      </c>
      <c r="BG6">
        <f>F6*G6*Q6*S6</f>
        <v>995682185123.17017</v>
      </c>
      <c r="BH6">
        <v>995682185123.17017</v>
      </c>
      <c r="BI6">
        <v>5</v>
      </c>
      <c r="BJ6">
        <v>678903.4875662413</v>
      </c>
      <c r="BK6">
        <v>678903</v>
      </c>
      <c r="BL6">
        <v>1</v>
      </c>
      <c r="BM6" t="s">
        <v>60</v>
      </c>
    </row>
    <row r="7" spans="1:65" x14ac:dyDescent="0.25">
      <c r="A7">
        <v>107</v>
      </c>
      <c r="B7" t="s">
        <v>13</v>
      </c>
      <c r="C7" t="s">
        <v>640</v>
      </c>
      <c r="D7" t="s">
        <v>38</v>
      </c>
      <c r="E7" t="s">
        <v>61</v>
      </c>
      <c r="F7">
        <v>57.45008</v>
      </c>
      <c r="G7">
        <v>3959998300</v>
      </c>
      <c r="H7" t="s">
        <v>1439</v>
      </c>
      <c r="I7">
        <v>227502.2</v>
      </c>
      <c r="J7">
        <v>1430810699.13555</v>
      </c>
      <c r="K7">
        <v>1234256500.4516201</v>
      </c>
      <c r="L7">
        <v>1180078478.9753499</v>
      </c>
      <c r="M7">
        <v>1368994163.1348701</v>
      </c>
      <c r="N7">
        <v>1115046270.84833</v>
      </c>
      <c r="O7" t="s">
        <v>58</v>
      </c>
      <c r="P7">
        <v>1</v>
      </c>
      <c r="Q7">
        <f>_xlfn.XLOOKUP(D7,'Top 250'!$D$2:$D$251,'Top 250'!$P$2:$P$251)</f>
        <v>1</v>
      </c>
      <c r="R7" t="s">
        <v>1530</v>
      </c>
      <c r="S7">
        <v>0.84373944999999995</v>
      </c>
      <c r="T7">
        <v>0.25</v>
      </c>
      <c r="U7">
        <v>65.66</v>
      </c>
      <c r="V7">
        <v>0.99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 t="s">
        <v>1900</v>
      </c>
      <c r="AF7">
        <v>0</v>
      </c>
      <c r="AG7">
        <v>0</v>
      </c>
      <c r="AI7">
        <v>0.99</v>
      </c>
      <c r="AJ7">
        <v>0</v>
      </c>
      <c r="AK7">
        <v>0</v>
      </c>
      <c r="AL7">
        <v>5</v>
      </c>
      <c r="BA7" t="s">
        <v>1920</v>
      </c>
      <c r="BB7" t="s">
        <v>1940</v>
      </c>
      <c r="BC7">
        <v>18</v>
      </c>
      <c r="BD7" t="s">
        <v>1530</v>
      </c>
      <c r="BE7">
        <v>66.930000000000007</v>
      </c>
      <c r="BF7">
        <v>56.471481388500003</v>
      </c>
      <c r="BG7">
        <f>F7*G7*Q7*S7</f>
        <v>191952597246.62964</v>
      </c>
      <c r="BH7">
        <v>191952597246.62961</v>
      </c>
      <c r="BI7">
        <v>24</v>
      </c>
      <c r="BJ7">
        <v>3651654.7964118761</v>
      </c>
      <c r="BK7">
        <v>3651655</v>
      </c>
      <c r="BL7">
        <v>1</v>
      </c>
      <c r="BM7" t="s">
        <v>60</v>
      </c>
    </row>
    <row r="8" spans="1:65" x14ac:dyDescent="0.25">
      <c r="A8">
        <v>113</v>
      </c>
      <c r="B8" t="s">
        <v>14</v>
      </c>
      <c r="C8" t="s">
        <v>646</v>
      </c>
      <c r="D8" t="s">
        <v>39</v>
      </c>
      <c r="E8" t="s">
        <v>61</v>
      </c>
      <c r="F8">
        <v>59.848089999999999</v>
      </c>
      <c r="G8">
        <v>4303667500</v>
      </c>
      <c r="H8" t="s">
        <v>1438</v>
      </c>
      <c r="I8">
        <v>257566.3</v>
      </c>
      <c r="J8">
        <v>726459285.39432597</v>
      </c>
      <c r="K8">
        <v>1051612961.57113</v>
      </c>
      <c r="L8">
        <v>914230375.49364603</v>
      </c>
      <c r="M8">
        <v>1059945793.5657001</v>
      </c>
      <c r="N8">
        <v>1022526412.42197</v>
      </c>
      <c r="O8" t="s">
        <v>59</v>
      </c>
      <c r="P8">
        <v>1</v>
      </c>
      <c r="Q8">
        <f>_xlfn.XLOOKUP(D8,'Top 250'!$D$2:$D$251,'Top 250'!$P$2:$P$251)</f>
        <v>0.9</v>
      </c>
      <c r="R8" t="s">
        <v>1536</v>
      </c>
      <c r="S8">
        <v>0.84373944999999995</v>
      </c>
      <c r="T8">
        <v>0.67</v>
      </c>
      <c r="U8">
        <v>44.27</v>
      </c>
      <c r="V8">
        <v>0.93</v>
      </c>
      <c r="W8" t="s">
        <v>1901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 t="s">
        <v>1900</v>
      </c>
      <c r="AF8">
        <v>0</v>
      </c>
      <c r="AG8">
        <v>0</v>
      </c>
      <c r="AI8">
        <v>0.93</v>
      </c>
      <c r="AJ8">
        <v>0</v>
      </c>
      <c r="AK8">
        <v>0</v>
      </c>
      <c r="AL8">
        <v>61</v>
      </c>
      <c r="BA8" t="s">
        <v>1920</v>
      </c>
      <c r="BB8" t="s">
        <v>1940</v>
      </c>
      <c r="BC8">
        <v>224</v>
      </c>
      <c r="BD8" t="s">
        <v>1536</v>
      </c>
      <c r="BE8">
        <v>66.239999999999995</v>
      </c>
      <c r="BF8">
        <v>55.889301167999989</v>
      </c>
      <c r="BG8">
        <f>F8*G8*Q8*S8</f>
        <v>195586948184.5108</v>
      </c>
      <c r="BH8">
        <v>195586948184.5108</v>
      </c>
      <c r="BI8">
        <v>22</v>
      </c>
      <c r="BJ8">
        <v>3689692.867207834</v>
      </c>
      <c r="BK8">
        <v>3689693</v>
      </c>
      <c r="BL8">
        <v>1</v>
      </c>
      <c r="BM8" t="s">
        <v>60</v>
      </c>
    </row>
    <row r="9" spans="1:65" x14ac:dyDescent="0.25">
      <c r="A9">
        <v>172</v>
      </c>
      <c r="B9" t="s">
        <v>15</v>
      </c>
      <c r="C9" t="s">
        <v>703</v>
      </c>
      <c r="D9" t="s">
        <v>40</v>
      </c>
      <c r="E9" t="s">
        <v>61</v>
      </c>
      <c r="F9">
        <v>607.33910000000003</v>
      </c>
      <c r="G9">
        <v>946456800</v>
      </c>
      <c r="H9" t="s">
        <v>1438</v>
      </c>
      <c r="I9">
        <v>574820.19999999995</v>
      </c>
      <c r="J9">
        <v>4428955769.9924002</v>
      </c>
      <c r="K9">
        <v>2908575870.1115999</v>
      </c>
      <c r="L9">
        <v>2747403680.6307402</v>
      </c>
      <c r="M9">
        <v>3185157703.6094599</v>
      </c>
      <c r="N9">
        <v>2816072044.4991298</v>
      </c>
      <c r="O9" t="s">
        <v>59</v>
      </c>
      <c r="P9">
        <v>1</v>
      </c>
      <c r="Q9">
        <f>_xlfn.XLOOKUP(D9,'Top 250'!$D$2:$D$251,'Top 250'!$P$2:$P$251)</f>
        <v>0.85</v>
      </c>
      <c r="R9" t="s">
        <v>1593</v>
      </c>
      <c r="S9">
        <v>0.84373944999999995</v>
      </c>
      <c r="T9">
        <v>2.5499999999999998</v>
      </c>
      <c r="U9">
        <v>59.02</v>
      </c>
      <c r="V9">
        <v>1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 t="s">
        <v>1900</v>
      </c>
      <c r="AF9">
        <v>0</v>
      </c>
      <c r="AG9">
        <v>0</v>
      </c>
      <c r="AI9">
        <v>1</v>
      </c>
      <c r="AJ9">
        <v>0</v>
      </c>
      <c r="AK9">
        <v>0</v>
      </c>
      <c r="AL9">
        <v>302</v>
      </c>
      <c r="BA9" t="s">
        <v>1920</v>
      </c>
      <c r="BB9" t="s">
        <v>1940</v>
      </c>
      <c r="BC9">
        <v>57</v>
      </c>
      <c r="BD9" t="s">
        <v>1593</v>
      </c>
      <c r="BE9">
        <v>764.71</v>
      </c>
      <c r="BF9">
        <v>645.21599480949999</v>
      </c>
      <c r="BG9">
        <f>F9*G9*Q9*S9</f>
        <v>412248722620.45459</v>
      </c>
      <c r="BH9">
        <v>412248722620.45459</v>
      </c>
      <c r="BI9">
        <v>10</v>
      </c>
      <c r="BJ9">
        <v>319605.15165729081</v>
      </c>
      <c r="BK9">
        <v>319605</v>
      </c>
      <c r="BL9">
        <v>1</v>
      </c>
      <c r="BM9" t="s">
        <v>60</v>
      </c>
    </row>
    <row r="10" spans="1:65" x14ac:dyDescent="0.25">
      <c r="A10">
        <v>212</v>
      </c>
      <c r="B10" t="s">
        <v>16</v>
      </c>
      <c r="C10" t="s">
        <v>739</v>
      </c>
      <c r="D10" t="s">
        <v>41</v>
      </c>
      <c r="E10" t="s">
        <v>61</v>
      </c>
      <c r="F10">
        <v>227.45349999999999</v>
      </c>
      <c r="G10">
        <v>1060439300</v>
      </c>
      <c r="H10" t="s">
        <v>1438</v>
      </c>
      <c r="I10">
        <v>241200.6</v>
      </c>
      <c r="J10">
        <v>954172276.81808305</v>
      </c>
      <c r="K10">
        <v>1232001148.6273999</v>
      </c>
      <c r="L10">
        <v>1398586699.16436</v>
      </c>
      <c r="M10">
        <v>1621048091.90938</v>
      </c>
      <c r="N10">
        <v>1035371488.98151</v>
      </c>
      <c r="O10" t="s">
        <v>59</v>
      </c>
      <c r="P10">
        <v>1</v>
      </c>
      <c r="Q10">
        <f>_xlfn.XLOOKUP(D10,'Top 250'!$D$2:$D$251,'Top 250'!$P$2:$P$251)</f>
        <v>1</v>
      </c>
      <c r="R10" t="s">
        <v>1629</v>
      </c>
      <c r="S10">
        <v>0.84373944999999995</v>
      </c>
      <c r="T10">
        <v>0.17</v>
      </c>
      <c r="U10">
        <v>42</v>
      </c>
      <c r="V10">
        <v>0.98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 t="s">
        <v>1900</v>
      </c>
      <c r="AF10">
        <v>0</v>
      </c>
      <c r="AG10">
        <v>0</v>
      </c>
      <c r="AI10">
        <v>0.98</v>
      </c>
      <c r="AJ10">
        <v>0</v>
      </c>
      <c r="AK10">
        <v>0</v>
      </c>
      <c r="AL10">
        <v>1</v>
      </c>
      <c r="BA10" t="s">
        <v>1920</v>
      </c>
      <c r="BB10" t="s">
        <v>1940</v>
      </c>
      <c r="BC10">
        <v>247</v>
      </c>
      <c r="BD10" t="s">
        <v>1629</v>
      </c>
      <c r="BE10">
        <v>292.97000000000003</v>
      </c>
      <c r="BF10">
        <v>247.19034666650001</v>
      </c>
      <c r="BG10">
        <f>F10*G10*Q10*S10</f>
        <v>203510487168.00165</v>
      </c>
      <c r="BH10">
        <v>203510487168.00159</v>
      </c>
      <c r="BI10">
        <v>20</v>
      </c>
      <c r="BJ10">
        <v>834233.04612706706</v>
      </c>
      <c r="BK10">
        <v>834233</v>
      </c>
      <c r="BL10">
        <v>1</v>
      </c>
      <c r="BM10" t="s">
        <v>60</v>
      </c>
    </row>
    <row r="11" spans="1:65" x14ac:dyDescent="0.25">
      <c r="A11">
        <v>231</v>
      </c>
      <c r="B11" t="s">
        <v>17</v>
      </c>
      <c r="C11" t="s">
        <v>758</v>
      </c>
      <c r="D11" t="s">
        <v>42</v>
      </c>
      <c r="E11" t="s">
        <v>61</v>
      </c>
      <c r="F11">
        <v>352.27</v>
      </c>
      <c r="G11">
        <v>994928000</v>
      </c>
      <c r="H11" t="s">
        <v>1438</v>
      </c>
      <c r="I11">
        <v>350644.9</v>
      </c>
      <c r="J11">
        <v>1273560645.8359301</v>
      </c>
      <c r="K11">
        <v>1206316941.6256001</v>
      </c>
      <c r="L11">
        <v>1139621405.26524</v>
      </c>
      <c r="M11">
        <v>1321827038.3647201</v>
      </c>
      <c r="N11">
        <v>1200889028.3908801</v>
      </c>
      <c r="O11" t="s">
        <v>59</v>
      </c>
      <c r="P11">
        <v>1</v>
      </c>
      <c r="Q11">
        <f>_xlfn.XLOOKUP(D11,'Top 250'!$D$2:$D$251,'Top 250'!$P$2:$P$251)</f>
        <v>1</v>
      </c>
      <c r="R11" t="s">
        <v>1648</v>
      </c>
      <c r="S11">
        <v>0.84373944999999995</v>
      </c>
      <c r="T11">
        <v>1.57</v>
      </c>
      <c r="U11">
        <v>45.49</v>
      </c>
      <c r="V11">
        <v>0.97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 t="s">
        <v>1900</v>
      </c>
      <c r="AF11">
        <v>0</v>
      </c>
      <c r="AG11">
        <v>0</v>
      </c>
      <c r="AI11">
        <v>0.97</v>
      </c>
      <c r="AJ11">
        <v>0</v>
      </c>
      <c r="AK11">
        <v>0</v>
      </c>
      <c r="AL11">
        <v>166</v>
      </c>
      <c r="BA11" t="s">
        <v>1920</v>
      </c>
      <c r="BB11" t="s">
        <v>1940</v>
      </c>
      <c r="BC11">
        <v>215</v>
      </c>
      <c r="BD11" t="s">
        <v>1648</v>
      </c>
      <c r="BE11">
        <v>421.45</v>
      </c>
      <c r="BF11">
        <v>355.59399120249998</v>
      </c>
      <c r="BG11">
        <f>F11*G11*Q11*S11</f>
        <v>295716575436.32678</v>
      </c>
      <c r="BH11">
        <v>295716575436.32678</v>
      </c>
      <c r="BI11">
        <v>15</v>
      </c>
      <c r="BJ11">
        <v>579915.18691148853</v>
      </c>
      <c r="BK11">
        <v>579915</v>
      </c>
      <c r="BL11">
        <v>1</v>
      </c>
      <c r="BM11" t="s">
        <v>60</v>
      </c>
    </row>
    <row r="12" spans="1:65" x14ac:dyDescent="0.25">
      <c r="A12">
        <v>256</v>
      </c>
      <c r="B12" t="s">
        <v>18</v>
      </c>
      <c r="C12" t="s">
        <v>782</v>
      </c>
      <c r="D12" t="s">
        <v>43</v>
      </c>
      <c r="E12" t="s">
        <v>61</v>
      </c>
      <c r="F12">
        <v>153.00389999999999</v>
      </c>
      <c r="G12">
        <v>2408338900</v>
      </c>
      <c r="H12" t="s">
        <v>1438</v>
      </c>
      <c r="I12">
        <v>368485.3</v>
      </c>
      <c r="J12">
        <v>1312110632.6108201</v>
      </c>
      <c r="K12">
        <v>1281509204.8752999</v>
      </c>
      <c r="L12">
        <v>1178015848.98422</v>
      </c>
      <c r="M12">
        <v>1365586579.3002901</v>
      </c>
      <c r="N12">
        <v>1187534736.64621</v>
      </c>
      <c r="O12" t="s">
        <v>59</v>
      </c>
      <c r="P12">
        <v>1</v>
      </c>
      <c r="Q12">
        <f>_xlfn.XLOOKUP(D12,'Top 250'!$D$2:$D$251,'Top 250'!$P$2:$P$251)</f>
        <v>1</v>
      </c>
      <c r="R12" t="s">
        <v>1672</v>
      </c>
      <c r="S12">
        <v>0.84373944999999995</v>
      </c>
      <c r="T12">
        <v>0.49</v>
      </c>
      <c r="U12">
        <v>67.86</v>
      </c>
      <c r="V12">
        <v>0.98</v>
      </c>
      <c r="W12" t="s">
        <v>1901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 t="s">
        <v>1900</v>
      </c>
      <c r="AF12">
        <v>0</v>
      </c>
      <c r="AG12">
        <v>0</v>
      </c>
      <c r="AI12">
        <v>0.98</v>
      </c>
      <c r="AJ12">
        <v>0</v>
      </c>
      <c r="AK12">
        <v>0</v>
      </c>
      <c r="AL12">
        <v>29</v>
      </c>
      <c r="BA12" t="s">
        <v>1920</v>
      </c>
      <c r="BB12" t="s">
        <v>1940</v>
      </c>
      <c r="BC12">
        <v>13</v>
      </c>
      <c r="BD12" t="s">
        <v>1672</v>
      </c>
      <c r="BE12">
        <v>176.46</v>
      </c>
      <c r="BF12">
        <v>148.88626334700001</v>
      </c>
      <c r="BG12">
        <f>F12*G12*Q12*S12</f>
        <v>310905537292.74121</v>
      </c>
      <c r="BH12">
        <v>310905537292.74121</v>
      </c>
      <c r="BI12">
        <v>13</v>
      </c>
      <c r="BJ12">
        <v>1385046.217408177</v>
      </c>
      <c r="BK12">
        <v>1385046</v>
      </c>
      <c r="BL12">
        <v>1</v>
      </c>
      <c r="BM12" t="s">
        <v>60</v>
      </c>
    </row>
    <row r="13" spans="1:65" x14ac:dyDescent="0.25">
      <c r="A13">
        <v>258</v>
      </c>
      <c r="B13" t="s">
        <v>19</v>
      </c>
      <c r="C13" t="s">
        <v>784</v>
      </c>
      <c r="D13" t="s">
        <v>44</v>
      </c>
      <c r="E13" t="s">
        <v>61</v>
      </c>
      <c r="F13">
        <v>252.80760000000001</v>
      </c>
      <c r="G13">
        <v>2749754000</v>
      </c>
      <c r="H13" t="s">
        <v>1438</v>
      </c>
      <c r="I13">
        <v>695158.8</v>
      </c>
      <c r="J13">
        <v>1750689480.2976999</v>
      </c>
      <c r="K13">
        <v>2281588910.3264098</v>
      </c>
      <c r="L13">
        <v>2040660200.90467</v>
      </c>
      <c r="M13">
        <v>2367061156.06668</v>
      </c>
      <c r="N13">
        <v>2141528286.41733</v>
      </c>
      <c r="O13" t="s">
        <v>59</v>
      </c>
      <c r="P13">
        <v>1</v>
      </c>
      <c r="Q13">
        <f>_xlfn.XLOOKUP(D13,'Top 250'!$D$2:$D$251,'Top 250'!$P$2:$P$251)</f>
        <v>1</v>
      </c>
      <c r="R13" t="s">
        <v>1674</v>
      </c>
      <c r="S13">
        <v>0.84373944999999995</v>
      </c>
      <c r="T13">
        <v>1.76</v>
      </c>
      <c r="U13">
        <v>47.38</v>
      </c>
      <c r="V13">
        <v>0.94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 t="s">
        <v>1900</v>
      </c>
      <c r="AF13">
        <v>0</v>
      </c>
      <c r="AG13">
        <v>0</v>
      </c>
      <c r="AI13">
        <v>0.94</v>
      </c>
      <c r="AJ13">
        <v>0</v>
      </c>
      <c r="AK13">
        <v>0</v>
      </c>
      <c r="AL13">
        <v>191</v>
      </c>
      <c r="BA13" t="s">
        <v>1920</v>
      </c>
      <c r="BB13" t="s">
        <v>1940</v>
      </c>
      <c r="BC13">
        <v>199</v>
      </c>
      <c r="BD13" t="s">
        <v>1674</v>
      </c>
      <c r="BE13">
        <v>309.19</v>
      </c>
      <c r="BF13">
        <v>260.8758005455</v>
      </c>
      <c r="BG13">
        <f>F13*G13*Q13*S13</f>
        <v>586532827073.1416</v>
      </c>
      <c r="BH13">
        <v>586532827073.1416</v>
      </c>
      <c r="BI13">
        <v>8</v>
      </c>
      <c r="BJ13">
        <v>790469.4703057888</v>
      </c>
      <c r="BK13">
        <v>790469</v>
      </c>
      <c r="BL13">
        <v>1</v>
      </c>
      <c r="BM13" t="s">
        <v>60</v>
      </c>
    </row>
    <row r="14" spans="1:65" x14ac:dyDescent="0.25">
      <c r="A14">
        <v>293</v>
      </c>
      <c r="B14" t="s">
        <v>20</v>
      </c>
      <c r="C14" t="s">
        <v>816</v>
      </c>
      <c r="D14" t="s">
        <v>45</v>
      </c>
      <c r="E14" t="s">
        <v>61</v>
      </c>
      <c r="F14">
        <v>511.14530000000002</v>
      </c>
      <c r="G14">
        <v>897274200</v>
      </c>
      <c r="H14" t="s">
        <v>1438</v>
      </c>
      <c r="I14">
        <v>458637.4</v>
      </c>
      <c r="J14">
        <v>1248219365.9288099</v>
      </c>
      <c r="K14">
        <v>1398723395.22855</v>
      </c>
      <c r="L14">
        <v>1368972489.76139</v>
      </c>
      <c r="M14">
        <v>1586678465.4317501</v>
      </c>
      <c r="N14">
        <v>1307409277.19572</v>
      </c>
      <c r="O14" t="s">
        <v>59</v>
      </c>
      <c r="P14">
        <v>1</v>
      </c>
      <c r="Q14">
        <f>_xlfn.XLOOKUP(D14,'Top 250'!$D$2:$D$251,'Top 250'!$P$2:$P$251)</f>
        <v>0.9</v>
      </c>
      <c r="R14" t="s">
        <v>1706</v>
      </c>
      <c r="S14">
        <v>0.84373944999999995</v>
      </c>
      <c r="T14">
        <v>0.56999999999999995</v>
      </c>
      <c r="U14">
        <v>58.24</v>
      </c>
      <c r="V14">
        <v>0.86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 t="s">
        <v>1900</v>
      </c>
      <c r="AF14">
        <v>0</v>
      </c>
      <c r="AG14">
        <v>0</v>
      </c>
      <c r="AI14">
        <v>0.86</v>
      </c>
      <c r="AJ14">
        <v>0</v>
      </c>
      <c r="AK14">
        <v>0</v>
      </c>
      <c r="AL14">
        <v>43</v>
      </c>
      <c r="BA14" t="s">
        <v>1920</v>
      </c>
      <c r="BB14" t="s">
        <v>1940</v>
      </c>
      <c r="BC14">
        <v>69</v>
      </c>
      <c r="BD14" t="s">
        <v>1706</v>
      </c>
      <c r="BE14">
        <v>586.41999999999996</v>
      </c>
      <c r="BF14">
        <v>494.78568826899988</v>
      </c>
      <c r="BG14">
        <f>F14*G14*Q14*S14</f>
        <v>348273489313.05042</v>
      </c>
      <c r="BH14">
        <v>348273489313.05042</v>
      </c>
      <c r="BI14">
        <v>12</v>
      </c>
      <c r="BJ14">
        <v>416775.10235641157</v>
      </c>
      <c r="BK14">
        <v>416775</v>
      </c>
      <c r="BL14">
        <v>1</v>
      </c>
      <c r="BM14" t="s">
        <v>60</v>
      </c>
    </row>
    <row r="15" spans="1:65" x14ac:dyDescent="0.25">
      <c r="A15">
        <v>300</v>
      </c>
      <c r="B15" t="s">
        <v>21</v>
      </c>
      <c r="C15" t="s">
        <v>823</v>
      </c>
      <c r="D15" t="s">
        <v>46</v>
      </c>
      <c r="E15" t="s">
        <v>61</v>
      </c>
      <c r="F15">
        <v>644.12869999999998</v>
      </c>
      <c r="G15">
        <v>2168962400</v>
      </c>
      <c r="H15" t="s">
        <v>1439</v>
      </c>
      <c r="I15">
        <v>1397091</v>
      </c>
      <c r="J15">
        <v>7299881309.0649004</v>
      </c>
      <c r="K15">
        <v>8553468985.4068298</v>
      </c>
      <c r="L15">
        <v>7554075680.2125902</v>
      </c>
      <c r="M15">
        <v>8749958510.0768509</v>
      </c>
      <c r="N15">
        <v>7956730973.2098398</v>
      </c>
      <c r="O15" t="s">
        <v>58</v>
      </c>
      <c r="P15">
        <v>1</v>
      </c>
      <c r="Q15">
        <f>_xlfn.XLOOKUP(D15,'Top 250'!$D$2:$D$251,'Top 250'!$P$2:$P$251)</f>
        <v>1</v>
      </c>
      <c r="R15" t="s">
        <v>1713</v>
      </c>
      <c r="S15">
        <v>0.84373944999999995</v>
      </c>
      <c r="T15">
        <v>0.84</v>
      </c>
      <c r="U15">
        <v>44.17</v>
      </c>
      <c r="V15">
        <v>0.91</v>
      </c>
      <c r="W15" t="s">
        <v>1901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 t="s">
        <v>1900</v>
      </c>
      <c r="AF15">
        <v>0</v>
      </c>
      <c r="AG15">
        <v>0</v>
      </c>
      <c r="AI15">
        <v>0.91</v>
      </c>
      <c r="AJ15">
        <v>0</v>
      </c>
      <c r="AK15">
        <v>0</v>
      </c>
      <c r="AL15">
        <v>85</v>
      </c>
      <c r="BA15" t="s">
        <v>1920</v>
      </c>
      <c r="BB15" t="s">
        <v>1940</v>
      </c>
      <c r="BC15">
        <v>226</v>
      </c>
      <c r="BD15" t="s">
        <v>1713</v>
      </c>
      <c r="BE15">
        <v>779</v>
      </c>
      <c r="BF15">
        <v>657.27303154999993</v>
      </c>
      <c r="BG15">
        <f>F15*G15*Q15*S15</f>
        <v>1178780733773.2947</v>
      </c>
      <c r="BH15">
        <v>1178780733773.2949</v>
      </c>
      <c r="BI15">
        <v>4</v>
      </c>
      <c r="BJ15">
        <v>313742.30490866088</v>
      </c>
      <c r="BK15">
        <v>313742</v>
      </c>
      <c r="BL15">
        <v>1</v>
      </c>
      <c r="BM15" t="s">
        <v>60</v>
      </c>
    </row>
    <row r="16" spans="1:65" x14ac:dyDescent="0.25">
      <c r="A16">
        <v>305</v>
      </c>
      <c r="B16" t="s">
        <v>22</v>
      </c>
      <c r="C16" t="s">
        <v>828</v>
      </c>
      <c r="D16" t="s">
        <v>47</v>
      </c>
      <c r="E16" t="s">
        <v>61</v>
      </c>
      <c r="F16">
        <v>432.86399999999998</v>
      </c>
      <c r="G16">
        <v>7433166500</v>
      </c>
      <c r="H16" t="s">
        <v>1439</v>
      </c>
      <c r="I16">
        <v>3217550</v>
      </c>
      <c r="J16">
        <v>9436941222.6542606</v>
      </c>
      <c r="K16">
        <v>8721626593.0646706</v>
      </c>
      <c r="L16">
        <v>8529722043.0490904</v>
      </c>
      <c r="M16">
        <v>9885213580.2704906</v>
      </c>
      <c r="N16">
        <v>8482259076.6637096</v>
      </c>
      <c r="O16" t="s">
        <v>58</v>
      </c>
      <c r="P16">
        <v>1</v>
      </c>
      <c r="Q16">
        <f>_xlfn.XLOOKUP(D16,'Top 250'!$D$2:$D$251,'Top 250'!$P$2:$P$251)</f>
        <v>1</v>
      </c>
      <c r="R16" t="s">
        <v>1718</v>
      </c>
      <c r="S16">
        <v>0.84373944999999995</v>
      </c>
      <c r="T16">
        <v>0.47</v>
      </c>
      <c r="U16">
        <v>65.25</v>
      </c>
      <c r="V16">
        <v>0.91</v>
      </c>
      <c r="W16" t="s">
        <v>1901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 t="s">
        <v>1900</v>
      </c>
      <c r="AF16">
        <v>0</v>
      </c>
      <c r="AG16">
        <v>0</v>
      </c>
      <c r="AI16">
        <v>0.91</v>
      </c>
      <c r="AJ16">
        <v>0</v>
      </c>
      <c r="AK16">
        <v>0</v>
      </c>
      <c r="AL16">
        <v>24</v>
      </c>
      <c r="BA16" t="s">
        <v>1920</v>
      </c>
      <c r="BB16" t="s">
        <v>1940</v>
      </c>
      <c r="BC16">
        <v>21</v>
      </c>
      <c r="BD16" t="s">
        <v>1718</v>
      </c>
      <c r="BE16">
        <v>509.04</v>
      </c>
      <c r="BF16">
        <v>429.49712962799998</v>
      </c>
      <c r="BG16">
        <f>BE16*G16*Q16</f>
        <v>3783779075160</v>
      </c>
      <c r="BH16">
        <v>2714774022474.0601</v>
      </c>
      <c r="BI16">
        <v>1</v>
      </c>
      <c r="BJ16">
        <v>480129.76489833178</v>
      </c>
      <c r="BK16">
        <v>480130</v>
      </c>
      <c r="BL16">
        <v>1</v>
      </c>
      <c r="BM16" t="s">
        <v>60</v>
      </c>
    </row>
    <row r="17" spans="1:65" x14ac:dyDescent="0.25">
      <c r="A17">
        <v>319</v>
      </c>
      <c r="B17" t="s">
        <v>23</v>
      </c>
      <c r="C17" t="s">
        <v>841</v>
      </c>
      <c r="D17" t="s">
        <v>48</v>
      </c>
      <c r="E17" t="s">
        <v>61</v>
      </c>
      <c r="F17">
        <v>1028.0340000000001</v>
      </c>
      <c r="G17">
        <v>424926360</v>
      </c>
      <c r="H17" t="s">
        <v>1439</v>
      </c>
      <c r="I17">
        <v>436838.7</v>
      </c>
      <c r="J17">
        <v>2917436145.80585</v>
      </c>
      <c r="K17">
        <v>3976235082.57482</v>
      </c>
      <c r="L17">
        <v>3402809506.97403</v>
      </c>
      <c r="M17">
        <v>3947852061.4971299</v>
      </c>
      <c r="N17">
        <v>3324520614.5185699</v>
      </c>
      <c r="O17" t="s">
        <v>58</v>
      </c>
      <c r="P17">
        <v>1</v>
      </c>
      <c r="Q17">
        <f>_xlfn.XLOOKUP(D17,'Top 250'!$D$2:$D$251,'Top 250'!$P$2:$P$251)</f>
        <v>1</v>
      </c>
      <c r="R17" t="s">
        <v>1731</v>
      </c>
      <c r="S17">
        <v>0.84373944999999995</v>
      </c>
      <c r="T17">
        <v>1.85</v>
      </c>
      <c r="U17">
        <v>44.05</v>
      </c>
      <c r="V17">
        <v>0.8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 t="s">
        <v>1900</v>
      </c>
      <c r="AF17">
        <v>0</v>
      </c>
      <c r="AG17">
        <v>0</v>
      </c>
      <c r="AI17">
        <v>0.8</v>
      </c>
      <c r="AJ17">
        <v>0</v>
      </c>
      <c r="AK17">
        <v>0</v>
      </c>
      <c r="AL17">
        <v>203</v>
      </c>
      <c r="BA17" t="s">
        <v>1920</v>
      </c>
      <c r="BB17" t="s">
        <v>1940</v>
      </c>
      <c r="BC17">
        <v>227</v>
      </c>
      <c r="BD17" t="s">
        <v>1731</v>
      </c>
      <c r="BE17">
        <v>1200.51</v>
      </c>
      <c r="BF17">
        <v>1012.9176471195</v>
      </c>
      <c r="BG17">
        <f>F17*G17*Q17*S17</f>
        <v>368578082931.18671</v>
      </c>
      <c r="BH17">
        <v>368578082931.18671</v>
      </c>
      <c r="BI17">
        <v>11</v>
      </c>
      <c r="BJ17">
        <v>203584.5228476621</v>
      </c>
      <c r="BK17">
        <v>203585</v>
      </c>
      <c r="BL17">
        <v>1</v>
      </c>
      <c r="BM17" t="s">
        <v>60</v>
      </c>
    </row>
    <row r="18" spans="1:65" x14ac:dyDescent="0.25">
      <c r="A18">
        <v>339</v>
      </c>
      <c r="B18" t="s">
        <v>24</v>
      </c>
      <c r="C18" t="s">
        <v>860</v>
      </c>
      <c r="D18" t="s">
        <v>49</v>
      </c>
      <c r="E18" t="s">
        <v>61</v>
      </c>
      <c r="F18">
        <v>201.71530000000001</v>
      </c>
      <c r="G18">
        <v>2808833000</v>
      </c>
      <c r="H18" t="s">
        <v>1438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f>_xlfn.XLOOKUP(D18,'Top 250'!$D$2:$D$251,'Top 250'!$P$2:$P$251)</f>
        <v>0.6</v>
      </c>
      <c r="R18" t="s">
        <v>1750</v>
      </c>
      <c r="S18">
        <v>0.84373944999999995</v>
      </c>
      <c r="T18">
        <v>0.84</v>
      </c>
      <c r="U18">
        <v>65.099999999999994</v>
      </c>
      <c r="V18">
        <v>0.89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 t="s">
        <v>1900</v>
      </c>
      <c r="AF18">
        <v>0</v>
      </c>
      <c r="AG18">
        <v>0</v>
      </c>
      <c r="AI18">
        <v>0.89</v>
      </c>
      <c r="AJ18">
        <v>0</v>
      </c>
      <c r="AK18">
        <v>0</v>
      </c>
      <c r="AL18">
        <v>85</v>
      </c>
      <c r="BA18" t="s">
        <v>1920</v>
      </c>
      <c r="BB18" t="s">
        <v>1940</v>
      </c>
      <c r="BC18">
        <v>22</v>
      </c>
      <c r="BD18" t="s">
        <v>1750</v>
      </c>
      <c r="BE18">
        <v>306.64999999999998</v>
      </c>
      <c r="BF18">
        <v>258.73270234249998</v>
      </c>
      <c r="BG18">
        <f>F18*G18*Q18*S18</f>
        <v>286829862837.26801</v>
      </c>
      <c r="BH18">
        <v>286829862837.26801</v>
      </c>
      <c r="BI18">
        <v>16</v>
      </c>
      <c r="BJ18">
        <v>797016.97545686236</v>
      </c>
      <c r="BK18">
        <v>797017</v>
      </c>
      <c r="BL18">
        <v>1</v>
      </c>
      <c r="BM18" t="s">
        <v>60</v>
      </c>
    </row>
    <row r="19" spans="1:65" x14ac:dyDescent="0.25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135.46680000000001</v>
      </c>
      <c r="G19">
        <v>2274261500</v>
      </c>
      <c r="H19" t="s">
        <v>1439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>
        <f>_xlfn.XLOOKUP(D19,'Top 250'!$D$2:$D$251,'Top 250'!$P$2:$P$251)</f>
        <v>1</v>
      </c>
      <c r="R19" t="s">
        <v>1755</v>
      </c>
      <c r="S19">
        <v>0.84373944999999995</v>
      </c>
      <c r="T19">
        <v>1.07</v>
      </c>
      <c r="U19">
        <v>53.9</v>
      </c>
      <c r="V19">
        <v>0.6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 t="s">
        <v>1900</v>
      </c>
      <c r="AF19">
        <v>0</v>
      </c>
      <c r="AG19">
        <v>0</v>
      </c>
      <c r="AI19">
        <v>0.6</v>
      </c>
      <c r="AJ19">
        <v>0</v>
      </c>
      <c r="AK19">
        <v>0</v>
      </c>
      <c r="AL19">
        <v>116</v>
      </c>
      <c r="BA19" t="s">
        <v>1920</v>
      </c>
      <c r="BB19" t="s">
        <v>1940</v>
      </c>
      <c r="BC19">
        <v>122</v>
      </c>
      <c r="BD19" t="s">
        <v>1755</v>
      </c>
      <c r="BE19">
        <v>170.26</v>
      </c>
      <c r="BF19">
        <v>143.65507875700001</v>
      </c>
      <c r="BG19">
        <f>F19*G19*Q19*S19</f>
        <v>259945094987.33078</v>
      </c>
      <c r="BH19">
        <v>259945094987.33081</v>
      </c>
      <c r="BI19">
        <v>18</v>
      </c>
      <c r="BJ19">
        <v>1435482.529800581</v>
      </c>
      <c r="BK19">
        <v>1435483</v>
      </c>
      <c r="BL19">
        <v>1</v>
      </c>
      <c r="BM19" t="s">
        <v>60</v>
      </c>
    </row>
    <row r="20" spans="1:65" x14ac:dyDescent="0.25">
      <c r="A20">
        <v>354</v>
      </c>
      <c r="B20" t="s">
        <v>26</v>
      </c>
      <c r="C20" t="s">
        <v>874</v>
      </c>
      <c r="D20" t="s">
        <v>51</v>
      </c>
      <c r="E20" t="s">
        <v>61</v>
      </c>
      <c r="F20">
        <v>146.5694</v>
      </c>
      <c r="G20">
        <v>1556589400</v>
      </c>
      <c r="H20" t="s">
        <v>1438</v>
      </c>
      <c r="I20">
        <v>228148.3</v>
      </c>
      <c r="J20">
        <v>656648061.30172205</v>
      </c>
      <c r="K20">
        <v>899383165.88637304</v>
      </c>
      <c r="L20">
        <v>842353364.72163999</v>
      </c>
      <c r="M20">
        <v>976319979.048648</v>
      </c>
      <c r="N20">
        <v>774633604.55018401</v>
      </c>
      <c r="O20" t="s">
        <v>59</v>
      </c>
      <c r="P20">
        <v>1</v>
      </c>
      <c r="Q20">
        <f>_xlfn.XLOOKUP(D20,'Top 250'!$D$2:$D$251,'Top 250'!$P$2:$P$251)</f>
        <v>1</v>
      </c>
      <c r="R20" t="s">
        <v>1764</v>
      </c>
      <c r="S20">
        <v>0.84373944999999995</v>
      </c>
      <c r="T20">
        <v>0.61</v>
      </c>
      <c r="U20">
        <v>51.95</v>
      </c>
      <c r="V20">
        <v>0.98</v>
      </c>
      <c r="W20" t="s">
        <v>1901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 t="s">
        <v>1900</v>
      </c>
      <c r="AF20">
        <v>0</v>
      </c>
      <c r="AG20">
        <v>0</v>
      </c>
      <c r="AI20">
        <v>0.98</v>
      </c>
      <c r="AJ20">
        <v>0</v>
      </c>
      <c r="AK20">
        <v>0</v>
      </c>
      <c r="AL20">
        <v>50</v>
      </c>
      <c r="BA20" t="s">
        <v>1920</v>
      </c>
      <c r="BB20" t="s">
        <v>1940</v>
      </c>
      <c r="BC20">
        <v>155</v>
      </c>
      <c r="BD20" t="s">
        <v>1764</v>
      </c>
      <c r="BE20">
        <v>162.96</v>
      </c>
      <c r="BF20">
        <v>137.49578077199999</v>
      </c>
      <c r="BG20">
        <f>F20*G20*Q20*S20</f>
        <v>192497783938.3288</v>
      </c>
      <c r="BH20">
        <v>192497783938.3288</v>
      </c>
      <c r="BI20">
        <v>23</v>
      </c>
      <c r="BJ20">
        <v>1499786.791383449</v>
      </c>
      <c r="BK20">
        <v>1499787</v>
      </c>
      <c r="BL20">
        <v>1</v>
      </c>
      <c r="BM20" t="s">
        <v>60</v>
      </c>
    </row>
    <row r="21" spans="1:65" x14ac:dyDescent="0.25">
      <c r="A21">
        <v>362</v>
      </c>
      <c r="B21" t="s">
        <v>27</v>
      </c>
      <c r="C21" t="s">
        <v>881</v>
      </c>
      <c r="D21" t="s">
        <v>52</v>
      </c>
      <c r="E21" t="s">
        <v>61</v>
      </c>
      <c r="F21">
        <v>135.40710000000001</v>
      </c>
      <c r="G21">
        <v>2342371600</v>
      </c>
      <c r="H21" t="s">
        <v>1438</v>
      </c>
      <c r="I21">
        <v>317173.59999999998</v>
      </c>
      <c r="J21">
        <v>923051669.78539097</v>
      </c>
      <c r="K21">
        <v>1205134365.4763899</v>
      </c>
      <c r="L21">
        <v>1110124859.7864599</v>
      </c>
      <c r="M21">
        <v>1287049204.36252</v>
      </c>
      <c r="N21">
        <v>1156753394.25143</v>
      </c>
      <c r="O21" t="s">
        <v>59</v>
      </c>
      <c r="P21">
        <v>1</v>
      </c>
      <c r="Q21">
        <f>_xlfn.XLOOKUP(D21,'Top 250'!$D$2:$D$251,'Top 250'!$P$2:$P$251)</f>
        <v>1</v>
      </c>
      <c r="R21" t="s">
        <v>1771</v>
      </c>
      <c r="S21">
        <v>0.84373944999999995</v>
      </c>
      <c r="T21">
        <v>0.79</v>
      </c>
      <c r="U21">
        <v>58.74</v>
      </c>
      <c r="V21">
        <v>0.99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 t="s">
        <v>1900</v>
      </c>
      <c r="AF21">
        <v>0</v>
      </c>
      <c r="AG21">
        <v>0</v>
      </c>
      <c r="AI21">
        <v>0.99</v>
      </c>
      <c r="AJ21">
        <v>0</v>
      </c>
      <c r="AK21">
        <v>0</v>
      </c>
      <c r="AL21">
        <v>77</v>
      </c>
      <c r="BA21" t="s">
        <v>1920</v>
      </c>
      <c r="BB21" t="s">
        <v>1940</v>
      </c>
      <c r="BC21">
        <v>60</v>
      </c>
      <c r="BD21" t="s">
        <v>1771</v>
      </c>
      <c r="BE21">
        <v>158.05000000000001</v>
      </c>
      <c r="BF21">
        <v>133.35302007249999</v>
      </c>
      <c r="BG21">
        <f>F21*G21*Q21*S21</f>
        <v>267612001564.35147</v>
      </c>
      <c r="BH21">
        <v>267612001564.3515</v>
      </c>
      <c r="BI21">
        <v>17</v>
      </c>
      <c r="BJ21">
        <v>1546379.3452948241</v>
      </c>
      <c r="BK21">
        <v>1546379</v>
      </c>
      <c r="BL21">
        <v>1</v>
      </c>
      <c r="BM21" t="s">
        <v>60</v>
      </c>
    </row>
    <row r="22" spans="1:65" x14ac:dyDescent="0.25">
      <c r="A22">
        <v>394</v>
      </c>
      <c r="B22" t="s">
        <v>28</v>
      </c>
      <c r="C22" t="s">
        <v>910</v>
      </c>
      <c r="D22" t="s">
        <v>53</v>
      </c>
      <c r="E22" t="s">
        <v>61</v>
      </c>
      <c r="F22">
        <v>211.8877</v>
      </c>
      <c r="G22">
        <v>956000000</v>
      </c>
      <c r="H22" t="s">
        <v>1438</v>
      </c>
      <c r="I22">
        <v>202564.6</v>
      </c>
      <c r="J22">
        <v>1771303707.1337299</v>
      </c>
      <c r="K22">
        <v>1774784643.26071</v>
      </c>
      <c r="L22">
        <v>1824998017.7253799</v>
      </c>
      <c r="M22">
        <v>2111862353.5232401</v>
      </c>
      <c r="N22">
        <v>1784610644.59268</v>
      </c>
      <c r="O22" t="s">
        <v>59</v>
      </c>
      <c r="P22">
        <v>1</v>
      </c>
      <c r="Q22">
        <f>_xlfn.XLOOKUP(D22,'Top 250'!$D$2:$D$251,'Top 250'!$P$2:$P$251)</f>
        <v>1</v>
      </c>
      <c r="R22" t="s">
        <v>1800</v>
      </c>
      <c r="S22">
        <v>0.84373944999999995</v>
      </c>
      <c r="T22">
        <v>0.98</v>
      </c>
      <c r="U22">
        <v>65.48</v>
      </c>
      <c r="V22">
        <v>0.9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 t="s">
        <v>1900</v>
      </c>
      <c r="AF22">
        <v>0</v>
      </c>
      <c r="AG22">
        <v>0</v>
      </c>
      <c r="AI22">
        <v>0.9</v>
      </c>
      <c r="AJ22">
        <v>0</v>
      </c>
      <c r="AK22">
        <v>0</v>
      </c>
      <c r="AL22">
        <v>105</v>
      </c>
      <c r="BA22" t="s">
        <v>1920</v>
      </c>
      <c r="BB22" t="s">
        <v>1940</v>
      </c>
      <c r="BC22">
        <v>19</v>
      </c>
      <c r="BD22" t="s">
        <v>1800</v>
      </c>
      <c r="BE22">
        <v>239.31</v>
      </c>
      <c r="BF22">
        <v>201.91528777950001</v>
      </c>
      <c r="BG22">
        <f>F22*G22*Q22*S22</f>
        <v>170911778955.53534</v>
      </c>
      <c r="BH22">
        <v>170911778955.53531</v>
      </c>
      <c r="BI22">
        <v>25</v>
      </c>
      <c r="BJ22">
        <v>1021291.4442515851</v>
      </c>
      <c r="BK22">
        <v>1021291</v>
      </c>
      <c r="BL22">
        <v>1</v>
      </c>
      <c r="BM22" t="s">
        <v>60</v>
      </c>
    </row>
    <row r="23" spans="1:65" x14ac:dyDescent="0.25">
      <c r="A23">
        <v>433</v>
      </c>
      <c r="B23" t="s">
        <v>29</v>
      </c>
      <c r="C23" t="s">
        <v>945</v>
      </c>
      <c r="D23" t="s">
        <v>54</v>
      </c>
      <c r="E23" t="s">
        <v>61</v>
      </c>
      <c r="F23">
        <v>290.16039999999998</v>
      </c>
      <c r="G23">
        <v>3225449000</v>
      </c>
      <c r="H23" t="s">
        <v>1439</v>
      </c>
      <c r="I23">
        <v>935897.7</v>
      </c>
      <c r="J23">
        <v>21367950547.258999</v>
      </c>
      <c r="K23">
        <v>29445716543.261101</v>
      </c>
      <c r="L23">
        <v>27999683608.127899</v>
      </c>
      <c r="M23">
        <v>32415370075.7384</v>
      </c>
      <c r="N23">
        <v>27610005889.156399</v>
      </c>
      <c r="O23" t="s">
        <v>58</v>
      </c>
      <c r="P23">
        <v>1</v>
      </c>
      <c r="Q23">
        <f>_xlfn.XLOOKUP(D23,'Top 250'!$D$2:$D$251,'Top 250'!$P$2:$P$251)</f>
        <v>0.85</v>
      </c>
      <c r="R23" t="s">
        <v>1835</v>
      </c>
      <c r="S23">
        <v>0.84373944999999995</v>
      </c>
      <c r="T23">
        <v>2.89</v>
      </c>
      <c r="U23">
        <v>60.66</v>
      </c>
      <c r="V23">
        <v>0.91</v>
      </c>
      <c r="W23" t="s">
        <v>1901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 t="s">
        <v>1900</v>
      </c>
      <c r="AF23">
        <v>0</v>
      </c>
      <c r="AG23">
        <v>0</v>
      </c>
      <c r="AI23">
        <v>0.91</v>
      </c>
      <c r="AJ23">
        <v>0</v>
      </c>
      <c r="AK23">
        <v>0</v>
      </c>
      <c r="AL23">
        <v>342</v>
      </c>
      <c r="BA23" t="s">
        <v>1920</v>
      </c>
      <c r="BB23" t="s">
        <v>1940</v>
      </c>
      <c r="BC23">
        <v>45</v>
      </c>
      <c r="BD23" t="s">
        <v>1835</v>
      </c>
      <c r="BE23">
        <v>421.62</v>
      </c>
      <c r="BF23">
        <v>355.73742690900002</v>
      </c>
      <c r="BG23">
        <f>F23*G23*Q23*S23</f>
        <v>671205647271.32971</v>
      </c>
      <c r="BH23">
        <v>671205647271.32971</v>
      </c>
      <c r="BI23">
        <v>7</v>
      </c>
      <c r="BJ23">
        <v>579681.36123487225</v>
      </c>
      <c r="BK23">
        <v>579681</v>
      </c>
      <c r="BL23">
        <v>1</v>
      </c>
      <c r="BM23" t="s">
        <v>60</v>
      </c>
    </row>
    <row r="24" spans="1:65" x14ac:dyDescent="0.25">
      <c r="A24">
        <v>457</v>
      </c>
      <c r="B24" t="s">
        <v>30</v>
      </c>
      <c r="C24" t="s">
        <v>967</v>
      </c>
      <c r="D24" t="s">
        <v>55</v>
      </c>
      <c r="E24" t="s">
        <v>61</v>
      </c>
      <c r="F24">
        <v>262.3485</v>
      </c>
      <c r="G24">
        <v>905673650</v>
      </c>
      <c r="H24" t="s">
        <v>1438</v>
      </c>
      <c r="I24">
        <v>237602.1</v>
      </c>
      <c r="J24">
        <v>5176096780.9330397</v>
      </c>
      <c r="K24">
        <v>4338962573.7455797</v>
      </c>
      <c r="L24">
        <v>4142938564.3520002</v>
      </c>
      <c r="M24">
        <v>4801865900.0657501</v>
      </c>
      <c r="N24">
        <v>3263141430.9116302</v>
      </c>
      <c r="O24" t="s">
        <v>59</v>
      </c>
      <c r="P24">
        <v>1</v>
      </c>
      <c r="Q24">
        <f>_xlfn.XLOOKUP(D24,'Top 250'!$D$2:$D$251,'Top 250'!$P$2:$P$251)</f>
        <v>1</v>
      </c>
      <c r="R24" t="s">
        <v>1857</v>
      </c>
      <c r="S24">
        <v>0.84373944999999995</v>
      </c>
      <c r="T24">
        <v>1.72</v>
      </c>
      <c r="U24">
        <v>70.209999999999994</v>
      </c>
      <c r="V24">
        <v>0.87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 t="s">
        <v>1900</v>
      </c>
      <c r="AF24">
        <v>0</v>
      </c>
      <c r="AG24">
        <v>0</v>
      </c>
      <c r="AI24">
        <v>0.87</v>
      </c>
      <c r="AJ24">
        <v>0</v>
      </c>
      <c r="AK24">
        <v>0</v>
      </c>
      <c r="AL24">
        <v>186</v>
      </c>
      <c r="BA24" t="s">
        <v>1920</v>
      </c>
      <c r="BB24" t="s">
        <v>1940</v>
      </c>
      <c r="BC24">
        <v>4</v>
      </c>
      <c r="BD24" t="s">
        <v>1857</v>
      </c>
      <c r="BE24">
        <v>339.78</v>
      </c>
      <c r="BF24">
        <v>286.68579032100001</v>
      </c>
      <c r="BG24">
        <f>F24*G24*Q24*S24</f>
        <v>200474285057.27368</v>
      </c>
      <c r="BH24">
        <v>200474285057.27371</v>
      </c>
      <c r="BI24">
        <v>21</v>
      </c>
      <c r="BJ24">
        <v>719304.41910603002</v>
      </c>
      <c r="BK24">
        <v>719304</v>
      </c>
      <c r="BL24">
        <v>1</v>
      </c>
      <c r="BM24" t="s">
        <v>60</v>
      </c>
    </row>
    <row r="25" spans="1:65" x14ac:dyDescent="0.25">
      <c r="A25">
        <v>471</v>
      </c>
      <c r="B25" t="s">
        <v>31</v>
      </c>
      <c r="C25" t="s">
        <v>981</v>
      </c>
      <c r="D25" t="s">
        <v>56</v>
      </c>
      <c r="E25" t="s">
        <v>61</v>
      </c>
      <c r="F25">
        <v>298.7199</v>
      </c>
      <c r="G25">
        <v>1698682500</v>
      </c>
      <c r="H25" t="s">
        <v>1438</v>
      </c>
      <c r="I25">
        <v>507430.3</v>
      </c>
      <c r="J25">
        <v>1736834610.5569401</v>
      </c>
      <c r="K25">
        <v>2083355015.5510099</v>
      </c>
      <c r="L25">
        <v>1967634288.4717901</v>
      </c>
      <c r="M25">
        <v>2279164078.3408799</v>
      </c>
      <c r="N25">
        <v>1929801042.0091701</v>
      </c>
      <c r="O25" t="s">
        <v>59</v>
      </c>
      <c r="P25">
        <v>1</v>
      </c>
      <c r="Q25">
        <f>_xlfn.XLOOKUP(D25,'Top 250'!$D$2:$D$251,'Top 250'!$P$2:$P$251)</f>
        <v>1</v>
      </c>
      <c r="R25" t="s">
        <v>1871</v>
      </c>
      <c r="S25">
        <v>0.84373944999999995</v>
      </c>
      <c r="T25">
        <v>0.82</v>
      </c>
      <c r="U25">
        <v>55.33</v>
      </c>
      <c r="V25">
        <v>0.87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 t="s">
        <v>1900</v>
      </c>
      <c r="AF25">
        <v>0</v>
      </c>
      <c r="AG25">
        <v>0</v>
      </c>
      <c r="AI25">
        <v>0.87</v>
      </c>
      <c r="AJ25">
        <v>0</v>
      </c>
      <c r="AK25">
        <v>0</v>
      </c>
      <c r="AL25">
        <v>82</v>
      </c>
      <c r="BA25" t="s">
        <v>1920</v>
      </c>
      <c r="BB25" t="s">
        <v>1940</v>
      </c>
      <c r="BC25">
        <v>100</v>
      </c>
      <c r="BD25" t="s">
        <v>1871</v>
      </c>
      <c r="BE25">
        <v>340.03</v>
      </c>
      <c r="BF25">
        <v>286.89672518349988</v>
      </c>
      <c r="BG25">
        <f>F25*G25*Q25*S25</f>
        <v>428138933996.85211</v>
      </c>
      <c r="BH25">
        <v>428138933996.85211</v>
      </c>
      <c r="BI25">
        <v>9</v>
      </c>
      <c r="BJ25">
        <v>718775.56546142069</v>
      </c>
      <c r="BK25">
        <v>718776</v>
      </c>
      <c r="BL25">
        <v>1</v>
      </c>
      <c r="BM25" t="s">
        <v>60</v>
      </c>
    </row>
    <row r="26" spans="1:65" x14ac:dyDescent="0.25">
      <c r="A26">
        <v>476</v>
      </c>
      <c r="B26" t="s">
        <v>32</v>
      </c>
      <c r="C26" t="s">
        <v>986</v>
      </c>
      <c r="D26" t="s">
        <v>57</v>
      </c>
      <c r="E26" t="s">
        <v>61</v>
      </c>
      <c r="F26">
        <v>82.633560000000003</v>
      </c>
      <c r="G26">
        <v>7980418000</v>
      </c>
      <c r="H26" t="s">
        <v>1438</v>
      </c>
      <c r="I26">
        <v>659450.4</v>
      </c>
      <c r="J26">
        <v>1682401093.4101501</v>
      </c>
      <c r="K26">
        <v>1657235147.2631299</v>
      </c>
      <c r="L26">
        <v>1379758554.62344</v>
      </c>
      <c r="M26">
        <v>1599124553.8729601</v>
      </c>
      <c r="N26">
        <v>1502253898.5940399</v>
      </c>
      <c r="O26" t="s">
        <v>59</v>
      </c>
      <c r="P26">
        <v>1</v>
      </c>
      <c r="Q26">
        <f>_xlfn.XLOOKUP(D26,'Top 250'!$D$2:$D$251,'Top 250'!$P$2:$P$251)</f>
        <v>0.55000000000000004</v>
      </c>
      <c r="R26" t="s">
        <v>1876</v>
      </c>
      <c r="S26">
        <v>0.84373944999999995</v>
      </c>
      <c r="T26">
        <v>0.53</v>
      </c>
      <c r="U26">
        <v>44.93</v>
      </c>
      <c r="V26">
        <v>0.99</v>
      </c>
      <c r="W26" t="s">
        <v>1901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 t="s">
        <v>1900</v>
      </c>
      <c r="AF26">
        <v>0</v>
      </c>
      <c r="AG26">
        <v>0</v>
      </c>
      <c r="AI26">
        <v>0.99</v>
      </c>
      <c r="AJ26">
        <v>0</v>
      </c>
      <c r="AK26">
        <v>0</v>
      </c>
      <c r="AL26">
        <v>34</v>
      </c>
      <c r="BA26" t="s">
        <v>1920</v>
      </c>
      <c r="BB26" t="s">
        <v>1940</v>
      </c>
      <c r="BC26">
        <v>219</v>
      </c>
      <c r="BD26" t="s">
        <v>1876</v>
      </c>
      <c r="BE26">
        <v>103.42</v>
      </c>
      <c r="BF26">
        <v>87.259533918999992</v>
      </c>
      <c r="BG26">
        <f>F26*G26*Q26*S26</f>
        <v>306022351413.6272</v>
      </c>
      <c r="BH26">
        <v>306022351413.6272</v>
      </c>
      <c r="BI26">
        <v>14</v>
      </c>
      <c r="BJ26">
        <v>2363230.0862874379</v>
      </c>
      <c r="BK26">
        <v>2363230</v>
      </c>
      <c r="BL26">
        <v>1</v>
      </c>
      <c r="BM26" t="s">
        <v>60</v>
      </c>
    </row>
  </sheetData>
  <autoFilter ref="A1:BM26" xr:uid="{00000000-0001-0000-0500-000000000000}">
    <sortState xmlns:xlrd2="http://schemas.microsoft.com/office/spreadsheetml/2017/richdata2" ref="A2:BM26">
      <sortCondition ref="B1:B2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2025-12-10T13:35:16Z</dcterms:created>
  <dcterms:modified xsi:type="dcterms:W3CDTF">2025-12-10T13:43:52Z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2025-12-10T13:36:39Z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6cfa3465-af6d-4c80-a68c-5a2f1b0618e6</vt:lpwstr>
  </property>
  <property fmtid="{D5CDD505-2E9C-101B-9397-08002B2CF9AE}" pid="8" name="MSIP_Label_ac0b9ce6-6e99-42a1-af95-429494370cbc_ContentBits">
    <vt:lpwstr>2</vt:lpwstr>
  </property>
</Properties>
</file>