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56" documentId="11_0E320E1CE9ABF390500D55FE4388190694CBB785" xr6:coauthVersionLast="47" xr6:coauthVersionMax="47" xr10:uidLastSave="{F0DA3CC4-1B00-4F27-8FAE-E63F24CEB488}"/>
  <bookViews>
    <workbookView xWindow="-120" yWindow="-120" windowWidth="29040" windowHeight="15720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definedNames>
    <definedName name="_xlnm._FilterDatabase" localSheetId="5" hidden="1">'Company Iterations'!$A$10:$H$30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6" l="1"/>
  <c r="O13" i="6"/>
  <c r="O14" i="6"/>
  <c r="O15" i="6"/>
  <c r="P15" i="6" s="1"/>
  <c r="Q15" i="6" s="1"/>
  <c r="O16" i="6"/>
  <c r="P16" i="6" s="1"/>
  <c r="Q16" i="6" s="1"/>
  <c r="O17" i="6"/>
  <c r="P17" i="6" s="1"/>
  <c r="Q17" i="6" s="1"/>
  <c r="O18" i="6"/>
  <c r="P18" i="6" s="1"/>
  <c r="Q18" i="6" s="1"/>
  <c r="O19" i="6"/>
  <c r="P19" i="6" s="1"/>
  <c r="Q19" i="6" s="1"/>
  <c r="O20" i="6"/>
  <c r="P20" i="6" s="1"/>
  <c r="Q20" i="6" s="1"/>
  <c r="O21" i="6"/>
  <c r="P21" i="6" s="1"/>
  <c r="Q21" i="6" s="1"/>
  <c r="O22" i="6"/>
  <c r="O23" i="6"/>
  <c r="O24" i="6"/>
  <c r="O26" i="6"/>
  <c r="P26" i="6" s="1"/>
  <c r="Q26" i="6" s="1"/>
  <c r="O27" i="6"/>
  <c r="P27" i="6" s="1"/>
  <c r="Q27" i="6" s="1"/>
  <c r="O28" i="6"/>
  <c r="O29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55" i="6"/>
  <c r="L54" i="6"/>
  <c r="L53" i="6"/>
  <c r="L52" i="6"/>
  <c r="L51" i="6"/>
  <c r="L50" i="6"/>
  <c r="L49" i="6"/>
  <c r="L48" i="6"/>
  <c r="L47" i="6"/>
  <c r="L46" i="6"/>
  <c r="L45" i="6"/>
  <c r="L44" i="6"/>
  <c r="L42" i="6"/>
  <c r="L41" i="6"/>
  <c r="L40" i="6"/>
  <c r="L39" i="6"/>
  <c r="L38" i="6"/>
  <c r="L37" i="6"/>
  <c r="L36" i="6"/>
  <c r="L35" i="6"/>
  <c r="L43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35" i="6"/>
  <c r="Q22" i="6"/>
  <c r="Q23" i="6"/>
  <c r="Q24" i="6"/>
  <c r="Q25" i="6"/>
  <c r="Q30" i="6"/>
  <c r="Q11" i="6"/>
  <c r="P29" i="6"/>
  <c r="Q29" i="6" s="1"/>
  <c r="P28" i="6"/>
  <c r="Q28" i="6" s="1"/>
  <c r="P24" i="6"/>
  <c r="P23" i="6"/>
  <c r="P22" i="6"/>
  <c r="P14" i="6"/>
  <c r="Q14" i="6" s="1"/>
  <c r="P13" i="6"/>
  <c r="Q13" i="6" s="1"/>
  <c r="P12" i="6"/>
  <c r="Q12" i="6" s="1"/>
  <c r="F4" i="6"/>
  <c r="F3" i="6"/>
  <c r="O9" i="6"/>
  <c r="N5" i="6"/>
  <c r="N4" i="6"/>
  <c r="N2" i="6"/>
  <c r="N3" i="6"/>
  <c r="E5" i="6"/>
  <c r="L25" i="6"/>
  <c r="I25" i="6"/>
  <c r="I16" i="6"/>
  <c r="L11" i="6"/>
  <c r="I11" i="6"/>
  <c r="I9" i="6"/>
  <c r="O32" i="6" l="1"/>
  <c r="I12" i="6" l="1"/>
  <c r="I30" i="6"/>
  <c r="J21" i="6"/>
  <c r="J27" i="6"/>
  <c r="J17" i="6"/>
  <c r="I26" i="6"/>
  <c r="J15" i="6"/>
  <c r="J18" i="6"/>
  <c r="J23" i="6"/>
  <c r="J13" i="6"/>
  <c r="J26" i="6"/>
  <c r="J29" i="6"/>
  <c r="J19" i="6"/>
  <c r="J24" i="6"/>
  <c r="J14" i="6"/>
  <c r="J12" i="6"/>
  <c r="I21" i="6"/>
  <c r="I23" i="6"/>
  <c r="I27" i="6"/>
  <c r="I14" i="6"/>
  <c r="I18" i="6"/>
  <c r="I19" i="6"/>
  <c r="I24" i="6"/>
  <c r="I22" i="6"/>
  <c r="I28" i="6"/>
  <c r="I13" i="6"/>
  <c r="I29" i="6"/>
  <c r="I20" i="6"/>
  <c r="I15" i="6"/>
  <c r="J20" i="6"/>
  <c r="J22" i="6"/>
  <c r="J28" i="6"/>
  <c r="I17" i="6"/>
  <c r="J30" i="6"/>
  <c r="I2" i="6" l="1"/>
  <c r="I5" i="6"/>
  <c r="I4" i="6"/>
  <c r="E3" i="6" s="1"/>
  <c r="I3" i="6"/>
  <c r="K9" i="6" s="1"/>
  <c r="E4" i="6"/>
  <c r="K20" i="6" s="1"/>
  <c r="L20" i="6" s="1"/>
  <c r="K22" i="6" l="1"/>
  <c r="L22" i="6" s="1"/>
  <c r="K12" i="6"/>
  <c r="L12" i="6" s="1"/>
  <c r="K14" i="6"/>
  <c r="L14" i="6" s="1"/>
  <c r="K15" i="6"/>
  <c r="L15" i="6" s="1"/>
  <c r="K30" i="6"/>
  <c r="K26" i="6"/>
  <c r="L26" i="6" s="1"/>
  <c r="K13" i="6"/>
  <c r="L13" i="6" s="1"/>
  <c r="K27" i="6"/>
  <c r="L27" i="6" s="1"/>
  <c r="K28" i="6"/>
  <c r="L28" i="6" s="1"/>
  <c r="K29" i="6"/>
  <c r="L29" i="6" s="1"/>
  <c r="K16" i="6"/>
  <c r="L16" i="6" s="1"/>
  <c r="K21" i="6"/>
  <c r="L21" i="6" s="1"/>
  <c r="K19" i="6"/>
  <c r="L19" i="6" s="1"/>
  <c r="K24" i="6"/>
  <c r="L24" i="6" s="1"/>
  <c r="K17" i="6"/>
  <c r="L17" i="6" s="1"/>
  <c r="K18" i="6"/>
  <c r="L18" i="6" s="1"/>
  <c r="M18" i="6" s="1"/>
  <c r="K23" i="6"/>
  <c r="L23" i="6" s="1"/>
  <c r="M17" i="6"/>
  <c r="L30" i="6" l="1"/>
  <c r="M30" i="6" l="1"/>
  <c r="M9" i="6" l="1"/>
  <c r="F5" i="6"/>
  <c r="M29" i="6" l="1"/>
  <c r="M21" i="6"/>
  <c r="N14" i="6"/>
  <c r="M15" i="6"/>
  <c r="M26" i="6"/>
  <c r="M23" i="6"/>
  <c r="N21" i="6"/>
  <c r="M12" i="6"/>
  <c r="N26" i="6"/>
  <c r="N16" i="6"/>
  <c r="N29" i="6"/>
  <c r="N22" i="6"/>
  <c r="N23" i="6"/>
  <c r="N13" i="6"/>
  <c r="M22" i="6"/>
  <c r="M28" i="6"/>
  <c r="N27" i="6"/>
  <c r="M27" i="6"/>
  <c r="M24" i="6"/>
  <c r="M19" i="6"/>
  <c r="N24" i="6"/>
  <c r="M16" i="6"/>
  <c r="N28" i="6"/>
  <c r="N15" i="6"/>
  <c r="M14" i="6"/>
  <c r="M13" i="6"/>
  <c r="N20" i="6"/>
  <c r="M20" i="6"/>
  <c r="N12" i="6"/>
  <c r="N19" i="6"/>
  <c r="R15" i="6" l="1"/>
  <c r="R24" i="6"/>
  <c r="R29" i="6"/>
  <c r="R26" i="6"/>
  <c r="R23" i="6"/>
  <c r="R16" i="6"/>
  <c r="R28" i="6"/>
  <c r="R27" i="6"/>
  <c r="R13" i="6"/>
  <c r="R22" i="6"/>
  <c r="R19" i="6"/>
  <c r="R12" i="6"/>
  <c r="R11" i="6"/>
  <c r="R25" i="6"/>
  <c r="R18" i="6"/>
  <c r="R30" i="6"/>
  <c r="R17" i="6"/>
  <c r="R20" i="6"/>
  <c r="R21" i="6"/>
  <c r="R14" i="6"/>
</calcChain>
</file>

<file path=xl/sharedStrings.xml><?xml version="1.0" encoding="utf-8"?>
<sst xmlns="http://schemas.openxmlformats.org/spreadsheetml/2006/main" count="741" uniqueCount="130">
  <si>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</si>
  <si>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</si>
  <si>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</si>
  <si>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</si>
  <si>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</si>
  <si>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</si>
  <si>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</si>
  <si>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</si>
  <si>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</si>
  <si>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</si>
  <si>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</si>
  <si>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</si>
  <si>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</si>
  <si>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</si>
  <si>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</si>
  <si>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</si>
  <si>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</si>
  <si>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</si>
  <si>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</si>
  <si>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</si>
  <si>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</si>
  <si>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</si>
  <si>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</si>
  <si>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</si>
  <si>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</si>
  <si>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</si>
  <si>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</si>
  <si>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</si>
  <si>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</si>
  <si>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</si>
  <si>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</si>
  <si>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</si>
  <si>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</si>
  <si>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</si>
  <si>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</si>
  <si>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</si>
  <si>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</si>
  <si>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</si>
  <si>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</si>
  <si>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</si>
  <si>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</si>
  <si>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</si>
  <si>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</si>
  <si>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</si>
  <si>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</si>
  <si>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</si>
  <si>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</si>
  <si>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</si>
  <si>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</si>
  <si>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</si>
  <si>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</si>
  <si>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</si>
  <si>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</si>
  <si>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</si>
  <si>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</si>
  <si>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</si>
  <si>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</si>
  <si>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</si>
  <si>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</si>
  <si>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</si>
  <si>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</si>
  <si>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</si>
  <si>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</si>
  <si>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</si>
  <si>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</si>
  <si>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</si>
  <si>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</si>
  <si>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</si>
  <si>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</si>
  <si>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</si>
  <si>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</si>
  <si>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</si>
  <si>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</si>
  <si>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</si>
  <si>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</si>
  <si>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</si>
  <si>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</si>
  <si>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</si>
  <si>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</si>
  <si>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</si>
  <si>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</si>
  <si>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</si>
  <si>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</si>
  <si>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</si>
  <si>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</si>
  <si>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</si>
  <si>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</si>
  <si>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</si>
  <si>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</si>
  <si>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</si>
  <si>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</si>
  <si>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</si>
  <si>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</si>
  <si>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</si>
  <si>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</si>
  <si>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</si>
  <si>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</si>
  <si>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</si>
  <si>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</si>
  <si>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</si>
  <si>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</si>
  <si>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</si>
  <si>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</si>
  <si>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</si>
  <si>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</si>
  <si>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</si>
  <si>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</si>
  <si>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</si>
  <si>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</si>
  <si>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</si>
  <si>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</si>
  <si>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</si>
  <si>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</si>
  <si>
    <t>R1</t>
  </si>
  <si>
    <t>R2</t>
  </si>
  <si>
    <t>Sum to redistribute to for S2</t>
  </si>
  <si>
    <t>Sum to remove for S2</t>
  </si>
  <si>
    <t>SUM without &gt;0.1 for S1</t>
  </si>
  <si>
    <t>S2 ok?</t>
  </si>
  <si>
    <t>R1S1</t>
  </si>
  <si>
    <t>R1S2</t>
  </si>
  <si>
    <t>R2S1</t>
  </si>
  <si>
    <t>Redistr Amt</t>
  </si>
  <si>
    <t>Delta</t>
  </si>
  <si>
    <t>New W</t>
  </si>
  <si>
    <t>Adj Factor</t>
  </si>
  <si>
    <t>Scaled</t>
  </si>
  <si>
    <t>R2S2</t>
  </si>
  <si>
    <t>J12/$E$3*$K$9</t>
  </si>
  <si>
    <t>J16/$E$4*$K$9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</si>
</sst>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00"/>
    <numFmt numFmtId="186" formatCode="0.000000000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2" borderId="0" xfId="0" applyFill="1"/>
    <xf numFmtId="0" fontId="0" fillId="2" borderId="6" xfId="0" applyFill="1" applyBorder="1"/>
    <xf numFmtId="0" fontId="0" fillId="3" borderId="0" xfId="0" applyFill="1"/>
    <xf numFmtId="0" fontId="0" fillId="3" borderId="6" xfId="0" applyFill="1" applyBorder="1"/>
    <xf numFmtId="0" fontId="0" fillId="4" borderId="0" xfId="0" applyFill="1"/>
    <xf numFmtId="0" fontId="0" fillId="4" borderId="6" xfId="0" applyFill="1" applyBorder="1"/>
    <xf numFmtId="0" fontId="0" fillId="5" borderId="0" xfId="0" applyFill="1"/>
    <xf numFmtId="0" fontId="0" fillId="5" borderId="8" xfId="0" applyFill="1" applyBorder="1"/>
    <xf numFmtId="0" fontId="0" fillId="5" borderId="9" xfId="0" applyFill="1" applyBorder="1"/>
    <xf numFmtId="0" fontId="0" fillId="0" borderId="0" xfId="0" applyBorder="1"/>
    <xf numFmtId="169" fontId="0" fillId="0" borderId="0" xfId="0" applyNumberFormat="1"/>
    <xf numFmtId="18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workbookViewId="0">
      <selection activeCell="O8" sqref="O8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spans="1:17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  <c r="J2" t="s">
        <v>8</v>
      </c>
      <c r="K2" t="s">
        <v>28</v>
      </c>
      <c r="L2" t="s">
        <v>48</v>
      </c>
      <c r="M2">
        <v>462029966</v>
      </c>
      <c r="N2">
        <v>0.75</v>
      </c>
      <c r="O2">
        <v>1</v>
      </c>
      <c r="P2" t="s">
        <v>53</v>
      </c>
      <c r="Q2" t="s">
        <v>54</v>
      </c>
    </row>
    <row r="3" spans="1:17" x14ac:dyDescent="0.25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1</v>
      </c>
      <c r="G3" t="s">
        <v>53</v>
      </c>
      <c r="H3" t="s">
        <v>54</v>
      </c>
      <c r="J3" t="s">
        <v>9</v>
      </c>
      <c r="K3" t="s">
        <v>29</v>
      </c>
      <c r="L3" t="s">
        <v>49</v>
      </c>
      <c r="M3">
        <v>49328548</v>
      </c>
      <c r="N3">
        <v>1</v>
      </c>
      <c r="O3">
        <v>1</v>
      </c>
      <c r="P3" t="s">
        <v>53</v>
      </c>
      <c r="Q3" t="s">
        <v>54</v>
      </c>
    </row>
    <row r="4" spans="1:17" x14ac:dyDescent="0.25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0.20920102556697731</v>
      </c>
      <c r="G4" t="s">
        <v>53</v>
      </c>
      <c r="H4" t="s">
        <v>54</v>
      </c>
      <c r="J4" t="s">
        <v>10</v>
      </c>
      <c r="K4" t="s">
        <v>30</v>
      </c>
      <c r="L4" t="s">
        <v>49</v>
      </c>
      <c r="M4">
        <v>388147674</v>
      </c>
      <c r="N4">
        <v>1</v>
      </c>
      <c r="O4">
        <v>0.20920102556698</v>
      </c>
      <c r="P4" t="s">
        <v>53</v>
      </c>
      <c r="Q4" t="s">
        <v>54</v>
      </c>
    </row>
    <row r="5" spans="1:17" x14ac:dyDescent="0.25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0.80197467808177691</v>
      </c>
      <c r="G5" t="s">
        <v>53</v>
      </c>
      <c r="H5" t="s">
        <v>54</v>
      </c>
      <c r="J5" t="s">
        <v>11</v>
      </c>
      <c r="K5" t="s">
        <v>31</v>
      </c>
      <c r="L5" t="s">
        <v>50</v>
      </c>
      <c r="M5">
        <v>3038418183</v>
      </c>
      <c r="N5">
        <v>0.65</v>
      </c>
      <c r="O5">
        <v>0.82817409009894005</v>
      </c>
      <c r="P5" t="s">
        <v>53</v>
      </c>
      <c r="Q5" t="s">
        <v>54</v>
      </c>
    </row>
    <row r="6" spans="1:17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0.80197467808177691</v>
      </c>
      <c r="G6" t="s">
        <v>53</v>
      </c>
      <c r="H6" t="s">
        <v>54</v>
      </c>
      <c r="J6" t="s">
        <v>12</v>
      </c>
      <c r="K6" t="s">
        <v>32</v>
      </c>
      <c r="L6" t="s">
        <v>50</v>
      </c>
      <c r="M6">
        <v>1515182126</v>
      </c>
      <c r="N6">
        <v>0.75</v>
      </c>
      <c r="O6">
        <v>0.82817409009894005</v>
      </c>
      <c r="P6" t="s">
        <v>53</v>
      </c>
      <c r="Q6" t="s">
        <v>54</v>
      </c>
    </row>
    <row r="7" spans="1:17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0.48613486447688331</v>
      </c>
      <c r="G7" t="s">
        <v>53</v>
      </c>
      <c r="H7" t="s">
        <v>54</v>
      </c>
      <c r="J7" t="s">
        <v>13</v>
      </c>
      <c r="K7" t="s">
        <v>33</v>
      </c>
      <c r="L7" t="s">
        <v>51</v>
      </c>
      <c r="M7">
        <v>14885325000</v>
      </c>
      <c r="N7">
        <v>1</v>
      </c>
      <c r="O7">
        <v>0.49915324919510001</v>
      </c>
      <c r="P7" t="s">
        <v>53</v>
      </c>
      <c r="Q7" t="s">
        <v>54</v>
      </c>
    </row>
    <row r="8" spans="1:17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0.6805917524805819</v>
      </c>
      <c r="G8" t="s">
        <v>53</v>
      </c>
      <c r="H8" t="s">
        <v>54</v>
      </c>
      <c r="J8" t="s">
        <v>14</v>
      </c>
      <c r="K8" t="s">
        <v>34</v>
      </c>
      <c r="L8" t="s">
        <v>51</v>
      </c>
      <c r="M8">
        <v>5763285600</v>
      </c>
      <c r="N8">
        <v>1</v>
      </c>
      <c r="O8">
        <v>0.64894977710407997</v>
      </c>
      <c r="P8" t="s">
        <v>53</v>
      </c>
      <c r="Q8" t="s">
        <v>54</v>
      </c>
    </row>
    <row r="9" spans="1:17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  <c r="J9" t="s">
        <v>15</v>
      </c>
      <c r="K9" t="s">
        <v>35</v>
      </c>
      <c r="L9" t="s">
        <v>49</v>
      </c>
      <c r="M9">
        <v>81146738</v>
      </c>
      <c r="N9">
        <v>0.9</v>
      </c>
      <c r="O9">
        <v>1</v>
      </c>
      <c r="P9" t="s">
        <v>53</v>
      </c>
      <c r="Q9" t="s">
        <v>54</v>
      </c>
    </row>
    <row r="10" spans="1:17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0.80197467808177691</v>
      </c>
      <c r="G10" t="s">
        <v>53</v>
      </c>
      <c r="H10" t="s">
        <v>54</v>
      </c>
      <c r="J10" t="s">
        <v>16</v>
      </c>
      <c r="K10" t="s">
        <v>36</v>
      </c>
      <c r="L10" t="s">
        <v>51</v>
      </c>
      <c r="M10">
        <v>7085565400</v>
      </c>
      <c r="N10">
        <v>0.5</v>
      </c>
      <c r="O10">
        <v>0.82817409009894005</v>
      </c>
      <c r="P10" t="s">
        <v>53</v>
      </c>
      <c r="Q10" t="s">
        <v>54</v>
      </c>
    </row>
    <row r="11" spans="1:17" x14ac:dyDescent="0.25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0.80197467808177691</v>
      </c>
      <c r="G11" t="s">
        <v>53</v>
      </c>
      <c r="H11" t="s">
        <v>54</v>
      </c>
      <c r="J11" t="s">
        <v>17</v>
      </c>
      <c r="K11" t="s">
        <v>37</v>
      </c>
      <c r="L11" t="s">
        <v>52</v>
      </c>
      <c r="M11">
        <v>1127496200</v>
      </c>
      <c r="N11">
        <v>0.6</v>
      </c>
      <c r="O11">
        <v>0.82817409009894005</v>
      </c>
      <c r="P11" t="s">
        <v>53</v>
      </c>
      <c r="Q11" t="s">
        <v>54</v>
      </c>
    </row>
    <row r="12" spans="1:17" x14ac:dyDescent="0.25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1</v>
      </c>
      <c r="G12" t="s">
        <v>53</v>
      </c>
      <c r="H12" t="s">
        <v>54</v>
      </c>
      <c r="J12" t="s">
        <v>18</v>
      </c>
      <c r="K12" t="s">
        <v>38</v>
      </c>
      <c r="L12" t="s">
        <v>52</v>
      </c>
      <c r="M12">
        <v>765600400</v>
      </c>
      <c r="N12">
        <v>0.6</v>
      </c>
      <c r="O12">
        <v>1</v>
      </c>
      <c r="P12" t="s">
        <v>53</v>
      </c>
      <c r="Q12" t="s">
        <v>54</v>
      </c>
    </row>
    <row r="13" spans="1:17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0.80197467808177691</v>
      </c>
      <c r="G13" t="s">
        <v>53</v>
      </c>
      <c r="H13" t="s">
        <v>54</v>
      </c>
      <c r="J13" t="s">
        <v>19</v>
      </c>
      <c r="K13" t="s">
        <v>39</v>
      </c>
      <c r="L13" t="s">
        <v>52</v>
      </c>
      <c r="M13">
        <v>1948252900</v>
      </c>
      <c r="N13">
        <v>1</v>
      </c>
      <c r="O13">
        <v>0.82817409009894005</v>
      </c>
      <c r="P13" t="s">
        <v>53</v>
      </c>
      <c r="Q13" t="s">
        <v>54</v>
      </c>
    </row>
    <row r="14" spans="1:17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  <c r="J14" t="s">
        <v>20</v>
      </c>
      <c r="K14" t="s">
        <v>40</v>
      </c>
      <c r="L14" t="s">
        <v>52</v>
      </c>
      <c r="M14">
        <v>1305921100</v>
      </c>
      <c r="N14">
        <v>1</v>
      </c>
      <c r="O14">
        <v>1</v>
      </c>
      <c r="P14" t="s">
        <v>53</v>
      </c>
      <c r="Q14" t="s">
        <v>54</v>
      </c>
    </row>
    <row r="15" spans="1:17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  <c r="J15" t="s">
        <v>21</v>
      </c>
      <c r="K15" t="s">
        <v>41</v>
      </c>
      <c r="L15" t="s">
        <v>50</v>
      </c>
      <c r="M15">
        <v>271215400</v>
      </c>
      <c r="N15">
        <v>0.65</v>
      </c>
      <c r="O15">
        <v>1</v>
      </c>
      <c r="P15" t="s">
        <v>53</v>
      </c>
      <c r="Q15" t="s">
        <v>54</v>
      </c>
    </row>
    <row r="16" spans="1:17" x14ac:dyDescent="0.25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1</v>
      </c>
      <c r="G16" t="s">
        <v>53</v>
      </c>
      <c r="H16" t="s">
        <v>54</v>
      </c>
      <c r="J16" t="s">
        <v>22</v>
      </c>
      <c r="K16" t="s">
        <v>42</v>
      </c>
      <c r="L16" t="s">
        <v>50</v>
      </c>
      <c r="M16">
        <v>296401348</v>
      </c>
      <c r="N16">
        <v>1</v>
      </c>
      <c r="O16">
        <v>1</v>
      </c>
      <c r="P16" t="s">
        <v>53</v>
      </c>
      <c r="Q16" t="s">
        <v>54</v>
      </c>
    </row>
    <row r="17" spans="1:17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0.55356148439910891</v>
      </c>
      <c r="G17" t="s">
        <v>53</v>
      </c>
      <c r="H17" t="s">
        <v>54</v>
      </c>
      <c r="J17" t="s">
        <v>23</v>
      </c>
      <c r="K17" t="s">
        <v>43</v>
      </c>
      <c r="L17" t="s">
        <v>48</v>
      </c>
      <c r="M17">
        <v>577122512</v>
      </c>
      <c r="N17">
        <v>1</v>
      </c>
      <c r="O17">
        <v>0.55356148439911002</v>
      </c>
      <c r="P17" t="s">
        <v>53</v>
      </c>
      <c r="Q17" t="s">
        <v>54</v>
      </c>
    </row>
    <row r="18" spans="1:17" x14ac:dyDescent="0.25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0.79824965255164115</v>
      </c>
      <c r="G18" t="s">
        <v>53</v>
      </c>
      <c r="H18" t="s">
        <v>54</v>
      </c>
      <c r="J18" t="s">
        <v>24</v>
      </c>
      <c r="K18" t="s">
        <v>44</v>
      </c>
      <c r="L18" t="s">
        <v>52</v>
      </c>
      <c r="M18">
        <v>861104900</v>
      </c>
      <c r="N18">
        <v>0.9</v>
      </c>
      <c r="O18">
        <v>0.79824965255164004</v>
      </c>
      <c r="P18" t="s">
        <v>53</v>
      </c>
      <c r="Q18" t="s">
        <v>54</v>
      </c>
    </row>
    <row r="19" spans="1:17" x14ac:dyDescent="0.25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0.80197467808177691</v>
      </c>
      <c r="G19" t="s">
        <v>53</v>
      </c>
      <c r="H19" t="s">
        <v>54</v>
      </c>
      <c r="J19" t="s">
        <v>25</v>
      </c>
      <c r="K19" t="s">
        <v>45</v>
      </c>
      <c r="L19" t="s">
        <v>48</v>
      </c>
      <c r="M19">
        <v>766894786</v>
      </c>
      <c r="N19">
        <v>0.9</v>
      </c>
      <c r="O19">
        <v>0.82817409009894005</v>
      </c>
      <c r="P19" t="s">
        <v>53</v>
      </c>
      <c r="Q19" t="s">
        <v>54</v>
      </c>
    </row>
    <row r="20" spans="1:17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  <c r="J20" t="s">
        <v>26</v>
      </c>
      <c r="K20" t="s">
        <v>46</v>
      </c>
      <c r="L20" t="s">
        <v>48</v>
      </c>
      <c r="M20">
        <v>911281920</v>
      </c>
      <c r="N20">
        <v>0.70000000000000007</v>
      </c>
      <c r="O20">
        <v>1</v>
      </c>
      <c r="P20" t="s">
        <v>53</v>
      </c>
      <c r="Q20" t="s">
        <v>54</v>
      </c>
    </row>
    <row r="21" spans="1:17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0.71554820760087168</v>
      </c>
      <c r="G21" t="s">
        <v>53</v>
      </c>
      <c r="H21" t="s">
        <v>54</v>
      </c>
      <c r="J21" t="s">
        <v>27</v>
      </c>
      <c r="K21" t="s">
        <v>47</v>
      </c>
      <c r="L21" t="s">
        <v>50</v>
      </c>
      <c r="M21">
        <v>1557675176</v>
      </c>
      <c r="N21">
        <v>1</v>
      </c>
      <c r="O21">
        <v>0.68228104166315995</v>
      </c>
      <c r="P21" t="s">
        <v>53</v>
      </c>
      <c r="Q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940.9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365208146466.59998</v>
      </c>
      <c r="Q2">
        <v>0.20920102556697731</v>
      </c>
      <c r="R2">
        <v>0.27797430953667801</v>
      </c>
      <c r="S2" t="b">
        <v>1</v>
      </c>
      <c r="T2">
        <v>76401918786.227585</v>
      </c>
      <c r="U2">
        <v>0.1</v>
      </c>
      <c r="V2" t="s">
        <v>94</v>
      </c>
      <c r="W2">
        <v>0.35974547492060688</v>
      </c>
      <c r="X2">
        <v>0.1</v>
      </c>
      <c r="Y2">
        <v>388147674</v>
      </c>
    </row>
    <row r="3" spans="1:2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239.15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128294334417.60001</v>
      </c>
      <c r="O3">
        <v>1</v>
      </c>
      <c r="P3">
        <v>138018848744.79999</v>
      </c>
      <c r="Q3">
        <v>0.55356148439910891</v>
      </c>
      <c r="R3">
        <v>0.1050515837449746</v>
      </c>
      <c r="S3" t="b">
        <v>1</v>
      </c>
      <c r="T3">
        <v>76401918786.227585</v>
      </c>
      <c r="U3">
        <v>0.1</v>
      </c>
      <c r="V3" t="s">
        <v>95</v>
      </c>
      <c r="W3">
        <v>0.9519133023521289</v>
      </c>
      <c r="X3">
        <v>0.1</v>
      </c>
      <c r="Y3">
        <v>577122512</v>
      </c>
    </row>
    <row r="4" spans="1:2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9.7780000000000005</v>
      </c>
      <c r="I4">
        <v>8.8049999999999997</v>
      </c>
      <c r="J4">
        <v>1</v>
      </c>
      <c r="K4">
        <v>30101010</v>
      </c>
      <c r="L4">
        <v>14885325000</v>
      </c>
      <c r="M4">
        <v>8.8049999999999997</v>
      </c>
      <c r="N4">
        <v>131065286625</v>
      </c>
      <c r="O4">
        <v>1</v>
      </c>
      <c r="P4">
        <v>145548707850</v>
      </c>
      <c r="Q4">
        <v>0.48613486447688331</v>
      </c>
      <c r="R4">
        <v>0.1107828561876277</v>
      </c>
      <c r="S4" t="b">
        <v>1</v>
      </c>
      <c r="T4">
        <v>70756301365.445221</v>
      </c>
      <c r="U4">
        <v>9.2610633986066795E-2</v>
      </c>
      <c r="V4" t="s">
        <v>96</v>
      </c>
      <c r="W4">
        <v>0.83596539368164091</v>
      </c>
      <c r="X4">
        <v>9.2610633986066809E-2</v>
      </c>
      <c r="Y4">
        <v>14885325000</v>
      </c>
    </row>
    <row r="5" spans="1:2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68.36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97899884811.600006</v>
      </c>
      <c r="O5">
        <v>1</v>
      </c>
      <c r="P5">
        <v>106482675031.36</v>
      </c>
      <c r="Q5">
        <v>0.71554820760087168</v>
      </c>
      <c r="R5">
        <v>8.1048159401251929E-2</v>
      </c>
      <c r="S5" t="b">
        <v>1</v>
      </c>
      <c r="T5">
        <v>76193487259.235748</v>
      </c>
      <c r="U5">
        <v>9.9727190716799904E-2</v>
      </c>
      <c r="V5" t="s">
        <v>96</v>
      </c>
      <c r="W5">
        <v>1.2304682975349519</v>
      </c>
      <c r="X5">
        <v>9.9727190716799918E-2</v>
      </c>
      <c r="Y5">
        <v>1557675176</v>
      </c>
    </row>
    <row r="6" spans="1:2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83.92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23949228918.400002</v>
      </c>
      <c r="O6">
        <v>1</v>
      </c>
      <c r="P6">
        <v>24874001124.16</v>
      </c>
      <c r="Q6">
        <v>1</v>
      </c>
      <c r="R6">
        <v>1.8932582295327509E-2</v>
      </c>
      <c r="S6" t="b">
        <v>0</v>
      </c>
      <c r="T6">
        <v>24874001124.16</v>
      </c>
      <c r="U6">
        <v>3.2556775430938337E-2</v>
      </c>
      <c r="V6" t="s">
        <v>95</v>
      </c>
      <c r="W6">
        <v>1.7196162109895179</v>
      </c>
      <c r="X6">
        <v>3.2556775430938337E-2</v>
      </c>
      <c r="Y6">
        <v>296401348</v>
      </c>
    </row>
    <row r="7" spans="1:2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19.425000000000001</v>
      </c>
      <c r="I7">
        <v>17.704999999999998</v>
      </c>
      <c r="J7">
        <v>1</v>
      </c>
      <c r="K7">
        <v>30101010</v>
      </c>
      <c r="L7">
        <v>5763285600</v>
      </c>
      <c r="M7">
        <v>17.704999999999998</v>
      </c>
      <c r="N7">
        <v>102038971548</v>
      </c>
      <c r="O7">
        <v>1</v>
      </c>
      <c r="P7">
        <v>111951822780</v>
      </c>
      <c r="Q7">
        <v>0.6805917524805819</v>
      </c>
      <c r="R7">
        <v>8.5210943238061332E-2</v>
      </c>
      <c r="S7" t="b">
        <v>1</v>
      </c>
      <c r="T7">
        <v>76193487259.235733</v>
      </c>
      <c r="U7">
        <v>9.9727190716799891E-2</v>
      </c>
      <c r="V7" t="s">
        <v>96</v>
      </c>
      <c r="W7">
        <v>1.1703566106313741</v>
      </c>
      <c r="X7">
        <v>9.9727190716799904E-2</v>
      </c>
      <c r="Y7">
        <v>5763285600</v>
      </c>
    </row>
    <row r="8" spans="1:2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123.5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95711809635</v>
      </c>
      <c r="Q8">
        <v>0.79824965255164115</v>
      </c>
      <c r="R8">
        <v>7.2850029374216821E-2</v>
      </c>
      <c r="S8" t="b">
        <v>1</v>
      </c>
      <c r="T8">
        <v>76401918786.22757</v>
      </c>
      <c r="U8">
        <v>0.1</v>
      </c>
      <c r="V8" t="s">
        <v>97</v>
      </c>
      <c r="W8">
        <v>1.372683042944552</v>
      </c>
      <c r="X8">
        <v>0.1</v>
      </c>
      <c r="Y8">
        <v>861104900</v>
      </c>
    </row>
    <row r="9" spans="1:2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32.61</v>
      </c>
      <c r="I9">
        <v>29.385000000000002</v>
      </c>
      <c r="J9">
        <v>1</v>
      </c>
      <c r="K9">
        <v>30101010</v>
      </c>
      <c r="L9">
        <v>1948252900</v>
      </c>
      <c r="M9">
        <v>29.385000000000002</v>
      </c>
      <c r="N9">
        <v>57249411466.5</v>
      </c>
      <c r="O9">
        <v>1</v>
      </c>
      <c r="P9">
        <v>63532527069</v>
      </c>
      <c r="Q9">
        <v>0.80197467808177691</v>
      </c>
      <c r="R9">
        <v>4.8357109544216327E-2</v>
      </c>
      <c r="S9" t="b">
        <v>0</v>
      </c>
      <c r="T9">
        <v>50951477943.883057</v>
      </c>
      <c r="U9">
        <v>6.6688741268979376E-2</v>
      </c>
      <c r="V9" t="s">
        <v>96</v>
      </c>
      <c r="W9">
        <v>1.3790886572325241</v>
      </c>
      <c r="X9">
        <v>6.668874126897939E-2</v>
      </c>
      <c r="Y9">
        <v>1948252900</v>
      </c>
    </row>
    <row r="10" spans="1:2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36.57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47757534627</v>
      </c>
      <c r="Q10">
        <v>1</v>
      </c>
      <c r="R10">
        <v>3.6350141259317202E-2</v>
      </c>
      <c r="S10" t="b">
        <v>0</v>
      </c>
      <c r="T10">
        <v>47757534627</v>
      </c>
      <c r="U10">
        <v>6.2508292181280803E-2</v>
      </c>
      <c r="V10" t="s">
        <v>94</v>
      </c>
      <c r="W10">
        <v>1.7196162109895179</v>
      </c>
      <c r="X10">
        <v>6.2508292181280817E-2</v>
      </c>
      <c r="Y10">
        <v>1305921100</v>
      </c>
    </row>
    <row r="11" spans="1:2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64.36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43360231200.440002</v>
      </c>
      <c r="O11">
        <v>0.9</v>
      </c>
      <c r="P11">
        <v>44421613584.264</v>
      </c>
      <c r="Q11">
        <v>0.80197467808177691</v>
      </c>
      <c r="R11">
        <v>3.381104031785389E-2</v>
      </c>
      <c r="S11" t="b">
        <v>0</v>
      </c>
      <c r="T11">
        <v>35625009254.113213</v>
      </c>
      <c r="U11">
        <v>4.6628422191583863E-2</v>
      </c>
      <c r="V11" t="s">
        <v>96</v>
      </c>
      <c r="W11">
        <v>1.3790886572325241</v>
      </c>
      <c r="X11">
        <v>4.6628422191583863E-2</v>
      </c>
      <c r="Y11">
        <v>766894786</v>
      </c>
    </row>
    <row r="12" spans="1:2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10.17</v>
      </c>
      <c r="I12">
        <v>9.2539999999999996</v>
      </c>
      <c r="J12">
        <v>0.5</v>
      </c>
      <c r="K12">
        <v>30101010</v>
      </c>
      <c r="L12">
        <v>7085565400</v>
      </c>
      <c r="M12">
        <v>9.2539999999999996</v>
      </c>
      <c r="N12">
        <v>65569822211.599998</v>
      </c>
      <c r="O12">
        <v>0.5</v>
      </c>
      <c r="P12">
        <v>36030100059</v>
      </c>
      <c r="Q12">
        <v>0.80197467808177691</v>
      </c>
      <c r="R12">
        <v>2.7423928746764428E-2</v>
      </c>
      <c r="S12" t="b">
        <v>0</v>
      </c>
      <c r="T12">
        <v>28895227896.07074</v>
      </c>
      <c r="U12">
        <v>3.7820029071415767E-2</v>
      </c>
      <c r="V12" t="s">
        <v>96</v>
      </c>
      <c r="W12">
        <v>1.3790886572325241</v>
      </c>
      <c r="X12">
        <v>3.7820029071415767E-2</v>
      </c>
      <c r="Y12">
        <v>7085565400</v>
      </c>
    </row>
    <row r="13" spans="1:2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542.79999999999995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23445858864.400002</v>
      </c>
      <c r="O13">
        <v>1</v>
      </c>
      <c r="P13">
        <v>26775535854.400002</v>
      </c>
      <c r="Q13">
        <v>1</v>
      </c>
      <c r="R13">
        <v>2.0379915299293831E-2</v>
      </c>
      <c r="S13" t="b">
        <v>0</v>
      </c>
      <c r="T13">
        <v>26775535854.400002</v>
      </c>
      <c r="U13">
        <v>3.5045632727258982E-2</v>
      </c>
      <c r="V13" t="s">
        <v>94</v>
      </c>
      <c r="W13">
        <v>1.7196162109895179</v>
      </c>
      <c r="X13">
        <v>3.5045632727258982E-2</v>
      </c>
      <c r="Y13">
        <v>49328548</v>
      </c>
    </row>
    <row r="14" spans="1:2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38.54</v>
      </c>
      <c r="I14">
        <v>35.549999999999997</v>
      </c>
      <c r="J14">
        <v>0.6</v>
      </c>
      <c r="K14">
        <v>50206015</v>
      </c>
      <c r="L14">
        <v>765600400</v>
      </c>
      <c r="M14">
        <v>35.549999999999997</v>
      </c>
      <c r="N14">
        <v>27217094220</v>
      </c>
      <c r="O14">
        <v>0.6</v>
      </c>
      <c r="P14">
        <v>17703743649.599998</v>
      </c>
      <c r="Q14">
        <v>1</v>
      </c>
      <c r="R14">
        <v>1.347501682211783E-2</v>
      </c>
      <c r="S14" t="b">
        <v>0</v>
      </c>
      <c r="T14">
        <v>17703743649.599998</v>
      </c>
      <c r="U14">
        <v>2.317185737067029E-2</v>
      </c>
      <c r="V14" t="s">
        <v>95</v>
      </c>
      <c r="W14">
        <v>1.7196162109895179</v>
      </c>
      <c r="X14">
        <v>2.317185737067029E-2</v>
      </c>
      <c r="Y14">
        <v>765600400</v>
      </c>
    </row>
    <row r="15" spans="1:2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21.995000000000001</v>
      </c>
      <c r="I15">
        <v>18.809999999999999</v>
      </c>
      <c r="J15">
        <v>0.70000000000000007</v>
      </c>
      <c r="K15">
        <v>10102010</v>
      </c>
      <c r="L15">
        <v>911281920</v>
      </c>
      <c r="M15">
        <v>18.809999999999999</v>
      </c>
      <c r="N15">
        <v>17141212915.200001</v>
      </c>
      <c r="O15">
        <v>0.70000000000000007</v>
      </c>
      <c r="P15">
        <v>14030552081.280001</v>
      </c>
      <c r="Q15">
        <v>1</v>
      </c>
      <c r="R15">
        <v>1.067920599511844E-2</v>
      </c>
      <c r="S15" t="b">
        <v>0</v>
      </c>
      <c r="T15">
        <v>14030552081.280001</v>
      </c>
      <c r="U15">
        <v>1.836413574970212E-2</v>
      </c>
      <c r="V15" t="s">
        <v>94</v>
      </c>
      <c r="W15">
        <v>1.7196162109895179</v>
      </c>
      <c r="X15">
        <v>1.836413574970213E-2</v>
      </c>
      <c r="Y15">
        <v>911281920</v>
      </c>
    </row>
    <row r="16" spans="1:2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12.585000000000001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18924624753.740002</v>
      </c>
      <c r="O16">
        <v>0.75</v>
      </c>
      <c r="P16">
        <v>14301425291.782499</v>
      </c>
      <c r="Q16">
        <v>0.80197467808177691</v>
      </c>
      <c r="R16">
        <v>1.0885378268080869E-2</v>
      </c>
      <c r="S16" t="b">
        <v>0</v>
      </c>
      <c r="T16">
        <v>11469380944.48785</v>
      </c>
      <c r="U16">
        <v>1.5011901699195749E-2</v>
      </c>
      <c r="V16" t="s">
        <v>96</v>
      </c>
      <c r="W16">
        <v>1.3790886572325241</v>
      </c>
      <c r="X16">
        <v>1.5011901699195749E-2</v>
      </c>
      <c r="Y16">
        <v>1515182126</v>
      </c>
    </row>
    <row r="17" spans="1:2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35.25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23846544630</v>
      </c>
      <c r="Q17">
        <v>0.80197467808177691</v>
      </c>
      <c r="R17">
        <v>1.8150544675667731E-2</v>
      </c>
      <c r="S17" t="b">
        <v>0</v>
      </c>
      <c r="T17">
        <v>19124324953.006981</v>
      </c>
      <c r="U17">
        <v>2.5031210284805549E-2</v>
      </c>
      <c r="V17" t="s">
        <v>96</v>
      </c>
      <c r="W17">
        <v>1.3790886572325241</v>
      </c>
      <c r="X17">
        <v>2.5031210284805549E-2</v>
      </c>
      <c r="Y17">
        <v>1127496200</v>
      </c>
    </row>
    <row r="18" spans="1:2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136.9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9964819426.3999996</v>
      </c>
      <c r="O18">
        <v>0.9</v>
      </c>
      <c r="P18">
        <v>9998089588.9800014</v>
      </c>
      <c r="Q18">
        <v>1</v>
      </c>
      <c r="R18">
        <v>7.6099399125444667E-3</v>
      </c>
      <c r="S18" t="b">
        <v>0</v>
      </c>
      <c r="T18">
        <v>9998089588.9800014</v>
      </c>
      <c r="U18">
        <v>1.308617603826762E-2</v>
      </c>
      <c r="V18" t="s">
        <v>94</v>
      </c>
      <c r="W18">
        <v>1.7196162109895179</v>
      </c>
      <c r="X18">
        <v>1.308617603826762E-2</v>
      </c>
      <c r="Y18">
        <v>81146738</v>
      </c>
    </row>
    <row r="19" spans="1:2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24.13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8361587309.6850004</v>
      </c>
      <c r="Q19">
        <v>1</v>
      </c>
      <c r="R19">
        <v>6.3643335493144748E-3</v>
      </c>
      <c r="S19" t="b">
        <v>0</v>
      </c>
      <c r="T19">
        <v>8361587309.6850004</v>
      </c>
      <c r="U19">
        <v>1.0944211143545631E-2</v>
      </c>
      <c r="V19" t="s">
        <v>95</v>
      </c>
      <c r="W19">
        <v>1.7196162109895179</v>
      </c>
      <c r="X19">
        <v>1.0944211143545631E-2</v>
      </c>
      <c r="Y19">
        <v>462029966</v>
      </c>
    </row>
    <row r="20" spans="1:2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8.0820000000000007</v>
      </c>
      <c r="I20">
        <v>8.4130000000000003</v>
      </c>
      <c r="J20">
        <v>0.65</v>
      </c>
      <c r="K20">
        <v>30101010</v>
      </c>
      <c r="L20">
        <v>3038418183</v>
      </c>
      <c r="M20">
        <v>8.4130000000000003</v>
      </c>
      <c r="N20">
        <v>25562212173.578999</v>
      </c>
      <c r="O20">
        <v>0.65</v>
      </c>
      <c r="P20">
        <v>15961722240.753901</v>
      </c>
      <c r="Q20">
        <v>0.80197467808177691</v>
      </c>
      <c r="R20">
        <v>1.2149095691915459E-2</v>
      </c>
      <c r="S20" t="b">
        <v>0</v>
      </c>
      <c r="T20">
        <v>12800897055.659349</v>
      </c>
      <c r="U20">
        <v>1.6754680064353138E-2</v>
      </c>
      <c r="V20" t="s">
        <v>96</v>
      </c>
      <c r="W20">
        <v>1.3790886572325241</v>
      </c>
      <c r="X20">
        <v>1.6754680064353138E-2</v>
      </c>
      <c r="Y20">
        <v>3038418183</v>
      </c>
    </row>
    <row r="21" spans="1:2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18.734999999999999</v>
      </c>
      <c r="I21">
        <v>18.295000000000002</v>
      </c>
      <c r="J21">
        <v>0.65</v>
      </c>
      <c r="K21">
        <v>50206015</v>
      </c>
      <c r="L21">
        <v>271215400</v>
      </c>
      <c r="M21">
        <v>18.295000000000002</v>
      </c>
      <c r="N21">
        <v>4961885743</v>
      </c>
      <c r="O21">
        <v>0.65</v>
      </c>
      <c r="P21">
        <v>3302793337.3499999</v>
      </c>
      <c r="Q21">
        <v>1</v>
      </c>
      <c r="R21">
        <v>2.513886139656992E-3</v>
      </c>
      <c r="S21" t="b">
        <v>0</v>
      </c>
      <c r="T21">
        <v>3302793337.3499999</v>
      </c>
      <c r="U21">
        <v>4.3229193583360246E-3</v>
      </c>
      <c r="V21" t="s">
        <v>95</v>
      </c>
      <c r="W21">
        <v>1.7196162109895179</v>
      </c>
      <c r="X21">
        <v>4.3229193583360264E-3</v>
      </c>
      <c r="Y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>
      <selection activeCell="C3" sqref="C3"/>
    </sheetView>
  </sheetViews>
  <sheetFormatPr defaultRowHeight="15" x14ac:dyDescent="0.25"/>
  <sheetData>
    <row r="1" spans="1:9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5">
      <c r="A2">
        <v>1</v>
      </c>
      <c r="B2">
        <v>0.27797430953667801</v>
      </c>
      <c r="C2">
        <v>0.42781905607143972</v>
      </c>
      <c r="D2">
        <v>3</v>
      </c>
      <c r="E2">
        <v>0</v>
      </c>
      <c r="F2">
        <v>0</v>
      </c>
      <c r="G2">
        <v>0.99999999999999967</v>
      </c>
    </row>
    <row r="3" spans="1:9" x14ac:dyDescent="0.25">
      <c r="A3">
        <v>2</v>
      </c>
      <c r="B3">
        <v>0.1155401811240104</v>
      </c>
      <c r="C3">
        <v>0.49999999999999978</v>
      </c>
      <c r="D3">
        <v>5</v>
      </c>
      <c r="E3">
        <v>3</v>
      </c>
      <c r="F3">
        <v>0</v>
      </c>
      <c r="G3">
        <v>1</v>
      </c>
    </row>
    <row r="4" spans="1:9" x14ac:dyDescent="0.25">
      <c r="A4">
        <v>3</v>
      </c>
      <c r="B4">
        <v>0.1</v>
      </c>
      <c r="C4">
        <v>0.50000000000000011</v>
      </c>
      <c r="D4">
        <v>2</v>
      </c>
      <c r="E4">
        <v>6</v>
      </c>
      <c r="F4">
        <v>1</v>
      </c>
      <c r="G4">
        <v>0.99999999999999978</v>
      </c>
    </row>
    <row r="5" spans="1:9" x14ac:dyDescent="0.25">
      <c r="A5">
        <v>4</v>
      </c>
      <c r="B5">
        <v>0.1</v>
      </c>
      <c r="C5">
        <v>0.5</v>
      </c>
      <c r="D5">
        <v>2</v>
      </c>
      <c r="E5">
        <v>6</v>
      </c>
      <c r="F5">
        <v>0</v>
      </c>
      <c r="G5">
        <v>0.99999999999999989</v>
      </c>
    </row>
    <row r="6" spans="1:9" x14ac:dyDescent="0.25">
      <c r="A6" t="s">
        <v>107</v>
      </c>
      <c r="B6">
        <v>0.1</v>
      </c>
      <c r="C6">
        <v>0.50000000000000011</v>
      </c>
      <c r="D6">
        <v>2</v>
      </c>
      <c r="E6">
        <v>6</v>
      </c>
      <c r="F6">
        <v>1</v>
      </c>
      <c r="G6">
        <v>1</v>
      </c>
      <c r="H6">
        <v>1</v>
      </c>
      <c r="I6">
        <v>1.7196162109895179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94"/>
  <sheetViews>
    <sheetView tabSelected="1" workbookViewId="0">
      <selection activeCell="H18" sqref="H18"/>
    </sheetView>
  </sheetViews>
  <sheetFormatPr defaultRowHeight="15" x14ac:dyDescent="0.25"/>
  <cols>
    <col min="1" max="1" width="8.7109375" bestFit="1" customWidth="1"/>
    <col min="2" max="2" width="27.42578125" bestFit="1" customWidth="1"/>
    <col min="3" max="3" width="14.140625" bestFit="1" customWidth="1"/>
    <col min="4" max="4" width="11.5703125" bestFit="1" customWidth="1"/>
    <col min="5" max="5" width="14.140625" bestFit="1" customWidth="1"/>
    <col min="6" max="6" width="14.85546875" bestFit="1" customWidth="1"/>
    <col min="7" max="7" width="20" bestFit="1" customWidth="1"/>
    <col min="8" max="8" width="13.7109375" bestFit="1" customWidth="1"/>
    <col min="9" max="9" width="12.7109375" bestFit="1" customWidth="1"/>
    <col min="10" max="10" width="12" bestFit="1" customWidth="1"/>
    <col min="11" max="11" width="12.7109375" bestFit="1" customWidth="1"/>
    <col min="12" max="12" width="12" bestFit="1" customWidth="1"/>
    <col min="13" max="13" width="12.7109375" bestFit="1" customWidth="1"/>
    <col min="14" max="14" width="12" bestFit="1" customWidth="1"/>
    <col min="15" max="15" width="12.7109375" bestFit="1" customWidth="1"/>
    <col min="16" max="18" width="12" bestFit="1" customWidth="1"/>
  </cols>
  <sheetData>
    <row r="1" spans="1:18" x14ac:dyDescent="0.25">
      <c r="H1" t="s">
        <v>118</v>
      </c>
      <c r="M1" t="s">
        <v>118</v>
      </c>
    </row>
    <row r="2" spans="1:18" x14ac:dyDescent="0.25">
      <c r="D2" s="2"/>
      <c r="E2" s="3" t="s">
        <v>113</v>
      </c>
      <c r="F2" s="4" t="s">
        <v>114</v>
      </c>
      <c r="H2" s="2">
        <v>1010</v>
      </c>
      <c r="I2" s="4">
        <f>SUMIF($D$11:$D$30,H2,$J$11:$J$30)</f>
        <v>0.20374229438247635</v>
      </c>
      <c r="M2" s="2">
        <v>1010</v>
      </c>
      <c r="N2" s="4">
        <f>SUMIF($D$11:$D$30,M2,$N$11:$N$30)</f>
        <v>0.2263194333761972</v>
      </c>
      <c r="O2" s="23"/>
      <c r="P2" s="23"/>
    </row>
    <row r="3" spans="1:18" x14ac:dyDescent="0.25">
      <c r="D3" s="5" t="s">
        <v>115</v>
      </c>
      <c r="E3">
        <f>(I2+I4+I5)-0.2</f>
        <v>0.26157808005178013</v>
      </c>
      <c r="F3" s="6">
        <f>(N2+N4+N5)-0.3</f>
        <v>0.19583765093447497</v>
      </c>
      <c r="H3" s="5">
        <v>3010</v>
      </c>
      <c r="I3" s="6">
        <f>SUMIF($D$11:$D$30,H3,$J$11:$J$30)</f>
        <v>0.53842191994821964</v>
      </c>
      <c r="M3" s="5">
        <v>3010</v>
      </c>
      <c r="N3" s="6">
        <f>SUMIF($D$11:$D$30,M3,$N$11:$N$30)</f>
        <v>0.50416234906552504</v>
      </c>
      <c r="O3" s="23"/>
      <c r="P3" s="23"/>
    </row>
    <row r="4" spans="1:18" x14ac:dyDescent="0.25">
      <c r="D4" s="5" t="s">
        <v>116</v>
      </c>
      <c r="E4">
        <f>SUM($J$16:$J$24)</f>
        <v>0.53842191994821964</v>
      </c>
      <c r="F4" s="6">
        <f>SUM($N$16:$N$24)</f>
        <v>0.50416234906552504</v>
      </c>
      <c r="H4" s="5">
        <v>5020</v>
      </c>
      <c r="I4" s="6">
        <f>SUMIF($D$11:$D$30,H4,$J$11:$J$30)</f>
        <v>0.1570931898451253</v>
      </c>
      <c r="M4" s="5">
        <v>5020</v>
      </c>
      <c r="N4" s="6">
        <f>SUMIF($D$11:$D$30,M4,$N$11:$N$30)</f>
        <v>0.16951821755827773</v>
      </c>
      <c r="O4" s="23"/>
      <c r="P4" s="23"/>
    </row>
    <row r="5" spans="1:18" x14ac:dyDescent="0.25">
      <c r="D5" s="7" t="s">
        <v>117</v>
      </c>
      <c r="E5" s="8">
        <f>SUMIF($F$11:$F$30,"&lt;0.1",$F$11:$F$30)</f>
        <v>0.50619125053071956</v>
      </c>
      <c r="F5" s="9">
        <f>SUMIF($L$11:$L$30,"&lt;0.1",$L$11:$L$30)</f>
        <v>0.47095085647679602</v>
      </c>
      <c r="H5" s="7">
        <v>6010</v>
      </c>
      <c r="I5" s="9">
        <f>SUMIF($D$11:$D$30,H5,$J$11:$J$30)</f>
        <v>0.10074259582417851</v>
      </c>
      <c r="M5" s="7">
        <v>6010</v>
      </c>
      <c r="N5" s="9">
        <f>SUMIF($D$11:$D$30,M5,$N$11:$N$30)</f>
        <v>0.1</v>
      </c>
      <c r="O5" s="23"/>
      <c r="P5" s="23"/>
    </row>
    <row r="6" spans="1:18" x14ac:dyDescent="0.25">
      <c r="D6" s="7"/>
      <c r="E6" s="8"/>
      <c r="F6" s="9"/>
      <c r="P6" t="s">
        <v>128</v>
      </c>
    </row>
    <row r="7" spans="1:18" x14ac:dyDescent="0.25">
      <c r="I7" t="s">
        <v>119</v>
      </c>
      <c r="K7" t="s">
        <v>120</v>
      </c>
      <c r="M7" t="s">
        <v>121</v>
      </c>
      <c r="O7" t="s">
        <v>127</v>
      </c>
      <c r="P7" t="s">
        <v>129</v>
      </c>
    </row>
    <row r="8" spans="1:18" x14ac:dyDescent="0.25">
      <c r="I8" s="10" t="s">
        <v>122</v>
      </c>
      <c r="K8" s="10" t="s">
        <v>122</v>
      </c>
      <c r="M8" s="10" t="s">
        <v>122</v>
      </c>
      <c r="O8" s="10" t="s">
        <v>122</v>
      </c>
    </row>
    <row r="9" spans="1:18" x14ac:dyDescent="0.25">
      <c r="I9" s="11">
        <f>(F11+F16+F25)-0.3</f>
        <v>0.19380874946928034</v>
      </c>
      <c r="K9" s="11">
        <f>I3-0.5</f>
        <v>3.8421919948219641E-2</v>
      </c>
      <c r="M9" s="11">
        <f>SUMIF($L$11:$L$30,"&gt;0.1",$L$11:$L$30)-0.3</f>
        <v>2.9049143523203869E-2</v>
      </c>
      <c r="O9" s="11">
        <f>N3-0.5</f>
        <v>4.1623490655250395E-3</v>
      </c>
    </row>
    <row r="10" spans="1:18" x14ac:dyDescent="0.25">
      <c r="A10" s="1" t="s">
        <v>98</v>
      </c>
      <c r="B10" s="1" t="s">
        <v>0</v>
      </c>
      <c r="C10" s="1" t="s">
        <v>55</v>
      </c>
      <c r="D10" s="1" t="s">
        <v>70</v>
      </c>
      <c r="E10" s="1" t="s">
        <v>5</v>
      </c>
      <c r="F10" s="1" t="s">
        <v>69</v>
      </c>
      <c r="G10" s="1" t="s">
        <v>108</v>
      </c>
      <c r="H10" s="1" t="s">
        <v>109</v>
      </c>
      <c r="I10" s="12" t="s">
        <v>123</v>
      </c>
      <c r="J10" s="12" t="s">
        <v>124</v>
      </c>
      <c r="K10" s="13" t="s">
        <v>123</v>
      </c>
      <c r="L10" s="13" t="s">
        <v>124</v>
      </c>
      <c r="M10" s="13" t="s">
        <v>123</v>
      </c>
      <c r="N10" s="13" t="s">
        <v>124</v>
      </c>
      <c r="O10" s="13" t="s">
        <v>123</v>
      </c>
      <c r="P10" s="13" t="s">
        <v>124</v>
      </c>
      <c r="Q10" s="13" t="s">
        <v>125</v>
      </c>
      <c r="R10" s="13" t="s">
        <v>126</v>
      </c>
    </row>
    <row r="11" spans="1:18" x14ac:dyDescent="0.25">
      <c r="A11" s="16">
        <v>1</v>
      </c>
      <c r="B11" s="16" t="s">
        <v>10</v>
      </c>
      <c r="C11" s="16" t="s">
        <v>30</v>
      </c>
      <c r="D11" s="16" t="s">
        <v>94</v>
      </c>
      <c r="E11" s="16">
        <v>1</v>
      </c>
      <c r="F11" s="16">
        <v>0.27797430953667801</v>
      </c>
      <c r="G11" s="16" t="b">
        <v>1</v>
      </c>
      <c r="H11" s="16">
        <v>0.35299351200295193</v>
      </c>
      <c r="I11" s="16">
        <f>-(F11-0.1)</f>
        <v>-0.177974309536678</v>
      </c>
      <c r="J11" s="16">
        <v>0.1</v>
      </c>
      <c r="K11" s="16">
        <v>0</v>
      </c>
      <c r="L11" s="16">
        <f>SUM(J11:K11)</f>
        <v>0.1</v>
      </c>
      <c r="M11" s="16">
        <v>0</v>
      </c>
      <c r="N11" s="16">
        <v>0.1</v>
      </c>
      <c r="O11" s="16">
        <v>0</v>
      </c>
      <c r="P11" s="21">
        <v>0.1</v>
      </c>
      <c r="Q11" s="16">
        <f>P11/F11</f>
        <v>0.35974547492060688</v>
      </c>
      <c r="R11" s="17">
        <f t="shared" ref="R11:R30" si="0">Q11/MAX($Q$11:$Q$30)</f>
        <v>0.20920102556697714</v>
      </c>
    </row>
    <row r="12" spans="1:18" x14ac:dyDescent="0.25">
      <c r="A12" s="16">
        <v>1</v>
      </c>
      <c r="B12" s="16" t="s">
        <v>20</v>
      </c>
      <c r="C12" s="16" t="s">
        <v>40</v>
      </c>
      <c r="D12" s="16" t="s">
        <v>94</v>
      </c>
      <c r="E12" s="16">
        <v>1</v>
      </c>
      <c r="F12" s="16">
        <v>3.6350141259317202E-2</v>
      </c>
      <c r="G12" s="16" t="b">
        <v>0</v>
      </c>
      <c r="H12" s="16">
        <v>0.35299351200295193</v>
      </c>
      <c r="I12" s="16">
        <f>F12/$E$5*$I$9</f>
        <v>1.3917615946766378E-2</v>
      </c>
      <c r="J12" s="16">
        <f>F12/$E$5*$I$9+F12</f>
        <v>5.0267757206083577E-2</v>
      </c>
      <c r="K12" s="16">
        <f>J12/$E$3*$K$9</f>
        <v>7.3835840639489411E-3</v>
      </c>
      <c r="L12" s="16">
        <f>SUM(J12:K12)</f>
        <v>5.7651341270032519E-2</v>
      </c>
      <c r="M12" s="16">
        <f>L12/$F$5*$M$9</f>
        <v>3.5560442535067251E-3</v>
      </c>
      <c r="N12" s="16">
        <f>L12/$F$5*$M$9+L12</f>
        <v>6.1207385523539243E-2</v>
      </c>
      <c r="O12" s="16">
        <f>N12/$F$3*$O$9</f>
        <v>1.3009066577416022E-3</v>
      </c>
      <c r="P12" s="16">
        <f>SUM(N12:O12)</f>
        <v>6.2508292181280845E-2</v>
      </c>
      <c r="Q12" s="16">
        <f t="shared" ref="Q12:Q30" si="1">P12/F12</f>
        <v>1.7196162109895194</v>
      </c>
      <c r="R12" s="17">
        <f t="shared" si="0"/>
        <v>0.99999999999999989</v>
      </c>
    </row>
    <row r="13" spans="1:18" x14ac:dyDescent="0.25">
      <c r="A13" s="16">
        <v>1</v>
      </c>
      <c r="B13" s="16" t="s">
        <v>9</v>
      </c>
      <c r="C13" s="16" t="s">
        <v>29</v>
      </c>
      <c r="D13" s="16" t="s">
        <v>94</v>
      </c>
      <c r="E13" s="16">
        <v>1</v>
      </c>
      <c r="F13" s="16">
        <v>2.0379915299293831E-2</v>
      </c>
      <c r="G13" s="16" t="b">
        <v>0</v>
      </c>
      <c r="H13" s="16">
        <v>0.35299351200295193</v>
      </c>
      <c r="I13" s="16">
        <f>F13/$E$5*$I$9</f>
        <v>7.802991249463106E-3</v>
      </c>
      <c r="J13" s="16">
        <f>F13/$E$5*$I$9+F13</f>
        <v>2.8182906548756936E-2</v>
      </c>
      <c r="K13" s="16">
        <f>J13/$E$3*$K$9</f>
        <v>4.1396487775663101E-3</v>
      </c>
      <c r="L13" s="16">
        <f t="shared" ref="L13:L30" si="2">SUM(J13:K13)</f>
        <v>3.2322555326323249E-2</v>
      </c>
      <c r="M13" s="16">
        <f>L13/$F$5*$M$9</f>
        <v>1.9937166177705504E-3</v>
      </c>
      <c r="N13" s="16">
        <f>L13/$F$5*$M$9+L13</f>
        <v>3.4316271944093799E-2</v>
      </c>
      <c r="O13" s="16">
        <f>N13/$F$3*$O$9</f>
        <v>7.2936078316520117E-4</v>
      </c>
      <c r="P13" s="16">
        <f t="shared" ref="P13:P24" si="3">SUM(N13:O13)</f>
        <v>3.5045632727258996E-2</v>
      </c>
      <c r="Q13" s="16">
        <f t="shared" si="1"/>
        <v>1.7196162109895194</v>
      </c>
      <c r="R13" s="17">
        <f t="shared" si="0"/>
        <v>0.99999999999999989</v>
      </c>
    </row>
    <row r="14" spans="1:18" x14ac:dyDescent="0.25">
      <c r="A14" s="16">
        <v>1</v>
      </c>
      <c r="B14" s="16" t="s">
        <v>26</v>
      </c>
      <c r="C14" s="16" t="s">
        <v>46</v>
      </c>
      <c r="D14" s="16" t="s">
        <v>94</v>
      </c>
      <c r="E14" s="16">
        <v>1</v>
      </c>
      <c r="F14" s="16">
        <v>1.067920599511844E-2</v>
      </c>
      <c r="G14" s="16" t="b">
        <v>0</v>
      </c>
      <c r="H14" s="16">
        <v>0.35299351200295193</v>
      </c>
      <c r="I14" s="16">
        <f>F14/$E$5*$I$9</f>
        <v>4.0888173335053317E-3</v>
      </c>
      <c r="J14" s="16">
        <f>F14/$E$5*$I$9+F14</f>
        <v>1.4768023328623772E-2</v>
      </c>
      <c r="K14" s="16">
        <f>J14/$E$3*$K$9</f>
        <v>2.1692024423969362E-3</v>
      </c>
      <c r="L14" s="16">
        <f t="shared" si="2"/>
        <v>1.6937225771020709E-2</v>
      </c>
      <c r="M14" s="16">
        <f>L14/$F$5*$M$9</f>
        <v>1.0447202622966873E-3</v>
      </c>
      <c r="N14" s="16">
        <f>L14/$F$5*$M$9+L14</f>
        <v>1.7981946033317396E-2</v>
      </c>
      <c r="O14" s="16">
        <f>N14/$F$3*$O$9</f>
        <v>3.8218971638473827E-4</v>
      </c>
      <c r="P14" s="16">
        <f t="shared" si="3"/>
        <v>1.8364135749702134E-2</v>
      </c>
      <c r="Q14" s="16">
        <f t="shared" si="1"/>
        <v>1.7196162109895197</v>
      </c>
      <c r="R14" s="17">
        <f t="shared" si="0"/>
        <v>1</v>
      </c>
    </row>
    <row r="15" spans="1:18" x14ac:dyDescent="0.25">
      <c r="A15" s="16">
        <v>1</v>
      </c>
      <c r="B15" s="16" t="s">
        <v>15</v>
      </c>
      <c r="C15" s="16" t="s">
        <v>35</v>
      </c>
      <c r="D15" s="16" t="s">
        <v>94</v>
      </c>
      <c r="E15" s="16">
        <v>1</v>
      </c>
      <c r="F15" s="16">
        <v>7.6099399125444667E-3</v>
      </c>
      <c r="G15" s="16" t="b">
        <v>0</v>
      </c>
      <c r="H15" s="16">
        <v>0.35299351200295193</v>
      </c>
      <c r="I15" s="16">
        <f>F15/$E$5*$I$9</f>
        <v>2.9136673864675997E-3</v>
      </c>
      <c r="J15" s="16">
        <f>F15/$E$5*$I$9+F15</f>
        <v>1.0523607299012066E-2</v>
      </c>
      <c r="K15" s="16">
        <f>J15/$E$3*$K$9</f>
        <v>1.5457610099787482E-3</v>
      </c>
      <c r="L15" s="16">
        <f t="shared" si="2"/>
        <v>1.2069368308990814E-2</v>
      </c>
      <c r="M15" s="16">
        <f>L15/$F$5*$M$9</f>
        <v>7.4446156625591995E-4</v>
      </c>
      <c r="N15" s="16">
        <f>L15/$F$5*$M$9+L15</f>
        <v>1.2813829875246735E-2</v>
      </c>
      <c r="O15" s="16">
        <f>N15/$F$3*$O$9</f>
        <v>2.7234616302089715E-4</v>
      </c>
      <c r="P15" s="16">
        <f t="shared" si="3"/>
        <v>1.3086176038267632E-2</v>
      </c>
      <c r="Q15" s="16">
        <f t="shared" si="1"/>
        <v>1.7196162109895197</v>
      </c>
      <c r="R15" s="17">
        <f t="shared" si="0"/>
        <v>1</v>
      </c>
    </row>
    <row r="16" spans="1:18" x14ac:dyDescent="0.25">
      <c r="A16" s="14">
        <v>1</v>
      </c>
      <c r="B16" s="14" t="s">
        <v>13</v>
      </c>
      <c r="C16" s="14" t="s">
        <v>33</v>
      </c>
      <c r="D16" s="14" t="s">
        <v>96</v>
      </c>
      <c r="E16" s="14">
        <v>1</v>
      </c>
      <c r="F16" s="14">
        <v>0.1107828561876277</v>
      </c>
      <c r="G16" s="14" t="b">
        <v>1</v>
      </c>
      <c r="H16" s="14">
        <v>0.42781905607143972</v>
      </c>
      <c r="I16" s="14">
        <f>-(F16-0.1)</f>
        <v>-1.0782856187627698E-2</v>
      </c>
      <c r="J16" s="14">
        <v>0.1</v>
      </c>
      <c r="K16" s="14">
        <f>-J16/$E$4*$K$9</f>
        <v>-7.1360244679330104E-3</v>
      </c>
      <c r="L16" s="14">
        <f t="shared" si="2"/>
        <v>9.2863975532066989E-2</v>
      </c>
      <c r="M16" s="14">
        <f>L16/$F$5*$M$9</f>
        <v>5.728026430501288E-3</v>
      </c>
      <c r="N16" s="14">
        <f>L16/$F$5*$M$9+L16</f>
        <v>9.8592001962568274E-2</v>
      </c>
      <c r="O16" s="14">
        <f>-N16/$F$4*$O$9</f>
        <v>-8.1397257847154979E-4</v>
      </c>
      <c r="P16" s="16">
        <f t="shared" si="3"/>
        <v>9.7778029384096729E-2</v>
      </c>
      <c r="Q16" s="16">
        <f t="shared" si="1"/>
        <v>0.88260975343057313</v>
      </c>
      <c r="R16" s="15">
        <f t="shared" si="0"/>
        <v>0.51325973074113584</v>
      </c>
    </row>
    <row r="17" spans="1:18" x14ac:dyDescent="0.25">
      <c r="A17" s="14">
        <v>1</v>
      </c>
      <c r="B17" s="14" t="s">
        <v>27</v>
      </c>
      <c r="C17" s="14" t="s">
        <v>47</v>
      </c>
      <c r="D17" s="14" t="s">
        <v>96</v>
      </c>
      <c r="E17" s="14">
        <v>1</v>
      </c>
      <c r="F17" s="14">
        <v>8.1048159401251929E-2</v>
      </c>
      <c r="G17" s="14" t="b">
        <v>0</v>
      </c>
      <c r="H17" s="14">
        <v>0.42781905607143972</v>
      </c>
      <c r="I17" s="14">
        <f t="shared" ref="I17:I24" si="4">F17/$E$5*$I$9</f>
        <v>3.1031438026387342E-2</v>
      </c>
      <c r="J17" s="14">
        <f t="shared" ref="J17:J24" si="5">F17/$E$5*$I$9+F17</f>
        <v>0.11207959742763927</v>
      </c>
      <c r="K17" s="14">
        <f>-J17/$E$4*$K$9</f>
        <v>-7.9980274959971561E-3</v>
      </c>
      <c r="L17" s="14">
        <f>SUM(J17:K17)</f>
        <v>0.10408156993164212</v>
      </c>
      <c r="M17" s="14">
        <f>-(L17-N17)</f>
        <v>-4.0815699316421178E-3</v>
      </c>
      <c r="N17" s="14">
        <v>0.1</v>
      </c>
      <c r="O17" s="14">
        <f>-N17/$F$4*$O$9</f>
        <v>-8.2559696757206018E-4</v>
      </c>
      <c r="P17" s="16">
        <f t="shared" si="3"/>
        <v>9.9174403032427944E-2</v>
      </c>
      <c r="Q17" s="16">
        <f t="shared" si="1"/>
        <v>1.2236478134122317</v>
      </c>
      <c r="R17" s="15">
        <f t="shared" si="0"/>
        <v>0.71158192484595584</v>
      </c>
    </row>
    <row r="18" spans="1:18" x14ac:dyDescent="0.25">
      <c r="A18" s="14">
        <v>1</v>
      </c>
      <c r="B18" s="14" t="s">
        <v>14</v>
      </c>
      <c r="C18" s="14" t="s">
        <v>34</v>
      </c>
      <c r="D18" s="14" t="s">
        <v>96</v>
      </c>
      <c r="E18" s="14">
        <v>1</v>
      </c>
      <c r="F18" s="14">
        <v>8.5210943238061332E-2</v>
      </c>
      <c r="G18" s="14" t="b">
        <v>0</v>
      </c>
      <c r="H18" s="14">
        <v>0.42781905607143972</v>
      </c>
      <c r="I18" s="14">
        <f t="shared" si="4"/>
        <v>3.2625270256551507E-2</v>
      </c>
      <c r="J18" s="14">
        <f t="shared" si="5"/>
        <v>0.11783621349461285</v>
      </c>
      <c r="K18" s="14">
        <f>-J18/$E$4*$K$9</f>
        <v>-8.4088210270613535E-3</v>
      </c>
      <c r="L18" s="14">
        <f>SUM(J18:K18)</f>
        <v>0.1094273924675515</v>
      </c>
      <c r="M18" s="14">
        <f>-(L18-N18)</f>
        <v>-9.4273924675514903E-3</v>
      </c>
      <c r="N18" s="14">
        <v>0.1</v>
      </c>
      <c r="O18" s="14">
        <f>-N18/$F$4*$O$9</f>
        <v>-8.2559696757206018E-4</v>
      </c>
      <c r="P18" s="16">
        <f t="shared" si="3"/>
        <v>9.9174403032427944E-2</v>
      </c>
      <c r="Q18" s="16">
        <f t="shared" si="1"/>
        <v>1.1638693255085284</v>
      </c>
      <c r="R18" s="15">
        <f t="shared" si="0"/>
        <v>0.67681923330950833</v>
      </c>
    </row>
    <row r="19" spans="1:18" x14ac:dyDescent="0.25">
      <c r="A19" s="14">
        <v>1</v>
      </c>
      <c r="B19" s="14" t="s">
        <v>19</v>
      </c>
      <c r="C19" s="14" t="s">
        <v>39</v>
      </c>
      <c r="D19" s="14" t="s">
        <v>96</v>
      </c>
      <c r="E19" s="14">
        <v>1</v>
      </c>
      <c r="F19" s="14">
        <v>4.8357109544216327E-2</v>
      </c>
      <c r="G19" s="14" t="b">
        <v>0</v>
      </c>
      <c r="H19" s="14">
        <v>0.42781905607143972</v>
      </c>
      <c r="I19" s="14">
        <f t="shared" si="4"/>
        <v>1.8514802298315904E-2</v>
      </c>
      <c r="J19" s="14">
        <f t="shared" si="5"/>
        <v>6.6871911842532231E-2</v>
      </c>
      <c r="K19" s="14">
        <f>-J19/$E$4*$K$9</f>
        <v>-4.7719959912576925E-3</v>
      </c>
      <c r="L19" s="14">
        <f t="shared" si="2"/>
        <v>6.2099915851274536E-2</v>
      </c>
      <c r="M19" s="14">
        <f t="shared" ref="M19:M24" si="6">L19/$F$5*$M$9</f>
        <v>3.8304407849217665E-3</v>
      </c>
      <c r="N19" s="14">
        <f t="shared" ref="N19:N24" si="7">L19/$F$5*$M$9+L19</f>
        <v>6.5930356636196299E-2</v>
      </c>
      <c r="O19" s="14">
        <f>-N19/$F$4*$O$9</f>
        <v>-5.4431902509788116E-4</v>
      </c>
      <c r="P19" s="16">
        <f t="shared" si="3"/>
        <v>6.5386037611098416E-2</v>
      </c>
      <c r="Q19" s="16">
        <f t="shared" si="1"/>
        <v>1.3521494197520498</v>
      </c>
      <c r="R19" s="15">
        <f t="shared" si="0"/>
        <v>0.78630883514059324</v>
      </c>
    </row>
    <row r="20" spans="1:18" x14ac:dyDescent="0.25">
      <c r="A20" s="14">
        <v>1</v>
      </c>
      <c r="B20" s="14" t="s">
        <v>25</v>
      </c>
      <c r="C20" s="14" t="s">
        <v>45</v>
      </c>
      <c r="D20" s="14" t="s">
        <v>96</v>
      </c>
      <c r="E20" s="14">
        <v>1</v>
      </c>
      <c r="F20" s="14">
        <v>3.381104031785389E-2</v>
      </c>
      <c r="G20" s="14" t="b">
        <v>0</v>
      </c>
      <c r="H20" s="14">
        <v>0.42781905607143972</v>
      </c>
      <c r="I20" s="14">
        <f t="shared" si="4"/>
        <v>1.2945453789231395E-2</v>
      </c>
      <c r="J20" s="14">
        <f t="shared" si="5"/>
        <v>4.6756494107085281E-2</v>
      </c>
      <c r="K20" s="14">
        <f>-J20/$E$4*$K$9</f>
        <v>-3.3365548598292619E-3</v>
      </c>
      <c r="L20" s="14">
        <f t="shared" si="2"/>
        <v>4.3419939247256019E-2</v>
      </c>
      <c r="M20" s="14">
        <f t="shared" si="6"/>
        <v>2.6782243404296223E-3</v>
      </c>
      <c r="N20" s="14">
        <f t="shared" si="7"/>
        <v>4.6098163587685641E-2</v>
      </c>
      <c r="O20" s="14">
        <f>-N20/$F$4*$O$9</f>
        <v>-3.8058504068634027E-4</v>
      </c>
      <c r="P20" s="16">
        <f t="shared" si="3"/>
        <v>4.5717578546999302E-2</v>
      </c>
      <c r="Q20" s="16">
        <f t="shared" si="1"/>
        <v>1.3521494197520498</v>
      </c>
      <c r="R20" s="15">
        <f t="shared" si="0"/>
        <v>0.78630883514059324</v>
      </c>
    </row>
    <row r="21" spans="1:18" x14ac:dyDescent="0.25">
      <c r="A21" s="14">
        <v>1</v>
      </c>
      <c r="B21" s="14" t="s">
        <v>16</v>
      </c>
      <c r="C21" s="14" t="s">
        <v>36</v>
      </c>
      <c r="D21" s="14" t="s">
        <v>96</v>
      </c>
      <c r="E21" s="14">
        <v>1</v>
      </c>
      <c r="F21" s="14">
        <v>2.7423928746764428E-2</v>
      </c>
      <c r="G21" s="14" t="b">
        <v>0</v>
      </c>
      <c r="H21" s="14">
        <v>0.42781905607143972</v>
      </c>
      <c r="I21" s="14">
        <f t="shared" si="4"/>
        <v>1.0499978674804273E-2</v>
      </c>
      <c r="J21" s="14">
        <f t="shared" si="5"/>
        <v>3.7923907421568703E-2</v>
      </c>
      <c r="K21" s="14">
        <f>-J21/$E$4*$K$9</f>
        <v>-2.7062593127994057E-3</v>
      </c>
      <c r="L21" s="14">
        <f t="shared" si="2"/>
        <v>3.5217648108769296E-2</v>
      </c>
      <c r="M21" s="14">
        <f t="shared" si="6"/>
        <v>2.1722914405862947E-3</v>
      </c>
      <c r="N21" s="14">
        <f t="shared" si="7"/>
        <v>3.7389939549355593E-2</v>
      </c>
      <c r="O21" s="14">
        <f>-N21/$F$4*$O$9</f>
        <v>-3.086902070965062E-4</v>
      </c>
      <c r="P21" s="16">
        <f t="shared" si="3"/>
        <v>3.7081249342259086E-2</v>
      </c>
      <c r="Q21" s="16">
        <f t="shared" si="1"/>
        <v>1.3521494197520501</v>
      </c>
      <c r="R21" s="15">
        <f t="shared" si="0"/>
        <v>0.78630883514059335</v>
      </c>
    </row>
    <row r="22" spans="1:18" x14ac:dyDescent="0.25">
      <c r="A22" s="14">
        <v>1</v>
      </c>
      <c r="B22" s="14" t="s">
        <v>12</v>
      </c>
      <c r="C22" s="14" t="s">
        <v>32</v>
      </c>
      <c r="D22" s="14" t="s">
        <v>96</v>
      </c>
      <c r="E22" s="14">
        <v>1</v>
      </c>
      <c r="F22" s="14">
        <v>1.0885378268080869E-2</v>
      </c>
      <c r="G22" s="14" t="b">
        <v>0</v>
      </c>
      <c r="H22" s="14">
        <v>0.42781905607143972</v>
      </c>
      <c r="I22" s="14">
        <f t="shared" si="4"/>
        <v>4.16775585793892E-3</v>
      </c>
      <c r="J22" s="14">
        <f t="shared" si="5"/>
        <v>1.5053134126019789E-2</v>
      </c>
      <c r="K22" s="14">
        <f>-J22/$E$4*$K$9</f>
        <v>-1.0741953344235462E-3</v>
      </c>
      <c r="L22" s="14">
        <f t="shared" si="2"/>
        <v>1.3978938791596243E-2</v>
      </c>
      <c r="M22" s="14">
        <f t="shared" si="6"/>
        <v>8.6224750135722268E-4</v>
      </c>
      <c r="N22" s="14">
        <f t="shared" si="7"/>
        <v>1.4841186292953466E-2</v>
      </c>
      <c r="O22" s="14">
        <f>-N22/$F$4*$O$9</f>
        <v>-1.2252838398634405E-4</v>
      </c>
      <c r="P22" s="16">
        <f t="shared" si="3"/>
        <v>1.4718657908967122E-2</v>
      </c>
      <c r="Q22" s="16">
        <f t="shared" si="1"/>
        <v>1.3521494197520498</v>
      </c>
      <c r="R22" s="15">
        <f t="shared" si="0"/>
        <v>0.78630883514059324</v>
      </c>
    </row>
    <row r="23" spans="1:18" x14ac:dyDescent="0.25">
      <c r="A23" s="14">
        <v>1</v>
      </c>
      <c r="B23" s="14" t="s">
        <v>17</v>
      </c>
      <c r="C23" s="14" t="s">
        <v>37</v>
      </c>
      <c r="D23" s="14" t="s">
        <v>96</v>
      </c>
      <c r="E23" s="14">
        <v>1</v>
      </c>
      <c r="F23" s="14">
        <v>1.8150544675667731E-2</v>
      </c>
      <c r="G23" s="14" t="b">
        <v>0</v>
      </c>
      <c r="H23" s="14">
        <v>0.42781905607143972</v>
      </c>
      <c r="I23" s="14">
        <f t="shared" si="4"/>
        <v>6.9494175612266618E-3</v>
      </c>
      <c r="J23" s="14">
        <f t="shared" si="5"/>
        <v>2.5099962236894393E-2</v>
      </c>
      <c r="K23" s="14">
        <f>-J23/$E$4*$K$9</f>
        <v>-1.7911394466667298E-3</v>
      </c>
      <c r="L23" s="14">
        <f t="shared" si="2"/>
        <v>2.3308822790227664E-2</v>
      </c>
      <c r="M23" s="14">
        <f t="shared" si="6"/>
        <v>1.4377324709751531E-3</v>
      </c>
      <c r="N23" s="14">
        <f t="shared" si="7"/>
        <v>2.4746555261202816E-2</v>
      </c>
      <c r="O23" s="14">
        <f>-N23/$F$4*$O$9</f>
        <v>-2.0430680981503455E-4</v>
      </c>
      <c r="P23" s="16">
        <f t="shared" si="3"/>
        <v>2.454224845138778E-2</v>
      </c>
      <c r="Q23" s="16">
        <f t="shared" si="1"/>
        <v>1.3521494197520498</v>
      </c>
      <c r="R23" s="15">
        <f t="shared" si="0"/>
        <v>0.78630883514059324</v>
      </c>
    </row>
    <row r="24" spans="1:18" x14ac:dyDescent="0.25">
      <c r="A24" s="14">
        <v>1</v>
      </c>
      <c r="B24" s="14" t="s">
        <v>11</v>
      </c>
      <c r="C24" s="14" t="s">
        <v>31</v>
      </c>
      <c r="D24" s="14" t="s">
        <v>96</v>
      </c>
      <c r="E24" s="14">
        <v>1</v>
      </c>
      <c r="F24" s="14">
        <v>1.2149095691915459E-2</v>
      </c>
      <c r="G24" s="14" t="b">
        <v>0</v>
      </c>
      <c r="H24" s="14">
        <v>0.42781905607143972</v>
      </c>
      <c r="I24" s="14">
        <f t="shared" si="4"/>
        <v>4.6516035999517166E-3</v>
      </c>
      <c r="J24" s="14">
        <f t="shared" si="5"/>
        <v>1.6800699291867175E-2</v>
      </c>
      <c r="K24" s="14">
        <f>-J24/$E$4*$K$9</f>
        <v>-1.1989020122514897E-3</v>
      </c>
      <c r="L24" s="14">
        <f t="shared" si="2"/>
        <v>1.5601797279615685E-2</v>
      </c>
      <c r="M24" s="14">
        <f t="shared" si="6"/>
        <v>9.6234849594719458E-4</v>
      </c>
      <c r="N24" s="14">
        <f t="shared" si="7"/>
        <v>1.656414577556288E-2</v>
      </c>
      <c r="O24" s="14">
        <f>-N24/$F$4*$O$9</f>
        <v>-1.3675308522726265E-4</v>
      </c>
      <c r="P24" s="16">
        <f t="shared" si="3"/>
        <v>1.6427392690335618E-2</v>
      </c>
      <c r="Q24" s="16">
        <f t="shared" si="1"/>
        <v>1.3521494197520498</v>
      </c>
      <c r="R24" s="15">
        <f t="shared" si="0"/>
        <v>0.78630883514059324</v>
      </c>
    </row>
    <row r="25" spans="1:18" x14ac:dyDescent="0.25">
      <c r="A25" s="18">
        <v>1</v>
      </c>
      <c r="B25" s="18" t="s">
        <v>23</v>
      </c>
      <c r="C25" s="18" t="s">
        <v>43</v>
      </c>
      <c r="D25" s="18" t="s">
        <v>95</v>
      </c>
      <c r="E25" s="18">
        <v>1</v>
      </c>
      <c r="F25" s="18">
        <v>0.1050515837449746</v>
      </c>
      <c r="G25" s="18" t="b">
        <v>1</v>
      </c>
      <c r="H25" s="18">
        <v>0.14633740255139141</v>
      </c>
      <c r="I25" s="18">
        <f>-(F25-0.1)</f>
        <v>-5.0515837449745943E-3</v>
      </c>
      <c r="J25" s="18">
        <v>0.1</v>
      </c>
      <c r="K25" s="18">
        <v>0</v>
      </c>
      <c r="L25" s="18">
        <f t="shared" si="2"/>
        <v>0.1</v>
      </c>
      <c r="M25" s="18">
        <v>0</v>
      </c>
      <c r="N25" s="18">
        <v>0.1</v>
      </c>
      <c r="O25" s="18">
        <v>0</v>
      </c>
      <c r="P25" s="21">
        <v>0.1</v>
      </c>
      <c r="Q25" s="16">
        <f t="shared" si="1"/>
        <v>0.95191330235212901</v>
      </c>
      <c r="R25" s="19">
        <f t="shared" si="0"/>
        <v>0.55356148439910846</v>
      </c>
    </row>
    <row r="26" spans="1:18" x14ac:dyDescent="0.25">
      <c r="A26" s="18">
        <v>1</v>
      </c>
      <c r="B26" s="18" t="s">
        <v>22</v>
      </c>
      <c r="C26" s="18" t="s">
        <v>42</v>
      </c>
      <c r="D26" s="18" t="s">
        <v>95</v>
      </c>
      <c r="E26" s="18">
        <v>1</v>
      </c>
      <c r="F26" s="18">
        <v>1.8932582295327509E-2</v>
      </c>
      <c r="G26" s="18" t="b">
        <v>0</v>
      </c>
      <c r="H26" s="18">
        <v>0.14633740255139141</v>
      </c>
      <c r="I26" s="18">
        <f>F26/$E$5*$I$9</f>
        <v>7.2488414112937749E-3</v>
      </c>
      <c r="J26" s="18">
        <f>F26/$E$5*$I$9+F26</f>
        <v>2.6181423706621285E-2</v>
      </c>
      <c r="K26" s="18">
        <f>J26/$E$3*$K$9</f>
        <v>3.8456607892645061E-3</v>
      </c>
      <c r="L26" s="18">
        <f t="shared" si="2"/>
        <v>3.002708449588579E-2</v>
      </c>
      <c r="M26" s="18">
        <f>L26/$F$5*$M$9</f>
        <v>1.8521276160951895E-3</v>
      </c>
      <c r="N26" s="18">
        <f>L26/$F$5*$M$9+L26</f>
        <v>3.1879212111980977E-2</v>
      </c>
      <c r="O26" s="16">
        <f>N26/$F$3*$O$9</f>
        <v>6.7756331895737403E-4</v>
      </c>
      <c r="P26" s="16">
        <f t="shared" ref="P26:P29" si="8">SUM(N26:O26)</f>
        <v>3.2556775430938351E-2</v>
      </c>
      <c r="Q26" s="16">
        <f t="shared" si="1"/>
        <v>1.7196162109895194</v>
      </c>
      <c r="R26" s="19">
        <f t="shared" si="0"/>
        <v>0.99999999999999989</v>
      </c>
    </row>
    <row r="27" spans="1:18" x14ac:dyDescent="0.25">
      <c r="A27" s="18">
        <v>1</v>
      </c>
      <c r="B27" s="18" t="s">
        <v>18</v>
      </c>
      <c r="C27" s="18" t="s">
        <v>38</v>
      </c>
      <c r="D27" s="18" t="s">
        <v>95</v>
      </c>
      <c r="E27" s="18">
        <v>1</v>
      </c>
      <c r="F27" s="18">
        <v>1.347501682211783E-2</v>
      </c>
      <c r="G27" s="18" t="b">
        <v>0</v>
      </c>
      <c r="H27" s="18">
        <v>0.14633740255139141</v>
      </c>
      <c r="I27" s="18">
        <f>F27/$E$5*$I$9</f>
        <v>5.1592676812055689E-3</v>
      </c>
      <c r="J27" s="18">
        <f>F27/$E$5*$I$9+F27</f>
        <v>1.8634284503323398E-2</v>
      </c>
      <c r="K27" s="18">
        <f>J27/$E$3*$K$9</f>
        <v>2.7370985647471461E-3</v>
      </c>
      <c r="L27" s="18">
        <f t="shared" si="2"/>
        <v>2.1371383068070543E-2</v>
      </c>
      <c r="M27" s="18">
        <f>L27/$F$5*$M$9</f>
        <v>1.3182275082333104E-3</v>
      </c>
      <c r="N27" s="18">
        <f>L27/$F$5*$M$9+L27</f>
        <v>2.2689610576303854E-2</v>
      </c>
      <c r="O27" s="16">
        <f>N27/$F$3*$O$9</f>
        <v>4.8224679436644505E-4</v>
      </c>
      <c r="P27" s="16">
        <f t="shared" si="8"/>
        <v>2.3171857370670301E-2</v>
      </c>
      <c r="Q27" s="16">
        <f t="shared" si="1"/>
        <v>1.7196162109895197</v>
      </c>
      <c r="R27" s="19">
        <f t="shared" si="0"/>
        <v>1</v>
      </c>
    </row>
    <row r="28" spans="1:18" x14ac:dyDescent="0.25">
      <c r="A28" s="18">
        <v>1</v>
      </c>
      <c r="B28" s="18" t="s">
        <v>8</v>
      </c>
      <c r="C28" s="18" t="s">
        <v>28</v>
      </c>
      <c r="D28" s="18" t="s">
        <v>95</v>
      </c>
      <c r="E28" s="18">
        <v>1</v>
      </c>
      <c r="F28" s="18">
        <v>6.3643335493144748E-3</v>
      </c>
      <c r="G28" s="18" t="b">
        <v>0</v>
      </c>
      <c r="H28" s="18">
        <v>0.14633740255139141</v>
      </c>
      <c r="I28" s="18">
        <f>F28/$E$5*$I$9</f>
        <v>2.4367539444919125E-3</v>
      </c>
      <c r="J28" s="18">
        <f>F28/$E$5*$I$9+F28</f>
        <v>8.8010874938063872E-3</v>
      </c>
      <c r="K28" s="18">
        <f>J28/$E$3*$K$9</f>
        <v>1.2927485325886915E-3</v>
      </c>
      <c r="L28" s="18">
        <f t="shared" si="2"/>
        <v>1.0093836026395079E-2</v>
      </c>
      <c r="M28" s="18">
        <f>L28/$F$5*$M$9</f>
        <v>6.2260698201932973E-4</v>
      </c>
      <c r="N28" s="18">
        <f>L28/$F$5*$M$9+L28</f>
        <v>1.0716443008414409E-2</v>
      </c>
      <c r="O28" s="16">
        <f>N28/$F$3*$O$9</f>
        <v>2.2776813513122955E-4</v>
      </c>
      <c r="P28" s="16">
        <f t="shared" si="8"/>
        <v>1.0944211143545638E-2</v>
      </c>
      <c r="Q28" s="16">
        <f t="shared" si="1"/>
        <v>1.7196162109895197</v>
      </c>
      <c r="R28" s="19">
        <f t="shared" si="0"/>
        <v>1</v>
      </c>
    </row>
    <row r="29" spans="1:18" x14ac:dyDescent="0.25">
      <c r="A29" s="18">
        <v>1</v>
      </c>
      <c r="B29" s="18" t="s">
        <v>21</v>
      </c>
      <c r="C29" s="18" t="s">
        <v>41</v>
      </c>
      <c r="D29" s="18" t="s">
        <v>95</v>
      </c>
      <c r="E29" s="18">
        <v>1</v>
      </c>
      <c r="F29" s="18">
        <v>2.513886139656992E-3</v>
      </c>
      <c r="G29" s="18" t="b">
        <v>0</v>
      </c>
      <c r="H29" s="18">
        <v>0.14633740255139141</v>
      </c>
      <c r="I29" s="18">
        <f>F29/$E$5*$I$9</f>
        <v>9.62508001717249E-4</v>
      </c>
      <c r="J29" s="18">
        <f>F29/$E$5*$I$9+F29</f>
        <v>3.4763941413742411E-3</v>
      </c>
      <c r="K29" s="18">
        <f>J29/$E$3*$K$9</f>
        <v>5.1063046789662323E-4</v>
      </c>
      <c r="L29" s="18">
        <f t="shared" si="2"/>
        <v>3.9870246092708643E-3</v>
      </c>
      <c r="M29" s="18">
        <f>L29/$F$5*$M$9</f>
        <v>2.4592725230761236E-4</v>
      </c>
      <c r="N29" s="18">
        <f>L29/$F$5*$M$9+L29</f>
        <v>4.2329518615784765E-3</v>
      </c>
      <c r="O29" s="16">
        <f>N29/$F$3*$O$9</f>
        <v>8.9967496757550325E-5</v>
      </c>
      <c r="P29" s="16">
        <f t="shared" si="8"/>
        <v>4.3229193583360272E-3</v>
      </c>
      <c r="Q29" s="16">
        <f t="shared" si="1"/>
        <v>1.7196162109895197</v>
      </c>
      <c r="R29" s="19">
        <f t="shared" si="0"/>
        <v>1</v>
      </c>
    </row>
    <row r="30" spans="1:18" x14ac:dyDescent="0.25">
      <c r="A30" s="20">
        <v>1</v>
      </c>
      <c r="B30" s="20" t="s">
        <v>24</v>
      </c>
      <c r="C30" s="20" t="s">
        <v>44</v>
      </c>
      <c r="D30" s="20" t="s">
        <v>97</v>
      </c>
      <c r="E30" s="20">
        <v>1</v>
      </c>
      <c r="F30" s="20">
        <v>7.2850029374216821E-2</v>
      </c>
      <c r="G30" s="20" t="b">
        <v>0</v>
      </c>
      <c r="H30" s="20">
        <v>7.2850029374216821E-2</v>
      </c>
      <c r="I30" s="21">
        <f>F30/$E$5*$I$9</f>
        <v>2.789256644996169E-2</v>
      </c>
      <c r="J30" s="21">
        <f>F30/$E$5*$I$9+F30</f>
        <v>0.10074259582417851</v>
      </c>
      <c r="K30" s="21">
        <f>J30/$E$3*$K$9</f>
        <v>1.4797585299831745E-2</v>
      </c>
      <c r="L30" s="21">
        <f t="shared" si="2"/>
        <v>0.11554018112401025</v>
      </c>
      <c r="M30" s="21">
        <f>-(L30-N30)</f>
        <v>-1.5540181124010247E-2</v>
      </c>
      <c r="N30" s="21">
        <v>0.1</v>
      </c>
      <c r="O30" s="21">
        <v>0</v>
      </c>
      <c r="P30" s="21">
        <v>0.1</v>
      </c>
      <c r="Q30" s="16">
        <f t="shared" si="1"/>
        <v>1.3726830429445529</v>
      </c>
      <c r="R30" s="22">
        <f t="shared" si="0"/>
        <v>0.79824965255164071</v>
      </c>
    </row>
    <row r="32" spans="1:18" x14ac:dyDescent="0.25">
      <c r="O32" s="25">
        <f>SUM(O11:O30)</f>
        <v>-1.2603850255143989E-18</v>
      </c>
    </row>
    <row r="35" spans="1:12" x14ac:dyDescent="0.25">
      <c r="A35">
        <v>2</v>
      </c>
      <c r="B35" t="s">
        <v>10</v>
      </c>
      <c r="C35" t="s">
        <v>30</v>
      </c>
      <c r="D35" t="s">
        <v>94</v>
      </c>
      <c r="E35">
        <v>0.35974547492060688</v>
      </c>
      <c r="F35">
        <v>0.1</v>
      </c>
      <c r="G35" t="b">
        <v>1</v>
      </c>
      <c r="H35" t="b">
        <v>1</v>
      </c>
      <c r="I35">
        <v>0.21898049067636741</v>
      </c>
      <c r="J35">
        <f>_xlfn.XLOOKUP(C35,$C$11:$C$30,$L$11:$L$30)</f>
        <v>0.1</v>
      </c>
      <c r="K35" t="b">
        <f>J35=F35</f>
        <v>1</v>
      </c>
      <c r="L35" s="24">
        <f t="shared" ref="L35:L54" si="9">J35-F35</f>
        <v>0</v>
      </c>
    </row>
    <row r="36" spans="1:12" x14ac:dyDescent="0.25">
      <c r="A36">
        <v>2</v>
      </c>
      <c r="B36" t="s">
        <v>23</v>
      </c>
      <c r="C36" t="s">
        <v>43</v>
      </c>
      <c r="D36" t="s">
        <v>95</v>
      </c>
      <c r="E36">
        <v>0.9519133023521289</v>
      </c>
      <c r="F36">
        <v>0.1</v>
      </c>
      <c r="G36" t="b">
        <v>1</v>
      </c>
      <c r="H36" t="b">
        <v>1</v>
      </c>
      <c r="I36">
        <v>0.16547932819962241</v>
      </c>
      <c r="J36">
        <f t="shared" ref="J36:J74" si="10">_xlfn.XLOOKUP(C36,$C$11:$C$30,$L$11:$L$30)</f>
        <v>0.1</v>
      </c>
      <c r="K36" t="b">
        <f t="shared" ref="K36:K54" si="11">J36=F36</f>
        <v>1</v>
      </c>
      <c r="L36" s="24">
        <f t="shared" si="9"/>
        <v>0</v>
      </c>
    </row>
    <row r="37" spans="1:12" x14ac:dyDescent="0.25">
      <c r="A37">
        <v>2</v>
      </c>
      <c r="B37" t="s">
        <v>13</v>
      </c>
      <c r="C37" t="s">
        <v>33</v>
      </c>
      <c r="D37" t="s">
        <v>96</v>
      </c>
      <c r="E37">
        <v>0.8382522235641553</v>
      </c>
      <c r="F37">
        <v>9.2863975532066961E-2</v>
      </c>
      <c r="G37" t="b">
        <v>1</v>
      </c>
      <c r="H37" t="b">
        <v>0</v>
      </c>
      <c r="I37">
        <v>0.49999999999999978</v>
      </c>
      <c r="J37">
        <f t="shared" si="10"/>
        <v>9.2863975532066989E-2</v>
      </c>
      <c r="K37" t="b">
        <f t="shared" si="11"/>
        <v>1</v>
      </c>
      <c r="L37" s="24">
        <f t="shared" si="9"/>
        <v>0</v>
      </c>
    </row>
    <row r="38" spans="1:12" x14ac:dyDescent="0.25">
      <c r="A38">
        <v>2</v>
      </c>
      <c r="B38" t="s">
        <v>27</v>
      </c>
      <c r="C38" t="s">
        <v>47</v>
      </c>
      <c r="D38" t="s">
        <v>96</v>
      </c>
      <c r="E38">
        <v>1.2841941223656499</v>
      </c>
      <c r="F38">
        <v>0.1040815699316421</v>
      </c>
      <c r="G38" t="b">
        <v>0</v>
      </c>
      <c r="H38" t="b">
        <v>1</v>
      </c>
      <c r="I38">
        <v>0.49999999999999978</v>
      </c>
      <c r="J38">
        <f t="shared" si="10"/>
        <v>0.10408156993164212</v>
      </c>
      <c r="K38" t="b">
        <f t="shared" si="11"/>
        <v>1</v>
      </c>
      <c r="L38" s="24">
        <f t="shared" si="9"/>
        <v>0</v>
      </c>
    </row>
    <row r="39" spans="1:12" x14ac:dyDescent="0.25">
      <c r="A39">
        <v>2</v>
      </c>
      <c r="B39" t="s">
        <v>22</v>
      </c>
      <c r="C39" t="s">
        <v>42</v>
      </c>
      <c r="D39" t="s">
        <v>95</v>
      </c>
      <c r="E39">
        <v>1.5860004740767131</v>
      </c>
      <c r="F39">
        <v>3.0027084495885831E-2</v>
      </c>
      <c r="G39" t="b">
        <v>0</v>
      </c>
      <c r="H39" t="b">
        <v>0</v>
      </c>
      <c r="I39">
        <v>0.16547932819962241</v>
      </c>
      <c r="J39">
        <f t="shared" si="10"/>
        <v>3.002708449588579E-2</v>
      </c>
      <c r="K39" t="b">
        <f t="shared" si="11"/>
        <v>1</v>
      </c>
      <c r="L39" s="24">
        <f t="shared" si="9"/>
        <v>-4.163336342344337E-17</v>
      </c>
    </row>
    <row r="40" spans="1:12" x14ac:dyDescent="0.25">
      <c r="A40">
        <v>2</v>
      </c>
      <c r="B40" t="s">
        <v>14</v>
      </c>
      <c r="C40" t="s">
        <v>34</v>
      </c>
      <c r="D40" t="s">
        <v>96</v>
      </c>
      <c r="E40">
        <v>1.2841941223656499</v>
      </c>
      <c r="F40">
        <v>0.1094273924675514</v>
      </c>
      <c r="G40" t="b">
        <v>0</v>
      </c>
      <c r="H40" t="b">
        <v>1</v>
      </c>
      <c r="I40">
        <v>0.49999999999999978</v>
      </c>
      <c r="J40">
        <f t="shared" si="10"/>
        <v>0.1094273924675515</v>
      </c>
      <c r="K40" t="b">
        <f t="shared" si="11"/>
        <v>1</v>
      </c>
      <c r="L40" s="24">
        <f t="shared" si="9"/>
        <v>0</v>
      </c>
    </row>
    <row r="41" spans="1:12" x14ac:dyDescent="0.25">
      <c r="A41">
        <v>2</v>
      </c>
      <c r="B41" t="s">
        <v>24</v>
      </c>
      <c r="C41" t="s">
        <v>44</v>
      </c>
      <c r="D41" t="s">
        <v>97</v>
      </c>
      <c r="E41">
        <v>1.5860004740767131</v>
      </c>
      <c r="F41">
        <v>0.1155401811240104</v>
      </c>
      <c r="G41" t="b">
        <v>0</v>
      </c>
      <c r="H41" t="b">
        <v>1</v>
      </c>
      <c r="I41">
        <v>0.1155401811240104</v>
      </c>
      <c r="J41">
        <f t="shared" si="10"/>
        <v>0.11554018112401025</v>
      </c>
      <c r="K41" t="b">
        <f t="shared" si="11"/>
        <v>1</v>
      </c>
      <c r="L41" s="24">
        <f t="shared" si="9"/>
        <v>-1.5265566588595902E-16</v>
      </c>
    </row>
    <row r="42" spans="1:12" x14ac:dyDescent="0.25">
      <c r="A42">
        <v>2</v>
      </c>
      <c r="B42" t="s">
        <v>19</v>
      </c>
      <c r="C42" t="s">
        <v>39</v>
      </c>
      <c r="D42" t="s">
        <v>96</v>
      </c>
      <c r="E42">
        <v>1.2841941223656499</v>
      </c>
      <c r="F42">
        <v>6.2099915851274508E-2</v>
      </c>
      <c r="G42" t="b">
        <v>0</v>
      </c>
      <c r="H42" t="b">
        <v>0</v>
      </c>
      <c r="I42">
        <v>0.49999999999999978</v>
      </c>
      <c r="J42">
        <f t="shared" si="10"/>
        <v>6.2099915851274536E-2</v>
      </c>
      <c r="K42" t="b">
        <f t="shared" si="11"/>
        <v>1</v>
      </c>
      <c r="L42" s="24">
        <f t="shared" si="9"/>
        <v>0</v>
      </c>
    </row>
    <row r="43" spans="1:12" x14ac:dyDescent="0.25">
      <c r="A43">
        <v>2</v>
      </c>
      <c r="B43" t="s">
        <v>20</v>
      </c>
      <c r="C43" t="s">
        <v>40</v>
      </c>
      <c r="D43" t="s">
        <v>94</v>
      </c>
      <c r="E43">
        <v>1.5860004740767131</v>
      </c>
      <c r="F43">
        <v>5.7651341270032581E-2</v>
      </c>
      <c r="G43" t="b">
        <v>0</v>
      </c>
      <c r="H43" t="b">
        <v>0</v>
      </c>
      <c r="I43">
        <v>0.21898049067636741</v>
      </c>
      <c r="J43">
        <f t="shared" si="10"/>
        <v>5.7651341270032519E-2</v>
      </c>
      <c r="K43" t="b">
        <f t="shared" si="11"/>
        <v>0</v>
      </c>
      <c r="L43" s="24">
        <f>J43-F43</f>
        <v>-6.2450045135165055E-17</v>
      </c>
    </row>
    <row r="44" spans="1:12" x14ac:dyDescent="0.25">
      <c r="A44">
        <v>2</v>
      </c>
      <c r="B44" t="s">
        <v>25</v>
      </c>
      <c r="C44" t="s">
        <v>45</v>
      </c>
      <c r="D44" t="s">
        <v>96</v>
      </c>
      <c r="E44">
        <v>1.2841941223656499</v>
      </c>
      <c r="F44">
        <v>4.3419939247255998E-2</v>
      </c>
      <c r="G44" t="b">
        <v>0</v>
      </c>
      <c r="H44" t="b">
        <v>0</v>
      </c>
      <c r="I44">
        <v>0.49999999999999978</v>
      </c>
      <c r="J44">
        <f t="shared" si="10"/>
        <v>4.3419939247256019E-2</v>
      </c>
      <c r="K44" t="b">
        <f t="shared" si="11"/>
        <v>1</v>
      </c>
      <c r="L44" s="24">
        <f t="shared" ref="L44:L54" si="12">J44-F44</f>
        <v>0</v>
      </c>
    </row>
    <row r="45" spans="1:12" x14ac:dyDescent="0.25">
      <c r="A45">
        <v>2</v>
      </c>
      <c r="B45" t="s">
        <v>16</v>
      </c>
      <c r="C45" t="s">
        <v>36</v>
      </c>
      <c r="D45" t="s">
        <v>96</v>
      </c>
      <c r="E45">
        <v>1.2841941223656499</v>
      </c>
      <c r="F45">
        <v>3.5217648108769282E-2</v>
      </c>
      <c r="G45" t="b">
        <v>0</v>
      </c>
      <c r="H45" t="b">
        <v>0</v>
      </c>
      <c r="I45">
        <v>0.49999999999999978</v>
      </c>
      <c r="J45">
        <f t="shared" si="10"/>
        <v>3.5217648108769296E-2</v>
      </c>
      <c r="K45" t="b">
        <f t="shared" si="11"/>
        <v>1</v>
      </c>
      <c r="L45" s="24">
        <f t="shared" si="12"/>
        <v>0</v>
      </c>
    </row>
    <row r="46" spans="1:12" x14ac:dyDescent="0.25">
      <c r="A46">
        <v>2</v>
      </c>
      <c r="B46" t="s">
        <v>9</v>
      </c>
      <c r="C46" t="s">
        <v>29</v>
      </c>
      <c r="D46" t="s">
        <v>94</v>
      </c>
      <c r="E46">
        <v>1.5860004740767131</v>
      </c>
      <c r="F46">
        <v>3.2322555326323291E-2</v>
      </c>
      <c r="G46" t="b">
        <v>0</v>
      </c>
      <c r="H46" t="b">
        <v>0</v>
      </c>
      <c r="I46">
        <v>0.21898049067636741</v>
      </c>
      <c r="J46">
        <f t="shared" si="10"/>
        <v>3.2322555326323249E-2</v>
      </c>
      <c r="K46" t="b">
        <f t="shared" si="11"/>
        <v>0</v>
      </c>
      <c r="L46" s="24">
        <f t="shared" si="12"/>
        <v>0</v>
      </c>
    </row>
    <row r="47" spans="1:12" x14ac:dyDescent="0.25">
      <c r="A47">
        <v>2</v>
      </c>
      <c r="B47" t="s">
        <v>18</v>
      </c>
      <c r="C47" t="s">
        <v>38</v>
      </c>
      <c r="D47" t="s">
        <v>95</v>
      </c>
      <c r="E47">
        <v>1.5860004740767131</v>
      </c>
      <c r="F47">
        <v>2.1371383068070571E-2</v>
      </c>
      <c r="G47" t="b">
        <v>0</v>
      </c>
      <c r="H47" t="b">
        <v>0</v>
      </c>
      <c r="I47">
        <v>0.16547932819962241</v>
      </c>
      <c r="J47">
        <f t="shared" si="10"/>
        <v>2.1371383068070543E-2</v>
      </c>
      <c r="K47" t="b">
        <f t="shared" si="11"/>
        <v>0</v>
      </c>
      <c r="L47" s="24">
        <f t="shared" si="12"/>
        <v>-2.7755575615628914E-17</v>
      </c>
    </row>
    <row r="48" spans="1:12" x14ac:dyDescent="0.25">
      <c r="A48">
        <v>2</v>
      </c>
      <c r="B48" t="s">
        <v>26</v>
      </c>
      <c r="C48" t="s">
        <v>46</v>
      </c>
      <c r="D48" t="s">
        <v>94</v>
      </c>
      <c r="E48">
        <v>1.5860004740767131</v>
      </c>
      <c r="F48">
        <v>1.693722577102073E-2</v>
      </c>
      <c r="G48" t="b">
        <v>0</v>
      </c>
      <c r="H48" t="b">
        <v>0</v>
      </c>
      <c r="I48">
        <v>0.21898049067636741</v>
      </c>
      <c r="J48">
        <f t="shared" si="10"/>
        <v>1.6937225771020709E-2</v>
      </c>
      <c r="K48" t="b">
        <f t="shared" si="11"/>
        <v>1</v>
      </c>
      <c r="L48" s="24">
        <f t="shared" si="12"/>
        <v>0</v>
      </c>
    </row>
    <row r="49" spans="1:12" x14ac:dyDescent="0.25">
      <c r="A49">
        <v>2</v>
      </c>
      <c r="B49" t="s">
        <v>12</v>
      </c>
      <c r="C49" t="s">
        <v>32</v>
      </c>
      <c r="D49" t="s">
        <v>96</v>
      </c>
      <c r="E49">
        <v>1.2841941223656499</v>
      </c>
      <c r="F49">
        <v>1.397893879159624E-2</v>
      </c>
      <c r="G49" t="b">
        <v>0</v>
      </c>
      <c r="H49" t="b">
        <v>0</v>
      </c>
      <c r="I49">
        <v>0.49999999999999978</v>
      </c>
      <c r="J49">
        <f t="shared" si="10"/>
        <v>1.3978938791596243E-2</v>
      </c>
      <c r="K49" t="b">
        <f t="shared" si="11"/>
        <v>1</v>
      </c>
      <c r="L49" s="24">
        <f t="shared" si="12"/>
        <v>0</v>
      </c>
    </row>
    <row r="50" spans="1:12" x14ac:dyDescent="0.25">
      <c r="A50">
        <v>2</v>
      </c>
      <c r="B50" t="s">
        <v>17</v>
      </c>
      <c r="C50" t="s">
        <v>37</v>
      </c>
      <c r="D50" t="s">
        <v>96</v>
      </c>
      <c r="E50">
        <v>1.2841941223656499</v>
      </c>
      <c r="F50">
        <v>2.3308822790227651E-2</v>
      </c>
      <c r="G50" t="b">
        <v>0</v>
      </c>
      <c r="H50" t="b">
        <v>0</v>
      </c>
      <c r="I50">
        <v>0.49999999999999978</v>
      </c>
      <c r="J50">
        <f t="shared" si="10"/>
        <v>2.3308822790227664E-2</v>
      </c>
      <c r="K50" t="b">
        <f t="shared" si="11"/>
        <v>1</v>
      </c>
      <c r="L50" s="24">
        <f t="shared" si="12"/>
        <v>0</v>
      </c>
    </row>
    <row r="51" spans="1:12" x14ac:dyDescent="0.25">
      <c r="A51">
        <v>2</v>
      </c>
      <c r="B51" t="s">
        <v>15</v>
      </c>
      <c r="C51" t="s">
        <v>35</v>
      </c>
      <c r="D51" t="s">
        <v>94</v>
      </c>
      <c r="E51">
        <v>1.5860004740767131</v>
      </c>
      <c r="F51">
        <v>1.206936830899083E-2</v>
      </c>
      <c r="G51" t="b">
        <v>0</v>
      </c>
      <c r="H51" t="b">
        <v>0</v>
      </c>
      <c r="I51">
        <v>0.21898049067636741</v>
      </c>
      <c r="J51">
        <f t="shared" si="10"/>
        <v>1.2069368308990814E-2</v>
      </c>
      <c r="K51" t="b">
        <f t="shared" si="11"/>
        <v>1</v>
      </c>
      <c r="L51" s="24">
        <f t="shared" si="12"/>
        <v>-1.5612511283791264E-17</v>
      </c>
    </row>
    <row r="52" spans="1:12" x14ac:dyDescent="0.25">
      <c r="A52">
        <v>2</v>
      </c>
      <c r="B52" t="s">
        <v>8</v>
      </c>
      <c r="C52" t="s">
        <v>28</v>
      </c>
      <c r="D52" t="s">
        <v>95</v>
      </c>
      <c r="E52">
        <v>1.5860004740767131</v>
      </c>
      <c r="F52">
        <v>1.0093836026395089E-2</v>
      </c>
      <c r="G52" t="b">
        <v>0</v>
      </c>
      <c r="H52" t="b">
        <v>0</v>
      </c>
      <c r="I52">
        <v>0.16547932819962241</v>
      </c>
      <c r="J52">
        <f t="shared" si="10"/>
        <v>1.0093836026395079E-2</v>
      </c>
      <c r="K52" t="b">
        <f t="shared" si="11"/>
        <v>1</v>
      </c>
      <c r="L52" s="24">
        <f t="shared" si="12"/>
        <v>0</v>
      </c>
    </row>
    <row r="53" spans="1:12" x14ac:dyDescent="0.25">
      <c r="A53">
        <v>2</v>
      </c>
      <c r="B53" t="s">
        <v>11</v>
      </c>
      <c r="C53" t="s">
        <v>31</v>
      </c>
      <c r="D53" t="s">
        <v>96</v>
      </c>
      <c r="E53">
        <v>1.2841941223656499</v>
      </c>
      <c r="F53">
        <v>1.560179727961568E-2</v>
      </c>
      <c r="G53" t="b">
        <v>0</v>
      </c>
      <c r="H53" t="b">
        <v>0</v>
      </c>
      <c r="I53">
        <v>0.49999999999999978</v>
      </c>
      <c r="J53">
        <f t="shared" si="10"/>
        <v>1.5601797279615685E-2</v>
      </c>
      <c r="K53" t="b">
        <f t="shared" si="11"/>
        <v>1</v>
      </c>
      <c r="L53" s="24">
        <f t="shared" si="12"/>
        <v>0</v>
      </c>
    </row>
    <row r="54" spans="1:12" x14ac:dyDescent="0.25">
      <c r="A54">
        <v>2</v>
      </c>
      <c r="B54" t="s">
        <v>21</v>
      </c>
      <c r="C54" t="s">
        <v>41</v>
      </c>
      <c r="D54" t="s">
        <v>95</v>
      </c>
      <c r="E54">
        <v>1.5860004740767131</v>
      </c>
      <c r="F54">
        <v>3.9870246092708686E-3</v>
      </c>
      <c r="G54" t="b">
        <v>0</v>
      </c>
      <c r="H54" t="b">
        <v>0</v>
      </c>
      <c r="I54">
        <v>0.16547932819962241</v>
      </c>
      <c r="J54">
        <f t="shared" si="10"/>
        <v>3.9870246092708643E-3</v>
      </c>
      <c r="K54" t="b">
        <f t="shared" si="11"/>
        <v>0</v>
      </c>
      <c r="L54" s="24">
        <f t="shared" si="12"/>
        <v>0</v>
      </c>
    </row>
    <row r="55" spans="1:12" x14ac:dyDescent="0.25">
      <c r="A55">
        <v>3</v>
      </c>
      <c r="B55" t="s">
        <v>10</v>
      </c>
      <c r="C55" t="s">
        <v>30</v>
      </c>
      <c r="D55" t="s">
        <v>94</v>
      </c>
      <c r="E55">
        <v>0.35974547492060688</v>
      </c>
      <c r="F55">
        <v>0.1</v>
      </c>
      <c r="G55" t="b">
        <v>1</v>
      </c>
      <c r="H55" t="b">
        <v>1</v>
      </c>
      <c r="I55">
        <v>0.22900423669650949</v>
      </c>
      <c r="J55">
        <f>_xlfn.XLOOKUP(C55,$C$11:$C$30,$N$11:$N$30)</f>
        <v>0.1</v>
      </c>
    </row>
    <row r="56" spans="1:12" x14ac:dyDescent="0.25">
      <c r="A56">
        <v>3</v>
      </c>
      <c r="B56" t="s">
        <v>23</v>
      </c>
      <c r="C56" t="s">
        <v>43</v>
      </c>
      <c r="D56" t="s">
        <v>95</v>
      </c>
      <c r="E56">
        <v>0.9519133023521289</v>
      </c>
      <c r="F56">
        <v>0.1</v>
      </c>
      <c r="G56" t="b">
        <v>1</v>
      </c>
      <c r="H56" t="b">
        <v>1</v>
      </c>
      <c r="I56">
        <v>0.17099576330349031</v>
      </c>
      <c r="J56">
        <f t="shared" ref="J56:J74" si="13">_xlfn.XLOOKUP(C56,$C$11:$C$30,$N$11:$N$30)</f>
        <v>0.1</v>
      </c>
    </row>
    <row r="57" spans="1:12" x14ac:dyDescent="0.25">
      <c r="A57">
        <v>3</v>
      </c>
      <c r="B57" t="s">
        <v>13</v>
      </c>
      <c r="C57" t="s">
        <v>33</v>
      </c>
      <c r="D57" t="s">
        <v>96</v>
      </c>
      <c r="E57">
        <v>0.83596539368164113</v>
      </c>
      <c r="F57">
        <v>9.2610633986066837E-2</v>
      </c>
      <c r="G57" t="b">
        <v>1</v>
      </c>
      <c r="H57" t="b">
        <v>0</v>
      </c>
      <c r="I57">
        <v>0.50000000000000011</v>
      </c>
      <c r="J57">
        <f t="shared" si="13"/>
        <v>9.8592001962568274E-2</v>
      </c>
    </row>
    <row r="58" spans="1:12" x14ac:dyDescent="0.25">
      <c r="A58">
        <v>3</v>
      </c>
      <c r="B58" t="s">
        <v>27</v>
      </c>
      <c r="C58" t="s">
        <v>47</v>
      </c>
      <c r="D58" t="s">
        <v>96</v>
      </c>
      <c r="E58">
        <v>1.2304682975349519</v>
      </c>
      <c r="F58">
        <v>9.9727190716799918E-2</v>
      </c>
      <c r="G58" t="b">
        <v>1</v>
      </c>
      <c r="H58" t="b">
        <v>0</v>
      </c>
      <c r="I58">
        <v>0.50000000000000011</v>
      </c>
      <c r="J58">
        <f t="shared" si="13"/>
        <v>0.1</v>
      </c>
    </row>
    <row r="59" spans="1:12" x14ac:dyDescent="0.25">
      <c r="A59">
        <v>3</v>
      </c>
      <c r="B59" t="s">
        <v>22</v>
      </c>
      <c r="C59" t="s">
        <v>42</v>
      </c>
      <c r="D59" t="s">
        <v>95</v>
      </c>
      <c r="E59">
        <v>1.719616210989517</v>
      </c>
      <c r="F59">
        <v>3.2556775430938323E-2</v>
      </c>
      <c r="G59" t="b">
        <v>0</v>
      </c>
      <c r="H59" t="b">
        <v>0</v>
      </c>
      <c r="I59">
        <v>0.17099576330349031</v>
      </c>
      <c r="J59">
        <f t="shared" si="13"/>
        <v>3.1879212111980977E-2</v>
      </c>
    </row>
    <row r="60" spans="1:12" x14ac:dyDescent="0.25">
      <c r="A60">
        <v>3</v>
      </c>
      <c r="B60" t="s">
        <v>14</v>
      </c>
      <c r="C60" t="s">
        <v>34</v>
      </c>
      <c r="D60" t="s">
        <v>96</v>
      </c>
      <c r="E60">
        <v>1.170356610631375</v>
      </c>
      <c r="F60">
        <v>9.9727190716799904E-2</v>
      </c>
      <c r="G60" t="b">
        <v>1</v>
      </c>
      <c r="H60" t="b">
        <v>0</v>
      </c>
      <c r="I60">
        <v>0.50000000000000011</v>
      </c>
      <c r="J60">
        <f t="shared" si="13"/>
        <v>0.1</v>
      </c>
    </row>
    <row r="61" spans="1:12" x14ac:dyDescent="0.25">
      <c r="A61">
        <v>3</v>
      </c>
      <c r="B61" t="s">
        <v>24</v>
      </c>
      <c r="C61" t="s">
        <v>44</v>
      </c>
      <c r="D61" t="s">
        <v>97</v>
      </c>
      <c r="E61">
        <v>1.372683042944552</v>
      </c>
      <c r="F61">
        <v>0.1</v>
      </c>
      <c r="G61" t="b">
        <v>1</v>
      </c>
      <c r="H61" t="b">
        <v>0</v>
      </c>
      <c r="I61">
        <v>0.1</v>
      </c>
      <c r="J61">
        <f t="shared" si="13"/>
        <v>0.1</v>
      </c>
    </row>
    <row r="62" spans="1:12" x14ac:dyDescent="0.25">
      <c r="A62">
        <v>3</v>
      </c>
      <c r="B62" t="s">
        <v>19</v>
      </c>
      <c r="C62" t="s">
        <v>39</v>
      </c>
      <c r="D62" t="s">
        <v>96</v>
      </c>
      <c r="E62">
        <v>1.3790886572325241</v>
      </c>
      <c r="F62">
        <v>6.668874126897939E-2</v>
      </c>
      <c r="G62" t="b">
        <v>0</v>
      </c>
      <c r="H62" t="b">
        <v>0</v>
      </c>
      <c r="I62">
        <v>0.50000000000000011</v>
      </c>
      <c r="J62">
        <f t="shared" si="13"/>
        <v>6.5930356636196299E-2</v>
      </c>
    </row>
    <row r="63" spans="1:12" x14ac:dyDescent="0.25">
      <c r="A63">
        <v>3</v>
      </c>
      <c r="B63" t="s">
        <v>20</v>
      </c>
      <c r="C63" t="s">
        <v>40</v>
      </c>
      <c r="D63" t="s">
        <v>94</v>
      </c>
      <c r="E63">
        <v>1.719616210989517</v>
      </c>
      <c r="F63">
        <v>6.2508292181280761E-2</v>
      </c>
      <c r="G63" t="b">
        <v>0</v>
      </c>
      <c r="H63" t="b">
        <v>0</v>
      </c>
      <c r="I63">
        <v>0.22900423669650949</v>
      </c>
      <c r="J63">
        <f t="shared" si="13"/>
        <v>6.1207385523539243E-2</v>
      </c>
    </row>
    <row r="64" spans="1:12" x14ac:dyDescent="0.25">
      <c r="A64">
        <v>3</v>
      </c>
      <c r="B64" t="s">
        <v>25</v>
      </c>
      <c r="C64" t="s">
        <v>45</v>
      </c>
      <c r="D64" t="s">
        <v>96</v>
      </c>
      <c r="E64">
        <v>1.3790886572325241</v>
      </c>
      <c r="F64">
        <v>4.6628422191583863E-2</v>
      </c>
      <c r="G64" t="b">
        <v>0</v>
      </c>
      <c r="H64" t="b">
        <v>0</v>
      </c>
      <c r="I64">
        <v>0.50000000000000011</v>
      </c>
      <c r="J64">
        <f t="shared" si="13"/>
        <v>4.6098163587685641E-2</v>
      </c>
    </row>
    <row r="65" spans="1:10" x14ac:dyDescent="0.25">
      <c r="A65">
        <v>3</v>
      </c>
      <c r="B65" t="s">
        <v>16</v>
      </c>
      <c r="C65" t="s">
        <v>36</v>
      </c>
      <c r="D65" t="s">
        <v>96</v>
      </c>
      <c r="E65">
        <v>1.3790886572325241</v>
      </c>
      <c r="F65">
        <v>3.7820029071415781E-2</v>
      </c>
      <c r="G65" t="b">
        <v>0</v>
      </c>
      <c r="H65" t="b">
        <v>0</v>
      </c>
      <c r="I65">
        <v>0.50000000000000011</v>
      </c>
      <c r="J65">
        <f t="shared" si="13"/>
        <v>3.7389939549355593E-2</v>
      </c>
    </row>
    <row r="66" spans="1:10" x14ac:dyDescent="0.25">
      <c r="A66">
        <v>3</v>
      </c>
      <c r="B66" t="s">
        <v>9</v>
      </c>
      <c r="C66" t="s">
        <v>29</v>
      </c>
      <c r="D66" t="s">
        <v>94</v>
      </c>
      <c r="E66">
        <v>1.719616210989517</v>
      </c>
      <c r="F66">
        <v>3.5045632727258962E-2</v>
      </c>
      <c r="G66" t="b">
        <v>0</v>
      </c>
      <c r="H66" t="b">
        <v>0</v>
      </c>
      <c r="I66">
        <v>0.22900423669650949</v>
      </c>
      <c r="J66">
        <f t="shared" si="13"/>
        <v>3.4316271944093799E-2</v>
      </c>
    </row>
    <row r="67" spans="1:10" x14ac:dyDescent="0.25">
      <c r="A67">
        <v>3</v>
      </c>
      <c r="B67" t="s">
        <v>18</v>
      </c>
      <c r="C67" t="s">
        <v>38</v>
      </c>
      <c r="D67" t="s">
        <v>95</v>
      </c>
      <c r="E67">
        <v>1.719616210989517</v>
      </c>
      <c r="F67">
        <v>2.3171857370670269E-2</v>
      </c>
      <c r="G67" t="b">
        <v>0</v>
      </c>
      <c r="H67" t="b">
        <v>0</v>
      </c>
      <c r="I67">
        <v>0.17099576330349031</v>
      </c>
      <c r="J67">
        <f t="shared" si="13"/>
        <v>2.2689610576303854E-2</v>
      </c>
    </row>
    <row r="68" spans="1:10" x14ac:dyDescent="0.25">
      <c r="A68">
        <v>3</v>
      </c>
      <c r="B68" t="s">
        <v>26</v>
      </c>
      <c r="C68" t="s">
        <v>46</v>
      </c>
      <c r="D68" t="s">
        <v>94</v>
      </c>
      <c r="E68">
        <v>1.719616210989517</v>
      </c>
      <c r="F68">
        <v>1.836413574970211E-2</v>
      </c>
      <c r="G68" t="b">
        <v>0</v>
      </c>
      <c r="H68" t="b">
        <v>0</v>
      </c>
      <c r="I68">
        <v>0.22900423669650949</v>
      </c>
      <c r="J68">
        <f t="shared" si="13"/>
        <v>1.7981946033317396E-2</v>
      </c>
    </row>
    <row r="69" spans="1:10" x14ac:dyDescent="0.25">
      <c r="A69">
        <v>3</v>
      </c>
      <c r="B69" t="s">
        <v>12</v>
      </c>
      <c r="C69" t="s">
        <v>32</v>
      </c>
      <c r="D69" t="s">
        <v>96</v>
      </c>
      <c r="E69">
        <v>1.3790886572325241</v>
      </c>
      <c r="F69">
        <v>1.5011901699195749E-2</v>
      </c>
      <c r="G69" t="b">
        <v>0</v>
      </c>
      <c r="H69" t="b">
        <v>0</v>
      </c>
      <c r="I69">
        <v>0.50000000000000011</v>
      </c>
      <c r="J69">
        <f t="shared" si="13"/>
        <v>1.4841186292953466E-2</v>
      </c>
    </row>
    <row r="70" spans="1:10" x14ac:dyDescent="0.25">
      <c r="A70">
        <v>3</v>
      </c>
      <c r="B70" t="s">
        <v>17</v>
      </c>
      <c r="C70" t="s">
        <v>37</v>
      </c>
      <c r="D70" t="s">
        <v>96</v>
      </c>
      <c r="E70">
        <v>1.3790886572325241</v>
      </c>
      <c r="F70">
        <v>2.5031210284805549E-2</v>
      </c>
      <c r="G70" t="b">
        <v>0</v>
      </c>
      <c r="H70" t="b">
        <v>0</v>
      </c>
      <c r="I70">
        <v>0.50000000000000011</v>
      </c>
      <c r="J70">
        <f t="shared" si="13"/>
        <v>2.4746555261202816E-2</v>
      </c>
    </row>
    <row r="71" spans="1:10" x14ac:dyDescent="0.25">
      <c r="A71">
        <v>3</v>
      </c>
      <c r="B71" t="s">
        <v>15</v>
      </c>
      <c r="C71" t="s">
        <v>35</v>
      </c>
      <c r="D71" t="s">
        <v>94</v>
      </c>
      <c r="E71">
        <v>1.719616210989517</v>
      </c>
      <c r="F71">
        <v>1.3086176038267609E-2</v>
      </c>
      <c r="G71" t="b">
        <v>0</v>
      </c>
      <c r="H71" t="b">
        <v>0</v>
      </c>
      <c r="I71">
        <v>0.22900423669650949</v>
      </c>
      <c r="J71">
        <f t="shared" si="13"/>
        <v>1.2813829875246735E-2</v>
      </c>
    </row>
    <row r="72" spans="1:10" x14ac:dyDescent="0.25">
      <c r="A72">
        <v>3</v>
      </c>
      <c r="B72" t="s">
        <v>8</v>
      </c>
      <c r="C72" t="s">
        <v>28</v>
      </c>
      <c r="D72" t="s">
        <v>95</v>
      </c>
      <c r="E72">
        <v>1.719616210989517</v>
      </c>
      <c r="F72">
        <v>1.094421114354562E-2</v>
      </c>
      <c r="G72" t="b">
        <v>0</v>
      </c>
      <c r="H72" t="b">
        <v>0</v>
      </c>
      <c r="I72">
        <v>0.17099576330349031</v>
      </c>
      <c r="J72">
        <f t="shared" si="13"/>
        <v>1.0716443008414409E-2</v>
      </c>
    </row>
    <row r="73" spans="1:10" x14ac:dyDescent="0.25">
      <c r="A73">
        <v>3</v>
      </c>
      <c r="B73" t="s">
        <v>11</v>
      </c>
      <c r="C73" t="s">
        <v>31</v>
      </c>
      <c r="D73" t="s">
        <v>96</v>
      </c>
      <c r="E73">
        <v>1.3790886572325241</v>
      </c>
      <c r="F73">
        <v>1.6754680064353149E-2</v>
      </c>
      <c r="G73" t="b">
        <v>0</v>
      </c>
      <c r="H73" t="b">
        <v>0</v>
      </c>
      <c r="I73">
        <v>0.50000000000000011</v>
      </c>
      <c r="J73">
        <f t="shared" si="13"/>
        <v>1.656414577556288E-2</v>
      </c>
    </row>
    <row r="74" spans="1:10" x14ac:dyDescent="0.25">
      <c r="A74">
        <v>3</v>
      </c>
      <c r="B74" t="s">
        <v>21</v>
      </c>
      <c r="C74" t="s">
        <v>41</v>
      </c>
      <c r="D74" t="s">
        <v>95</v>
      </c>
      <c r="E74">
        <v>1.719616210989517</v>
      </c>
      <c r="F74">
        <v>4.3229193583360229E-3</v>
      </c>
      <c r="G74" t="b">
        <v>0</v>
      </c>
      <c r="H74" t="b">
        <v>0</v>
      </c>
      <c r="I74">
        <v>0.17099576330349031</v>
      </c>
      <c r="J74">
        <f t="shared" si="13"/>
        <v>4.2329518615784765E-3</v>
      </c>
    </row>
    <row r="75" spans="1:10" x14ac:dyDescent="0.25">
      <c r="A75">
        <v>4</v>
      </c>
      <c r="B75" t="s">
        <v>10</v>
      </c>
      <c r="C75" t="s">
        <v>30</v>
      </c>
      <c r="D75" t="s">
        <v>94</v>
      </c>
      <c r="E75">
        <v>0.35974547492060688</v>
      </c>
      <c r="F75">
        <v>0.1</v>
      </c>
      <c r="G75" t="b">
        <v>1</v>
      </c>
      <c r="H75" t="b">
        <v>1</v>
      </c>
      <c r="I75">
        <v>0.22900423669650949</v>
      </c>
    </row>
    <row r="76" spans="1:10" x14ac:dyDescent="0.25">
      <c r="A76">
        <v>4</v>
      </c>
      <c r="B76" t="s">
        <v>23</v>
      </c>
      <c r="C76" t="s">
        <v>43</v>
      </c>
      <c r="D76" t="s">
        <v>95</v>
      </c>
      <c r="E76">
        <v>0.9519133023521289</v>
      </c>
      <c r="F76">
        <v>0.1</v>
      </c>
      <c r="G76" t="b">
        <v>1</v>
      </c>
      <c r="H76" t="b">
        <v>1</v>
      </c>
      <c r="I76">
        <v>0.17099576330349031</v>
      </c>
    </row>
    <row r="77" spans="1:10" x14ac:dyDescent="0.25">
      <c r="A77">
        <v>4</v>
      </c>
      <c r="B77" t="s">
        <v>13</v>
      </c>
      <c r="C77" t="s">
        <v>33</v>
      </c>
      <c r="D77" t="s">
        <v>96</v>
      </c>
      <c r="E77">
        <v>0.83596539368164091</v>
      </c>
      <c r="F77">
        <v>9.2610633986066795E-2</v>
      </c>
      <c r="G77" t="b">
        <v>1</v>
      </c>
      <c r="H77" t="b">
        <v>0</v>
      </c>
      <c r="I77">
        <v>0.5</v>
      </c>
    </row>
    <row r="78" spans="1:10" x14ac:dyDescent="0.25">
      <c r="A78">
        <v>4</v>
      </c>
      <c r="B78" t="s">
        <v>27</v>
      </c>
      <c r="C78" t="s">
        <v>47</v>
      </c>
      <c r="D78" t="s">
        <v>96</v>
      </c>
      <c r="E78">
        <v>1.2304682975349519</v>
      </c>
      <c r="F78">
        <v>9.9727190716799904E-2</v>
      </c>
      <c r="G78" t="b">
        <v>1</v>
      </c>
      <c r="H78" t="b">
        <v>0</v>
      </c>
      <c r="I78">
        <v>0.5</v>
      </c>
    </row>
    <row r="79" spans="1:10" x14ac:dyDescent="0.25">
      <c r="A79">
        <v>4</v>
      </c>
      <c r="B79" t="s">
        <v>22</v>
      </c>
      <c r="C79" t="s">
        <v>42</v>
      </c>
      <c r="D79" t="s">
        <v>95</v>
      </c>
      <c r="E79">
        <v>1.7196162109895179</v>
      </c>
      <c r="F79">
        <v>3.2556775430938337E-2</v>
      </c>
      <c r="G79" t="b">
        <v>0</v>
      </c>
      <c r="H79" t="b">
        <v>0</v>
      </c>
      <c r="I79">
        <v>0.17099576330349031</v>
      </c>
    </row>
    <row r="80" spans="1:10" x14ac:dyDescent="0.25">
      <c r="A80">
        <v>4</v>
      </c>
      <c r="B80" t="s">
        <v>14</v>
      </c>
      <c r="C80" t="s">
        <v>34</v>
      </c>
      <c r="D80" t="s">
        <v>96</v>
      </c>
      <c r="E80">
        <v>1.1703566106313741</v>
      </c>
      <c r="F80">
        <v>9.9727190716799891E-2</v>
      </c>
      <c r="G80" t="b">
        <v>1</v>
      </c>
      <c r="H80" t="b">
        <v>0</v>
      </c>
      <c r="I80">
        <v>0.5</v>
      </c>
    </row>
    <row r="81" spans="1:9" x14ac:dyDescent="0.25">
      <c r="A81">
        <v>4</v>
      </c>
      <c r="B81" t="s">
        <v>24</v>
      </c>
      <c r="C81" t="s">
        <v>44</v>
      </c>
      <c r="D81" t="s">
        <v>97</v>
      </c>
      <c r="E81">
        <v>1.372683042944552</v>
      </c>
      <c r="F81">
        <v>0.1</v>
      </c>
      <c r="G81" t="b">
        <v>1</v>
      </c>
      <c r="H81" t="b">
        <v>0</v>
      </c>
      <c r="I81">
        <v>0.1</v>
      </c>
    </row>
    <row r="82" spans="1:9" x14ac:dyDescent="0.25">
      <c r="A82">
        <v>4</v>
      </c>
      <c r="B82" t="s">
        <v>19</v>
      </c>
      <c r="C82" t="s">
        <v>39</v>
      </c>
      <c r="D82" t="s">
        <v>96</v>
      </c>
      <c r="E82">
        <v>1.3790886572325241</v>
      </c>
      <c r="F82">
        <v>6.6688741268979376E-2</v>
      </c>
      <c r="G82" t="b">
        <v>0</v>
      </c>
      <c r="H82" t="b">
        <v>0</v>
      </c>
      <c r="I82">
        <v>0.5</v>
      </c>
    </row>
    <row r="83" spans="1:9" x14ac:dyDescent="0.25">
      <c r="A83">
        <v>4</v>
      </c>
      <c r="B83" t="s">
        <v>20</v>
      </c>
      <c r="C83" t="s">
        <v>40</v>
      </c>
      <c r="D83" t="s">
        <v>94</v>
      </c>
      <c r="E83">
        <v>1.7196162109895179</v>
      </c>
      <c r="F83">
        <v>6.2508292181280803E-2</v>
      </c>
      <c r="G83" t="b">
        <v>0</v>
      </c>
      <c r="H83" t="b">
        <v>0</v>
      </c>
      <c r="I83">
        <v>0.22900423669650949</v>
      </c>
    </row>
    <row r="84" spans="1:9" x14ac:dyDescent="0.25">
      <c r="A84">
        <v>4</v>
      </c>
      <c r="B84" t="s">
        <v>25</v>
      </c>
      <c r="C84" t="s">
        <v>45</v>
      </c>
      <c r="D84" t="s">
        <v>96</v>
      </c>
      <c r="E84">
        <v>1.3790886572325241</v>
      </c>
      <c r="F84">
        <v>4.6628422191583863E-2</v>
      </c>
      <c r="G84" t="b">
        <v>0</v>
      </c>
      <c r="H84" t="b">
        <v>0</v>
      </c>
      <c r="I84">
        <v>0.5</v>
      </c>
    </row>
    <row r="85" spans="1:9" x14ac:dyDescent="0.25">
      <c r="A85">
        <v>4</v>
      </c>
      <c r="B85" t="s">
        <v>16</v>
      </c>
      <c r="C85" t="s">
        <v>36</v>
      </c>
      <c r="D85" t="s">
        <v>96</v>
      </c>
      <c r="E85">
        <v>1.3790886572325241</v>
      </c>
      <c r="F85">
        <v>3.7820029071415767E-2</v>
      </c>
      <c r="G85" t="b">
        <v>0</v>
      </c>
      <c r="H85" t="b">
        <v>0</v>
      </c>
      <c r="I85">
        <v>0.5</v>
      </c>
    </row>
    <row r="86" spans="1:9" x14ac:dyDescent="0.25">
      <c r="A86">
        <v>4</v>
      </c>
      <c r="B86" t="s">
        <v>9</v>
      </c>
      <c r="C86" t="s">
        <v>29</v>
      </c>
      <c r="D86" t="s">
        <v>94</v>
      </c>
      <c r="E86">
        <v>1.7196162109895179</v>
      </c>
      <c r="F86">
        <v>3.5045632727258982E-2</v>
      </c>
      <c r="G86" t="b">
        <v>0</v>
      </c>
      <c r="H86" t="b">
        <v>0</v>
      </c>
      <c r="I86">
        <v>0.22900423669650949</v>
      </c>
    </row>
    <row r="87" spans="1:9" x14ac:dyDescent="0.25">
      <c r="A87">
        <v>4</v>
      </c>
      <c r="B87" t="s">
        <v>18</v>
      </c>
      <c r="C87" t="s">
        <v>38</v>
      </c>
      <c r="D87" t="s">
        <v>95</v>
      </c>
      <c r="E87">
        <v>1.7196162109895179</v>
      </c>
      <c r="F87">
        <v>2.317185737067029E-2</v>
      </c>
      <c r="G87" t="b">
        <v>0</v>
      </c>
      <c r="H87" t="b">
        <v>0</v>
      </c>
      <c r="I87">
        <v>0.17099576330349031</v>
      </c>
    </row>
    <row r="88" spans="1:9" x14ac:dyDescent="0.25">
      <c r="A88">
        <v>4</v>
      </c>
      <c r="B88" t="s">
        <v>26</v>
      </c>
      <c r="C88" t="s">
        <v>46</v>
      </c>
      <c r="D88" t="s">
        <v>94</v>
      </c>
      <c r="E88">
        <v>1.7196162109895179</v>
      </c>
      <c r="F88">
        <v>1.836413574970212E-2</v>
      </c>
      <c r="G88" t="b">
        <v>0</v>
      </c>
      <c r="H88" t="b">
        <v>0</v>
      </c>
      <c r="I88">
        <v>0.22900423669650949</v>
      </c>
    </row>
    <row r="89" spans="1:9" x14ac:dyDescent="0.25">
      <c r="A89">
        <v>4</v>
      </c>
      <c r="B89" t="s">
        <v>12</v>
      </c>
      <c r="C89" t="s">
        <v>32</v>
      </c>
      <c r="D89" t="s">
        <v>96</v>
      </c>
      <c r="E89">
        <v>1.3790886572325241</v>
      </c>
      <c r="F89">
        <v>1.5011901699195749E-2</v>
      </c>
      <c r="G89" t="b">
        <v>0</v>
      </c>
      <c r="H89" t="b">
        <v>0</v>
      </c>
      <c r="I89">
        <v>0.5</v>
      </c>
    </row>
    <row r="90" spans="1:9" x14ac:dyDescent="0.25">
      <c r="A90">
        <v>4</v>
      </c>
      <c r="B90" t="s">
        <v>17</v>
      </c>
      <c r="C90" t="s">
        <v>37</v>
      </c>
      <c r="D90" t="s">
        <v>96</v>
      </c>
      <c r="E90">
        <v>1.3790886572325241</v>
      </c>
      <c r="F90">
        <v>2.5031210284805549E-2</v>
      </c>
      <c r="G90" t="b">
        <v>0</v>
      </c>
      <c r="H90" t="b">
        <v>0</v>
      </c>
      <c r="I90">
        <v>0.5</v>
      </c>
    </row>
    <row r="91" spans="1:9" x14ac:dyDescent="0.25">
      <c r="A91">
        <v>4</v>
      </c>
      <c r="B91" t="s">
        <v>15</v>
      </c>
      <c r="C91" t="s">
        <v>35</v>
      </c>
      <c r="D91" t="s">
        <v>94</v>
      </c>
      <c r="E91">
        <v>1.7196162109895179</v>
      </c>
      <c r="F91">
        <v>1.308617603826762E-2</v>
      </c>
      <c r="G91" t="b">
        <v>0</v>
      </c>
      <c r="H91" t="b">
        <v>0</v>
      </c>
      <c r="I91">
        <v>0.22900423669650949</v>
      </c>
    </row>
    <row r="92" spans="1:9" x14ac:dyDescent="0.25">
      <c r="A92">
        <v>4</v>
      </c>
      <c r="B92" t="s">
        <v>8</v>
      </c>
      <c r="C92" t="s">
        <v>28</v>
      </c>
      <c r="D92" t="s">
        <v>95</v>
      </c>
      <c r="E92">
        <v>1.7196162109895179</v>
      </c>
      <c r="F92">
        <v>1.0944211143545631E-2</v>
      </c>
      <c r="G92" t="b">
        <v>0</v>
      </c>
      <c r="H92" t="b">
        <v>0</v>
      </c>
      <c r="I92">
        <v>0.17099576330349031</v>
      </c>
    </row>
    <row r="93" spans="1:9" x14ac:dyDescent="0.25">
      <c r="A93">
        <v>4</v>
      </c>
      <c r="B93" t="s">
        <v>11</v>
      </c>
      <c r="C93" t="s">
        <v>31</v>
      </c>
      <c r="D93" t="s">
        <v>96</v>
      </c>
      <c r="E93">
        <v>1.3790886572325241</v>
      </c>
      <c r="F93">
        <v>1.6754680064353138E-2</v>
      </c>
      <c r="G93" t="b">
        <v>0</v>
      </c>
      <c r="H93" t="b">
        <v>0</v>
      </c>
      <c r="I93">
        <v>0.5</v>
      </c>
    </row>
    <row r="94" spans="1:9" x14ac:dyDescent="0.25">
      <c r="A94">
        <v>4</v>
      </c>
      <c r="B94" t="s">
        <v>21</v>
      </c>
      <c r="C94" t="s">
        <v>41</v>
      </c>
      <c r="D94" t="s">
        <v>95</v>
      </c>
      <c r="E94">
        <v>1.7196162109895179</v>
      </c>
      <c r="F94">
        <v>4.3229193583360246E-3</v>
      </c>
      <c r="G94" t="b">
        <v>0</v>
      </c>
      <c r="H94" t="b">
        <v>0</v>
      </c>
      <c r="I94">
        <v>0.17099576330349031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72</v>
      </c>
      <c r="C1" s="1" t="s">
        <v>110</v>
      </c>
      <c r="D1" s="1" t="s">
        <v>111</v>
      </c>
    </row>
    <row r="2" spans="1:4" x14ac:dyDescent="0.25">
      <c r="A2" t="s">
        <v>94</v>
      </c>
      <c r="B2">
        <v>0.2290042366965096</v>
      </c>
      <c r="C2">
        <v>5</v>
      </c>
      <c r="D2" t="b">
        <v>1</v>
      </c>
    </row>
    <row r="3" spans="1:4" x14ac:dyDescent="0.25">
      <c r="A3" t="s">
        <v>96</v>
      </c>
      <c r="B3">
        <v>0.50000000000000011</v>
      </c>
      <c r="C3">
        <v>9</v>
      </c>
      <c r="D3" t="b">
        <v>0</v>
      </c>
    </row>
    <row r="4" spans="1:4" x14ac:dyDescent="0.25">
      <c r="A4" t="s">
        <v>95</v>
      </c>
      <c r="B4">
        <v>0.17099576330349031</v>
      </c>
      <c r="C4">
        <v>5</v>
      </c>
      <c r="D4" t="b">
        <v>1</v>
      </c>
    </row>
    <row r="5" spans="1:4" x14ac:dyDescent="0.25">
      <c r="A5" t="s">
        <v>97</v>
      </c>
      <c r="B5">
        <v>0.1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112</v>
      </c>
    </row>
    <row r="2" spans="1:1" x14ac:dyDescent="0.25">
      <c r="A2">
        <v>1313819780955.0161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2025-12-16T15:00:49Z</dcterms:created>
  <dcterms:modified xsi:type="dcterms:W3CDTF">2025-12-16T16:07:49Z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2025-12-16T15:01:14Z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a871fff6-6300-454b-9e13-2407256039f0</vt:lpwstr>
  </property>
  <property fmtid="{D5CDD505-2E9C-101B-9397-08002B2CF9AE}" pid="8" name="MSIP_Label_ac0b9ce6-6e99-42a1-af95-429494370cbc_ContentBits">
    <vt:lpwstr>2</vt:lpwstr>
  </property>
</Properties>
</file>