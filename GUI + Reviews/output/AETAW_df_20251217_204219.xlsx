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DC3F6E62B69D9079BAF2A5EA13CC082C68346ADD" xr6:coauthVersionLast="47" xr6:coauthVersionMax="47" xr10:uidLastSave="{85286BA6-909D-4A5C-A640-0B9588B7F2B0}"/>
  <bookViews>
    <workbookView xWindow="-120" yWindow="-120" windowWidth="29040" windowHeight="15720" activeTab="3" xr2:uid="{00000000-000D-0000-FFFF-FFFF00000000}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definedNames>
    <definedName name="_xlnm._FilterDatabase" localSheetId="3" hidden="1">Selection!$A$1:$AN$76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76" i="4" l="1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P2" i="4"/>
  <c r="AO76" i="4"/>
  <c r="AO75" i="4"/>
  <c r="AO74" i="4"/>
  <c r="AO73" i="4"/>
  <c r="AO72" i="4"/>
  <c r="AO71" i="4"/>
  <c r="AO70" i="4"/>
  <c r="AO69" i="4"/>
  <c r="AO68" i="4"/>
  <c r="AO67" i="4"/>
  <c r="AO66" i="4"/>
  <c r="AO65" i="4"/>
  <c r="AO64" i="4"/>
  <c r="AO63" i="4"/>
  <c r="AO62" i="4"/>
  <c r="AO61" i="4"/>
  <c r="AO60" i="4"/>
  <c r="AO59" i="4"/>
  <c r="AO58" i="4"/>
  <c r="AO57" i="4"/>
  <c r="AO56" i="4"/>
  <c r="AO55" i="4"/>
  <c r="AO54" i="4"/>
  <c r="AO53" i="4"/>
  <c r="AO52" i="4"/>
  <c r="AO51" i="4"/>
  <c r="AO50" i="4"/>
  <c r="AO49" i="4"/>
  <c r="AO48" i="4"/>
  <c r="AO47" i="4"/>
  <c r="AO46" i="4"/>
  <c r="AO45" i="4"/>
  <c r="AO44" i="4"/>
  <c r="AO43" i="4"/>
  <c r="AO42" i="4"/>
  <c r="AO41" i="4"/>
  <c r="AO40" i="4"/>
  <c r="AO39" i="4"/>
  <c r="AO38" i="4"/>
  <c r="AO37" i="4"/>
  <c r="AO36" i="4"/>
  <c r="AO35" i="4"/>
  <c r="AO34" i="4"/>
  <c r="AO33" i="4"/>
  <c r="AO32" i="4"/>
  <c r="AO31" i="4"/>
  <c r="AO30" i="4"/>
  <c r="AO29" i="4"/>
  <c r="AO28" i="4"/>
  <c r="AO27" i="4"/>
  <c r="AO26" i="4"/>
  <c r="AO25" i="4"/>
  <c r="AO24" i="4"/>
  <c r="AO23" i="4"/>
  <c r="AO22" i="4"/>
  <c r="AO21" i="4"/>
  <c r="AO20" i="4"/>
  <c r="AO19" i="4"/>
  <c r="AO18" i="4"/>
  <c r="AO17" i="4"/>
  <c r="AO16" i="4"/>
  <c r="AO15" i="4"/>
  <c r="AO14" i="4"/>
  <c r="AO13" i="4"/>
  <c r="AO12" i="4"/>
  <c r="AO11" i="4"/>
  <c r="AO10" i="4"/>
  <c r="AO9" i="4"/>
  <c r="AO8" i="4"/>
  <c r="AO7" i="4"/>
  <c r="AO6" i="4"/>
  <c r="AO5" i="4"/>
  <c r="AO4" i="4"/>
  <c r="AO3" i="4"/>
  <c r="AO2" i="4"/>
</calcChain>
</file>

<file path=xl/sharedStrings.xml><?xml version="1.0" encoding="utf-8"?>
<sst xmlns="http://schemas.openxmlformats.org/spreadsheetml/2006/main" count="883" uniqueCount="199">
  <si>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</si>
  <si>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</si>
  <si>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</si>
  <si>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</si>
  <si>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</si>
  <si>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</si>
  <si>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</si>
  <si>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</si>
  <si>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</si>
  <si>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</si>
  <si>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</si>
  <si>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</si>
  <si>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</si>
  <si>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</si>
  <si>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</si>
  <si>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</si>
  <si>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</si>
  <si>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</si>
  <si>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</si>
  <si>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</si>
  <si>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</si>
  <si>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</si>
  <si>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</si>
  <si>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</si>
  <si>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</si>
  <si>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</si>
  <si>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</si>
  <si>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</si>
  <si>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</si>
  <si>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</si>
  <si>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</si>
  <si>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</si>
  <si>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</si>
  <si>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</si>
  <si>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</si>
  <si>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</si>
  <si>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</si>
  <si>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</si>
  <si>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</si>
  <si>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</si>
  <si>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</si>
  <si>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</si>
  <si>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</si>
  <si>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</si>
  <si>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</si>
  <si>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</si>
  <si>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</si>
  <si>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</si>
  <si>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</si>
  <si>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</si>
  <si>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</si>
  <si>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</si>
  <si>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</si>
  <si>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</si>
  <si>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</si>
  <si>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</si>
  <si>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</si>
  <si>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</si>
  <si>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</si>
  <si>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</si>
  <si>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</si>
  <si>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</si>
  <si>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</si>
  <si>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</si>
  <si>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</si>
  <si>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</si>
  <si>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</si>
  <si>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</si>
  <si>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</si>
  <si>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</si>
  <si>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</si>
  <si>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</si>
  <si>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</si>
  <si>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</si>
  <si>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</si>
  <si>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</si>
  <si>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</si>
  <si>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</si>
  <si>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</si>
  <si>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</si>
  <si>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</si>
  <si>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</si>
  <si>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</si>
  <si>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</si>
  <si>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</si>
  <si>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</si>
  <si>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</si>
  <si>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</si>
  <si>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</si>
  <si>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</si>
  <si>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</si>
  <si>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</si>
  <si>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</si>
  <si>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</si>
  <si>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</si>
  <si>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</si>
  <si>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</si>
  <si>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</si>
  <si>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</si>
  <si>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</si>
  <si>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</si>
  <si>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</si>
  <si>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</si>
  <si>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</si>
  <si>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</si>
  <si>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</si>
  <si>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</si>
  <si>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</si>
  <si>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</si>
  <si>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</si>
  <si>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</si>
  <si>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</si>
  <si>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</si>
  <si>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</si>
  <si>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</si>
  <si>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</si>
  <si>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</si>
  <si>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</si>
  <si>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</si>
  <si>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</si>
  <si>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</si>
  <si>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</si>
  <si>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</si>
  <si>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</si>
  <si>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</si>
  <si>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</si>
  <si>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</si>
  <si>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</si>
  <si>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</si>
  <si>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</si>
  <si>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</si>
  <si>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</si>
  <si>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</si>
  <si>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</si>
  <si>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</si>
  <si>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</si>
  <si>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</si>
  <si>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</si>
  <si>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</si>
  <si>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</si>
  <si>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</si>
  <si>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</si>
  <si>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</si>
  <si>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</si>
  <si>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</si>
  <si>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</si>
  <si>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</si>
  <si>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</si>
  <si>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</si>
  <si>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</si>
  <si>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</si>
  <si>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</si>
  <si>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</si>
  <si>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</si>
  <si>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</si>
  <si>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</si>
  <si>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</si>
  <si>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</si>
  <si>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</si>
  <si>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</si>
  <si>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</si>
  <si>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</si>
  <si>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</si>
  <si>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</si>
  <si>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</si>
  <si>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</si>
  <si>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</si>
  <si>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</si>
  <si>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</si>
  <si>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</si>
  <si>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</si>
  <si>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</si>
  <si>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Step1_Iter1_Weight_After_Redist</t>
  </si>
  <si>
    <t>Step1_Iter1_Locked_at_9</t>
  </si>
  <si>
    <t>Step1_Iter2_Weight</t>
  </si>
  <si>
    <t>Step1_Iter2_Weight_After_Redist</t>
  </si>
  <si>
    <t>Step1_Iter2_Locked_at_9</t>
  </si>
  <si>
    <t>Step2_Iter1_Weight</t>
  </si>
  <si>
    <t>Step2_Iter1_Weight_After_Redist</t>
  </si>
  <si>
    <t>Step2_Iter1_Locked_at_4.5</t>
  </si>
  <si>
    <t>Step2_Iter2_Weight</t>
  </si>
  <si>
    <t>Step2_Iter2_Weight_After_Redist</t>
  </si>
  <si>
    <t>Step2_Iter2_Locked_at_4.5</t>
  </si>
  <si>
    <t>Step2_Iter3_Weight</t>
  </si>
  <si>
    <t>Step2_Iter3_Weight_After_Redist</t>
  </si>
  <si>
    <t>Step2_Iter3_Locked_at_4.5</t>
  </si>
  <si>
    <t>Step3_Iter1_Weight</t>
  </si>
  <si>
    <t>Step3_Iter1_Weight_After_Redist</t>
  </si>
  <si>
    <t>Step3_Iter1_Locked_at_9</t>
  </si>
  <si>
    <t>Step3_Iter2_Weight</t>
  </si>
  <si>
    <t>Step3_Iter2_Weight_After_Redist</t>
  </si>
  <si>
    <t>Step3_Iter2_Locked_at_9</t>
  </si>
  <si>
    <t>Final Weight</t>
  </si>
  <si>
    <t>Final Locked at 9%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</si>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</sst>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>
      <selection activeCell="F6" sqref="F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0.99999999999999967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0.99999999999999978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0.99999999999999978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0.99999999999999989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0.71022557929864205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0.99999999999999989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0.94532472593379346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0.99999999999999967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0.99999999999999978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0.99999999999999967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0.99999999999999978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0.99999999999999978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0.99999999999999989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0.99999999999999978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0.99999999999999989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0.99999999999999967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0.17288175786477841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0.99999999999999978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25196719</v>
      </c>
      <c r="E20">
        <v>0.85000000000000009</v>
      </c>
      <c r="F20">
        <v>0.99999999999999978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0.99999999999999978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66000000</v>
      </c>
      <c r="E22">
        <v>0.70000000000000007</v>
      </c>
      <c r="F22">
        <v>0.99999999999999978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0.99999999999999967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0.99999999999999978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0.99999999999999978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0.99999999999999978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0.99999999999999978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0.99999999999999978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66090377</v>
      </c>
      <c r="E29">
        <v>0.70000000000000007</v>
      </c>
      <c r="F29">
        <v>0.99999999999999978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0.99999999999999967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0.99999999999999978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0.99999999999999967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0.99999999999999967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0.99999999999999978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0.99999999999999967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0.99999999999999967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0.99999999999999978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65897071</v>
      </c>
      <c r="E38">
        <v>0.55000000000000004</v>
      </c>
      <c r="F38">
        <v>0.99999999999999978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0.99999999999999978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0.99999999999999989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0.99999999999999956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0.99999999999999978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0.99999999999999978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0.84056076060197549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0.99999999999999967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0.99999999999999956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0.99999999999999978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0.99999999999999978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0.99999999999999967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0.99999999999999989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0.99999999999999967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0.99999999999999978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0.99999999999999967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0.99999999999999978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0.99999999999999978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0.99999999999999967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2378947836</v>
      </c>
      <c r="E57">
        <v>0.55000000000000004</v>
      </c>
      <c r="F57">
        <v>0.44172707385679427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180869312</v>
      </c>
      <c r="E58">
        <v>0.55000000000000004</v>
      </c>
      <c r="F58">
        <v>0.99999999999999967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0.44884205827923429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0.99999999999999956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0.3279473460088802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29888612</v>
      </c>
      <c r="E62">
        <v>0.55000000000000004</v>
      </c>
      <c r="F62">
        <v>0.99999999999999989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0.99999999999999978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0.99999999999999967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0.99999999999999967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0.99999999999999967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0.99999999999999967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0.99999999999999978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0.99999999999999956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0.456063072316993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0.99999999999999978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0.99999999999999967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0.99999999999999989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1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0.99999999999999978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0.99999999999999978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74</v>
      </c>
      <c r="B2" t="s">
        <v>149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76"/>
  <sheetViews>
    <sheetView tabSelected="1" topLeftCell="AD1" workbookViewId="0">
      <selection activeCell="AQ8" sqref="AQ8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15.425781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9.85546875" bestFit="1" customWidth="1"/>
    <col min="13" max="13" width="19.42578125" bestFit="1" customWidth="1"/>
    <col min="14" max="14" width="13.28515625" bestFit="1" customWidth="1"/>
    <col min="15" max="15" width="19" bestFit="1" customWidth="1"/>
    <col min="16" max="16" width="31.5703125" bestFit="1" customWidth="1"/>
    <col min="17" max="17" width="23.42578125" bestFit="1" customWidth="1"/>
    <col min="18" max="18" width="19" bestFit="1" customWidth="1"/>
    <col min="19" max="19" width="31.5703125" bestFit="1" customWidth="1"/>
    <col min="20" max="20" width="23.42578125" bestFit="1" customWidth="1"/>
    <col min="21" max="21" width="19" bestFit="1" customWidth="1"/>
    <col min="22" max="22" width="31.5703125" bestFit="1" customWidth="1"/>
    <col min="23" max="23" width="25" bestFit="1" customWidth="1"/>
    <col min="24" max="24" width="19" bestFit="1" customWidth="1"/>
    <col min="25" max="25" width="31.5703125" bestFit="1" customWidth="1"/>
    <col min="26" max="26" width="25" bestFit="1" customWidth="1"/>
    <col min="27" max="27" width="19" bestFit="1" customWidth="1"/>
    <col min="28" max="28" width="31.5703125" bestFit="1" customWidth="1"/>
    <col min="29" max="29" width="25" bestFit="1" customWidth="1"/>
    <col min="30" max="30" width="19" bestFit="1" customWidth="1"/>
    <col min="31" max="31" width="31.5703125" bestFit="1" customWidth="1"/>
    <col min="32" max="32" width="23.42578125" bestFit="1" customWidth="1"/>
    <col min="33" max="33" width="19" bestFit="1" customWidth="1"/>
    <col min="34" max="34" width="31.5703125" bestFit="1" customWidth="1"/>
    <col min="35" max="35" width="23.42578125" bestFit="1" customWidth="1"/>
    <col min="36" max="36" width="12.28515625" bestFit="1" customWidth="1"/>
    <col min="37" max="37" width="17.28515625" bestFit="1" customWidth="1"/>
    <col min="38" max="38" width="18.85546875" bestFit="1" customWidth="1"/>
    <col min="39" max="39" width="18.5703125" bestFit="1" customWidth="1"/>
    <col min="40" max="40" width="8.85546875" bestFit="1" customWidth="1"/>
  </cols>
  <sheetData>
    <row r="1" spans="1:43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194</v>
      </c>
      <c r="AM1" s="1" t="s">
        <v>195</v>
      </c>
      <c r="AN1" s="1" t="s">
        <v>7</v>
      </c>
    </row>
    <row r="2" spans="1:43" x14ac:dyDescent="0.25">
      <c r="A2" t="s">
        <v>24</v>
      </c>
      <c r="B2" t="s">
        <v>99</v>
      </c>
      <c r="C2" t="s">
        <v>158</v>
      </c>
      <c r="D2">
        <v>393830692</v>
      </c>
      <c r="E2">
        <v>1</v>
      </c>
      <c r="F2">
        <v>0.17288175786477841</v>
      </c>
      <c r="G2" t="s">
        <v>161</v>
      </c>
      <c r="H2" t="s">
        <v>99</v>
      </c>
      <c r="I2">
        <v>1</v>
      </c>
      <c r="J2">
        <v>874</v>
      </c>
      <c r="K2">
        <v>834</v>
      </c>
      <c r="L2">
        <v>0.20340097451997999</v>
      </c>
      <c r="M2">
        <v>344208024808</v>
      </c>
      <c r="N2">
        <v>0.27801301783920701</v>
      </c>
      <c r="O2">
        <v>0.27801301783920701</v>
      </c>
      <c r="P2">
        <v>0.09</v>
      </c>
      <c r="Q2" t="b">
        <v>1</v>
      </c>
      <c r="R2">
        <v>0.09</v>
      </c>
      <c r="S2">
        <v>0.09</v>
      </c>
      <c r="T2" t="b">
        <v>1</v>
      </c>
      <c r="U2">
        <v>0.09</v>
      </c>
      <c r="V2">
        <v>0.09</v>
      </c>
      <c r="W2" t="b">
        <v>0</v>
      </c>
      <c r="X2">
        <v>0.09</v>
      </c>
      <c r="Y2">
        <v>0.09</v>
      </c>
      <c r="Z2" t="b">
        <v>0</v>
      </c>
      <c r="AA2">
        <v>0.09</v>
      </c>
      <c r="AB2">
        <v>0.09</v>
      </c>
      <c r="AC2" t="b">
        <v>0</v>
      </c>
      <c r="AD2">
        <v>0.09</v>
      </c>
      <c r="AE2">
        <v>0.09</v>
      </c>
      <c r="AF2" t="b">
        <v>1</v>
      </c>
      <c r="AG2">
        <v>0.09</v>
      </c>
      <c r="AH2">
        <v>0.09</v>
      </c>
      <c r="AI2" t="b">
        <v>1</v>
      </c>
      <c r="AJ2">
        <v>0.09</v>
      </c>
      <c r="AK2" t="b">
        <v>1</v>
      </c>
      <c r="AL2" t="b">
        <v>0</v>
      </c>
      <c r="AM2">
        <v>111429034775.0443</v>
      </c>
      <c r="AN2" t="s">
        <v>162</v>
      </c>
      <c r="AO2">
        <f>AJ2/N2</f>
        <v>0.32372584816173194</v>
      </c>
      <c r="AP2">
        <f>AO2/MAX($AO$2:$AO$76)</f>
        <v>0.17288175786477841</v>
      </c>
    </row>
    <row r="3" spans="1:43" x14ac:dyDescent="0.25">
      <c r="A3" t="s">
        <v>67</v>
      </c>
      <c r="B3" t="s">
        <v>142</v>
      </c>
      <c r="C3" t="s">
        <v>158</v>
      </c>
      <c r="D3">
        <v>5977723229</v>
      </c>
      <c r="E3">
        <v>1</v>
      </c>
      <c r="F3">
        <v>0.3279473460088802</v>
      </c>
      <c r="G3" t="s">
        <v>161</v>
      </c>
      <c r="H3" t="s">
        <v>142</v>
      </c>
      <c r="I3">
        <v>1</v>
      </c>
      <c r="J3">
        <v>30.355</v>
      </c>
      <c r="K3">
        <v>31.774999999999999</v>
      </c>
      <c r="L3">
        <v>0.32697566561470998</v>
      </c>
      <c r="M3">
        <v>181453788616.29501</v>
      </c>
      <c r="N3">
        <v>0.1465582198431106</v>
      </c>
      <c r="O3">
        <v>0.1465582198431106</v>
      </c>
      <c r="P3">
        <v>0.09</v>
      </c>
      <c r="Q3" t="b">
        <v>1</v>
      </c>
      <c r="R3">
        <v>0.09</v>
      </c>
      <c r="S3">
        <v>0.09</v>
      </c>
      <c r="T3" t="b">
        <v>1</v>
      </c>
      <c r="U3">
        <v>0.09</v>
      </c>
      <c r="V3">
        <v>0.09</v>
      </c>
      <c r="W3" t="b">
        <v>0</v>
      </c>
      <c r="X3">
        <v>0.09</v>
      </c>
      <c r="Y3">
        <v>0.09</v>
      </c>
      <c r="Z3" t="b">
        <v>0</v>
      </c>
      <c r="AA3">
        <v>0.09</v>
      </c>
      <c r="AB3">
        <v>0.09</v>
      </c>
      <c r="AC3" t="b">
        <v>0</v>
      </c>
      <c r="AD3">
        <v>0.09</v>
      </c>
      <c r="AE3">
        <v>0.09</v>
      </c>
      <c r="AF3" t="b">
        <v>1</v>
      </c>
      <c r="AG3">
        <v>0.09</v>
      </c>
      <c r="AH3">
        <v>0.09</v>
      </c>
      <c r="AI3" t="b">
        <v>1</v>
      </c>
      <c r="AJ3">
        <v>0.09</v>
      </c>
      <c r="AK3" t="b">
        <v>1</v>
      </c>
      <c r="AL3" t="b">
        <v>0</v>
      </c>
      <c r="AM3">
        <v>111429034775.0443</v>
      </c>
      <c r="AN3" t="s">
        <v>162</v>
      </c>
      <c r="AO3">
        <f t="shared" ref="AO3:AO66" si="0">AJ3/N3</f>
        <v>0.61409042833861027</v>
      </c>
      <c r="AP3">
        <f t="shared" ref="AP3:AP66" si="1">AO3/MAX($AO$2:$AO$76)</f>
        <v>0.32794734600888009</v>
      </c>
    </row>
    <row r="4" spans="1:43" x14ac:dyDescent="0.25">
      <c r="A4" t="s">
        <v>76</v>
      </c>
      <c r="B4" t="s">
        <v>151</v>
      </c>
      <c r="C4" t="s">
        <v>158</v>
      </c>
      <c r="D4">
        <v>2344661130</v>
      </c>
      <c r="E4">
        <v>1</v>
      </c>
      <c r="F4">
        <v>0.456063072316993</v>
      </c>
      <c r="G4" t="s">
        <v>161</v>
      </c>
      <c r="H4" t="s">
        <v>151</v>
      </c>
      <c r="I4">
        <v>1</v>
      </c>
      <c r="J4">
        <v>55.65</v>
      </c>
      <c r="K4">
        <v>52.36</v>
      </c>
      <c r="L4">
        <v>0.42535018468702002</v>
      </c>
      <c r="M4">
        <v>130480391884.5</v>
      </c>
      <c r="N4">
        <v>0.1053875706032322</v>
      </c>
      <c r="O4">
        <v>0.1053875706032322</v>
      </c>
      <c r="P4">
        <v>0.09</v>
      </c>
      <c r="Q4" t="b">
        <v>1</v>
      </c>
      <c r="R4">
        <v>0.09</v>
      </c>
      <c r="S4">
        <v>0.09</v>
      </c>
      <c r="T4" t="b">
        <v>1</v>
      </c>
      <c r="U4">
        <v>0.09</v>
      </c>
      <c r="V4">
        <v>0.09</v>
      </c>
      <c r="W4" t="b">
        <v>0</v>
      </c>
      <c r="X4">
        <v>0.09</v>
      </c>
      <c r="Y4">
        <v>0.09</v>
      </c>
      <c r="Z4" t="b">
        <v>0</v>
      </c>
      <c r="AA4">
        <v>0.09</v>
      </c>
      <c r="AB4">
        <v>0.09</v>
      </c>
      <c r="AC4" t="b">
        <v>0</v>
      </c>
      <c r="AD4">
        <v>0.09</v>
      </c>
      <c r="AE4">
        <v>0.09</v>
      </c>
      <c r="AF4" t="b">
        <v>1</v>
      </c>
      <c r="AG4">
        <v>0.09</v>
      </c>
      <c r="AH4">
        <v>0.09</v>
      </c>
      <c r="AI4" t="b">
        <v>1</v>
      </c>
      <c r="AJ4">
        <v>0.09</v>
      </c>
      <c r="AK4" t="b">
        <v>1</v>
      </c>
      <c r="AL4" t="b">
        <v>0</v>
      </c>
      <c r="AM4">
        <v>111429034775.0443</v>
      </c>
      <c r="AN4" t="s">
        <v>162</v>
      </c>
      <c r="AO4">
        <f t="shared" si="0"/>
        <v>0.85399065074605418</v>
      </c>
      <c r="AP4">
        <f t="shared" si="1"/>
        <v>0.45606307231699311</v>
      </c>
    </row>
    <row r="5" spans="1:43" x14ac:dyDescent="0.25">
      <c r="A5" t="s">
        <v>50</v>
      </c>
      <c r="B5" t="s">
        <v>125</v>
      </c>
      <c r="C5" t="s">
        <v>158</v>
      </c>
      <c r="D5">
        <v>3021542868</v>
      </c>
      <c r="E5">
        <v>1</v>
      </c>
      <c r="F5">
        <v>0.84056076060197549</v>
      </c>
      <c r="G5" t="s">
        <v>161</v>
      </c>
      <c r="H5" t="s">
        <v>125</v>
      </c>
      <c r="I5">
        <v>1</v>
      </c>
      <c r="J5">
        <v>23.43</v>
      </c>
      <c r="K5">
        <v>21.515000000000001</v>
      </c>
      <c r="L5">
        <v>0.4553473370194</v>
      </c>
      <c r="M5">
        <v>70794749397.240005</v>
      </c>
      <c r="N5">
        <v>5.7180136744562127E-2</v>
      </c>
      <c r="O5">
        <v>5.7180136744562127E-2</v>
      </c>
      <c r="P5">
        <v>8.8803918803967929E-2</v>
      </c>
      <c r="Q5" t="b">
        <v>0</v>
      </c>
      <c r="R5">
        <v>8.8803918803967929E-2</v>
      </c>
      <c r="S5">
        <v>8.8803918803967929E-2</v>
      </c>
      <c r="T5" t="b">
        <v>0</v>
      </c>
      <c r="U5">
        <v>8.8803918803967929E-2</v>
      </c>
      <c r="V5">
        <v>0.103644311413952</v>
      </c>
      <c r="W5" t="b">
        <v>0</v>
      </c>
      <c r="X5">
        <v>0.103644311413952</v>
      </c>
      <c r="Y5">
        <v>0.1038480529125398</v>
      </c>
      <c r="Z5" t="b">
        <v>0</v>
      </c>
      <c r="AA5">
        <v>0.1038480529125398</v>
      </c>
      <c r="AB5">
        <v>0.1038480529125398</v>
      </c>
      <c r="AC5" t="b">
        <v>0</v>
      </c>
      <c r="AD5">
        <v>0.1038480529125398</v>
      </c>
      <c r="AE5">
        <v>0.09</v>
      </c>
      <c r="AF5" t="b">
        <v>1</v>
      </c>
      <c r="AG5">
        <v>0.09</v>
      </c>
      <c r="AH5">
        <v>0.09</v>
      </c>
      <c r="AI5" t="b">
        <v>1</v>
      </c>
      <c r="AJ5">
        <v>0.09</v>
      </c>
      <c r="AK5" t="b">
        <v>1</v>
      </c>
      <c r="AL5" t="b">
        <v>0</v>
      </c>
      <c r="AM5">
        <v>111429034775.0443</v>
      </c>
      <c r="AN5" t="s">
        <v>162</v>
      </c>
      <c r="AO5">
        <f t="shared" si="0"/>
        <v>1.5739731508872101</v>
      </c>
      <c r="AP5">
        <f t="shared" si="1"/>
        <v>0.84056076060197538</v>
      </c>
    </row>
    <row r="6" spans="1:43" x14ac:dyDescent="0.25">
      <c r="A6" t="s">
        <v>63</v>
      </c>
      <c r="B6" t="s">
        <v>138</v>
      </c>
      <c r="C6" t="s">
        <v>158</v>
      </c>
      <c r="D6">
        <v>2378947836</v>
      </c>
      <c r="E6">
        <v>0.55000000000000004</v>
      </c>
      <c r="F6">
        <v>0.44172707385679427</v>
      </c>
      <c r="G6" t="s">
        <v>161</v>
      </c>
      <c r="H6" t="s">
        <v>138</v>
      </c>
      <c r="I6">
        <v>1</v>
      </c>
      <c r="J6">
        <v>51.48</v>
      </c>
      <c r="K6">
        <v>56.62</v>
      </c>
      <c r="L6">
        <v>0.40093646433497998</v>
      </c>
      <c r="M6">
        <v>67357529028.504013</v>
      </c>
      <c r="N6">
        <v>5.4403931837010311E-2</v>
      </c>
      <c r="O6">
        <v>5.4403931837010311E-2</v>
      </c>
      <c r="P6">
        <v>8.4492318845843406E-2</v>
      </c>
      <c r="Q6" t="b">
        <v>0</v>
      </c>
      <c r="R6">
        <v>8.4492318845843406E-2</v>
      </c>
      <c r="S6">
        <v>8.4492318845843406E-2</v>
      </c>
      <c r="T6" t="b">
        <v>0</v>
      </c>
      <c r="U6">
        <v>8.4492318845843406E-2</v>
      </c>
      <c r="V6">
        <v>4.4999999999999998E-2</v>
      </c>
      <c r="W6" t="b">
        <v>1</v>
      </c>
      <c r="X6">
        <v>4.4999999999999998E-2</v>
      </c>
      <c r="Y6">
        <v>4.4999999999999998E-2</v>
      </c>
      <c r="Z6" t="b">
        <v>1</v>
      </c>
      <c r="AA6">
        <v>4.4999999999999998E-2</v>
      </c>
      <c r="AB6">
        <v>4.4999999999999998E-2</v>
      </c>
      <c r="AC6" t="b">
        <v>1</v>
      </c>
      <c r="AD6">
        <v>4.4999999999999998E-2</v>
      </c>
      <c r="AE6">
        <v>4.4999999999999998E-2</v>
      </c>
      <c r="AF6" t="b">
        <v>0</v>
      </c>
      <c r="AG6">
        <v>4.4999999999999998E-2</v>
      </c>
      <c r="AH6">
        <v>4.4999999999999998E-2</v>
      </c>
      <c r="AI6" t="b">
        <v>0</v>
      </c>
      <c r="AJ6">
        <v>4.4999999999999998E-2</v>
      </c>
      <c r="AK6" t="b">
        <v>0</v>
      </c>
      <c r="AL6" t="b">
        <v>1</v>
      </c>
      <c r="AM6">
        <v>55714517387.522133</v>
      </c>
      <c r="AN6" t="s">
        <v>162</v>
      </c>
      <c r="AO6">
        <f t="shared" si="0"/>
        <v>0.82714609919768822</v>
      </c>
      <c r="AP6">
        <f t="shared" si="1"/>
        <v>0.44172707385679422</v>
      </c>
    </row>
    <row r="7" spans="1:43" x14ac:dyDescent="0.25">
      <c r="A7" t="s">
        <v>65</v>
      </c>
      <c r="B7" t="s">
        <v>140</v>
      </c>
      <c r="C7" t="s">
        <v>158</v>
      </c>
      <c r="D7">
        <v>1907070957</v>
      </c>
      <c r="E7">
        <v>1</v>
      </c>
      <c r="F7">
        <v>0.44884205827923429</v>
      </c>
      <c r="G7" t="s">
        <v>161</v>
      </c>
      <c r="H7" t="s">
        <v>140</v>
      </c>
      <c r="I7">
        <v>1</v>
      </c>
      <c r="J7">
        <v>34.76</v>
      </c>
      <c r="K7">
        <v>35.28</v>
      </c>
      <c r="L7">
        <v>0.77782187245208001</v>
      </c>
      <c r="M7">
        <v>66289786465.32</v>
      </c>
      <c r="N7">
        <v>5.3541527968211093E-2</v>
      </c>
      <c r="O7">
        <v>5.3541527968211093E-2</v>
      </c>
      <c r="P7">
        <v>8.3152957880632761E-2</v>
      </c>
      <c r="Q7" t="b">
        <v>0</v>
      </c>
      <c r="R7">
        <v>8.3152957880632761E-2</v>
      </c>
      <c r="S7">
        <v>8.3152957880632761E-2</v>
      </c>
      <c r="T7" t="b">
        <v>0</v>
      </c>
      <c r="U7">
        <v>8.3152957880632761E-2</v>
      </c>
      <c r="V7">
        <v>4.4999999999999998E-2</v>
      </c>
      <c r="W7" t="b">
        <v>1</v>
      </c>
      <c r="X7">
        <v>4.4999999999999998E-2</v>
      </c>
      <c r="Y7">
        <v>4.4999999999999998E-2</v>
      </c>
      <c r="Z7" t="b">
        <v>1</v>
      </c>
      <c r="AA7">
        <v>4.4999999999999998E-2</v>
      </c>
      <c r="AB7">
        <v>4.4999999999999998E-2</v>
      </c>
      <c r="AC7" t="b">
        <v>1</v>
      </c>
      <c r="AD7">
        <v>4.4999999999999998E-2</v>
      </c>
      <c r="AE7">
        <v>4.4999999999999998E-2</v>
      </c>
      <c r="AF7" t="b">
        <v>0</v>
      </c>
      <c r="AG7">
        <v>4.4999999999999998E-2</v>
      </c>
      <c r="AH7">
        <v>4.4999999999999998E-2</v>
      </c>
      <c r="AI7" t="b">
        <v>0</v>
      </c>
      <c r="AJ7">
        <v>4.4999999999999998E-2</v>
      </c>
      <c r="AK7" t="b">
        <v>0</v>
      </c>
      <c r="AL7" t="b">
        <v>1</v>
      </c>
      <c r="AM7">
        <v>55714517387.522133</v>
      </c>
      <c r="AN7" t="s">
        <v>162</v>
      </c>
      <c r="AO7">
        <f t="shared" si="0"/>
        <v>0.84046910328591284</v>
      </c>
      <c r="AP7">
        <f t="shared" si="1"/>
        <v>0.44884205827923424</v>
      </c>
    </row>
    <row r="8" spans="1:43" x14ac:dyDescent="0.25">
      <c r="A8" t="s">
        <v>12</v>
      </c>
      <c r="B8" t="s">
        <v>87</v>
      </c>
      <c r="C8" t="s">
        <v>158</v>
      </c>
      <c r="D8">
        <v>31508146</v>
      </c>
      <c r="E8">
        <v>1</v>
      </c>
      <c r="F8">
        <v>0.71022557929864227</v>
      </c>
      <c r="G8" t="s">
        <v>161</v>
      </c>
      <c r="H8" t="s">
        <v>87</v>
      </c>
      <c r="I8">
        <v>1</v>
      </c>
      <c r="J8">
        <v>1329.6</v>
      </c>
      <c r="K8">
        <v>1301</v>
      </c>
      <c r="L8">
        <v>0.68036707812235997</v>
      </c>
      <c r="M8">
        <v>41893230921.599998</v>
      </c>
      <c r="N8">
        <v>3.3836699658717849E-2</v>
      </c>
      <c r="O8">
        <v>3.3836699658717849E-2</v>
      </c>
      <c r="P8">
        <v>5.2550268330248277E-2</v>
      </c>
      <c r="Q8" t="b">
        <v>0</v>
      </c>
      <c r="R8">
        <v>5.2550268330248277E-2</v>
      </c>
      <c r="S8">
        <v>5.2550268330248277E-2</v>
      </c>
      <c r="T8" t="b">
        <v>0</v>
      </c>
      <c r="U8">
        <v>5.2550268330248277E-2</v>
      </c>
      <c r="V8">
        <v>4.4999999999999998E-2</v>
      </c>
      <c r="W8" t="b">
        <v>1</v>
      </c>
      <c r="X8">
        <v>4.4999999999999998E-2</v>
      </c>
      <c r="Y8">
        <v>4.4999999999999998E-2</v>
      </c>
      <c r="Z8" t="b">
        <v>1</v>
      </c>
      <c r="AA8">
        <v>4.4999999999999998E-2</v>
      </c>
      <c r="AB8">
        <v>4.4999999999999998E-2</v>
      </c>
      <c r="AC8" t="b">
        <v>1</v>
      </c>
      <c r="AD8">
        <v>4.4999999999999998E-2</v>
      </c>
      <c r="AE8">
        <v>4.4999999999999998E-2</v>
      </c>
      <c r="AF8" t="b">
        <v>0</v>
      </c>
      <c r="AG8">
        <v>4.4999999999999998E-2</v>
      </c>
      <c r="AH8">
        <v>4.4999999999999998E-2</v>
      </c>
      <c r="AI8" t="b">
        <v>0</v>
      </c>
      <c r="AJ8">
        <v>4.4999999999999998E-2</v>
      </c>
      <c r="AK8" t="b">
        <v>0</v>
      </c>
      <c r="AL8" t="b">
        <v>1</v>
      </c>
      <c r="AM8">
        <v>55714517387.522133</v>
      </c>
      <c r="AN8" t="s">
        <v>162</v>
      </c>
      <c r="AO8">
        <f t="shared" si="0"/>
        <v>1.3299169379365279</v>
      </c>
      <c r="AP8">
        <f t="shared" si="1"/>
        <v>0.71022557929864216</v>
      </c>
      <c r="AQ8">
        <v>0.71022557929864216</v>
      </c>
    </row>
    <row r="9" spans="1:43" x14ac:dyDescent="0.25">
      <c r="A9" t="s">
        <v>14</v>
      </c>
      <c r="B9" t="s">
        <v>89</v>
      </c>
      <c r="C9" t="s">
        <v>158</v>
      </c>
      <c r="D9">
        <v>907831622</v>
      </c>
      <c r="E9">
        <v>1</v>
      </c>
      <c r="F9">
        <v>0.94532472593379346</v>
      </c>
      <c r="G9" t="s">
        <v>161</v>
      </c>
      <c r="H9" t="s">
        <v>89</v>
      </c>
      <c r="I9">
        <v>1</v>
      </c>
      <c r="J9">
        <v>34.67</v>
      </c>
      <c r="K9">
        <v>35.32</v>
      </c>
      <c r="L9">
        <v>0.96172211557730003</v>
      </c>
      <c r="M9">
        <v>31474522334.740002</v>
      </c>
      <c r="N9">
        <v>2.5421623868907599E-2</v>
      </c>
      <c r="O9">
        <v>2.5421623868907599E-2</v>
      </c>
      <c r="P9">
        <v>3.9481189630666227E-2</v>
      </c>
      <c r="Q9" t="b">
        <v>0</v>
      </c>
      <c r="R9">
        <v>3.9481189630666227E-2</v>
      </c>
      <c r="S9">
        <v>3.9481189630666227E-2</v>
      </c>
      <c r="T9" t="b">
        <v>0</v>
      </c>
      <c r="U9">
        <v>3.9481189630666227E-2</v>
      </c>
      <c r="V9">
        <v>4.6079055611352428E-2</v>
      </c>
      <c r="W9" t="b">
        <v>0</v>
      </c>
      <c r="X9">
        <v>4.6079055611352428E-2</v>
      </c>
      <c r="Y9">
        <v>4.4999999999999998E-2</v>
      </c>
      <c r="Z9" t="b">
        <v>1</v>
      </c>
      <c r="AA9">
        <v>4.4999999999999998E-2</v>
      </c>
      <c r="AB9">
        <v>4.4999999999999998E-2</v>
      </c>
      <c r="AC9" t="b">
        <v>1</v>
      </c>
      <c r="AD9">
        <v>4.4999999999999998E-2</v>
      </c>
      <c r="AE9">
        <v>4.4999999999999998E-2</v>
      </c>
      <c r="AF9" t="b">
        <v>0</v>
      </c>
      <c r="AG9">
        <v>4.4999999999999998E-2</v>
      </c>
      <c r="AH9">
        <v>4.4999999999999998E-2</v>
      </c>
      <c r="AI9" t="b">
        <v>0</v>
      </c>
      <c r="AJ9">
        <v>4.4999999999999998E-2</v>
      </c>
      <c r="AK9" t="b">
        <v>0</v>
      </c>
      <c r="AL9" t="b">
        <v>1</v>
      </c>
      <c r="AM9">
        <v>55714517387.522133</v>
      </c>
      <c r="AN9" t="s">
        <v>162</v>
      </c>
      <c r="AO9">
        <f t="shared" si="0"/>
        <v>1.7701465583808793</v>
      </c>
      <c r="AP9">
        <f t="shared" si="1"/>
        <v>0.94532472593379324</v>
      </c>
    </row>
    <row r="10" spans="1:43" x14ac:dyDescent="0.25">
      <c r="A10" t="s">
        <v>75</v>
      </c>
      <c r="B10" t="s">
        <v>150</v>
      </c>
      <c r="C10" t="s">
        <v>158</v>
      </c>
      <c r="D10">
        <v>1834099825</v>
      </c>
      <c r="E10">
        <v>0.6</v>
      </c>
      <c r="F10">
        <v>0.99999999999999956</v>
      </c>
      <c r="G10" t="s">
        <v>161</v>
      </c>
      <c r="H10" t="s">
        <v>150</v>
      </c>
      <c r="I10">
        <v>1</v>
      </c>
      <c r="J10">
        <v>21.67</v>
      </c>
      <c r="K10">
        <v>22.61</v>
      </c>
      <c r="L10">
        <v>1</v>
      </c>
      <c r="M10">
        <v>23846965924.650002</v>
      </c>
      <c r="N10">
        <v>1.9260930847613971E-2</v>
      </c>
      <c r="O10">
        <v>1.9260930847613971E-2</v>
      </c>
      <c r="P10">
        <v>2.9913292210568512E-2</v>
      </c>
      <c r="Q10" t="b">
        <v>0</v>
      </c>
      <c r="R10">
        <v>2.9913292210568512E-2</v>
      </c>
      <c r="S10">
        <v>2.9913292210568512E-2</v>
      </c>
      <c r="T10" t="b">
        <v>0</v>
      </c>
      <c r="U10">
        <v>2.9913292210568512E-2</v>
      </c>
      <c r="V10">
        <v>3.4912227017060177E-2</v>
      </c>
      <c r="W10" t="b">
        <v>0</v>
      </c>
      <c r="X10">
        <v>3.4912227017060177E-2</v>
      </c>
      <c r="Y10">
        <v>3.4980856634590121E-2</v>
      </c>
      <c r="Z10" t="b">
        <v>0</v>
      </c>
      <c r="AA10">
        <v>3.4980856634590121E-2</v>
      </c>
      <c r="AB10">
        <v>3.4980856634590121E-2</v>
      </c>
      <c r="AC10" t="b">
        <v>0</v>
      </c>
      <c r="AD10">
        <v>3.4980856634590121E-2</v>
      </c>
      <c r="AE10">
        <v>3.6066622945292358E-2</v>
      </c>
      <c r="AF10" t="b">
        <v>0</v>
      </c>
      <c r="AG10">
        <v>3.6066622945292358E-2</v>
      </c>
      <c r="AH10">
        <v>3.6066622945292358E-2</v>
      </c>
      <c r="AI10" t="b">
        <v>0</v>
      </c>
      <c r="AJ10">
        <v>3.6066622945292358E-2</v>
      </c>
      <c r="AK10" t="b">
        <v>0</v>
      </c>
      <c r="AL10" t="b">
        <v>0</v>
      </c>
      <c r="AM10">
        <v>44654099804.326576</v>
      </c>
      <c r="AN10" t="s">
        <v>162</v>
      </c>
      <c r="AO10">
        <f t="shared" si="0"/>
        <v>1.8725275133709471</v>
      </c>
      <c r="AP10">
        <f t="shared" si="1"/>
        <v>0.99999999999999933</v>
      </c>
    </row>
    <row r="11" spans="1:43" x14ac:dyDescent="0.25">
      <c r="A11" t="s">
        <v>23</v>
      </c>
      <c r="B11" t="s">
        <v>98</v>
      </c>
      <c r="C11" t="s">
        <v>158</v>
      </c>
      <c r="D11">
        <v>49328548</v>
      </c>
      <c r="E11">
        <v>0.95</v>
      </c>
      <c r="F11">
        <v>0.99999999999999967</v>
      </c>
      <c r="G11" t="s">
        <v>161</v>
      </c>
      <c r="H11" t="s">
        <v>98</v>
      </c>
      <c r="I11">
        <v>1</v>
      </c>
      <c r="J11">
        <v>508.2</v>
      </c>
      <c r="K11">
        <v>475.3</v>
      </c>
      <c r="L11">
        <v>1</v>
      </c>
      <c r="M11">
        <v>23815329688.919998</v>
      </c>
      <c r="N11">
        <v>1.923537860962278E-2</v>
      </c>
      <c r="O11">
        <v>1.923537860962278E-2</v>
      </c>
      <c r="P11">
        <v>2.987360816997298E-2</v>
      </c>
      <c r="Q11" t="b">
        <v>0</v>
      </c>
      <c r="R11">
        <v>2.987360816997298E-2</v>
      </c>
      <c r="S11">
        <v>2.987360816997298E-2</v>
      </c>
      <c r="T11" t="b">
        <v>0</v>
      </c>
      <c r="U11">
        <v>2.987360816997298E-2</v>
      </c>
      <c r="V11">
        <v>3.4865911211214649E-2</v>
      </c>
      <c r="W11" t="b">
        <v>0</v>
      </c>
      <c r="X11">
        <v>3.4865911211214649E-2</v>
      </c>
      <c r="Y11">
        <v>3.4934449782245643E-2</v>
      </c>
      <c r="Z11" t="b">
        <v>0</v>
      </c>
      <c r="AA11">
        <v>3.4934449782245643E-2</v>
      </c>
      <c r="AB11">
        <v>3.4934449782245643E-2</v>
      </c>
      <c r="AC11" t="b">
        <v>0</v>
      </c>
      <c r="AD11">
        <v>3.4934449782245643E-2</v>
      </c>
      <c r="AE11">
        <v>3.6018775676625668E-2</v>
      </c>
      <c r="AF11" t="b">
        <v>0</v>
      </c>
      <c r="AG11">
        <v>3.6018775676625668E-2</v>
      </c>
      <c r="AH11">
        <v>3.6018775676625668E-2</v>
      </c>
      <c r="AI11" t="b">
        <v>0</v>
      </c>
      <c r="AJ11">
        <v>3.6018775676625668E-2</v>
      </c>
      <c r="AK11" t="b">
        <v>0</v>
      </c>
      <c r="AL11" t="b">
        <v>0</v>
      </c>
      <c r="AM11">
        <v>44594860082.50267</v>
      </c>
      <c r="AN11" t="s">
        <v>162</v>
      </c>
      <c r="AO11">
        <f t="shared" si="0"/>
        <v>1.872527513370948</v>
      </c>
      <c r="AP11">
        <f t="shared" si="1"/>
        <v>0.99999999999999978</v>
      </c>
    </row>
    <row r="12" spans="1:43" x14ac:dyDescent="0.25">
      <c r="A12" t="s">
        <v>82</v>
      </c>
      <c r="B12" t="s">
        <v>157</v>
      </c>
      <c r="C12" t="s">
        <v>158</v>
      </c>
      <c r="D12">
        <v>238516153</v>
      </c>
      <c r="E12">
        <v>1</v>
      </c>
      <c r="F12">
        <v>0.99999999999999978</v>
      </c>
      <c r="G12" t="s">
        <v>161</v>
      </c>
      <c r="H12" t="s">
        <v>157</v>
      </c>
      <c r="I12">
        <v>1</v>
      </c>
      <c r="J12">
        <v>90.56</v>
      </c>
      <c r="K12">
        <v>92.76</v>
      </c>
      <c r="L12">
        <v>1</v>
      </c>
      <c r="M12">
        <v>21600022815.68</v>
      </c>
      <c r="N12">
        <v>1.7446099729175619E-2</v>
      </c>
      <c r="O12">
        <v>1.7446099729175619E-2</v>
      </c>
      <c r="P12">
        <v>2.7094758984517051E-2</v>
      </c>
      <c r="Q12" t="b">
        <v>0</v>
      </c>
      <c r="R12">
        <v>2.7094758984517051E-2</v>
      </c>
      <c r="S12">
        <v>2.7094758984517051E-2</v>
      </c>
      <c r="T12" t="b">
        <v>0</v>
      </c>
      <c r="U12">
        <v>2.7094758984517051E-2</v>
      </c>
      <c r="V12">
        <v>3.162267696852792E-2</v>
      </c>
      <c r="W12" t="b">
        <v>0</v>
      </c>
      <c r="X12">
        <v>3.162267696852792E-2</v>
      </c>
      <c r="Y12">
        <v>3.1684840067563752E-2</v>
      </c>
      <c r="Z12" t="b">
        <v>0</v>
      </c>
      <c r="AA12">
        <v>3.1684840067563752E-2</v>
      </c>
      <c r="AB12">
        <v>3.1684840067563752E-2</v>
      </c>
      <c r="AC12" t="b">
        <v>0</v>
      </c>
      <c r="AD12">
        <v>3.1684840067563752E-2</v>
      </c>
      <c r="AE12">
        <v>3.2668301743894783E-2</v>
      </c>
      <c r="AF12" t="b">
        <v>0</v>
      </c>
      <c r="AG12">
        <v>3.2668301743894783E-2</v>
      </c>
      <c r="AH12">
        <v>3.2668301743894783E-2</v>
      </c>
      <c r="AI12" t="b">
        <v>0</v>
      </c>
      <c r="AJ12">
        <v>3.2668301743894783E-2</v>
      </c>
      <c r="AK12" t="b">
        <v>0</v>
      </c>
      <c r="AL12" t="b">
        <v>0</v>
      </c>
      <c r="AM12">
        <v>40446637011.801018</v>
      </c>
      <c r="AN12" t="s">
        <v>162</v>
      </c>
      <c r="AO12">
        <f t="shared" si="0"/>
        <v>1.8725275133709476</v>
      </c>
      <c r="AP12">
        <f t="shared" si="1"/>
        <v>0.99999999999999956</v>
      </c>
    </row>
    <row r="13" spans="1:43" x14ac:dyDescent="0.25">
      <c r="A13" t="s">
        <v>48</v>
      </c>
      <c r="B13" t="s">
        <v>123</v>
      </c>
      <c r="C13" t="s">
        <v>158</v>
      </c>
      <c r="D13">
        <v>576002613</v>
      </c>
      <c r="E13">
        <v>0.5</v>
      </c>
      <c r="F13">
        <v>0.99999999999999978</v>
      </c>
      <c r="G13" t="s">
        <v>161</v>
      </c>
      <c r="H13" t="s">
        <v>123</v>
      </c>
      <c r="I13">
        <v>1</v>
      </c>
      <c r="J13">
        <v>69.78</v>
      </c>
      <c r="K13">
        <v>70.680000000000007</v>
      </c>
      <c r="L13">
        <v>1</v>
      </c>
      <c r="M13">
        <v>20096731167.57</v>
      </c>
      <c r="N13">
        <v>1.6231907677678091E-2</v>
      </c>
      <c r="O13">
        <v>1.6231907677678091E-2</v>
      </c>
      <c r="P13">
        <v>2.5209051490754131E-2</v>
      </c>
      <c r="Q13" t="b">
        <v>0</v>
      </c>
      <c r="R13">
        <v>2.5209051490754131E-2</v>
      </c>
      <c r="S13">
        <v>2.5209051490754131E-2</v>
      </c>
      <c r="T13" t="b">
        <v>0</v>
      </c>
      <c r="U13">
        <v>2.5209051490754131E-2</v>
      </c>
      <c r="V13">
        <v>2.942184104426401E-2</v>
      </c>
      <c r="W13" t="b">
        <v>0</v>
      </c>
      <c r="X13">
        <v>2.942184104426401E-2</v>
      </c>
      <c r="Y13">
        <v>2.947967779288815E-2</v>
      </c>
      <c r="Z13" t="b">
        <v>0</v>
      </c>
      <c r="AA13">
        <v>2.947967779288815E-2</v>
      </c>
      <c r="AB13">
        <v>2.947967779288815E-2</v>
      </c>
      <c r="AC13" t="b">
        <v>0</v>
      </c>
      <c r="AD13">
        <v>2.947967779288815E-2</v>
      </c>
      <c r="AE13">
        <v>3.0394693720949349E-2</v>
      </c>
      <c r="AF13" t="b">
        <v>0</v>
      </c>
      <c r="AG13">
        <v>3.0394693720949349E-2</v>
      </c>
      <c r="AH13">
        <v>3.0394693720949349E-2</v>
      </c>
      <c r="AI13" t="b">
        <v>0</v>
      </c>
      <c r="AJ13">
        <v>3.0394693720949349E-2</v>
      </c>
      <c r="AK13" t="b">
        <v>0</v>
      </c>
      <c r="AL13" t="b">
        <v>0</v>
      </c>
      <c r="AM13">
        <v>37631682040.094276</v>
      </c>
      <c r="AN13" t="s">
        <v>162</v>
      </c>
      <c r="AO13">
        <f t="shared" si="0"/>
        <v>1.8725275133709476</v>
      </c>
      <c r="AP13">
        <f t="shared" si="1"/>
        <v>0.99999999999999956</v>
      </c>
    </row>
    <row r="14" spans="1:43" x14ac:dyDescent="0.25">
      <c r="A14" t="s">
        <v>61</v>
      </c>
      <c r="B14" t="s">
        <v>136</v>
      </c>
      <c r="C14" t="s">
        <v>158</v>
      </c>
      <c r="D14">
        <v>962920132</v>
      </c>
      <c r="E14">
        <v>0.8</v>
      </c>
      <c r="F14">
        <v>0.99999999999999978</v>
      </c>
      <c r="G14" t="s">
        <v>161</v>
      </c>
      <c r="H14" t="s">
        <v>136</v>
      </c>
      <c r="I14">
        <v>1</v>
      </c>
      <c r="J14">
        <v>22.36</v>
      </c>
      <c r="K14">
        <v>23.49</v>
      </c>
      <c r="L14">
        <v>1</v>
      </c>
      <c r="M14">
        <v>17224715321.216</v>
      </c>
      <c r="N14">
        <v>1.391221221685238E-2</v>
      </c>
      <c r="O14">
        <v>1.391221221685238E-2</v>
      </c>
      <c r="P14">
        <v>2.160643598332113E-2</v>
      </c>
      <c r="Q14" t="b">
        <v>0</v>
      </c>
      <c r="R14">
        <v>2.160643598332113E-2</v>
      </c>
      <c r="S14">
        <v>2.160643598332113E-2</v>
      </c>
      <c r="T14" t="b">
        <v>0</v>
      </c>
      <c r="U14">
        <v>2.160643598332113E-2</v>
      </c>
      <c r="V14">
        <v>2.521717745975072E-2</v>
      </c>
      <c r="W14" t="b">
        <v>0</v>
      </c>
      <c r="X14">
        <v>2.521717745975072E-2</v>
      </c>
      <c r="Y14">
        <v>2.5266748781666161E-2</v>
      </c>
      <c r="Z14" t="b">
        <v>0</v>
      </c>
      <c r="AA14">
        <v>2.5266748781666161E-2</v>
      </c>
      <c r="AB14">
        <v>2.5266748781666161E-2</v>
      </c>
      <c r="AC14" t="b">
        <v>0</v>
      </c>
      <c r="AD14">
        <v>2.5266748781666161E-2</v>
      </c>
      <c r="AE14">
        <v>2.6051000147911511E-2</v>
      </c>
      <c r="AF14" t="b">
        <v>0</v>
      </c>
      <c r="AG14">
        <v>2.6051000147911511E-2</v>
      </c>
      <c r="AH14">
        <v>2.6051000147911511E-2</v>
      </c>
      <c r="AI14" t="b">
        <v>0</v>
      </c>
      <c r="AJ14">
        <v>2.6051000147911511E-2</v>
      </c>
      <c r="AK14" t="b">
        <v>0</v>
      </c>
      <c r="AL14" t="b">
        <v>0</v>
      </c>
      <c r="AM14">
        <v>32253753348.959061</v>
      </c>
      <c r="AN14" t="s">
        <v>162</v>
      </c>
      <c r="AO14">
        <f t="shared" si="0"/>
        <v>1.872527513370948</v>
      </c>
      <c r="AP14">
        <f t="shared" si="1"/>
        <v>0.99999999999999978</v>
      </c>
    </row>
    <row r="15" spans="1:43" x14ac:dyDescent="0.25">
      <c r="A15" t="s">
        <v>9</v>
      </c>
      <c r="B15" t="s">
        <v>84</v>
      </c>
      <c r="C15" t="s">
        <v>158</v>
      </c>
      <c r="D15">
        <v>578968753</v>
      </c>
      <c r="E15">
        <v>1</v>
      </c>
      <c r="F15">
        <v>0.99999999999999978</v>
      </c>
      <c r="G15" t="s">
        <v>161</v>
      </c>
      <c r="H15" t="s">
        <v>84</v>
      </c>
      <c r="I15">
        <v>1</v>
      </c>
      <c r="J15">
        <v>29.31</v>
      </c>
      <c r="K15">
        <v>26.89</v>
      </c>
      <c r="L15">
        <v>1</v>
      </c>
      <c r="M15">
        <v>16969574150.43</v>
      </c>
      <c r="N15">
        <v>1.37061375127405E-2</v>
      </c>
      <c r="O15">
        <v>1.37061375127405E-2</v>
      </c>
      <c r="P15">
        <v>2.1286390556125748E-2</v>
      </c>
      <c r="Q15" t="b">
        <v>0</v>
      </c>
      <c r="R15">
        <v>2.1286390556125748E-2</v>
      </c>
      <c r="S15">
        <v>2.1286390556125748E-2</v>
      </c>
      <c r="T15" t="b">
        <v>0</v>
      </c>
      <c r="U15">
        <v>2.1286390556125748E-2</v>
      </c>
      <c r="V15">
        <v>2.4843647908694842E-2</v>
      </c>
      <c r="W15" t="b">
        <v>0</v>
      </c>
      <c r="X15">
        <v>2.4843647908694842E-2</v>
      </c>
      <c r="Y15">
        <v>2.4892484955188299E-2</v>
      </c>
      <c r="Z15" t="b">
        <v>0</v>
      </c>
      <c r="AA15">
        <v>2.4892484955188299E-2</v>
      </c>
      <c r="AB15">
        <v>2.4892484955188299E-2</v>
      </c>
      <c r="AC15" t="b">
        <v>0</v>
      </c>
      <c r="AD15">
        <v>2.4892484955188299E-2</v>
      </c>
      <c r="AE15">
        <v>2.566511959465223E-2</v>
      </c>
      <c r="AF15" t="b">
        <v>0</v>
      </c>
      <c r="AG15">
        <v>2.566511959465223E-2</v>
      </c>
      <c r="AH15">
        <v>2.566511959465223E-2</v>
      </c>
      <c r="AI15" t="b">
        <v>0</v>
      </c>
      <c r="AJ15">
        <v>2.566511959465223E-2</v>
      </c>
      <c r="AK15" t="b">
        <v>0</v>
      </c>
      <c r="AL15" t="b">
        <v>0</v>
      </c>
      <c r="AM15">
        <v>31775994486.868599</v>
      </c>
      <c r="AN15" t="s">
        <v>162</v>
      </c>
      <c r="AO15">
        <f t="shared" si="0"/>
        <v>1.8725275133709474</v>
      </c>
      <c r="AP15">
        <f t="shared" si="1"/>
        <v>0.99999999999999944</v>
      </c>
    </row>
    <row r="16" spans="1:43" x14ac:dyDescent="0.25">
      <c r="A16" t="s">
        <v>57</v>
      </c>
      <c r="B16" t="s">
        <v>132</v>
      </c>
      <c r="C16" t="s">
        <v>158</v>
      </c>
      <c r="D16">
        <v>269000000</v>
      </c>
      <c r="E16">
        <v>0.95</v>
      </c>
      <c r="F16">
        <v>0.99999999999999967</v>
      </c>
      <c r="G16" t="s">
        <v>161</v>
      </c>
      <c r="H16" t="s">
        <v>132</v>
      </c>
      <c r="I16">
        <v>1</v>
      </c>
      <c r="J16">
        <v>64.239999999999995</v>
      </c>
      <c r="K16">
        <v>60.62</v>
      </c>
      <c r="L16">
        <v>1</v>
      </c>
      <c r="M16">
        <v>16416532000</v>
      </c>
      <c r="N16">
        <v>1.3259451479435219E-2</v>
      </c>
      <c r="O16">
        <v>1.3259451479435219E-2</v>
      </c>
      <c r="P16">
        <v>2.0592662410463689E-2</v>
      </c>
      <c r="Q16" t="b">
        <v>0</v>
      </c>
      <c r="R16">
        <v>2.0592662410463689E-2</v>
      </c>
      <c r="S16">
        <v>2.0592662410463689E-2</v>
      </c>
      <c r="T16" t="b">
        <v>0</v>
      </c>
      <c r="U16">
        <v>2.0592662410463689E-2</v>
      </c>
      <c r="V16">
        <v>2.4033987964246429E-2</v>
      </c>
      <c r="W16" t="b">
        <v>0</v>
      </c>
      <c r="X16">
        <v>2.4033987964246429E-2</v>
      </c>
      <c r="Y16">
        <v>2.4081233400663291E-2</v>
      </c>
      <c r="Z16" t="b">
        <v>0</v>
      </c>
      <c r="AA16">
        <v>2.4081233400663291E-2</v>
      </c>
      <c r="AB16">
        <v>2.4081233400663291E-2</v>
      </c>
      <c r="AC16" t="b">
        <v>0</v>
      </c>
      <c r="AD16">
        <v>2.4081233400663291E-2</v>
      </c>
      <c r="AE16">
        <v>2.482868770744957E-2</v>
      </c>
      <c r="AF16" t="b">
        <v>0</v>
      </c>
      <c r="AG16">
        <v>2.482868770744957E-2</v>
      </c>
      <c r="AH16">
        <v>2.482868770744957E-2</v>
      </c>
      <c r="AI16" t="b">
        <v>0</v>
      </c>
      <c r="AJ16">
        <v>2.482868770744957E-2</v>
      </c>
      <c r="AK16" t="b">
        <v>0</v>
      </c>
      <c r="AL16" t="b">
        <v>0</v>
      </c>
      <c r="AM16">
        <v>30740407844.13459</v>
      </c>
      <c r="AN16" t="s">
        <v>162</v>
      </c>
      <c r="AO16">
        <f t="shared" si="0"/>
        <v>1.872527513370948</v>
      </c>
      <c r="AP16">
        <f t="shared" si="1"/>
        <v>0.99999999999999978</v>
      </c>
    </row>
    <row r="17" spans="1:42" x14ac:dyDescent="0.25">
      <c r="A17" t="s">
        <v>22</v>
      </c>
      <c r="B17" t="s">
        <v>97</v>
      </c>
      <c r="C17" t="s">
        <v>158</v>
      </c>
      <c r="D17">
        <v>852809772</v>
      </c>
      <c r="E17">
        <v>0.5</v>
      </c>
      <c r="F17">
        <v>0.99999999999999989</v>
      </c>
      <c r="G17" t="s">
        <v>161</v>
      </c>
      <c r="H17" t="s">
        <v>196</v>
      </c>
      <c r="I17">
        <v>1</v>
      </c>
      <c r="J17">
        <v>38.21</v>
      </c>
      <c r="K17">
        <v>34.049999999999997</v>
      </c>
      <c r="L17">
        <v>1</v>
      </c>
      <c r="M17">
        <v>16292930694.059999</v>
      </c>
      <c r="N17">
        <v>1.315962007052948E-2</v>
      </c>
      <c r="O17">
        <v>1.315962007052948E-2</v>
      </c>
      <c r="P17">
        <v>2.0437618704112381E-2</v>
      </c>
      <c r="Q17" t="b">
        <v>0</v>
      </c>
      <c r="R17">
        <v>2.0437618704112381E-2</v>
      </c>
      <c r="S17">
        <v>2.0437618704112381E-2</v>
      </c>
      <c r="T17" t="b">
        <v>0</v>
      </c>
      <c r="U17">
        <v>2.0437618704112381E-2</v>
      </c>
      <c r="V17">
        <v>2.3853034258596108E-2</v>
      </c>
      <c r="W17" t="b">
        <v>0</v>
      </c>
      <c r="X17">
        <v>2.3853034258596108E-2</v>
      </c>
      <c r="Y17">
        <v>2.3899923980563609E-2</v>
      </c>
      <c r="Z17" t="b">
        <v>0</v>
      </c>
      <c r="AA17">
        <v>2.3899923980563609E-2</v>
      </c>
      <c r="AB17">
        <v>2.3899923980563609E-2</v>
      </c>
      <c r="AC17" t="b">
        <v>0</v>
      </c>
      <c r="AD17">
        <v>2.3899923980563609E-2</v>
      </c>
      <c r="AE17">
        <v>2.464175064757498E-2</v>
      </c>
      <c r="AF17" t="b">
        <v>0</v>
      </c>
      <c r="AG17">
        <v>2.464175064757498E-2</v>
      </c>
      <c r="AH17">
        <v>2.464175064757498E-2</v>
      </c>
      <c r="AI17" t="b">
        <v>0</v>
      </c>
      <c r="AJ17">
        <v>2.464175064757498E-2</v>
      </c>
      <c r="AK17" t="b">
        <v>0</v>
      </c>
      <c r="AL17" t="b">
        <v>0</v>
      </c>
      <c r="AM17">
        <v>30508960998.07336</v>
      </c>
      <c r="AN17" t="s">
        <v>162</v>
      </c>
      <c r="AO17">
        <f t="shared" si="0"/>
        <v>1.8725275133709476</v>
      </c>
      <c r="AP17">
        <f t="shared" si="1"/>
        <v>0.99999999999999956</v>
      </c>
    </row>
    <row r="18" spans="1:42" x14ac:dyDescent="0.25">
      <c r="A18" t="s">
        <v>54</v>
      </c>
      <c r="B18" t="s">
        <v>129</v>
      </c>
      <c r="C18" t="s">
        <v>158</v>
      </c>
      <c r="D18">
        <v>3888930422</v>
      </c>
      <c r="E18">
        <v>1</v>
      </c>
      <c r="F18">
        <v>0.99999999999999978</v>
      </c>
      <c r="G18" t="s">
        <v>161</v>
      </c>
      <c r="H18" t="s">
        <v>129</v>
      </c>
      <c r="I18">
        <v>1</v>
      </c>
      <c r="J18">
        <v>3.964</v>
      </c>
      <c r="K18">
        <v>3.93</v>
      </c>
      <c r="L18">
        <v>1</v>
      </c>
      <c r="M18">
        <v>15415720192.808001</v>
      </c>
      <c r="N18">
        <v>1.245110684260765E-2</v>
      </c>
      <c r="O18">
        <v>1.245110684260765E-2</v>
      </c>
      <c r="P18">
        <v>1.9337258426119681E-2</v>
      </c>
      <c r="Q18" t="b">
        <v>0</v>
      </c>
      <c r="R18">
        <v>1.9337258426119681E-2</v>
      </c>
      <c r="S18">
        <v>1.9337258426119681E-2</v>
      </c>
      <c r="T18" t="b">
        <v>0</v>
      </c>
      <c r="U18">
        <v>1.9337258426119681E-2</v>
      </c>
      <c r="V18">
        <v>2.2568788193154211E-2</v>
      </c>
      <c r="W18" t="b">
        <v>0</v>
      </c>
      <c r="X18">
        <v>2.2568788193154211E-2</v>
      </c>
      <c r="Y18">
        <v>2.26131533750446E-2</v>
      </c>
      <c r="Z18" t="b">
        <v>0</v>
      </c>
      <c r="AA18">
        <v>2.26131533750446E-2</v>
      </c>
      <c r="AB18">
        <v>2.26131533750446E-2</v>
      </c>
      <c r="AC18" t="b">
        <v>0</v>
      </c>
      <c r="AD18">
        <v>2.26131533750446E-2</v>
      </c>
      <c r="AE18">
        <v>2.3315040134704101E-2</v>
      </c>
      <c r="AF18" t="b">
        <v>0</v>
      </c>
      <c r="AG18">
        <v>2.3315040134704101E-2</v>
      </c>
      <c r="AH18">
        <v>2.3315040134704101E-2</v>
      </c>
      <c r="AI18" t="b">
        <v>0</v>
      </c>
      <c r="AJ18">
        <v>2.3315040134704101E-2</v>
      </c>
      <c r="AK18" t="b">
        <v>0</v>
      </c>
      <c r="AL18" t="b">
        <v>0</v>
      </c>
      <c r="AM18">
        <v>28866360199.461071</v>
      </c>
      <c r="AN18" t="s">
        <v>162</v>
      </c>
      <c r="AO18">
        <f t="shared" si="0"/>
        <v>1.872527513370948</v>
      </c>
      <c r="AP18">
        <f t="shared" si="1"/>
        <v>0.99999999999999978</v>
      </c>
    </row>
    <row r="19" spans="1:42" x14ac:dyDescent="0.25">
      <c r="A19" t="s">
        <v>34</v>
      </c>
      <c r="B19" t="s">
        <v>109</v>
      </c>
      <c r="C19" t="s">
        <v>158</v>
      </c>
      <c r="D19">
        <v>265676388</v>
      </c>
      <c r="E19">
        <v>0.8</v>
      </c>
      <c r="F19">
        <v>0.99999999999999978</v>
      </c>
      <c r="G19" t="s">
        <v>161</v>
      </c>
      <c r="H19" t="s">
        <v>109</v>
      </c>
      <c r="I19">
        <v>1</v>
      </c>
      <c r="J19">
        <v>69.040000000000006</v>
      </c>
      <c r="K19">
        <v>71.14</v>
      </c>
      <c r="L19">
        <v>1</v>
      </c>
      <c r="M19">
        <v>14673838262.016001</v>
      </c>
      <c r="N19">
        <v>1.1851897005547901E-2</v>
      </c>
      <c r="O19">
        <v>1.1851897005547901E-2</v>
      </c>
      <c r="P19">
        <v>1.8406652366982312E-2</v>
      </c>
      <c r="Q19" t="b">
        <v>0</v>
      </c>
      <c r="R19">
        <v>1.8406652366982312E-2</v>
      </c>
      <c r="S19">
        <v>1.8406652366982312E-2</v>
      </c>
      <c r="T19" t="b">
        <v>0</v>
      </c>
      <c r="U19">
        <v>1.8406652366982312E-2</v>
      </c>
      <c r="V19">
        <v>2.1482664680858989E-2</v>
      </c>
      <c r="W19" t="b">
        <v>0</v>
      </c>
      <c r="X19">
        <v>2.1482664680858989E-2</v>
      </c>
      <c r="Y19">
        <v>2.152489478722977E-2</v>
      </c>
      <c r="Z19" t="b">
        <v>0</v>
      </c>
      <c r="AA19">
        <v>2.152489478722977E-2</v>
      </c>
      <c r="AB19">
        <v>2.152489478722977E-2</v>
      </c>
      <c r="AC19" t="b">
        <v>0</v>
      </c>
      <c r="AD19">
        <v>2.152489478722977E-2</v>
      </c>
      <c r="AE19">
        <v>2.219300322852719E-2</v>
      </c>
      <c r="AF19" t="b">
        <v>0</v>
      </c>
      <c r="AG19">
        <v>2.219300322852719E-2</v>
      </c>
      <c r="AH19">
        <v>2.219300322852719E-2</v>
      </c>
      <c r="AI19" t="b">
        <v>0</v>
      </c>
      <c r="AJ19">
        <v>2.219300322852719E-2</v>
      </c>
      <c r="AK19" t="b">
        <v>0</v>
      </c>
      <c r="AL19" t="b">
        <v>0</v>
      </c>
      <c r="AM19">
        <v>27477165872.380291</v>
      </c>
      <c r="AN19" t="s">
        <v>162</v>
      </c>
      <c r="AO19">
        <f t="shared" si="0"/>
        <v>1.8725275133709476</v>
      </c>
      <c r="AP19">
        <f t="shared" si="1"/>
        <v>0.99999999999999956</v>
      </c>
    </row>
    <row r="20" spans="1:42" x14ac:dyDescent="0.25">
      <c r="A20" t="s">
        <v>16</v>
      </c>
      <c r="B20" t="s">
        <v>91</v>
      </c>
      <c r="C20" t="s">
        <v>158</v>
      </c>
      <c r="D20">
        <v>171041675</v>
      </c>
      <c r="E20">
        <v>1</v>
      </c>
      <c r="F20">
        <v>0.99999999999999978</v>
      </c>
      <c r="G20" t="s">
        <v>161</v>
      </c>
      <c r="H20" t="s">
        <v>91</v>
      </c>
      <c r="I20">
        <v>1</v>
      </c>
      <c r="J20">
        <v>57.66</v>
      </c>
      <c r="K20">
        <v>53.86</v>
      </c>
      <c r="L20">
        <v>1</v>
      </c>
      <c r="M20">
        <v>9862262980.5</v>
      </c>
      <c r="N20">
        <v>7.9656408227614679E-3</v>
      </c>
      <c r="O20">
        <v>7.9656408227614679E-3</v>
      </c>
      <c r="P20">
        <v>1.237108130758981E-2</v>
      </c>
      <c r="Q20" t="b">
        <v>0</v>
      </c>
      <c r="R20">
        <v>1.237108130758981E-2</v>
      </c>
      <c r="S20">
        <v>1.237108130758981E-2</v>
      </c>
      <c r="T20" t="b">
        <v>0</v>
      </c>
      <c r="U20">
        <v>1.237108130758981E-2</v>
      </c>
      <c r="V20">
        <v>1.443846421239091E-2</v>
      </c>
      <c r="W20" t="b">
        <v>0</v>
      </c>
      <c r="X20">
        <v>1.443846421239091E-2</v>
      </c>
      <c r="Y20">
        <v>1.446684699863173E-2</v>
      </c>
      <c r="Z20" t="b">
        <v>0</v>
      </c>
      <c r="AA20">
        <v>1.446684699863173E-2</v>
      </c>
      <c r="AB20">
        <v>1.446684699863173E-2</v>
      </c>
      <c r="AC20" t="b">
        <v>0</v>
      </c>
      <c r="AD20">
        <v>1.446684699863173E-2</v>
      </c>
      <c r="AE20">
        <v>1.491588160225164E-2</v>
      </c>
      <c r="AF20" t="b">
        <v>0</v>
      </c>
      <c r="AG20">
        <v>1.491588160225164E-2</v>
      </c>
      <c r="AH20">
        <v>1.491588160225164E-2</v>
      </c>
      <c r="AI20" t="b">
        <v>0</v>
      </c>
      <c r="AJ20">
        <v>1.491588160225164E-2</v>
      </c>
      <c r="AK20" t="b">
        <v>0</v>
      </c>
      <c r="AL20" t="b">
        <v>0</v>
      </c>
      <c r="AM20">
        <v>18467358775.08601</v>
      </c>
      <c r="AN20" t="s">
        <v>162</v>
      </c>
      <c r="AO20">
        <f t="shared" si="0"/>
        <v>1.8725275133709476</v>
      </c>
      <c r="AP20">
        <f t="shared" si="1"/>
        <v>0.99999999999999956</v>
      </c>
    </row>
    <row r="21" spans="1:42" x14ac:dyDescent="0.25">
      <c r="A21" t="s">
        <v>29</v>
      </c>
      <c r="B21" t="s">
        <v>104</v>
      </c>
      <c r="C21" t="s">
        <v>158</v>
      </c>
      <c r="D21">
        <v>81146738</v>
      </c>
      <c r="E21">
        <v>0.9</v>
      </c>
      <c r="F21">
        <v>0.99999999999999967</v>
      </c>
      <c r="G21" t="s">
        <v>161</v>
      </c>
      <c r="H21" t="s">
        <v>104</v>
      </c>
      <c r="I21">
        <v>1</v>
      </c>
      <c r="J21">
        <v>129.30000000000001</v>
      </c>
      <c r="K21">
        <v>122.8</v>
      </c>
      <c r="L21">
        <v>1</v>
      </c>
      <c r="M21">
        <v>9443045901.0600014</v>
      </c>
      <c r="N21">
        <v>7.6270438204113257E-3</v>
      </c>
      <c r="O21">
        <v>7.6270438204113257E-3</v>
      </c>
      <c r="P21">
        <v>1.1845221412600511E-2</v>
      </c>
      <c r="Q21" t="b">
        <v>0</v>
      </c>
      <c r="R21">
        <v>1.1845221412600511E-2</v>
      </c>
      <c r="S21">
        <v>1.1845221412600511E-2</v>
      </c>
      <c r="T21" t="b">
        <v>0</v>
      </c>
      <c r="U21">
        <v>1.1845221412600511E-2</v>
      </c>
      <c r="V21">
        <v>1.382472568091133E-2</v>
      </c>
      <c r="W21" t="b">
        <v>0</v>
      </c>
      <c r="X21">
        <v>1.382472568091133E-2</v>
      </c>
      <c r="Y21">
        <v>1.385190199468455E-2</v>
      </c>
      <c r="Z21" t="b">
        <v>0</v>
      </c>
      <c r="AA21">
        <v>1.385190199468455E-2</v>
      </c>
      <c r="AB21">
        <v>1.385190199468455E-2</v>
      </c>
      <c r="AC21" t="b">
        <v>0</v>
      </c>
      <c r="AD21">
        <v>1.385190199468455E-2</v>
      </c>
      <c r="AE21">
        <v>1.428184939940607E-2</v>
      </c>
      <c r="AF21" t="b">
        <v>0</v>
      </c>
      <c r="AG21">
        <v>1.428184939940607E-2</v>
      </c>
      <c r="AH21">
        <v>1.428184939940607E-2</v>
      </c>
      <c r="AI21" t="b">
        <v>0</v>
      </c>
      <c r="AJ21">
        <v>1.428184939940607E-2</v>
      </c>
      <c r="AK21" t="b">
        <v>0</v>
      </c>
      <c r="AL21" t="b">
        <v>0</v>
      </c>
      <c r="AM21">
        <v>17682363259.759609</v>
      </c>
      <c r="AN21" t="s">
        <v>162</v>
      </c>
      <c r="AO21">
        <f t="shared" si="0"/>
        <v>1.8725275133709474</v>
      </c>
      <c r="AP21">
        <f t="shared" si="1"/>
        <v>0.99999999999999944</v>
      </c>
    </row>
    <row r="22" spans="1:42" x14ac:dyDescent="0.25">
      <c r="A22" t="s">
        <v>25</v>
      </c>
      <c r="B22" t="s">
        <v>100</v>
      </c>
      <c r="C22" t="s">
        <v>158</v>
      </c>
      <c r="D22">
        <v>209113565</v>
      </c>
      <c r="E22">
        <v>0.65</v>
      </c>
      <c r="F22">
        <v>0.99999999999999978</v>
      </c>
      <c r="G22" t="s">
        <v>161</v>
      </c>
      <c r="H22" t="s">
        <v>100</v>
      </c>
      <c r="I22">
        <v>1</v>
      </c>
      <c r="J22">
        <v>59.58</v>
      </c>
      <c r="K22">
        <v>57.4</v>
      </c>
      <c r="L22">
        <v>1</v>
      </c>
      <c r="M22">
        <v>8098341031.7550001</v>
      </c>
      <c r="N22">
        <v>6.5409405576326851E-3</v>
      </c>
      <c r="O22">
        <v>6.5409405576326851E-3</v>
      </c>
      <c r="P22">
        <v>1.0158442900835391E-2</v>
      </c>
      <c r="Q22" t="b">
        <v>0</v>
      </c>
      <c r="R22">
        <v>1.0158442900835391E-2</v>
      </c>
      <c r="S22">
        <v>1.0158442900835391E-2</v>
      </c>
      <c r="T22" t="b">
        <v>0</v>
      </c>
      <c r="U22">
        <v>1.0158442900835391E-2</v>
      </c>
      <c r="V22">
        <v>1.185606258907562E-2</v>
      </c>
      <c r="W22" t="b">
        <v>0</v>
      </c>
      <c r="X22">
        <v>1.185606258907562E-2</v>
      </c>
      <c r="Y22">
        <v>1.187936895221601E-2</v>
      </c>
      <c r="Z22" t="b">
        <v>0</v>
      </c>
      <c r="AA22">
        <v>1.187936895221601E-2</v>
      </c>
      <c r="AB22">
        <v>1.187936895221601E-2</v>
      </c>
      <c r="AC22" t="b">
        <v>0</v>
      </c>
      <c r="AD22">
        <v>1.187936895221601E-2</v>
      </c>
      <c r="AE22">
        <v>1.224809115749111E-2</v>
      </c>
      <c r="AF22" t="b">
        <v>0</v>
      </c>
      <c r="AG22">
        <v>1.224809115749111E-2</v>
      </c>
      <c r="AH22">
        <v>1.224809115749111E-2</v>
      </c>
      <c r="AI22" t="b">
        <v>0</v>
      </c>
      <c r="AJ22">
        <v>1.224809115749111E-2</v>
      </c>
      <c r="AK22" t="b">
        <v>0</v>
      </c>
      <c r="AL22" t="b">
        <v>0</v>
      </c>
      <c r="AM22">
        <v>15164366394.62211</v>
      </c>
      <c r="AN22" t="s">
        <v>162</v>
      </c>
      <c r="AO22">
        <f t="shared" si="0"/>
        <v>1.8725275133709474</v>
      </c>
      <c r="AP22">
        <f t="shared" si="1"/>
        <v>0.99999999999999944</v>
      </c>
    </row>
    <row r="23" spans="1:42" x14ac:dyDescent="0.25">
      <c r="A23" t="s">
        <v>13</v>
      </c>
      <c r="B23" t="s">
        <v>88</v>
      </c>
      <c r="C23" t="s">
        <v>158</v>
      </c>
      <c r="D23">
        <v>1652797432</v>
      </c>
      <c r="E23">
        <v>0.75</v>
      </c>
      <c r="F23">
        <v>0.99999999999999989</v>
      </c>
      <c r="G23" t="s">
        <v>161</v>
      </c>
      <c r="H23" t="s">
        <v>88</v>
      </c>
      <c r="I23">
        <v>1</v>
      </c>
      <c r="J23">
        <v>6.3920000000000003</v>
      </c>
      <c r="K23">
        <v>6.52</v>
      </c>
      <c r="L23">
        <v>1</v>
      </c>
      <c r="M23">
        <v>7923510889.0080004</v>
      </c>
      <c r="N23">
        <v>6.3997321833611544E-3</v>
      </c>
      <c r="O23">
        <v>6.3997321833611544E-3</v>
      </c>
      <c r="P23">
        <v>9.9391384759567256E-3</v>
      </c>
      <c r="Q23" t="b">
        <v>0</v>
      </c>
      <c r="R23">
        <v>9.9391384759567256E-3</v>
      </c>
      <c r="S23">
        <v>9.9391384759567256E-3</v>
      </c>
      <c r="T23" t="b">
        <v>0</v>
      </c>
      <c r="U23">
        <v>9.9391384759567256E-3</v>
      </c>
      <c r="V23">
        <v>1.1600109288672779E-2</v>
      </c>
      <c r="W23" t="b">
        <v>0</v>
      </c>
      <c r="X23">
        <v>1.1600109288672779E-2</v>
      </c>
      <c r="Y23">
        <v>1.162291250496139E-2</v>
      </c>
      <c r="Z23" t="b">
        <v>0</v>
      </c>
      <c r="AA23">
        <v>1.162291250496139E-2</v>
      </c>
      <c r="AB23">
        <v>1.162291250496139E-2</v>
      </c>
      <c r="AC23" t="b">
        <v>0</v>
      </c>
      <c r="AD23">
        <v>1.162291250496139E-2</v>
      </c>
      <c r="AE23">
        <v>1.198367459154929E-2</v>
      </c>
      <c r="AF23" t="b">
        <v>0</v>
      </c>
      <c r="AG23">
        <v>1.198367459154929E-2</v>
      </c>
      <c r="AH23">
        <v>1.198367459154929E-2</v>
      </c>
      <c r="AI23" t="b">
        <v>0</v>
      </c>
      <c r="AJ23">
        <v>1.198367459154929E-2</v>
      </c>
      <c r="AK23" t="b">
        <v>0</v>
      </c>
      <c r="AL23" t="b">
        <v>0</v>
      </c>
      <c r="AM23">
        <v>14836992142.161779</v>
      </c>
      <c r="AN23" t="s">
        <v>162</v>
      </c>
      <c r="AO23">
        <f t="shared" si="0"/>
        <v>1.872527513370948</v>
      </c>
      <c r="AP23">
        <f t="shared" si="1"/>
        <v>0.99999999999999978</v>
      </c>
    </row>
    <row r="24" spans="1:42" x14ac:dyDescent="0.25">
      <c r="A24" t="s">
        <v>37</v>
      </c>
      <c r="B24" t="s">
        <v>112</v>
      </c>
      <c r="C24" t="s">
        <v>158</v>
      </c>
      <c r="D24">
        <v>207779752</v>
      </c>
      <c r="E24">
        <v>0.45</v>
      </c>
      <c r="F24">
        <v>0.99999999999999978</v>
      </c>
      <c r="G24" t="s">
        <v>161</v>
      </c>
      <c r="H24" t="s">
        <v>112</v>
      </c>
      <c r="I24">
        <v>1</v>
      </c>
      <c r="J24">
        <v>71.75</v>
      </c>
      <c r="K24">
        <v>70.45</v>
      </c>
      <c r="L24">
        <v>1</v>
      </c>
      <c r="M24">
        <v>6708688742.7000008</v>
      </c>
      <c r="N24">
        <v>5.4185337606300751E-3</v>
      </c>
      <c r="O24">
        <v>5.4185337606300751E-3</v>
      </c>
      <c r="P24">
        <v>8.4152829900553446E-3</v>
      </c>
      <c r="Q24" t="b">
        <v>0</v>
      </c>
      <c r="R24">
        <v>8.4152829900553446E-3</v>
      </c>
      <c r="S24">
        <v>8.4152829900553446E-3</v>
      </c>
      <c r="T24" t="b">
        <v>0</v>
      </c>
      <c r="U24">
        <v>8.4152829900553446E-3</v>
      </c>
      <c r="V24">
        <v>9.821595967889403E-3</v>
      </c>
      <c r="W24" t="b">
        <v>0</v>
      </c>
      <c r="X24">
        <v>9.821595967889403E-3</v>
      </c>
      <c r="Y24">
        <v>9.8409030253990976E-3</v>
      </c>
      <c r="Z24" t="b">
        <v>0</v>
      </c>
      <c r="AA24">
        <v>9.8409030253990976E-3</v>
      </c>
      <c r="AB24">
        <v>9.8409030253990976E-3</v>
      </c>
      <c r="AC24" t="b">
        <v>0</v>
      </c>
      <c r="AD24">
        <v>9.8409030253990976E-3</v>
      </c>
      <c r="AE24">
        <v>1.014635354890916E-2</v>
      </c>
      <c r="AF24" t="b">
        <v>0</v>
      </c>
      <c r="AG24">
        <v>1.014635354890916E-2</v>
      </c>
      <c r="AH24">
        <v>1.014635354890916E-2</v>
      </c>
      <c r="AI24" t="b">
        <v>0</v>
      </c>
      <c r="AJ24">
        <v>1.014635354890916E-2</v>
      </c>
      <c r="AK24" t="b">
        <v>0</v>
      </c>
      <c r="AL24" t="b">
        <v>0</v>
      </c>
      <c r="AM24">
        <v>12562204249.3477</v>
      </c>
      <c r="AN24" t="s">
        <v>162</v>
      </c>
      <c r="AO24">
        <f t="shared" si="0"/>
        <v>1.8725275133709469</v>
      </c>
      <c r="AP24">
        <f t="shared" si="1"/>
        <v>0.99999999999999922</v>
      </c>
    </row>
    <row r="25" spans="1:42" x14ac:dyDescent="0.25">
      <c r="A25" t="s">
        <v>55</v>
      </c>
      <c r="B25" t="s">
        <v>130</v>
      </c>
      <c r="C25" t="s">
        <v>158</v>
      </c>
      <c r="D25">
        <v>612259739</v>
      </c>
      <c r="E25">
        <v>0.8</v>
      </c>
      <c r="F25">
        <v>0.99999999999999967</v>
      </c>
      <c r="G25" t="s">
        <v>161</v>
      </c>
      <c r="H25" t="s">
        <v>130</v>
      </c>
      <c r="I25">
        <v>1</v>
      </c>
      <c r="J25">
        <v>13.64</v>
      </c>
      <c r="L25">
        <v>0.42535018468702002</v>
      </c>
      <c r="M25">
        <v>6680978271.9680014</v>
      </c>
      <c r="N25">
        <v>5.3961523196446549E-3</v>
      </c>
      <c r="O25">
        <v>5.3961523196446549E-3</v>
      </c>
      <c r="P25">
        <v>8.3805233727976235E-3</v>
      </c>
      <c r="Q25" t="b">
        <v>0</v>
      </c>
      <c r="R25">
        <v>8.3805233727976235E-3</v>
      </c>
      <c r="S25">
        <v>8.3805233727976235E-3</v>
      </c>
      <c r="T25" t="b">
        <v>0</v>
      </c>
      <c r="U25">
        <v>8.3805233727976235E-3</v>
      </c>
      <c r="V25">
        <v>9.7810275262686947E-3</v>
      </c>
      <c r="W25" t="b">
        <v>0</v>
      </c>
      <c r="X25">
        <v>9.7810275262686947E-3</v>
      </c>
      <c r="Y25">
        <v>9.8002548353100134E-3</v>
      </c>
      <c r="Z25" t="b">
        <v>0</v>
      </c>
      <c r="AA25">
        <v>9.8002548353100134E-3</v>
      </c>
      <c r="AB25">
        <v>9.8002548353100134E-3</v>
      </c>
      <c r="AC25" t="b">
        <v>0</v>
      </c>
      <c r="AD25">
        <v>9.8002548353100134E-3</v>
      </c>
      <c r="AE25">
        <v>1.010444368487508E-2</v>
      </c>
      <c r="AF25" t="b">
        <v>0</v>
      </c>
      <c r="AG25">
        <v>1.010444368487508E-2</v>
      </c>
      <c r="AH25">
        <v>1.010444368487508E-2</v>
      </c>
      <c r="AI25" t="b">
        <v>0</v>
      </c>
      <c r="AJ25">
        <v>1.010444368487508E-2</v>
      </c>
      <c r="AK25" t="b">
        <v>0</v>
      </c>
      <c r="AL25" t="b">
        <v>0</v>
      </c>
      <c r="AM25">
        <v>12510315630.49357</v>
      </c>
      <c r="AN25" t="s">
        <v>162</v>
      </c>
      <c r="AO25">
        <f t="shared" si="0"/>
        <v>1.8725275133709482</v>
      </c>
      <c r="AP25">
        <f t="shared" si="1"/>
        <v>0.99999999999999989</v>
      </c>
    </row>
    <row r="26" spans="1:42" x14ac:dyDescent="0.25">
      <c r="A26" t="s">
        <v>52</v>
      </c>
      <c r="B26" t="s">
        <v>127</v>
      </c>
      <c r="C26" t="s">
        <v>158</v>
      </c>
      <c r="D26">
        <v>488178642</v>
      </c>
      <c r="E26">
        <v>0.3</v>
      </c>
      <c r="F26">
        <v>0.99999999999999956</v>
      </c>
      <c r="G26" t="s">
        <v>161</v>
      </c>
      <c r="H26" t="s">
        <v>127</v>
      </c>
      <c r="I26">
        <v>1</v>
      </c>
      <c r="J26">
        <v>31.72</v>
      </c>
      <c r="K26">
        <v>31.48</v>
      </c>
      <c r="L26">
        <v>1</v>
      </c>
      <c r="M26">
        <v>4645507957.2719994</v>
      </c>
      <c r="N26">
        <v>3.752125440183001E-3</v>
      </c>
      <c r="O26">
        <v>3.752125440183001E-3</v>
      </c>
      <c r="P26">
        <v>5.8272585884293383E-3</v>
      </c>
      <c r="Q26" t="b">
        <v>0</v>
      </c>
      <c r="R26">
        <v>5.8272585884293383E-3</v>
      </c>
      <c r="S26">
        <v>5.8272585884293383E-3</v>
      </c>
      <c r="T26" t="b">
        <v>0</v>
      </c>
      <c r="U26">
        <v>5.8272585884293383E-3</v>
      </c>
      <c r="V26">
        <v>6.8010760331649982E-3</v>
      </c>
      <c r="W26" t="b">
        <v>0</v>
      </c>
      <c r="X26">
        <v>6.8010760331649982E-3</v>
      </c>
      <c r="Y26">
        <v>6.8144454251181409E-3</v>
      </c>
      <c r="Z26" t="b">
        <v>0</v>
      </c>
      <c r="AA26">
        <v>6.8144454251181409E-3</v>
      </c>
      <c r="AB26">
        <v>6.8144454251181409E-3</v>
      </c>
      <c r="AC26" t="b">
        <v>0</v>
      </c>
      <c r="AD26">
        <v>6.8144454251181409E-3</v>
      </c>
      <c r="AE26">
        <v>7.0259581203617463E-3</v>
      </c>
      <c r="AF26" t="b">
        <v>0</v>
      </c>
      <c r="AG26">
        <v>7.0259581203617463E-3</v>
      </c>
      <c r="AH26">
        <v>7.0259581203617463E-3</v>
      </c>
      <c r="AI26" t="b">
        <v>0</v>
      </c>
      <c r="AJ26">
        <v>7.0259581203617463E-3</v>
      </c>
      <c r="AK26" t="b">
        <v>0</v>
      </c>
      <c r="AL26" t="b">
        <v>0</v>
      </c>
      <c r="AM26">
        <v>8698841463.5754852</v>
      </c>
      <c r="AN26" t="s">
        <v>162</v>
      </c>
      <c r="AO26">
        <f t="shared" si="0"/>
        <v>1.8725275133709474</v>
      </c>
      <c r="AP26">
        <f t="shared" si="1"/>
        <v>0.99999999999999944</v>
      </c>
    </row>
    <row r="27" spans="1:42" x14ac:dyDescent="0.25">
      <c r="A27" t="s">
        <v>49</v>
      </c>
      <c r="B27" t="s">
        <v>124</v>
      </c>
      <c r="C27" t="s">
        <v>158</v>
      </c>
      <c r="D27">
        <v>59107999</v>
      </c>
      <c r="E27">
        <v>0.95</v>
      </c>
      <c r="F27">
        <v>0.99999999999999978</v>
      </c>
      <c r="G27" t="s">
        <v>161</v>
      </c>
      <c r="H27" t="s">
        <v>124</v>
      </c>
      <c r="I27">
        <v>1</v>
      </c>
      <c r="J27">
        <v>77</v>
      </c>
      <c r="K27">
        <v>77.5</v>
      </c>
      <c r="L27">
        <v>1</v>
      </c>
      <c r="M27">
        <v>4323750126.8499994</v>
      </c>
      <c r="N27">
        <v>3.492245196255182E-3</v>
      </c>
      <c r="O27">
        <v>3.492245196255182E-3</v>
      </c>
      <c r="P27">
        <v>5.423650178333744E-3</v>
      </c>
      <c r="Q27" t="b">
        <v>0</v>
      </c>
      <c r="R27">
        <v>5.423650178333744E-3</v>
      </c>
      <c r="S27">
        <v>5.423650178333744E-3</v>
      </c>
      <c r="T27" t="b">
        <v>0</v>
      </c>
      <c r="U27">
        <v>5.423650178333744E-3</v>
      </c>
      <c r="V27">
        <v>6.3300189412186384E-3</v>
      </c>
      <c r="W27" t="b">
        <v>0</v>
      </c>
      <c r="X27">
        <v>6.3300189412186384E-3</v>
      </c>
      <c r="Y27">
        <v>6.34246234045183E-3</v>
      </c>
      <c r="Z27" t="b">
        <v>0</v>
      </c>
      <c r="AA27">
        <v>6.34246234045183E-3</v>
      </c>
      <c r="AB27">
        <v>6.34246234045183E-3</v>
      </c>
      <c r="AC27" t="b">
        <v>0</v>
      </c>
      <c r="AD27">
        <v>6.34246234045183E-3</v>
      </c>
      <c r="AE27">
        <v>6.5393252134253524E-3</v>
      </c>
      <c r="AF27" t="b">
        <v>0</v>
      </c>
      <c r="AG27">
        <v>6.5393252134253524E-3</v>
      </c>
      <c r="AH27">
        <v>6.5393252134253524E-3</v>
      </c>
      <c r="AI27" t="b">
        <v>0</v>
      </c>
      <c r="AJ27">
        <v>6.5393252134253524E-3</v>
      </c>
      <c r="AK27" t="b">
        <v>0</v>
      </c>
      <c r="AL27" t="b">
        <v>0</v>
      </c>
      <c r="AM27">
        <v>8096341073.4677496</v>
      </c>
      <c r="AN27" t="s">
        <v>162</v>
      </c>
      <c r="AO27">
        <f t="shared" si="0"/>
        <v>1.8725275133709476</v>
      </c>
      <c r="AP27">
        <f t="shared" si="1"/>
        <v>0.99999999999999956</v>
      </c>
    </row>
    <row r="28" spans="1:42" x14ac:dyDescent="0.25">
      <c r="A28" t="s">
        <v>80</v>
      </c>
      <c r="B28" t="s">
        <v>155</v>
      </c>
      <c r="C28" t="s">
        <v>160</v>
      </c>
      <c r="D28">
        <v>232653901</v>
      </c>
      <c r="E28">
        <v>0.8</v>
      </c>
      <c r="F28">
        <v>1</v>
      </c>
      <c r="G28" t="s">
        <v>161</v>
      </c>
      <c r="H28" t="s">
        <v>155</v>
      </c>
      <c r="I28">
        <v>1</v>
      </c>
      <c r="J28">
        <v>21.44</v>
      </c>
      <c r="K28">
        <v>21.88</v>
      </c>
      <c r="L28">
        <v>1</v>
      </c>
      <c r="M28">
        <v>3990479709.9520011</v>
      </c>
      <c r="N28">
        <v>3.2230663634547972E-3</v>
      </c>
      <c r="O28">
        <v>3.2230663634547972E-3</v>
      </c>
      <c r="P28">
        <v>5.0056005447951264E-3</v>
      </c>
      <c r="Q28" t="b">
        <v>0</v>
      </c>
      <c r="R28">
        <v>5.0056005447951264E-3</v>
      </c>
      <c r="S28">
        <v>5.0056005447951264E-3</v>
      </c>
      <c r="T28" t="b">
        <v>0</v>
      </c>
      <c r="U28">
        <v>5.0056005447951264E-3</v>
      </c>
      <c r="V28">
        <v>5.8421072928530821E-3</v>
      </c>
      <c r="W28" t="b">
        <v>0</v>
      </c>
      <c r="X28">
        <v>5.8421072928530821E-3</v>
      </c>
      <c r="Y28">
        <v>5.8535915670840412E-3</v>
      </c>
      <c r="Z28" t="b">
        <v>0</v>
      </c>
      <c r="AA28">
        <v>5.8535915670840412E-3</v>
      </c>
      <c r="AB28">
        <v>5.8535915670840412E-3</v>
      </c>
      <c r="AC28" t="b">
        <v>0</v>
      </c>
      <c r="AD28">
        <v>5.8535915670840412E-3</v>
      </c>
      <c r="AE28">
        <v>6.0352804429895553E-3</v>
      </c>
      <c r="AF28" t="b">
        <v>0</v>
      </c>
      <c r="AG28">
        <v>6.0352804429895553E-3</v>
      </c>
      <c r="AH28">
        <v>6.0352804429895553E-3</v>
      </c>
      <c r="AI28" t="b">
        <v>0</v>
      </c>
      <c r="AJ28">
        <v>6.0352804429895553E-3</v>
      </c>
      <c r="AK28" t="b">
        <v>0</v>
      </c>
      <c r="AL28" t="b">
        <v>0</v>
      </c>
      <c r="AM28">
        <v>7472283048.4336424</v>
      </c>
      <c r="AN28" t="s">
        <v>162</v>
      </c>
      <c r="AO28">
        <f t="shared" si="0"/>
        <v>1.872527513370948</v>
      </c>
      <c r="AP28">
        <f t="shared" si="1"/>
        <v>0.99999999999999978</v>
      </c>
    </row>
    <row r="29" spans="1:42" x14ac:dyDescent="0.25">
      <c r="A29" t="s">
        <v>33</v>
      </c>
      <c r="B29" t="s">
        <v>108</v>
      </c>
      <c r="C29" t="s">
        <v>158</v>
      </c>
      <c r="D29">
        <v>1062984492</v>
      </c>
      <c r="E29">
        <v>0.25</v>
      </c>
      <c r="F29">
        <v>0.99999999999999978</v>
      </c>
      <c r="G29" t="s">
        <v>161</v>
      </c>
      <c r="H29" t="s">
        <v>108</v>
      </c>
      <c r="I29">
        <v>1</v>
      </c>
      <c r="J29">
        <v>14.14</v>
      </c>
      <c r="K29">
        <v>13.86</v>
      </c>
      <c r="L29">
        <v>1</v>
      </c>
      <c r="M29">
        <v>3757650179.2199998</v>
      </c>
      <c r="N29">
        <v>3.0350125244514902E-3</v>
      </c>
      <c r="O29">
        <v>3.0350125244514902E-3</v>
      </c>
      <c r="P29">
        <v>4.7135425190470096E-3</v>
      </c>
      <c r="Q29" t="b">
        <v>0</v>
      </c>
      <c r="R29">
        <v>4.7135425190470096E-3</v>
      </c>
      <c r="S29">
        <v>4.7135425190470096E-3</v>
      </c>
      <c r="T29" t="b">
        <v>0</v>
      </c>
      <c r="U29">
        <v>4.7135425190470096E-3</v>
      </c>
      <c r="V29">
        <v>5.5012422344269752E-3</v>
      </c>
      <c r="W29" t="b">
        <v>0</v>
      </c>
      <c r="X29">
        <v>5.5012422344269752E-3</v>
      </c>
      <c r="Y29">
        <v>5.5120564443112028E-3</v>
      </c>
      <c r="Z29" t="b">
        <v>0</v>
      </c>
      <c r="AA29">
        <v>5.5120564443112028E-3</v>
      </c>
      <c r="AB29">
        <v>5.5120564443112028E-3</v>
      </c>
      <c r="AC29" t="b">
        <v>0</v>
      </c>
      <c r="AD29">
        <v>5.5120564443112028E-3</v>
      </c>
      <c r="AE29">
        <v>5.6831444554608316E-3</v>
      </c>
      <c r="AF29" t="b">
        <v>0</v>
      </c>
      <c r="AG29">
        <v>5.6831444554608316E-3</v>
      </c>
      <c r="AH29">
        <v>5.6831444554608316E-3</v>
      </c>
      <c r="AI29" t="b">
        <v>0</v>
      </c>
      <c r="AJ29">
        <v>5.6831444554608316E-3</v>
      </c>
      <c r="AK29" t="b">
        <v>0</v>
      </c>
      <c r="AL29" t="b">
        <v>0</v>
      </c>
      <c r="AM29">
        <v>7036303346.2127228</v>
      </c>
      <c r="AN29" t="s">
        <v>162</v>
      </c>
      <c r="AO29">
        <f t="shared" si="0"/>
        <v>1.8725275133709478</v>
      </c>
      <c r="AP29">
        <f t="shared" si="1"/>
        <v>0.99999999999999967</v>
      </c>
    </row>
    <row r="30" spans="1:42" x14ac:dyDescent="0.25">
      <c r="A30" t="s">
        <v>64</v>
      </c>
      <c r="B30" t="s">
        <v>139</v>
      </c>
      <c r="C30" t="s">
        <v>158</v>
      </c>
      <c r="D30">
        <v>180869312</v>
      </c>
      <c r="E30">
        <v>0.55000000000000004</v>
      </c>
      <c r="F30">
        <v>0.99999999999999967</v>
      </c>
      <c r="G30" t="s">
        <v>161</v>
      </c>
      <c r="H30" t="s">
        <v>139</v>
      </c>
      <c r="I30">
        <v>1</v>
      </c>
      <c r="J30">
        <v>32.15</v>
      </c>
      <c r="K30">
        <v>33.57</v>
      </c>
      <c r="L30">
        <v>1</v>
      </c>
      <c r="M30">
        <v>3198221609.4400001</v>
      </c>
      <c r="N30">
        <v>2.583168250812712E-3</v>
      </c>
      <c r="O30">
        <v>2.583168250812712E-3</v>
      </c>
      <c r="P30">
        <v>4.0118033405013784E-3</v>
      </c>
      <c r="Q30" t="b">
        <v>0</v>
      </c>
      <c r="R30">
        <v>4.0118033405013784E-3</v>
      </c>
      <c r="S30">
        <v>4.0118033405013784E-3</v>
      </c>
      <c r="T30" t="b">
        <v>0</v>
      </c>
      <c r="U30">
        <v>4.0118033405013784E-3</v>
      </c>
      <c r="V30">
        <v>4.6822325000355621E-3</v>
      </c>
      <c r="W30" t="b">
        <v>0</v>
      </c>
      <c r="X30">
        <v>4.6822325000355621E-3</v>
      </c>
      <c r="Y30">
        <v>4.6914367202506371E-3</v>
      </c>
      <c r="Z30" t="b">
        <v>0</v>
      </c>
      <c r="AA30">
        <v>4.6914367202506371E-3</v>
      </c>
      <c r="AB30">
        <v>4.6914367202506371E-3</v>
      </c>
      <c r="AC30" t="b">
        <v>0</v>
      </c>
      <c r="AD30">
        <v>4.6914367202506371E-3</v>
      </c>
      <c r="AE30">
        <v>4.8370536213131077E-3</v>
      </c>
      <c r="AF30" t="b">
        <v>0</v>
      </c>
      <c r="AG30">
        <v>4.8370536213131077E-3</v>
      </c>
      <c r="AH30">
        <v>4.8370536213131077E-3</v>
      </c>
      <c r="AI30" t="b">
        <v>0</v>
      </c>
      <c r="AJ30">
        <v>4.8370536213131077E-3</v>
      </c>
      <c r="AK30" t="b">
        <v>0</v>
      </c>
      <c r="AL30" t="b">
        <v>0</v>
      </c>
      <c r="AM30">
        <v>5988757957.5339127</v>
      </c>
      <c r="AN30" t="s">
        <v>162</v>
      </c>
      <c r="AO30">
        <f t="shared" si="0"/>
        <v>1.8725275133709476</v>
      </c>
      <c r="AP30">
        <f t="shared" si="1"/>
        <v>0.99999999999999956</v>
      </c>
    </row>
    <row r="31" spans="1:42" x14ac:dyDescent="0.25">
      <c r="A31" t="s">
        <v>45</v>
      </c>
      <c r="B31" t="s">
        <v>120</v>
      </c>
      <c r="C31" t="s">
        <v>158</v>
      </c>
      <c r="D31">
        <v>90370864</v>
      </c>
      <c r="E31">
        <v>0.25</v>
      </c>
      <c r="F31">
        <v>0.99999999999999978</v>
      </c>
      <c r="G31" t="s">
        <v>161</v>
      </c>
      <c r="H31" t="s">
        <v>120</v>
      </c>
      <c r="I31">
        <v>1</v>
      </c>
      <c r="J31">
        <v>137.6</v>
      </c>
      <c r="K31">
        <v>138</v>
      </c>
      <c r="L31">
        <v>1</v>
      </c>
      <c r="M31">
        <v>3108757721.5999999</v>
      </c>
      <c r="N31">
        <v>2.5109092572581592E-3</v>
      </c>
      <c r="O31">
        <v>2.5109092572581592E-3</v>
      </c>
      <c r="P31">
        <v>3.8995811220561729E-3</v>
      </c>
      <c r="Q31" t="b">
        <v>0</v>
      </c>
      <c r="R31">
        <v>3.8995811220561729E-3</v>
      </c>
      <c r="S31">
        <v>3.8995811220561729E-3</v>
      </c>
      <c r="T31" t="b">
        <v>0</v>
      </c>
      <c r="U31">
        <v>3.8995811220561729E-3</v>
      </c>
      <c r="V31">
        <v>4.5512563594243029E-3</v>
      </c>
      <c r="W31" t="b">
        <v>0</v>
      </c>
      <c r="X31">
        <v>4.5512563594243029E-3</v>
      </c>
      <c r="Y31">
        <v>4.5602031098872673E-3</v>
      </c>
      <c r="Z31" t="b">
        <v>0</v>
      </c>
      <c r="AA31">
        <v>4.5602031098872673E-3</v>
      </c>
      <c r="AB31">
        <v>4.5602031098872673E-3</v>
      </c>
      <c r="AC31" t="b">
        <v>0</v>
      </c>
      <c r="AD31">
        <v>4.5602031098872673E-3</v>
      </c>
      <c r="AE31">
        <v>4.7017466677937133E-3</v>
      </c>
      <c r="AF31" t="b">
        <v>0</v>
      </c>
      <c r="AG31">
        <v>4.7017466677937133E-3</v>
      </c>
      <c r="AH31">
        <v>4.7017466677937133E-3</v>
      </c>
      <c r="AI31" t="b">
        <v>0</v>
      </c>
      <c r="AJ31">
        <v>4.7017466677937133E-3</v>
      </c>
      <c r="AK31" t="b">
        <v>0</v>
      </c>
      <c r="AL31" t="b">
        <v>0</v>
      </c>
      <c r="AM31">
        <v>5821234366.1003799</v>
      </c>
      <c r="AN31" t="s">
        <v>162</v>
      </c>
      <c r="AO31">
        <f t="shared" si="0"/>
        <v>1.8725275133709474</v>
      </c>
      <c r="AP31">
        <f t="shared" si="1"/>
        <v>0.99999999999999944</v>
      </c>
    </row>
    <row r="32" spans="1:42" x14ac:dyDescent="0.25">
      <c r="A32" t="s">
        <v>66</v>
      </c>
      <c r="B32" t="s">
        <v>141</v>
      </c>
      <c r="C32" t="s">
        <v>158</v>
      </c>
      <c r="D32">
        <v>176361365</v>
      </c>
      <c r="E32">
        <v>0.7</v>
      </c>
      <c r="F32">
        <v>0.99999999999999956</v>
      </c>
      <c r="G32" t="s">
        <v>161</v>
      </c>
      <c r="H32" t="s">
        <v>141</v>
      </c>
      <c r="I32">
        <v>1</v>
      </c>
      <c r="J32">
        <v>24.1</v>
      </c>
      <c r="K32">
        <v>24.06</v>
      </c>
      <c r="L32">
        <v>1</v>
      </c>
      <c r="M32">
        <v>2975216227.5500002</v>
      </c>
      <c r="N32">
        <v>2.4030492682636951E-3</v>
      </c>
      <c r="O32">
        <v>2.4030492682636951E-3</v>
      </c>
      <c r="P32">
        <v>3.7320685862318832E-3</v>
      </c>
      <c r="Q32" t="b">
        <v>0</v>
      </c>
      <c r="R32">
        <v>3.7320685862318832E-3</v>
      </c>
      <c r="S32">
        <v>3.7320685862318832E-3</v>
      </c>
      <c r="T32" t="b">
        <v>0</v>
      </c>
      <c r="U32">
        <v>3.7320685862318832E-3</v>
      </c>
      <c r="V32">
        <v>4.3557501062933008E-3</v>
      </c>
      <c r="W32" t="b">
        <v>0</v>
      </c>
      <c r="X32">
        <v>4.3557501062933008E-3</v>
      </c>
      <c r="Y32">
        <v>4.3643125352585124E-3</v>
      </c>
      <c r="Z32" t="b">
        <v>0</v>
      </c>
      <c r="AA32">
        <v>4.3643125352585124E-3</v>
      </c>
      <c r="AB32">
        <v>4.3643125352585124E-3</v>
      </c>
      <c r="AC32" t="b">
        <v>0</v>
      </c>
      <c r="AD32">
        <v>4.3643125352585124E-3</v>
      </c>
      <c r="AE32">
        <v>4.4997758708096918E-3</v>
      </c>
      <c r="AF32" t="b">
        <v>0</v>
      </c>
      <c r="AG32">
        <v>4.4997758708096918E-3</v>
      </c>
      <c r="AH32">
        <v>4.4997758708096918E-3</v>
      </c>
      <c r="AI32" t="b">
        <v>0</v>
      </c>
      <c r="AJ32">
        <v>4.4997758708096918E-3</v>
      </c>
      <c r="AK32" t="b">
        <v>0</v>
      </c>
      <c r="AL32" t="b">
        <v>0</v>
      </c>
      <c r="AM32">
        <v>5571174244.3150921</v>
      </c>
      <c r="AN32" t="s">
        <v>162</v>
      </c>
      <c r="AO32">
        <f t="shared" si="0"/>
        <v>1.8725275133709474</v>
      </c>
      <c r="AP32">
        <f t="shared" si="1"/>
        <v>0.99999999999999944</v>
      </c>
    </row>
    <row r="33" spans="1:42" x14ac:dyDescent="0.25">
      <c r="A33" t="s">
        <v>18</v>
      </c>
      <c r="B33" t="s">
        <v>93</v>
      </c>
      <c r="C33" t="s">
        <v>158</v>
      </c>
      <c r="D33">
        <v>611007738</v>
      </c>
      <c r="E33">
        <v>0.6</v>
      </c>
      <c r="F33">
        <v>0.99999999999999978</v>
      </c>
      <c r="G33" t="s">
        <v>161</v>
      </c>
      <c r="H33" t="s">
        <v>93</v>
      </c>
      <c r="I33">
        <v>1</v>
      </c>
      <c r="J33">
        <v>7.7949999999999999</v>
      </c>
      <c r="K33">
        <v>6.375</v>
      </c>
      <c r="L33">
        <v>1</v>
      </c>
      <c r="M33">
        <v>2857683190.6259999</v>
      </c>
      <c r="N33">
        <v>2.3081191331825188E-3</v>
      </c>
      <c r="O33">
        <v>2.3081191331825188E-3</v>
      </c>
      <c r="P33">
        <v>3.5846368295458491E-3</v>
      </c>
      <c r="Q33" t="b">
        <v>0</v>
      </c>
      <c r="R33">
        <v>3.5846368295458491E-3</v>
      </c>
      <c r="S33">
        <v>3.5846368295458491E-3</v>
      </c>
      <c r="T33" t="b">
        <v>0</v>
      </c>
      <c r="U33">
        <v>3.5846368295458491E-3</v>
      </c>
      <c r="V33">
        <v>4.1836804149094726E-3</v>
      </c>
      <c r="W33" t="b">
        <v>0</v>
      </c>
      <c r="X33">
        <v>4.1836804149094726E-3</v>
      </c>
      <c r="Y33">
        <v>4.1919045934072363E-3</v>
      </c>
      <c r="Z33" t="b">
        <v>0</v>
      </c>
      <c r="AA33">
        <v>4.1919045934072363E-3</v>
      </c>
      <c r="AB33">
        <v>4.1919045934072363E-3</v>
      </c>
      <c r="AC33" t="b">
        <v>0</v>
      </c>
      <c r="AD33">
        <v>4.1919045934072363E-3</v>
      </c>
      <c r="AE33">
        <v>4.3220165810221702E-3</v>
      </c>
      <c r="AF33" t="b">
        <v>0</v>
      </c>
      <c r="AG33">
        <v>4.3220165810221702E-3</v>
      </c>
      <c r="AH33">
        <v>4.3220165810221702E-3</v>
      </c>
      <c r="AI33" t="b">
        <v>0</v>
      </c>
      <c r="AJ33">
        <v>4.3220165810221702E-3</v>
      </c>
      <c r="AK33" t="b">
        <v>0</v>
      </c>
      <c r="AL33" t="b">
        <v>0</v>
      </c>
      <c r="AM33">
        <v>5351090398.9448605</v>
      </c>
      <c r="AN33" t="s">
        <v>162</v>
      </c>
      <c r="AO33">
        <f t="shared" si="0"/>
        <v>1.872527513370948</v>
      </c>
      <c r="AP33">
        <f t="shared" si="1"/>
        <v>0.99999999999999978</v>
      </c>
    </row>
    <row r="34" spans="1:42" x14ac:dyDescent="0.25">
      <c r="A34" t="s">
        <v>8</v>
      </c>
      <c r="B34" t="s">
        <v>83</v>
      </c>
      <c r="C34" t="s">
        <v>158</v>
      </c>
      <c r="D34">
        <v>110580102</v>
      </c>
      <c r="E34">
        <v>0.9</v>
      </c>
      <c r="F34">
        <v>0.99999999999999967</v>
      </c>
      <c r="G34" t="s">
        <v>161</v>
      </c>
      <c r="H34" t="s">
        <v>83</v>
      </c>
      <c r="I34">
        <v>1</v>
      </c>
      <c r="J34">
        <v>27.98</v>
      </c>
      <c r="K34">
        <v>26.32</v>
      </c>
      <c r="L34">
        <v>1</v>
      </c>
      <c r="M34">
        <v>2784628128.5640001</v>
      </c>
      <c r="N34">
        <v>2.2491133668770531E-3</v>
      </c>
      <c r="O34">
        <v>2.2491133668770531E-3</v>
      </c>
      <c r="P34">
        <v>3.4929976069366991E-3</v>
      </c>
      <c r="Q34" t="b">
        <v>0</v>
      </c>
      <c r="R34">
        <v>3.4929976069366991E-3</v>
      </c>
      <c r="S34">
        <v>3.4929976069366991E-3</v>
      </c>
      <c r="T34" t="b">
        <v>0</v>
      </c>
      <c r="U34">
        <v>3.4929976069366991E-3</v>
      </c>
      <c r="V34">
        <v>4.0767269802665538E-3</v>
      </c>
      <c r="W34" t="b">
        <v>0</v>
      </c>
      <c r="X34">
        <v>4.0767269802665538E-3</v>
      </c>
      <c r="Y34">
        <v>4.0847409122707484E-3</v>
      </c>
      <c r="Z34" t="b">
        <v>0</v>
      </c>
      <c r="AA34">
        <v>4.0847409122707484E-3</v>
      </c>
      <c r="AB34">
        <v>4.0847409122707484E-3</v>
      </c>
      <c r="AC34" t="b">
        <v>0</v>
      </c>
      <c r="AD34">
        <v>4.0847409122707484E-3</v>
      </c>
      <c r="AE34">
        <v>4.2115266601676473E-3</v>
      </c>
      <c r="AF34" t="b">
        <v>0</v>
      </c>
      <c r="AG34">
        <v>4.2115266601676473E-3</v>
      </c>
      <c r="AH34">
        <v>4.2115266601676473E-3</v>
      </c>
      <c r="AI34" t="b">
        <v>0</v>
      </c>
      <c r="AJ34">
        <v>4.2115266601676473E-3</v>
      </c>
      <c r="AK34" t="b">
        <v>0</v>
      </c>
      <c r="AL34" t="b">
        <v>0</v>
      </c>
      <c r="AM34">
        <v>5214292785.2427425</v>
      </c>
      <c r="AN34" t="s">
        <v>162</v>
      </c>
      <c r="AO34">
        <f t="shared" si="0"/>
        <v>1.8725275133709474</v>
      </c>
      <c r="AP34">
        <f t="shared" si="1"/>
        <v>0.99999999999999944</v>
      </c>
    </row>
    <row r="35" spans="1:42" x14ac:dyDescent="0.25">
      <c r="A35" t="s">
        <v>21</v>
      </c>
      <c r="B35" t="s">
        <v>96</v>
      </c>
      <c r="C35" t="s">
        <v>158</v>
      </c>
      <c r="D35">
        <v>90442091</v>
      </c>
      <c r="E35">
        <v>0.8</v>
      </c>
      <c r="F35">
        <v>0.99999999999999978</v>
      </c>
      <c r="G35" t="s">
        <v>161</v>
      </c>
      <c r="H35" t="s">
        <v>96</v>
      </c>
      <c r="I35">
        <v>1</v>
      </c>
      <c r="J35">
        <v>35.799999999999997</v>
      </c>
      <c r="K35">
        <v>35.58</v>
      </c>
      <c r="L35">
        <v>1</v>
      </c>
      <c r="M35">
        <v>2590261486.2399998</v>
      </c>
      <c r="N35">
        <v>2.092125577792499E-3</v>
      </c>
      <c r="O35">
        <v>2.092125577792499E-3</v>
      </c>
      <c r="P35">
        <v>3.249186877043596E-3</v>
      </c>
      <c r="Q35" t="b">
        <v>0</v>
      </c>
      <c r="R35">
        <v>3.249186877043596E-3</v>
      </c>
      <c r="S35">
        <v>3.249186877043596E-3</v>
      </c>
      <c r="T35" t="b">
        <v>0</v>
      </c>
      <c r="U35">
        <v>3.249186877043596E-3</v>
      </c>
      <c r="V35">
        <v>3.792172024185329E-3</v>
      </c>
      <c r="W35" t="b">
        <v>0</v>
      </c>
      <c r="X35">
        <v>3.792172024185329E-3</v>
      </c>
      <c r="Y35">
        <v>3.7996265848898188E-3</v>
      </c>
      <c r="Z35" t="b">
        <v>0</v>
      </c>
      <c r="AA35">
        <v>3.7996265848898188E-3</v>
      </c>
      <c r="AB35">
        <v>3.7996265848898188E-3</v>
      </c>
      <c r="AC35" t="b">
        <v>0</v>
      </c>
      <c r="AD35">
        <v>3.7996265848898188E-3</v>
      </c>
      <c r="AE35">
        <v>3.9175627058435454E-3</v>
      </c>
      <c r="AF35" t="b">
        <v>0</v>
      </c>
      <c r="AG35">
        <v>3.9175627058435454E-3</v>
      </c>
      <c r="AH35">
        <v>3.9175627058435454E-3</v>
      </c>
      <c r="AI35" t="b">
        <v>0</v>
      </c>
      <c r="AJ35">
        <v>3.9175627058435454E-3</v>
      </c>
      <c r="AK35" t="b">
        <v>0</v>
      </c>
      <c r="AL35" t="b">
        <v>0</v>
      </c>
      <c r="AM35">
        <v>4850335899.8095217</v>
      </c>
      <c r="AN35" t="s">
        <v>162</v>
      </c>
      <c r="AO35">
        <f t="shared" si="0"/>
        <v>1.8725275133709478</v>
      </c>
      <c r="AP35">
        <f t="shared" si="1"/>
        <v>0.99999999999999967</v>
      </c>
    </row>
    <row r="36" spans="1:42" x14ac:dyDescent="0.25">
      <c r="A36" t="s">
        <v>51</v>
      </c>
      <c r="B36" t="s">
        <v>126</v>
      </c>
      <c r="C36" t="s">
        <v>158</v>
      </c>
      <c r="D36">
        <v>500000000</v>
      </c>
      <c r="E36">
        <v>0.5</v>
      </c>
      <c r="F36">
        <v>0.99999999999999967</v>
      </c>
      <c r="G36" t="s">
        <v>161</v>
      </c>
      <c r="H36" t="s">
        <v>126</v>
      </c>
      <c r="I36">
        <v>1</v>
      </c>
      <c r="J36">
        <v>10.24</v>
      </c>
      <c r="K36">
        <v>9.4499999999999993</v>
      </c>
      <c r="L36">
        <v>1</v>
      </c>
      <c r="M36">
        <v>2560000000</v>
      </c>
      <c r="N36">
        <v>2.0676837097722092E-3</v>
      </c>
      <c r="O36">
        <v>2.0676837097722092E-3</v>
      </c>
      <c r="P36">
        <v>3.211227302501347E-3</v>
      </c>
      <c r="Q36" t="b">
        <v>0</v>
      </c>
      <c r="R36">
        <v>3.211227302501347E-3</v>
      </c>
      <c r="S36">
        <v>3.211227302501347E-3</v>
      </c>
      <c r="T36" t="b">
        <v>0</v>
      </c>
      <c r="U36">
        <v>3.211227302501347E-3</v>
      </c>
      <c r="V36">
        <v>3.747868867095125E-3</v>
      </c>
      <c r="W36" t="b">
        <v>0</v>
      </c>
      <c r="X36">
        <v>3.747868867095125E-3</v>
      </c>
      <c r="Y36">
        <v>3.755236337717249E-3</v>
      </c>
      <c r="Z36" t="b">
        <v>0</v>
      </c>
      <c r="AA36">
        <v>3.755236337717249E-3</v>
      </c>
      <c r="AB36">
        <v>3.755236337717249E-3</v>
      </c>
      <c r="AC36" t="b">
        <v>0</v>
      </c>
      <c r="AD36">
        <v>3.755236337717249E-3</v>
      </c>
      <c r="AE36">
        <v>3.87179463549737E-3</v>
      </c>
      <c r="AF36" t="b">
        <v>0</v>
      </c>
      <c r="AG36">
        <v>3.87179463549737E-3</v>
      </c>
      <c r="AH36">
        <v>3.87179463549737E-3</v>
      </c>
      <c r="AI36" t="b">
        <v>0</v>
      </c>
      <c r="AJ36">
        <v>3.87179463549737E-3</v>
      </c>
      <c r="AK36" t="b">
        <v>0</v>
      </c>
      <c r="AL36" t="b">
        <v>0</v>
      </c>
      <c r="AM36">
        <v>4793670434.2296257</v>
      </c>
      <c r="AN36" t="s">
        <v>162</v>
      </c>
      <c r="AO36">
        <f t="shared" si="0"/>
        <v>1.8725275133709471</v>
      </c>
      <c r="AP36">
        <f t="shared" si="1"/>
        <v>0.99999999999999933</v>
      </c>
    </row>
    <row r="37" spans="1:42" x14ac:dyDescent="0.25">
      <c r="A37" t="s">
        <v>69</v>
      </c>
      <c r="B37" t="s">
        <v>144</v>
      </c>
      <c r="C37" t="s">
        <v>158</v>
      </c>
      <c r="D37">
        <v>128344238</v>
      </c>
      <c r="E37">
        <v>0.9</v>
      </c>
      <c r="F37">
        <v>0.99999999999999978</v>
      </c>
      <c r="G37" t="s">
        <v>161</v>
      </c>
      <c r="H37" t="s">
        <v>144</v>
      </c>
      <c r="I37">
        <v>1</v>
      </c>
      <c r="J37">
        <v>20.059999999999999</v>
      </c>
      <c r="K37">
        <v>19.47</v>
      </c>
      <c r="L37">
        <v>1</v>
      </c>
      <c r="M37">
        <v>2317126872.8520002</v>
      </c>
      <c r="N37">
        <v>1.8715177689341801E-3</v>
      </c>
      <c r="O37">
        <v>1.8715177689341801E-3</v>
      </c>
      <c r="P37">
        <v>2.906570733383559E-3</v>
      </c>
      <c r="Q37" t="b">
        <v>0</v>
      </c>
      <c r="R37">
        <v>2.906570733383559E-3</v>
      </c>
      <c r="S37">
        <v>2.906570733383559E-3</v>
      </c>
      <c r="T37" t="b">
        <v>0</v>
      </c>
      <c r="U37">
        <v>2.906570733383559E-3</v>
      </c>
      <c r="V37">
        <v>3.392299870262302E-3</v>
      </c>
      <c r="W37" t="b">
        <v>0</v>
      </c>
      <c r="X37">
        <v>3.392299870262302E-3</v>
      </c>
      <c r="Y37">
        <v>3.3989683718886588E-3</v>
      </c>
      <c r="Z37" t="b">
        <v>0</v>
      </c>
      <c r="AA37">
        <v>3.3989683718886588E-3</v>
      </c>
      <c r="AB37">
        <v>3.3989683718886588E-3</v>
      </c>
      <c r="AC37" t="b">
        <v>0</v>
      </c>
      <c r="AD37">
        <v>3.3989683718886588E-3</v>
      </c>
      <c r="AE37">
        <v>3.504468514091863E-3</v>
      </c>
      <c r="AF37" t="b">
        <v>0</v>
      </c>
      <c r="AG37">
        <v>3.504468514091863E-3</v>
      </c>
      <c r="AH37">
        <v>3.504468514091863E-3</v>
      </c>
      <c r="AI37" t="b">
        <v>0</v>
      </c>
      <c r="AJ37">
        <v>3.504468514091863E-3</v>
      </c>
      <c r="AK37" t="b">
        <v>0</v>
      </c>
      <c r="AL37" t="b">
        <v>0</v>
      </c>
      <c r="AM37">
        <v>4338883821.3865557</v>
      </c>
      <c r="AN37" t="s">
        <v>162</v>
      </c>
      <c r="AO37">
        <f t="shared" si="0"/>
        <v>1.8725275133709471</v>
      </c>
      <c r="AP37">
        <f t="shared" si="1"/>
        <v>0.99999999999999933</v>
      </c>
    </row>
    <row r="38" spans="1:42" x14ac:dyDescent="0.2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0.99999999999999978</v>
      </c>
      <c r="G38" t="s">
        <v>161</v>
      </c>
      <c r="H38" t="s">
        <v>102</v>
      </c>
      <c r="I38">
        <v>1</v>
      </c>
      <c r="J38">
        <v>8.8149999999999995</v>
      </c>
      <c r="K38">
        <v>7.6449999999999996</v>
      </c>
      <c r="L38">
        <v>1</v>
      </c>
      <c r="M38">
        <v>2277796000</v>
      </c>
      <c r="N38">
        <v>1.839750657571991E-3</v>
      </c>
      <c r="O38">
        <v>1.839750657571991E-3</v>
      </c>
      <c r="P38">
        <v>2.8572346502845152E-3</v>
      </c>
      <c r="Q38" t="b">
        <v>0</v>
      </c>
      <c r="R38">
        <v>2.8572346502845152E-3</v>
      </c>
      <c r="S38">
        <v>2.8572346502845152E-3</v>
      </c>
      <c r="T38" t="b">
        <v>0</v>
      </c>
      <c r="U38">
        <v>2.8572346502845152E-3</v>
      </c>
      <c r="V38">
        <v>3.334719028903831E-3</v>
      </c>
      <c r="W38" t="b">
        <v>0</v>
      </c>
      <c r="X38">
        <v>3.334719028903831E-3</v>
      </c>
      <c r="Y38">
        <v>3.3412743394949222E-3</v>
      </c>
      <c r="Z38" t="b">
        <v>0</v>
      </c>
      <c r="AA38">
        <v>3.3412743394949222E-3</v>
      </c>
      <c r="AB38">
        <v>3.3412743394949222E-3</v>
      </c>
      <c r="AC38" t="b">
        <v>0</v>
      </c>
      <c r="AD38">
        <v>3.3412743394949222E-3</v>
      </c>
      <c r="AE38">
        <v>3.4449837240458471E-3</v>
      </c>
      <c r="AF38" t="b">
        <v>0</v>
      </c>
      <c r="AG38">
        <v>3.4449837240458471E-3</v>
      </c>
      <c r="AH38">
        <v>3.4449837240458471E-3</v>
      </c>
      <c r="AI38" t="b">
        <v>0</v>
      </c>
      <c r="AJ38">
        <v>3.4449837240458471E-3</v>
      </c>
      <c r="AK38" t="b">
        <v>0</v>
      </c>
      <c r="AL38" t="b">
        <v>0</v>
      </c>
      <c r="AM38">
        <v>4265235679.8462911</v>
      </c>
      <c r="AN38" t="s">
        <v>162</v>
      </c>
      <c r="AO38">
        <f t="shared" si="0"/>
        <v>1.8725275133709482</v>
      </c>
      <c r="AP38">
        <f t="shared" si="1"/>
        <v>0.99999999999999989</v>
      </c>
    </row>
    <row r="39" spans="1:42" x14ac:dyDescent="0.25">
      <c r="A39" t="s">
        <v>79</v>
      </c>
      <c r="B39" t="s">
        <v>154</v>
      </c>
      <c r="C39" t="s">
        <v>158</v>
      </c>
      <c r="D39">
        <v>117816148</v>
      </c>
      <c r="E39">
        <v>0.5</v>
      </c>
      <c r="F39">
        <v>0.99999999999999989</v>
      </c>
      <c r="G39" t="s">
        <v>161</v>
      </c>
      <c r="H39" t="s">
        <v>154</v>
      </c>
      <c r="I39">
        <v>1</v>
      </c>
      <c r="J39">
        <v>37.119999999999997</v>
      </c>
      <c r="K39">
        <v>37.380000000000003</v>
      </c>
      <c r="L39">
        <v>1</v>
      </c>
      <c r="M39">
        <v>2186667706.8800001</v>
      </c>
      <c r="N39">
        <v>1.766147342265909E-3</v>
      </c>
      <c r="O39">
        <v>1.766147342265909E-3</v>
      </c>
      <c r="P39">
        <v>2.742924625715262E-3</v>
      </c>
      <c r="Q39" t="b">
        <v>0</v>
      </c>
      <c r="R39">
        <v>2.742924625715262E-3</v>
      </c>
      <c r="S39">
        <v>2.742924625715262E-3</v>
      </c>
      <c r="T39" t="b">
        <v>0</v>
      </c>
      <c r="U39">
        <v>2.742924625715262E-3</v>
      </c>
      <c r="V39">
        <v>3.2013061801944688E-3</v>
      </c>
      <c r="W39" t="b">
        <v>0</v>
      </c>
      <c r="X39">
        <v>3.2013061801944688E-3</v>
      </c>
      <c r="Y39">
        <v>3.2075992310111831E-3</v>
      </c>
      <c r="Z39" t="b">
        <v>0</v>
      </c>
      <c r="AA39">
        <v>3.2075992310111831E-3</v>
      </c>
      <c r="AB39">
        <v>3.2075992310111831E-3</v>
      </c>
      <c r="AC39" t="b">
        <v>0</v>
      </c>
      <c r="AD39">
        <v>3.2075992310111831E-3</v>
      </c>
      <c r="AE39">
        <v>3.3071594910598912E-3</v>
      </c>
      <c r="AF39" t="b">
        <v>0</v>
      </c>
      <c r="AG39">
        <v>3.3071594910598912E-3</v>
      </c>
      <c r="AH39">
        <v>3.3071594910598912E-3</v>
      </c>
      <c r="AI39" t="b">
        <v>0</v>
      </c>
      <c r="AJ39">
        <v>3.3071594910598912E-3</v>
      </c>
      <c r="AK39" t="b">
        <v>0</v>
      </c>
      <c r="AL39" t="b">
        <v>0</v>
      </c>
      <c r="AM39">
        <v>4094595443.7325592</v>
      </c>
      <c r="AN39" t="s">
        <v>162</v>
      </c>
      <c r="AO39">
        <f t="shared" si="0"/>
        <v>1.872527513370948</v>
      </c>
      <c r="AP39">
        <f t="shared" si="1"/>
        <v>0.99999999999999978</v>
      </c>
    </row>
    <row r="40" spans="1:42" x14ac:dyDescent="0.25">
      <c r="A40" t="s">
        <v>32</v>
      </c>
      <c r="B40" t="s">
        <v>107</v>
      </c>
      <c r="C40" t="s">
        <v>158</v>
      </c>
      <c r="D40">
        <v>479284361</v>
      </c>
      <c r="E40">
        <v>0.25</v>
      </c>
      <c r="F40">
        <v>0.99999999999999978</v>
      </c>
      <c r="G40" t="s">
        <v>161</v>
      </c>
      <c r="H40" t="s">
        <v>107</v>
      </c>
      <c r="I40">
        <v>1</v>
      </c>
      <c r="J40">
        <v>17.579999999999998</v>
      </c>
      <c r="K40">
        <v>17.7</v>
      </c>
      <c r="L40">
        <v>1</v>
      </c>
      <c r="M40">
        <v>2106454766.595</v>
      </c>
      <c r="N40">
        <v>1.7013602368205079E-3</v>
      </c>
      <c r="O40">
        <v>1.7013602368205079E-3</v>
      </c>
      <c r="P40">
        <v>2.6423066632710809E-3</v>
      </c>
      <c r="Q40" t="b">
        <v>0</v>
      </c>
      <c r="R40">
        <v>2.6423066632710809E-3</v>
      </c>
      <c r="S40">
        <v>2.6423066632710809E-3</v>
      </c>
      <c r="T40" t="b">
        <v>0</v>
      </c>
      <c r="U40">
        <v>2.6423066632710809E-3</v>
      </c>
      <c r="V40">
        <v>3.0838735311193468E-3</v>
      </c>
      <c r="W40" t="b">
        <v>0</v>
      </c>
      <c r="X40">
        <v>3.0838735311193468E-3</v>
      </c>
      <c r="Y40">
        <v>3.0899357356543949E-3</v>
      </c>
      <c r="Z40" t="b">
        <v>0</v>
      </c>
      <c r="AA40">
        <v>3.0899357356543949E-3</v>
      </c>
      <c r="AB40">
        <v>3.0899357356543949E-3</v>
      </c>
      <c r="AC40" t="b">
        <v>0</v>
      </c>
      <c r="AD40">
        <v>3.0899357356543949E-3</v>
      </c>
      <c r="AE40">
        <v>3.185843853601713E-3</v>
      </c>
      <c r="AF40" t="b">
        <v>0</v>
      </c>
      <c r="AG40">
        <v>3.185843853601713E-3</v>
      </c>
      <c r="AH40">
        <v>3.185843853601713E-3</v>
      </c>
      <c r="AI40" t="b">
        <v>0</v>
      </c>
      <c r="AJ40">
        <v>3.185843853601713E-3</v>
      </c>
      <c r="AK40" t="b">
        <v>0</v>
      </c>
      <c r="AL40" t="b">
        <v>0</v>
      </c>
      <c r="AM40">
        <v>3944394506.1205149</v>
      </c>
      <c r="AN40" t="s">
        <v>162</v>
      </c>
      <c r="AO40">
        <f t="shared" si="0"/>
        <v>1.872527513370948</v>
      </c>
      <c r="AP40">
        <f t="shared" si="1"/>
        <v>0.99999999999999978</v>
      </c>
    </row>
    <row r="41" spans="1:42" x14ac:dyDescent="0.25">
      <c r="A41" t="s">
        <v>15</v>
      </c>
      <c r="B41" t="s">
        <v>90</v>
      </c>
      <c r="C41" t="s">
        <v>159</v>
      </c>
      <c r="D41">
        <v>262769869</v>
      </c>
      <c r="E41">
        <v>0.55000000000000004</v>
      </c>
      <c r="F41">
        <v>0.99999999999999967</v>
      </c>
      <c r="G41" t="s">
        <v>161</v>
      </c>
      <c r="H41" t="s">
        <v>90</v>
      </c>
      <c r="I41">
        <v>1</v>
      </c>
      <c r="J41">
        <v>11.65</v>
      </c>
      <c r="K41">
        <v>10.225</v>
      </c>
      <c r="L41">
        <v>1</v>
      </c>
      <c r="M41">
        <v>1683697935.6175001</v>
      </c>
      <c r="N41">
        <v>1.35990421627086E-3</v>
      </c>
      <c r="O41">
        <v>1.35990421627086E-3</v>
      </c>
      <c r="P41">
        <v>2.1120065546953409E-3</v>
      </c>
      <c r="Q41" t="b">
        <v>0</v>
      </c>
      <c r="R41">
        <v>2.1120065546953409E-3</v>
      </c>
      <c r="S41">
        <v>2.1120065546953409E-3</v>
      </c>
      <c r="T41" t="b">
        <v>0</v>
      </c>
      <c r="U41">
        <v>2.1120065546953409E-3</v>
      </c>
      <c r="V41">
        <v>2.4649527634738912E-3</v>
      </c>
      <c r="W41" t="b">
        <v>0</v>
      </c>
      <c r="X41">
        <v>2.4649527634738912E-3</v>
      </c>
      <c r="Y41">
        <v>2.4697983084259198E-3</v>
      </c>
      <c r="Z41" t="b">
        <v>0</v>
      </c>
      <c r="AA41">
        <v>2.4697983084259198E-3</v>
      </c>
      <c r="AB41">
        <v>2.4697983084259198E-3</v>
      </c>
      <c r="AC41" t="b">
        <v>0</v>
      </c>
      <c r="AD41">
        <v>2.4697983084259198E-3</v>
      </c>
      <c r="AE41">
        <v>2.5464580605163412E-3</v>
      </c>
      <c r="AF41" t="b">
        <v>0</v>
      </c>
      <c r="AG41">
        <v>2.5464580605163412E-3</v>
      </c>
      <c r="AH41">
        <v>2.5464580605163412E-3</v>
      </c>
      <c r="AI41" t="b">
        <v>0</v>
      </c>
      <c r="AJ41">
        <v>2.5464580605163412E-3</v>
      </c>
      <c r="AK41" t="b">
        <v>0</v>
      </c>
      <c r="AL41" t="b">
        <v>0</v>
      </c>
      <c r="AM41">
        <v>3152770708.6496348</v>
      </c>
      <c r="AN41" t="s">
        <v>162</v>
      </c>
      <c r="AO41">
        <f t="shared" si="0"/>
        <v>1.8725275133709478</v>
      </c>
      <c r="AP41">
        <f t="shared" si="1"/>
        <v>0.99999999999999967</v>
      </c>
    </row>
    <row r="42" spans="1:42" x14ac:dyDescent="0.25">
      <c r="A42" t="s">
        <v>47</v>
      </c>
      <c r="B42" t="s">
        <v>122</v>
      </c>
      <c r="C42" t="s">
        <v>158</v>
      </c>
      <c r="D42">
        <v>27478006</v>
      </c>
      <c r="E42">
        <v>0.95</v>
      </c>
      <c r="F42">
        <v>0.99999999999999956</v>
      </c>
      <c r="G42" t="s">
        <v>161</v>
      </c>
      <c r="H42" t="s">
        <v>122</v>
      </c>
      <c r="I42">
        <v>1</v>
      </c>
      <c r="J42">
        <v>63.25</v>
      </c>
      <c r="K42">
        <v>55.1</v>
      </c>
      <c r="L42">
        <v>1</v>
      </c>
      <c r="M42">
        <v>1651084685.5250001</v>
      </c>
      <c r="N42">
        <v>1.3335628545759421E-3</v>
      </c>
      <c r="O42">
        <v>1.3335628545759421E-3</v>
      </c>
      <c r="P42">
        <v>2.071096961288957E-3</v>
      </c>
      <c r="Q42" t="b">
        <v>0</v>
      </c>
      <c r="R42">
        <v>2.071096961288957E-3</v>
      </c>
      <c r="S42">
        <v>2.071096961288957E-3</v>
      </c>
      <c r="T42" t="b">
        <v>0</v>
      </c>
      <c r="U42">
        <v>2.071096961288957E-3</v>
      </c>
      <c r="V42">
        <v>2.4172065975846448E-3</v>
      </c>
      <c r="W42" t="b">
        <v>0</v>
      </c>
      <c r="X42">
        <v>2.4172065975846448E-3</v>
      </c>
      <c r="Y42">
        <v>2.421958284270288E-3</v>
      </c>
      <c r="Z42" t="b">
        <v>0</v>
      </c>
      <c r="AA42">
        <v>2.421958284270288E-3</v>
      </c>
      <c r="AB42">
        <v>2.421958284270288E-3</v>
      </c>
      <c r="AC42" t="b">
        <v>0</v>
      </c>
      <c r="AD42">
        <v>2.421958284270288E-3</v>
      </c>
      <c r="AE42">
        <v>2.497133136002951E-3</v>
      </c>
      <c r="AF42" t="b">
        <v>0</v>
      </c>
      <c r="AG42">
        <v>2.497133136002951E-3</v>
      </c>
      <c r="AH42">
        <v>2.497133136002951E-3</v>
      </c>
      <c r="AI42" t="b">
        <v>0</v>
      </c>
      <c r="AJ42">
        <v>2.497133136002951E-3</v>
      </c>
      <c r="AK42" t="b">
        <v>0</v>
      </c>
      <c r="AL42" t="b">
        <v>0</v>
      </c>
      <c r="AM42">
        <v>3091701500.550981</v>
      </c>
      <c r="AN42" t="s">
        <v>162</v>
      </c>
      <c r="AO42">
        <f t="shared" si="0"/>
        <v>1.8725275133709474</v>
      </c>
      <c r="AP42">
        <f t="shared" si="1"/>
        <v>0.99999999999999944</v>
      </c>
    </row>
    <row r="43" spans="1:42" x14ac:dyDescent="0.25">
      <c r="A43" t="s">
        <v>77</v>
      </c>
      <c r="B43" t="s">
        <v>152</v>
      </c>
      <c r="C43" t="s">
        <v>158</v>
      </c>
      <c r="D43">
        <v>43036928</v>
      </c>
      <c r="E43">
        <v>0.7</v>
      </c>
      <c r="F43">
        <v>0.99999999999999978</v>
      </c>
      <c r="G43" t="s">
        <v>161</v>
      </c>
      <c r="H43" t="s">
        <v>152</v>
      </c>
      <c r="I43">
        <v>1</v>
      </c>
      <c r="J43">
        <v>51</v>
      </c>
      <c r="K43">
        <v>49.35</v>
      </c>
      <c r="L43">
        <v>1</v>
      </c>
      <c r="M43">
        <v>1536418329.5999999</v>
      </c>
      <c r="N43">
        <v>1.2409481060583389E-3</v>
      </c>
      <c r="O43">
        <v>1.2409481060583389E-3</v>
      </c>
      <c r="P43">
        <v>1.9272611281543101E-3</v>
      </c>
      <c r="Q43" t="b">
        <v>0</v>
      </c>
      <c r="R43">
        <v>1.9272611281543101E-3</v>
      </c>
      <c r="S43">
        <v>1.9272611281543101E-3</v>
      </c>
      <c r="T43" t="b">
        <v>0</v>
      </c>
      <c r="U43">
        <v>1.9272611281543101E-3</v>
      </c>
      <c r="V43">
        <v>2.249333759508647E-3</v>
      </c>
      <c r="W43" t="b">
        <v>0</v>
      </c>
      <c r="X43">
        <v>2.249333759508647E-3</v>
      </c>
      <c r="Y43">
        <v>2.2537554458002961E-3</v>
      </c>
      <c r="Z43" t="b">
        <v>0</v>
      </c>
      <c r="AA43">
        <v>2.2537554458002961E-3</v>
      </c>
      <c r="AB43">
        <v>2.2537554458002961E-3</v>
      </c>
      <c r="AC43" t="b">
        <v>0</v>
      </c>
      <c r="AD43">
        <v>2.2537554458002961E-3</v>
      </c>
      <c r="AE43">
        <v>2.3237094712598091E-3</v>
      </c>
      <c r="AF43" t="b">
        <v>0</v>
      </c>
      <c r="AG43">
        <v>2.3237094712598091E-3</v>
      </c>
      <c r="AH43">
        <v>2.3237094712598091E-3</v>
      </c>
      <c r="AI43" t="b">
        <v>0</v>
      </c>
      <c r="AJ43">
        <v>2.3237094712598091E-3</v>
      </c>
      <c r="AK43" t="b">
        <v>0</v>
      </c>
      <c r="AL43" t="b">
        <v>0</v>
      </c>
      <c r="AM43">
        <v>2876985594.223433</v>
      </c>
      <c r="AN43" t="s">
        <v>162</v>
      </c>
      <c r="AO43">
        <f t="shared" si="0"/>
        <v>1.8725275133709482</v>
      </c>
      <c r="AP43">
        <f t="shared" si="1"/>
        <v>0.99999999999999989</v>
      </c>
    </row>
    <row r="44" spans="1:42" x14ac:dyDescent="0.25">
      <c r="A44" t="s">
        <v>20</v>
      </c>
      <c r="B44" t="s">
        <v>95</v>
      </c>
      <c r="C44" t="s">
        <v>158</v>
      </c>
      <c r="D44">
        <v>73184570</v>
      </c>
      <c r="E44">
        <v>0.6</v>
      </c>
      <c r="F44">
        <v>0.99999999999999989</v>
      </c>
      <c r="G44" t="s">
        <v>161</v>
      </c>
      <c r="H44" t="s">
        <v>197</v>
      </c>
      <c r="I44">
        <v>1</v>
      </c>
      <c r="J44">
        <v>34.58</v>
      </c>
      <c r="K44">
        <v>31.02</v>
      </c>
      <c r="L44">
        <v>1</v>
      </c>
      <c r="M44">
        <v>1518433458.3599999</v>
      </c>
      <c r="N44">
        <v>1.226421924306269E-3</v>
      </c>
      <c r="O44">
        <v>1.226421924306269E-3</v>
      </c>
      <c r="P44">
        <v>1.904701163483272E-3</v>
      </c>
      <c r="Q44" t="b">
        <v>0</v>
      </c>
      <c r="R44">
        <v>1.904701163483272E-3</v>
      </c>
      <c r="S44">
        <v>1.904701163483272E-3</v>
      </c>
      <c r="T44" t="b">
        <v>0</v>
      </c>
      <c r="U44">
        <v>1.904701163483272E-3</v>
      </c>
      <c r="V44">
        <v>2.2230037052121199E-3</v>
      </c>
      <c r="W44" t="b">
        <v>0</v>
      </c>
      <c r="X44">
        <v>2.2230037052121199E-3</v>
      </c>
      <c r="Y44">
        <v>2.227373632515291E-3</v>
      </c>
      <c r="Z44" t="b">
        <v>0</v>
      </c>
      <c r="AA44">
        <v>2.227373632515291E-3</v>
      </c>
      <c r="AB44">
        <v>2.227373632515291E-3</v>
      </c>
      <c r="AC44" t="b">
        <v>0</v>
      </c>
      <c r="AD44">
        <v>2.227373632515291E-3</v>
      </c>
      <c r="AE44">
        <v>2.296508796264831E-3</v>
      </c>
      <c r="AF44" t="b">
        <v>0</v>
      </c>
      <c r="AG44">
        <v>2.296508796264831E-3</v>
      </c>
      <c r="AH44">
        <v>2.296508796264831E-3</v>
      </c>
      <c r="AI44" t="b">
        <v>0</v>
      </c>
      <c r="AJ44">
        <v>2.296508796264831E-3</v>
      </c>
      <c r="AK44" t="b">
        <v>0</v>
      </c>
      <c r="AL44" t="b">
        <v>0</v>
      </c>
      <c r="AM44">
        <v>2843308428.0021</v>
      </c>
      <c r="AN44" t="s">
        <v>162</v>
      </c>
      <c r="AO44">
        <f t="shared" si="0"/>
        <v>1.872527513370948</v>
      </c>
      <c r="AP44">
        <f t="shared" si="1"/>
        <v>0.99999999999999978</v>
      </c>
    </row>
    <row r="45" spans="1:42" x14ac:dyDescent="0.25">
      <c r="A45" t="s">
        <v>38</v>
      </c>
      <c r="B45" t="s">
        <v>113</v>
      </c>
      <c r="C45" t="s">
        <v>160</v>
      </c>
      <c r="D45">
        <v>73313904</v>
      </c>
      <c r="E45">
        <v>0.9</v>
      </c>
      <c r="F45">
        <v>0.99999999999999967</v>
      </c>
      <c r="G45" t="s">
        <v>161</v>
      </c>
      <c r="H45" t="s">
        <v>113</v>
      </c>
      <c r="I45">
        <v>1</v>
      </c>
      <c r="J45">
        <v>20.55</v>
      </c>
      <c r="K45">
        <v>20.7</v>
      </c>
      <c r="L45">
        <v>1</v>
      </c>
      <c r="M45">
        <v>1355940654.48</v>
      </c>
      <c r="N45">
        <v>1.0951782822992829E-3</v>
      </c>
      <c r="O45">
        <v>1.0951782822992829E-3</v>
      </c>
      <c r="P45">
        <v>1.70087251962411E-3</v>
      </c>
      <c r="Q45" t="b">
        <v>0</v>
      </c>
      <c r="R45">
        <v>1.70087251962411E-3</v>
      </c>
      <c r="S45">
        <v>1.70087251962411E-3</v>
      </c>
      <c r="T45" t="b">
        <v>0</v>
      </c>
      <c r="U45">
        <v>1.70087251962411E-3</v>
      </c>
      <c r="V45">
        <v>1.9851124080289772E-3</v>
      </c>
      <c r="W45" t="b">
        <v>0</v>
      </c>
      <c r="X45">
        <v>1.9851124080289772E-3</v>
      </c>
      <c r="Y45">
        <v>1.98901469433258E-3</v>
      </c>
      <c r="Z45" t="b">
        <v>0</v>
      </c>
      <c r="AA45">
        <v>1.98901469433258E-3</v>
      </c>
      <c r="AB45">
        <v>1.98901469433258E-3</v>
      </c>
      <c r="AC45" t="b">
        <v>0</v>
      </c>
      <c r="AD45">
        <v>1.98901469433258E-3</v>
      </c>
      <c r="AE45">
        <v>2.0507514656517411E-3</v>
      </c>
      <c r="AF45" t="b">
        <v>0</v>
      </c>
      <c r="AG45">
        <v>2.0507514656517411E-3</v>
      </c>
      <c r="AH45">
        <v>2.0507514656517411E-3</v>
      </c>
      <c r="AI45" t="b">
        <v>0</v>
      </c>
      <c r="AJ45">
        <v>2.0507514656517411E-3</v>
      </c>
      <c r="AK45" t="b">
        <v>0</v>
      </c>
      <c r="AL45" t="b">
        <v>0</v>
      </c>
      <c r="AM45">
        <v>2539036182.0120101</v>
      </c>
      <c r="AN45" t="s">
        <v>162</v>
      </c>
      <c r="AO45">
        <f t="shared" si="0"/>
        <v>1.8725275133709467</v>
      </c>
      <c r="AP45">
        <f t="shared" si="1"/>
        <v>0.999999999999999</v>
      </c>
    </row>
    <row r="46" spans="1:42" x14ac:dyDescent="0.25">
      <c r="A46" t="s">
        <v>28</v>
      </c>
      <c r="B46" t="s">
        <v>103</v>
      </c>
      <c r="C46" t="s">
        <v>158</v>
      </c>
      <c r="D46">
        <v>66000000</v>
      </c>
      <c r="E46">
        <v>0.70000000000000007</v>
      </c>
      <c r="F46">
        <v>0.99999999999999978</v>
      </c>
      <c r="G46" t="s">
        <v>161</v>
      </c>
      <c r="H46" t="s">
        <v>103</v>
      </c>
      <c r="I46">
        <v>1</v>
      </c>
      <c r="J46">
        <v>28.8</v>
      </c>
      <c r="K46">
        <v>24.52</v>
      </c>
      <c r="L46">
        <v>1</v>
      </c>
      <c r="M46">
        <v>1330560000</v>
      </c>
      <c r="N46">
        <v>1.074678608154106E-3</v>
      </c>
      <c r="O46">
        <v>1.074678608154106E-3</v>
      </c>
      <c r="P46">
        <v>1.669035390475076E-3</v>
      </c>
      <c r="Q46" t="b">
        <v>0</v>
      </c>
      <c r="R46">
        <v>1.669035390475076E-3</v>
      </c>
      <c r="S46">
        <v>1.669035390475076E-3</v>
      </c>
      <c r="T46" t="b">
        <v>0</v>
      </c>
      <c r="U46">
        <v>1.669035390475076E-3</v>
      </c>
      <c r="V46">
        <v>1.947954843672692E-3</v>
      </c>
      <c r="W46" t="b">
        <v>0</v>
      </c>
      <c r="X46">
        <v>1.947954843672692E-3</v>
      </c>
      <c r="Y46">
        <v>1.9517840865285411E-3</v>
      </c>
      <c r="Z46" t="b">
        <v>0</v>
      </c>
      <c r="AA46">
        <v>1.9517840865285411E-3</v>
      </c>
      <c r="AB46">
        <v>1.9517840865285411E-3</v>
      </c>
      <c r="AC46" t="b">
        <v>0</v>
      </c>
      <c r="AD46">
        <v>1.9517840865285411E-3</v>
      </c>
      <c r="AE46">
        <v>2.012365261799758E-3</v>
      </c>
      <c r="AF46" t="b">
        <v>0</v>
      </c>
      <c r="AG46">
        <v>2.012365261799758E-3</v>
      </c>
      <c r="AH46">
        <v>2.012365261799758E-3</v>
      </c>
      <c r="AI46" t="b">
        <v>0</v>
      </c>
      <c r="AJ46">
        <v>2.012365261799758E-3</v>
      </c>
      <c r="AK46" t="b">
        <v>0</v>
      </c>
      <c r="AL46" t="b">
        <v>0</v>
      </c>
      <c r="AM46">
        <v>2491510208.1908479</v>
      </c>
      <c r="AN46" t="s">
        <v>162</v>
      </c>
      <c r="AO46">
        <f t="shared" si="0"/>
        <v>1.8725275133709467</v>
      </c>
      <c r="AP46">
        <f t="shared" si="1"/>
        <v>0.999999999999999</v>
      </c>
    </row>
    <row r="47" spans="1:42" x14ac:dyDescent="0.25">
      <c r="A47" t="s">
        <v>36</v>
      </c>
      <c r="B47" t="s">
        <v>111</v>
      </c>
      <c r="C47" t="s">
        <v>158</v>
      </c>
      <c r="D47">
        <v>55528671</v>
      </c>
      <c r="E47">
        <v>0.8</v>
      </c>
      <c r="F47">
        <v>0.99999999999999967</v>
      </c>
      <c r="G47" t="s">
        <v>161</v>
      </c>
      <c r="H47" t="s">
        <v>111</v>
      </c>
      <c r="I47">
        <v>1</v>
      </c>
      <c r="J47">
        <v>25.7</v>
      </c>
      <c r="K47">
        <v>25.65</v>
      </c>
      <c r="L47">
        <v>1</v>
      </c>
      <c r="M47">
        <v>1141669475.76</v>
      </c>
      <c r="N47">
        <v>9.2211381913012865E-4</v>
      </c>
      <c r="O47">
        <v>9.2211381913012865E-4</v>
      </c>
      <c r="P47">
        <v>1.432093824606606E-3</v>
      </c>
      <c r="Q47" t="b">
        <v>0</v>
      </c>
      <c r="R47">
        <v>1.432093824606606E-3</v>
      </c>
      <c r="S47">
        <v>1.432093824606606E-3</v>
      </c>
      <c r="T47" t="b">
        <v>0</v>
      </c>
      <c r="U47">
        <v>1.432093824606606E-3</v>
      </c>
      <c r="V47">
        <v>1.671416986216295E-3</v>
      </c>
      <c r="W47" t="b">
        <v>0</v>
      </c>
      <c r="X47">
        <v>1.671416986216295E-3</v>
      </c>
      <c r="Y47">
        <v>1.674702617592404E-3</v>
      </c>
      <c r="Z47" t="b">
        <v>0</v>
      </c>
      <c r="AA47">
        <v>1.674702617592404E-3</v>
      </c>
      <c r="AB47">
        <v>1.674702617592404E-3</v>
      </c>
      <c r="AC47" t="b">
        <v>0</v>
      </c>
      <c r="AD47">
        <v>1.674702617592404E-3</v>
      </c>
      <c r="AE47">
        <v>1.726683496780728E-3</v>
      </c>
      <c r="AF47" t="b">
        <v>0</v>
      </c>
      <c r="AG47">
        <v>1.726683496780728E-3</v>
      </c>
      <c r="AH47">
        <v>1.726683496780728E-3</v>
      </c>
      <c r="AI47" t="b">
        <v>0</v>
      </c>
      <c r="AJ47">
        <v>1.726683496780728E-3</v>
      </c>
      <c r="AK47" t="b">
        <v>0</v>
      </c>
      <c r="AL47" t="b">
        <v>0</v>
      </c>
      <c r="AM47">
        <v>2137807504.536386</v>
      </c>
      <c r="AN47" t="s">
        <v>162</v>
      </c>
      <c r="AO47">
        <f t="shared" si="0"/>
        <v>1.872527513370948</v>
      </c>
      <c r="AP47">
        <f t="shared" si="1"/>
        <v>0.99999999999999978</v>
      </c>
    </row>
    <row r="48" spans="1:42" x14ac:dyDescent="0.25">
      <c r="A48" t="s">
        <v>72</v>
      </c>
      <c r="B48" t="s">
        <v>147</v>
      </c>
      <c r="C48" t="s">
        <v>158</v>
      </c>
      <c r="D48">
        <v>42198429</v>
      </c>
      <c r="E48">
        <v>0.7</v>
      </c>
      <c r="F48">
        <v>0.99999999999999967</v>
      </c>
      <c r="G48" t="s">
        <v>161</v>
      </c>
      <c r="H48" t="s">
        <v>147</v>
      </c>
      <c r="I48">
        <v>1</v>
      </c>
      <c r="J48">
        <v>36.200000000000003</v>
      </c>
      <c r="K48">
        <v>36.96</v>
      </c>
      <c r="L48">
        <v>1</v>
      </c>
      <c r="M48">
        <v>1069308190.86</v>
      </c>
      <c r="N48">
        <v>8.6366840897156793E-4</v>
      </c>
      <c r="O48">
        <v>8.6366840897156793E-4</v>
      </c>
      <c r="P48">
        <v>1.3413248661242011E-3</v>
      </c>
      <c r="Q48" t="b">
        <v>0</v>
      </c>
      <c r="R48">
        <v>1.3413248661242011E-3</v>
      </c>
      <c r="S48">
        <v>1.3413248661242011E-3</v>
      </c>
      <c r="T48" t="b">
        <v>0</v>
      </c>
      <c r="U48">
        <v>1.3413248661242011E-3</v>
      </c>
      <c r="V48">
        <v>1.565479249161721E-3</v>
      </c>
      <c r="W48" t="b">
        <v>0</v>
      </c>
      <c r="X48">
        <v>1.565479249161721E-3</v>
      </c>
      <c r="Y48">
        <v>1.568556630678189E-3</v>
      </c>
      <c r="Z48" t="b">
        <v>0</v>
      </c>
      <c r="AA48">
        <v>1.568556630678189E-3</v>
      </c>
      <c r="AB48">
        <v>1.568556630678189E-3</v>
      </c>
      <c r="AC48" t="b">
        <v>0</v>
      </c>
      <c r="AD48">
        <v>1.568556630678189E-3</v>
      </c>
      <c r="AE48">
        <v>1.6172428582285729E-3</v>
      </c>
      <c r="AF48" t="b">
        <v>0</v>
      </c>
      <c r="AG48">
        <v>1.6172428582285729E-3</v>
      </c>
      <c r="AH48">
        <v>1.6172428582285729E-3</v>
      </c>
      <c r="AI48" t="b">
        <v>0</v>
      </c>
      <c r="AJ48">
        <v>1.6172428582285729E-3</v>
      </c>
      <c r="AK48" t="b">
        <v>0</v>
      </c>
      <c r="AL48" t="b">
        <v>0</v>
      </c>
      <c r="AM48">
        <v>2002309007.658262</v>
      </c>
      <c r="AN48" t="s">
        <v>162</v>
      </c>
      <c r="AO48">
        <f t="shared" si="0"/>
        <v>1.8725275133709478</v>
      </c>
      <c r="AP48">
        <f t="shared" si="1"/>
        <v>0.99999999999999967</v>
      </c>
    </row>
    <row r="49" spans="1:42" x14ac:dyDescent="0.25">
      <c r="A49" t="s">
        <v>44</v>
      </c>
      <c r="B49" t="s">
        <v>119</v>
      </c>
      <c r="C49" t="s">
        <v>158</v>
      </c>
      <c r="D49">
        <v>65897071</v>
      </c>
      <c r="E49">
        <v>0.55000000000000004</v>
      </c>
      <c r="F49">
        <v>0.99999999999999978</v>
      </c>
      <c r="G49" t="s">
        <v>161</v>
      </c>
      <c r="H49" t="s">
        <v>119</v>
      </c>
      <c r="I49">
        <v>1</v>
      </c>
      <c r="J49">
        <v>26.84</v>
      </c>
      <c r="K49">
        <v>26.54</v>
      </c>
      <c r="L49">
        <v>1</v>
      </c>
      <c r="M49">
        <v>972772562.10200012</v>
      </c>
      <c r="N49">
        <v>7.8569764842643746E-4</v>
      </c>
      <c r="O49">
        <v>7.8569764842643746E-4</v>
      </c>
      <c r="P49">
        <v>1.220231957244582E-3</v>
      </c>
      <c r="Q49" t="b">
        <v>0</v>
      </c>
      <c r="R49">
        <v>1.220231957244582E-3</v>
      </c>
      <c r="S49">
        <v>1.220231957244582E-3</v>
      </c>
      <c r="T49" t="b">
        <v>0</v>
      </c>
      <c r="U49">
        <v>1.220231957244582E-3</v>
      </c>
      <c r="V49">
        <v>1.4241500001040801E-3</v>
      </c>
      <c r="W49" t="b">
        <v>0</v>
      </c>
      <c r="X49">
        <v>1.4241500001040801E-3</v>
      </c>
      <c r="Y49">
        <v>1.4269495599764611E-3</v>
      </c>
      <c r="Z49" t="b">
        <v>0</v>
      </c>
      <c r="AA49">
        <v>1.4269495599764611E-3</v>
      </c>
      <c r="AB49">
        <v>1.4269495599764611E-3</v>
      </c>
      <c r="AC49" t="b">
        <v>0</v>
      </c>
      <c r="AD49">
        <v>1.4269495599764611E-3</v>
      </c>
      <c r="AE49">
        <v>1.471240463869358E-3</v>
      </c>
      <c r="AF49" t="b">
        <v>0</v>
      </c>
      <c r="AG49">
        <v>1.471240463869358E-3</v>
      </c>
      <c r="AH49">
        <v>1.471240463869358E-3</v>
      </c>
      <c r="AI49" t="b">
        <v>0</v>
      </c>
      <c r="AJ49">
        <v>1.471240463869358E-3</v>
      </c>
      <c r="AK49" t="b">
        <v>0</v>
      </c>
      <c r="AL49" t="b">
        <v>0</v>
      </c>
      <c r="AM49">
        <v>1821543386.7883439</v>
      </c>
      <c r="AN49" t="s">
        <v>162</v>
      </c>
      <c r="AO49">
        <f t="shared" si="0"/>
        <v>1.8725275133709478</v>
      </c>
      <c r="AP49">
        <f t="shared" si="1"/>
        <v>0.99999999999999967</v>
      </c>
    </row>
    <row r="50" spans="1:42" x14ac:dyDescent="0.25">
      <c r="A50" t="s">
        <v>60</v>
      </c>
      <c r="B50" t="s">
        <v>135</v>
      </c>
      <c r="C50" t="s">
        <v>158</v>
      </c>
      <c r="D50">
        <v>685147615</v>
      </c>
      <c r="E50">
        <v>1</v>
      </c>
      <c r="F50">
        <v>0.99999999999999978</v>
      </c>
      <c r="G50" t="s">
        <v>161</v>
      </c>
      <c r="H50" t="s">
        <v>135</v>
      </c>
      <c r="I50">
        <v>1</v>
      </c>
      <c r="J50">
        <v>1.401</v>
      </c>
      <c r="K50">
        <v>1.417</v>
      </c>
      <c r="L50">
        <v>1</v>
      </c>
      <c r="M50">
        <v>959891808.61500001</v>
      </c>
      <c r="N50">
        <v>7.7529400617852269E-4</v>
      </c>
      <c r="O50">
        <v>7.7529400617852269E-4</v>
      </c>
      <c r="P50">
        <v>1.204074524715581E-3</v>
      </c>
      <c r="Q50" t="b">
        <v>0</v>
      </c>
      <c r="R50">
        <v>1.204074524715581E-3</v>
      </c>
      <c r="S50">
        <v>1.204074524715581E-3</v>
      </c>
      <c r="T50" t="b">
        <v>0</v>
      </c>
      <c r="U50">
        <v>1.204074524715581E-3</v>
      </c>
      <c r="V50">
        <v>1.4052924317530431E-3</v>
      </c>
      <c r="W50" t="b">
        <v>0</v>
      </c>
      <c r="X50">
        <v>1.4052924317530431E-3</v>
      </c>
      <c r="Y50">
        <v>1.4080549218703829E-3</v>
      </c>
      <c r="Z50" t="b">
        <v>0</v>
      </c>
      <c r="AA50">
        <v>1.4080549218703829E-3</v>
      </c>
      <c r="AB50">
        <v>1.4080549218703829E-3</v>
      </c>
      <c r="AC50" t="b">
        <v>0</v>
      </c>
      <c r="AD50">
        <v>1.4080549218703829E-3</v>
      </c>
      <c r="AE50">
        <v>1.451759357520869E-3</v>
      </c>
      <c r="AF50" t="b">
        <v>0</v>
      </c>
      <c r="AG50">
        <v>1.451759357520869E-3</v>
      </c>
      <c r="AH50">
        <v>1.451759357520869E-3</v>
      </c>
      <c r="AI50" t="b">
        <v>0</v>
      </c>
      <c r="AJ50">
        <v>1.451759357520869E-3</v>
      </c>
      <c r="AK50" t="b">
        <v>0</v>
      </c>
      <c r="AL50" t="b">
        <v>0</v>
      </c>
      <c r="AM50">
        <v>1797423821.490988</v>
      </c>
      <c r="AN50" t="s">
        <v>162</v>
      </c>
      <c r="AO50">
        <f t="shared" si="0"/>
        <v>1.8725275133709474</v>
      </c>
      <c r="AP50">
        <f t="shared" si="1"/>
        <v>0.99999999999999944</v>
      </c>
    </row>
    <row r="51" spans="1:42" x14ac:dyDescent="0.25">
      <c r="A51" t="s">
        <v>31</v>
      </c>
      <c r="B51" t="s">
        <v>106</v>
      </c>
      <c r="C51" t="s">
        <v>158</v>
      </c>
      <c r="D51">
        <v>58250309</v>
      </c>
      <c r="E51">
        <v>0.9</v>
      </c>
      <c r="F51">
        <v>0.99999999999999978</v>
      </c>
      <c r="G51" t="s">
        <v>161</v>
      </c>
      <c r="H51" t="s">
        <v>106</v>
      </c>
      <c r="I51">
        <v>1</v>
      </c>
      <c r="J51">
        <v>18.3</v>
      </c>
      <c r="K51">
        <v>18.010000000000002</v>
      </c>
      <c r="L51">
        <v>1</v>
      </c>
      <c r="M51">
        <v>959382589.23000002</v>
      </c>
      <c r="N51">
        <v>7.7488271530857557E-4</v>
      </c>
      <c r="O51">
        <v>7.7488271530857557E-4</v>
      </c>
      <c r="P51">
        <v>1.2034357672186761E-3</v>
      </c>
      <c r="Q51" t="b">
        <v>0</v>
      </c>
      <c r="R51">
        <v>1.2034357672186761E-3</v>
      </c>
      <c r="S51">
        <v>1.2034357672186761E-3</v>
      </c>
      <c r="T51" t="b">
        <v>0</v>
      </c>
      <c r="U51">
        <v>1.2034357672186761E-3</v>
      </c>
      <c r="V51">
        <v>1.4045469288313391E-3</v>
      </c>
      <c r="W51" t="b">
        <v>0</v>
      </c>
      <c r="X51">
        <v>1.4045469288313391E-3</v>
      </c>
      <c r="Y51">
        <v>1.4073079534569371E-3</v>
      </c>
      <c r="Z51" t="b">
        <v>0</v>
      </c>
      <c r="AA51">
        <v>1.4073079534569371E-3</v>
      </c>
      <c r="AB51">
        <v>1.4073079534569371E-3</v>
      </c>
      <c r="AC51" t="b">
        <v>0</v>
      </c>
      <c r="AD51">
        <v>1.4073079534569371E-3</v>
      </c>
      <c r="AE51">
        <v>1.4509892040508951E-3</v>
      </c>
      <c r="AF51" t="b">
        <v>0</v>
      </c>
      <c r="AG51">
        <v>1.4509892040508951E-3</v>
      </c>
      <c r="AH51">
        <v>1.4509892040508951E-3</v>
      </c>
      <c r="AI51" t="b">
        <v>0</v>
      </c>
      <c r="AJ51">
        <v>1.4509892040508951E-3</v>
      </c>
      <c r="AK51" t="b">
        <v>0</v>
      </c>
      <c r="AL51" t="b">
        <v>0</v>
      </c>
      <c r="AM51">
        <v>1796470294.1822331</v>
      </c>
      <c r="AN51" t="s">
        <v>162</v>
      </c>
      <c r="AO51">
        <f t="shared" si="0"/>
        <v>1.8725275133709478</v>
      </c>
      <c r="AP51">
        <f t="shared" si="1"/>
        <v>0.99999999999999967</v>
      </c>
    </row>
    <row r="52" spans="1:42" x14ac:dyDescent="0.25">
      <c r="A52" t="s">
        <v>46</v>
      </c>
      <c r="B52" t="s">
        <v>121</v>
      </c>
      <c r="C52" t="s">
        <v>158</v>
      </c>
      <c r="D52">
        <v>99181149</v>
      </c>
      <c r="E52">
        <v>0.6</v>
      </c>
      <c r="F52">
        <v>0.99999999999999989</v>
      </c>
      <c r="G52" t="s">
        <v>161</v>
      </c>
      <c r="H52" t="s">
        <v>121</v>
      </c>
      <c r="I52">
        <v>1</v>
      </c>
      <c r="J52">
        <v>15.576000000000001</v>
      </c>
      <c r="K52">
        <v>14.22</v>
      </c>
      <c r="L52">
        <v>1</v>
      </c>
      <c r="M52">
        <v>926907346.09440005</v>
      </c>
      <c r="N52">
        <v>7.4865282030764911E-4</v>
      </c>
      <c r="O52">
        <v>7.4865282030764911E-4</v>
      </c>
      <c r="P52">
        <v>1.162699287760704E-3</v>
      </c>
      <c r="Q52" t="b">
        <v>0</v>
      </c>
      <c r="R52">
        <v>1.162699287760704E-3</v>
      </c>
      <c r="S52">
        <v>1.162699287760704E-3</v>
      </c>
      <c r="T52" t="b">
        <v>0</v>
      </c>
      <c r="U52">
        <v>1.162699287760704E-3</v>
      </c>
      <c r="V52">
        <v>1.3570028066831909E-3</v>
      </c>
      <c r="W52" t="b">
        <v>0</v>
      </c>
      <c r="X52">
        <v>1.3570028066831909E-3</v>
      </c>
      <c r="Y52">
        <v>1.3596703702151371E-3</v>
      </c>
      <c r="Z52" t="b">
        <v>0</v>
      </c>
      <c r="AA52">
        <v>1.3596703702151371E-3</v>
      </c>
      <c r="AB52">
        <v>1.3596703702151371E-3</v>
      </c>
      <c r="AC52" t="b">
        <v>0</v>
      </c>
      <c r="AD52">
        <v>1.3596703702151371E-3</v>
      </c>
      <c r="AE52">
        <v>1.4018730039888289E-3</v>
      </c>
      <c r="AF52" t="b">
        <v>0</v>
      </c>
      <c r="AG52">
        <v>1.4018730039888289E-3</v>
      </c>
      <c r="AH52">
        <v>1.4018730039888289E-3</v>
      </c>
      <c r="AI52" t="b">
        <v>0</v>
      </c>
      <c r="AJ52">
        <v>1.4018730039888289E-3</v>
      </c>
      <c r="AK52" t="b">
        <v>0</v>
      </c>
      <c r="AL52" t="b">
        <v>0</v>
      </c>
      <c r="AM52">
        <v>1735659507.9074121</v>
      </c>
      <c r="AN52" t="s">
        <v>162</v>
      </c>
      <c r="AO52">
        <f t="shared" si="0"/>
        <v>1.8725275133709474</v>
      </c>
      <c r="AP52">
        <f t="shared" si="1"/>
        <v>0.99999999999999944</v>
      </c>
    </row>
    <row r="53" spans="1:42" x14ac:dyDescent="0.25">
      <c r="A53" t="s">
        <v>41</v>
      </c>
      <c r="B53" t="s">
        <v>116</v>
      </c>
      <c r="C53" t="s">
        <v>158</v>
      </c>
      <c r="D53">
        <v>45671645</v>
      </c>
      <c r="E53">
        <v>0.75</v>
      </c>
      <c r="F53">
        <v>0.99999999999999967</v>
      </c>
      <c r="G53" t="s">
        <v>161</v>
      </c>
      <c r="H53" t="s">
        <v>116</v>
      </c>
      <c r="I53">
        <v>1</v>
      </c>
      <c r="J53">
        <v>24.2</v>
      </c>
      <c r="K53">
        <v>23.28</v>
      </c>
      <c r="L53">
        <v>1</v>
      </c>
      <c r="M53">
        <v>828940356.75</v>
      </c>
      <c r="N53">
        <v>6.6952596563466329E-4</v>
      </c>
      <c r="O53">
        <v>6.6952596563466329E-4</v>
      </c>
      <c r="P53">
        <v>1.039810900680003E-3</v>
      </c>
      <c r="Q53" t="b">
        <v>0</v>
      </c>
      <c r="R53">
        <v>1.039810900680003E-3</v>
      </c>
      <c r="S53">
        <v>1.039810900680003E-3</v>
      </c>
      <c r="T53" t="b">
        <v>0</v>
      </c>
      <c r="U53">
        <v>1.039810900680003E-3</v>
      </c>
      <c r="V53">
        <v>1.213578029586739E-3</v>
      </c>
      <c r="W53" t="b">
        <v>0</v>
      </c>
      <c r="X53">
        <v>1.213578029586739E-3</v>
      </c>
      <c r="Y53">
        <v>1.215963652135898E-3</v>
      </c>
      <c r="Z53" t="b">
        <v>0</v>
      </c>
      <c r="AA53">
        <v>1.215963652135898E-3</v>
      </c>
      <c r="AB53">
        <v>1.215963652135898E-3</v>
      </c>
      <c r="AC53" t="b">
        <v>0</v>
      </c>
      <c r="AD53">
        <v>1.215963652135898E-3</v>
      </c>
      <c r="AE53">
        <v>1.253705791567159E-3</v>
      </c>
      <c r="AF53" t="b">
        <v>0</v>
      </c>
      <c r="AG53">
        <v>1.253705791567159E-3</v>
      </c>
      <c r="AH53">
        <v>1.253705791567159E-3</v>
      </c>
      <c r="AI53" t="b">
        <v>0</v>
      </c>
      <c r="AJ53">
        <v>1.253705791567159E-3</v>
      </c>
      <c r="AK53" t="b">
        <v>0</v>
      </c>
      <c r="AL53" t="b">
        <v>0</v>
      </c>
      <c r="AM53">
        <v>1552213624.9579041</v>
      </c>
      <c r="AN53" t="s">
        <v>162</v>
      </c>
      <c r="AO53">
        <f t="shared" si="0"/>
        <v>1.8725275133709482</v>
      </c>
      <c r="AP53">
        <f t="shared" si="1"/>
        <v>0.99999999999999989</v>
      </c>
    </row>
    <row r="54" spans="1:42" x14ac:dyDescent="0.25">
      <c r="A54" t="s">
        <v>19</v>
      </c>
      <c r="B54" t="s">
        <v>94</v>
      </c>
      <c r="C54" t="s">
        <v>158</v>
      </c>
      <c r="D54">
        <v>32504164</v>
      </c>
      <c r="E54">
        <v>0.95</v>
      </c>
      <c r="F54">
        <v>0.99999999999999978</v>
      </c>
      <c r="G54" t="s">
        <v>161</v>
      </c>
      <c r="H54" t="s">
        <v>94</v>
      </c>
      <c r="I54">
        <v>1</v>
      </c>
      <c r="J54">
        <v>25.96</v>
      </c>
      <c r="K54">
        <v>25.32</v>
      </c>
      <c r="L54">
        <v>1</v>
      </c>
      <c r="M54">
        <v>801617692.56799996</v>
      </c>
      <c r="N54">
        <v>6.4745775171407818E-4</v>
      </c>
      <c r="O54">
        <v>6.4745775171407818E-4</v>
      </c>
      <c r="P54">
        <v>1.005537742399411E-3</v>
      </c>
      <c r="Q54" t="b">
        <v>0</v>
      </c>
      <c r="R54">
        <v>1.005537742399411E-3</v>
      </c>
      <c r="S54">
        <v>1.005537742399411E-3</v>
      </c>
      <c r="T54" t="b">
        <v>0</v>
      </c>
      <c r="U54">
        <v>1.005537742399411E-3</v>
      </c>
      <c r="V54">
        <v>1.173577341128218E-3</v>
      </c>
      <c r="W54" t="b">
        <v>0</v>
      </c>
      <c r="X54">
        <v>1.173577341128218E-3</v>
      </c>
      <c r="Y54">
        <v>1.175884331284535E-3</v>
      </c>
      <c r="Z54" t="b">
        <v>0</v>
      </c>
      <c r="AA54">
        <v>1.175884331284535E-3</v>
      </c>
      <c r="AB54">
        <v>1.175884331284535E-3</v>
      </c>
      <c r="AC54" t="b">
        <v>0</v>
      </c>
      <c r="AD54">
        <v>1.175884331284535E-3</v>
      </c>
      <c r="AE54">
        <v>1.2123824538299069E-3</v>
      </c>
      <c r="AF54" t="b">
        <v>0</v>
      </c>
      <c r="AG54">
        <v>1.2123824538299069E-3</v>
      </c>
      <c r="AH54">
        <v>1.2123824538299069E-3</v>
      </c>
      <c r="AI54" t="b">
        <v>0</v>
      </c>
      <c r="AJ54">
        <v>1.2123824538299069E-3</v>
      </c>
      <c r="AK54" t="b">
        <v>0</v>
      </c>
      <c r="AL54" t="b">
        <v>0</v>
      </c>
      <c r="AM54">
        <v>1501051184.5385139</v>
      </c>
      <c r="AN54" t="s">
        <v>162</v>
      </c>
      <c r="AO54">
        <f t="shared" si="0"/>
        <v>1.8725275133709471</v>
      </c>
      <c r="AP54">
        <f t="shared" si="1"/>
        <v>0.99999999999999933</v>
      </c>
    </row>
    <row r="55" spans="1:42" x14ac:dyDescent="0.25">
      <c r="A55" t="s">
        <v>43</v>
      </c>
      <c r="B55" t="s">
        <v>118</v>
      </c>
      <c r="C55" t="s">
        <v>158</v>
      </c>
      <c r="D55">
        <v>112730967</v>
      </c>
      <c r="E55">
        <v>0.8</v>
      </c>
      <c r="F55">
        <v>0.99999999999999978</v>
      </c>
      <c r="G55" t="s">
        <v>161</v>
      </c>
      <c r="H55" t="s">
        <v>118</v>
      </c>
      <c r="I55">
        <v>1</v>
      </c>
      <c r="J55">
        <v>8.2799999999999994</v>
      </c>
      <c r="K55">
        <v>8.1649999999999991</v>
      </c>
      <c r="L55">
        <v>1</v>
      </c>
      <c r="M55">
        <v>746729925.40799999</v>
      </c>
      <c r="N55">
        <v>6.0312550873653828E-4</v>
      </c>
      <c r="O55">
        <v>6.0312550873653828E-4</v>
      </c>
      <c r="P55">
        <v>9.3668731408787665E-4</v>
      </c>
      <c r="Q55" t="b">
        <v>0</v>
      </c>
      <c r="R55">
        <v>9.3668731408787665E-4</v>
      </c>
      <c r="S55">
        <v>9.3668731408787665E-4</v>
      </c>
      <c r="T55" t="b">
        <v>0</v>
      </c>
      <c r="U55">
        <v>9.3668731408787665E-4</v>
      </c>
      <c r="V55">
        <v>1.0932210310800421E-3</v>
      </c>
      <c r="W55" t="b">
        <v>0</v>
      </c>
      <c r="X55">
        <v>1.0932210310800421E-3</v>
      </c>
      <c r="Y55">
        <v>1.0953700587316461E-3</v>
      </c>
      <c r="Z55" t="b">
        <v>0</v>
      </c>
      <c r="AA55">
        <v>1.0953700587316461E-3</v>
      </c>
      <c r="AB55">
        <v>1.0953700587316461E-3</v>
      </c>
      <c r="AC55" t="b">
        <v>0</v>
      </c>
      <c r="AD55">
        <v>1.0953700587316461E-3</v>
      </c>
      <c r="AE55">
        <v>1.1293691091250179E-3</v>
      </c>
      <c r="AF55" t="b">
        <v>0</v>
      </c>
      <c r="AG55">
        <v>1.1293691091250179E-3</v>
      </c>
      <c r="AH55">
        <v>1.1293691091250179E-3</v>
      </c>
      <c r="AI55" t="b">
        <v>0</v>
      </c>
      <c r="AJ55">
        <v>1.1293691091250179E-3</v>
      </c>
      <c r="AK55" t="b">
        <v>0</v>
      </c>
      <c r="AL55" t="b">
        <v>0</v>
      </c>
      <c r="AM55">
        <v>1398272330.3839149</v>
      </c>
      <c r="AN55" t="s">
        <v>162</v>
      </c>
      <c r="AO55">
        <f t="shared" si="0"/>
        <v>1.8725275133709478</v>
      </c>
      <c r="AP55">
        <f t="shared" si="1"/>
        <v>0.99999999999999967</v>
      </c>
    </row>
    <row r="56" spans="1:42" x14ac:dyDescent="0.25">
      <c r="A56" t="s">
        <v>71</v>
      </c>
      <c r="B56" t="s">
        <v>146</v>
      </c>
      <c r="C56" t="s">
        <v>158</v>
      </c>
      <c r="D56">
        <v>78750000</v>
      </c>
      <c r="E56">
        <v>0.35</v>
      </c>
      <c r="F56">
        <v>0.99999999999999967</v>
      </c>
      <c r="G56" t="s">
        <v>161</v>
      </c>
      <c r="H56" t="s">
        <v>146</v>
      </c>
      <c r="I56">
        <v>1</v>
      </c>
      <c r="J56">
        <v>27</v>
      </c>
      <c r="K56">
        <v>26.5</v>
      </c>
      <c r="L56">
        <v>1</v>
      </c>
      <c r="M56">
        <v>744187500</v>
      </c>
      <c r="N56">
        <v>6.0107201983050998E-4</v>
      </c>
      <c r="O56">
        <v>6.0107201983050998E-4</v>
      </c>
      <c r="P56">
        <v>9.3349813210164912E-4</v>
      </c>
      <c r="Q56" t="b">
        <v>0</v>
      </c>
      <c r="R56">
        <v>9.3349813210164912E-4</v>
      </c>
      <c r="S56">
        <v>9.3349813210164912E-4</v>
      </c>
      <c r="T56" t="b">
        <v>0</v>
      </c>
      <c r="U56">
        <v>9.3349813210164912E-4</v>
      </c>
      <c r="V56">
        <v>1.0894988916138101E-3</v>
      </c>
      <c r="W56" t="b">
        <v>0</v>
      </c>
      <c r="X56">
        <v>1.0894988916138101E-3</v>
      </c>
      <c r="Y56">
        <v>1.09164060237303E-3</v>
      </c>
      <c r="Z56" t="b">
        <v>0</v>
      </c>
      <c r="AA56">
        <v>1.09164060237303E-3</v>
      </c>
      <c r="AB56">
        <v>1.09164060237303E-3</v>
      </c>
      <c r="AC56" t="b">
        <v>0</v>
      </c>
      <c r="AD56">
        <v>1.09164060237303E-3</v>
      </c>
      <c r="AE56">
        <v>1.125523894650078E-3</v>
      </c>
      <c r="AF56" t="b">
        <v>0</v>
      </c>
      <c r="AG56">
        <v>1.125523894650078E-3</v>
      </c>
      <c r="AH56">
        <v>1.125523894650078E-3</v>
      </c>
      <c r="AI56" t="b">
        <v>0</v>
      </c>
      <c r="AJ56">
        <v>1.125523894650078E-3</v>
      </c>
      <c r="AK56" t="b">
        <v>0</v>
      </c>
      <c r="AL56" t="b">
        <v>0</v>
      </c>
      <c r="AM56">
        <v>1393511568.8567419</v>
      </c>
      <c r="AN56" t="s">
        <v>162</v>
      </c>
      <c r="AO56">
        <f t="shared" si="0"/>
        <v>1.872527513370948</v>
      </c>
      <c r="AP56">
        <f t="shared" si="1"/>
        <v>0.99999999999999978</v>
      </c>
    </row>
    <row r="57" spans="1:42" x14ac:dyDescent="0.25">
      <c r="A57" t="s">
        <v>81</v>
      </c>
      <c r="B57" t="s">
        <v>156</v>
      </c>
      <c r="C57" t="s">
        <v>158</v>
      </c>
      <c r="D57">
        <v>46396667</v>
      </c>
      <c r="E57">
        <v>0.8</v>
      </c>
      <c r="F57">
        <v>0.99999999999999978</v>
      </c>
      <c r="G57" t="s">
        <v>161</v>
      </c>
      <c r="H57" t="s">
        <v>156</v>
      </c>
      <c r="I57">
        <v>1</v>
      </c>
      <c r="J57">
        <v>18.940000000000001</v>
      </c>
      <c r="K57">
        <v>19.34</v>
      </c>
      <c r="L57">
        <v>1</v>
      </c>
      <c r="M57">
        <v>703002298.38400006</v>
      </c>
      <c r="N57">
        <v>5.6780718761758535E-4</v>
      </c>
      <c r="O57">
        <v>5.6780718761758535E-4</v>
      </c>
      <c r="P57">
        <v>8.8183600558277338E-4</v>
      </c>
      <c r="Q57" t="b">
        <v>0</v>
      </c>
      <c r="R57">
        <v>8.8183600558277338E-4</v>
      </c>
      <c r="S57">
        <v>8.8183600558277338E-4</v>
      </c>
      <c r="T57" t="b">
        <v>0</v>
      </c>
      <c r="U57">
        <v>8.8183600558277338E-4</v>
      </c>
      <c r="V57">
        <v>1.029203292035044E-3</v>
      </c>
      <c r="W57" t="b">
        <v>0</v>
      </c>
      <c r="X57">
        <v>1.029203292035044E-3</v>
      </c>
      <c r="Y57">
        <v>1.0312264751524769E-3</v>
      </c>
      <c r="Z57" t="b">
        <v>0</v>
      </c>
      <c r="AA57">
        <v>1.0312264751524769E-3</v>
      </c>
      <c r="AB57">
        <v>1.0312264751524769E-3</v>
      </c>
      <c r="AC57" t="b">
        <v>0</v>
      </c>
      <c r="AD57">
        <v>1.0312264751524769E-3</v>
      </c>
      <c r="AE57">
        <v>1.063234581103708E-3</v>
      </c>
      <c r="AF57" t="b">
        <v>0</v>
      </c>
      <c r="AG57">
        <v>1.063234581103708E-3</v>
      </c>
      <c r="AH57">
        <v>1.063234581103708E-3</v>
      </c>
      <c r="AI57" t="b">
        <v>0</v>
      </c>
      <c r="AJ57">
        <v>1.063234581103708E-3</v>
      </c>
      <c r="AK57" t="b">
        <v>0</v>
      </c>
      <c r="AL57" t="b">
        <v>0</v>
      </c>
      <c r="AM57">
        <v>1316391145.687053</v>
      </c>
      <c r="AN57" t="s">
        <v>162</v>
      </c>
      <c r="AO57">
        <f t="shared" si="0"/>
        <v>1.8725275133709474</v>
      </c>
      <c r="AP57">
        <f t="shared" si="1"/>
        <v>0.99999999999999944</v>
      </c>
    </row>
    <row r="58" spans="1:42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0.99999999999999989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461594187.60000002</v>
      </c>
      <c r="N58">
        <v>3.7282452430705351E-4</v>
      </c>
      <c r="O58">
        <v>3.7282452430705351E-4</v>
      </c>
      <c r="P58">
        <v>5.7901713199103478E-4</v>
      </c>
      <c r="Q58" t="b">
        <v>0</v>
      </c>
      <c r="R58">
        <v>5.7901713199103478E-4</v>
      </c>
      <c r="S58">
        <v>5.7901713199103478E-4</v>
      </c>
      <c r="T58" t="b">
        <v>0</v>
      </c>
      <c r="U58">
        <v>5.7901713199103478E-4</v>
      </c>
      <c r="V58">
        <v>6.75779095678948E-4</v>
      </c>
      <c r="W58" t="b">
        <v>0</v>
      </c>
      <c r="X58">
        <v>6.75779095678948E-4</v>
      </c>
      <c r="Y58">
        <v>6.7710752599788797E-4</v>
      </c>
      <c r="Z58" t="b">
        <v>0</v>
      </c>
      <c r="AA58">
        <v>6.7710752599788797E-4</v>
      </c>
      <c r="AB58">
        <v>6.7710752599788797E-4</v>
      </c>
      <c r="AC58" t="b">
        <v>0</v>
      </c>
      <c r="AD58">
        <v>6.7710752599788797E-4</v>
      </c>
      <c r="AE58">
        <v>6.9812417942439337E-4</v>
      </c>
      <c r="AF58" t="b">
        <v>0</v>
      </c>
      <c r="AG58">
        <v>6.9812417942439337E-4</v>
      </c>
      <c r="AH58">
        <v>6.9812417942439337E-4</v>
      </c>
      <c r="AI58" t="b">
        <v>0</v>
      </c>
      <c r="AJ58">
        <v>6.9812417942439337E-4</v>
      </c>
      <c r="AK58" t="b">
        <v>0</v>
      </c>
      <c r="AL58" t="b">
        <v>0</v>
      </c>
      <c r="AM58">
        <v>864347816.29311085</v>
      </c>
      <c r="AN58" t="s">
        <v>162</v>
      </c>
      <c r="AO58">
        <f t="shared" si="0"/>
        <v>1.8725275133709478</v>
      </c>
      <c r="AP58">
        <f t="shared" si="1"/>
        <v>0.99999999999999967</v>
      </c>
    </row>
    <row r="59" spans="1:42" x14ac:dyDescent="0.25">
      <c r="A59" t="s">
        <v>74</v>
      </c>
      <c r="B59" t="s">
        <v>149</v>
      </c>
      <c r="C59" t="s">
        <v>158</v>
      </c>
      <c r="D59">
        <v>14467056</v>
      </c>
      <c r="E59">
        <v>1</v>
      </c>
      <c r="F59">
        <v>0.99999999999999978</v>
      </c>
      <c r="G59" t="s">
        <v>161</v>
      </c>
      <c r="H59" t="s">
        <v>149</v>
      </c>
      <c r="I59">
        <v>1</v>
      </c>
      <c r="J59">
        <v>30.495000000000001</v>
      </c>
      <c r="K59">
        <v>28.155000000000001</v>
      </c>
      <c r="L59">
        <v>0</v>
      </c>
      <c r="M59">
        <v>441172872.72000003</v>
      </c>
      <c r="N59">
        <v>3.5633045395177821E-4</v>
      </c>
      <c r="O59">
        <v>3.5633045395177821E-4</v>
      </c>
      <c r="P59">
        <v>5.5340092734430313E-4</v>
      </c>
      <c r="Q59" t="b">
        <v>0</v>
      </c>
      <c r="R59">
        <v>5.5340092734430313E-4</v>
      </c>
      <c r="S59">
        <v>5.5340092734430313E-4</v>
      </c>
      <c r="T59" t="b">
        <v>0</v>
      </c>
      <c r="U59">
        <v>5.5340092734430313E-4</v>
      </c>
      <c r="V59">
        <v>6.4588206041961264E-4</v>
      </c>
      <c r="W59" t="b">
        <v>0</v>
      </c>
      <c r="X59">
        <v>6.4588206041961264E-4</v>
      </c>
      <c r="Y59">
        <v>6.4715171986455121E-4</v>
      </c>
      <c r="Z59" t="b">
        <v>0</v>
      </c>
      <c r="AA59">
        <v>6.4715171986455121E-4</v>
      </c>
      <c r="AB59">
        <v>6.4715171986455121E-4</v>
      </c>
      <c r="AC59" t="b">
        <v>0</v>
      </c>
      <c r="AD59">
        <v>6.4715171986455121E-4</v>
      </c>
      <c r="AE59">
        <v>6.6723857887666417E-4</v>
      </c>
      <c r="AF59" t="b">
        <v>0</v>
      </c>
      <c r="AG59">
        <v>6.6723857887666417E-4</v>
      </c>
      <c r="AH59">
        <v>6.6723857887666417E-4</v>
      </c>
      <c r="AI59" t="b">
        <v>0</v>
      </c>
      <c r="AJ59">
        <v>6.6723857887666417E-4</v>
      </c>
      <c r="AK59" t="b">
        <v>0</v>
      </c>
      <c r="AL59" t="b">
        <v>0</v>
      </c>
      <c r="AM59">
        <v>826108342.32109928</v>
      </c>
      <c r="AN59" t="s">
        <v>162</v>
      </c>
      <c r="AO59">
        <f t="shared" si="0"/>
        <v>1.8725275133709476</v>
      </c>
      <c r="AP59">
        <f t="shared" si="1"/>
        <v>0.99999999999999956</v>
      </c>
    </row>
    <row r="60" spans="1:42" x14ac:dyDescent="0.25">
      <c r="A60" t="s">
        <v>62</v>
      </c>
      <c r="B60" t="s">
        <v>137</v>
      </c>
      <c r="C60" t="s">
        <v>158</v>
      </c>
      <c r="D60">
        <v>508680625</v>
      </c>
      <c r="E60">
        <v>0.7</v>
      </c>
      <c r="F60">
        <v>0.99999999999999967</v>
      </c>
      <c r="G60" t="s">
        <v>161</v>
      </c>
      <c r="H60" t="s">
        <v>137</v>
      </c>
      <c r="I60">
        <v>1</v>
      </c>
      <c r="J60">
        <v>1.024</v>
      </c>
      <c r="K60">
        <v>0.96650000000000003</v>
      </c>
      <c r="L60">
        <v>1</v>
      </c>
      <c r="M60">
        <v>364622272</v>
      </c>
      <c r="N60">
        <v>2.9450137970098882E-4</v>
      </c>
      <c r="O60">
        <v>2.9450137970098882E-4</v>
      </c>
      <c r="P60">
        <v>4.5737695115096588E-4</v>
      </c>
      <c r="Q60" t="b">
        <v>0</v>
      </c>
      <c r="R60">
        <v>4.5737695115096588E-4</v>
      </c>
      <c r="S60">
        <v>4.5737695115096588E-4</v>
      </c>
      <c r="T60" t="b">
        <v>0</v>
      </c>
      <c r="U60">
        <v>4.5737695115096588E-4</v>
      </c>
      <c r="V60">
        <v>5.3381111776495732E-4</v>
      </c>
      <c r="W60" t="b">
        <v>0</v>
      </c>
      <c r="X60">
        <v>5.3381111776495732E-4</v>
      </c>
      <c r="Y60">
        <v>5.3486047084196206E-4</v>
      </c>
      <c r="Z60" t="b">
        <v>0</v>
      </c>
      <c r="AA60">
        <v>5.3486047084196206E-4</v>
      </c>
      <c r="AB60">
        <v>5.3486047084196206E-4</v>
      </c>
      <c r="AC60" t="b">
        <v>0</v>
      </c>
      <c r="AD60">
        <v>5.3486047084196206E-4</v>
      </c>
      <c r="AE60">
        <v>5.5146193621580589E-4</v>
      </c>
      <c r="AF60" t="b">
        <v>0</v>
      </c>
      <c r="AG60">
        <v>5.5146193621580589E-4</v>
      </c>
      <c r="AH60">
        <v>5.5146193621580589E-4</v>
      </c>
      <c r="AI60" t="b">
        <v>0</v>
      </c>
      <c r="AJ60">
        <v>5.5146193621580589E-4</v>
      </c>
      <c r="AK60" t="b">
        <v>0</v>
      </c>
      <c r="AL60" t="b">
        <v>0</v>
      </c>
      <c r="AM60">
        <v>682765236.30782533</v>
      </c>
      <c r="AN60" t="s">
        <v>162</v>
      </c>
      <c r="AO60">
        <f t="shared" si="0"/>
        <v>1.8725275133709476</v>
      </c>
      <c r="AP60">
        <f t="shared" si="1"/>
        <v>0.99999999999999956</v>
      </c>
    </row>
    <row r="61" spans="1:42" x14ac:dyDescent="0.25">
      <c r="A61" t="s">
        <v>73</v>
      </c>
      <c r="B61" t="s">
        <v>148</v>
      </c>
      <c r="C61" t="s">
        <v>158</v>
      </c>
      <c r="D61">
        <v>125000000</v>
      </c>
      <c r="E61">
        <v>0.5</v>
      </c>
      <c r="F61">
        <v>0.99999999999999967</v>
      </c>
      <c r="G61" t="s">
        <v>161</v>
      </c>
      <c r="H61" t="s">
        <v>148</v>
      </c>
      <c r="I61">
        <v>1</v>
      </c>
      <c r="J61">
        <v>5.09</v>
      </c>
      <c r="K61">
        <v>4.9960000000000004</v>
      </c>
      <c r="L61">
        <v>1</v>
      </c>
      <c r="M61">
        <v>318125000</v>
      </c>
      <c r="N61">
        <v>2.5694604694190769E-4</v>
      </c>
      <c r="O61">
        <v>2.5694604694190769E-4</v>
      </c>
      <c r="P61">
        <v>3.9905143969071909E-4</v>
      </c>
      <c r="Q61" t="b">
        <v>0</v>
      </c>
      <c r="R61">
        <v>3.9905143969071909E-4</v>
      </c>
      <c r="S61">
        <v>3.9905143969071909E-4</v>
      </c>
      <c r="T61" t="b">
        <v>0</v>
      </c>
      <c r="U61">
        <v>3.9905143969071909E-4</v>
      </c>
      <c r="V61">
        <v>4.6573858724399859E-4</v>
      </c>
      <c r="W61" t="b">
        <v>0</v>
      </c>
      <c r="X61">
        <v>4.6573858724399859E-4</v>
      </c>
      <c r="Y61">
        <v>4.6665412497511711E-4</v>
      </c>
      <c r="Z61" t="b">
        <v>0</v>
      </c>
      <c r="AA61">
        <v>4.6665412497511711E-4</v>
      </c>
      <c r="AB61">
        <v>4.6665412497511711E-4</v>
      </c>
      <c r="AC61" t="b">
        <v>0</v>
      </c>
      <c r="AD61">
        <v>4.6665412497511711E-4</v>
      </c>
      <c r="AE61">
        <v>4.8113854235062528E-4</v>
      </c>
      <c r="AF61" t="b">
        <v>0</v>
      </c>
      <c r="AG61">
        <v>4.8113854235062528E-4</v>
      </c>
      <c r="AH61">
        <v>4.8113854235062528E-4</v>
      </c>
      <c r="AI61" t="b">
        <v>0</v>
      </c>
      <c r="AJ61">
        <v>4.8113854235062528E-4</v>
      </c>
      <c r="AK61" t="b">
        <v>0</v>
      </c>
      <c r="AL61" t="b">
        <v>0</v>
      </c>
      <c r="AM61">
        <v>595697815.19113266</v>
      </c>
      <c r="AN61" t="s">
        <v>162</v>
      </c>
      <c r="AO61">
        <f t="shared" si="0"/>
        <v>1.872527513370948</v>
      </c>
      <c r="AP61">
        <f t="shared" si="1"/>
        <v>0.99999999999999978</v>
      </c>
    </row>
    <row r="62" spans="1:42" x14ac:dyDescent="0.25">
      <c r="A62" t="s">
        <v>59</v>
      </c>
      <c r="B62" t="s">
        <v>134</v>
      </c>
      <c r="C62" t="s">
        <v>158</v>
      </c>
      <c r="D62">
        <v>211357989</v>
      </c>
      <c r="E62">
        <v>0.45</v>
      </c>
      <c r="F62">
        <v>0.99999999999999967</v>
      </c>
      <c r="G62" t="s">
        <v>161</v>
      </c>
      <c r="H62" t="s">
        <v>134</v>
      </c>
      <c r="I62">
        <v>1</v>
      </c>
      <c r="J62">
        <v>2.992</v>
      </c>
      <c r="K62">
        <v>3.3380000000000001</v>
      </c>
      <c r="L62">
        <v>1</v>
      </c>
      <c r="M62">
        <v>284572396.38959998</v>
      </c>
      <c r="N62">
        <v>2.2984597979125611E-4</v>
      </c>
      <c r="O62">
        <v>2.2984597979125611E-4</v>
      </c>
      <c r="P62">
        <v>3.5696353469707792E-4</v>
      </c>
      <c r="Q62" t="b">
        <v>0</v>
      </c>
      <c r="R62">
        <v>3.5696353469707792E-4</v>
      </c>
      <c r="S62">
        <v>3.5696353469707792E-4</v>
      </c>
      <c r="T62" t="b">
        <v>0</v>
      </c>
      <c r="U62">
        <v>3.5696353469707792E-4</v>
      </c>
      <c r="V62">
        <v>4.1661719721220109E-4</v>
      </c>
      <c r="W62" t="b">
        <v>0</v>
      </c>
      <c r="X62">
        <v>4.1661719721220109E-4</v>
      </c>
      <c r="Y62">
        <v>4.1743617329433698E-4</v>
      </c>
      <c r="Z62" t="b">
        <v>0</v>
      </c>
      <c r="AA62">
        <v>4.1743617329433698E-4</v>
      </c>
      <c r="AB62">
        <v>4.1743617329433698E-4</v>
      </c>
      <c r="AC62" t="b">
        <v>0</v>
      </c>
      <c r="AD62">
        <v>4.1743617329433698E-4</v>
      </c>
      <c r="AE62">
        <v>4.3039292099682978E-4</v>
      </c>
      <c r="AF62" t="b">
        <v>0</v>
      </c>
      <c r="AG62">
        <v>4.3039292099682978E-4</v>
      </c>
      <c r="AH62">
        <v>4.3039292099682978E-4</v>
      </c>
      <c r="AI62" t="b">
        <v>0</v>
      </c>
      <c r="AJ62">
        <v>4.3039292099682978E-4</v>
      </c>
      <c r="AK62" t="b">
        <v>0</v>
      </c>
      <c r="AL62" t="b">
        <v>0</v>
      </c>
      <c r="AM62">
        <v>532869641.7854293</v>
      </c>
      <c r="AN62" t="s">
        <v>162</v>
      </c>
      <c r="AO62">
        <f t="shared" si="0"/>
        <v>1.8725275133709471</v>
      </c>
      <c r="AP62">
        <f t="shared" si="1"/>
        <v>0.99999999999999933</v>
      </c>
    </row>
    <row r="63" spans="1:42" x14ac:dyDescent="0.25">
      <c r="A63" t="s">
        <v>56</v>
      </c>
      <c r="B63" t="s">
        <v>131</v>
      </c>
      <c r="C63" t="s">
        <v>158</v>
      </c>
      <c r="D63">
        <v>6692920</v>
      </c>
      <c r="E63">
        <v>0.45</v>
      </c>
      <c r="F63">
        <v>0.99999999999999989</v>
      </c>
      <c r="G63" t="s">
        <v>161</v>
      </c>
      <c r="H63" t="s">
        <v>131</v>
      </c>
      <c r="I63">
        <v>1</v>
      </c>
      <c r="J63">
        <v>89</v>
      </c>
      <c r="K63">
        <v>91.8</v>
      </c>
      <c r="L63">
        <v>1</v>
      </c>
      <c r="M63">
        <v>268051446</v>
      </c>
      <c r="N63">
        <v>2.1650219073245501E-4</v>
      </c>
      <c r="O63">
        <v>2.1650219073245501E-4</v>
      </c>
      <c r="P63">
        <v>3.362398913555335E-4</v>
      </c>
      <c r="Q63" t="b">
        <v>0</v>
      </c>
      <c r="R63">
        <v>3.362398913555335E-4</v>
      </c>
      <c r="S63">
        <v>3.362398913555335E-4</v>
      </c>
      <c r="T63" t="b">
        <v>0</v>
      </c>
      <c r="U63">
        <v>3.362398913555335E-4</v>
      </c>
      <c r="V63">
        <v>3.9243033954813682E-4</v>
      </c>
      <c r="W63" t="b">
        <v>0</v>
      </c>
      <c r="X63">
        <v>3.9243033954813682E-4</v>
      </c>
      <c r="Y63">
        <v>3.9320176968627081E-4</v>
      </c>
      <c r="Z63" t="b">
        <v>0</v>
      </c>
      <c r="AA63">
        <v>3.9320176968627081E-4</v>
      </c>
      <c r="AB63">
        <v>3.9320176968627081E-4</v>
      </c>
      <c r="AC63" t="b">
        <v>0</v>
      </c>
      <c r="AD63">
        <v>3.9320176968627081E-4</v>
      </c>
      <c r="AE63">
        <v>4.0540630885160681E-4</v>
      </c>
      <c r="AF63" t="b">
        <v>0</v>
      </c>
      <c r="AG63">
        <v>4.0540630885160681E-4</v>
      </c>
      <c r="AH63">
        <v>4.0540630885160681E-4</v>
      </c>
      <c r="AI63" t="b">
        <v>0</v>
      </c>
      <c r="AJ63">
        <v>4.0540630885160681E-4</v>
      </c>
      <c r="AK63" t="b">
        <v>0</v>
      </c>
      <c r="AL63" t="b">
        <v>0</v>
      </c>
      <c r="AM63">
        <v>501933707.63386703</v>
      </c>
      <c r="AN63" t="s">
        <v>162</v>
      </c>
      <c r="AO63">
        <f t="shared" si="0"/>
        <v>1.8725275133709485</v>
      </c>
      <c r="AP63">
        <f t="shared" si="1"/>
        <v>1</v>
      </c>
    </row>
    <row r="64" spans="1:42" x14ac:dyDescent="0.25">
      <c r="A64" t="s">
        <v>58</v>
      </c>
      <c r="B64" t="s">
        <v>133</v>
      </c>
      <c r="C64" t="s">
        <v>158</v>
      </c>
      <c r="D64">
        <v>20155221</v>
      </c>
      <c r="E64">
        <v>0.65</v>
      </c>
      <c r="F64">
        <v>0.99999999999999978</v>
      </c>
      <c r="G64" t="s">
        <v>161</v>
      </c>
      <c r="H64" t="s">
        <v>133</v>
      </c>
      <c r="I64">
        <v>1</v>
      </c>
      <c r="J64">
        <v>19.18</v>
      </c>
      <c r="K64">
        <v>20.149999999999999</v>
      </c>
      <c r="L64">
        <v>1</v>
      </c>
      <c r="M64">
        <v>251275140.20699999</v>
      </c>
      <c r="N64">
        <v>2.0295215393622721E-4</v>
      </c>
      <c r="O64">
        <v>2.0295215393622721E-4</v>
      </c>
      <c r="P64">
        <v>3.1519593385647359E-4</v>
      </c>
      <c r="Q64" t="b">
        <v>0</v>
      </c>
      <c r="R64">
        <v>3.1519593385647359E-4</v>
      </c>
      <c r="S64">
        <v>3.1519593385647359E-4</v>
      </c>
      <c r="T64" t="b">
        <v>0</v>
      </c>
      <c r="U64">
        <v>3.1519593385647359E-4</v>
      </c>
      <c r="V64">
        <v>3.6786963869405391E-4</v>
      </c>
      <c r="W64" t="b">
        <v>0</v>
      </c>
      <c r="X64">
        <v>3.6786963869405391E-4</v>
      </c>
      <c r="Y64">
        <v>3.6859278799621998E-4</v>
      </c>
      <c r="Z64" t="b">
        <v>0</v>
      </c>
      <c r="AA64">
        <v>3.6859278799621998E-4</v>
      </c>
      <c r="AB64">
        <v>3.6859278799621998E-4</v>
      </c>
      <c r="AC64" t="b">
        <v>0</v>
      </c>
      <c r="AD64">
        <v>3.6859278799621998E-4</v>
      </c>
      <c r="AE64">
        <v>3.8003349214348129E-4</v>
      </c>
      <c r="AF64" t="b">
        <v>0</v>
      </c>
      <c r="AG64">
        <v>3.8003349214348129E-4</v>
      </c>
      <c r="AH64">
        <v>3.8003349214348129E-4</v>
      </c>
      <c r="AI64" t="b">
        <v>0</v>
      </c>
      <c r="AJ64">
        <v>3.8003349214348129E-4</v>
      </c>
      <c r="AK64" t="b">
        <v>0</v>
      </c>
      <c r="AL64" t="b">
        <v>0</v>
      </c>
      <c r="AM64">
        <v>470519613.46375</v>
      </c>
      <c r="AN64" t="s">
        <v>162</v>
      </c>
      <c r="AO64">
        <f t="shared" si="0"/>
        <v>1.8725275133709476</v>
      </c>
      <c r="AP64">
        <f t="shared" si="1"/>
        <v>0.99999999999999956</v>
      </c>
    </row>
    <row r="65" spans="1:42" x14ac:dyDescent="0.25">
      <c r="A65" t="s">
        <v>40</v>
      </c>
      <c r="B65" t="s">
        <v>115</v>
      </c>
      <c r="C65" t="s">
        <v>158</v>
      </c>
      <c r="D65">
        <v>91300000</v>
      </c>
      <c r="E65">
        <v>0.3</v>
      </c>
      <c r="F65">
        <v>0.99999999999999978</v>
      </c>
      <c r="G65" t="s">
        <v>161</v>
      </c>
      <c r="H65" t="s">
        <v>115</v>
      </c>
      <c r="I65">
        <v>1</v>
      </c>
      <c r="J65">
        <v>9.0299999999999994</v>
      </c>
      <c r="K65">
        <v>8.17</v>
      </c>
      <c r="L65">
        <v>1</v>
      </c>
      <c r="M65">
        <v>247331700</v>
      </c>
      <c r="N65">
        <v>1.997670808594793E-4</v>
      </c>
      <c r="O65">
        <v>1.997670808594793E-4</v>
      </c>
      <c r="P65">
        <v>3.1024933898987211E-4</v>
      </c>
      <c r="Q65" t="b">
        <v>0</v>
      </c>
      <c r="R65">
        <v>3.1024933898987211E-4</v>
      </c>
      <c r="S65">
        <v>3.1024933898987211E-4</v>
      </c>
      <c r="T65" t="b">
        <v>0</v>
      </c>
      <c r="U65">
        <v>3.1024933898987211E-4</v>
      </c>
      <c r="V65">
        <v>3.6209639776394972E-4</v>
      </c>
      <c r="W65" t="b">
        <v>0</v>
      </c>
      <c r="X65">
        <v>3.6209639776394972E-4</v>
      </c>
      <c r="Y65">
        <v>3.6280819816772707E-4</v>
      </c>
      <c r="Z65" t="b">
        <v>0</v>
      </c>
      <c r="AA65">
        <v>3.6280819816772707E-4</v>
      </c>
      <c r="AB65">
        <v>3.6280819816772707E-4</v>
      </c>
      <c r="AC65" t="b">
        <v>0</v>
      </c>
      <c r="AD65">
        <v>3.6280819816772707E-4</v>
      </c>
      <c r="AE65">
        <v>3.7406935517517382E-4</v>
      </c>
      <c r="AF65" t="b">
        <v>0</v>
      </c>
      <c r="AG65">
        <v>3.7406935517517382E-4</v>
      </c>
      <c r="AH65">
        <v>3.7406935517517382E-4</v>
      </c>
      <c r="AI65" t="b">
        <v>0</v>
      </c>
      <c r="AJ65">
        <v>3.7406935517517382E-4</v>
      </c>
      <c r="AK65" t="b">
        <v>0</v>
      </c>
      <c r="AL65" t="b">
        <v>0</v>
      </c>
      <c r="AM65">
        <v>463135413.17880923</v>
      </c>
      <c r="AN65" t="s">
        <v>162</v>
      </c>
      <c r="AO65">
        <f t="shared" si="0"/>
        <v>1.8725275133709478</v>
      </c>
      <c r="AP65">
        <f t="shared" si="1"/>
        <v>0.99999999999999967</v>
      </c>
    </row>
    <row r="66" spans="1:42" x14ac:dyDescent="0.25">
      <c r="A66" t="s">
        <v>78</v>
      </c>
      <c r="B66" t="s">
        <v>153</v>
      </c>
      <c r="C66" t="s">
        <v>160</v>
      </c>
      <c r="D66">
        <v>19469032</v>
      </c>
      <c r="E66">
        <v>0.4</v>
      </c>
      <c r="F66">
        <v>0.99999999999999967</v>
      </c>
      <c r="G66" t="s">
        <v>161</v>
      </c>
      <c r="H66" t="s">
        <v>153</v>
      </c>
      <c r="I66">
        <v>1</v>
      </c>
      <c r="J66">
        <v>31.1</v>
      </c>
      <c r="K66">
        <v>29.7</v>
      </c>
      <c r="L66">
        <v>1</v>
      </c>
      <c r="M66">
        <v>242194758.08000001</v>
      </c>
      <c r="N66">
        <v>1.9561802963837389E-4</v>
      </c>
      <c r="O66">
        <v>1.9561802963837389E-4</v>
      </c>
      <c r="P66">
        <v>3.0380563268328319E-4</v>
      </c>
      <c r="Q66" t="b">
        <v>0</v>
      </c>
      <c r="R66">
        <v>3.0380563268328319E-4</v>
      </c>
      <c r="S66">
        <v>3.0380563268328319E-4</v>
      </c>
      <c r="T66" t="b">
        <v>0</v>
      </c>
      <c r="U66">
        <v>3.0380563268328319E-4</v>
      </c>
      <c r="V66">
        <v>3.5457585686783888E-4</v>
      </c>
      <c r="W66" t="b">
        <v>0</v>
      </c>
      <c r="X66">
        <v>3.5457585686783888E-4</v>
      </c>
      <c r="Y66">
        <v>3.5527287357291188E-4</v>
      </c>
      <c r="Z66" t="b">
        <v>0</v>
      </c>
      <c r="AA66">
        <v>3.5527287357291188E-4</v>
      </c>
      <c r="AB66">
        <v>3.5527287357291188E-4</v>
      </c>
      <c r="AC66" t="b">
        <v>0</v>
      </c>
      <c r="AD66">
        <v>3.5527287357291188E-4</v>
      </c>
      <c r="AE66">
        <v>3.6630014260926848E-4</v>
      </c>
      <c r="AF66" t="b">
        <v>0</v>
      </c>
      <c r="AG66">
        <v>3.6630014260926848E-4</v>
      </c>
      <c r="AH66">
        <v>3.6630014260926848E-4</v>
      </c>
      <c r="AI66" t="b">
        <v>0</v>
      </c>
      <c r="AJ66">
        <v>3.6630014260926848E-4</v>
      </c>
      <c r="AK66" t="b">
        <v>0</v>
      </c>
      <c r="AL66" t="b">
        <v>0</v>
      </c>
      <c r="AM66">
        <v>453516348.09902072</v>
      </c>
      <c r="AN66" t="s">
        <v>162</v>
      </c>
      <c r="AO66">
        <f t="shared" si="0"/>
        <v>1.8725275133709471</v>
      </c>
      <c r="AP66">
        <f t="shared" si="1"/>
        <v>0.99999999999999933</v>
      </c>
    </row>
    <row r="67" spans="1:42" x14ac:dyDescent="0.25">
      <c r="A67" t="s">
        <v>35</v>
      </c>
      <c r="B67" t="s">
        <v>110</v>
      </c>
      <c r="C67" t="s">
        <v>158</v>
      </c>
      <c r="D67">
        <v>66090377</v>
      </c>
      <c r="E67">
        <v>0.70000000000000007</v>
      </c>
      <c r="F67">
        <v>0.99999999999999978</v>
      </c>
      <c r="G67" t="s">
        <v>161</v>
      </c>
      <c r="H67" t="s">
        <v>110</v>
      </c>
      <c r="I67">
        <v>1</v>
      </c>
      <c r="J67">
        <v>5.22</v>
      </c>
      <c r="K67">
        <v>4.6900000000000004</v>
      </c>
      <c r="L67">
        <v>1</v>
      </c>
      <c r="M67">
        <v>241494237.558</v>
      </c>
      <c r="N67">
        <v>1.9505222695411579E-4</v>
      </c>
      <c r="O67">
        <v>1.9505222695411579E-4</v>
      </c>
      <c r="P67">
        <v>3.0292690978242043E-4</v>
      </c>
      <c r="Q67" t="b">
        <v>0</v>
      </c>
      <c r="R67">
        <v>3.0292690978242043E-4</v>
      </c>
      <c r="S67">
        <v>3.0292690978242043E-4</v>
      </c>
      <c r="T67" t="b">
        <v>0</v>
      </c>
      <c r="U67">
        <v>3.0292690978242043E-4</v>
      </c>
      <c r="V67">
        <v>3.5355028692441511E-4</v>
      </c>
      <c r="W67" t="b">
        <v>0</v>
      </c>
      <c r="X67">
        <v>3.5355028692441511E-4</v>
      </c>
      <c r="Y67">
        <v>3.5424528758872008E-4</v>
      </c>
      <c r="Z67" t="b">
        <v>0</v>
      </c>
      <c r="AA67">
        <v>3.5424528758872008E-4</v>
      </c>
      <c r="AB67">
        <v>3.5424528758872008E-4</v>
      </c>
      <c r="AC67" t="b">
        <v>0</v>
      </c>
      <c r="AD67">
        <v>3.5424528758872008E-4</v>
      </c>
      <c r="AE67">
        <v>3.6524066151585627E-4</v>
      </c>
      <c r="AF67" t="b">
        <v>0</v>
      </c>
      <c r="AG67">
        <v>3.6524066151585627E-4</v>
      </c>
      <c r="AH67">
        <v>3.6524066151585627E-4</v>
      </c>
      <c r="AI67" t="b">
        <v>0</v>
      </c>
      <c r="AJ67">
        <v>3.6524066151585627E-4</v>
      </c>
      <c r="AK67" t="b">
        <v>0</v>
      </c>
      <c r="AL67" t="b">
        <v>0</v>
      </c>
      <c r="AM67">
        <v>452204604.1478948</v>
      </c>
      <c r="AN67" t="s">
        <v>162</v>
      </c>
      <c r="AO67">
        <f t="shared" ref="AO67:AO76" si="2">AJ67/N67</f>
        <v>1.872527513370948</v>
      </c>
      <c r="AP67">
        <f t="shared" ref="AP67:AP76" si="3">AO67/MAX($AO$2:$AO$76)</f>
        <v>0.99999999999999978</v>
      </c>
    </row>
    <row r="68" spans="1:42" x14ac:dyDescent="0.25">
      <c r="A68" t="s">
        <v>17</v>
      </c>
      <c r="B68" t="s">
        <v>92</v>
      </c>
      <c r="C68" t="s">
        <v>158</v>
      </c>
      <c r="D68">
        <v>21750000</v>
      </c>
      <c r="E68">
        <v>1</v>
      </c>
      <c r="F68">
        <v>0.99999999999999967</v>
      </c>
      <c r="G68" t="s">
        <v>161</v>
      </c>
      <c r="H68" t="s">
        <v>92</v>
      </c>
      <c r="I68">
        <v>1</v>
      </c>
      <c r="J68">
        <v>10.315</v>
      </c>
      <c r="K68">
        <v>9.7919999999999998</v>
      </c>
      <c r="L68">
        <v>1</v>
      </c>
      <c r="M68">
        <v>224351250</v>
      </c>
      <c r="N68">
        <v>1.8120602534845009E-4</v>
      </c>
      <c r="O68">
        <v>1.8120602534845009E-4</v>
      </c>
      <c r="P68">
        <v>2.8142299193371299E-4</v>
      </c>
      <c r="Q68" t="b">
        <v>0</v>
      </c>
      <c r="R68">
        <v>2.8142299193371299E-4</v>
      </c>
      <c r="S68">
        <v>2.8142299193371299E-4</v>
      </c>
      <c r="T68" t="b">
        <v>0</v>
      </c>
      <c r="U68">
        <v>2.8142299193371299E-4</v>
      </c>
      <c r="V68">
        <v>3.2845275983159192E-4</v>
      </c>
      <c r="W68" t="b">
        <v>0</v>
      </c>
      <c r="X68">
        <v>3.2845275983159192E-4</v>
      </c>
      <c r="Y68">
        <v>3.2909842437979958E-4</v>
      </c>
      <c r="Z68" t="b">
        <v>0</v>
      </c>
      <c r="AA68">
        <v>3.2909842437979958E-4</v>
      </c>
      <c r="AB68">
        <v>3.2909842437979958E-4</v>
      </c>
      <c r="AC68" t="b">
        <v>0</v>
      </c>
      <c r="AD68">
        <v>3.2909842437979958E-4</v>
      </c>
      <c r="AE68">
        <v>3.3931326805356621E-4</v>
      </c>
      <c r="AF68" t="b">
        <v>0</v>
      </c>
      <c r="AG68">
        <v>3.3931326805356621E-4</v>
      </c>
      <c r="AH68">
        <v>3.3931326805356621E-4</v>
      </c>
      <c r="AI68" t="b">
        <v>0</v>
      </c>
      <c r="AJ68">
        <v>3.3931326805356621E-4</v>
      </c>
      <c r="AK68" t="b">
        <v>0</v>
      </c>
      <c r="AL68" t="b">
        <v>0</v>
      </c>
      <c r="AM68">
        <v>420103888.28416377</v>
      </c>
      <c r="AN68" t="s">
        <v>162</v>
      </c>
      <c r="AO68">
        <f t="shared" si="2"/>
        <v>1.872527513370948</v>
      </c>
      <c r="AP68">
        <f t="shared" si="3"/>
        <v>0.99999999999999978</v>
      </c>
    </row>
    <row r="69" spans="1:42" x14ac:dyDescent="0.25">
      <c r="A69" t="s">
        <v>70</v>
      </c>
      <c r="B69" t="s">
        <v>145</v>
      </c>
      <c r="C69" t="s">
        <v>158</v>
      </c>
      <c r="D69">
        <v>44255015</v>
      </c>
      <c r="E69">
        <v>0.45</v>
      </c>
      <c r="F69">
        <v>0.99999999999999967</v>
      </c>
      <c r="G69" t="s">
        <v>161</v>
      </c>
      <c r="H69" t="s">
        <v>145</v>
      </c>
      <c r="I69">
        <v>1</v>
      </c>
      <c r="J69">
        <v>9.73</v>
      </c>
      <c r="K69">
        <v>9.36</v>
      </c>
      <c r="L69">
        <v>1</v>
      </c>
      <c r="M69">
        <v>193770583.17750001</v>
      </c>
      <c r="N69">
        <v>1.5650635869889751E-4</v>
      </c>
      <c r="O69">
        <v>1.5650635869889751E-4</v>
      </c>
      <c r="P69">
        <v>2.4306304184421729E-4</v>
      </c>
      <c r="Q69" t="b">
        <v>0</v>
      </c>
      <c r="R69">
        <v>2.4306304184421729E-4</v>
      </c>
      <c r="S69">
        <v>2.4306304184421729E-4</v>
      </c>
      <c r="T69" t="b">
        <v>0</v>
      </c>
      <c r="U69">
        <v>2.4306304184421729E-4</v>
      </c>
      <c r="V69">
        <v>2.8368231876946043E-4</v>
      </c>
      <c r="W69" t="b">
        <v>0</v>
      </c>
      <c r="X69">
        <v>2.8368231876946043E-4</v>
      </c>
      <c r="Y69">
        <v>2.842399746596917E-4</v>
      </c>
      <c r="Z69" t="b">
        <v>0</v>
      </c>
      <c r="AA69">
        <v>2.842399746596917E-4</v>
      </c>
      <c r="AB69">
        <v>2.842399746596917E-4</v>
      </c>
      <c r="AC69" t="b">
        <v>0</v>
      </c>
      <c r="AD69">
        <v>2.842399746596917E-4</v>
      </c>
      <c r="AE69">
        <v>2.9306246268118809E-4</v>
      </c>
      <c r="AF69" t="b">
        <v>0</v>
      </c>
      <c r="AG69">
        <v>2.9306246268118809E-4</v>
      </c>
      <c r="AH69">
        <v>2.9306246268118809E-4</v>
      </c>
      <c r="AI69" t="b">
        <v>0</v>
      </c>
      <c r="AJ69">
        <v>2.9306246268118809E-4</v>
      </c>
      <c r="AK69" t="b">
        <v>0</v>
      </c>
      <c r="AL69" t="b">
        <v>0</v>
      </c>
      <c r="AM69">
        <v>362840748.28180248</v>
      </c>
      <c r="AN69" t="s">
        <v>162</v>
      </c>
      <c r="AO69">
        <f t="shared" si="2"/>
        <v>1.8725275133709474</v>
      </c>
      <c r="AP69">
        <f t="shared" si="3"/>
        <v>0.99999999999999944</v>
      </c>
    </row>
    <row r="70" spans="1:42" x14ac:dyDescent="0.25">
      <c r="A70" t="s">
        <v>42</v>
      </c>
      <c r="B70" t="s">
        <v>117</v>
      </c>
      <c r="C70" t="s">
        <v>158</v>
      </c>
      <c r="D70">
        <v>89283817</v>
      </c>
      <c r="E70">
        <v>0.45</v>
      </c>
      <c r="F70">
        <v>0.99999999999999967</v>
      </c>
      <c r="G70" t="s">
        <v>161</v>
      </c>
      <c r="H70" t="s">
        <v>117</v>
      </c>
      <c r="I70">
        <v>1</v>
      </c>
      <c r="J70">
        <v>4.2949999999999999</v>
      </c>
      <c r="K70">
        <v>4.28</v>
      </c>
      <c r="L70">
        <v>1</v>
      </c>
      <c r="M70">
        <v>172563297.30675</v>
      </c>
      <c r="N70">
        <v>1.3937746826005681E-4</v>
      </c>
      <c r="O70">
        <v>1.3937746826005681E-4</v>
      </c>
      <c r="P70">
        <v>2.1646092645355189E-4</v>
      </c>
      <c r="Q70" t="b">
        <v>0</v>
      </c>
      <c r="R70">
        <v>2.1646092645355189E-4</v>
      </c>
      <c r="S70">
        <v>2.1646092645355189E-4</v>
      </c>
      <c r="T70" t="b">
        <v>0</v>
      </c>
      <c r="U70">
        <v>2.1646092645355189E-4</v>
      </c>
      <c r="V70">
        <v>2.5263461311689391E-4</v>
      </c>
      <c r="W70" t="b">
        <v>0</v>
      </c>
      <c r="X70">
        <v>2.5263461311689391E-4</v>
      </c>
      <c r="Y70">
        <v>2.5313123617289561E-4</v>
      </c>
      <c r="Z70" t="b">
        <v>0</v>
      </c>
      <c r="AA70">
        <v>2.5313123617289561E-4</v>
      </c>
      <c r="AB70">
        <v>2.5313123617289561E-4</v>
      </c>
      <c r="AC70" t="b">
        <v>0</v>
      </c>
      <c r="AD70">
        <v>2.5313123617289561E-4</v>
      </c>
      <c r="AE70">
        <v>2.609881440609423E-4</v>
      </c>
      <c r="AF70" t="b">
        <v>0</v>
      </c>
      <c r="AG70">
        <v>2.609881440609423E-4</v>
      </c>
      <c r="AH70">
        <v>2.609881440609423E-4</v>
      </c>
      <c r="AI70" t="b">
        <v>0</v>
      </c>
      <c r="AJ70">
        <v>2.609881440609423E-4</v>
      </c>
      <c r="AK70" t="b">
        <v>0</v>
      </c>
      <c r="AL70" t="b">
        <v>0</v>
      </c>
      <c r="AM70">
        <v>323129522.0049001</v>
      </c>
      <c r="AN70" t="s">
        <v>162</v>
      </c>
      <c r="AO70">
        <f t="shared" si="2"/>
        <v>1.8725275133709474</v>
      </c>
      <c r="AP70">
        <f t="shared" si="3"/>
        <v>0.99999999999999944</v>
      </c>
    </row>
    <row r="71" spans="1:42" x14ac:dyDescent="0.25">
      <c r="A71" t="s">
        <v>53</v>
      </c>
      <c r="B71" t="s">
        <v>128</v>
      </c>
      <c r="C71" t="s">
        <v>158</v>
      </c>
      <c r="D71">
        <v>15807427</v>
      </c>
      <c r="E71">
        <v>0.75</v>
      </c>
      <c r="F71">
        <v>0.99999999999999978</v>
      </c>
      <c r="G71" t="s">
        <v>161</v>
      </c>
      <c r="H71" t="s">
        <v>128</v>
      </c>
      <c r="I71">
        <v>1</v>
      </c>
      <c r="J71">
        <v>13.6</v>
      </c>
      <c r="K71">
        <v>13.48</v>
      </c>
      <c r="L71">
        <v>1</v>
      </c>
      <c r="M71">
        <v>161235755.40000001</v>
      </c>
      <c r="N71">
        <v>1.3022833784117051E-4</v>
      </c>
      <c r="O71">
        <v>1.3022833784117051E-4</v>
      </c>
      <c r="P71">
        <v>2.022518202655895E-4</v>
      </c>
      <c r="Q71" t="b">
        <v>0</v>
      </c>
      <c r="R71">
        <v>2.022518202655895E-4</v>
      </c>
      <c r="S71">
        <v>2.022518202655895E-4</v>
      </c>
      <c r="T71" t="b">
        <v>0</v>
      </c>
      <c r="U71">
        <v>2.022518202655895E-4</v>
      </c>
      <c r="V71">
        <v>2.3605096403368149E-4</v>
      </c>
      <c r="W71" t="b">
        <v>0</v>
      </c>
      <c r="X71">
        <v>2.3605096403368149E-4</v>
      </c>
      <c r="Y71">
        <v>2.3651498735053529E-4</v>
      </c>
      <c r="Z71" t="b">
        <v>0</v>
      </c>
      <c r="AA71">
        <v>2.3651498735053529E-4</v>
      </c>
      <c r="AB71">
        <v>2.3651498735053529E-4</v>
      </c>
      <c r="AC71" t="b">
        <v>0</v>
      </c>
      <c r="AD71">
        <v>2.3651498735053529E-4</v>
      </c>
      <c r="AE71">
        <v>2.4385614562815871E-4</v>
      </c>
      <c r="AF71" t="b">
        <v>0</v>
      </c>
      <c r="AG71">
        <v>2.4385614562815871E-4</v>
      </c>
      <c r="AH71">
        <v>2.4385614562815871E-4</v>
      </c>
      <c r="AI71" t="b">
        <v>0</v>
      </c>
      <c r="AJ71">
        <v>2.4385614562815871E-4</v>
      </c>
      <c r="AK71" t="b">
        <v>0</v>
      </c>
      <c r="AL71" t="b">
        <v>0</v>
      </c>
      <c r="AM71">
        <v>301918388.12564838</v>
      </c>
      <c r="AN71" t="s">
        <v>162</v>
      </c>
      <c r="AO71">
        <f t="shared" si="2"/>
        <v>1.8725275133709476</v>
      </c>
      <c r="AP71">
        <f t="shared" si="3"/>
        <v>0.99999999999999956</v>
      </c>
    </row>
    <row r="72" spans="1:42" x14ac:dyDescent="0.25">
      <c r="A72" t="s">
        <v>30</v>
      </c>
      <c r="B72" t="s">
        <v>105</v>
      </c>
      <c r="C72" t="s">
        <v>158</v>
      </c>
      <c r="D72">
        <v>50574624</v>
      </c>
      <c r="E72">
        <v>0.4</v>
      </c>
      <c r="F72">
        <v>0.99999999999999978</v>
      </c>
      <c r="G72" t="s">
        <v>161</v>
      </c>
      <c r="H72" t="s">
        <v>105</v>
      </c>
      <c r="I72">
        <v>1</v>
      </c>
      <c r="J72">
        <v>7.65</v>
      </c>
      <c r="K72">
        <v>7.91</v>
      </c>
      <c r="L72">
        <v>1</v>
      </c>
      <c r="M72">
        <v>154758349.44</v>
      </c>
      <c r="N72">
        <v>1.249966086282512E-4</v>
      </c>
      <c r="O72">
        <v>1.249966086282512E-4</v>
      </c>
      <c r="P72">
        <v>1.941266550827235E-4</v>
      </c>
      <c r="Q72" t="b">
        <v>0</v>
      </c>
      <c r="R72">
        <v>1.941266550827235E-4</v>
      </c>
      <c r="S72">
        <v>1.941266550827235E-4</v>
      </c>
      <c r="T72" t="b">
        <v>0</v>
      </c>
      <c r="U72">
        <v>1.941266550827235E-4</v>
      </c>
      <c r="V72">
        <v>2.26567968667658E-4</v>
      </c>
      <c r="W72" t="b">
        <v>0</v>
      </c>
      <c r="X72">
        <v>2.26567968667658E-4</v>
      </c>
      <c r="Y72">
        <v>2.270133505399344E-4</v>
      </c>
      <c r="Z72" t="b">
        <v>0</v>
      </c>
      <c r="AA72">
        <v>2.270133505399344E-4</v>
      </c>
      <c r="AB72">
        <v>2.270133505399344E-4</v>
      </c>
      <c r="AC72" t="b">
        <v>0</v>
      </c>
      <c r="AD72">
        <v>2.270133505399344E-4</v>
      </c>
      <c r="AE72">
        <v>2.3405958873446079E-4</v>
      </c>
      <c r="AF72" t="b">
        <v>0</v>
      </c>
      <c r="AG72">
        <v>2.3405958873446079E-4</v>
      </c>
      <c r="AH72">
        <v>2.3405958873446079E-4</v>
      </c>
      <c r="AI72" t="b">
        <v>0</v>
      </c>
      <c r="AJ72">
        <v>2.3405958873446079E-4</v>
      </c>
      <c r="AK72" t="b">
        <v>0</v>
      </c>
      <c r="AL72" t="b">
        <v>0</v>
      </c>
      <c r="AM72">
        <v>289789267.25027537</v>
      </c>
      <c r="AN72" t="s">
        <v>162</v>
      </c>
      <c r="AO72">
        <f t="shared" si="2"/>
        <v>1.872527513370948</v>
      </c>
      <c r="AP72">
        <f t="shared" si="3"/>
        <v>0.99999999999999978</v>
      </c>
    </row>
    <row r="73" spans="1:42" x14ac:dyDescent="0.25">
      <c r="A73" t="s">
        <v>26</v>
      </c>
      <c r="B73" t="s">
        <v>101</v>
      </c>
      <c r="C73" t="s">
        <v>158</v>
      </c>
      <c r="D73">
        <v>25196719</v>
      </c>
      <c r="E73">
        <v>0.85000000000000009</v>
      </c>
      <c r="F73">
        <v>0.99999999999999978</v>
      </c>
      <c r="G73" t="s">
        <v>161</v>
      </c>
      <c r="H73" t="s">
        <v>101</v>
      </c>
      <c r="I73">
        <v>1</v>
      </c>
      <c r="J73">
        <v>6.3730000000000002</v>
      </c>
      <c r="K73">
        <v>6.1</v>
      </c>
      <c r="L73">
        <v>1</v>
      </c>
      <c r="M73">
        <v>136491886.65895</v>
      </c>
      <c r="N73">
        <v>1.102429885003069E-4</v>
      </c>
      <c r="O73">
        <v>1.102429885003069E-4</v>
      </c>
      <c r="P73">
        <v>1.7121346601919521E-4</v>
      </c>
      <c r="Q73" t="b">
        <v>0</v>
      </c>
      <c r="R73">
        <v>1.7121346601919521E-4</v>
      </c>
      <c r="S73">
        <v>1.7121346601919521E-4</v>
      </c>
      <c r="T73" t="b">
        <v>0</v>
      </c>
      <c r="U73">
        <v>1.7121346601919521E-4</v>
      </c>
      <c r="V73">
        <v>1.998256611797482E-4</v>
      </c>
      <c r="W73" t="b">
        <v>0</v>
      </c>
      <c r="X73">
        <v>1.998256611797482E-4</v>
      </c>
      <c r="Y73">
        <v>2.0021847366612241E-4</v>
      </c>
      <c r="Z73" t="b">
        <v>0</v>
      </c>
      <c r="AA73">
        <v>2.0021847366612241E-4</v>
      </c>
      <c r="AB73">
        <v>2.0021847366612241E-4</v>
      </c>
      <c r="AC73" t="b">
        <v>0</v>
      </c>
      <c r="AD73">
        <v>2.0021847366612241E-4</v>
      </c>
      <c r="AE73">
        <v>2.0643302912306161E-4</v>
      </c>
      <c r="AF73" t="b">
        <v>0</v>
      </c>
      <c r="AG73">
        <v>2.0643302912306161E-4</v>
      </c>
      <c r="AH73">
        <v>2.0643302912306161E-4</v>
      </c>
      <c r="AI73" t="b">
        <v>0</v>
      </c>
      <c r="AJ73">
        <v>2.0643302912306161E-4</v>
      </c>
      <c r="AK73" t="b">
        <v>0</v>
      </c>
      <c r="AL73" t="b">
        <v>0</v>
      </c>
      <c r="AM73">
        <v>255584813.1207929</v>
      </c>
      <c r="AN73" t="s">
        <v>162</v>
      </c>
      <c r="AO73">
        <f t="shared" si="2"/>
        <v>1.8725275133709474</v>
      </c>
      <c r="AP73">
        <f t="shared" si="3"/>
        <v>0.99999999999999944</v>
      </c>
    </row>
    <row r="74" spans="1:42" x14ac:dyDescent="0.25">
      <c r="A74" t="s">
        <v>10</v>
      </c>
      <c r="B74" t="s">
        <v>85</v>
      </c>
      <c r="C74" t="s">
        <v>158</v>
      </c>
      <c r="D74">
        <v>242694212</v>
      </c>
      <c r="E74">
        <v>0.6</v>
      </c>
      <c r="F74">
        <v>0.99999999999999978</v>
      </c>
      <c r="G74" t="s">
        <v>161</v>
      </c>
      <c r="H74" t="s">
        <v>85</v>
      </c>
      <c r="I74">
        <v>1</v>
      </c>
      <c r="J74">
        <v>0.71899999999999997</v>
      </c>
      <c r="K74">
        <v>0.71399999999999997</v>
      </c>
      <c r="L74">
        <v>1</v>
      </c>
      <c r="M74">
        <v>104698283.05679999</v>
      </c>
      <c r="N74">
        <v>8.4563646217837891E-5</v>
      </c>
      <c r="O74">
        <v>8.4563646217837891E-5</v>
      </c>
      <c r="P74">
        <v>1.3133202542070719E-4</v>
      </c>
      <c r="Q74" t="b">
        <v>0</v>
      </c>
      <c r="R74">
        <v>1.3133202542070719E-4</v>
      </c>
      <c r="S74">
        <v>1.3133202542070719E-4</v>
      </c>
      <c r="T74" t="b">
        <v>0</v>
      </c>
      <c r="U74">
        <v>1.3133202542070719E-4</v>
      </c>
      <c r="V74">
        <v>1.5327946699488041E-4</v>
      </c>
      <c r="W74" t="b">
        <v>0</v>
      </c>
      <c r="X74">
        <v>1.5327946699488041E-4</v>
      </c>
      <c r="Y74">
        <v>1.535807800904303E-4</v>
      </c>
      <c r="Z74" t="b">
        <v>0</v>
      </c>
      <c r="AA74">
        <v>1.535807800904303E-4</v>
      </c>
      <c r="AB74">
        <v>1.535807800904303E-4</v>
      </c>
      <c r="AC74" t="b">
        <v>0</v>
      </c>
      <c r="AD74">
        <v>1.535807800904303E-4</v>
      </c>
      <c r="AE74">
        <v>1.5834775417386849E-4</v>
      </c>
      <c r="AF74" t="b">
        <v>0</v>
      </c>
      <c r="AG74">
        <v>1.5834775417386849E-4</v>
      </c>
      <c r="AH74">
        <v>1.5834775417386849E-4</v>
      </c>
      <c r="AI74" t="b">
        <v>0</v>
      </c>
      <c r="AJ74">
        <v>1.5834775417386849E-4</v>
      </c>
      <c r="AK74" t="b">
        <v>0</v>
      </c>
      <c r="AL74" t="b">
        <v>0</v>
      </c>
      <c r="AM74">
        <v>196050415.62655741</v>
      </c>
      <c r="AN74" t="s">
        <v>162</v>
      </c>
      <c r="AO74">
        <f t="shared" si="2"/>
        <v>1.8725275133709471</v>
      </c>
      <c r="AP74">
        <f t="shared" si="3"/>
        <v>0.99999999999999933</v>
      </c>
    </row>
    <row r="75" spans="1:42" x14ac:dyDescent="0.25">
      <c r="A75" t="s">
        <v>68</v>
      </c>
      <c r="B75" t="s">
        <v>143</v>
      </c>
      <c r="C75" t="s">
        <v>158</v>
      </c>
      <c r="D75">
        <v>29888612</v>
      </c>
      <c r="E75">
        <v>0.55000000000000004</v>
      </c>
      <c r="F75">
        <v>0.99999999999999989</v>
      </c>
      <c r="G75" t="s">
        <v>161</v>
      </c>
      <c r="H75" t="s">
        <v>143</v>
      </c>
      <c r="I75">
        <v>1</v>
      </c>
      <c r="J75">
        <v>6.11</v>
      </c>
      <c r="K75">
        <v>6.2</v>
      </c>
      <c r="L75">
        <v>1</v>
      </c>
      <c r="M75">
        <v>100440680.626</v>
      </c>
      <c r="N75">
        <v>8.1124827784692698E-5</v>
      </c>
      <c r="O75">
        <v>8.1124827784692698E-5</v>
      </c>
      <c r="P75">
        <v>1.2599134996407399E-4</v>
      </c>
      <c r="Q75" t="b">
        <v>0</v>
      </c>
      <c r="R75">
        <v>1.2599134996407399E-4</v>
      </c>
      <c r="S75">
        <v>1.2599134996407399E-4</v>
      </c>
      <c r="T75" t="b">
        <v>0</v>
      </c>
      <c r="U75">
        <v>1.2599134996407399E-4</v>
      </c>
      <c r="V75">
        <v>1.470462890265742E-4</v>
      </c>
      <c r="W75" t="b">
        <v>0</v>
      </c>
      <c r="X75">
        <v>1.470462890265742E-4</v>
      </c>
      <c r="Y75">
        <v>1.473353490905501E-4</v>
      </c>
      <c r="Z75" t="b">
        <v>0</v>
      </c>
      <c r="AA75">
        <v>1.473353490905501E-4</v>
      </c>
      <c r="AB75">
        <v>1.473353490905501E-4</v>
      </c>
      <c r="AC75" t="b">
        <v>0</v>
      </c>
      <c r="AD75">
        <v>1.473353490905501E-4</v>
      </c>
      <c r="AE75">
        <v>1.5190847204431699E-4</v>
      </c>
      <c r="AF75" t="b">
        <v>0</v>
      </c>
      <c r="AG75">
        <v>1.5190847204431699E-4</v>
      </c>
      <c r="AH75">
        <v>1.5190847204431699E-4</v>
      </c>
      <c r="AI75" t="b">
        <v>0</v>
      </c>
      <c r="AJ75">
        <v>1.5190847204431699E-4</v>
      </c>
      <c r="AK75" t="b">
        <v>0</v>
      </c>
      <c r="AL75" t="b">
        <v>0</v>
      </c>
      <c r="AM75">
        <v>188077937.93388939</v>
      </c>
      <c r="AN75" t="s">
        <v>162</v>
      </c>
      <c r="AO75">
        <f t="shared" si="2"/>
        <v>1.8725275133709478</v>
      </c>
      <c r="AP75">
        <f t="shared" si="3"/>
        <v>0.99999999999999967</v>
      </c>
    </row>
    <row r="76" spans="1:42" x14ac:dyDescent="0.25">
      <c r="A76" t="s">
        <v>39</v>
      </c>
      <c r="B76" t="s">
        <v>114</v>
      </c>
      <c r="C76" t="s">
        <v>158</v>
      </c>
      <c r="D76">
        <v>19450597</v>
      </c>
      <c r="E76">
        <v>0.25</v>
      </c>
      <c r="F76">
        <v>0.99999999999999967</v>
      </c>
      <c r="G76" t="s">
        <v>161</v>
      </c>
      <c r="H76" t="s">
        <v>114</v>
      </c>
      <c r="I76">
        <v>1</v>
      </c>
      <c r="J76">
        <v>20.5</v>
      </c>
      <c r="K76">
        <v>20.5</v>
      </c>
      <c r="L76">
        <v>1</v>
      </c>
      <c r="M76">
        <v>99684309.625</v>
      </c>
      <c r="N76">
        <v>8.0513915285742766E-5</v>
      </c>
      <c r="O76">
        <v>8.0513915285742766E-5</v>
      </c>
      <c r="P76">
        <v>1.2504256902296789E-4</v>
      </c>
      <c r="Q76" t="b">
        <v>0</v>
      </c>
      <c r="R76">
        <v>1.2504256902296789E-4</v>
      </c>
      <c r="S76">
        <v>1.2504256902296789E-4</v>
      </c>
      <c r="T76" t="b">
        <v>0</v>
      </c>
      <c r="U76">
        <v>1.2504256902296789E-4</v>
      </c>
      <c r="V76">
        <v>1.4593895335211269E-4</v>
      </c>
      <c r="W76" t="b">
        <v>0</v>
      </c>
      <c r="X76">
        <v>1.4593895335211269E-4</v>
      </c>
      <c r="Y76">
        <v>1.462258366422099E-4</v>
      </c>
      <c r="Z76" t="b">
        <v>0</v>
      </c>
      <c r="AA76">
        <v>1.462258366422099E-4</v>
      </c>
      <c r="AB76">
        <v>1.462258366422099E-4</v>
      </c>
      <c r="AC76" t="b">
        <v>0</v>
      </c>
      <c r="AD76">
        <v>1.462258366422099E-4</v>
      </c>
      <c r="AE76">
        <v>1.50764521581771E-4</v>
      </c>
      <c r="AF76" t="b">
        <v>0</v>
      </c>
      <c r="AG76">
        <v>1.50764521581771E-4</v>
      </c>
      <c r="AH76">
        <v>1.50764521581771E-4</v>
      </c>
      <c r="AI76" t="b">
        <v>0</v>
      </c>
      <c r="AJ76">
        <v>1.50764521581771E-4</v>
      </c>
      <c r="AK76" t="b">
        <v>0</v>
      </c>
      <c r="AL76" t="b">
        <v>0</v>
      </c>
      <c r="AM76">
        <v>186661612.42420089</v>
      </c>
      <c r="AN76" t="s">
        <v>162</v>
      </c>
      <c r="AO76">
        <f t="shared" si="2"/>
        <v>1.8725275133709471</v>
      </c>
      <c r="AP76">
        <f t="shared" si="3"/>
        <v>0.99999999999999933</v>
      </c>
    </row>
  </sheetData>
  <autoFilter ref="A1:AN76" xr:uid="{00000000-0001-0000-0300-000000000000}">
    <sortState xmlns:xlrd2="http://schemas.microsoft.com/office/spreadsheetml/2017/richdata2" ref="A2:AN76">
      <sortCondition descending="1" ref="N1:N7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198</v>
      </c>
    </row>
    <row r="2" spans="1:1" x14ac:dyDescent="0.25">
      <c r="A2">
        <v>654230600042.99915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2025-12-17T19:42:19Z</dcterms:created>
  <dcterms:modified xsi:type="dcterms:W3CDTF">2025-12-17T19:48:34Z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2025-12-17T19:46:32Z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e5e62c80-83b2-4d70-8155-9eacc2a86e34</vt:lpwstr>
  </property>
  <property fmtid="{D5CDD505-2E9C-101B-9397-08002B2CF9AE}" pid="8" name="MSIP_Label_ac0b9ce6-6e99-42a1-af95-429494370cbc_ContentBits">
    <vt:lpwstr>2</vt:lpwstr>
  </property>
</Properties>
</file>