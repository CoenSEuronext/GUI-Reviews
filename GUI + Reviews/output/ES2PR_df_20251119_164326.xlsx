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14" documentId="11_A31563724AF0C8A931B4A1FD7B1567442044DBA0" xr6:coauthVersionLast="47" xr6:coauthVersionMax="47" xr10:uidLastSave="{C97A9AC7-48B4-462B-9BD3-8E40FBF1FBEE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definedNames>
    <definedName name="_xlnm._FilterDatabase" localSheetId="5" hidden="1">'Company Iterations'!$A$6:$J$26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6" l="1"/>
  <c r="Q2" i="6" s="1"/>
  <c r="O3" i="6"/>
  <c r="O4" i="6"/>
  <c r="P4" i="6"/>
  <c r="K20" i="6" s="1"/>
  <c r="O5" i="6"/>
  <c r="Q5" i="6"/>
  <c r="J52" i="6"/>
  <c r="J51" i="6"/>
  <c r="J50" i="6"/>
  <c r="J49" i="6"/>
  <c r="L26" i="6"/>
  <c r="L25" i="6"/>
  <c r="L24" i="6"/>
  <c r="L23" i="6"/>
  <c r="L22" i="6"/>
  <c r="L21" i="6"/>
  <c r="L11" i="6"/>
  <c r="L10" i="6"/>
  <c r="L8" i="6"/>
  <c r="L9" i="6"/>
  <c r="L7" i="6"/>
  <c r="K19" i="6"/>
  <c r="L19" i="6" s="1"/>
  <c r="K18" i="6"/>
  <c r="K16" i="6"/>
  <c r="L2" i="6"/>
  <c r="K26" i="6"/>
  <c r="K25" i="6"/>
  <c r="K24" i="6"/>
  <c r="K23" i="6"/>
  <c r="K22" i="6"/>
  <c r="K11" i="6"/>
  <c r="K10" i="6"/>
  <c r="K9" i="6"/>
  <c r="K8" i="6"/>
  <c r="Q8" i="6"/>
  <c r="J27" i="6"/>
  <c r="J6" i="6"/>
  <c r="J9" i="6" s="1"/>
  <c r="F3" i="6"/>
  <c r="K12" i="6" l="1"/>
  <c r="L12" i="6" s="1"/>
  <c r="K15" i="6"/>
  <c r="K17" i="6"/>
  <c r="Q3" i="6"/>
  <c r="L20" i="6"/>
  <c r="K13" i="6"/>
  <c r="K14" i="6"/>
  <c r="L14" i="6" s="1"/>
  <c r="L15" i="6"/>
  <c r="L16" i="6"/>
  <c r="L17" i="6"/>
  <c r="L18" i="6"/>
  <c r="J10" i="6"/>
  <c r="J8" i="6"/>
  <c r="J26" i="6"/>
  <c r="J25" i="6"/>
  <c r="J24" i="6"/>
  <c r="J23" i="6"/>
  <c r="J22" i="6"/>
  <c r="J20" i="6"/>
  <c r="J19" i="6"/>
  <c r="J18" i="6"/>
  <c r="J17" i="6"/>
  <c r="J16" i="6"/>
  <c r="J15" i="6"/>
  <c r="J14" i="6"/>
  <c r="J13" i="6"/>
  <c r="J11" i="6"/>
  <c r="L13" i="6" l="1"/>
  <c r="L6" i="6" s="1"/>
  <c r="N17" i="6" s="1"/>
  <c r="O17" i="6" s="1"/>
  <c r="J59" i="6" s="1"/>
  <c r="N18" i="6" l="1"/>
  <c r="O18" i="6" s="1"/>
  <c r="J64" i="6" s="1"/>
  <c r="N22" i="6"/>
  <c r="O22" i="6" s="1"/>
  <c r="J58" i="6" s="1"/>
  <c r="N19" i="6"/>
  <c r="O19" i="6" s="1"/>
  <c r="J62" i="6" s="1"/>
  <c r="N20" i="6"/>
  <c r="O20" i="6" s="1"/>
  <c r="J67" i="6" s="1"/>
  <c r="N11" i="6"/>
  <c r="O11" i="6" s="1"/>
  <c r="J65" i="6" s="1"/>
  <c r="N9" i="6"/>
  <c r="O9" i="6" s="1"/>
  <c r="J60" i="6" s="1"/>
  <c r="N8" i="6"/>
  <c r="O8" i="6" s="1"/>
  <c r="J56" i="6" s="1"/>
  <c r="N26" i="6"/>
  <c r="O26" i="6" s="1"/>
  <c r="J53" i="6" s="1"/>
  <c r="N25" i="6"/>
  <c r="O25" i="6" s="1"/>
  <c r="J68" i="6" s="1"/>
  <c r="N24" i="6"/>
  <c r="O24" i="6" s="1"/>
  <c r="J66" i="6" s="1"/>
  <c r="N23" i="6"/>
  <c r="O23" i="6" s="1"/>
  <c r="J61" i="6" s="1"/>
  <c r="N15" i="6"/>
  <c r="O15" i="6" s="1"/>
  <c r="J55" i="6" s="1"/>
  <c r="N10" i="6"/>
  <c r="O10" i="6" s="1"/>
  <c r="J63" i="6" s="1"/>
  <c r="N12" i="6"/>
  <c r="O12" i="6" s="1"/>
  <c r="J54" i="6" s="1"/>
  <c r="N16" i="6"/>
  <c r="O16" i="6" s="1"/>
  <c r="J57" i="6" s="1"/>
</calcChain>
</file>

<file path=xl/sharedStrings.xml><?xml version="1.0" encoding="utf-8"?>
<sst xmlns="http://schemas.openxmlformats.org/spreadsheetml/2006/main" count="554" uniqueCount="116">
  <si>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</si>
  <si>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</si>
  <si>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</si>
  <si>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</si>
  <si>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</si>
  <si>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</si>
  <si>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</si>
  <si>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</si>
  <si>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</si>
  <si>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</si>
  <si>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</si>
  <si>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</si>
  <si>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</si>
  <si>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</si>
  <si>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</si>
  <si>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</si>
  <si>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</si>
  <si>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</si>
  <si>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</si>
  <si>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</si>
  <si>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</si>
  <si>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</si>
  <si>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</si>
  <si>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</si>
  <si>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</si>
  <si>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</si>
  <si>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</si>
  <si>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</si>
  <si>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</si>
  <si>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</si>
  <si>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</si>
  <si>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</si>
  <si>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</si>
  <si>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</si>
  <si>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</si>
  <si>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</si>
  <si>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</si>
  <si>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</si>
  <si>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</si>
  <si>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</si>
  <si>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</si>
  <si>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</si>
  <si>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</si>
  <si>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</si>
  <si>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</si>
  <si>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</si>
  <si>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</si>
  <si>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</si>
  <si>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</si>
  <si>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</si>
  <si>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</si>
  <si>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</si>
  <si>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</si>
  <si>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</si>
  <si>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</si>
  <si>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</si>
  <si>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</si>
  <si>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</si>
  <si>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</si>
  <si>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</si>
  <si>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</si>
  <si>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</si>
  <si>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</si>
  <si>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</si>
  <si>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</si>
  <si>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</si>
  <si>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</si>
  <si>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</si>
  <si>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</si>
  <si>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</si>
  <si>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</si>
  <si>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</si>
  <si>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</si>
  <si>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</si>
  <si>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</si>
  <si>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</si>
  <si>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</si>
  <si>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</si>
  <si>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</si>
  <si>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</si>
  <si>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</si>
  <si>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</si>
  <si>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</si>
  <si>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</si>
  <si>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</si>
  <si>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</si>
  <si>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</si>
  <si>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</si>
  <si>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</si>
  <si>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</si>
  <si>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</si>
  <si>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</si>
  <si>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</si>
  <si>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</si>
  <si>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</si>
  <si>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</si>
  <si>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</si>
  <si>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</si>
  <si>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</si>
  <si>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</si>
  <si>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</si>
  <si>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</si>
  <si>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</si>
  <si>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</si>
  <si>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</si>
  <si>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</si>
  <si>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</si>
  <si>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</si>
  <si>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</si>
  <si>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</si>
  <si>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</si>
  <si>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</si>
  <si>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</si>
  <si>
    <t>R1S1</t>
  </si>
  <si>
    <t>R1S2</t>
  </si>
  <si>
    <t>R2S1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</si>
</sst>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00000000"/>
    <numFmt numFmtId="180" formatCode="0.00000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61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3" fontId="0" fillId="0" borderId="0" xfId="0" applyNumberFormat="1"/>
    <xf numFmtId="180" fontId="0" fillId="0" borderId="0" xfId="0" applyNumberFormat="1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G4" sqref="G4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20.8554687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462029966</v>
      </c>
      <c r="E2">
        <v>0.75</v>
      </c>
      <c r="F2" s="3">
        <v>1</v>
      </c>
      <c r="G2" t="s">
        <v>53</v>
      </c>
      <c r="H2" t="s">
        <v>54</v>
      </c>
    </row>
    <row r="3" spans="1:8" x14ac:dyDescent="0.25">
      <c r="A3" t="s">
        <v>9</v>
      </c>
      <c r="B3" t="s">
        <v>29</v>
      </c>
      <c r="C3" t="s">
        <v>49</v>
      </c>
      <c r="D3">
        <v>49328548</v>
      </c>
      <c r="E3">
        <v>0.95000000000000007</v>
      </c>
      <c r="F3" s="3">
        <v>1</v>
      </c>
      <c r="G3" t="s">
        <v>53</v>
      </c>
      <c r="H3" t="s">
        <v>54</v>
      </c>
    </row>
    <row r="4" spans="1:8" x14ac:dyDescent="0.25">
      <c r="A4" t="s">
        <v>10</v>
      </c>
      <c r="B4" t="s">
        <v>30</v>
      </c>
      <c r="C4" t="s">
        <v>49</v>
      </c>
      <c r="D4">
        <v>393830692</v>
      </c>
      <c r="E4">
        <v>1</v>
      </c>
      <c r="F4" s="3">
        <v>0.2262546816616017</v>
      </c>
      <c r="G4" t="s">
        <v>53</v>
      </c>
      <c r="H4" t="s">
        <v>54</v>
      </c>
    </row>
    <row r="5" spans="1:8" x14ac:dyDescent="0.25">
      <c r="A5" t="s">
        <v>11</v>
      </c>
      <c r="B5" t="s">
        <v>31</v>
      </c>
      <c r="C5" t="s">
        <v>50</v>
      </c>
      <c r="D5">
        <v>1259689706</v>
      </c>
      <c r="E5">
        <v>0.60000000000000009</v>
      </c>
      <c r="F5" s="3">
        <v>0.75693533858523665</v>
      </c>
      <c r="G5" t="s">
        <v>53</v>
      </c>
      <c r="H5" t="s">
        <v>54</v>
      </c>
    </row>
    <row r="6" spans="1:8" x14ac:dyDescent="0.25">
      <c r="A6" t="s">
        <v>12</v>
      </c>
      <c r="B6" t="s">
        <v>32</v>
      </c>
      <c r="C6" t="s">
        <v>50</v>
      </c>
      <c r="D6">
        <v>1515182126</v>
      </c>
      <c r="E6">
        <v>0.75</v>
      </c>
      <c r="F6" s="3">
        <v>0.75693533858523665</v>
      </c>
      <c r="G6" t="s">
        <v>53</v>
      </c>
      <c r="H6" t="s">
        <v>54</v>
      </c>
    </row>
    <row r="7" spans="1:8" x14ac:dyDescent="0.25">
      <c r="A7" t="s">
        <v>13</v>
      </c>
      <c r="B7" t="s">
        <v>33</v>
      </c>
      <c r="C7" t="s">
        <v>51</v>
      </c>
      <c r="D7">
        <v>14885325000</v>
      </c>
      <c r="E7">
        <v>1</v>
      </c>
      <c r="F7" s="3">
        <v>0.47785391589138387</v>
      </c>
      <c r="G7" t="s">
        <v>53</v>
      </c>
      <c r="H7" t="s">
        <v>54</v>
      </c>
    </row>
    <row r="8" spans="1:8" x14ac:dyDescent="0.25">
      <c r="A8" t="s">
        <v>14</v>
      </c>
      <c r="B8" t="s">
        <v>34</v>
      </c>
      <c r="C8" t="s">
        <v>51</v>
      </c>
      <c r="D8">
        <v>5763285600</v>
      </c>
      <c r="E8">
        <v>1</v>
      </c>
      <c r="F8" s="3">
        <v>0.70973164437374336</v>
      </c>
      <c r="G8" t="s">
        <v>53</v>
      </c>
      <c r="H8" t="s">
        <v>54</v>
      </c>
    </row>
    <row r="9" spans="1:8" x14ac:dyDescent="0.25">
      <c r="A9" t="s">
        <v>15</v>
      </c>
      <c r="B9" t="s">
        <v>35</v>
      </c>
      <c r="C9" t="s">
        <v>49</v>
      </c>
      <c r="D9">
        <v>81146738</v>
      </c>
      <c r="E9">
        <v>0.9</v>
      </c>
      <c r="F9" s="3">
        <v>1</v>
      </c>
      <c r="G9" t="s">
        <v>53</v>
      </c>
      <c r="H9" t="s">
        <v>54</v>
      </c>
    </row>
    <row r="10" spans="1:8" x14ac:dyDescent="0.25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 s="3">
        <v>0.75693533858523665</v>
      </c>
      <c r="G10" t="s">
        <v>53</v>
      </c>
      <c r="H10" t="s">
        <v>54</v>
      </c>
    </row>
    <row r="11" spans="1:8" x14ac:dyDescent="0.25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 s="3">
        <v>0.75693533858523665</v>
      </c>
      <c r="G11" t="s">
        <v>53</v>
      </c>
      <c r="H11" t="s">
        <v>54</v>
      </c>
    </row>
    <row r="12" spans="1:8" x14ac:dyDescent="0.25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 s="3">
        <v>1</v>
      </c>
      <c r="G12" t="s">
        <v>53</v>
      </c>
      <c r="H12" t="s">
        <v>54</v>
      </c>
    </row>
    <row r="13" spans="1:8" x14ac:dyDescent="0.25">
      <c r="A13" t="s">
        <v>19</v>
      </c>
      <c r="B13" t="s">
        <v>39</v>
      </c>
      <c r="C13" t="s">
        <v>52</v>
      </c>
      <c r="D13">
        <v>1948252900</v>
      </c>
      <c r="E13">
        <v>1</v>
      </c>
      <c r="F13" s="3">
        <v>0.75693533858523665</v>
      </c>
      <c r="G13" t="s">
        <v>53</v>
      </c>
      <c r="H13" t="s">
        <v>54</v>
      </c>
    </row>
    <row r="14" spans="1:8" x14ac:dyDescent="0.25">
      <c r="A14" t="s">
        <v>20</v>
      </c>
      <c r="B14" t="s">
        <v>40</v>
      </c>
      <c r="C14" t="s">
        <v>52</v>
      </c>
      <c r="D14">
        <v>1305921100</v>
      </c>
      <c r="E14">
        <v>1</v>
      </c>
      <c r="F14" s="3">
        <v>1</v>
      </c>
      <c r="G14" t="s">
        <v>53</v>
      </c>
      <c r="H14" t="s">
        <v>54</v>
      </c>
    </row>
    <row r="15" spans="1:8" x14ac:dyDescent="0.25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 s="3">
        <v>1</v>
      </c>
      <c r="G15" t="s">
        <v>53</v>
      </c>
      <c r="H15" t="s">
        <v>54</v>
      </c>
    </row>
    <row r="16" spans="1:8" x14ac:dyDescent="0.25">
      <c r="A16" t="s">
        <v>22</v>
      </c>
      <c r="B16" t="s">
        <v>42</v>
      </c>
      <c r="C16" t="s">
        <v>50</v>
      </c>
      <c r="D16">
        <v>296356578</v>
      </c>
      <c r="E16">
        <v>1</v>
      </c>
      <c r="F16" s="3">
        <v>1</v>
      </c>
      <c r="G16" t="s">
        <v>53</v>
      </c>
      <c r="H16" t="s">
        <v>54</v>
      </c>
    </row>
    <row r="17" spans="1:8" x14ac:dyDescent="0.25">
      <c r="A17" t="s">
        <v>23</v>
      </c>
      <c r="B17" t="s">
        <v>43</v>
      </c>
      <c r="C17" t="s">
        <v>48</v>
      </c>
      <c r="D17">
        <v>577122512</v>
      </c>
      <c r="E17">
        <v>1</v>
      </c>
      <c r="F17" s="3">
        <v>0.50139086646538233</v>
      </c>
      <c r="G17" t="s">
        <v>53</v>
      </c>
      <c r="H17" t="s">
        <v>54</v>
      </c>
    </row>
    <row r="18" spans="1:8" x14ac:dyDescent="0.25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 s="3">
        <v>1</v>
      </c>
      <c r="G18" t="s">
        <v>53</v>
      </c>
      <c r="H18" t="s">
        <v>54</v>
      </c>
    </row>
    <row r="19" spans="1:8" x14ac:dyDescent="0.25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 s="3">
        <v>0.75693533858523665</v>
      </c>
      <c r="G19" t="s">
        <v>53</v>
      </c>
      <c r="H19" t="s">
        <v>54</v>
      </c>
    </row>
    <row r="20" spans="1:8" x14ac:dyDescent="0.25">
      <c r="A20" t="s">
        <v>26</v>
      </c>
      <c r="B20" t="s">
        <v>46</v>
      </c>
      <c r="C20" t="s">
        <v>48</v>
      </c>
      <c r="D20">
        <v>911281920</v>
      </c>
      <c r="E20">
        <v>0.70000000000000007</v>
      </c>
      <c r="F20" s="3">
        <v>1</v>
      </c>
      <c r="G20" t="s">
        <v>53</v>
      </c>
      <c r="H20" t="s">
        <v>54</v>
      </c>
    </row>
    <row r="21" spans="1:8" x14ac:dyDescent="0.25">
      <c r="A21" t="s">
        <v>27</v>
      </c>
      <c r="B21" t="s">
        <v>47</v>
      </c>
      <c r="C21" t="s">
        <v>50</v>
      </c>
      <c r="D21">
        <v>1557675176</v>
      </c>
      <c r="E21">
        <v>1</v>
      </c>
      <c r="F21" s="3">
        <v>0.65638674138889574</v>
      </c>
      <c r="G21" t="s">
        <v>53</v>
      </c>
      <c r="H21" t="s">
        <v>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  <row r="2" spans="1:3" x14ac:dyDescent="0.25">
      <c r="A2" t="s">
        <v>8</v>
      </c>
      <c r="B2" t="s">
        <v>28</v>
      </c>
      <c r="C2" t="s">
        <v>48</v>
      </c>
    </row>
    <row r="3" spans="1:3" x14ac:dyDescent="0.25">
      <c r="A3" t="s">
        <v>9</v>
      </c>
      <c r="B3" t="s">
        <v>29</v>
      </c>
      <c r="C3" t="s">
        <v>49</v>
      </c>
    </row>
    <row r="4" spans="1:3" x14ac:dyDescent="0.25">
      <c r="A4" t="s">
        <v>10</v>
      </c>
      <c r="B4" t="s">
        <v>30</v>
      </c>
      <c r="C4" t="s">
        <v>49</v>
      </c>
    </row>
    <row r="5" spans="1:3" x14ac:dyDescent="0.25">
      <c r="A5" t="s">
        <v>11</v>
      </c>
      <c r="B5" t="s">
        <v>31</v>
      </c>
      <c r="C5" t="s">
        <v>50</v>
      </c>
    </row>
    <row r="6" spans="1:3" x14ac:dyDescent="0.25">
      <c r="A6" t="s">
        <v>12</v>
      </c>
      <c r="B6" t="s">
        <v>32</v>
      </c>
      <c r="C6" t="s">
        <v>50</v>
      </c>
    </row>
    <row r="7" spans="1:3" x14ac:dyDescent="0.25">
      <c r="A7" t="s">
        <v>13</v>
      </c>
      <c r="B7" t="s">
        <v>33</v>
      </c>
      <c r="C7" t="s">
        <v>51</v>
      </c>
    </row>
    <row r="8" spans="1:3" x14ac:dyDescent="0.25">
      <c r="A8" t="s">
        <v>14</v>
      </c>
      <c r="B8" t="s">
        <v>34</v>
      </c>
      <c r="C8" t="s">
        <v>51</v>
      </c>
    </row>
    <row r="9" spans="1:3" x14ac:dyDescent="0.25">
      <c r="A9" t="s">
        <v>15</v>
      </c>
      <c r="B9" t="s">
        <v>35</v>
      </c>
      <c r="C9" t="s">
        <v>49</v>
      </c>
    </row>
    <row r="10" spans="1:3" x14ac:dyDescent="0.25">
      <c r="A10" t="s">
        <v>16</v>
      </c>
      <c r="B10" t="s">
        <v>36</v>
      </c>
      <c r="C10" t="s">
        <v>51</v>
      </c>
    </row>
    <row r="11" spans="1:3" x14ac:dyDescent="0.25">
      <c r="A11" t="s">
        <v>17</v>
      </c>
      <c r="B11" t="s">
        <v>37</v>
      </c>
      <c r="C11" t="s">
        <v>52</v>
      </c>
    </row>
    <row r="12" spans="1:3" x14ac:dyDescent="0.25">
      <c r="A12" t="s">
        <v>18</v>
      </c>
      <c r="B12" t="s">
        <v>38</v>
      </c>
      <c r="C12" t="s">
        <v>52</v>
      </c>
    </row>
    <row r="13" spans="1:3" x14ac:dyDescent="0.25">
      <c r="A13" t="s">
        <v>19</v>
      </c>
      <c r="B13" t="s">
        <v>39</v>
      </c>
      <c r="C13" t="s">
        <v>52</v>
      </c>
    </row>
    <row r="14" spans="1:3" x14ac:dyDescent="0.25">
      <c r="A14" t="s">
        <v>20</v>
      </c>
      <c r="B14" t="s">
        <v>40</v>
      </c>
      <c r="C14" t="s">
        <v>52</v>
      </c>
    </row>
    <row r="15" spans="1:3" x14ac:dyDescent="0.25">
      <c r="A15" t="s">
        <v>21</v>
      </c>
      <c r="B15" t="s">
        <v>41</v>
      </c>
      <c r="C15" t="s">
        <v>50</v>
      </c>
    </row>
    <row r="16" spans="1:3" x14ac:dyDescent="0.25">
      <c r="A16" t="s">
        <v>22</v>
      </c>
      <c r="B16" t="s">
        <v>42</v>
      </c>
      <c r="C16" t="s">
        <v>50</v>
      </c>
    </row>
    <row r="17" spans="1:3" x14ac:dyDescent="0.25">
      <c r="A17" t="s">
        <v>23</v>
      </c>
      <c r="B17" t="s">
        <v>43</v>
      </c>
      <c r="C17" t="s">
        <v>48</v>
      </c>
    </row>
    <row r="18" spans="1:3" x14ac:dyDescent="0.25">
      <c r="A18" t="s">
        <v>24</v>
      </c>
      <c r="B18" t="s">
        <v>44</v>
      </c>
      <c r="C18" t="s">
        <v>52</v>
      </c>
    </row>
    <row r="19" spans="1:3" x14ac:dyDescent="0.25">
      <c r="A19" t="s">
        <v>25</v>
      </c>
      <c r="B19" t="s">
        <v>45</v>
      </c>
      <c r="C19" t="s">
        <v>48</v>
      </c>
    </row>
    <row r="20" spans="1:3" x14ac:dyDescent="0.25">
      <c r="A20" t="s">
        <v>26</v>
      </c>
      <c r="B20" t="s">
        <v>46</v>
      </c>
      <c r="C20" t="s">
        <v>48</v>
      </c>
    </row>
    <row r="21" spans="1:3" x14ac:dyDescent="0.25">
      <c r="A21" t="s">
        <v>27</v>
      </c>
      <c r="B21" t="s">
        <v>47</v>
      </c>
      <c r="C21" t="s">
        <v>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topLeftCell="C1" workbookViewId="0">
      <selection activeCell="G21" sqref="G21"/>
    </sheetView>
  </sheetViews>
  <sheetFormatPr defaultRowHeight="15" x14ac:dyDescent="0.25"/>
  <cols>
    <col min="1" max="1" width="27.42578125" bestFit="1" customWidth="1"/>
    <col min="2" max="2" width="14.140625" bestFit="1" customWidth="1"/>
    <col min="3" max="3" width="6.42578125" bestFit="1" customWidth="1"/>
    <col min="4" max="4" width="8.85546875" bestFit="1" customWidth="1"/>
    <col min="5" max="5" width="23.140625" bestFit="1" customWidth="1"/>
    <col min="6" max="6" width="10.140625" bestFit="1" customWidth="1"/>
    <col min="7" max="7" width="12.42578125" bestFit="1" customWidth="1"/>
    <col min="8" max="8" width="13.85546875" bestFit="1" customWidth="1"/>
    <col min="9" max="9" width="13.85546875" customWidth="1"/>
    <col min="10" max="10" width="12.5703125" bestFit="1" customWidth="1"/>
    <col min="11" max="11" width="16.7109375" bestFit="1" customWidth="1"/>
    <col min="12" max="12" width="14.85546875" bestFit="1" customWidth="1"/>
    <col min="13" max="13" width="12" bestFit="1" customWidth="1"/>
    <col min="14" max="14" width="11.28515625" bestFit="1" customWidth="1"/>
    <col min="15" max="15" width="12" bestFit="1" customWidth="1"/>
    <col min="16" max="16" width="9.85546875" bestFit="1" customWidth="1"/>
    <col min="17" max="17" width="16.85546875" bestFit="1" customWidth="1"/>
    <col min="18" max="18" width="14.140625" bestFit="1" customWidth="1"/>
    <col min="19" max="19" width="13.28515625" bestFit="1" customWidth="1"/>
    <col min="20" max="20" width="9.5703125" bestFit="1" customWidth="1"/>
    <col min="21" max="21" width="13.140625" bestFit="1" customWidth="1"/>
    <col min="22" max="22" width="14.85546875" bestFit="1" customWidth="1"/>
    <col min="23" max="23" width="11.5703125" bestFit="1" customWidth="1"/>
    <col min="24" max="24" width="27.5703125" bestFit="1" customWidth="1"/>
    <col min="25" max="25" width="12.28515625" bestFit="1" customWidth="1"/>
    <col min="26" max="26" width="14.7109375" bestFit="1" customWidth="1"/>
  </cols>
  <sheetData>
    <row r="1" spans="1:26" x14ac:dyDescent="0.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4</v>
      </c>
      <c r="Q1" s="1" t="s">
        <v>65</v>
      </c>
      <c r="R1" s="1" t="s">
        <v>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 x14ac:dyDescent="0.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737</v>
      </c>
      <c r="J2">
        <v>646.20000000000005</v>
      </c>
      <c r="K2">
        <v>1</v>
      </c>
      <c r="L2">
        <v>10102020</v>
      </c>
      <c r="M2">
        <v>393830692</v>
      </c>
      <c r="N2">
        <v>646.20000000000005</v>
      </c>
      <c r="O2">
        <v>254493393170.39999</v>
      </c>
      <c r="P2">
        <v>1</v>
      </c>
      <c r="Q2">
        <v>290253220004</v>
      </c>
      <c r="R2">
        <v>0.2262546816616017</v>
      </c>
      <c r="S2">
        <v>0.26027174882911641</v>
      </c>
      <c r="T2" t="b">
        <v>1</v>
      </c>
      <c r="U2">
        <v>65671149893.259857</v>
      </c>
      <c r="V2">
        <v>0.1</v>
      </c>
      <c r="W2" t="s">
        <v>94</v>
      </c>
      <c r="X2">
        <v>0.38421380902794727</v>
      </c>
      <c r="Y2">
        <v>0.1</v>
      </c>
      <c r="Z2">
        <v>393830692</v>
      </c>
    </row>
    <row r="3" spans="1:26" x14ac:dyDescent="0.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226.95</v>
      </c>
      <c r="J3">
        <v>215.4</v>
      </c>
      <c r="K3">
        <v>1</v>
      </c>
      <c r="L3">
        <v>50202010</v>
      </c>
      <c r="M3">
        <v>577122512</v>
      </c>
      <c r="N3">
        <v>215.4</v>
      </c>
      <c r="O3">
        <v>124312189084.8</v>
      </c>
      <c r="P3">
        <v>1</v>
      </c>
      <c r="Q3">
        <v>130977954098.39999</v>
      </c>
      <c r="R3">
        <v>0.50139086646538233</v>
      </c>
      <c r="S3">
        <v>0.11744869245819391</v>
      </c>
      <c r="T3" t="b">
        <v>1</v>
      </c>
      <c r="U3">
        <v>65671149893.25985</v>
      </c>
      <c r="V3">
        <v>0.1</v>
      </c>
      <c r="W3" t="s">
        <v>95</v>
      </c>
      <c r="X3">
        <v>0.85143561760464181</v>
      </c>
      <c r="Y3">
        <v>0.1</v>
      </c>
      <c r="Z3">
        <v>577122512</v>
      </c>
    </row>
    <row r="4" spans="1:26" x14ac:dyDescent="0.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8.391</v>
      </c>
      <c r="J4">
        <v>8.3160000000000007</v>
      </c>
      <c r="K4">
        <v>1</v>
      </c>
      <c r="L4">
        <v>30101010</v>
      </c>
      <c r="M4">
        <v>14885325000</v>
      </c>
      <c r="N4">
        <v>8.3160000000000007</v>
      </c>
      <c r="O4">
        <v>123786362700</v>
      </c>
      <c r="P4">
        <v>1</v>
      </c>
      <c r="Q4">
        <v>124902762075</v>
      </c>
      <c r="R4">
        <v>0.47785391589138387</v>
      </c>
      <c r="S4">
        <v>0.1120010324722643</v>
      </c>
      <c r="T4" t="b">
        <v>1</v>
      </c>
      <c r="U4">
        <v>59685273963.188591</v>
      </c>
      <c r="V4">
        <v>9.0885075196946385E-2</v>
      </c>
      <c r="W4" t="s">
        <v>96</v>
      </c>
      <c r="X4">
        <v>0.81146640518204993</v>
      </c>
      <c r="Y4">
        <v>9.0885075196946399E-2</v>
      </c>
      <c r="Z4">
        <v>14885325000</v>
      </c>
    </row>
    <row r="5" spans="1:26" x14ac:dyDescent="0.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64.23</v>
      </c>
      <c r="J5">
        <v>69.19</v>
      </c>
      <c r="K5">
        <v>1</v>
      </c>
      <c r="L5">
        <v>30101010</v>
      </c>
      <c r="M5">
        <v>1557675176</v>
      </c>
      <c r="N5">
        <v>69.19</v>
      </c>
      <c r="O5">
        <v>107775545427.44</v>
      </c>
      <c r="P5">
        <v>1</v>
      </c>
      <c r="Q5">
        <v>100049476554.48</v>
      </c>
      <c r="R5">
        <v>0.65638674138889574</v>
      </c>
      <c r="S5">
        <v>8.9714946941547566E-2</v>
      </c>
      <c r="T5" t="b">
        <v>1</v>
      </c>
      <c r="U5">
        <v>65671149893.259857</v>
      </c>
      <c r="V5">
        <v>0.1</v>
      </c>
      <c r="W5" t="s">
        <v>96</v>
      </c>
      <c r="X5">
        <v>1.11464146621135</v>
      </c>
      <c r="Y5">
        <v>0.1</v>
      </c>
      <c r="Z5">
        <v>1557675176</v>
      </c>
    </row>
    <row r="6" spans="1:26" x14ac:dyDescent="0.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79.3</v>
      </c>
      <c r="J6">
        <v>75.5</v>
      </c>
      <c r="K6">
        <v>1</v>
      </c>
      <c r="L6">
        <v>50202010</v>
      </c>
      <c r="M6">
        <v>296356578</v>
      </c>
      <c r="N6">
        <v>75.5</v>
      </c>
      <c r="O6">
        <v>22374921639</v>
      </c>
      <c r="P6">
        <v>1</v>
      </c>
      <c r="Q6">
        <v>23501076635.400002</v>
      </c>
      <c r="R6">
        <v>1</v>
      </c>
      <c r="S6">
        <v>2.1073551966721851E-2</v>
      </c>
      <c r="T6" t="b">
        <v>0</v>
      </c>
      <c r="U6">
        <v>23501076635.400002</v>
      </c>
      <c r="V6">
        <v>3.5785998377671213E-2</v>
      </c>
      <c r="W6" t="s">
        <v>95</v>
      </c>
      <c r="X6">
        <v>1.6981474425470571</v>
      </c>
      <c r="Y6">
        <v>3.5785998377671213E-2</v>
      </c>
      <c r="Z6">
        <v>296356578</v>
      </c>
    </row>
    <row r="7" spans="1:26" x14ac:dyDescent="0.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16.055</v>
      </c>
      <c r="J7">
        <v>16.454999999999998</v>
      </c>
      <c r="K7">
        <v>1</v>
      </c>
      <c r="L7">
        <v>30101010</v>
      </c>
      <c r="M7">
        <v>5763285600</v>
      </c>
      <c r="N7">
        <v>16.454999999999998</v>
      </c>
      <c r="O7">
        <v>94834864547.999985</v>
      </c>
      <c r="P7">
        <v>1</v>
      </c>
      <c r="Q7">
        <v>92529550308</v>
      </c>
      <c r="R7">
        <v>0.70973164437374336</v>
      </c>
      <c r="S7">
        <v>8.2971785383476479E-2</v>
      </c>
      <c r="T7" t="b">
        <v>1</v>
      </c>
      <c r="U7">
        <v>65671149893.25985</v>
      </c>
      <c r="V7">
        <v>0.1</v>
      </c>
      <c r="W7" t="s">
        <v>96</v>
      </c>
      <c r="X7">
        <v>1.2052289767879889</v>
      </c>
      <c r="Y7">
        <v>0.1</v>
      </c>
      <c r="Z7">
        <v>5763285600</v>
      </c>
    </row>
    <row r="8" spans="1:26" x14ac:dyDescent="0.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</v>
      </c>
      <c r="J8">
        <v>92.9</v>
      </c>
      <c r="K8">
        <v>0.85</v>
      </c>
      <c r="L8">
        <v>60102020</v>
      </c>
      <c r="M8">
        <v>799335450</v>
      </c>
      <c r="N8">
        <v>92.9</v>
      </c>
      <c r="O8">
        <v>74258263305</v>
      </c>
      <c r="P8">
        <v>0.85</v>
      </c>
      <c r="Q8">
        <v>62508032190</v>
      </c>
      <c r="R8">
        <v>1</v>
      </c>
      <c r="S8">
        <v>5.605131565373779E-2</v>
      </c>
      <c r="T8" t="b">
        <v>0</v>
      </c>
      <c r="U8">
        <v>62508032190</v>
      </c>
      <c r="V8">
        <v>9.5183398328792634E-2</v>
      </c>
      <c r="W8" t="s">
        <v>97</v>
      </c>
      <c r="X8">
        <v>1.6981474425470571</v>
      </c>
      <c r="Y8">
        <v>9.5183398328792648E-2</v>
      </c>
      <c r="Z8">
        <v>799335450</v>
      </c>
    </row>
    <row r="9" spans="1:26" x14ac:dyDescent="0.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30.734999999999999</v>
      </c>
      <c r="I9">
        <v>30.734999999999999</v>
      </c>
      <c r="J9">
        <v>31.7</v>
      </c>
      <c r="K9">
        <v>1</v>
      </c>
      <c r="L9">
        <v>30101010</v>
      </c>
      <c r="M9">
        <v>1948252900</v>
      </c>
      <c r="N9">
        <v>31.7</v>
      </c>
      <c r="O9">
        <v>61759616930</v>
      </c>
      <c r="P9">
        <v>1</v>
      </c>
      <c r="Q9">
        <v>59879552881.5</v>
      </c>
      <c r="R9">
        <v>0.75693533858523665</v>
      </c>
      <c r="S9">
        <v>5.3694342985613687E-2</v>
      </c>
      <c r="T9" t="b">
        <v>0</v>
      </c>
      <c r="U9">
        <v>45324949634.690788</v>
      </c>
      <c r="V9">
        <v>6.9018053907021204E-2</v>
      </c>
      <c r="W9" t="s">
        <v>96</v>
      </c>
      <c r="X9">
        <v>1.2853878093920099</v>
      </c>
      <c r="Y9">
        <v>6.9018053907021232E-2</v>
      </c>
      <c r="Z9">
        <v>1948252900</v>
      </c>
    </row>
    <row r="10" spans="1:26" x14ac:dyDescent="0.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32.65</v>
      </c>
      <c r="J10">
        <v>36.85</v>
      </c>
      <c r="K10">
        <v>1</v>
      </c>
      <c r="L10">
        <v>10102010</v>
      </c>
      <c r="M10">
        <v>1305921100</v>
      </c>
      <c r="N10">
        <v>36.85</v>
      </c>
      <c r="O10">
        <v>48123192535</v>
      </c>
      <c r="P10">
        <v>1</v>
      </c>
      <c r="Q10">
        <v>42638323915</v>
      </c>
      <c r="R10">
        <v>1</v>
      </c>
      <c r="S10">
        <v>3.8234032795041693E-2</v>
      </c>
      <c r="T10" t="b">
        <v>0</v>
      </c>
      <c r="U10">
        <v>42638323915</v>
      </c>
      <c r="V10">
        <v>6.4927025009160352E-2</v>
      </c>
      <c r="W10" t="s">
        <v>94</v>
      </c>
      <c r="X10">
        <v>1.6981474425470571</v>
      </c>
      <c r="Y10">
        <v>6.4927025009160352E-2</v>
      </c>
      <c r="Z10">
        <v>1305921100</v>
      </c>
    </row>
    <row r="11" spans="1:26" x14ac:dyDescent="0.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56.58</v>
      </c>
      <c r="J11">
        <v>57.84</v>
      </c>
      <c r="K11">
        <v>0.9</v>
      </c>
      <c r="L11">
        <v>30101010</v>
      </c>
      <c r="M11">
        <v>785180327</v>
      </c>
      <c r="N11">
        <v>57.84</v>
      </c>
      <c r="O11">
        <v>45414830113.68</v>
      </c>
      <c r="P11">
        <v>0.9</v>
      </c>
      <c r="Q11">
        <v>39982952611.494003</v>
      </c>
      <c r="R11">
        <v>0.75693533858523665</v>
      </c>
      <c r="S11">
        <v>3.5852945918745771E-2</v>
      </c>
      <c r="T11" t="b">
        <v>0</v>
      </c>
      <c r="U11">
        <v>30264509772.618679</v>
      </c>
      <c r="V11">
        <v>4.6084939614746828E-2</v>
      </c>
      <c r="W11" t="s">
        <v>96</v>
      </c>
      <c r="X11">
        <v>1.2853878093920099</v>
      </c>
      <c r="Y11">
        <v>4.6084939614746842E-2</v>
      </c>
      <c r="Z11">
        <v>785180327</v>
      </c>
    </row>
    <row r="12" spans="1:26" x14ac:dyDescent="0.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8.5980000000000008</v>
      </c>
      <c r="I12">
        <v>8.5980000000000008</v>
      </c>
      <c r="J12">
        <v>8.7940000000000005</v>
      </c>
      <c r="K12">
        <v>0.5</v>
      </c>
      <c r="L12">
        <v>30101010</v>
      </c>
      <c r="M12">
        <v>7085565400</v>
      </c>
      <c r="N12">
        <v>8.7940000000000005</v>
      </c>
      <c r="O12">
        <v>62310462127.600014</v>
      </c>
      <c r="P12">
        <v>0.5</v>
      </c>
      <c r="Q12">
        <v>30460845654.599998</v>
      </c>
      <c r="R12">
        <v>0.75693533858523665</v>
      </c>
      <c r="S12">
        <v>2.7314417284422469E-2</v>
      </c>
      <c r="T12" t="b">
        <v>0</v>
      </c>
      <c r="U12">
        <v>23056890519.157291</v>
      </c>
      <c r="V12">
        <v>3.5109618998043053E-2</v>
      </c>
      <c r="W12" t="s">
        <v>96</v>
      </c>
      <c r="X12">
        <v>1.2853878093920099</v>
      </c>
      <c r="Y12">
        <v>3.5109618998043053E-2</v>
      </c>
      <c r="Z12">
        <v>7085565400</v>
      </c>
    </row>
    <row r="13" spans="1:26" x14ac:dyDescent="0.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459.7</v>
      </c>
      <c r="J13">
        <v>409.7</v>
      </c>
      <c r="K13">
        <v>0.95000000000000007</v>
      </c>
      <c r="L13">
        <v>10102020</v>
      </c>
      <c r="M13">
        <v>49328548</v>
      </c>
      <c r="N13">
        <v>409.7</v>
      </c>
      <c r="O13">
        <v>20209906115.599998</v>
      </c>
      <c r="P13">
        <v>0.95000000000000007</v>
      </c>
      <c r="Q13">
        <v>21542516839.82</v>
      </c>
      <c r="R13">
        <v>1</v>
      </c>
      <c r="S13">
        <v>1.9317300018250869E-2</v>
      </c>
      <c r="T13" t="b">
        <v>0</v>
      </c>
      <c r="U13">
        <v>21542516839.82</v>
      </c>
      <c r="V13">
        <v>3.2803623622906918E-2</v>
      </c>
      <c r="W13" t="s">
        <v>94</v>
      </c>
      <c r="X13">
        <v>1.6981474425470571</v>
      </c>
      <c r="Y13">
        <v>3.2803623622906918E-2</v>
      </c>
      <c r="Z13">
        <v>49328548</v>
      </c>
    </row>
    <row r="14" spans="1:26" x14ac:dyDescent="0.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37.17</v>
      </c>
      <c r="J14">
        <v>41.62</v>
      </c>
      <c r="K14">
        <v>0.65</v>
      </c>
      <c r="L14">
        <v>50206015</v>
      </c>
      <c r="M14">
        <v>791868300</v>
      </c>
      <c r="N14">
        <v>41.62</v>
      </c>
      <c r="O14">
        <v>32957558646</v>
      </c>
      <c r="P14">
        <v>0.65</v>
      </c>
      <c r="Q14">
        <v>19131934062.150002</v>
      </c>
      <c r="R14">
        <v>1</v>
      </c>
      <c r="S14">
        <v>1.7155716435361162E-2</v>
      </c>
      <c r="T14" t="b">
        <v>0</v>
      </c>
      <c r="U14">
        <v>19131934062.150002</v>
      </c>
      <c r="V14">
        <v>2.9132935989771069E-2</v>
      </c>
      <c r="W14" t="s">
        <v>95</v>
      </c>
      <c r="X14">
        <v>1.6981474425470571</v>
      </c>
      <c r="Y14">
        <v>2.9132935989771069E-2</v>
      </c>
      <c r="Z14">
        <v>791868300</v>
      </c>
    </row>
    <row r="15" spans="1:26" x14ac:dyDescent="0.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23.12</v>
      </c>
      <c r="J15">
        <v>23.434999999999999</v>
      </c>
      <c r="K15">
        <v>0.70000000000000007</v>
      </c>
      <c r="L15">
        <v>10102010</v>
      </c>
      <c r="M15">
        <v>911281920</v>
      </c>
      <c r="N15">
        <v>23.434999999999999</v>
      </c>
      <c r="O15">
        <v>21355891795.200001</v>
      </c>
      <c r="P15">
        <v>0.70000000000000007</v>
      </c>
      <c r="Q15">
        <v>14748186593.280001</v>
      </c>
      <c r="R15">
        <v>1</v>
      </c>
      <c r="S15">
        <v>1.322478460923953E-2</v>
      </c>
      <c r="T15" t="b">
        <v>0</v>
      </c>
      <c r="U15">
        <v>14748186593.280001</v>
      </c>
      <c r="V15">
        <v>2.2457634162415779E-2</v>
      </c>
      <c r="W15" t="s">
        <v>94</v>
      </c>
      <c r="X15">
        <v>1.6981474425470571</v>
      </c>
      <c r="Y15">
        <v>2.245763416241579E-2</v>
      </c>
      <c r="Z15">
        <v>911281920</v>
      </c>
    </row>
    <row r="16" spans="1:26" x14ac:dyDescent="0.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12.61</v>
      </c>
      <c r="J16">
        <v>12.065</v>
      </c>
      <c r="K16">
        <v>0.75</v>
      </c>
      <c r="L16">
        <v>30101010</v>
      </c>
      <c r="M16">
        <v>1515182126</v>
      </c>
      <c r="N16">
        <v>12.065</v>
      </c>
      <c r="O16">
        <v>18280672350.189999</v>
      </c>
      <c r="P16">
        <v>0.75</v>
      </c>
      <c r="Q16">
        <v>14329834956.645</v>
      </c>
      <c r="R16">
        <v>0.75693533858523665</v>
      </c>
      <c r="S16">
        <v>1.284964626593015E-2</v>
      </c>
      <c r="T16" t="b">
        <v>0</v>
      </c>
      <c r="U16">
        <v>10846758474.778641</v>
      </c>
      <c r="V16">
        <v>1.6516778665226169E-2</v>
      </c>
      <c r="W16" t="s">
        <v>96</v>
      </c>
      <c r="X16">
        <v>1.2853878093920099</v>
      </c>
      <c r="Y16">
        <v>1.6516778665226179E-2</v>
      </c>
      <c r="Z16">
        <v>1515182126</v>
      </c>
    </row>
    <row r="17" spans="1:26" x14ac:dyDescent="0.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30.87</v>
      </c>
      <c r="J17">
        <v>36.46</v>
      </c>
      <c r="K17">
        <v>0.65</v>
      </c>
      <c r="L17">
        <v>30101010</v>
      </c>
      <c r="M17">
        <v>1127496200</v>
      </c>
      <c r="N17">
        <v>36.46</v>
      </c>
      <c r="O17">
        <v>41108511452</v>
      </c>
      <c r="P17">
        <v>0.65</v>
      </c>
      <c r="Q17">
        <v>22623775001.099998</v>
      </c>
      <c r="R17">
        <v>0.75693533858523665</v>
      </c>
      <c r="S17">
        <v>2.0286870493879769E-2</v>
      </c>
      <c r="T17" t="b">
        <v>0</v>
      </c>
      <c r="U17">
        <v>17124734790.53384</v>
      </c>
      <c r="V17">
        <v>2.607649602354753E-2</v>
      </c>
      <c r="W17" t="s">
        <v>96</v>
      </c>
      <c r="X17">
        <v>1.2853878093920099</v>
      </c>
      <c r="Y17">
        <v>2.607649602354753E-2</v>
      </c>
      <c r="Z17">
        <v>1127496200</v>
      </c>
    </row>
    <row r="18" spans="1:26" x14ac:dyDescent="0.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115.65</v>
      </c>
      <c r="J18">
        <v>119</v>
      </c>
      <c r="K18">
        <v>0.9</v>
      </c>
      <c r="L18">
        <v>10102010</v>
      </c>
      <c r="M18">
        <v>81146738</v>
      </c>
      <c r="N18">
        <v>119</v>
      </c>
      <c r="O18">
        <v>9656461822</v>
      </c>
      <c r="P18">
        <v>0.9</v>
      </c>
      <c r="Q18">
        <v>8446158224.7299995</v>
      </c>
      <c r="R18">
        <v>1</v>
      </c>
      <c r="S18">
        <v>7.5737191546319717E-3</v>
      </c>
      <c r="T18" t="b">
        <v>0</v>
      </c>
      <c r="U18">
        <v>8446158224.7299995</v>
      </c>
      <c r="V18">
        <v>1.2861291813007939E-2</v>
      </c>
      <c r="W18" t="s">
        <v>94</v>
      </c>
      <c r="X18">
        <v>1.6981474425470571</v>
      </c>
      <c r="Y18">
        <v>1.2861291813007939E-2</v>
      </c>
      <c r="Z18">
        <v>81146738</v>
      </c>
    </row>
    <row r="19" spans="1:26" x14ac:dyDescent="0.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21.28</v>
      </c>
      <c r="J19">
        <v>21.89</v>
      </c>
      <c r="K19">
        <v>0.75</v>
      </c>
      <c r="L19">
        <v>50202010</v>
      </c>
      <c r="M19">
        <v>462029966</v>
      </c>
      <c r="N19">
        <v>21.89</v>
      </c>
      <c r="O19">
        <v>10113835955.74</v>
      </c>
      <c r="P19">
        <v>0.75</v>
      </c>
      <c r="Q19">
        <v>7373998257.3600006</v>
      </c>
      <c r="R19">
        <v>1</v>
      </c>
      <c r="S19">
        <v>6.6123070823451849E-3</v>
      </c>
      <c r="T19" t="b">
        <v>0</v>
      </c>
      <c r="U19">
        <v>7373998257.3600006</v>
      </c>
      <c r="V19">
        <v>1.1228672361220261E-2</v>
      </c>
      <c r="W19" t="s">
        <v>95</v>
      </c>
      <c r="X19">
        <v>1.6981474425470571</v>
      </c>
      <c r="Y19">
        <v>1.1228672361220269E-2</v>
      </c>
      <c r="Z19">
        <v>462029966</v>
      </c>
    </row>
    <row r="20" spans="1:26" x14ac:dyDescent="0.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8.0519999999999996</v>
      </c>
      <c r="I20">
        <v>8.0519999999999996</v>
      </c>
      <c r="J20">
        <v>8.298</v>
      </c>
      <c r="K20">
        <v>0.60000000000000009</v>
      </c>
      <c r="L20">
        <v>30101010</v>
      </c>
      <c r="M20">
        <v>1259689706</v>
      </c>
      <c r="N20">
        <v>8.298</v>
      </c>
      <c r="O20">
        <v>10452905180.388</v>
      </c>
      <c r="P20">
        <v>0.60000000000000009</v>
      </c>
      <c r="Q20">
        <v>6085812907.6272011</v>
      </c>
      <c r="R20">
        <v>0.75693533858523665</v>
      </c>
      <c r="S20">
        <v>5.4571837945264238E-3</v>
      </c>
      <c r="T20" t="b">
        <v>0</v>
      </c>
      <c r="U20">
        <v>4606566853.801199</v>
      </c>
      <c r="V20">
        <v>7.0145975230958956E-3</v>
      </c>
      <c r="W20" t="s">
        <v>96</v>
      </c>
      <c r="X20">
        <v>1.2853878093920099</v>
      </c>
      <c r="Y20">
        <v>7.0145975230958973E-3</v>
      </c>
      <c r="Z20">
        <v>1259689706</v>
      </c>
    </row>
    <row r="21" spans="1:26" x14ac:dyDescent="0.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18.305</v>
      </c>
      <c r="J21">
        <v>18.34</v>
      </c>
      <c r="K21">
        <v>0.65</v>
      </c>
      <c r="L21">
        <v>50206015</v>
      </c>
      <c r="M21">
        <v>271215400</v>
      </c>
      <c r="N21">
        <v>18.34</v>
      </c>
      <c r="O21">
        <v>4974090436</v>
      </c>
      <c r="P21">
        <v>0.65</v>
      </c>
      <c r="Q21">
        <v>3226988633.0500002</v>
      </c>
      <c r="R21">
        <v>1</v>
      </c>
      <c r="S21">
        <v>2.8936594569528942E-3</v>
      </c>
      <c r="T21" t="b">
        <v>0</v>
      </c>
      <c r="U21">
        <v>3226988633.0500002</v>
      </c>
      <c r="V21">
        <v>4.9138604064266614E-3</v>
      </c>
      <c r="W21" t="s">
        <v>95</v>
      </c>
      <c r="X21">
        <v>1.6981474425470571</v>
      </c>
      <c r="Y21">
        <v>4.9138604064266622E-3</v>
      </c>
      <c r="Z21">
        <v>271215400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A15" sqref="A15"/>
    </sheetView>
  </sheetViews>
  <sheetFormatPr defaultRowHeight="15" x14ac:dyDescent="0.25"/>
  <cols>
    <col min="1" max="1" width="17.7109375" bestFit="1" customWidth="1"/>
    <col min="2" max="2" width="21.5703125" bestFit="1" customWidth="1"/>
    <col min="3" max="3" width="18.140625" bestFit="1" customWidth="1"/>
    <col min="4" max="4" width="21.42578125" bestFit="1" customWidth="1"/>
    <col min="5" max="5" width="24.5703125" bestFit="1" customWidth="1"/>
    <col min="6" max="6" width="17.85546875" bestFit="1" customWidth="1"/>
    <col min="7" max="7" width="12.42578125" bestFit="1" customWidth="1"/>
    <col min="8" max="8" width="18.5703125" bestFit="1" customWidth="1"/>
    <col min="9" max="9" width="19.7109375" bestFit="1" customWidth="1"/>
  </cols>
  <sheetData>
    <row r="1" spans="1:9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25">
      <c r="A2">
        <v>1</v>
      </c>
      <c r="B2">
        <v>0.26027174882911641</v>
      </c>
      <c r="C2">
        <v>0.44014317154040672</v>
      </c>
      <c r="D2">
        <v>3</v>
      </c>
      <c r="E2">
        <v>0</v>
      </c>
      <c r="F2">
        <v>0</v>
      </c>
      <c r="G2">
        <v>0.99999999999999989</v>
      </c>
    </row>
    <row r="3" spans="1:9" x14ac:dyDescent="0.25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0.99999999999999978</v>
      </c>
    </row>
    <row r="4" spans="1:9" x14ac:dyDescent="0.25">
      <c r="A4">
        <v>3</v>
      </c>
      <c r="B4">
        <v>0.1</v>
      </c>
      <c r="C4">
        <v>0.49070555992862708</v>
      </c>
      <c r="D4">
        <v>0</v>
      </c>
      <c r="E4">
        <v>5</v>
      </c>
      <c r="F4">
        <v>0</v>
      </c>
      <c r="G4">
        <v>0.99999999999999989</v>
      </c>
    </row>
    <row r="5" spans="1:9" x14ac:dyDescent="0.25">
      <c r="A5" t="s">
        <v>107</v>
      </c>
      <c r="B5">
        <v>0.1</v>
      </c>
      <c r="C5">
        <v>0.49070555992862719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tabSelected="1" topLeftCell="A10" workbookViewId="0">
      <selection activeCell="J27" sqref="J27"/>
    </sheetView>
  </sheetViews>
  <sheetFormatPr defaultRowHeight="15" x14ac:dyDescent="0.25"/>
  <cols>
    <col min="1" max="1" width="8.7109375" bestFit="1" customWidth="1"/>
    <col min="2" max="2" width="27.42578125" bestFit="1" customWidth="1"/>
    <col min="3" max="3" width="14.140625" bestFit="1" customWidth="1"/>
    <col min="4" max="4" width="11.5703125" bestFit="1" customWidth="1"/>
    <col min="5" max="5" width="14.140625" bestFit="1" customWidth="1"/>
    <col min="6" max="6" width="14.85546875" bestFit="1" customWidth="1"/>
    <col min="7" max="7" width="9.5703125" bestFit="1" customWidth="1"/>
    <col min="8" max="8" width="20" bestFit="1" customWidth="1"/>
    <col min="9" max="9" width="13.7109375" bestFit="1" customWidth="1"/>
    <col min="15" max="15" width="20.85546875" bestFit="1" customWidth="1"/>
  </cols>
  <sheetData>
    <row r="1" spans="1:17" x14ac:dyDescent="0.25">
      <c r="P1">
        <v>5.0145333451624197E-2</v>
      </c>
    </row>
    <row r="2" spans="1:17" x14ac:dyDescent="0.25">
      <c r="L2">
        <f>SUM(J8:J11)+SUM(J22:J26)</f>
        <v>0.24985466654837568</v>
      </c>
      <c r="N2" t="s">
        <v>94</v>
      </c>
      <c r="O2" s="2">
        <f>SUM(J7:J11)</f>
        <v>0.20748029318046168</v>
      </c>
      <c r="P2">
        <v>2.3127843856780701E-2</v>
      </c>
      <c r="Q2">
        <f>O2/($O$2+$O$3+$O$5)*$P$1</f>
        <v>2.3127843856780746E-2</v>
      </c>
    </row>
    <row r="3" spans="1:17" x14ac:dyDescent="0.25">
      <c r="F3">
        <f>SUMIF(F7:F26,"&lt;0.1",F7:F26)</f>
        <v>0.51027852624042536</v>
      </c>
      <c r="N3" t="s">
        <v>95</v>
      </c>
      <c r="O3">
        <f>SUM(J21:J25)</f>
        <v>0.16548318759395128</v>
      </c>
      <c r="P3">
        <v>1.8446423344246912E-2</v>
      </c>
      <c r="Q3">
        <f>O3/($O$2+$O$3+$O$5)*$P$1</f>
        <v>1.8446423344246912E-2</v>
      </c>
    </row>
    <row r="4" spans="1:17" x14ac:dyDescent="0.25">
      <c r="N4" t="s">
        <v>96</v>
      </c>
      <c r="O4">
        <f>SUM(J12:J20)</f>
        <v>0.55014533345162409</v>
      </c>
      <c r="P4">
        <f>-P1</f>
        <v>-5.0145333451624197E-2</v>
      </c>
    </row>
    <row r="5" spans="1:17" x14ac:dyDescent="0.25">
      <c r="J5" t="s">
        <v>113</v>
      </c>
      <c r="L5" t="s">
        <v>114</v>
      </c>
      <c r="N5" t="s">
        <v>97</v>
      </c>
      <c r="O5">
        <f>SUM(J26)</f>
        <v>7.68911857739627E-2</v>
      </c>
      <c r="P5">
        <v>8.5710662505965405E-3</v>
      </c>
      <c r="Q5">
        <f>O5/($O$2+$O$3+$O$5)*$P$1</f>
        <v>8.5710662505965388E-3</v>
      </c>
    </row>
    <row r="6" spans="1:17" x14ac:dyDescent="0.25">
      <c r="A6" s="1" t="s">
        <v>98</v>
      </c>
      <c r="B6" s="1" t="s">
        <v>0</v>
      </c>
      <c r="C6" s="1" t="s">
        <v>55</v>
      </c>
      <c r="D6" s="1" t="s">
        <v>70</v>
      </c>
      <c r="E6" s="1" t="s">
        <v>5</v>
      </c>
      <c r="F6" s="1" t="s">
        <v>69</v>
      </c>
      <c r="G6" s="1" t="s">
        <v>67</v>
      </c>
      <c r="H6" s="1" t="s">
        <v>108</v>
      </c>
      <c r="I6" s="1" t="s">
        <v>109</v>
      </c>
      <c r="J6">
        <f>SUM(F7+F12+F21)-0.3</f>
        <v>0.1897214737595746</v>
      </c>
      <c r="L6">
        <f>L13+L14-0.2</f>
        <v>1.5299137472149726E-2</v>
      </c>
      <c r="M6" t="s">
        <v>115</v>
      </c>
    </row>
    <row r="7" spans="1:17" x14ac:dyDescent="0.25">
      <c r="A7">
        <v>1</v>
      </c>
      <c r="B7" t="s">
        <v>10</v>
      </c>
      <c r="C7" t="s">
        <v>30</v>
      </c>
      <c r="D7" t="s">
        <v>94</v>
      </c>
      <c r="E7">
        <v>1</v>
      </c>
      <c r="F7">
        <v>0.26027174882911641</v>
      </c>
      <c r="G7" t="b">
        <v>0</v>
      </c>
      <c r="H7" t="b">
        <v>1</v>
      </c>
      <c r="I7">
        <v>0.33862158540628051</v>
      </c>
      <c r="J7">
        <v>0.1</v>
      </c>
      <c r="L7">
        <f>SUM(J7:K7)</f>
        <v>0.1</v>
      </c>
      <c r="M7">
        <v>0.1</v>
      </c>
      <c r="O7">
        <v>0.1</v>
      </c>
    </row>
    <row r="8" spans="1:17" x14ac:dyDescent="0.25">
      <c r="A8">
        <v>1</v>
      </c>
      <c r="B8" t="s">
        <v>20</v>
      </c>
      <c r="C8" t="s">
        <v>40</v>
      </c>
      <c r="D8" t="s">
        <v>94</v>
      </c>
      <c r="E8">
        <v>1</v>
      </c>
      <c r="F8">
        <v>3.8234032795041693E-2</v>
      </c>
      <c r="G8" t="b">
        <v>0</v>
      </c>
      <c r="H8" t="b">
        <v>0</v>
      </c>
      <c r="I8">
        <v>0.33862158540628051</v>
      </c>
      <c r="J8">
        <f>F8/$F$3*$J$6+F8</f>
        <v>5.2449440021936189E-2</v>
      </c>
      <c r="K8">
        <f>J8/$L$2*$P$1</f>
        <v>1.0526498046182088E-2</v>
      </c>
      <c r="L8">
        <f>SUM(J8:K8)</f>
        <v>6.297593806811827E-2</v>
      </c>
      <c r="N8">
        <f>L8/(SUM($L$8:$L$12)+SUM($L$22:$L$26)+SUM($L$15:$L$20))*$L$6</f>
        <v>1.6478127461216751E-3</v>
      </c>
      <c r="O8">
        <f>N8+L8</f>
        <v>6.4623750814239947E-2</v>
      </c>
      <c r="Q8">
        <f>5/55</f>
        <v>9.0909090909090912E-2</v>
      </c>
    </row>
    <row r="9" spans="1:17" x14ac:dyDescent="0.25">
      <c r="A9">
        <v>1</v>
      </c>
      <c r="B9" t="s">
        <v>9</v>
      </c>
      <c r="C9" t="s">
        <v>29</v>
      </c>
      <c r="D9" t="s">
        <v>94</v>
      </c>
      <c r="E9">
        <v>1</v>
      </c>
      <c r="F9">
        <v>1.9317300018250869E-2</v>
      </c>
      <c r="G9" t="b">
        <v>0</v>
      </c>
      <c r="H9" t="b">
        <v>0</v>
      </c>
      <c r="I9">
        <v>0.33862158540628051</v>
      </c>
      <c r="J9">
        <f t="shared" ref="J9:J26" si="0">F9/$F$3*$J$6+F9</f>
        <v>2.6499469049584234E-2</v>
      </c>
      <c r="K9">
        <f>J9/$L$2*$P$1</f>
        <v>5.3183906073858162E-3</v>
      </c>
      <c r="L9">
        <f>SUM(J9:K9)</f>
        <v>3.1817859656970052E-2</v>
      </c>
      <c r="N9">
        <f>L9/(SUM($L$8:$L$12)+SUM($L$22:$L$26)+SUM($L$15:$L$20))*$L$6</f>
        <v>8.325382091229006E-4</v>
      </c>
      <c r="O9">
        <f t="shared" ref="O9:O12" si="1">N9+L9</f>
        <v>3.2650397866092952E-2</v>
      </c>
    </row>
    <row r="10" spans="1:17" x14ac:dyDescent="0.25">
      <c r="A10">
        <v>1</v>
      </c>
      <c r="B10" t="s">
        <v>26</v>
      </c>
      <c r="C10" t="s">
        <v>46</v>
      </c>
      <c r="D10" t="s">
        <v>94</v>
      </c>
      <c r="E10">
        <v>1</v>
      </c>
      <c r="F10">
        <v>1.322478460923953E-2</v>
      </c>
      <c r="G10" t="b">
        <v>0</v>
      </c>
      <c r="H10" t="b">
        <v>0</v>
      </c>
      <c r="I10">
        <v>0.33862158540628051</v>
      </c>
      <c r="J10">
        <f t="shared" si="0"/>
        <v>1.8141757394090168E-2</v>
      </c>
      <c r="K10">
        <f>J10/$L$2*$P$1</f>
        <v>3.6410145405428467E-3</v>
      </c>
      <c r="L10">
        <f t="shared" ref="L10:L26" si="2">SUM(J10:K10)</f>
        <v>2.1782771934633016E-2</v>
      </c>
      <c r="N10">
        <f t="shared" ref="N10:N26" si="3">L10/(SUM($L$8:$L$12)+SUM($L$22:$L$26)+SUM($L$15:$L$20))*$L$6</f>
        <v>5.6996259747532337E-4</v>
      </c>
      <c r="O10">
        <f t="shared" si="1"/>
        <v>2.2352734532108339E-2</v>
      </c>
    </row>
    <row r="11" spans="1:17" x14ac:dyDescent="0.25">
      <c r="A11">
        <v>1</v>
      </c>
      <c r="B11" t="s">
        <v>15</v>
      </c>
      <c r="C11" t="s">
        <v>35</v>
      </c>
      <c r="D11" t="s">
        <v>94</v>
      </c>
      <c r="E11">
        <v>1</v>
      </c>
      <c r="F11">
        <v>7.5737191546319717E-3</v>
      </c>
      <c r="G11" t="b">
        <v>0</v>
      </c>
      <c r="H11" t="b">
        <v>0</v>
      </c>
      <c r="I11">
        <v>0.33862158540628051</v>
      </c>
      <c r="J11">
        <f t="shared" si="0"/>
        <v>1.0389626714851117E-2</v>
      </c>
      <c r="K11">
        <f>J11/$L$2*$P$1</f>
        <v>2.0851773683131921E-3</v>
      </c>
      <c r="L11">
        <f t="shared" si="2"/>
        <v>1.2474804083164308E-2</v>
      </c>
      <c r="N11">
        <f t="shared" si="3"/>
        <v>3.2641262368135276E-4</v>
      </c>
      <c r="O11">
        <f t="shared" si="1"/>
        <v>1.2801216706845661E-2</v>
      </c>
    </row>
    <row r="12" spans="1:17" x14ac:dyDescent="0.25">
      <c r="A12">
        <v>1</v>
      </c>
      <c r="B12" t="s">
        <v>13</v>
      </c>
      <c r="C12" t="s">
        <v>33</v>
      </c>
      <c r="D12" t="s">
        <v>96</v>
      </c>
      <c r="E12">
        <v>1</v>
      </c>
      <c r="F12">
        <v>0.1120010324722643</v>
      </c>
      <c r="G12" t="b">
        <v>0</v>
      </c>
      <c r="H12" t="b">
        <v>1</v>
      </c>
      <c r="I12">
        <v>0.44014317154040672</v>
      </c>
      <c r="J12">
        <v>0.1</v>
      </c>
      <c r="K12">
        <f>J12/SUM($J$12:$J$20)*$P$4</f>
        <v>-9.114924803053634E-3</v>
      </c>
      <c r="L12">
        <f t="shared" si="2"/>
        <v>9.0885075196946372E-2</v>
      </c>
      <c r="N12">
        <f t="shared" si="3"/>
        <v>2.3780762928813336E-3</v>
      </c>
      <c r="O12">
        <f t="shared" si="1"/>
        <v>9.3263151489827709E-2</v>
      </c>
    </row>
    <row r="13" spans="1:17" x14ac:dyDescent="0.25">
      <c r="A13">
        <v>1</v>
      </c>
      <c r="B13" t="s">
        <v>27</v>
      </c>
      <c r="C13" t="s">
        <v>47</v>
      </c>
      <c r="D13" t="s">
        <v>96</v>
      </c>
      <c r="E13">
        <v>1</v>
      </c>
      <c r="F13">
        <v>8.9714946941547566E-2</v>
      </c>
      <c r="G13" t="b">
        <v>0</v>
      </c>
      <c r="H13" t="b">
        <v>0</v>
      </c>
      <c r="I13">
        <v>0.44014317154040672</v>
      </c>
      <c r="J13">
        <f t="shared" si="0"/>
        <v>0.12307094974538262</v>
      </c>
      <c r="K13">
        <f t="shared" ref="K13:K20" si="4">J13/SUM($J$12:$J$20)*$P$4</f>
        <v>-1.1217824523695552E-2</v>
      </c>
      <c r="L13">
        <f t="shared" si="2"/>
        <v>0.11185312522168707</v>
      </c>
      <c r="M13">
        <v>0.1</v>
      </c>
      <c r="O13">
        <v>0.1</v>
      </c>
    </row>
    <row r="14" spans="1:17" x14ac:dyDescent="0.25">
      <c r="A14">
        <v>1</v>
      </c>
      <c r="B14" t="s">
        <v>14</v>
      </c>
      <c r="C14" t="s">
        <v>34</v>
      </c>
      <c r="D14" t="s">
        <v>96</v>
      </c>
      <c r="E14">
        <v>1</v>
      </c>
      <c r="F14">
        <v>8.2971785383476479E-2</v>
      </c>
      <c r="G14" t="b">
        <v>0</v>
      </c>
      <c r="H14" t="b">
        <v>0</v>
      </c>
      <c r="I14">
        <v>0.44014317154040672</v>
      </c>
      <c r="J14">
        <f t="shared" si="0"/>
        <v>0.11382068180754319</v>
      </c>
      <c r="K14">
        <f t="shared" si="4"/>
        <v>-1.0374669557080508E-2</v>
      </c>
      <c r="L14">
        <f t="shared" si="2"/>
        <v>0.10344601225046268</v>
      </c>
      <c r="M14">
        <v>0.1</v>
      </c>
      <c r="O14">
        <v>0.1</v>
      </c>
    </row>
    <row r="15" spans="1:17" x14ac:dyDescent="0.25">
      <c r="A15">
        <v>1</v>
      </c>
      <c r="B15" t="s">
        <v>19</v>
      </c>
      <c r="C15" t="s">
        <v>39</v>
      </c>
      <c r="D15" t="s">
        <v>96</v>
      </c>
      <c r="E15">
        <v>1</v>
      </c>
      <c r="F15">
        <v>5.3694342985613687E-2</v>
      </c>
      <c r="G15" t="b">
        <v>0</v>
      </c>
      <c r="H15" t="b">
        <v>0</v>
      </c>
      <c r="I15">
        <v>0.44014317154040672</v>
      </c>
      <c r="J15">
        <f t="shared" si="0"/>
        <v>7.3657891047957502E-2</v>
      </c>
      <c r="K15">
        <f t="shared" si="4"/>
        <v>-6.7138613805365005E-3</v>
      </c>
      <c r="L15">
        <f t="shared" si="2"/>
        <v>6.6944029667420996E-2</v>
      </c>
      <c r="N15">
        <f t="shared" si="3"/>
        <v>1.7516408448478393E-3</v>
      </c>
      <c r="O15">
        <f t="shared" ref="O15:O20" si="5">N15+L15</f>
        <v>6.8695670512268839E-2</v>
      </c>
    </row>
    <row r="16" spans="1:17" x14ac:dyDescent="0.25">
      <c r="A16">
        <v>1</v>
      </c>
      <c r="B16" t="s">
        <v>25</v>
      </c>
      <c r="C16" t="s">
        <v>45</v>
      </c>
      <c r="D16" t="s">
        <v>96</v>
      </c>
      <c r="E16">
        <v>1</v>
      </c>
      <c r="F16">
        <v>3.5852945918745771E-2</v>
      </c>
      <c r="G16" t="b">
        <v>0</v>
      </c>
      <c r="H16" t="b">
        <v>0</v>
      </c>
      <c r="I16">
        <v>0.44014317154040672</v>
      </c>
      <c r="J16">
        <f t="shared" si="0"/>
        <v>4.9183065429049981E-2</v>
      </c>
      <c r="K16">
        <f t="shared" si="4"/>
        <v>-4.482999429694573E-3</v>
      </c>
      <c r="L16">
        <f t="shared" si="2"/>
        <v>4.4700065999355408E-2</v>
      </c>
      <c r="N16">
        <f t="shared" si="3"/>
        <v>1.1696108190805525E-3</v>
      </c>
      <c r="O16">
        <f t="shared" si="5"/>
        <v>4.5869676818435963E-2</v>
      </c>
    </row>
    <row r="17" spans="1:15" x14ac:dyDescent="0.25">
      <c r="A17">
        <v>1</v>
      </c>
      <c r="B17" t="s">
        <v>16</v>
      </c>
      <c r="C17" t="s">
        <v>36</v>
      </c>
      <c r="D17" t="s">
        <v>96</v>
      </c>
      <c r="E17">
        <v>1</v>
      </c>
      <c r="F17">
        <v>2.7314417284422469E-2</v>
      </c>
      <c r="G17" t="b">
        <v>0</v>
      </c>
      <c r="H17" t="b">
        <v>0</v>
      </c>
      <c r="I17">
        <v>0.44014317154040672</v>
      </c>
      <c r="J17">
        <f t="shared" si="0"/>
        <v>3.7469913225560682E-2</v>
      </c>
      <c r="K17">
        <f t="shared" si="4"/>
        <v>-3.4153544142793042E-3</v>
      </c>
      <c r="L17">
        <f t="shared" si="2"/>
        <v>3.4054558811281374E-2</v>
      </c>
      <c r="N17">
        <f t="shared" si="3"/>
        <v>8.9106312338026585E-4</v>
      </c>
      <c r="O17">
        <f t="shared" si="5"/>
        <v>3.4945621934661643E-2</v>
      </c>
    </row>
    <row r="18" spans="1:15" x14ac:dyDescent="0.25">
      <c r="A18">
        <v>1</v>
      </c>
      <c r="B18" t="s">
        <v>12</v>
      </c>
      <c r="C18" t="s">
        <v>32</v>
      </c>
      <c r="D18" t="s">
        <v>96</v>
      </c>
      <c r="E18">
        <v>1</v>
      </c>
      <c r="F18">
        <v>1.284964626593015E-2</v>
      </c>
      <c r="G18" t="b">
        <v>0</v>
      </c>
      <c r="H18" t="b">
        <v>0</v>
      </c>
      <c r="I18">
        <v>0.44014317154040672</v>
      </c>
      <c r="J18">
        <f t="shared" si="0"/>
        <v>1.7627142675239862E-2</v>
      </c>
      <c r="K18">
        <f t="shared" si="4"/>
        <v>-1.6067007997750899E-3</v>
      </c>
      <c r="L18">
        <f t="shared" si="2"/>
        <v>1.6020441875464773E-2</v>
      </c>
      <c r="N18">
        <f t="shared" si="3"/>
        <v>4.1918690107224763E-4</v>
      </c>
      <c r="O18">
        <f t="shared" si="5"/>
        <v>1.643962877653702E-2</v>
      </c>
    </row>
    <row r="19" spans="1:15" x14ac:dyDescent="0.25">
      <c r="A19">
        <v>1</v>
      </c>
      <c r="B19" t="s">
        <v>17</v>
      </c>
      <c r="C19" t="s">
        <v>37</v>
      </c>
      <c r="D19" t="s">
        <v>96</v>
      </c>
      <c r="E19">
        <v>1</v>
      </c>
      <c r="F19">
        <v>2.0286870493879769E-2</v>
      </c>
      <c r="G19" t="b">
        <v>0</v>
      </c>
      <c r="H19" t="b">
        <v>0</v>
      </c>
      <c r="I19">
        <v>0.44014317154040672</v>
      </c>
      <c r="J19">
        <f t="shared" si="0"/>
        <v>2.7829525671681732E-2</v>
      </c>
      <c r="K19">
        <f t="shared" si="4"/>
        <v>-2.5366403380202959E-3</v>
      </c>
      <c r="L19">
        <f t="shared" si="2"/>
        <v>2.5292885333661436E-2</v>
      </c>
      <c r="N19">
        <f t="shared" si="3"/>
        <v>6.6180735241958802E-4</v>
      </c>
      <c r="O19">
        <f t="shared" si="5"/>
        <v>2.5954692686081023E-2</v>
      </c>
    </row>
    <row r="20" spans="1:15" x14ac:dyDescent="0.25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5.4571837945264238E-3</v>
      </c>
      <c r="G20" t="b">
        <v>0</v>
      </c>
      <c r="H20" t="b">
        <v>0</v>
      </c>
      <c r="I20">
        <v>0.44014317154040672</v>
      </c>
      <c r="J20">
        <f t="shared" si="0"/>
        <v>7.4861638492085651E-3</v>
      </c>
      <c r="K20">
        <f t="shared" si="4"/>
        <v>-6.8235820548874612E-4</v>
      </c>
      <c r="L20">
        <f t="shared" si="2"/>
        <v>6.8038056437198192E-3</v>
      </c>
      <c r="N20">
        <f t="shared" si="3"/>
        <v>1.780266877442816E-4</v>
      </c>
      <c r="O20">
        <f t="shared" si="5"/>
        <v>6.9818323314641004E-3</v>
      </c>
    </row>
    <row r="21" spans="1:15" x14ac:dyDescent="0.25">
      <c r="A21">
        <v>1</v>
      </c>
      <c r="B21" t="s">
        <v>23</v>
      </c>
      <c r="C21" t="s">
        <v>43</v>
      </c>
      <c r="D21" t="s">
        <v>95</v>
      </c>
      <c r="E21">
        <v>1</v>
      </c>
      <c r="F21">
        <v>0.11744869245819391</v>
      </c>
      <c r="G21" t="b">
        <v>0</v>
      </c>
      <c r="H21" t="b">
        <v>1</v>
      </c>
      <c r="I21">
        <v>0.16518392739957499</v>
      </c>
      <c r="J21">
        <v>0.1</v>
      </c>
      <c r="L21">
        <f t="shared" si="2"/>
        <v>0.1</v>
      </c>
      <c r="M21">
        <v>0.1</v>
      </c>
      <c r="O21">
        <v>0.1</v>
      </c>
    </row>
    <row r="22" spans="1:15" x14ac:dyDescent="0.25">
      <c r="A22">
        <v>1</v>
      </c>
      <c r="B22" t="s">
        <v>22</v>
      </c>
      <c r="C22" t="s">
        <v>42</v>
      </c>
      <c r="D22" t="s">
        <v>95</v>
      </c>
      <c r="E22">
        <v>1</v>
      </c>
      <c r="F22">
        <v>2.1073551966721851E-2</v>
      </c>
      <c r="G22" t="b">
        <v>0</v>
      </c>
      <c r="H22" t="b">
        <v>0</v>
      </c>
      <c r="I22">
        <v>0.16518392739957499</v>
      </c>
      <c r="J22">
        <f t="shared" si="0"/>
        <v>2.8908695189252216E-2</v>
      </c>
      <c r="K22">
        <f>J22/$L$2*$P$1</f>
        <v>5.8019174904453703E-3</v>
      </c>
      <c r="L22">
        <f t="shared" si="2"/>
        <v>3.4710612679697585E-2</v>
      </c>
      <c r="N22">
        <f t="shared" si="3"/>
        <v>9.0822926587344054E-4</v>
      </c>
      <c r="O22">
        <f t="shared" ref="O22:O26" si="6">N22+L22</f>
        <v>3.5618841945571023E-2</v>
      </c>
    </row>
    <row r="23" spans="1:15" x14ac:dyDescent="0.25">
      <c r="A23">
        <v>1</v>
      </c>
      <c r="B23" t="s">
        <v>18</v>
      </c>
      <c r="C23" t="s">
        <v>38</v>
      </c>
      <c r="D23" t="s">
        <v>95</v>
      </c>
      <c r="E23">
        <v>1</v>
      </c>
      <c r="F23">
        <v>1.7155716435361162E-2</v>
      </c>
      <c r="G23" t="b">
        <v>0</v>
      </c>
      <c r="H23" t="b">
        <v>0</v>
      </c>
      <c r="I23">
        <v>0.16518392739957499</v>
      </c>
      <c r="J23">
        <f t="shared" si="0"/>
        <v>2.353420903919165E-2</v>
      </c>
      <c r="K23">
        <f>J23/$L$2*$P$1</f>
        <v>4.7232688350129426E-3</v>
      </c>
      <c r="L23">
        <f t="shared" si="2"/>
        <v>2.8257477874204594E-2</v>
      </c>
      <c r="N23">
        <f t="shared" si="3"/>
        <v>7.3937814414134476E-4</v>
      </c>
      <c r="O23">
        <f t="shared" si="6"/>
        <v>2.8996856018345937E-2</v>
      </c>
    </row>
    <row r="24" spans="1:15" x14ac:dyDescent="0.25">
      <c r="A24">
        <v>1</v>
      </c>
      <c r="B24" t="s">
        <v>8</v>
      </c>
      <c r="C24" t="s">
        <v>28</v>
      </c>
      <c r="D24" t="s">
        <v>95</v>
      </c>
      <c r="E24">
        <v>1</v>
      </c>
      <c r="F24">
        <v>6.6123070823451849E-3</v>
      </c>
      <c r="G24" t="b">
        <v>0</v>
      </c>
      <c r="H24" t="b">
        <v>0</v>
      </c>
      <c r="I24">
        <v>0.16518392739957499</v>
      </c>
      <c r="J24">
        <f t="shared" si="0"/>
        <v>9.0707617891425604E-3</v>
      </c>
      <c r="K24">
        <f>J24/$L$2*$P$1</f>
        <v>1.8204838070884615E-3</v>
      </c>
      <c r="L24">
        <f t="shared" si="2"/>
        <v>1.0891245596231022E-2</v>
      </c>
      <c r="N24">
        <f t="shared" si="3"/>
        <v>2.8497762582272075E-4</v>
      </c>
      <c r="O24">
        <f t="shared" si="6"/>
        <v>1.1176223222053742E-2</v>
      </c>
    </row>
    <row r="25" spans="1:15" x14ac:dyDescent="0.25">
      <c r="A25">
        <v>1</v>
      </c>
      <c r="B25" t="s">
        <v>21</v>
      </c>
      <c r="C25" t="s">
        <v>41</v>
      </c>
      <c r="D25" t="s">
        <v>95</v>
      </c>
      <c r="E25">
        <v>1</v>
      </c>
      <c r="F25">
        <v>2.8936594569528942E-3</v>
      </c>
      <c r="G25" t="b">
        <v>0</v>
      </c>
      <c r="H25" t="b">
        <v>0</v>
      </c>
      <c r="I25">
        <v>0.16518392739957499</v>
      </c>
      <c r="J25">
        <f t="shared" si="0"/>
        <v>3.9695215763648501E-3</v>
      </c>
      <c r="K25">
        <f>J25/$L$2*$P$1</f>
        <v>7.9667506650988489E-4</v>
      </c>
      <c r="L25">
        <f t="shared" si="2"/>
        <v>4.7661966428747347E-3</v>
      </c>
      <c r="N25">
        <f t="shared" si="3"/>
        <v>1.2471111696909097E-4</v>
      </c>
      <c r="O25">
        <f t="shared" si="6"/>
        <v>4.8909077598438258E-3</v>
      </c>
    </row>
    <row r="26" spans="1:15" x14ac:dyDescent="0.25">
      <c r="A26">
        <v>1</v>
      </c>
      <c r="B26" t="s">
        <v>24</v>
      </c>
      <c r="C26" t="s">
        <v>44</v>
      </c>
      <c r="D26" t="s">
        <v>97</v>
      </c>
      <c r="E26">
        <v>1</v>
      </c>
      <c r="F26">
        <v>5.605131565373779E-2</v>
      </c>
      <c r="G26" t="b">
        <v>0</v>
      </c>
      <c r="H26" t="b">
        <v>0</v>
      </c>
      <c r="I26">
        <v>5.605131565373779E-2</v>
      </c>
      <c r="J26">
        <f t="shared" si="0"/>
        <v>7.68911857739627E-2</v>
      </c>
      <c r="K26">
        <f>J26/$L$2*$P$1</f>
        <v>1.5431907690143595E-2</v>
      </c>
      <c r="L26">
        <f t="shared" si="2"/>
        <v>9.232309346410629E-2</v>
      </c>
      <c r="N26">
        <f t="shared" si="3"/>
        <v>2.4157031215157692E-3</v>
      </c>
      <c r="O26">
        <f t="shared" si="6"/>
        <v>9.4738796585622065E-2</v>
      </c>
    </row>
    <row r="27" spans="1:15" x14ac:dyDescent="0.25">
      <c r="J27">
        <f>J26+P5</f>
        <v>8.5462252024559246E-2</v>
      </c>
    </row>
    <row r="28" spans="1:15" x14ac:dyDescent="0.25">
      <c r="A28">
        <v>2</v>
      </c>
      <c r="B28" t="s">
        <v>27</v>
      </c>
      <c r="C28" t="s">
        <v>47</v>
      </c>
      <c r="D28" s="4" t="s">
        <v>96</v>
      </c>
      <c r="E28">
        <v>1.24676131497423</v>
      </c>
      <c r="F28">
        <v>0.1118531252216871</v>
      </c>
      <c r="G28" t="b">
        <v>0</v>
      </c>
      <c r="H28" t="b">
        <v>1</v>
      </c>
      <c r="I28">
        <v>0.5</v>
      </c>
    </row>
    <row r="29" spans="1:15" x14ac:dyDescent="0.25">
      <c r="A29">
        <v>2</v>
      </c>
      <c r="B29" t="s">
        <v>14</v>
      </c>
      <c r="C29" t="s">
        <v>34</v>
      </c>
      <c r="D29" s="4" t="s">
        <v>96</v>
      </c>
      <c r="E29">
        <v>1.24676131497423</v>
      </c>
      <c r="F29">
        <v>0.1034460122504627</v>
      </c>
      <c r="G29" t="b">
        <v>0</v>
      </c>
      <c r="H29" t="b">
        <v>1</v>
      </c>
      <c r="I29">
        <v>0.5</v>
      </c>
    </row>
    <row r="30" spans="1:15" x14ac:dyDescent="0.25">
      <c r="A30">
        <v>2</v>
      </c>
      <c r="B30" t="s">
        <v>10</v>
      </c>
      <c r="C30" t="s">
        <v>30</v>
      </c>
      <c r="D30" t="s">
        <v>94</v>
      </c>
      <c r="E30">
        <v>0.38421380902794727</v>
      </c>
      <c r="F30">
        <v>0.1</v>
      </c>
      <c r="G30" t="b">
        <v>1</v>
      </c>
      <c r="H30" t="b">
        <v>0</v>
      </c>
      <c r="I30">
        <v>0.22905137374288559</v>
      </c>
    </row>
    <row r="31" spans="1:15" x14ac:dyDescent="0.25">
      <c r="A31">
        <v>2</v>
      </c>
      <c r="B31" t="s">
        <v>23</v>
      </c>
      <c r="C31" t="s">
        <v>43</v>
      </c>
      <c r="D31" t="s">
        <v>95</v>
      </c>
      <c r="E31">
        <v>0.85143561760464181</v>
      </c>
      <c r="F31">
        <v>0.1</v>
      </c>
      <c r="G31" t="b">
        <v>1</v>
      </c>
      <c r="H31" t="b">
        <v>0</v>
      </c>
      <c r="I31">
        <v>0.17862553279300791</v>
      </c>
    </row>
    <row r="32" spans="1:15" x14ac:dyDescent="0.25">
      <c r="A32">
        <v>2</v>
      </c>
      <c r="B32" t="s">
        <v>24</v>
      </c>
      <c r="C32" t="s">
        <v>44</v>
      </c>
      <c r="D32" t="s">
        <v>97</v>
      </c>
      <c r="E32">
        <v>1.6471173314546399</v>
      </c>
      <c r="F32">
        <v>9.2323093464106304E-2</v>
      </c>
      <c r="G32" t="b">
        <v>0</v>
      </c>
      <c r="H32" t="b">
        <v>0</v>
      </c>
      <c r="I32">
        <v>9.2323093464106304E-2</v>
      </c>
    </row>
    <row r="33" spans="1:9" x14ac:dyDescent="0.25">
      <c r="A33">
        <v>2</v>
      </c>
      <c r="B33" t="s">
        <v>13</v>
      </c>
      <c r="C33" t="s">
        <v>33</v>
      </c>
      <c r="D33" s="4" t="s">
        <v>96</v>
      </c>
      <c r="E33">
        <v>0.81146640518204993</v>
      </c>
      <c r="F33">
        <v>9.0885075196946385E-2</v>
      </c>
      <c r="G33" t="b">
        <v>1</v>
      </c>
      <c r="H33" t="b">
        <v>0</v>
      </c>
      <c r="I33">
        <v>0.5</v>
      </c>
    </row>
    <row r="34" spans="1:9" x14ac:dyDescent="0.25">
      <c r="A34">
        <v>2</v>
      </c>
      <c r="B34" t="s">
        <v>19</v>
      </c>
      <c r="C34" t="s">
        <v>39</v>
      </c>
      <c r="D34" s="4" t="s">
        <v>96</v>
      </c>
      <c r="E34">
        <v>1.24676131497423</v>
      </c>
      <c r="F34">
        <v>6.6944029667421023E-2</v>
      </c>
      <c r="G34" t="b">
        <v>0</v>
      </c>
      <c r="H34" t="b">
        <v>0</v>
      </c>
      <c r="I34">
        <v>0.5</v>
      </c>
    </row>
    <row r="35" spans="1:9" x14ac:dyDescent="0.25">
      <c r="A35">
        <v>2</v>
      </c>
      <c r="B35" t="s">
        <v>20</v>
      </c>
      <c r="C35" t="s">
        <v>40</v>
      </c>
      <c r="D35" t="s">
        <v>94</v>
      </c>
      <c r="E35">
        <v>1.6471173314546399</v>
      </c>
      <c r="F35">
        <v>6.2975938068118284E-2</v>
      </c>
      <c r="G35" t="b">
        <v>0</v>
      </c>
      <c r="H35" t="b">
        <v>0</v>
      </c>
      <c r="I35">
        <v>0.22905137374288559</v>
      </c>
    </row>
    <row r="36" spans="1:9" x14ac:dyDescent="0.25">
      <c r="A36">
        <v>2</v>
      </c>
      <c r="B36" t="s">
        <v>25</v>
      </c>
      <c r="C36" t="s">
        <v>45</v>
      </c>
      <c r="D36" s="4" t="s">
        <v>96</v>
      </c>
      <c r="E36">
        <v>1.24676131497423</v>
      </c>
      <c r="F36">
        <v>4.4700065999355422E-2</v>
      </c>
      <c r="G36" t="b">
        <v>0</v>
      </c>
      <c r="H36" t="b">
        <v>0</v>
      </c>
      <c r="I36">
        <v>0.5</v>
      </c>
    </row>
    <row r="37" spans="1:9" x14ac:dyDescent="0.25">
      <c r="A37">
        <v>2</v>
      </c>
      <c r="B37" t="s">
        <v>22</v>
      </c>
      <c r="C37" t="s">
        <v>42</v>
      </c>
      <c r="D37" t="s">
        <v>95</v>
      </c>
      <c r="E37">
        <v>1.6471173314546399</v>
      </c>
      <c r="F37">
        <v>3.4710612679697578E-2</v>
      </c>
      <c r="G37" t="b">
        <v>0</v>
      </c>
      <c r="H37" t="b">
        <v>0</v>
      </c>
      <c r="I37">
        <v>0.17862553279300791</v>
      </c>
    </row>
    <row r="38" spans="1:9" x14ac:dyDescent="0.25">
      <c r="A38">
        <v>2</v>
      </c>
      <c r="B38" t="s">
        <v>16</v>
      </c>
      <c r="C38" t="s">
        <v>36</v>
      </c>
      <c r="D38" s="4" t="s">
        <v>96</v>
      </c>
      <c r="E38">
        <v>1.24676131497423</v>
      </c>
      <c r="F38">
        <v>3.4054558811281381E-2</v>
      </c>
      <c r="G38" t="b">
        <v>0</v>
      </c>
      <c r="H38" t="b">
        <v>0</v>
      </c>
      <c r="I38">
        <v>0.5</v>
      </c>
    </row>
    <row r="39" spans="1:9" x14ac:dyDescent="0.25">
      <c r="A39">
        <v>2</v>
      </c>
      <c r="B39" t="s">
        <v>9</v>
      </c>
      <c r="C39" t="s">
        <v>29</v>
      </c>
      <c r="D39" t="s">
        <v>94</v>
      </c>
      <c r="E39">
        <v>1.6471173314546399</v>
      </c>
      <c r="F39">
        <v>3.1817859656970038E-2</v>
      </c>
      <c r="G39" t="b">
        <v>0</v>
      </c>
      <c r="H39" t="b">
        <v>0</v>
      </c>
      <c r="I39">
        <v>0.22905137374288559</v>
      </c>
    </row>
    <row r="40" spans="1:9" x14ac:dyDescent="0.25">
      <c r="A40">
        <v>2</v>
      </c>
      <c r="B40" t="s">
        <v>18</v>
      </c>
      <c r="C40" t="s">
        <v>38</v>
      </c>
      <c r="D40" t="s">
        <v>95</v>
      </c>
      <c r="E40">
        <v>1.6471173314546399</v>
      </c>
      <c r="F40">
        <v>2.825747787420459E-2</v>
      </c>
      <c r="G40" t="b">
        <v>0</v>
      </c>
      <c r="H40" t="b">
        <v>0</v>
      </c>
      <c r="I40">
        <v>0.17862553279300791</v>
      </c>
    </row>
    <row r="41" spans="1:9" x14ac:dyDescent="0.25">
      <c r="A41">
        <v>2</v>
      </c>
      <c r="B41" t="s">
        <v>17</v>
      </c>
      <c r="C41" t="s">
        <v>37</v>
      </c>
      <c r="D41" s="4" t="s">
        <v>96</v>
      </c>
      <c r="E41">
        <v>1.24676131497423</v>
      </c>
      <c r="F41">
        <v>2.529288533366144E-2</v>
      </c>
      <c r="G41" t="b">
        <v>0</v>
      </c>
      <c r="H41" t="b">
        <v>0</v>
      </c>
      <c r="I41">
        <v>0.5</v>
      </c>
    </row>
    <row r="42" spans="1:9" x14ac:dyDescent="0.25">
      <c r="A42">
        <v>2</v>
      </c>
      <c r="B42" t="s">
        <v>26</v>
      </c>
      <c r="C42" t="s">
        <v>46</v>
      </c>
      <c r="D42" t="s">
        <v>94</v>
      </c>
      <c r="E42">
        <v>1.6471173314546399</v>
      </c>
      <c r="F42">
        <v>2.178277193463302E-2</v>
      </c>
      <c r="G42" t="b">
        <v>0</v>
      </c>
      <c r="H42" t="b">
        <v>0</v>
      </c>
      <c r="I42">
        <v>0.22905137374288559</v>
      </c>
    </row>
    <row r="43" spans="1:9" x14ac:dyDescent="0.25">
      <c r="A43">
        <v>2</v>
      </c>
      <c r="B43" t="s">
        <v>12</v>
      </c>
      <c r="C43" t="s">
        <v>32</v>
      </c>
      <c r="D43" s="4" t="s">
        <v>96</v>
      </c>
      <c r="E43">
        <v>1.24676131497423</v>
      </c>
      <c r="F43">
        <v>1.602044187546477E-2</v>
      </c>
      <c r="G43" t="b">
        <v>0</v>
      </c>
      <c r="H43" t="b">
        <v>0</v>
      </c>
      <c r="I43">
        <v>0.5</v>
      </c>
    </row>
    <row r="44" spans="1:9" x14ac:dyDescent="0.25">
      <c r="A44">
        <v>2</v>
      </c>
      <c r="B44" t="s">
        <v>15</v>
      </c>
      <c r="C44" t="s">
        <v>35</v>
      </c>
      <c r="D44" t="s">
        <v>94</v>
      </c>
      <c r="E44">
        <v>1.6471173314546399</v>
      </c>
      <c r="F44">
        <v>1.247480408316431E-2</v>
      </c>
      <c r="G44" t="b">
        <v>0</v>
      </c>
      <c r="H44" t="b">
        <v>0</v>
      </c>
      <c r="I44">
        <v>0.22905137374288559</v>
      </c>
    </row>
    <row r="45" spans="1:9" x14ac:dyDescent="0.25">
      <c r="A45">
        <v>2</v>
      </c>
      <c r="B45" t="s">
        <v>8</v>
      </c>
      <c r="C45" t="s">
        <v>28</v>
      </c>
      <c r="D45" t="s">
        <v>95</v>
      </c>
      <c r="E45">
        <v>1.6471173314546399</v>
      </c>
      <c r="F45">
        <v>1.089124559623102E-2</v>
      </c>
      <c r="G45" t="b">
        <v>0</v>
      </c>
      <c r="H45" t="b">
        <v>0</v>
      </c>
      <c r="I45">
        <v>0.17862553279300791</v>
      </c>
    </row>
    <row r="46" spans="1:9" x14ac:dyDescent="0.25">
      <c r="A46">
        <v>2</v>
      </c>
      <c r="B46" t="s">
        <v>11</v>
      </c>
      <c r="C46" t="s">
        <v>31</v>
      </c>
      <c r="D46" s="4" t="s">
        <v>96</v>
      </c>
      <c r="E46">
        <v>1.24676131497423</v>
      </c>
      <c r="F46">
        <v>6.8038056437198201E-3</v>
      </c>
      <c r="G46" t="b">
        <v>0</v>
      </c>
      <c r="H46" t="b">
        <v>0</v>
      </c>
      <c r="I46">
        <v>0.5</v>
      </c>
    </row>
    <row r="47" spans="1:9" x14ac:dyDescent="0.25">
      <c r="A47">
        <v>2</v>
      </c>
      <c r="B47" t="s">
        <v>21</v>
      </c>
      <c r="C47" t="s">
        <v>41</v>
      </c>
      <c r="D47" t="s">
        <v>95</v>
      </c>
      <c r="E47">
        <v>1.6471173314546399</v>
      </c>
      <c r="F47">
        <v>4.7661966428747338E-3</v>
      </c>
      <c r="G47" t="b">
        <v>0</v>
      </c>
      <c r="H47" t="b">
        <v>0</v>
      </c>
      <c r="I47">
        <v>0.17862553279300791</v>
      </c>
    </row>
    <row r="49" spans="1:10" x14ac:dyDescent="0.25">
      <c r="A49">
        <v>3</v>
      </c>
      <c r="B49" t="s">
        <v>10</v>
      </c>
      <c r="C49" t="s">
        <v>30</v>
      </c>
      <c r="D49" t="s">
        <v>94</v>
      </c>
      <c r="E49">
        <v>0.38421380902794727</v>
      </c>
      <c r="F49">
        <v>0.1</v>
      </c>
      <c r="G49" t="b">
        <v>1</v>
      </c>
      <c r="H49" t="b">
        <v>0</v>
      </c>
      <c r="I49">
        <v>0.23304957460749101</v>
      </c>
      <c r="J49">
        <f>_xlfn.XLOOKUP(B49,$B$7:$B$26,$O$7:$O$26)</f>
        <v>0.1</v>
      </c>
    </row>
    <row r="50" spans="1:10" x14ac:dyDescent="0.25">
      <c r="A50">
        <v>3</v>
      </c>
      <c r="B50" t="s">
        <v>23</v>
      </c>
      <c r="C50" t="s">
        <v>43</v>
      </c>
      <c r="D50" t="s">
        <v>95</v>
      </c>
      <c r="E50">
        <v>0.85143561760464181</v>
      </c>
      <c r="F50">
        <v>0.1</v>
      </c>
      <c r="G50" t="b">
        <v>1</v>
      </c>
      <c r="H50" t="b">
        <v>0</v>
      </c>
      <c r="I50">
        <v>0.18106146713508919</v>
      </c>
      <c r="J50">
        <f t="shared" ref="J50:J68" si="7">_xlfn.XLOOKUP(B50,$B$7:$B$26,$O$7:$O$26)</f>
        <v>0.1</v>
      </c>
    </row>
    <row r="51" spans="1:10" x14ac:dyDescent="0.25">
      <c r="A51">
        <v>3</v>
      </c>
      <c r="B51" t="s">
        <v>27</v>
      </c>
      <c r="C51" t="s">
        <v>47</v>
      </c>
      <c r="D51" s="4" t="s">
        <v>96</v>
      </c>
      <c r="E51">
        <v>1.11464146621135</v>
      </c>
      <c r="F51">
        <v>0.1</v>
      </c>
      <c r="G51" t="b">
        <v>1</v>
      </c>
      <c r="H51" t="b">
        <v>0</v>
      </c>
      <c r="I51">
        <v>0.49070555992862708</v>
      </c>
      <c r="J51">
        <f t="shared" si="7"/>
        <v>0.1</v>
      </c>
    </row>
    <row r="52" spans="1:10" x14ac:dyDescent="0.25">
      <c r="A52">
        <v>3</v>
      </c>
      <c r="B52" t="s">
        <v>14</v>
      </c>
      <c r="C52" t="s">
        <v>34</v>
      </c>
      <c r="D52" t="s">
        <v>96</v>
      </c>
      <c r="E52">
        <v>1.2052289767879889</v>
      </c>
      <c r="F52">
        <v>0.1</v>
      </c>
      <c r="G52" t="b">
        <v>1</v>
      </c>
      <c r="H52" t="b">
        <v>0</v>
      </c>
      <c r="I52">
        <v>0.49070555992862708</v>
      </c>
      <c r="J52">
        <f t="shared" si="7"/>
        <v>0.1</v>
      </c>
    </row>
    <row r="53" spans="1:10" x14ac:dyDescent="0.25">
      <c r="A53">
        <v>3</v>
      </c>
      <c r="B53" t="s">
        <v>24</v>
      </c>
      <c r="C53" t="s">
        <v>44</v>
      </c>
      <c r="D53" t="s">
        <v>97</v>
      </c>
      <c r="E53">
        <v>1.6981474425470571</v>
      </c>
      <c r="F53">
        <v>9.5183398328792634E-2</v>
      </c>
      <c r="G53" t="b">
        <v>0</v>
      </c>
      <c r="H53" t="b">
        <v>0</v>
      </c>
      <c r="I53">
        <v>9.5183398328792634E-2</v>
      </c>
      <c r="J53">
        <f t="shared" si="7"/>
        <v>9.4738796585622065E-2</v>
      </c>
    </row>
    <row r="54" spans="1:10" x14ac:dyDescent="0.25">
      <c r="A54">
        <v>3</v>
      </c>
      <c r="B54" t="s">
        <v>13</v>
      </c>
      <c r="C54" t="s">
        <v>33</v>
      </c>
      <c r="D54" s="4" t="s">
        <v>96</v>
      </c>
      <c r="E54">
        <v>0.81146640518204993</v>
      </c>
      <c r="F54">
        <v>9.0885075196946385E-2</v>
      </c>
      <c r="G54" t="b">
        <v>1</v>
      </c>
      <c r="H54" t="b">
        <v>0</v>
      </c>
      <c r="I54">
        <v>0.49070555992862708</v>
      </c>
      <c r="J54">
        <f t="shared" si="7"/>
        <v>9.3263151489827709E-2</v>
      </c>
    </row>
    <row r="55" spans="1:10" x14ac:dyDescent="0.25">
      <c r="A55">
        <v>3</v>
      </c>
      <c r="B55" t="s">
        <v>19</v>
      </c>
      <c r="C55" t="s">
        <v>39</v>
      </c>
      <c r="D55" s="4" t="s">
        <v>96</v>
      </c>
      <c r="E55">
        <v>1.2853878093920099</v>
      </c>
      <c r="F55">
        <v>6.9018053907021204E-2</v>
      </c>
      <c r="G55" t="b">
        <v>0</v>
      </c>
      <c r="H55" t="b">
        <v>0</v>
      </c>
      <c r="I55">
        <v>0.49070555992862708</v>
      </c>
      <c r="J55">
        <f t="shared" si="7"/>
        <v>6.8695670512268839E-2</v>
      </c>
    </row>
    <row r="56" spans="1:10" x14ac:dyDescent="0.25">
      <c r="A56">
        <v>3</v>
      </c>
      <c r="B56" t="s">
        <v>20</v>
      </c>
      <c r="C56" t="s">
        <v>40</v>
      </c>
      <c r="D56" t="s">
        <v>94</v>
      </c>
      <c r="E56">
        <v>1.6981474425470571</v>
      </c>
      <c r="F56">
        <v>6.4927025009160352E-2</v>
      </c>
      <c r="G56" t="b">
        <v>0</v>
      </c>
      <c r="H56" t="b">
        <v>0</v>
      </c>
      <c r="I56">
        <v>0.23304957460749101</v>
      </c>
      <c r="J56">
        <f t="shared" si="7"/>
        <v>6.4623750814239947E-2</v>
      </c>
    </row>
    <row r="57" spans="1:10" x14ac:dyDescent="0.25">
      <c r="A57">
        <v>3</v>
      </c>
      <c r="B57" t="s">
        <v>25</v>
      </c>
      <c r="C57" t="s">
        <v>45</v>
      </c>
      <c r="D57" s="4" t="s">
        <v>96</v>
      </c>
      <c r="E57">
        <v>1.2853878093920099</v>
      </c>
      <c r="F57">
        <v>4.6084939614746828E-2</v>
      </c>
      <c r="G57" t="b">
        <v>0</v>
      </c>
      <c r="H57" t="b">
        <v>0</v>
      </c>
      <c r="I57">
        <v>0.49070555992862708</v>
      </c>
      <c r="J57">
        <f t="shared" si="7"/>
        <v>4.5869676818435963E-2</v>
      </c>
    </row>
    <row r="58" spans="1:10" x14ac:dyDescent="0.25">
      <c r="A58">
        <v>3</v>
      </c>
      <c r="B58" t="s">
        <v>22</v>
      </c>
      <c r="C58" t="s">
        <v>42</v>
      </c>
      <c r="D58" t="s">
        <v>95</v>
      </c>
      <c r="E58">
        <v>1.6981474425470571</v>
      </c>
      <c r="F58">
        <v>3.5785998377671213E-2</v>
      </c>
      <c r="G58" t="b">
        <v>0</v>
      </c>
      <c r="H58" t="b">
        <v>0</v>
      </c>
      <c r="I58">
        <v>0.18106146713508919</v>
      </c>
      <c r="J58">
        <f t="shared" si="7"/>
        <v>3.5618841945571023E-2</v>
      </c>
    </row>
    <row r="59" spans="1:10" x14ac:dyDescent="0.25">
      <c r="A59">
        <v>3</v>
      </c>
      <c r="B59" t="s">
        <v>16</v>
      </c>
      <c r="C59" t="s">
        <v>36</v>
      </c>
      <c r="D59" s="4" t="s">
        <v>96</v>
      </c>
      <c r="E59">
        <v>1.2853878093920099</v>
      </c>
      <c r="F59">
        <v>3.5109618998043053E-2</v>
      </c>
      <c r="G59" t="b">
        <v>0</v>
      </c>
      <c r="H59" t="b">
        <v>0</v>
      </c>
      <c r="I59">
        <v>0.49070555992862708</v>
      </c>
      <c r="J59">
        <f t="shared" si="7"/>
        <v>3.4945621934661643E-2</v>
      </c>
    </row>
    <row r="60" spans="1:10" x14ac:dyDescent="0.25">
      <c r="A60">
        <v>3</v>
      </c>
      <c r="B60" t="s">
        <v>9</v>
      </c>
      <c r="C60" t="s">
        <v>29</v>
      </c>
      <c r="D60" t="s">
        <v>94</v>
      </c>
      <c r="E60">
        <v>1.6981474425470571</v>
      </c>
      <c r="F60">
        <v>3.2803623622906918E-2</v>
      </c>
      <c r="G60" t="b">
        <v>0</v>
      </c>
      <c r="H60" t="b">
        <v>0</v>
      </c>
      <c r="I60">
        <v>0.23304957460749101</v>
      </c>
      <c r="J60">
        <f t="shared" si="7"/>
        <v>3.2650397866092952E-2</v>
      </c>
    </row>
    <row r="61" spans="1:10" x14ac:dyDescent="0.25">
      <c r="A61">
        <v>3</v>
      </c>
      <c r="B61" t="s">
        <v>18</v>
      </c>
      <c r="C61" t="s">
        <v>38</v>
      </c>
      <c r="D61" t="s">
        <v>95</v>
      </c>
      <c r="E61">
        <v>1.6981474425470571</v>
      </c>
      <c r="F61">
        <v>2.9132935989771069E-2</v>
      </c>
      <c r="G61" t="b">
        <v>0</v>
      </c>
      <c r="H61" t="b">
        <v>0</v>
      </c>
      <c r="I61">
        <v>0.18106146713508919</v>
      </c>
      <c r="J61">
        <f t="shared" si="7"/>
        <v>2.8996856018345937E-2</v>
      </c>
    </row>
    <row r="62" spans="1:10" x14ac:dyDescent="0.25">
      <c r="A62">
        <v>3</v>
      </c>
      <c r="B62" t="s">
        <v>17</v>
      </c>
      <c r="C62" t="s">
        <v>37</v>
      </c>
      <c r="D62" s="4" t="s">
        <v>96</v>
      </c>
      <c r="E62">
        <v>1.2853878093920099</v>
      </c>
      <c r="F62">
        <v>2.607649602354753E-2</v>
      </c>
      <c r="G62" t="b">
        <v>0</v>
      </c>
      <c r="H62" t="b">
        <v>0</v>
      </c>
      <c r="I62">
        <v>0.49070555992862708</v>
      </c>
      <c r="J62">
        <f t="shared" si="7"/>
        <v>2.5954692686081023E-2</v>
      </c>
    </row>
    <row r="63" spans="1:10" x14ac:dyDescent="0.25">
      <c r="A63">
        <v>3</v>
      </c>
      <c r="B63" t="s">
        <v>26</v>
      </c>
      <c r="C63" t="s">
        <v>46</v>
      </c>
      <c r="D63" t="s">
        <v>94</v>
      </c>
      <c r="E63">
        <v>1.6981474425470571</v>
      </c>
      <c r="F63">
        <v>2.2457634162415779E-2</v>
      </c>
      <c r="G63" t="b">
        <v>0</v>
      </c>
      <c r="H63" t="b">
        <v>0</v>
      </c>
      <c r="I63">
        <v>0.23304957460749101</v>
      </c>
      <c r="J63">
        <f t="shared" si="7"/>
        <v>2.2352734532108339E-2</v>
      </c>
    </row>
    <row r="64" spans="1:10" x14ac:dyDescent="0.25">
      <c r="A64">
        <v>3</v>
      </c>
      <c r="B64" t="s">
        <v>12</v>
      </c>
      <c r="C64" t="s">
        <v>32</v>
      </c>
      <c r="D64" s="4" t="s">
        <v>96</v>
      </c>
      <c r="E64">
        <v>1.2853878093920099</v>
      </c>
      <c r="F64">
        <v>1.6516778665226169E-2</v>
      </c>
      <c r="G64" t="b">
        <v>0</v>
      </c>
      <c r="H64" t="b">
        <v>0</v>
      </c>
      <c r="I64">
        <v>0.49070555992862708</v>
      </c>
      <c r="J64">
        <f t="shared" si="7"/>
        <v>1.643962877653702E-2</v>
      </c>
    </row>
    <row r="65" spans="1:10" x14ac:dyDescent="0.25">
      <c r="A65">
        <v>3</v>
      </c>
      <c r="B65" t="s">
        <v>15</v>
      </c>
      <c r="C65" t="s">
        <v>35</v>
      </c>
      <c r="D65" t="s">
        <v>94</v>
      </c>
      <c r="E65">
        <v>1.6981474425470571</v>
      </c>
      <c r="F65">
        <v>1.2861291813007939E-2</v>
      </c>
      <c r="G65" t="b">
        <v>0</v>
      </c>
      <c r="H65" t="b">
        <v>0</v>
      </c>
      <c r="I65">
        <v>0.23304957460749101</v>
      </c>
      <c r="J65">
        <f t="shared" si="7"/>
        <v>1.2801216706845661E-2</v>
      </c>
    </row>
    <row r="66" spans="1:10" x14ac:dyDescent="0.25">
      <c r="A66">
        <v>3</v>
      </c>
      <c r="B66" t="s">
        <v>8</v>
      </c>
      <c r="C66" t="s">
        <v>28</v>
      </c>
      <c r="D66" t="s">
        <v>95</v>
      </c>
      <c r="E66">
        <v>1.6981474425470571</v>
      </c>
      <c r="F66">
        <v>1.1228672361220261E-2</v>
      </c>
      <c r="G66" t="b">
        <v>0</v>
      </c>
      <c r="H66" t="b">
        <v>0</v>
      </c>
      <c r="I66">
        <v>0.18106146713508919</v>
      </c>
      <c r="J66">
        <f t="shared" si="7"/>
        <v>1.1176223222053742E-2</v>
      </c>
    </row>
    <row r="67" spans="1:10" x14ac:dyDescent="0.25">
      <c r="A67">
        <v>3</v>
      </c>
      <c r="B67" t="s">
        <v>11</v>
      </c>
      <c r="C67" t="s">
        <v>31</v>
      </c>
      <c r="D67" s="4" t="s">
        <v>96</v>
      </c>
      <c r="E67">
        <v>1.2853878093920099</v>
      </c>
      <c r="F67">
        <v>7.0145975230958956E-3</v>
      </c>
      <c r="G67" t="b">
        <v>0</v>
      </c>
      <c r="H67" t="b">
        <v>0</v>
      </c>
      <c r="I67">
        <v>0.49070555992862708</v>
      </c>
      <c r="J67">
        <f t="shared" si="7"/>
        <v>6.9818323314641004E-3</v>
      </c>
    </row>
    <row r="68" spans="1:10" x14ac:dyDescent="0.25">
      <c r="A68">
        <v>3</v>
      </c>
      <c r="B68" t="s">
        <v>21</v>
      </c>
      <c r="C68" t="s">
        <v>41</v>
      </c>
      <c r="D68" t="s">
        <v>95</v>
      </c>
      <c r="E68">
        <v>1.6981474425470571</v>
      </c>
      <c r="F68">
        <v>4.9138604064266614E-3</v>
      </c>
      <c r="G68" t="b">
        <v>0</v>
      </c>
      <c r="H68" t="b">
        <v>0</v>
      </c>
      <c r="I68">
        <v>0.18106146713508919</v>
      </c>
      <c r="J68">
        <f t="shared" si="7"/>
        <v>4.8909077598438258E-3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70</v>
      </c>
      <c r="B1" s="1" t="s">
        <v>72</v>
      </c>
      <c r="C1" s="1" t="s">
        <v>110</v>
      </c>
      <c r="D1" s="1" t="s">
        <v>111</v>
      </c>
    </row>
    <row r="2" spans="1:4" x14ac:dyDescent="0.25">
      <c r="A2" t="s">
        <v>94</v>
      </c>
      <c r="B2">
        <v>0.23304957460749101</v>
      </c>
      <c r="C2">
        <v>5</v>
      </c>
      <c r="D2" t="b">
        <v>1</v>
      </c>
    </row>
    <row r="3" spans="1:4" x14ac:dyDescent="0.25">
      <c r="A3" t="s">
        <v>96</v>
      </c>
      <c r="B3">
        <v>0.49070555992862719</v>
      </c>
      <c r="C3">
        <v>9</v>
      </c>
      <c r="D3" t="b">
        <v>1</v>
      </c>
    </row>
    <row r="4" spans="1:4" x14ac:dyDescent="0.25">
      <c r="A4" t="s">
        <v>95</v>
      </c>
      <c r="B4">
        <v>0.18106146713508919</v>
      </c>
      <c r="C4">
        <v>5</v>
      </c>
      <c r="D4" t="b">
        <v>1</v>
      </c>
    </row>
    <row r="5" spans="1:4" x14ac:dyDescent="0.25">
      <c r="A5" t="s">
        <v>97</v>
      </c>
      <c r="B5">
        <v>9.5183398328792648E-2</v>
      </c>
      <c r="C5">
        <v>1</v>
      </c>
      <c r="D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112</v>
      </c>
    </row>
    <row r="2" spans="1:1" x14ac:dyDescent="0.25">
      <c r="A2">
        <v>1115192952403.636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2025-11-19T15:43:26Z</dcterms:created>
  <dcterms:modified xsi:type="dcterms:W3CDTF">2025-11-19T18:14:27Z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2025-11-19T15:45:14Z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b4d79266-b5b3-41f0-a8d3-e7c56e9ac076</vt:lpwstr>
  </property>
  <property fmtid="{D5CDD505-2E9C-101B-9397-08002B2CF9AE}" pid="8" name="MSIP_Label_ac0b9ce6-6e99-42a1-af95-429494370cbc_ContentBits">
    <vt:lpwstr>2</vt:lpwstr>
  </property>
</Properties>
</file>