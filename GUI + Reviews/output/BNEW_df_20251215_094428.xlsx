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AA840E50F458C1E78113AB26716B460A98FA12B4" xr6:coauthVersionLast="47" xr6:coauthVersionMax="47" xr10:uidLastSave="{70AA075C-2CEC-462C-A5A8-5452B8B155D9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  <c r="J2" i="1"/>
  <c r="K2" i="1"/>
</calcChain>
</file>

<file path=xl/sharedStrings.xml><?xml version="1.0" encoding="utf-8"?>
<sst xmlns="http://schemas.openxmlformats.org/spreadsheetml/2006/main" count="888" uniqueCount="129">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</sst>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BNEW_EMS_2025-12-11_2025-12-11-23-06-59.xlsx" TargetMode="External"/><Relationship Id="rId1" Type="http://schemas.openxmlformats.org/officeDocument/2006/relationships/externalLinkPath" Target="/personal/csonneveld_euronext_com/Documents/Documents/Projects/GUI%20+%20Reviews/202512/Review%20202512/Dataiku/BNEW_EMS_2025-12-11_2025-12-11-23-06-5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BE0974293251</v>
          </cell>
          <cell r="C2" t="str">
            <v>XBRU</v>
          </cell>
          <cell r="D2">
            <v>2384211</v>
          </cell>
        </row>
        <row r="3">
          <cell r="B3" t="str">
            <v>NL0011540547</v>
          </cell>
        </row>
        <row r="4">
          <cell r="B4" t="str">
            <v>NL0012969182</v>
          </cell>
        </row>
        <row r="5">
          <cell r="B5" t="str">
            <v>BMG0112X1056</v>
          </cell>
        </row>
        <row r="6">
          <cell r="B6" t="str">
            <v>BE0974264930</v>
          </cell>
        </row>
        <row r="7">
          <cell r="B7" t="str">
            <v>NL0011794037</v>
          </cell>
        </row>
        <row r="8">
          <cell r="B8" t="str">
            <v>NL0013267909</v>
          </cell>
        </row>
        <row r="9">
          <cell r="B9" t="str">
            <v>LU1598757687</v>
          </cell>
        </row>
        <row r="10">
          <cell r="B10" t="str">
            <v>NL0010832176</v>
          </cell>
        </row>
        <row r="11">
          <cell r="B11" t="str">
            <v>NL0000334118</v>
          </cell>
        </row>
        <row r="12">
          <cell r="B12" t="str">
            <v>NL0010273215</v>
          </cell>
        </row>
        <row r="13">
          <cell r="B13" t="str">
            <v>NL0011872643</v>
          </cell>
        </row>
        <row r="14">
          <cell r="B14" t="str">
            <v>NL0012866412</v>
          </cell>
        </row>
        <row r="15">
          <cell r="B15" t="str">
            <v>JE00BRX98089</v>
          </cell>
        </row>
        <row r="16">
          <cell r="B16" t="str">
            <v>BE0974259880</v>
          </cell>
        </row>
        <row r="17">
          <cell r="B17" t="str">
            <v>CH1216478797</v>
          </cell>
        </row>
        <row r="18">
          <cell r="B18" t="str">
            <v>BE0003822393</v>
          </cell>
        </row>
        <row r="19">
          <cell r="B19" t="str">
            <v>NL0012059018</v>
          </cell>
        </row>
        <row r="20">
          <cell r="B20" t="str">
            <v>BE0003797140</v>
          </cell>
        </row>
        <row r="21">
          <cell r="B21" t="str">
            <v>NL0000009165</v>
          </cell>
        </row>
        <row r="22">
          <cell r="B22" t="str">
            <v>NL0010801007</v>
          </cell>
        </row>
        <row r="23">
          <cell r="B23" t="str">
            <v>NL0011821202</v>
          </cell>
        </row>
        <row r="24">
          <cell r="B24" t="str">
            <v>LU2290522684</v>
          </cell>
        </row>
        <row r="25">
          <cell r="B25" t="str">
            <v>NL0014332678</v>
          </cell>
        </row>
        <row r="26">
          <cell r="B26" t="str">
            <v>BE0003565737</v>
          </cell>
        </row>
        <row r="27">
          <cell r="B27" t="str">
            <v>NL0000009082</v>
          </cell>
        </row>
        <row r="28">
          <cell r="B28" t="str">
            <v>NL0010773842</v>
          </cell>
        </row>
        <row r="29">
          <cell r="B29" t="str">
            <v>NL0000009538</v>
          </cell>
        </row>
        <row r="30">
          <cell r="B30" t="str">
            <v>NL0013654783</v>
          </cell>
        </row>
        <row r="31">
          <cell r="B31" t="str">
            <v>NL0000379121</v>
          </cell>
        </row>
        <row r="32">
          <cell r="B32" t="str">
            <v>GB00B2B0DG97</v>
          </cell>
        </row>
        <row r="33">
          <cell r="B33" t="str">
            <v>GB00BP6MXD84</v>
          </cell>
        </row>
        <row r="34">
          <cell r="B34" t="str">
            <v>BE0003470755</v>
          </cell>
        </row>
        <row r="35">
          <cell r="B35" t="str">
            <v>BE0974464977</v>
          </cell>
        </row>
        <row r="36">
          <cell r="B36" t="str">
            <v>BE0003739530</v>
          </cell>
        </row>
        <row r="37">
          <cell r="B37" t="str">
            <v>NL0015000IY2</v>
          </cell>
        </row>
        <row r="38">
          <cell r="B38" t="str">
            <v>BE0974320526</v>
          </cell>
        </row>
        <row r="39">
          <cell r="B39" t="str">
            <v>GB00BVZK7T90</v>
          </cell>
        </row>
        <row r="40">
          <cell r="B40" t="str">
            <v>BE0974349814</v>
          </cell>
        </row>
        <row r="41">
          <cell r="B41" t="str">
            <v>NL0000395903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2" sqref="I2:I4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  <c r="I2" t="b">
        <f>B2=[1]selection!B2</f>
        <v>1</v>
      </c>
      <c r="J2" t="b">
        <f>C2=[1]selection!C2</f>
        <v>1</v>
      </c>
      <c r="K2" t="b">
        <f>D2=[1]selection!D2</f>
        <v>1</v>
      </c>
    </row>
    <row r="3" spans="1:11" x14ac:dyDescent="0.25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  <c r="I3" t="b">
        <f>B3=[1]selection!B3</f>
        <v>1</v>
      </c>
    </row>
    <row r="4" spans="1:11" x14ac:dyDescent="0.25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  <c r="I4" t="b">
        <f>B4=[1]selection!B4</f>
        <v>1</v>
      </c>
    </row>
    <row r="5" spans="1:11" x14ac:dyDescent="0.25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  <c r="I5" t="b">
        <f>B5=[1]selection!B5</f>
        <v>1</v>
      </c>
    </row>
    <row r="6" spans="1:11" x14ac:dyDescent="0.25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  <c r="I6" t="b">
        <f>B6=[1]selection!B6</f>
        <v>1</v>
      </c>
    </row>
    <row r="7" spans="1:11" x14ac:dyDescent="0.25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  <c r="I7" t="b">
        <f>B7=[1]selection!B7</f>
        <v>1</v>
      </c>
    </row>
    <row r="8" spans="1:11" x14ac:dyDescent="0.25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  <c r="I8" t="b">
        <f>B8=[1]selection!B8</f>
        <v>1</v>
      </c>
    </row>
    <row r="9" spans="1:11" x14ac:dyDescent="0.25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  <c r="I9" t="b">
        <f>B9=[1]selection!B9</f>
        <v>1</v>
      </c>
    </row>
    <row r="10" spans="1:11" x14ac:dyDescent="0.25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  <c r="I10" t="b">
        <f>B10=[1]selection!B10</f>
        <v>1</v>
      </c>
    </row>
    <row r="11" spans="1:11" x14ac:dyDescent="0.25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  <c r="I11" t="b">
        <f>B11=[1]selection!B11</f>
        <v>1</v>
      </c>
    </row>
    <row r="12" spans="1:11" x14ac:dyDescent="0.25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  <c r="I12" t="b">
        <f>B12=[1]selection!B12</f>
        <v>1</v>
      </c>
    </row>
    <row r="13" spans="1:11" x14ac:dyDescent="0.25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  <c r="I13" t="b">
        <f>B13=[1]selection!B13</f>
        <v>1</v>
      </c>
    </row>
    <row r="14" spans="1:11" x14ac:dyDescent="0.25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  <c r="I14" t="b">
        <f>B14=[1]selection!B14</f>
        <v>1</v>
      </c>
    </row>
    <row r="15" spans="1:11" x14ac:dyDescent="0.25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  <c r="I15" t="b">
        <f>B15=[1]selection!B15</f>
        <v>1</v>
      </c>
    </row>
    <row r="16" spans="1:11" x14ac:dyDescent="0.25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  <c r="I16" t="b">
        <f>B16=[1]selection!B16</f>
        <v>1</v>
      </c>
    </row>
    <row r="17" spans="1:9" x14ac:dyDescent="0.25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  <c r="I17" t="b">
        <f>B17=[1]selection!B17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  <c r="I18" t="b">
        <f>B18=[1]selection!B18</f>
        <v>1</v>
      </c>
    </row>
    <row r="19" spans="1:9" x14ac:dyDescent="0.25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  <c r="I19" t="b">
        <f>B19=[1]selection!B19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  <c r="I20" t="b">
        <f>B20=[1]selection!B20</f>
        <v>1</v>
      </c>
    </row>
    <row r="21" spans="1:9" x14ac:dyDescent="0.25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  <c r="I21" t="b">
        <f>B21=[1]selection!B21</f>
        <v>1</v>
      </c>
    </row>
    <row r="22" spans="1:9" x14ac:dyDescent="0.25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  <c r="I22" t="b">
        <f>B22=[1]selection!B22</f>
        <v>1</v>
      </c>
    </row>
    <row r="23" spans="1:9" x14ac:dyDescent="0.25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  <c r="I23" t="b">
        <f>B23=[1]selection!B23</f>
        <v>1</v>
      </c>
    </row>
    <row r="24" spans="1:9" x14ac:dyDescent="0.25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  <c r="I24" t="b">
        <f>B24=[1]selection!B24</f>
        <v>1</v>
      </c>
    </row>
    <row r="25" spans="1:9" x14ac:dyDescent="0.25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  <c r="I25" t="b">
        <f>B25=[1]selection!B25</f>
        <v>1</v>
      </c>
    </row>
    <row r="26" spans="1:9" x14ac:dyDescent="0.25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  <c r="I26" t="b">
        <f>B26=[1]selection!B26</f>
        <v>1</v>
      </c>
    </row>
    <row r="27" spans="1:9" x14ac:dyDescent="0.25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  <c r="I27" t="b">
        <f>B27=[1]selection!B27</f>
        <v>1</v>
      </c>
    </row>
    <row r="28" spans="1:9" x14ac:dyDescent="0.25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  <c r="I28" t="b">
        <f>B28=[1]selection!B28</f>
        <v>1</v>
      </c>
    </row>
    <row r="29" spans="1:9" x14ac:dyDescent="0.25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  <c r="I29" t="b">
        <f>B29=[1]selection!B29</f>
        <v>1</v>
      </c>
    </row>
    <row r="30" spans="1:9" x14ac:dyDescent="0.25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  <c r="I30" t="b">
        <f>B30=[1]selection!B30</f>
        <v>1</v>
      </c>
    </row>
    <row r="31" spans="1:9" x14ac:dyDescent="0.25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  <c r="I31" t="b">
        <f>B31=[1]selection!B31</f>
        <v>1</v>
      </c>
    </row>
    <row r="32" spans="1:9" x14ac:dyDescent="0.25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  <c r="I32" t="b">
        <f>B32=[1]selection!B32</f>
        <v>1</v>
      </c>
    </row>
    <row r="33" spans="1:9" x14ac:dyDescent="0.25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  <c r="I33" t="b">
        <f>B33=[1]selection!B33</f>
        <v>1</v>
      </c>
    </row>
    <row r="34" spans="1:9" x14ac:dyDescent="0.25">
      <c r="A34" t="s">
        <v>40</v>
      </c>
      <c r="B34" t="s">
        <v>80</v>
      </c>
      <c r="C34" t="s">
        <v>88</v>
      </c>
      <c r="D34">
        <v>4793221</v>
      </c>
      <c r="E34">
        <v>1</v>
      </c>
      <c r="F34">
        <v>1</v>
      </c>
      <c r="G34" t="s">
        <v>90</v>
      </c>
      <c r="H34" t="s">
        <v>91</v>
      </c>
      <c r="I34" t="b">
        <f>B34=[1]selection!B34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1840181</v>
      </c>
      <c r="E35">
        <v>1</v>
      </c>
      <c r="F35">
        <v>1</v>
      </c>
      <c r="G35" t="s">
        <v>90</v>
      </c>
      <c r="H35" t="s">
        <v>91</v>
      </c>
      <c r="I35" t="b">
        <f>B35=[1]selection!B35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536076</v>
      </c>
      <c r="E36">
        <v>1</v>
      </c>
      <c r="F36">
        <v>1</v>
      </c>
      <c r="G36" t="s">
        <v>90</v>
      </c>
      <c r="H36" t="s">
        <v>91</v>
      </c>
      <c r="I36" t="b">
        <f>B36=[1]selection!B36</f>
        <v>1</v>
      </c>
    </row>
    <row r="37" spans="1:9" x14ac:dyDescent="0.25">
      <c r="A37" t="s">
        <v>43</v>
      </c>
      <c r="B37" t="s">
        <v>83</v>
      </c>
      <c r="C37" t="s">
        <v>89</v>
      </c>
      <c r="D37">
        <v>5873169</v>
      </c>
      <c r="E37">
        <v>1</v>
      </c>
      <c r="F37">
        <v>1</v>
      </c>
      <c r="G37" t="s">
        <v>90</v>
      </c>
      <c r="H37" t="s">
        <v>91</v>
      </c>
      <c r="I37" t="b">
        <f>B37=[1]selection!B37</f>
        <v>1</v>
      </c>
    </row>
    <row r="38" spans="1:9" x14ac:dyDescent="0.25">
      <c r="A38" t="s">
        <v>44</v>
      </c>
      <c r="B38" t="s">
        <v>84</v>
      </c>
      <c r="C38" t="s">
        <v>88</v>
      </c>
      <c r="D38">
        <v>8140916</v>
      </c>
      <c r="E38">
        <v>1</v>
      </c>
      <c r="F38">
        <v>1</v>
      </c>
      <c r="G38" t="s">
        <v>90</v>
      </c>
      <c r="H38" t="s">
        <v>91</v>
      </c>
      <c r="I38" t="b">
        <f>B38=[1]selection!B38</f>
        <v>1</v>
      </c>
    </row>
    <row r="39" spans="1:9" x14ac:dyDescent="0.25">
      <c r="A39" t="s">
        <v>45</v>
      </c>
      <c r="B39" t="s">
        <v>85</v>
      </c>
      <c r="C39" t="s">
        <v>89</v>
      </c>
      <c r="E39">
        <v>1</v>
      </c>
      <c r="F39">
        <v>1</v>
      </c>
      <c r="G39" t="s">
        <v>90</v>
      </c>
      <c r="H39" t="s">
        <v>91</v>
      </c>
      <c r="I39" t="b">
        <f>B39=[1]selection!B39</f>
        <v>0</v>
      </c>
    </row>
    <row r="40" spans="1:9" x14ac:dyDescent="0.25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  <c r="I40" t="b">
        <f>B40=[1]selection!B40</f>
        <v>1</v>
      </c>
    </row>
    <row r="41" spans="1:9" x14ac:dyDescent="0.25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  <c r="I41" t="b">
        <f>B41=[1]selection!B41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40</v>
      </c>
      <c r="B2" t="s">
        <v>80</v>
      </c>
      <c r="C2" t="s">
        <v>88</v>
      </c>
    </row>
    <row r="3" spans="1:3" x14ac:dyDescent="0.25">
      <c r="A3" t="s">
        <v>45</v>
      </c>
      <c r="B3" t="s">
        <v>85</v>
      </c>
      <c r="C3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93</v>
      </c>
      <c r="C1" s="1" t="s">
        <v>2</v>
      </c>
    </row>
    <row r="2" spans="1:3" x14ac:dyDescent="0.25">
      <c r="A2" t="s">
        <v>94</v>
      </c>
      <c r="B2" t="s">
        <v>95</v>
      </c>
      <c r="C2" t="s">
        <v>89</v>
      </c>
    </row>
    <row r="3" spans="1:3" x14ac:dyDescent="0.25">
      <c r="A3" t="s">
        <v>45</v>
      </c>
      <c r="B3" t="s">
        <v>96</v>
      </c>
      <c r="C3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1"/>
  <sheetViews>
    <sheetView workbookViewId="0"/>
  </sheetViews>
  <sheetFormatPr defaultRowHeight="15" x14ac:dyDescent="0.25"/>
  <sheetData>
    <row r="1" spans="1:21" x14ac:dyDescent="0.25">
      <c r="A1" s="1" t="s">
        <v>97</v>
      </c>
      <c r="B1" s="1" t="s">
        <v>0</v>
      </c>
      <c r="C1" s="1" t="s">
        <v>92</v>
      </c>
      <c r="D1" s="1" t="s">
        <v>2</v>
      </c>
      <c r="E1" s="1" t="s">
        <v>98</v>
      </c>
      <c r="F1" s="1" t="s">
        <v>99</v>
      </c>
      <c r="G1" s="1" t="s">
        <v>100</v>
      </c>
      <c r="H1" s="1" t="s">
        <v>7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4</v>
      </c>
      <c r="P1" s="1" t="s">
        <v>107</v>
      </c>
      <c r="Q1" s="1" t="s">
        <v>6</v>
      </c>
      <c r="R1" s="1" t="s">
        <v>108</v>
      </c>
      <c r="S1" s="1" t="s">
        <v>109</v>
      </c>
      <c r="T1" s="1" t="s">
        <v>110</v>
      </c>
      <c r="U1" s="1" t="s">
        <v>5</v>
      </c>
    </row>
    <row r="2" spans="1:21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  <c r="U2">
        <v>1</v>
      </c>
    </row>
    <row r="3" spans="1:21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  <c r="U3">
        <v>1</v>
      </c>
    </row>
    <row r="4" spans="1:21" x14ac:dyDescent="0.25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1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  <c r="U4">
        <v>1</v>
      </c>
    </row>
    <row r="5" spans="1:21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  <c r="U5">
        <v>1</v>
      </c>
    </row>
    <row r="6" spans="1:21" x14ac:dyDescent="0.25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111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1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  <c r="U7">
        <v>1</v>
      </c>
    </row>
    <row r="8" spans="1:21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129408682186.60001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  <c r="U9">
        <v>1</v>
      </c>
    </row>
    <row r="10" spans="1:21" x14ac:dyDescent="0.25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1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  <c r="U10">
        <v>1</v>
      </c>
    </row>
    <row r="11" spans="1:21" x14ac:dyDescent="0.25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1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  <c r="U11">
        <v>1</v>
      </c>
    </row>
    <row r="12" spans="1:21" x14ac:dyDescent="0.25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1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  <c r="U12">
        <v>1</v>
      </c>
    </row>
    <row r="13" spans="1:21" x14ac:dyDescent="0.25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  <c r="U13">
        <v>1</v>
      </c>
    </row>
    <row r="14" spans="1:21" x14ac:dyDescent="0.25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 x14ac:dyDescent="0.25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 x14ac:dyDescent="0.25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1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  <c r="U16">
        <v>1</v>
      </c>
    </row>
    <row r="17" spans="1:21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  <c r="U17">
        <v>1</v>
      </c>
    </row>
    <row r="18" spans="1:21" x14ac:dyDescent="0.25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1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  <c r="U18">
        <v>1</v>
      </c>
    </row>
    <row r="19" spans="1:21" x14ac:dyDescent="0.25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1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  <c r="U19">
        <v>1</v>
      </c>
    </row>
    <row r="20" spans="1:21" x14ac:dyDescent="0.25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  <c r="U20">
        <v>1</v>
      </c>
    </row>
    <row r="21" spans="1:21" x14ac:dyDescent="0.25">
      <c r="A21">
        <v>19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10090624716.809999</v>
      </c>
      <c r="O21">
        <v>1</v>
      </c>
      <c r="P21">
        <v>63.44</v>
      </c>
      <c r="Q21" t="s">
        <v>90</v>
      </c>
      <c r="R21" t="b">
        <v>1</v>
      </c>
      <c r="S21">
        <v>2033945.6826564469</v>
      </c>
      <c r="T21">
        <v>2033946</v>
      </c>
      <c r="U21">
        <v>1</v>
      </c>
    </row>
    <row r="22" spans="1:21" x14ac:dyDescent="0.25">
      <c r="A22">
        <v>21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9989451140.9899998</v>
      </c>
      <c r="O22">
        <v>1</v>
      </c>
      <c r="P22">
        <v>23.04</v>
      </c>
      <c r="Q22" t="s">
        <v>90</v>
      </c>
      <c r="R22" t="b">
        <v>1</v>
      </c>
      <c r="S22">
        <v>5600412.9387033423</v>
      </c>
      <c r="T22">
        <v>5600413</v>
      </c>
      <c r="U22">
        <v>1</v>
      </c>
    </row>
    <row r="23" spans="1:21" x14ac:dyDescent="0.25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0.55000000000000004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2432299.9831804899</v>
      </c>
      <c r="T23">
        <v>2432300</v>
      </c>
      <c r="U23">
        <v>1</v>
      </c>
    </row>
    <row r="24" spans="1:21" x14ac:dyDescent="0.25">
      <c r="A24">
        <v>29</v>
      </c>
      <c r="B24" t="s">
        <v>37</v>
      </c>
      <c r="C24" t="s">
        <v>77</v>
      </c>
      <c r="D24" t="s">
        <v>89</v>
      </c>
      <c r="E24">
        <v>180869312</v>
      </c>
      <c r="F24">
        <v>0.55000000000000004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1.1757</v>
      </c>
      <c r="M24" t="s">
        <v>89</v>
      </c>
      <c r="N24">
        <v>4120353185.48</v>
      </c>
      <c r="O24">
        <v>1</v>
      </c>
      <c r="P24">
        <v>37.328474999999997</v>
      </c>
      <c r="Q24" t="s">
        <v>90</v>
      </c>
      <c r="R24" t="b">
        <v>1</v>
      </c>
      <c r="S24">
        <v>3456704.6767306998</v>
      </c>
      <c r="T24">
        <v>3456705</v>
      </c>
      <c r="U24">
        <v>1</v>
      </c>
    </row>
    <row r="25" spans="1:21" x14ac:dyDescent="0.25">
      <c r="A25">
        <v>23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1.1757</v>
      </c>
      <c r="M25" t="s">
        <v>89</v>
      </c>
      <c r="N25">
        <v>8963662594.5900002</v>
      </c>
      <c r="O25">
        <v>1</v>
      </c>
      <c r="P25">
        <v>40.302996</v>
      </c>
      <c r="Q25" t="s">
        <v>90</v>
      </c>
      <c r="R25" t="b">
        <v>1</v>
      </c>
      <c r="S25">
        <v>3201586.1577071091</v>
      </c>
      <c r="T25">
        <v>3201586</v>
      </c>
      <c r="U25">
        <v>1</v>
      </c>
    </row>
    <row r="26" spans="1:21" x14ac:dyDescent="0.25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0.74761144574005001</v>
      </c>
      <c r="H26" t="s">
        <v>91</v>
      </c>
      <c r="I26" t="s">
        <v>79</v>
      </c>
      <c r="J26">
        <v>31.01</v>
      </c>
      <c r="K26">
        <v>31.774999999999999</v>
      </c>
      <c r="L26">
        <v>1</v>
      </c>
      <c r="M26" t="s">
        <v>89</v>
      </c>
      <c r="N26">
        <v>44391990363.080002</v>
      </c>
      <c r="O26">
        <v>1</v>
      </c>
      <c r="P26">
        <v>31.01</v>
      </c>
      <c r="Q26" t="s">
        <v>90</v>
      </c>
      <c r="R26" t="b">
        <v>1</v>
      </c>
      <c r="S26">
        <v>4161029.1553603671</v>
      </c>
      <c r="T26">
        <v>4161029</v>
      </c>
      <c r="U26">
        <v>1</v>
      </c>
    </row>
    <row r="27" spans="1:21" x14ac:dyDescent="0.25">
      <c r="A27">
        <v>16</v>
      </c>
      <c r="B27" t="s">
        <v>43</v>
      </c>
      <c r="C27" t="s">
        <v>83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83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5873168.5984399179</v>
      </c>
      <c r="T27">
        <v>5873169</v>
      </c>
      <c r="U27">
        <v>1</v>
      </c>
    </row>
    <row r="28" spans="1:21" x14ac:dyDescent="0.25">
      <c r="A28">
        <v>12</v>
      </c>
      <c r="B28" t="s">
        <v>45</v>
      </c>
      <c r="C28" t="s">
        <v>85</v>
      </c>
      <c r="D28" t="s">
        <v>89</v>
      </c>
      <c r="E28">
        <v>2344661130</v>
      </c>
      <c r="F28">
        <v>1</v>
      </c>
      <c r="G28">
        <v>1</v>
      </c>
      <c r="H28" t="s">
        <v>91</v>
      </c>
      <c r="M28" t="s">
        <v>89</v>
      </c>
      <c r="N28">
        <v>15614550818.41</v>
      </c>
      <c r="O28">
        <v>1</v>
      </c>
      <c r="Q28" t="s">
        <v>90</v>
      </c>
      <c r="R28" t="b">
        <v>1</v>
      </c>
      <c r="U28">
        <v>1</v>
      </c>
    </row>
    <row r="29" spans="1:21" x14ac:dyDescent="0.25">
      <c r="A29">
        <v>37</v>
      </c>
      <c r="B29" t="s">
        <v>46</v>
      </c>
      <c r="C29" t="s">
        <v>86</v>
      </c>
      <c r="D29" t="s">
        <v>88</v>
      </c>
      <c r="E29">
        <v>232653901</v>
      </c>
      <c r="F29">
        <v>0.8</v>
      </c>
      <c r="G29">
        <v>1</v>
      </c>
      <c r="H29" t="s">
        <v>91</v>
      </c>
      <c r="I29" t="s">
        <v>86</v>
      </c>
      <c r="J29">
        <v>20.74</v>
      </c>
      <c r="K29">
        <v>21.88</v>
      </c>
      <c r="L29">
        <v>1</v>
      </c>
      <c r="M29" t="s">
        <v>88</v>
      </c>
      <c r="N29">
        <v>2327467389.6100001</v>
      </c>
      <c r="O29">
        <v>1</v>
      </c>
      <c r="P29">
        <v>20.74</v>
      </c>
      <c r="Q29" t="s">
        <v>90</v>
      </c>
      <c r="R29" t="b">
        <v>1</v>
      </c>
      <c r="S29">
        <v>6221480.9116550144</v>
      </c>
      <c r="T29">
        <v>6221481</v>
      </c>
      <c r="U29">
        <v>1</v>
      </c>
    </row>
    <row r="30" spans="1:21" x14ac:dyDescent="0.25">
      <c r="A30">
        <v>7</v>
      </c>
      <c r="B30" t="s">
        <v>47</v>
      </c>
      <c r="C30" t="s">
        <v>87</v>
      </c>
      <c r="D30" t="s">
        <v>89</v>
      </c>
      <c r="E30">
        <v>238516153</v>
      </c>
      <c r="F30">
        <v>1</v>
      </c>
      <c r="G30">
        <v>1</v>
      </c>
      <c r="H30" t="s">
        <v>91</v>
      </c>
      <c r="I30" t="s">
        <v>87</v>
      </c>
      <c r="J30">
        <v>88.64</v>
      </c>
      <c r="K30">
        <v>92.76</v>
      </c>
      <c r="L30">
        <v>1</v>
      </c>
      <c r="M30" t="s">
        <v>89</v>
      </c>
      <c r="N30">
        <v>22888854350.049999</v>
      </c>
      <c r="O30">
        <v>1</v>
      </c>
      <c r="P30">
        <v>88.64</v>
      </c>
      <c r="Q30" t="s">
        <v>90</v>
      </c>
      <c r="R30" t="b">
        <v>1</v>
      </c>
      <c r="S30">
        <v>1455703.0021178359</v>
      </c>
      <c r="T30">
        <v>1455703</v>
      </c>
      <c r="U30">
        <v>1</v>
      </c>
    </row>
    <row r="31" spans="1:21" x14ac:dyDescent="0.25">
      <c r="A31">
        <v>6</v>
      </c>
      <c r="B31" t="s">
        <v>8</v>
      </c>
      <c r="C31" t="s">
        <v>48</v>
      </c>
      <c r="D31" t="s">
        <v>88</v>
      </c>
      <c r="E31">
        <v>1797198523</v>
      </c>
      <c r="F31">
        <v>0.55000000000000004</v>
      </c>
      <c r="G31">
        <v>0.24478248632253999</v>
      </c>
      <c r="H31" t="s">
        <v>91</v>
      </c>
      <c r="I31" t="s">
        <v>48</v>
      </c>
      <c r="J31">
        <v>54.12</v>
      </c>
      <c r="K31">
        <v>54.4</v>
      </c>
      <c r="L31">
        <v>1</v>
      </c>
      <c r="M31" t="s">
        <v>88</v>
      </c>
      <c r="N31">
        <v>25421540355.330002</v>
      </c>
      <c r="O31">
        <v>1</v>
      </c>
      <c r="P31">
        <v>54.12</v>
      </c>
      <c r="Q31" t="s">
        <v>90</v>
      </c>
      <c r="R31" t="b">
        <v>1</v>
      </c>
      <c r="S31">
        <v>2384211.27323956</v>
      </c>
      <c r="T31">
        <v>2384211</v>
      </c>
      <c r="U31">
        <v>1</v>
      </c>
    </row>
    <row r="32" spans="1:21" x14ac:dyDescent="0.25">
      <c r="A32">
        <v>27</v>
      </c>
      <c r="B32" t="s">
        <v>12</v>
      </c>
      <c r="C32" t="s">
        <v>52</v>
      </c>
      <c r="D32" t="s">
        <v>88</v>
      </c>
      <c r="E32">
        <v>187971187</v>
      </c>
      <c r="F32">
        <v>0.8</v>
      </c>
      <c r="G32">
        <v>1</v>
      </c>
      <c r="H32" t="s">
        <v>91</v>
      </c>
      <c r="I32" t="s">
        <v>52</v>
      </c>
      <c r="J32">
        <v>57.4</v>
      </c>
      <c r="K32">
        <v>58.2</v>
      </c>
      <c r="L32">
        <v>1</v>
      </c>
      <c r="M32" t="s">
        <v>88</v>
      </c>
      <c r="N32">
        <v>4877719630.3800001</v>
      </c>
      <c r="O32">
        <v>1</v>
      </c>
      <c r="P32">
        <v>57.4</v>
      </c>
      <c r="Q32" t="s">
        <v>90</v>
      </c>
      <c r="R32" t="b">
        <v>1</v>
      </c>
      <c r="S32">
        <v>2247970.629054443</v>
      </c>
      <c r="T32">
        <v>2247971</v>
      </c>
      <c r="U32">
        <v>1</v>
      </c>
    </row>
    <row r="33" spans="1:21" x14ac:dyDescent="0.25">
      <c r="A33">
        <v>15</v>
      </c>
      <c r="B33" t="s">
        <v>16</v>
      </c>
      <c r="C33" t="s">
        <v>56</v>
      </c>
      <c r="D33" t="s">
        <v>88</v>
      </c>
      <c r="E33">
        <v>60760957</v>
      </c>
      <c r="F33">
        <v>1</v>
      </c>
      <c r="G33">
        <v>0.27064892002662</v>
      </c>
      <c r="H33" t="s">
        <v>91</v>
      </c>
      <c r="I33" t="s">
        <v>56</v>
      </c>
      <c r="J33">
        <v>756.8</v>
      </c>
      <c r="K33">
        <v>800.4</v>
      </c>
      <c r="L33">
        <v>1</v>
      </c>
      <c r="M33" t="s">
        <v>88</v>
      </c>
      <c r="N33">
        <v>12732945553.65</v>
      </c>
      <c r="O33">
        <v>1</v>
      </c>
      <c r="P33">
        <v>756.8</v>
      </c>
      <c r="Q33" t="s">
        <v>90</v>
      </c>
      <c r="R33" t="b">
        <v>1</v>
      </c>
      <c r="S33">
        <v>170498.82942352671</v>
      </c>
      <c r="T33">
        <v>170499</v>
      </c>
      <c r="U33">
        <v>1</v>
      </c>
    </row>
    <row r="34" spans="1:21" x14ac:dyDescent="0.25">
      <c r="A34">
        <v>36</v>
      </c>
      <c r="B34" t="s">
        <v>22</v>
      </c>
      <c r="C34" t="s">
        <v>62</v>
      </c>
      <c r="D34" t="s">
        <v>88</v>
      </c>
      <c r="E34">
        <v>53708999</v>
      </c>
      <c r="F34">
        <v>0.4</v>
      </c>
      <c r="G34">
        <v>1</v>
      </c>
      <c r="H34" t="s">
        <v>91</v>
      </c>
      <c r="I34" t="s">
        <v>62</v>
      </c>
      <c r="J34">
        <v>144.69999999999999</v>
      </c>
      <c r="K34">
        <v>147</v>
      </c>
      <c r="L34">
        <v>1</v>
      </c>
      <c r="M34" t="s">
        <v>88</v>
      </c>
      <c r="N34">
        <v>2402456712.9000001</v>
      </c>
      <c r="O34">
        <v>1</v>
      </c>
      <c r="P34">
        <v>144.69999999999999</v>
      </c>
      <c r="Q34" t="s">
        <v>90</v>
      </c>
      <c r="R34" t="b">
        <v>1</v>
      </c>
      <c r="S34">
        <v>891731.26543002762</v>
      </c>
      <c r="T34">
        <v>891731</v>
      </c>
      <c r="U34">
        <v>1</v>
      </c>
    </row>
    <row r="35" spans="1:21" x14ac:dyDescent="0.25">
      <c r="A35">
        <v>32</v>
      </c>
      <c r="B35" t="s">
        <v>24</v>
      </c>
      <c r="C35" t="s">
        <v>64</v>
      </c>
      <c r="D35" t="s">
        <v>88</v>
      </c>
      <c r="E35">
        <v>91902278</v>
      </c>
      <c r="F35">
        <v>0.45</v>
      </c>
      <c r="G35">
        <v>1</v>
      </c>
      <c r="H35" t="s">
        <v>91</v>
      </c>
      <c r="I35" t="s">
        <v>64</v>
      </c>
      <c r="J35">
        <v>100.6</v>
      </c>
      <c r="K35">
        <v>103.9</v>
      </c>
      <c r="L35">
        <v>1</v>
      </c>
      <c r="M35" t="s">
        <v>88</v>
      </c>
      <c r="N35">
        <v>3109890216.4299998</v>
      </c>
      <c r="O35">
        <v>1</v>
      </c>
      <c r="P35">
        <v>100.6</v>
      </c>
      <c r="Q35" t="s">
        <v>90</v>
      </c>
      <c r="R35" t="b">
        <v>1</v>
      </c>
      <c r="S35">
        <v>1282639.305245775</v>
      </c>
      <c r="T35">
        <v>1282639</v>
      </c>
      <c r="U35">
        <v>1</v>
      </c>
    </row>
    <row r="36" spans="1:21" x14ac:dyDescent="0.25">
      <c r="A36">
        <v>38</v>
      </c>
      <c r="B36" t="s">
        <v>26</v>
      </c>
      <c r="C36" t="s">
        <v>66</v>
      </c>
      <c r="D36" t="s">
        <v>88</v>
      </c>
      <c r="E36">
        <v>138400000</v>
      </c>
      <c r="F36">
        <v>0.55000000000000004</v>
      </c>
      <c r="G36">
        <v>1</v>
      </c>
      <c r="H36" t="s">
        <v>91</v>
      </c>
      <c r="I36" t="s">
        <v>66</v>
      </c>
      <c r="J36">
        <v>73.45</v>
      </c>
      <c r="K36">
        <v>72.8</v>
      </c>
      <c r="L36">
        <v>1.1757</v>
      </c>
      <c r="M36" t="s">
        <v>88</v>
      </c>
      <c r="N36">
        <v>1916925161.6300001</v>
      </c>
      <c r="O36">
        <v>1</v>
      </c>
      <c r="P36">
        <v>86.355165</v>
      </c>
      <c r="Q36" t="s">
        <v>90</v>
      </c>
      <c r="R36" t="b">
        <v>1</v>
      </c>
      <c r="S36">
        <v>1494218.835754931</v>
      </c>
      <c r="T36">
        <v>1494219</v>
      </c>
      <c r="U36">
        <v>1</v>
      </c>
    </row>
    <row r="37" spans="1:21" x14ac:dyDescent="0.25">
      <c r="A37">
        <v>20</v>
      </c>
      <c r="B37" t="s">
        <v>32</v>
      </c>
      <c r="C37" t="s">
        <v>72</v>
      </c>
      <c r="D37" t="s">
        <v>88</v>
      </c>
      <c r="E37">
        <v>417544151</v>
      </c>
      <c r="F37">
        <v>0.55000000000000004</v>
      </c>
      <c r="G37">
        <v>0.54404941800677997</v>
      </c>
      <c r="H37" t="s">
        <v>91</v>
      </c>
      <c r="I37" t="s">
        <v>72</v>
      </c>
      <c r="J37">
        <v>109.15</v>
      </c>
      <c r="K37">
        <v>105.35</v>
      </c>
      <c r="L37">
        <v>1</v>
      </c>
      <c r="M37" t="s">
        <v>88</v>
      </c>
      <c r="N37">
        <v>10071343860.98</v>
      </c>
      <c r="O37">
        <v>1</v>
      </c>
      <c r="P37">
        <v>109.15</v>
      </c>
      <c r="Q37" t="s">
        <v>90</v>
      </c>
      <c r="R37" t="b">
        <v>1</v>
      </c>
      <c r="S37">
        <v>1182166.872265002</v>
      </c>
      <c r="T37">
        <v>1182167</v>
      </c>
      <c r="U37">
        <v>1</v>
      </c>
    </row>
    <row r="38" spans="1:21" x14ac:dyDescent="0.25">
      <c r="A38">
        <v>39</v>
      </c>
      <c r="B38" t="s">
        <v>40</v>
      </c>
      <c r="C38" t="s">
        <v>80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80</v>
      </c>
      <c r="J38">
        <v>26.92</v>
      </c>
      <c r="K38">
        <v>27.76</v>
      </c>
      <c r="L38">
        <v>1</v>
      </c>
      <c r="M38" t="s">
        <v>88</v>
      </c>
      <c r="N38">
        <v>1859542417.3699999</v>
      </c>
      <c r="O38">
        <v>1</v>
      </c>
      <c r="P38">
        <v>26.92</v>
      </c>
      <c r="Q38" t="s">
        <v>90</v>
      </c>
      <c r="R38" t="b">
        <v>1</v>
      </c>
      <c r="S38">
        <v>4793221.1778501114</v>
      </c>
      <c r="T38">
        <v>4793221</v>
      </c>
      <c r="U38">
        <v>1</v>
      </c>
    </row>
    <row r="39" spans="1:21" x14ac:dyDescent="0.25">
      <c r="A39">
        <v>34</v>
      </c>
      <c r="B39" t="s">
        <v>41</v>
      </c>
      <c r="C39" t="s">
        <v>81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81</v>
      </c>
      <c r="J39">
        <v>70.12</v>
      </c>
      <c r="K39">
        <v>68.540000000000006</v>
      </c>
      <c r="L39">
        <v>1</v>
      </c>
      <c r="M39" t="s">
        <v>88</v>
      </c>
      <c r="N39">
        <v>2565504599.6500001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 x14ac:dyDescent="0.25">
      <c r="A40">
        <v>17</v>
      </c>
      <c r="B40" t="s">
        <v>42</v>
      </c>
      <c r="C40" t="s">
        <v>82</v>
      </c>
      <c r="D40" t="s">
        <v>88</v>
      </c>
      <c r="E40">
        <v>194505658</v>
      </c>
      <c r="F40">
        <v>0.65</v>
      </c>
      <c r="G40">
        <v>0.44682397435343002</v>
      </c>
      <c r="H40" t="s">
        <v>91</v>
      </c>
      <c r="I40" t="s">
        <v>82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536076.08686217282</v>
      </c>
      <c r="T40">
        <v>536076</v>
      </c>
      <c r="U40">
        <v>1</v>
      </c>
    </row>
    <row r="41" spans="1:21" x14ac:dyDescent="0.25">
      <c r="A41">
        <v>40</v>
      </c>
      <c r="B41" t="s">
        <v>44</v>
      </c>
      <c r="C41" t="s">
        <v>84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84</v>
      </c>
      <c r="J41">
        <v>15.85</v>
      </c>
      <c r="K41">
        <v>14.52</v>
      </c>
      <c r="L41">
        <v>1</v>
      </c>
      <c r="M41" t="s">
        <v>88</v>
      </c>
      <c r="N41">
        <v>1804403506.0599999</v>
      </c>
      <c r="O41">
        <v>1</v>
      </c>
      <c r="P41">
        <v>15.85</v>
      </c>
      <c r="Q41" t="s">
        <v>90</v>
      </c>
      <c r="R41" t="b">
        <v>1</v>
      </c>
      <c r="S41">
        <v>8140915.7165757092</v>
      </c>
      <c r="T41">
        <v>8140916</v>
      </c>
      <c r="U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0"/>
  <sheetViews>
    <sheetView workbookViewId="0"/>
  </sheetViews>
  <sheetFormatPr defaultRowHeight="15" x14ac:dyDescent="0.25"/>
  <sheetData>
    <row r="1" spans="1:20" x14ac:dyDescent="0.25">
      <c r="A1" s="1" t="s">
        <v>97</v>
      </c>
      <c r="B1" s="1" t="s">
        <v>0</v>
      </c>
      <c r="C1" s="1" t="s">
        <v>92</v>
      </c>
      <c r="D1" s="1" t="s">
        <v>2</v>
      </c>
      <c r="E1" s="1" t="s">
        <v>98</v>
      </c>
      <c r="F1" s="1" t="s">
        <v>99</v>
      </c>
      <c r="G1" s="1" t="s">
        <v>100</v>
      </c>
      <c r="H1" s="1" t="s">
        <v>7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4</v>
      </c>
      <c r="P1" s="1" t="s">
        <v>107</v>
      </c>
      <c r="Q1" s="1" t="s">
        <v>6</v>
      </c>
      <c r="R1" s="1" t="s">
        <v>108</v>
      </c>
      <c r="S1" s="1" t="s">
        <v>109</v>
      </c>
      <c r="T1" s="1" t="s">
        <v>110</v>
      </c>
    </row>
    <row r="2" spans="1:20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</row>
    <row r="3" spans="1:20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</row>
    <row r="4" spans="1:20" x14ac:dyDescent="0.25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0.75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</row>
    <row r="5" spans="1:20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</row>
    <row r="6" spans="1:20" x14ac:dyDescent="0.25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0.95000000000000007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111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0.5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</row>
    <row r="8" spans="1:20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</row>
    <row r="9" spans="1:20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129408682186.60001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</row>
    <row r="10" spans="1:20" x14ac:dyDescent="0.25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0.70000000000000007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</row>
    <row r="11" spans="1:20" x14ac:dyDescent="0.25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0.9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</row>
    <row r="12" spans="1:20" x14ac:dyDescent="0.25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0.25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</row>
    <row r="13" spans="1:20" x14ac:dyDescent="0.25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</row>
    <row r="14" spans="1:20" x14ac:dyDescent="0.25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 x14ac:dyDescent="0.25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 x14ac:dyDescent="0.25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0.95000000000000007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</row>
    <row r="17" spans="1:20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</row>
    <row r="18" spans="1:20" x14ac:dyDescent="0.25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0.5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</row>
    <row r="19" spans="1:20" x14ac:dyDescent="0.25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0.3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</row>
    <row r="20" spans="1:20" x14ac:dyDescent="0.25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</row>
    <row r="21" spans="1:20" x14ac:dyDescent="0.25">
      <c r="B21" t="s">
        <v>94</v>
      </c>
      <c r="C21" t="s">
        <v>95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95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9522768.5688357931</v>
      </c>
      <c r="T21">
        <v>9522769</v>
      </c>
    </row>
    <row r="22" spans="1:20" x14ac:dyDescent="0.25">
      <c r="A22">
        <v>19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10090624716.809999</v>
      </c>
      <c r="O22">
        <v>0.95000000000000007</v>
      </c>
      <c r="P22">
        <v>63.44</v>
      </c>
      <c r="Q22" t="s">
        <v>90</v>
      </c>
      <c r="R22" t="b">
        <v>1</v>
      </c>
      <c r="S22">
        <v>2033945.6826564469</v>
      </c>
      <c r="T22">
        <v>2033946</v>
      </c>
    </row>
    <row r="23" spans="1:20" x14ac:dyDescent="0.25">
      <c r="A23">
        <v>21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9989451140.9899998</v>
      </c>
      <c r="O23">
        <v>0.8</v>
      </c>
      <c r="P23">
        <v>23.04</v>
      </c>
      <c r="Q23" t="s">
        <v>90</v>
      </c>
      <c r="R23" t="b">
        <v>1</v>
      </c>
      <c r="S23">
        <v>5600412.9387033423</v>
      </c>
      <c r="T23">
        <v>5600413</v>
      </c>
    </row>
    <row r="24" spans="1:20" x14ac:dyDescent="0.25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0.55000000000000004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2432299.9831804899</v>
      </c>
      <c r="T24">
        <v>2432300</v>
      </c>
    </row>
    <row r="25" spans="1:20" x14ac:dyDescent="0.25">
      <c r="A25">
        <v>29</v>
      </c>
      <c r="B25" t="s">
        <v>37</v>
      </c>
      <c r="C25" t="s">
        <v>77</v>
      </c>
      <c r="D25" t="s">
        <v>89</v>
      </c>
      <c r="E25">
        <v>180869312</v>
      </c>
      <c r="F25">
        <v>0.55000000000000004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1.1757</v>
      </c>
      <c r="M25" t="s">
        <v>89</v>
      </c>
      <c r="N25">
        <v>4120353185.48</v>
      </c>
      <c r="O25">
        <v>0.55000000000000004</v>
      </c>
      <c r="P25">
        <v>37.328474999999997</v>
      </c>
      <c r="Q25" t="s">
        <v>90</v>
      </c>
      <c r="R25" t="b">
        <v>1</v>
      </c>
      <c r="S25">
        <v>3456704.6767306998</v>
      </c>
      <c r="T25">
        <v>3456705</v>
      </c>
    </row>
    <row r="26" spans="1:20" x14ac:dyDescent="0.25">
      <c r="A26">
        <v>23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1.1757</v>
      </c>
      <c r="M26" t="s">
        <v>89</v>
      </c>
      <c r="N26">
        <v>8963662594.5900002</v>
      </c>
      <c r="O26">
        <v>1</v>
      </c>
      <c r="P26">
        <v>40.302996</v>
      </c>
      <c r="Q26" t="s">
        <v>90</v>
      </c>
      <c r="R26" t="b">
        <v>1</v>
      </c>
      <c r="S26">
        <v>3201586.1577071091</v>
      </c>
      <c r="T26">
        <v>3201586</v>
      </c>
    </row>
    <row r="27" spans="1:20" x14ac:dyDescent="0.25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0.74761144574005001</v>
      </c>
      <c r="H27" t="s">
        <v>91</v>
      </c>
      <c r="I27" t="s">
        <v>79</v>
      </c>
      <c r="J27">
        <v>31.01</v>
      </c>
      <c r="K27">
        <v>31.774999999999999</v>
      </c>
      <c r="L27">
        <v>1</v>
      </c>
      <c r="M27" t="s">
        <v>89</v>
      </c>
      <c r="N27">
        <v>44391990363.080002</v>
      </c>
      <c r="O27">
        <v>1</v>
      </c>
      <c r="P27">
        <v>31.01</v>
      </c>
      <c r="Q27" t="s">
        <v>90</v>
      </c>
      <c r="R27" t="b">
        <v>1</v>
      </c>
      <c r="S27">
        <v>4161029.1553603671</v>
      </c>
      <c r="T27">
        <v>4161029</v>
      </c>
    </row>
    <row r="28" spans="1:20" x14ac:dyDescent="0.25">
      <c r="A28">
        <v>16</v>
      </c>
      <c r="B28" t="s">
        <v>43</v>
      </c>
      <c r="C28" t="s">
        <v>83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83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0.60000000000000009</v>
      </c>
      <c r="P28">
        <v>21.97</v>
      </c>
      <c r="Q28" t="s">
        <v>90</v>
      </c>
      <c r="R28" t="b">
        <v>1</v>
      </c>
      <c r="S28">
        <v>5873168.5984399179</v>
      </c>
      <c r="T28">
        <v>5873169</v>
      </c>
    </row>
    <row r="29" spans="1:20" x14ac:dyDescent="0.25">
      <c r="A29">
        <v>12</v>
      </c>
      <c r="B29" t="s">
        <v>45</v>
      </c>
      <c r="C29" t="s">
        <v>85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M29" t="s">
        <v>89</v>
      </c>
      <c r="N29">
        <v>15614550818.41</v>
      </c>
      <c r="Q29" t="s">
        <v>90</v>
      </c>
      <c r="R29" t="b">
        <v>1</v>
      </c>
    </row>
    <row r="30" spans="1:20" x14ac:dyDescent="0.25">
      <c r="A30">
        <v>37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2327467389.6100001</v>
      </c>
      <c r="O30">
        <v>0.8</v>
      </c>
      <c r="P30">
        <v>20.74</v>
      </c>
      <c r="Q30" t="s">
        <v>90</v>
      </c>
      <c r="R30" t="b">
        <v>1</v>
      </c>
      <c r="S30">
        <v>6221480.9116550144</v>
      </c>
      <c r="T30">
        <v>6221481</v>
      </c>
    </row>
    <row r="31" spans="1:20" x14ac:dyDescent="0.25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</v>
      </c>
      <c r="L31">
        <v>1</v>
      </c>
      <c r="M31" t="s">
        <v>89</v>
      </c>
      <c r="N31">
        <v>22888854350.049999</v>
      </c>
      <c r="O31">
        <v>1</v>
      </c>
      <c r="P31">
        <v>88.64</v>
      </c>
      <c r="Q31" t="s">
        <v>90</v>
      </c>
      <c r="R31" t="b">
        <v>1</v>
      </c>
      <c r="S31">
        <v>1455703.0021178359</v>
      </c>
      <c r="T31">
        <v>1455703</v>
      </c>
    </row>
    <row r="32" spans="1:20" x14ac:dyDescent="0.25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0.55000000000000004</v>
      </c>
      <c r="G32">
        <v>0.24478248632253999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25421540355.330002</v>
      </c>
      <c r="O32">
        <v>0.55000000000000004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 x14ac:dyDescent="0.25">
      <c r="A33">
        <v>43</v>
      </c>
      <c r="B33" t="s">
        <v>112</v>
      </c>
      <c r="C33" t="s">
        <v>120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120</v>
      </c>
      <c r="J33">
        <v>228</v>
      </c>
      <c r="K33">
        <v>212.6</v>
      </c>
      <c r="L33">
        <v>1.1757</v>
      </c>
      <c r="M33" t="s">
        <v>88</v>
      </c>
      <c r="N33">
        <v>1467388748.55</v>
      </c>
      <c r="O33">
        <v>0.65</v>
      </c>
      <c r="P33">
        <v>268.05959999999999</v>
      </c>
      <c r="Q33" t="s">
        <v>90</v>
      </c>
      <c r="R33" t="b">
        <v>0</v>
      </c>
      <c r="S33">
        <v>481361.28722017421</v>
      </c>
      <c r="T33">
        <v>481361</v>
      </c>
    </row>
    <row r="34" spans="1:20" x14ac:dyDescent="0.25">
      <c r="A34">
        <v>45</v>
      </c>
      <c r="B34" t="s">
        <v>113</v>
      </c>
      <c r="C34" t="s">
        <v>121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121</v>
      </c>
      <c r="J34">
        <v>63.3</v>
      </c>
      <c r="K34">
        <v>65.5</v>
      </c>
      <c r="L34">
        <v>1.1757</v>
      </c>
      <c r="M34" t="s">
        <v>88</v>
      </c>
      <c r="N34">
        <v>1310377532.51</v>
      </c>
      <c r="O34">
        <v>1</v>
      </c>
      <c r="P34">
        <v>74.421809999999994</v>
      </c>
      <c r="Q34" t="s">
        <v>90</v>
      </c>
      <c r="R34" t="b">
        <v>0</v>
      </c>
      <c r="S34">
        <v>1733813.1672385421</v>
      </c>
      <c r="T34">
        <v>1733813</v>
      </c>
    </row>
    <row r="35" spans="1:20" x14ac:dyDescent="0.25">
      <c r="A35">
        <v>27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4877719630.3800001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 x14ac:dyDescent="0.25">
      <c r="A36">
        <v>15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170498.82942352671</v>
      </c>
      <c r="T36">
        <v>170499</v>
      </c>
    </row>
    <row r="37" spans="1:20" x14ac:dyDescent="0.25">
      <c r="A37">
        <v>46</v>
      </c>
      <c r="B37" t="s">
        <v>114</v>
      </c>
      <c r="C37" t="s">
        <v>122</v>
      </c>
      <c r="D37" t="s">
        <v>88</v>
      </c>
      <c r="E37">
        <v>243921719</v>
      </c>
      <c r="F37">
        <v>0.85000000000000009</v>
      </c>
      <c r="G37">
        <v>1</v>
      </c>
      <c r="H37" t="s">
        <v>91</v>
      </c>
      <c r="I37" t="s">
        <v>122</v>
      </c>
      <c r="J37">
        <v>9.2349999999999994</v>
      </c>
      <c r="K37">
        <v>9.3800000000000008</v>
      </c>
      <c r="L37">
        <v>1</v>
      </c>
      <c r="M37" t="s">
        <v>88</v>
      </c>
      <c r="N37">
        <v>1233761301.0699999</v>
      </c>
      <c r="O37">
        <v>0.85000000000000009</v>
      </c>
      <c r="P37">
        <v>9.2349999999999994</v>
      </c>
      <c r="Q37" t="s">
        <v>90</v>
      </c>
      <c r="R37" t="b">
        <v>0</v>
      </c>
      <c r="S37">
        <v>13972226.757739579</v>
      </c>
      <c r="T37">
        <v>13972227</v>
      </c>
    </row>
    <row r="38" spans="1:20" x14ac:dyDescent="0.25">
      <c r="A38">
        <v>44</v>
      </c>
      <c r="B38" t="s">
        <v>115</v>
      </c>
      <c r="C38" t="s">
        <v>123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123</v>
      </c>
      <c r="J38">
        <v>74.5</v>
      </c>
      <c r="K38">
        <v>76.95</v>
      </c>
      <c r="L38">
        <v>1</v>
      </c>
      <c r="M38" t="s">
        <v>88</v>
      </c>
      <c r="N38">
        <v>1425371963.5999999</v>
      </c>
      <c r="O38">
        <v>1</v>
      </c>
      <c r="P38">
        <v>74.5</v>
      </c>
      <c r="Q38" t="s">
        <v>90</v>
      </c>
      <c r="R38" t="b">
        <v>0</v>
      </c>
      <c r="S38">
        <v>1731993.4779560401</v>
      </c>
      <c r="T38">
        <v>1731993</v>
      </c>
    </row>
    <row r="39" spans="1:20" x14ac:dyDescent="0.25">
      <c r="A39">
        <v>36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144.69999999999999</v>
      </c>
      <c r="K39">
        <v>147</v>
      </c>
      <c r="L39">
        <v>1</v>
      </c>
      <c r="M39" t="s">
        <v>88</v>
      </c>
      <c r="N39">
        <v>2402456712.9000001</v>
      </c>
      <c r="O39">
        <v>0.4</v>
      </c>
      <c r="P39">
        <v>144.69999999999999</v>
      </c>
      <c r="Q39" t="s">
        <v>90</v>
      </c>
      <c r="R39" t="b">
        <v>1</v>
      </c>
      <c r="S39">
        <v>891731.26543002762</v>
      </c>
      <c r="T39">
        <v>891731</v>
      </c>
    </row>
    <row r="40" spans="1:20" x14ac:dyDescent="0.25">
      <c r="A40">
        <v>32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3109890216.4299998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 x14ac:dyDescent="0.25">
      <c r="A41">
        <v>38</v>
      </c>
      <c r="B41" t="s">
        <v>26</v>
      </c>
      <c r="C41" t="s">
        <v>66</v>
      </c>
      <c r="D41" t="s">
        <v>88</v>
      </c>
      <c r="E41">
        <v>138400000</v>
      </c>
      <c r="F41">
        <v>0.55000000000000004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1.1757</v>
      </c>
      <c r="M41" t="s">
        <v>88</v>
      </c>
      <c r="N41">
        <v>1916925161.6300001</v>
      </c>
      <c r="O41">
        <v>0.55000000000000004</v>
      </c>
      <c r="P41">
        <v>86.355165</v>
      </c>
      <c r="Q41" t="s">
        <v>90</v>
      </c>
      <c r="R41" t="b">
        <v>1</v>
      </c>
      <c r="S41">
        <v>1494218.835754931</v>
      </c>
      <c r="T41">
        <v>1494219</v>
      </c>
    </row>
    <row r="42" spans="1:20" x14ac:dyDescent="0.25">
      <c r="A42">
        <v>20</v>
      </c>
      <c r="B42" t="s">
        <v>32</v>
      </c>
      <c r="C42" t="s">
        <v>72</v>
      </c>
      <c r="D42" t="s">
        <v>88</v>
      </c>
      <c r="E42">
        <v>417544151</v>
      </c>
      <c r="F42">
        <v>0.55000000000000004</v>
      </c>
      <c r="G42">
        <v>0.54404941800677997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0.55000000000000004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 x14ac:dyDescent="0.25">
      <c r="A43">
        <v>42</v>
      </c>
      <c r="B43" t="s">
        <v>116</v>
      </c>
      <c r="C43" t="s">
        <v>124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124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16757.599234769481</v>
      </c>
      <c r="T43">
        <v>16758</v>
      </c>
    </row>
    <row r="44" spans="1:20" x14ac:dyDescent="0.25">
      <c r="A44">
        <v>47</v>
      </c>
      <c r="B44" t="s">
        <v>117</v>
      </c>
      <c r="C44" t="s">
        <v>125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125</v>
      </c>
      <c r="J44">
        <v>58.25</v>
      </c>
      <c r="K44">
        <v>50.45</v>
      </c>
      <c r="L44">
        <v>1</v>
      </c>
      <c r="M44" t="s">
        <v>88</v>
      </c>
      <c r="N44">
        <v>948008325.83000004</v>
      </c>
      <c r="O44">
        <v>0.5</v>
      </c>
      <c r="P44">
        <v>58.25</v>
      </c>
      <c r="Q44" t="s">
        <v>90</v>
      </c>
      <c r="R44" t="b">
        <v>0</v>
      </c>
      <c r="S44">
        <v>2215167.6241669529</v>
      </c>
      <c r="T44">
        <v>2215168</v>
      </c>
    </row>
    <row r="45" spans="1:20" x14ac:dyDescent="0.25">
      <c r="A45">
        <v>48</v>
      </c>
      <c r="B45" t="s">
        <v>118</v>
      </c>
      <c r="C45" t="s">
        <v>126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126</v>
      </c>
      <c r="J45">
        <v>69</v>
      </c>
      <c r="K45">
        <v>69.7</v>
      </c>
      <c r="L45">
        <v>1</v>
      </c>
      <c r="M45" t="s">
        <v>88</v>
      </c>
      <c r="N45">
        <v>534962636.26999998</v>
      </c>
      <c r="O45">
        <v>0.9</v>
      </c>
      <c r="P45">
        <v>69</v>
      </c>
      <c r="Q45" t="s">
        <v>90</v>
      </c>
      <c r="R45" t="b">
        <v>0</v>
      </c>
      <c r="S45">
        <v>1870050.9290974641</v>
      </c>
      <c r="T45">
        <v>1870051</v>
      </c>
    </row>
    <row r="46" spans="1:20" x14ac:dyDescent="0.25">
      <c r="A46">
        <v>41</v>
      </c>
      <c r="B46" t="s">
        <v>119</v>
      </c>
      <c r="C46" t="s">
        <v>127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127</v>
      </c>
      <c r="J46">
        <v>237.2</v>
      </c>
      <c r="K46">
        <v>239.4</v>
      </c>
      <c r="L46">
        <v>1</v>
      </c>
      <c r="M46" t="s">
        <v>88</v>
      </c>
      <c r="N46">
        <v>1635145816.5999999</v>
      </c>
      <c r="O46">
        <v>0.4</v>
      </c>
      <c r="P46">
        <v>237.2</v>
      </c>
      <c r="Q46" t="s">
        <v>90</v>
      </c>
      <c r="R46" t="b">
        <v>0</v>
      </c>
      <c r="S46">
        <v>543986.14716578834</v>
      </c>
      <c r="T46">
        <v>543986</v>
      </c>
    </row>
    <row r="47" spans="1:20" x14ac:dyDescent="0.25">
      <c r="A47">
        <v>39</v>
      </c>
      <c r="B47" t="s">
        <v>40</v>
      </c>
      <c r="C47" t="s">
        <v>80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80</v>
      </c>
      <c r="J47">
        <v>26.92</v>
      </c>
      <c r="K47">
        <v>27.76</v>
      </c>
      <c r="L47">
        <v>1</v>
      </c>
      <c r="M47" t="s">
        <v>88</v>
      </c>
      <c r="N47">
        <v>1859542417.3699999</v>
      </c>
      <c r="O47">
        <v>0.65</v>
      </c>
      <c r="P47">
        <v>26.92</v>
      </c>
      <c r="Q47" t="s">
        <v>90</v>
      </c>
      <c r="R47" t="b">
        <v>1</v>
      </c>
      <c r="S47">
        <v>4793221.1778501114</v>
      </c>
      <c r="T47">
        <v>4793221</v>
      </c>
    </row>
    <row r="48" spans="1:20" x14ac:dyDescent="0.25">
      <c r="A48">
        <v>34</v>
      </c>
      <c r="B48" t="s">
        <v>41</v>
      </c>
      <c r="C48" t="s">
        <v>81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81</v>
      </c>
      <c r="J48">
        <v>70.12</v>
      </c>
      <c r="K48">
        <v>68.540000000000006</v>
      </c>
      <c r="L48">
        <v>1</v>
      </c>
      <c r="M48" t="s">
        <v>88</v>
      </c>
      <c r="N48">
        <v>2565504599.6500001</v>
      </c>
      <c r="O48">
        <v>0.70000000000000007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 x14ac:dyDescent="0.25">
      <c r="A49">
        <v>17</v>
      </c>
      <c r="B49" t="s">
        <v>42</v>
      </c>
      <c r="C49" t="s">
        <v>82</v>
      </c>
      <c r="D49" t="s">
        <v>88</v>
      </c>
      <c r="E49">
        <v>194505658</v>
      </c>
      <c r="F49">
        <v>0.65</v>
      </c>
      <c r="G49">
        <v>0.44682397435343002</v>
      </c>
      <c r="H49" t="s">
        <v>91</v>
      </c>
      <c r="I49" t="s">
        <v>82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536076.08686217282</v>
      </c>
      <c r="T49">
        <v>536076</v>
      </c>
    </row>
    <row r="50" spans="1:20" x14ac:dyDescent="0.25">
      <c r="A50">
        <v>40</v>
      </c>
      <c r="B50" t="s">
        <v>44</v>
      </c>
      <c r="C50" t="s">
        <v>84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84</v>
      </c>
      <c r="J50">
        <v>15.85</v>
      </c>
      <c r="K50">
        <v>14.52</v>
      </c>
      <c r="L50">
        <v>1</v>
      </c>
      <c r="M50" t="s">
        <v>88</v>
      </c>
      <c r="N50">
        <v>1804403506.0599999</v>
      </c>
      <c r="O50">
        <v>0.75</v>
      </c>
      <c r="P50">
        <v>15.85</v>
      </c>
      <c r="Q50" t="s">
        <v>90</v>
      </c>
      <c r="R50" t="b">
        <v>1</v>
      </c>
      <c r="S50">
        <v>8140915.7165757092</v>
      </c>
      <c r="T50">
        <v>8140916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128</v>
      </c>
    </row>
    <row r="2" spans="1:1" x14ac:dyDescent="0.25">
      <c r="A2">
        <v>5161340564.309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2025-12-15T08:44:28Z</dcterms:created>
  <dcterms:modified xsi:type="dcterms:W3CDTF">2025-12-15T08:45:21Z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2025-12-15T08:45:16Z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b61d047c-d625-494b-baab-27ff258915b1</vt:lpwstr>
  </property>
  <property fmtid="{D5CDD505-2E9C-101B-9397-08002B2CF9AE}" pid="8" name="MSIP_Label_ac0b9ce6-6e99-42a1-af95-429494370cbc_ContentBits">
    <vt:lpwstr>2</vt:lpwstr>
  </property>
</Properties>
</file>