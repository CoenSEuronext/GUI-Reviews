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0ED9A56CF54423BA191DF457D65C4A8F447E42BB" xr6:coauthVersionLast="47" xr6:coauthVersionMax="47" xr10:uidLastSave="{B005A717-7F60-482A-8B03-437B9B5B0144}"/>
  <bookViews>
    <workbookView xWindow="-29370" yWindow="195" windowWidth="29040" windowHeight="15720" xr2:uid="{00000000-000D-0000-FFFF-FFFF00000000}"/>
  </bookViews>
  <sheets>
    <sheet name="ENVF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<sst xmlns="http://schemas.openxmlformats.org/spreadsheetml/2006/main" count="614" uniqueCount="169">
  <si>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</si>
  <si>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</si>
  <si>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</si>
  <si>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</si>
  <si>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</si>
  <si>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</si>
  <si>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</si>
  <si>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</si>
  <si>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</si>
  <si>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</si>
  <si>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AXA</t>
  </si>
  <si>
    <t>BUREAU VERITAS</t>
  </si>
  <si>
    <t>CAPGEMINI</t>
  </si>
  <si>
    <t>DASSAULT SYSTEMES</t>
  </si>
  <si>
    <t>EDENRED</t>
  </si>
  <si>
    <t>ESSILORLUXOTTICA</t>
  </si>
  <si>
    <t>EUROFINS SCIENT.</t>
  </si>
  <si>
    <t>HERMES INTL</t>
  </si>
  <si>
    <t>KERING</t>
  </si>
  <si>
    <t>LEGRAND</t>
  </si>
  <si>
    <t>LVMH</t>
  </si>
  <si>
    <t>MICHELIN</t>
  </si>
  <si>
    <t>PUBLICIS GROUPE SA</t>
  </si>
  <si>
    <t>SCHNEIDER ELECTRIC</t>
  </si>
  <si>
    <t>SOCIETE GENERALE</t>
  </si>
  <si>
    <t>STMICROELECTRONICS</t>
  </si>
  <si>
    <t>TELEPERFORMANCE</t>
  </si>
  <si>
    <t>UNIBAIL-RODAMCO-WE</t>
  </si>
  <si>
    <t>FR0000120404</t>
  </si>
  <si>
    <t>FR0000120073</t>
  </si>
  <si>
    <t>FR0000120628</t>
  </si>
  <si>
    <t>FR0006174348</t>
  </si>
  <si>
    <t>FR0000125338</t>
  </si>
  <si>
    <t>FR0014003TT8</t>
  </si>
  <si>
    <t>FR0010908533</t>
  </si>
  <si>
    <t>FR0000121667</t>
  </si>
  <si>
    <t>FR0014000MR3</t>
  </si>
  <si>
    <t>FR0000052292</t>
  </si>
  <si>
    <t>FR0000121485</t>
  </si>
  <si>
    <t>FR0010307819</t>
  </si>
  <si>
    <t>FR0000121014</t>
  </si>
  <si>
    <t>FR001400AJ45</t>
  </si>
  <si>
    <t>FR0000130577</t>
  </si>
  <si>
    <t>FR0000121972</t>
  </si>
  <si>
    <t>FR0000130809</t>
  </si>
  <si>
    <t>NL0000226223</t>
  </si>
  <si>
    <t>FR0000051807</t>
  </si>
  <si>
    <t>FR0013326246</t>
  </si>
  <si>
    <t>XPAR</t>
  </si>
  <si>
    <t>11-Jul-25</t>
  </si>
  <si>
    <t>EUR</t>
  </si>
  <si>
    <t>ISIN code</t>
  </si>
  <si>
    <t>AMUNDI</t>
  </si>
  <si>
    <t>ARKEMA</t>
  </si>
  <si>
    <t>BNP PARIBAS ACT.A</t>
  </si>
  <si>
    <t>CARREFOUR</t>
  </si>
  <si>
    <t>CREDIT AGRICOLE</t>
  </si>
  <si>
    <t>DANONE</t>
  </si>
  <si>
    <t>ENGIE</t>
  </si>
  <si>
    <t>FDJ UNITED</t>
  </si>
  <si>
    <t>L'OREAL</t>
  </si>
  <si>
    <t>RENAULT</t>
  </si>
  <si>
    <t>VEOLIA ENVIRON.</t>
  </si>
  <si>
    <t>FR0004125920</t>
  </si>
  <si>
    <t>FR0010313833</t>
  </si>
  <si>
    <t>FR0000131104</t>
  </si>
  <si>
    <t>FR0000120172</t>
  </si>
  <si>
    <t>FR0000045072</t>
  </si>
  <si>
    <t>FR0000120644</t>
  </si>
  <si>
    <t>FR0010208488</t>
  </si>
  <si>
    <t>FR0013451333</t>
  </si>
  <si>
    <t>FR0000120321</t>
  </si>
  <si>
    <t>FR0000131906</t>
  </si>
  <si>
    <t>FR0000124141</t>
  </si>
  <si>
    <t>Index Market Cap</t>
  </si>
  <si>
    <t>Index Currency</t>
  </si>
  <si>
    <t>ISIN</t>
  </si>
  <si>
    <t>Number of shares</t>
  </si>
  <si>
    <t>Capping</t>
  </si>
  <si>
    <t>ESG Risk Score</t>
  </si>
  <si>
    <t>Overall Global Compact Compliance Status</t>
  </si>
  <si>
    <t>#Symbol</t>
  </si>
  <si>
    <t>FX/Index Ccy</t>
  </si>
  <si>
    <t>Close Prc_EOD</t>
  </si>
  <si>
    <t>Close Prc_CO</t>
  </si>
  <si>
    <t>FF</t>
  </si>
  <si>
    <t>CAP</t>
  </si>
  <si>
    <t>NOSH_CAC</t>
  </si>
  <si>
    <t>PX_CO</t>
  </si>
  <si>
    <t>FX</t>
  </si>
  <si>
    <t>FF_Market_Cap</t>
  </si>
  <si>
    <t>ESG_Risk_Rating</t>
  </si>
  <si>
    <t>ESG_Risk_For_Weight</t>
  </si>
  <si>
    <t>ESG_Score</t>
  </si>
  <si>
    <t>Weight_Uncapped</t>
  </si>
  <si>
    <t>Weight_Capped</t>
  </si>
  <si>
    <t>Weight_Final</t>
  </si>
  <si>
    <t>Capping_Factor</t>
  </si>
  <si>
    <t>Price_Index_Ccy</t>
  </si>
  <si>
    <t>Target_Market_Cap</t>
  </si>
  <si>
    <t>Number_of_Shares_Calculated</t>
  </si>
  <si>
    <t>Free Float companies</t>
  </si>
  <si>
    <t>Compliant</t>
  </si>
  <si>
    <t>Watchlist</t>
  </si>
  <si>
    <t>URW.PA</t>
  </si>
  <si>
    <t>CAPP.PA</t>
  </si>
  <si>
    <t>SCHN.PA</t>
  </si>
  <si>
    <t>PUBP.PA</t>
  </si>
  <si>
    <t>BVI.PA</t>
  </si>
  <si>
    <t>MICP.PA</t>
  </si>
  <si>
    <t>PRTP.PA</t>
  </si>
  <si>
    <t>STMPA.PA</t>
  </si>
  <si>
    <t>HRMS.PA</t>
  </si>
  <si>
    <t>TEPRF.PA</t>
  </si>
  <si>
    <t>DAST.PA</t>
  </si>
  <si>
    <t>AIRP.PA</t>
  </si>
  <si>
    <t>LVMH.PA</t>
  </si>
  <si>
    <t>EDEN.PA</t>
  </si>
  <si>
    <t>LEGD.PA</t>
  </si>
  <si>
    <t>EUFI.PA</t>
  </si>
  <si>
    <t>ACCP.PA</t>
  </si>
  <si>
    <t>AXAF.PA</t>
  </si>
  <si>
    <t>ESLX.PA</t>
  </si>
  <si>
    <t>SOGN.PA</t>
  </si>
  <si>
    <t>SANOFI</t>
  </si>
  <si>
    <t>PERNOD RICARD</t>
  </si>
  <si>
    <t>SAINT GOBAIN</t>
  </si>
  <si>
    <t>ORANGE</t>
  </si>
  <si>
    <t>STELLANTIS NV</t>
  </si>
  <si>
    <t>AIRBUS</t>
  </si>
  <si>
    <t>VINCI</t>
  </si>
  <si>
    <t>THALES</t>
  </si>
  <si>
    <t>SAFRAN</t>
  </si>
  <si>
    <t>TOTALENERGIES</t>
  </si>
  <si>
    <t>BOUYGUES</t>
  </si>
  <si>
    <t>ARCELORMITTAL SA</t>
  </si>
  <si>
    <t>FR0000120578</t>
  </si>
  <si>
    <t>FR0000120693</t>
  </si>
  <si>
    <t>FR0000125007</t>
  </si>
  <si>
    <t>FR0000133308</t>
  </si>
  <si>
    <t>NL00150001Q9</t>
  </si>
  <si>
    <t>NL0000235190</t>
  </si>
  <si>
    <t>FR0000125486</t>
  </si>
  <si>
    <t>FR0000121329</t>
  </si>
  <si>
    <t>FR0000073272</t>
  </si>
  <si>
    <t>FR0000120271</t>
  </si>
  <si>
    <t>FR0000120503</t>
  </si>
  <si>
    <t>LU1598757687</t>
  </si>
  <si>
    <t>XAMS</t>
  </si>
  <si>
    <t>DANO.PA</t>
  </si>
  <si>
    <t>SASY.PA</t>
  </si>
  <si>
    <t>PERP.PA</t>
  </si>
  <si>
    <t>SGOB.PA</t>
  </si>
  <si>
    <t>OREP.PA</t>
  </si>
  <si>
    <t>CAGR.PA</t>
  </si>
  <si>
    <t>CARR.PA</t>
  </si>
  <si>
    <t>BNPP.PA</t>
  </si>
  <si>
    <t>ORAN.PA</t>
  </si>
  <si>
    <t>STLAM.PA</t>
  </si>
  <si>
    <t>RENA.PA</t>
  </si>
  <si>
    <t>AIR.PA</t>
  </si>
  <si>
    <t>VIE.PA</t>
  </si>
  <si>
    <t>SGEF.PA</t>
  </si>
  <si>
    <t>TCFP.PA</t>
  </si>
  <si>
    <t>SAF.PA</t>
  </si>
  <si>
    <t>TTEF.PA</t>
  </si>
  <si>
    <t>ENGIE.PA</t>
  </si>
  <si>
    <t>BOUY.PA</t>
  </si>
  <si>
    <t>MT.AS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</si>
</sst>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I21" sqref="I21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28</v>
      </c>
      <c r="C2" t="s">
        <v>48</v>
      </c>
      <c r="D2">
        <v>964</v>
      </c>
      <c r="E2">
        <v>1</v>
      </c>
      <c r="F2">
        <v>1.0473703756799699</v>
      </c>
      <c r="G2" t="s">
        <v>49</v>
      </c>
      <c r="H2" t="s">
        <v>50</v>
      </c>
      <c r="I2">
        <f>F2/MAX($F$2:$F$21)</f>
        <v>1</v>
      </c>
    </row>
    <row r="3" spans="1:9" x14ac:dyDescent="0.25">
      <c r="A3" t="s">
        <v>9</v>
      </c>
      <c r="B3" t="s">
        <v>29</v>
      </c>
      <c r="C3" t="s">
        <v>48</v>
      </c>
      <c r="D3">
        <v>318</v>
      </c>
      <c r="E3">
        <v>1</v>
      </c>
      <c r="F3">
        <v>1.0473703756799699</v>
      </c>
      <c r="G3" t="s">
        <v>49</v>
      </c>
      <c r="H3" t="s">
        <v>50</v>
      </c>
      <c r="I3">
        <f t="shared" ref="I3:I21" si="0">F3/MAX($F$2:$F$21)</f>
        <v>1</v>
      </c>
    </row>
    <row r="4" spans="1:9" x14ac:dyDescent="0.25">
      <c r="A4" t="s">
        <v>10</v>
      </c>
      <c r="B4" t="s">
        <v>30</v>
      </c>
      <c r="C4" t="s">
        <v>48</v>
      </c>
      <c r="D4">
        <v>1088</v>
      </c>
      <c r="E4">
        <v>1</v>
      </c>
      <c r="F4">
        <v>1.0473703756799699</v>
      </c>
      <c r="G4" t="s">
        <v>49</v>
      </c>
      <c r="H4" t="s">
        <v>50</v>
      </c>
      <c r="I4">
        <f t="shared" si="0"/>
        <v>1</v>
      </c>
    </row>
    <row r="5" spans="1:9" x14ac:dyDescent="0.25">
      <c r="A5" t="s">
        <v>11</v>
      </c>
      <c r="B5" t="s">
        <v>31</v>
      </c>
      <c r="C5" t="s">
        <v>48</v>
      </c>
      <c r="D5">
        <v>2527</v>
      </c>
      <c r="E5">
        <v>1</v>
      </c>
      <c r="F5">
        <v>1.0473703756799699</v>
      </c>
      <c r="G5" t="s">
        <v>49</v>
      </c>
      <c r="H5" t="s">
        <v>50</v>
      </c>
      <c r="I5">
        <f t="shared" si="0"/>
        <v>1</v>
      </c>
    </row>
    <row r="6" spans="1:9" x14ac:dyDescent="0.25">
      <c r="A6" t="s">
        <v>12</v>
      </c>
      <c r="B6" t="s">
        <v>32</v>
      </c>
      <c r="C6" t="s">
        <v>48</v>
      </c>
      <c r="D6">
        <v>676</v>
      </c>
      <c r="E6">
        <v>1</v>
      </c>
      <c r="F6">
        <v>1.0473703756799699</v>
      </c>
      <c r="G6" t="s">
        <v>49</v>
      </c>
      <c r="H6" t="s">
        <v>50</v>
      </c>
      <c r="I6">
        <f t="shared" si="0"/>
        <v>1</v>
      </c>
    </row>
    <row r="7" spans="1:9" x14ac:dyDescent="0.25">
      <c r="A7" t="s">
        <v>13</v>
      </c>
      <c r="B7" t="s">
        <v>33</v>
      </c>
      <c r="C7" t="s">
        <v>48</v>
      </c>
      <c r="D7">
        <v>1778</v>
      </c>
      <c r="E7">
        <v>1</v>
      </c>
      <c r="F7">
        <v>1.0473703756799699</v>
      </c>
      <c r="G7" t="s">
        <v>49</v>
      </c>
      <c r="H7" t="s">
        <v>50</v>
      </c>
      <c r="I7">
        <f t="shared" si="0"/>
        <v>1</v>
      </c>
    </row>
    <row r="8" spans="1:9" x14ac:dyDescent="0.25">
      <c r="A8" t="s">
        <v>14</v>
      </c>
      <c r="B8" t="s">
        <v>34</v>
      </c>
      <c r="C8" t="s">
        <v>48</v>
      </c>
      <c r="D8">
        <v>1846</v>
      </c>
      <c r="E8">
        <v>1</v>
      </c>
      <c r="F8">
        <v>1.0473703756799699</v>
      </c>
      <c r="G8" t="s">
        <v>49</v>
      </c>
      <c r="H8" t="s">
        <v>50</v>
      </c>
      <c r="I8">
        <f t="shared" si="0"/>
        <v>1</v>
      </c>
    </row>
    <row r="9" spans="1:9" x14ac:dyDescent="0.25">
      <c r="A9" t="s">
        <v>15</v>
      </c>
      <c r="B9" t="s">
        <v>35</v>
      </c>
      <c r="C9" t="s">
        <v>48</v>
      </c>
      <c r="D9">
        <v>174</v>
      </c>
      <c r="E9">
        <v>1</v>
      </c>
      <c r="F9">
        <v>1.0473703756799699</v>
      </c>
      <c r="G9" t="s">
        <v>49</v>
      </c>
      <c r="H9" t="s">
        <v>50</v>
      </c>
      <c r="I9">
        <f t="shared" si="0"/>
        <v>1</v>
      </c>
    </row>
    <row r="10" spans="1:9" x14ac:dyDescent="0.25">
      <c r="A10" t="s">
        <v>16</v>
      </c>
      <c r="B10" t="s">
        <v>36</v>
      </c>
      <c r="C10" t="s">
        <v>48</v>
      </c>
      <c r="D10">
        <v>824</v>
      </c>
      <c r="E10">
        <v>1</v>
      </c>
      <c r="F10">
        <v>1.0473703756799699</v>
      </c>
      <c r="G10" t="s">
        <v>49</v>
      </c>
      <c r="H10" t="s">
        <v>50</v>
      </c>
      <c r="I10">
        <f t="shared" si="0"/>
        <v>1</v>
      </c>
    </row>
    <row r="11" spans="1:9" x14ac:dyDescent="0.25">
      <c r="A11" t="s">
        <v>17</v>
      </c>
      <c r="B11" t="s">
        <v>37</v>
      </c>
      <c r="C11" t="s">
        <v>48</v>
      </c>
      <c r="D11">
        <v>24</v>
      </c>
      <c r="E11">
        <v>1</v>
      </c>
      <c r="F11">
        <v>1.0473703756799699</v>
      </c>
      <c r="G11" t="s">
        <v>49</v>
      </c>
      <c r="H11" t="s">
        <v>50</v>
      </c>
      <c r="I11">
        <f t="shared" si="0"/>
        <v>1</v>
      </c>
    </row>
    <row r="12" spans="1:9" x14ac:dyDescent="0.25">
      <c r="A12" t="s">
        <v>18</v>
      </c>
      <c r="B12" t="s">
        <v>38</v>
      </c>
      <c r="C12" t="s">
        <v>48</v>
      </c>
      <c r="D12">
        <v>297</v>
      </c>
      <c r="E12">
        <v>1</v>
      </c>
      <c r="F12">
        <v>1.0473703756799699</v>
      </c>
      <c r="G12" t="s">
        <v>49</v>
      </c>
      <c r="H12" t="s">
        <v>50</v>
      </c>
      <c r="I12">
        <f t="shared" si="0"/>
        <v>1</v>
      </c>
    </row>
    <row r="13" spans="1:9" x14ac:dyDescent="0.25">
      <c r="A13" t="s">
        <v>19</v>
      </c>
      <c r="B13" t="s">
        <v>39</v>
      </c>
      <c r="C13" t="s">
        <v>48</v>
      </c>
      <c r="D13">
        <v>436</v>
      </c>
      <c r="E13">
        <v>1</v>
      </c>
      <c r="F13">
        <v>1.0473703756799699</v>
      </c>
      <c r="G13" t="s">
        <v>49</v>
      </c>
      <c r="H13" t="s">
        <v>50</v>
      </c>
      <c r="I13">
        <f t="shared" si="0"/>
        <v>1</v>
      </c>
    </row>
    <row r="14" spans="1:9" x14ac:dyDescent="0.25">
      <c r="A14" t="s">
        <v>20</v>
      </c>
      <c r="B14" t="s">
        <v>40</v>
      </c>
      <c r="C14" t="s">
        <v>48</v>
      </c>
      <c r="D14">
        <v>110</v>
      </c>
      <c r="E14">
        <v>1</v>
      </c>
      <c r="F14">
        <v>1.0473703756799699</v>
      </c>
      <c r="G14" t="s">
        <v>49</v>
      </c>
      <c r="H14" t="s">
        <v>50</v>
      </c>
      <c r="I14">
        <f t="shared" si="0"/>
        <v>1</v>
      </c>
    </row>
    <row r="15" spans="1:9" x14ac:dyDescent="0.25">
      <c r="A15" t="s">
        <v>21</v>
      </c>
      <c r="B15" t="s">
        <v>41</v>
      </c>
      <c r="C15" t="s">
        <v>48</v>
      </c>
      <c r="D15">
        <v>2001</v>
      </c>
      <c r="E15">
        <v>1</v>
      </c>
      <c r="F15">
        <v>1.0473703756799699</v>
      </c>
      <c r="G15" t="s">
        <v>49</v>
      </c>
      <c r="H15" t="s">
        <v>50</v>
      </c>
      <c r="I15">
        <f t="shared" si="0"/>
        <v>1</v>
      </c>
    </row>
    <row r="16" spans="1:9" x14ac:dyDescent="0.25">
      <c r="A16" t="s">
        <v>22</v>
      </c>
      <c r="B16" t="s">
        <v>42</v>
      </c>
      <c r="C16" t="s">
        <v>48</v>
      </c>
      <c r="D16">
        <v>830</v>
      </c>
      <c r="E16">
        <v>1</v>
      </c>
      <c r="F16">
        <v>1.0473703756799699</v>
      </c>
      <c r="G16" t="s">
        <v>49</v>
      </c>
      <c r="H16" t="s">
        <v>50</v>
      </c>
      <c r="I16">
        <f t="shared" si="0"/>
        <v>1</v>
      </c>
    </row>
    <row r="17" spans="1:9" x14ac:dyDescent="0.25">
      <c r="A17" t="s">
        <v>23</v>
      </c>
      <c r="B17" t="s">
        <v>43</v>
      </c>
      <c r="C17" t="s">
        <v>48</v>
      </c>
      <c r="D17">
        <v>333</v>
      </c>
      <c r="E17">
        <v>1</v>
      </c>
      <c r="F17">
        <v>1.0473703756799699</v>
      </c>
      <c r="G17" t="s">
        <v>49</v>
      </c>
      <c r="H17" t="s">
        <v>50</v>
      </c>
      <c r="I17">
        <f t="shared" si="0"/>
        <v>1</v>
      </c>
    </row>
    <row r="18" spans="1:9" x14ac:dyDescent="0.25">
      <c r="A18" t="s">
        <v>24</v>
      </c>
      <c r="B18" t="s">
        <v>44</v>
      </c>
      <c r="C18" t="s">
        <v>48</v>
      </c>
      <c r="D18">
        <v>806</v>
      </c>
      <c r="E18">
        <v>1</v>
      </c>
      <c r="F18">
        <v>1.0473703756799699</v>
      </c>
      <c r="G18" t="s">
        <v>49</v>
      </c>
      <c r="H18" t="s">
        <v>50</v>
      </c>
      <c r="I18">
        <f t="shared" si="0"/>
        <v>1</v>
      </c>
    </row>
    <row r="19" spans="1:9" x14ac:dyDescent="0.25">
      <c r="A19" t="s">
        <v>25</v>
      </c>
      <c r="B19" t="s">
        <v>45</v>
      </c>
      <c r="C19" t="s">
        <v>48</v>
      </c>
      <c r="D19">
        <v>2169</v>
      </c>
      <c r="E19">
        <v>1</v>
      </c>
      <c r="F19">
        <v>1.0473703756799699</v>
      </c>
      <c r="G19" t="s">
        <v>49</v>
      </c>
      <c r="H19" t="s">
        <v>50</v>
      </c>
      <c r="I19">
        <f t="shared" si="0"/>
        <v>1</v>
      </c>
    </row>
    <row r="20" spans="1:9" x14ac:dyDescent="0.25">
      <c r="A20" t="s">
        <v>26</v>
      </c>
      <c r="B20" t="s">
        <v>46</v>
      </c>
      <c r="C20" t="s">
        <v>48</v>
      </c>
      <c r="D20">
        <v>649</v>
      </c>
      <c r="E20">
        <v>1</v>
      </c>
      <c r="F20">
        <v>1.0473703756799699</v>
      </c>
      <c r="G20" t="s">
        <v>49</v>
      </c>
      <c r="H20" t="s">
        <v>50</v>
      </c>
      <c r="I20">
        <f t="shared" si="0"/>
        <v>1</v>
      </c>
    </row>
    <row r="21" spans="1:9" x14ac:dyDescent="0.25">
      <c r="A21" t="s">
        <v>27</v>
      </c>
      <c r="B21" t="s">
        <v>47</v>
      </c>
      <c r="C21" t="s">
        <v>48</v>
      </c>
      <c r="D21">
        <v>1532</v>
      </c>
      <c r="E21">
        <v>1</v>
      </c>
      <c r="F21">
        <v>0.71070618558674392</v>
      </c>
      <c r="G21" t="s">
        <v>49</v>
      </c>
      <c r="H21" t="s">
        <v>50</v>
      </c>
      <c r="I21">
        <v>0.67856242842971559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9</v>
      </c>
      <c r="B2" t="s">
        <v>29</v>
      </c>
      <c r="C2" t="s">
        <v>48</v>
      </c>
    </row>
    <row r="3" spans="1:3" x14ac:dyDescent="0.25">
      <c r="A3" t="s">
        <v>10</v>
      </c>
      <c r="B3" t="s">
        <v>30</v>
      </c>
      <c r="C3" t="s">
        <v>48</v>
      </c>
    </row>
    <row r="4" spans="1:3" x14ac:dyDescent="0.25">
      <c r="A4" t="s">
        <v>12</v>
      </c>
      <c r="B4" t="s">
        <v>32</v>
      </c>
      <c r="C4" t="s">
        <v>48</v>
      </c>
    </row>
    <row r="5" spans="1:3" x14ac:dyDescent="0.25">
      <c r="A5" t="s">
        <v>13</v>
      </c>
      <c r="B5" t="s">
        <v>33</v>
      </c>
      <c r="C5" t="s">
        <v>48</v>
      </c>
    </row>
    <row r="6" spans="1:3" x14ac:dyDescent="0.25">
      <c r="A6" t="s">
        <v>14</v>
      </c>
      <c r="B6" t="s">
        <v>34</v>
      </c>
      <c r="C6" t="s">
        <v>48</v>
      </c>
    </row>
    <row r="7" spans="1:3" x14ac:dyDescent="0.25">
      <c r="A7" t="s">
        <v>15</v>
      </c>
      <c r="B7" t="s">
        <v>35</v>
      </c>
      <c r="C7" t="s">
        <v>48</v>
      </c>
    </row>
    <row r="8" spans="1:3" x14ac:dyDescent="0.25">
      <c r="A8" t="s">
        <v>16</v>
      </c>
      <c r="B8" t="s">
        <v>36</v>
      </c>
      <c r="C8" t="s">
        <v>48</v>
      </c>
    </row>
    <row r="9" spans="1:3" x14ac:dyDescent="0.25">
      <c r="A9" t="s">
        <v>19</v>
      </c>
      <c r="B9" t="s">
        <v>39</v>
      </c>
      <c r="C9" t="s">
        <v>48</v>
      </c>
    </row>
    <row r="10" spans="1:3" x14ac:dyDescent="0.25">
      <c r="A10" t="s">
        <v>20</v>
      </c>
      <c r="B10" t="s">
        <v>40</v>
      </c>
      <c r="C10" t="s">
        <v>48</v>
      </c>
    </row>
    <row r="11" spans="1:3" x14ac:dyDescent="0.25">
      <c r="A11" t="s">
        <v>25</v>
      </c>
      <c r="B11" t="s">
        <v>45</v>
      </c>
      <c r="C11" t="s">
        <v>48</v>
      </c>
    </row>
    <row r="12" spans="1:3" x14ac:dyDescent="0.25">
      <c r="A12" t="s">
        <v>27</v>
      </c>
      <c r="B12" t="s">
        <v>47</v>
      </c>
      <c r="C12" t="s">
        <v>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51</v>
      </c>
      <c r="C1" s="1" t="s">
        <v>2</v>
      </c>
    </row>
    <row r="2" spans="1:3" x14ac:dyDescent="0.25">
      <c r="A2" t="s">
        <v>52</v>
      </c>
      <c r="B2" t="s">
        <v>63</v>
      </c>
      <c r="C2" t="s">
        <v>48</v>
      </c>
    </row>
    <row r="3" spans="1:3" x14ac:dyDescent="0.25">
      <c r="A3" t="s">
        <v>53</v>
      </c>
      <c r="B3" t="s">
        <v>64</v>
      </c>
      <c r="C3" t="s">
        <v>48</v>
      </c>
    </row>
    <row r="4" spans="1:3" x14ac:dyDescent="0.25">
      <c r="A4" t="s">
        <v>54</v>
      </c>
      <c r="B4" t="s">
        <v>65</v>
      </c>
      <c r="C4" t="s">
        <v>48</v>
      </c>
    </row>
    <row r="5" spans="1:3" x14ac:dyDescent="0.25">
      <c r="A5" t="s">
        <v>55</v>
      </c>
      <c r="B5" t="s">
        <v>66</v>
      </c>
      <c r="C5" t="s">
        <v>48</v>
      </c>
    </row>
    <row r="6" spans="1:3" x14ac:dyDescent="0.25">
      <c r="A6" t="s">
        <v>56</v>
      </c>
      <c r="B6" t="s">
        <v>67</v>
      </c>
      <c r="C6" t="s">
        <v>48</v>
      </c>
    </row>
    <row r="7" spans="1:3" x14ac:dyDescent="0.25">
      <c r="A7" t="s">
        <v>57</v>
      </c>
      <c r="B7" t="s">
        <v>68</v>
      </c>
      <c r="C7" t="s">
        <v>48</v>
      </c>
    </row>
    <row r="8" spans="1:3" x14ac:dyDescent="0.25">
      <c r="A8" t="s">
        <v>58</v>
      </c>
      <c r="B8" t="s">
        <v>69</v>
      </c>
      <c r="C8" t="s">
        <v>48</v>
      </c>
    </row>
    <row r="9" spans="1:3" x14ac:dyDescent="0.25">
      <c r="A9" t="s">
        <v>59</v>
      </c>
      <c r="B9" t="s">
        <v>70</v>
      </c>
      <c r="C9" t="s">
        <v>48</v>
      </c>
    </row>
    <row r="10" spans="1:3" x14ac:dyDescent="0.25">
      <c r="A10" t="s">
        <v>60</v>
      </c>
      <c r="B10" t="s">
        <v>71</v>
      </c>
      <c r="C10" t="s">
        <v>48</v>
      </c>
    </row>
    <row r="11" spans="1:3" x14ac:dyDescent="0.25">
      <c r="A11" t="s">
        <v>61</v>
      </c>
      <c r="B11" t="s">
        <v>72</v>
      </c>
      <c r="C11" t="s">
        <v>48</v>
      </c>
    </row>
    <row r="12" spans="1:3" x14ac:dyDescent="0.25">
      <c r="A12" t="s">
        <v>62</v>
      </c>
      <c r="B12" t="s">
        <v>73</v>
      </c>
      <c r="C12" t="s">
        <v>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74</v>
      </c>
      <c r="B1" s="1" t="s">
        <v>75</v>
      </c>
    </row>
    <row r="2" spans="1:2" x14ac:dyDescent="0.25">
      <c r="A2">
        <v>1233832.9501153</v>
      </c>
      <c r="B2" t="s">
        <v>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1"/>
  <sheetViews>
    <sheetView workbookViewId="0"/>
  </sheetViews>
  <sheetFormatPr defaultRowHeight="15" x14ac:dyDescent="0.25"/>
  <sheetData>
    <row r="1" spans="1:31" x14ac:dyDescent="0.25">
      <c r="A1" s="1" t="s">
        <v>0</v>
      </c>
      <c r="B1" s="1" t="s">
        <v>76</v>
      </c>
      <c r="C1" s="1" t="s">
        <v>2</v>
      </c>
      <c r="D1" s="1" t="s">
        <v>77</v>
      </c>
      <c r="E1" s="1" t="s">
        <v>4</v>
      </c>
      <c r="F1" s="1" t="s">
        <v>78</v>
      </c>
      <c r="G1" s="1" t="s">
        <v>7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  <c r="V1" s="1" t="s">
        <v>93</v>
      </c>
      <c r="W1" s="1" t="s">
        <v>94</v>
      </c>
      <c r="X1" s="1" t="s">
        <v>95</v>
      </c>
      <c r="Y1" s="1" t="s">
        <v>96</v>
      </c>
      <c r="Z1" s="1" t="s">
        <v>97</v>
      </c>
      <c r="AA1" s="1" t="s">
        <v>98</v>
      </c>
      <c r="AB1" s="1" t="s">
        <v>99</v>
      </c>
      <c r="AC1" s="1" t="s">
        <v>100</v>
      </c>
      <c r="AD1" s="1" t="s">
        <v>6</v>
      </c>
      <c r="AE1" s="1" t="s">
        <v>101</v>
      </c>
    </row>
    <row r="2" spans="1:31" x14ac:dyDescent="0.25">
      <c r="A2" t="s">
        <v>27</v>
      </c>
      <c r="B2" t="s">
        <v>47</v>
      </c>
      <c r="C2" t="s">
        <v>48</v>
      </c>
      <c r="D2">
        <v>139364104</v>
      </c>
      <c r="E2">
        <v>0.85</v>
      </c>
      <c r="F2">
        <v>1</v>
      </c>
      <c r="G2" t="s">
        <v>50</v>
      </c>
      <c r="H2">
        <v>4.0989218799999998</v>
      </c>
      <c r="I2" t="s">
        <v>102</v>
      </c>
      <c r="J2" t="s">
        <v>104</v>
      </c>
      <c r="K2">
        <v>1</v>
      </c>
      <c r="L2">
        <v>80.540000000000006</v>
      </c>
      <c r="M2">
        <v>79.84</v>
      </c>
      <c r="N2">
        <v>0.85</v>
      </c>
      <c r="O2">
        <v>1</v>
      </c>
      <c r="P2">
        <v>139364104</v>
      </c>
      <c r="Q2">
        <v>79.84</v>
      </c>
      <c r="R2">
        <v>1</v>
      </c>
      <c r="S2">
        <v>9457805553.855999</v>
      </c>
      <c r="T2">
        <v>4.0989218799999998</v>
      </c>
      <c r="U2">
        <v>4.0989218799999998</v>
      </c>
      <c r="V2">
        <v>0.24396659152723349</v>
      </c>
      <c r="W2">
        <v>0.1407051212273355</v>
      </c>
      <c r="X2">
        <v>0.1</v>
      </c>
      <c r="Y2">
        <v>0.1</v>
      </c>
      <c r="Z2">
        <v>0.71070618558674392</v>
      </c>
      <c r="AA2">
        <v>80.540000000000006</v>
      </c>
      <c r="AB2">
        <v>123383.29501153</v>
      </c>
      <c r="AC2">
        <v>1532</v>
      </c>
      <c r="AD2" t="s">
        <v>49</v>
      </c>
      <c r="AE2">
        <v>1</v>
      </c>
    </row>
    <row r="3" spans="1:31" x14ac:dyDescent="0.25">
      <c r="A3" t="s">
        <v>12</v>
      </c>
      <c r="B3" t="s">
        <v>32</v>
      </c>
      <c r="C3" t="s">
        <v>48</v>
      </c>
      <c r="D3">
        <v>172608113</v>
      </c>
      <c r="E3">
        <v>0.9</v>
      </c>
      <c r="F3">
        <v>1</v>
      </c>
      <c r="G3" t="s">
        <v>50</v>
      </c>
      <c r="H3">
        <v>7.5856712499999999</v>
      </c>
      <c r="I3" t="s">
        <v>102</v>
      </c>
      <c r="J3" t="s">
        <v>105</v>
      </c>
      <c r="K3">
        <v>1</v>
      </c>
      <c r="L3">
        <v>145.25</v>
      </c>
      <c r="M3">
        <v>145.25</v>
      </c>
      <c r="N3">
        <v>0.9</v>
      </c>
      <c r="O3">
        <v>1</v>
      </c>
      <c r="P3">
        <v>172608113</v>
      </c>
      <c r="Q3">
        <v>145.25</v>
      </c>
      <c r="R3">
        <v>1</v>
      </c>
      <c r="S3">
        <v>22564195571.924999</v>
      </c>
      <c r="T3">
        <v>7.5856712499999999</v>
      </c>
      <c r="U3">
        <v>7.5856712499999999</v>
      </c>
      <c r="V3">
        <v>0.13182748988759571</v>
      </c>
      <c r="W3">
        <v>7.603009424205906E-2</v>
      </c>
      <c r="X3">
        <v>7.9631668369288935E-2</v>
      </c>
      <c r="Y3">
        <v>7.9631668369288935E-2</v>
      </c>
      <c r="Z3">
        <v>1.0473703756799699</v>
      </c>
      <c r="AA3">
        <v>145.25</v>
      </c>
      <c r="AB3">
        <v>98252.176306682988</v>
      </c>
      <c r="AC3">
        <v>676</v>
      </c>
      <c r="AD3" t="s">
        <v>49</v>
      </c>
      <c r="AE3">
        <v>1</v>
      </c>
    </row>
    <row r="4" spans="1:31" x14ac:dyDescent="0.25">
      <c r="A4" t="s">
        <v>23</v>
      </c>
      <c r="B4" t="s">
        <v>43</v>
      </c>
      <c r="C4" t="s">
        <v>48</v>
      </c>
      <c r="D4">
        <v>575627026</v>
      </c>
      <c r="E4">
        <v>1</v>
      </c>
      <c r="F4">
        <v>1</v>
      </c>
      <c r="G4" t="s">
        <v>50</v>
      </c>
      <c r="H4">
        <v>9.8271995000000008</v>
      </c>
      <c r="I4" t="s">
        <v>102</v>
      </c>
      <c r="J4" t="s">
        <v>106</v>
      </c>
      <c r="K4">
        <v>1</v>
      </c>
      <c r="L4">
        <v>227.7</v>
      </c>
      <c r="M4">
        <v>221.9</v>
      </c>
      <c r="N4">
        <v>1</v>
      </c>
      <c r="O4">
        <v>1</v>
      </c>
      <c r="P4">
        <v>575627026</v>
      </c>
      <c r="Q4">
        <v>221.9</v>
      </c>
      <c r="R4">
        <v>1</v>
      </c>
      <c r="S4">
        <v>127731637069.39999</v>
      </c>
      <c r="T4">
        <v>9.8271995000000008</v>
      </c>
      <c r="U4">
        <v>9.8271995000000008</v>
      </c>
      <c r="V4">
        <v>0.1017583900682997</v>
      </c>
      <c r="W4">
        <v>5.8688062659843013E-2</v>
      </c>
      <c r="X4">
        <v>6.1468138235969402E-2</v>
      </c>
      <c r="Y4">
        <v>6.1468138235969402E-2</v>
      </c>
      <c r="Z4">
        <v>1.0473703756799699</v>
      </c>
      <c r="AA4">
        <v>227.7</v>
      </c>
      <c r="AB4">
        <v>75841.4143377812</v>
      </c>
      <c r="AC4">
        <v>333</v>
      </c>
      <c r="AD4" t="s">
        <v>49</v>
      </c>
      <c r="AE4">
        <v>1</v>
      </c>
    </row>
    <row r="5" spans="1:31" x14ac:dyDescent="0.25">
      <c r="A5" t="s">
        <v>22</v>
      </c>
      <c r="B5" t="s">
        <v>42</v>
      </c>
      <c r="C5" t="s">
        <v>48</v>
      </c>
      <c r="D5">
        <v>254311860</v>
      </c>
      <c r="E5">
        <v>0.9</v>
      </c>
      <c r="F5">
        <v>1</v>
      </c>
      <c r="G5" t="s">
        <v>50</v>
      </c>
      <c r="H5">
        <v>10.106547320000001</v>
      </c>
      <c r="I5" t="s">
        <v>102</v>
      </c>
      <c r="J5" t="s">
        <v>107</v>
      </c>
      <c r="K5">
        <v>1</v>
      </c>
      <c r="L5">
        <v>88.84</v>
      </c>
      <c r="M5">
        <v>90.12</v>
      </c>
      <c r="N5">
        <v>0.9</v>
      </c>
      <c r="O5">
        <v>1</v>
      </c>
      <c r="P5">
        <v>254311860</v>
      </c>
      <c r="Q5">
        <v>90.12</v>
      </c>
      <c r="R5">
        <v>1</v>
      </c>
      <c r="S5">
        <v>20626726340.880001</v>
      </c>
      <c r="T5">
        <v>10.106547320000001</v>
      </c>
      <c r="U5">
        <v>10.106547320000001</v>
      </c>
      <c r="V5">
        <v>9.8945759450518256E-2</v>
      </c>
      <c r="W5">
        <v>5.7065908046109837E-2</v>
      </c>
      <c r="X5">
        <v>5.9769141548772699E-2</v>
      </c>
      <c r="Y5">
        <v>5.9769141548772699E-2</v>
      </c>
      <c r="Z5">
        <v>1.0473703756799699</v>
      </c>
      <c r="AA5">
        <v>88.84</v>
      </c>
      <c r="AB5">
        <v>73745.136242981171</v>
      </c>
      <c r="AC5">
        <v>830</v>
      </c>
      <c r="AD5" t="s">
        <v>49</v>
      </c>
      <c r="AE5">
        <v>1</v>
      </c>
    </row>
    <row r="6" spans="1:31" x14ac:dyDescent="0.25">
      <c r="A6" t="s">
        <v>11</v>
      </c>
      <c r="B6" t="s">
        <v>31</v>
      </c>
      <c r="C6" t="s">
        <v>48</v>
      </c>
      <c r="D6">
        <v>453871520</v>
      </c>
      <c r="E6">
        <v>0.75</v>
      </c>
      <c r="F6">
        <v>1</v>
      </c>
      <c r="G6" t="s">
        <v>50</v>
      </c>
      <c r="H6">
        <v>10.569800000000001</v>
      </c>
      <c r="I6" t="s">
        <v>102</v>
      </c>
      <c r="J6" t="s">
        <v>108</v>
      </c>
      <c r="K6">
        <v>1</v>
      </c>
      <c r="L6">
        <v>27.9</v>
      </c>
      <c r="M6">
        <v>27.98</v>
      </c>
      <c r="N6">
        <v>0.75</v>
      </c>
      <c r="O6">
        <v>1</v>
      </c>
      <c r="P6">
        <v>453871520</v>
      </c>
      <c r="Q6">
        <v>27.98</v>
      </c>
      <c r="R6">
        <v>1</v>
      </c>
      <c r="S6">
        <v>9524493847.2000008</v>
      </c>
      <c r="T6">
        <v>10.569800000000001</v>
      </c>
      <c r="U6">
        <v>10.569800000000001</v>
      </c>
      <c r="V6">
        <v>9.460916952070994E-2</v>
      </c>
      <c r="W6">
        <v>5.4564826205489018E-2</v>
      </c>
      <c r="X6">
        <v>5.714958252175531E-2</v>
      </c>
      <c r="Y6">
        <v>5.714958252175531E-2</v>
      </c>
      <c r="Z6">
        <v>1.0473703756799699</v>
      </c>
      <c r="AA6">
        <v>27.9</v>
      </c>
      <c r="AB6">
        <v>70513.038000675137</v>
      </c>
      <c r="AC6">
        <v>2527</v>
      </c>
      <c r="AD6" t="s">
        <v>49</v>
      </c>
      <c r="AE6">
        <v>1</v>
      </c>
    </row>
    <row r="7" spans="1:31" x14ac:dyDescent="0.25">
      <c r="A7" t="s">
        <v>21</v>
      </c>
      <c r="B7" t="s">
        <v>41</v>
      </c>
      <c r="C7" t="s">
        <v>48</v>
      </c>
      <c r="D7">
        <v>714958226</v>
      </c>
      <c r="E7">
        <v>1</v>
      </c>
      <c r="F7">
        <v>1</v>
      </c>
      <c r="G7" t="s">
        <v>50</v>
      </c>
      <c r="H7">
        <v>11.559792229999999</v>
      </c>
      <c r="I7" t="s">
        <v>102</v>
      </c>
      <c r="J7" t="s">
        <v>109</v>
      </c>
      <c r="K7">
        <v>1</v>
      </c>
      <c r="L7">
        <v>32.22</v>
      </c>
      <c r="M7">
        <v>31.47</v>
      </c>
      <c r="N7">
        <v>1</v>
      </c>
      <c r="O7">
        <v>1</v>
      </c>
      <c r="P7">
        <v>714958226</v>
      </c>
      <c r="Q7">
        <v>31.47</v>
      </c>
      <c r="R7">
        <v>1</v>
      </c>
      <c r="S7">
        <v>22499735372.220001</v>
      </c>
      <c r="T7">
        <v>11.559792229999999</v>
      </c>
      <c r="U7">
        <v>11.559792229999999</v>
      </c>
      <c r="V7">
        <v>8.6506745113013164E-2</v>
      </c>
      <c r="W7">
        <v>4.9891839624074112E-2</v>
      </c>
      <c r="X7">
        <v>5.2255234810431317E-2</v>
      </c>
      <c r="Y7">
        <v>5.2255234810431317E-2</v>
      </c>
      <c r="Z7">
        <v>1.0473703756799699</v>
      </c>
      <c r="AA7">
        <v>32.22</v>
      </c>
      <c r="AB7">
        <v>64474.230525122191</v>
      </c>
      <c r="AC7">
        <v>2001</v>
      </c>
      <c r="AD7" t="s">
        <v>49</v>
      </c>
      <c r="AE7">
        <v>1</v>
      </c>
    </row>
    <row r="8" spans="1:31" x14ac:dyDescent="0.25">
      <c r="A8" t="s">
        <v>18</v>
      </c>
      <c r="B8" t="s">
        <v>38</v>
      </c>
      <c r="C8" t="s">
        <v>48</v>
      </c>
      <c r="D8">
        <v>123420778</v>
      </c>
      <c r="E8">
        <v>0.6</v>
      </c>
      <c r="F8">
        <v>1</v>
      </c>
      <c r="G8" t="s">
        <v>50</v>
      </c>
      <c r="H8">
        <v>12.540407500000001</v>
      </c>
      <c r="I8" t="s">
        <v>102</v>
      </c>
      <c r="J8" t="s">
        <v>110</v>
      </c>
      <c r="K8">
        <v>1</v>
      </c>
      <c r="L8">
        <v>199.8</v>
      </c>
      <c r="M8">
        <v>198.14</v>
      </c>
      <c r="N8">
        <v>0.6</v>
      </c>
      <c r="O8">
        <v>1</v>
      </c>
      <c r="P8">
        <v>123420778</v>
      </c>
      <c r="Q8">
        <v>198.14</v>
      </c>
      <c r="R8">
        <v>1</v>
      </c>
      <c r="S8">
        <v>14672755771.752001</v>
      </c>
      <c r="T8">
        <v>12.540407500000001</v>
      </c>
      <c r="U8">
        <v>12.540407500000001</v>
      </c>
      <c r="V8">
        <v>7.9742225282551621E-2</v>
      </c>
      <c r="W8">
        <v>4.5990475192036452E-2</v>
      </c>
      <c r="X8">
        <v>4.8169061279583557E-2</v>
      </c>
      <c r="Y8">
        <v>4.8169061279583557E-2</v>
      </c>
      <c r="Z8">
        <v>1.0473703756799699</v>
      </c>
      <c r="AA8">
        <v>199.8</v>
      </c>
      <c r="AB8">
        <v>59432.574982873259</v>
      </c>
      <c r="AC8">
        <v>297</v>
      </c>
      <c r="AD8" t="s">
        <v>49</v>
      </c>
      <c r="AE8">
        <v>1</v>
      </c>
    </row>
    <row r="9" spans="1:31" x14ac:dyDescent="0.25">
      <c r="A9" t="s">
        <v>25</v>
      </c>
      <c r="B9" t="s">
        <v>45</v>
      </c>
      <c r="C9" t="s">
        <v>48</v>
      </c>
      <c r="D9">
        <v>911281920</v>
      </c>
      <c r="E9">
        <v>0.7</v>
      </c>
      <c r="F9">
        <v>1</v>
      </c>
      <c r="G9" t="s">
        <v>50</v>
      </c>
      <c r="H9">
        <v>12.68647625</v>
      </c>
      <c r="I9" t="s">
        <v>102</v>
      </c>
      <c r="J9" t="s">
        <v>111</v>
      </c>
      <c r="K9">
        <v>1</v>
      </c>
      <c r="L9">
        <v>27.09</v>
      </c>
      <c r="M9">
        <v>27.19</v>
      </c>
      <c r="N9">
        <v>0.7</v>
      </c>
      <c r="O9">
        <v>1</v>
      </c>
      <c r="P9">
        <v>911281920</v>
      </c>
      <c r="Q9">
        <v>27.19</v>
      </c>
      <c r="R9">
        <v>1</v>
      </c>
      <c r="S9">
        <v>17344428783.360001</v>
      </c>
      <c r="T9">
        <v>12.68647625</v>
      </c>
      <c r="U9">
        <v>12.68647625</v>
      </c>
      <c r="V9">
        <v>7.8824094279134449E-2</v>
      </c>
      <c r="W9">
        <v>4.5460952959792751E-2</v>
      </c>
      <c r="X9">
        <v>4.7614455380267581E-2</v>
      </c>
      <c r="Y9">
        <v>4.7614455380267581E-2</v>
      </c>
      <c r="Z9">
        <v>1.0473703756799699</v>
      </c>
      <c r="AA9">
        <v>27.09</v>
      </c>
      <c r="AB9">
        <v>58748.283949968871</v>
      </c>
      <c r="AC9">
        <v>2169</v>
      </c>
      <c r="AD9" t="s">
        <v>49</v>
      </c>
      <c r="AE9">
        <v>1</v>
      </c>
    </row>
    <row r="10" spans="1:31" x14ac:dyDescent="0.25">
      <c r="A10" t="s">
        <v>17</v>
      </c>
      <c r="B10" t="s">
        <v>37</v>
      </c>
      <c r="C10" t="s">
        <v>48</v>
      </c>
      <c r="D10">
        <v>105569412</v>
      </c>
      <c r="E10">
        <v>0.3</v>
      </c>
      <c r="F10">
        <v>1</v>
      </c>
      <c r="G10" t="s">
        <v>50</v>
      </c>
      <c r="H10">
        <v>12.736354110000001</v>
      </c>
      <c r="I10" t="s">
        <v>102</v>
      </c>
      <c r="J10" t="s">
        <v>112</v>
      </c>
      <c r="K10">
        <v>1</v>
      </c>
      <c r="L10">
        <v>2434</v>
      </c>
      <c r="M10">
        <v>2342</v>
      </c>
      <c r="N10">
        <v>0.3</v>
      </c>
      <c r="O10">
        <v>1</v>
      </c>
      <c r="P10">
        <v>105569412</v>
      </c>
      <c r="Q10">
        <v>2342</v>
      </c>
      <c r="R10">
        <v>1</v>
      </c>
      <c r="S10">
        <v>74173068871.199997</v>
      </c>
      <c r="T10">
        <v>12.736354110000001</v>
      </c>
      <c r="U10">
        <v>12.736354110000001</v>
      </c>
      <c r="V10">
        <v>7.85154049081319E-2</v>
      </c>
      <c r="W10">
        <v>4.5282919668035028E-2</v>
      </c>
      <c r="X10">
        <v>4.7427988584595758E-2</v>
      </c>
      <c r="Y10">
        <v>4.7427988584595758E-2</v>
      </c>
      <c r="Z10">
        <v>1.0473703756799699</v>
      </c>
      <c r="AA10">
        <v>2434</v>
      </c>
      <c r="AB10">
        <v>58518.215073366562</v>
      </c>
      <c r="AC10">
        <v>24</v>
      </c>
      <c r="AD10" t="s">
        <v>49</v>
      </c>
      <c r="AE10">
        <v>1</v>
      </c>
    </row>
    <row r="11" spans="1:31" x14ac:dyDescent="0.25">
      <c r="A11" t="s">
        <v>26</v>
      </c>
      <c r="B11" t="s">
        <v>46</v>
      </c>
      <c r="C11" t="s">
        <v>48</v>
      </c>
      <c r="D11">
        <v>60738823</v>
      </c>
      <c r="E11">
        <v>0.95</v>
      </c>
      <c r="F11">
        <v>1</v>
      </c>
      <c r="G11" t="s">
        <v>50</v>
      </c>
      <c r="H11">
        <v>12.9357375</v>
      </c>
      <c r="I11" t="s">
        <v>103</v>
      </c>
      <c r="J11" t="s">
        <v>113</v>
      </c>
      <c r="K11">
        <v>1</v>
      </c>
      <c r="L11">
        <v>88.76</v>
      </c>
      <c r="M11">
        <v>83.68</v>
      </c>
      <c r="N11">
        <v>0.95</v>
      </c>
      <c r="O11">
        <v>1</v>
      </c>
      <c r="P11">
        <v>60738823</v>
      </c>
      <c r="Q11">
        <v>83.68</v>
      </c>
      <c r="R11">
        <v>1</v>
      </c>
      <c r="S11">
        <v>4828493473.2080002</v>
      </c>
      <c r="T11">
        <v>12.9357375</v>
      </c>
      <c r="U11">
        <v>12.9357375</v>
      </c>
      <c r="V11">
        <v>7.7305217425755579E-2</v>
      </c>
      <c r="W11">
        <v>4.4584956986548137E-2</v>
      </c>
      <c r="X11">
        <v>4.6696963148676239E-2</v>
      </c>
      <c r="Y11">
        <v>4.6696963148676239E-2</v>
      </c>
      <c r="Z11">
        <v>1.0473703756799699</v>
      </c>
      <c r="AA11">
        <v>88.76</v>
      </c>
      <c r="AB11">
        <v>57616.251803156651</v>
      </c>
      <c r="AC11">
        <v>649</v>
      </c>
      <c r="AD11" t="s">
        <v>49</v>
      </c>
      <c r="AE11">
        <v>1</v>
      </c>
    </row>
    <row r="12" spans="1:31" x14ac:dyDescent="0.25">
      <c r="A12" t="s">
        <v>13</v>
      </c>
      <c r="B12" t="s">
        <v>33</v>
      </c>
      <c r="C12" t="s">
        <v>48</v>
      </c>
      <c r="D12">
        <v>1338435363</v>
      </c>
      <c r="E12">
        <v>0.5</v>
      </c>
      <c r="F12">
        <v>1</v>
      </c>
      <c r="G12" t="s">
        <v>50</v>
      </c>
      <c r="H12">
        <v>13.22686</v>
      </c>
      <c r="I12" t="s">
        <v>102</v>
      </c>
      <c r="J12" t="s">
        <v>114</v>
      </c>
      <c r="K12">
        <v>1</v>
      </c>
      <c r="L12">
        <v>31.69</v>
      </c>
      <c r="M12">
        <v>31.21</v>
      </c>
      <c r="N12">
        <v>0.5</v>
      </c>
      <c r="O12">
        <v>1</v>
      </c>
      <c r="P12">
        <v>1338435363</v>
      </c>
      <c r="Q12">
        <v>31.21</v>
      </c>
      <c r="R12">
        <v>1</v>
      </c>
      <c r="S12">
        <v>20886283839.615002</v>
      </c>
      <c r="T12">
        <v>13.22686</v>
      </c>
      <c r="U12">
        <v>13.22686</v>
      </c>
      <c r="V12">
        <v>7.560373361478083E-2</v>
      </c>
      <c r="W12">
        <v>4.3603644404399677E-2</v>
      </c>
      <c r="X12">
        <v>4.566916542085192E-2</v>
      </c>
      <c r="Y12">
        <v>4.566916542085192E-2</v>
      </c>
      <c r="Z12">
        <v>1.0473703756799699</v>
      </c>
      <c r="AA12">
        <v>31.69</v>
      </c>
      <c r="AB12">
        <v>56348.121100513366</v>
      </c>
      <c r="AC12">
        <v>1778</v>
      </c>
      <c r="AD12" t="s">
        <v>49</v>
      </c>
      <c r="AE12">
        <v>1</v>
      </c>
    </row>
    <row r="13" spans="1:31" x14ac:dyDescent="0.25">
      <c r="A13" t="s">
        <v>9</v>
      </c>
      <c r="B13" t="s">
        <v>29</v>
      </c>
      <c r="C13" t="s">
        <v>48</v>
      </c>
      <c r="D13">
        <v>578131063</v>
      </c>
      <c r="E13">
        <v>1</v>
      </c>
      <c r="F13">
        <v>1</v>
      </c>
      <c r="G13" t="s">
        <v>50</v>
      </c>
      <c r="H13">
        <v>13.22963375</v>
      </c>
      <c r="I13" t="s">
        <v>102</v>
      </c>
      <c r="J13" t="s">
        <v>115</v>
      </c>
      <c r="K13">
        <v>1</v>
      </c>
      <c r="L13">
        <v>176.92</v>
      </c>
      <c r="M13">
        <v>175.02</v>
      </c>
      <c r="N13">
        <v>1</v>
      </c>
      <c r="O13">
        <v>1</v>
      </c>
      <c r="P13">
        <v>578131063</v>
      </c>
      <c r="Q13">
        <v>175.02</v>
      </c>
      <c r="R13">
        <v>1</v>
      </c>
      <c r="S13">
        <v>101184498646.25999</v>
      </c>
      <c r="T13">
        <v>13.22963375</v>
      </c>
      <c r="U13">
        <v>13.22963375</v>
      </c>
      <c r="V13">
        <v>7.5587882393191724E-2</v>
      </c>
      <c r="W13">
        <v>4.3594502381955808E-2</v>
      </c>
      <c r="X13">
        <v>4.5659590337370409E-2</v>
      </c>
      <c r="Y13">
        <v>4.5659590337370409E-2</v>
      </c>
      <c r="Z13">
        <v>1.0473703756799699</v>
      </c>
      <c r="AA13">
        <v>176.92</v>
      </c>
      <c r="AB13">
        <v>56336.307047013783</v>
      </c>
      <c r="AC13">
        <v>318</v>
      </c>
      <c r="AD13" t="s">
        <v>49</v>
      </c>
      <c r="AE13">
        <v>1</v>
      </c>
    </row>
    <row r="14" spans="1:31" x14ac:dyDescent="0.25">
      <c r="A14" t="s">
        <v>20</v>
      </c>
      <c r="B14" t="s">
        <v>40</v>
      </c>
      <c r="C14" t="s">
        <v>48</v>
      </c>
      <c r="D14">
        <v>500141700</v>
      </c>
      <c r="E14">
        <v>0.5</v>
      </c>
      <c r="F14">
        <v>1</v>
      </c>
      <c r="G14" t="s">
        <v>50</v>
      </c>
      <c r="H14">
        <v>13.88918688</v>
      </c>
      <c r="I14" t="s">
        <v>103</v>
      </c>
      <c r="J14" t="s">
        <v>116</v>
      </c>
      <c r="K14">
        <v>1</v>
      </c>
      <c r="L14">
        <v>487.85</v>
      </c>
      <c r="M14">
        <v>477.35</v>
      </c>
      <c r="N14">
        <v>0.5</v>
      </c>
      <c r="O14">
        <v>1</v>
      </c>
      <c r="P14">
        <v>500141700</v>
      </c>
      <c r="Q14">
        <v>477.35</v>
      </c>
      <c r="R14">
        <v>1</v>
      </c>
      <c r="S14">
        <v>119371320247.5</v>
      </c>
      <c r="T14">
        <v>13.88918688</v>
      </c>
      <c r="U14">
        <v>13.88918688</v>
      </c>
      <c r="V14">
        <v>7.1998455247223231E-2</v>
      </c>
      <c r="W14">
        <v>4.152433868229282E-2</v>
      </c>
      <c r="X14">
        <v>4.3491362205535337E-2</v>
      </c>
      <c r="Y14">
        <v>4.3491362205535337E-2</v>
      </c>
      <c r="Z14">
        <v>1.0473703756799699</v>
      </c>
      <c r="AA14">
        <v>487.85</v>
      </c>
      <c r="AB14">
        <v>53661.075734588732</v>
      </c>
      <c r="AC14">
        <v>110</v>
      </c>
      <c r="AD14" t="s">
        <v>49</v>
      </c>
      <c r="AE14">
        <v>1</v>
      </c>
    </row>
    <row r="15" spans="1:31" x14ac:dyDescent="0.25">
      <c r="A15" t="s">
        <v>14</v>
      </c>
      <c r="B15" t="s">
        <v>34</v>
      </c>
      <c r="C15" t="s">
        <v>48</v>
      </c>
      <c r="D15">
        <v>249588059</v>
      </c>
      <c r="E15">
        <v>1</v>
      </c>
      <c r="F15">
        <v>1</v>
      </c>
      <c r="G15" t="s">
        <v>50</v>
      </c>
      <c r="H15">
        <v>14.75429063</v>
      </c>
      <c r="I15" t="s">
        <v>102</v>
      </c>
      <c r="J15" t="s">
        <v>117</v>
      </c>
      <c r="K15">
        <v>1</v>
      </c>
      <c r="L15">
        <v>27.37</v>
      </c>
      <c r="M15">
        <v>26.8</v>
      </c>
      <c r="N15">
        <v>1</v>
      </c>
      <c r="O15">
        <v>1</v>
      </c>
      <c r="P15">
        <v>249588059</v>
      </c>
      <c r="Q15">
        <v>26.8</v>
      </c>
      <c r="R15">
        <v>1</v>
      </c>
      <c r="S15">
        <v>6688959981.1999998</v>
      </c>
      <c r="T15">
        <v>14.75429063</v>
      </c>
      <c r="U15">
        <v>14.75429063</v>
      </c>
      <c r="V15">
        <v>6.7776894537152008E-2</v>
      </c>
      <c r="W15">
        <v>3.9089598713345802E-2</v>
      </c>
      <c r="X15">
        <v>4.0941287689576257E-2</v>
      </c>
      <c r="Y15">
        <v>4.0941287689576257E-2</v>
      </c>
      <c r="Z15">
        <v>1.0473703756799699</v>
      </c>
      <c r="AA15">
        <v>27.37</v>
      </c>
      <c r="AB15">
        <v>50514.709771549104</v>
      </c>
      <c r="AC15">
        <v>1846</v>
      </c>
      <c r="AD15" t="s">
        <v>49</v>
      </c>
      <c r="AE15">
        <v>1</v>
      </c>
    </row>
    <row r="16" spans="1:31" x14ac:dyDescent="0.25">
      <c r="A16" t="s">
        <v>19</v>
      </c>
      <c r="B16" t="s">
        <v>39</v>
      </c>
      <c r="C16" t="s">
        <v>48</v>
      </c>
      <c r="D16">
        <v>262245733</v>
      </c>
      <c r="E16">
        <v>1</v>
      </c>
      <c r="F16">
        <v>1</v>
      </c>
      <c r="G16" t="s">
        <v>50</v>
      </c>
      <c r="H16">
        <v>15.02020063</v>
      </c>
      <c r="I16" t="s">
        <v>102</v>
      </c>
      <c r="J16" t="s">
        <v>118</v>
      </c>
      <c r="K16">
        <v>1</v>
      </c>
      <c r="L16">
        <v>113.75</v>
      </c>
      <c r="M16">
        <v>112</v>
      </c>
      <c r="N16">
        <v>1</v>
      </c>
      <c r="O16">
        <v>1</v>
      </c>
      <c r="P16">
        <v>262245733</v>
      </c>
      <c r="Q16">
        <v>112</v>
      </c>
      <c r="R16">
        <v>1</v>
      </c>
      <c r="S16">
        <v>29371522096</v>
      </c>
      <c r="T16">
        <v>15.02020063</v>
      </c>
      <c r="U16">
        <v>15.02020063</v>
      </c>
      <c r="V16">
        <v>6.6577006834561844E-2</v>
      </c>
      <c r="W16">
        <v>3.8397576319643197E-2</v>
      </c>
      <c r="X16">
        <v>4.0216483935105032E-2</v>
      </c>
      <c r="Y16">
        <v>4.0216483935105032E-2</v>
      </c>
      <c r="Z16">
        <v>1.0473703756799699</v>
      </c>
      <c r="AA16">
        <v>113.75</v>
      </c>
      <c r="AB16">
        <v>49620.423016915207</v>
      </c>
      <c r="AC16">
        <v>436</v>
      </c>
      <c r="AD16" t="s">
        <v>49</v>
      </c>
      <c r="AE16">
        <v>1</v>
      </c>
    </row>
    <row r="17" spans="1:31" x14ac:dyDescent="0.25">
      <c r="A17" t="s">
        <v>16</v>
      </c>
      <c r="B17" t="s">
        <v>36</v>
      </c>
      <c r="C17" t="s">
        <v>48</v>
      </c>
      <c r="D17">
        <v>192981183</v>
      </c>
      <c r="E17">
        <v>0.65</v>
      </c>
      <c r="F17">
        <v>1</v>
      </c>
      <c r="G17" t="s">
        <v>50</v>
      </c>
      <c r="H17">
        <v>15.154321250000001</v>
      </c>
      <c r="I17" t="s">
        <v>102</v>
      </c>
      <c r="J17" t="s">
        <v>119</v>
      </c>
      <c r="K17">
        <v>1</v>
      </c>
      <c r="L17">
        <v>59.7</v>
      </c>
      <c r="M17">
        <v>60.84</v>
      </c>
      <c r="N17">
        <v>0.65</v>
      </c>
      <c r="O17">
        <v>1</v>
      </c>
      <c r="P17">
        <v>192981183</v>
      </c>
      <c r="Q17">
        <v>60.84</v>
      </c>
      <c r="R17">
        <v>1</v>
      </c>
      <c r="S17">
        <v>7631633862.9180002</v>
      </c>
      <c r="T17">
        <v>15.154321250000001</v>
      </c>
      <c r="U17">
        <v>15.154321250000001</v>
      </c>
      <c r="V17">
        <v>6.5987778898378577E-2</v>
      </c>
      <c r="W17">
        <v>3.8057745412172647E-2</v>
      </c>
      <c r="X17">
        <v>3.9860555109879917E-2</v>
      </c>
      <c r="Y17">
        <v>3.9860555109879917E-2</v>
      </c>
      <c r="Z17">
        <v>1.0473703756799699</v>
      </c>
      <c r="AA17">
        <v>59.7</v>
      </c>
      <c r="AB17">
        <v>49181.266304456643</v>
      </c>
      <c r="AC17">
        <v>824</v>
      </c>
      <c r="AD17" t="s">
        <v>49</v>
      </c>
      <c r="AE17">
        <v>1</v>
      </c>
    </row>
    <row r="18" spans="1:31" x14ac:dyDescent="0.25">
      <c r="A18" t="s">
        <v>8</v>
      </c>
      <c r="B18" t="s">
        <v>28</v>
      </c>
      <c r="C18" t="s">
        <v>48</v>
      </c>
      <c r="D18">
        <v>243622860</v>
      </c>
      <c r="E18">
        <v>0.85</v>
      </c>
      <c r="F18">
        <v>1</v>
      </c>
      <c r="G18" t="s">
        <v>50</v>
      </c>
      <c r="H18">
        <v>16.260713750000001</v>
      </c>
      <c r="I18" t="s">
        <v>102</v>
      </c>
      <c r="J18" t="s">
        <v>120</v>
      </c>
      <c r="K18">
        <v>1</v>
      </c>
      <c r="L18">
        <v>47.55</v>
      </c>
      <c r="M18">
        <v>46.04</v>
      </c>
      <c r="N18">
        <v>0.85</v>
      </c>
      <c r="O18">
        <v>1</v>
      </c>
      <c r="P18">
        <v>243622860</v>
      </c>
      <c r="Q18">
        <v>46.04</v>
      </c>
      <c r="R18">
        <v>1</v>
      </c>
      <c r="S18">
        <v>9533937003.2399998</v>
      </c>
      <c r="T18">
        <v>16.260713750000001</v>
      </c>
      <c r="U18">
        <v>16.260713750000001</v>
      </c>
      <c r="V18">
        <v>6.1497915489718273E-2</v>
      </c>
      <c r="W18">
        <v>3.5468264732646061E-2</v>
      </c>
      <c r="X18">
        <v>3.7148409757748142E-2</v>
      </c>
      <c r="Y18">
        <v>3.7148409757748142E-2</v>
      </c>
      <c r="Z18">
        <v>1.0473703756799699</v>
      </c>
      <c r="AA18">
        <v>47.55</v>
      </c>
      <c r="AB18">
        <v>45834.932003494388</v>
      </c>
      <c r="AC18">
        <v>964</v>
      </c>
      <c r="AD18" t="s">
        <v>49</v>
      </c>
      <c r="AE18">
        <v>1</v>
      </c>
    </row>
    <row r="19" spans="1:31" x14ac:dyDescent="0.25">
      <c r="A19" t="s">
        <v>10</v>
      </c>
      <c r="B19" t="s">
        <v>30</v>
      </c>
      <c r="C19" t="s">
        <v>48</v>
      </c>
      <c r="D19">
        <v>2200619258</v>
      </c>
      <c r="E19">
        <v>0.85</v>
      </c>
      <c r="F19">
        <v>1</v>
      </c>
      <c r="G19" t="s">
        <v>50</v>
      </c>
      <c r="H19">
        <v>16.28868125</v>
      </c>
      <c r="I19" t="s">
        <v>102</v>
      </c>
      <c r="J19" t="s">
        <v>121</v>
      </c>
      <c r="K19">
        <v>1</v>
      </c>
      <c r="L19">
        <v>42.05</v>
      </c>
      <c r="M19">
        <v>41</v>
      </c>
      <c r="N19">
        <v>0.85</v>
      </c>
      <c r="O19">
        <v>1</v>
      </c>
      <c r="P19">
        <v>2200619258</v>
      </c>
      <c r="Q19">
        <v>41</v>
      </c>
      <c r="R19">
        <v>1</v>
      </c>
      <c r="S19">
        <v>76691581141.300003</v>
      </c>
      <c r="T19">
        <v>16.28868125</v>
      </c>
      <c r="U19">
        <v>16.28868125</v>
      </c>
      <c r="V19">
        <v>6.1392324194446367E-2</v>
      </c>
      <c r="W19">
        <v>3.5407366082922033E-2</v>
      </c>
      <c r="X19">
        <v>3.7084626316108267E-2</v>
      </c>
      <c r="Y19">
        <v>3.7084626316108267E-2</v>
      </c>
      <c r="Z19">
        <v>1.0473703756799699</v>
      </c>
      <c r="AA19">
        <v>42.05</v>
      </c>
      <c r="AB19">
        <v>45756.233891527358</v>
      </c>
      <c r="AC19">
        <v>1088</v>
      </c>
      <c r="AD19" t="s">
        <v>49</v>
      </c>
      <c r="AE19">
        <v>1</v>
      </c>
    </row>
    <row r="20" spans="1:31" x14ac:dyDescent="0.25">
      <c r="A20" t="s">
        <v>15</v>
      </c>
      <c r="B20" t="s">
        <v>35</v>
      </c>
      <c r="C20" t="s">
        <v>48</v>
      </c>
      <c r="D20">
        <v>457318291</v>
      </c>
      <c r="E20">
        <v>0.7</v>
      </c>
      <c r="F20">
        <v>1</v>
      </c>
      <c r="G20" t="s">
        <v>50</v>
      </c>
      <c r="H20">
        <v>16.89364531</v>
      </c>
      <c r="I20" t="s">
        <v>102</v>
      </c>
      <c r="J20" t="s">
        <v>122</v>
      </c>
      <c r="K20">
        <v>1</v>
      </c>
      <c r="L20">
        <v>252.9</v>
      </c>
      <c r="M20">
        <v>233.4</v>
      </c>
      <c r="N20">
        <v>0.7</v>
      </c>
      <c r="O20">
        <v>1</v>
      </c>
      <c r="P20">
        <v>457318291</v>
      </c>
      <c r="Q20">
        <v>233.4</v>
      </c>
      <c r="R20">
        <v>1</v>
      </c>
      <c r="S20">
        <v>74716662383.580002</v>
      </c>
      <c r="T20">
        <v>16.89364531</v>
      </c>
      <c r="U20">
        <v>16.89364531</v>
      </c>
      <c r="V20">
        <v>5.919385553857115E-2</v>
      </c>
      <c r="W20">
        <v>3.4139422809201743E-2</v>
      </c>
      <c r="X20">
        <v>3.575662009317096E-2</v>
      </c>
      <c r="Y20">
        <v>3.575662009317096E-2</v>
      </c>
      <c r="Z20">
        <v>1.0473703756799699</v>
      </c>
      <c r="AA20">
        <v>252.9</v>
      </c>
      <c r="AB20">
        <v>44117.696055709137</v>
      </c>
      <c r="AC20">
        <v>174</v>
      </c>
      <c r="AD20" t="s">
        <v>49</v>
      </c>
      <c r="AE20">
        <v>1</v>
      </c>
    </row>
    <row r="21" spans="1:31" x14ac:dyDescent="0.25">
      <c r="A21" t="s">
        <v>24</v>
      </c>
      <c r="B21" t="s">
        <v>44</v>
      </c>
      <c r="C21" t="s">
        <v>48</v>
      </c>
      <c r="D21">
        <v>812035548</v>
      </c>
      <c r="E21">
        <v>0.9</v>
      </c>
      <c r="F21">
        <v>1</v>
      </c>
      <c r="G21" t="s">
        <v>50</v>
      </c>
      <c r="H21">
        <v>17.771862500000001</v>
      </c>
      <c r="I21" t="s">
        <v>102</v>
      </c>
      <c r="J21" t="s">
        <v>123</v>
      </c>
      <c r="K21">
        <v>1</v>
      </c>
      <c r="L21">
        <v>52</v>
      </c>
      <c r="M21">
        <v>48.58</v>
      </c>
      <c r="N21">
        <v>0.9</v>
      </c>
      <c r="O21">
        <v>1</v>
      </c>
      <c r="P21">
        <v>812035548</v>
      </c>
      <c r="Q21">
        <v>48.58</v>
      </c>
      <c r="R21">
        <v>1</v>
      </c>
      <c r="S21">
        <v>35503818229.655998</v>
      </c>
      <c r="T21">
        <v>17.771862500000001</v>
      </c>
      <c r="U21">
        <v>17.771862500000001</v>
      </c>
      <c r="V21">
        <v>5.6268722538225797E-2</v>
      </c>
      <c r="W21">
        <v>3.2452383650097331E-2</v>
      </c>
      <c r="X21">
        <v>3.3989665255312961E-2</v>
      </c>
      <c r="Y21">
        <v>3.3989665255312961E-2</v>
      </c>
      <c r="Z21">
        <v>1.0473703756799699</v>
      </c>
      <c r="AA21">
        <v>52</v>
      </c>
      <c r="AB21">
        <v>41937.568955394301</v>
      </c>
      <c r="AC21">
        <v>806</v>
      </c>
      <c r="AD21" t="s">
        <v>49</v>
      </c>
      <c r="AE2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41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76</v>
      </c>
      <c r="C1" s="1" t="s">
        <v>2</v>
      </c>
      <c r="D1" s="1" t="s">
        <v>77</v>
      </c>
      <c r="E1" s="1" t="s">
        <v>4</v>
      </c>
      <c r="F1" s="1" t="s">
        <v>78</v>
      </c>
      <c r="G1" s="1" t="s">
        <v>7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</row>
    <row r="2" spans="1:20" x14ac:dyDescent="0.25">
      <c r="A2" t="s">
        <v>27</v>
      </c>
      <c r="B2" t="s">
        <v>47</v>
      </c>
      <c r="C2" t="s">
        <v>48</v>
      </c>
      <c r="D2">
        <v>139364104</v>
      </c>
      <c r="E2">
        <v>0.85</v>
      </c>
      <c r="F2">
        <v>1</v>
      </c>
      <c r="G2" t="s">
        <v>50</v>
      </c>
      <c r="H2">
        <v>4.0989218799999998</v>
      </c>
      <c r="I2" t="s">
        <v>102</v>
      </c>
      <c r="J2" t="s">
        <v>104</v>
      </c>
      <c r="K2">
        <v>1</v>
      </c>
      <c r="L2">
        <v>80.540000000000006</v>
      </c>
      <c r="M2">
        <v>79.84</v>
      </c>
      <c r="N2">
        <v>0.85</v>
      </c>
      <c r="O2">
        <v>1</v>
      </c>
      <c r="P2">
        <v>139364104</v>
      </c>
      <c r="Q2">
        <v>79.84</v>
      </c>
      <c r="R2">
        <v>1</v>
      </c>
      <c r="S2">
        <v>9457805553.855999</v>
      </c>
      <c r="T2">
        <v>4.0989218799999998</v>
      </c>
    </row>
    <row r="3" spans="1:20" x14ac:dyDescent="0.25">
      <c r="A3" t="s">
        <v>12</v>
      </c>
      <c r="B3" t="s">
        <v>32</v>
      </c>
      <c r="C3" t="s">
        <v>48</v>
      </c>
      <c r="D3">
        <v>172608113</v>
      </c>
      <c r="E3">
        <v>0.9</v>
      </c>
      <c r="F3">
        <v>1</v>
      </c>
      <c r="G3" t="s">
        <v>50</v>
      </c>
      <c r="H3">
        <v>7.5856712499999999</v>
      </c>
      <c r="I3" t="s">
        <v>102</v>
      </c>
      <c r="J3" t="s">
        <v>105</v>
      </c>
      <c r="K3">
        <v>1</v>
      </c>
      <c r="L3">
        <v>145.25</v>
      </c>
      <c r="M3">
        <v>145.25</v>
      </c>
      <c r="N3">
        <v>0.9</v>
      </c>
      <c r="O3">
        <v>1</v>
      </c>
      <c r="P3">
        <v>172608113</v>
      </c>
      <c r="Q3">
        <v>145.25</v>
      </c>
      <c r="R3">
        <v>1</v>
      </c>
      <c r="S3">
        <v>22564195571.924999</v>
      </c>
      <c r="T3">
        <v>7.5856712499999999</v>
      </c>
    </row>
    <row r="4" spans="1:20" x14ac:dyDescent="0.25">
      <c r="A4" t="s">
        <v>23</v>
      </c>
      <c r="B4" t="s">
        <v>43</v>
      </c>
      <c r="C4" t="s">
        <v>48</v>
      </c>
      <c r="D4">
        <v>575627026</v>
      </c>
      <c r="E4">
        <v>1</v>
      </c>
      <c r="F4">
        <v>1</v>
      </c>
      <c r="G4" t="s">
        <v>50</v>
      </c>
      <c r="H4">
        <v>9.8271995000000008</v>
      </c>
      <c r="I4" t="s">
        <v>102</v>
      </c>
      <c r="J4" t="s">
        <v>106</v>
      </c>
      <c r="K4">
        <v>1</v>
      </c>
      <c r="L4">
        <v>227.7</v>
      </c>
      <c r="M4">
        <v>221.9</v>
      </c>
      <c r="N4">
        <v>1</v>
      </c>
      <c r="O4">
        <v>1</v>
      </c>
      <c r="P4">
        <v>575627026</v>
      </c>
      <c r="Q4">
        <v>221.9</v>
      </c>
      <c r="R4">
        <v>1</v>
      </c>
      <c r="S4">
        <v>127731637069.39999</v>
      </c>
      <c r="T4">
        <v>9.8271995000000008</v>
      </c>
    </row>
    <row r="5" spans="1:20" x14ac:dyDescent="0.25">
      <c r="A5" t="s">
        <v>22</v>
      </c>
      <c r="B5" t="s">
        <v>42</v>
      </c>
      <c r="C5" t="s">
        <v>48</v>
      </c>
      <c r="D5">
        <v>254311860</v>
      </c>
      <c r="E5">
        <v>0.9</v>
      </c>
      <c r="F5">
        <v>1</v>
      </c>
      <c r="G5" t="s">
        <v>50</v>
      </c>
      <c r="H5">
        <v>10.106547320000001</v>
      </c>
      <c r="I5" t="s">
        <v>102</v>
      </c>
      <c r="J5" t="s">
        <v>107</v>
      </c>
      <c r="K5">
        <v>1</v>
      </c>
      <c r="L5">
        <v>88.84</v>
      </c>
      <c r="M5">
        <v>90.12</v>
      </c>
      <c r="N5">
        <v>0.9</v>
      </c>
      <c r="O5">
        <v>1</v>
      </c>
      <c r="P5">
        <v>254311860</v>
      </c>
      <c r="Q5">
        <v>90.12</v>
      </c>
      <c r="R5">
        <v>1</v>
      </c>
      <c r="S5">
        <v>20626726340.880001</v>
      </c>
      <c r="T5">
        <v>10.106547320000001</v>
      </c>
    </row>
    <row r="6" spans="1:20" x14ac:dyDescent="0.25">
      <c r="A6" t="s">
        <v>11</v>
      </c>
      <c r="B6" t="s">
        <v>31</v>
      </c>
      <c r="C6" t="s">
        <v>48</v>
      </c>
      <c r="D6">
        <v>453871520</v>
      </c>
      <c r="E6">
        <v>0.75</v>
      </c>
      <c r="F6">
        <v>1</v>
      </c>
      <c r="G6" t="s">
        <v>50</v>
      </c>
      <c r="H6">
        <v>10.569800000000001</v>
      </c>
      <c r="I6" t="s">
        <v>102</v>
      </c>
      <c r="J6" t="s">
        <v>108</v>
      </c>
      <c r="K6">
        <v>1</v>
      </c>
      <c r="L6">
        <v>27.9</v>
      </c>
      <c r="M6">
        <v>27.98</v>
      </c>
      <c r="N6">
        <v>0.75</v>
      </c>
      <c r="O6">
        <v>1</v>
      </c>
      <c r="P6">
        <v>453871520</v>
      </c>
      <c r="Q6">
        <v>27.98</v>
      </c>
      <c r="R6">
        <v>1</v>
      </c>
      <c r="S6">
        <v>9524493847.2000008</v>
      </c>
      <c r="T6">
        <v>10.569800000000001</v>
      </c>
    </row>
    <row r="7" spans="1:20" x14ac:dyDescent="0.25">
      <c r="A7" t="s">
        <v>21</v>
      </c>
      <c r="B7" t="s">
        <v>41</v>
      </c>
      <c r="C7" t="s">
        <v>48</v>
      </c>
      <c r="D7">
        <v>714958226</v>
      </c>
      <c r="E7">
        <v>1</v>
      </c>
      <c r="F7">
        <v>1</v>
      </c>
      <c r="G7" t="s">
        <v>50</v>
      </c>
      <c r="H7">
        <v>11.559792229999999</v>
      </c>
      <c r="I7" t="s">
        <v>102</v>
      </c>
      <c r="J7" t="s">
        <v>109</v>
      </c>
      <c r="K7">
        <v>1</v>
      </c>
      <c r="L7">
        <v>32.22</v>
      </c>
      <c r="M7">
        <v>31.47</v>
      </c>
      <c r="N7">
        <v>1</v>
      </c>
      <c r="O7">
        <v>1</v>
      </c>
      <c r="P7">
        <v>714958226</v>
      </c>
      <c r="Q7">
        <v>31.47</v>
      </c>
      <c r="R7">
        <v>1</v>
      </c>
      <c r="S7">
        <v>22499735372.220001</v>
      </c>
      <c r="T7">
        <v>11.559792229999999</v>
      </c>
    </row>
    <row r="8" spans="1:20" x14ac:dyDescent="0.25">
      <c r="A8" t="s">
        <v>18</v>
      </c>
      <c r="B8" t="s">
        <v>38</v>
      </c>
      <c r="C8" t="s">
        <v>48</v>
      </c>
      <c r="D8">
        <v>123420778</v>
      </c>
      <c r="E8">
        <v>0.6</v>
      </c>
      <c r="F8">
        <v>1</v>
      </c>
      <c r="G8" t="s">
        <v>50</v>
      </c>
      <c r="H8">
        <v>12.540407500000001</v>
      </c>
      <c r="I8" t="s">
        <v>102</v>
      </c>
      <c r="J8" t="s">
        <v>110</v>
      </c>
      <c r="K8">
        <v>1</v>
      </c>
      <c r="L8">
        <v>199.8</v>
      </c>
      <c r="M8">
        <v>198.14</v>
      </c>
      <c r="N8">
        <v>0.6</v>
      </c>
      <c r="O8">
        <v>1</v>
      </c>
      <c r="P8">
        <v>123420778</v>
      </c>
      <c r="Q8">
        <v>198.14</v>
      </c>
      <c r="R8">
        <v>1</v>
      </c>
      <c r="S8">
        <v>14672755771.752001</v>
      </c>
      <c r="T8">
        <v>12.540407500000001</v>
      </c>
    </row>
    <row r="9" spans="1:20" x14ac:dyDescent="0.25">
      <c r="A9" t="s">
        <v>25</v>
      </c>
      <c r="B9" t="s">
        <v>45</v>
      </c>
      <c r="C9" t="s">
        <v>48</v>
      </c>
      <c r="D9">
        <v>911281920</v>
      </c>
      <c r="E9">
        <v>0.7</v>
      </c>
      <c r="F9">
        <v>1</v>
      </c>
      <c r="G9" t="s">
        <v>50</v>
      </c>
      <c r="H9">
        <v>12.68647625</v>
      </c>
      <c r="I9" t="s">
        <v>102</v>
      </c>
      <c r="J9" t="s">
        <v>111</v>
      </c>
      <c r="K9">
        <v>1</v>
      </c>
      <c r="L9">
        <v>27.09</v>
      </c>
      <c r="M9">
        <v>27.19</v>
      </c>
      <c r="N9">
        <v>0.7</v>
      </c>
      <c r="O9">
        <v>1</v>
      </c>
      <c r="P9">
        <v>911281920</v>
      </c>
      <c r="Q9">
        <v>27.19</v>
      </c>
      <c r="R9">
        <v>1</v>
      </c>
      <c r="S9">
        <v>17344428783.360001</v>
      </c>
      <c r="T9">
        <v>12.68647625</v>
      </c>
    </row>
    <row r="10" spans="1:20" x14ac:dyDescent="0.25">
      <c r="A10" t="s">
        <v>17</v>
      </c>
      <c r="B10" t="s">
        <v>37</v>
      </c>
      <c r="C10" t="s">
        <v>48</v>
      </c>
      <c r="D10">
        <v>105569412</v>
      </c>
      <c r="E10">
        <v>0.3</v>
      </c>
      <c r="F10">
        <v>1</v>
      </c>
      <c r="G10" t="s">
        <v>50</v>
      </c>
      <c r="H10">
        <v>12.736354110000001</v>
      </c>
      <c r="I10" t="s">
        <v>102</v>
      </c>
      <c r="J10" t="s">
        <v>112</v>
      </c>
      <c r="K10">
        <v>1</v>
      </c>
      <c r="L10">
        <v>2434</v>
      </c>
      <c r="M10">
        <v>2342</v>
      </c>
      <c r="N10">
        <v>0.3</v>
      </c>
      <c r="O10">
        <v>1</v>
      </c>
      <c r="P10">
        <v>105569412</v>
      </c>
      <c r="Q10">
        <v>2342</v>
      </c>
      <c r="R10">
        <v>1</v>
      </c>
      <c r="S10">
        <v>74173068871.199997</v>
      </c>
      <c r="T10">
        <v>12.736354110000001</v>
      </c>
    </row>
    <row r="11" spans="1:20" x14ac:dyDescent="0.25">
      <c r="A11" t="s">
        <v>26</v>
      </c>
      <c r="B11" t="s">
        <v>46</v>
      </c>
      <c r="C11" t="s">
        <v>48</v>
      </c>
      <c r="D11">
        <v>60738823</v>
      </c>
      <c r="E11">
        <v>0.95</v>
      </c>
      <c r="F11">
        <v>1</v>
      </c>
      <c r="G11" t="s">
        <v>50</v>
      </c>
      <c r="H11">
        <v>12.9357375</v>
      </c>
      <c r="I11" t="s">
        <v>103</v>
      </c>
      <c r="J11" t="s">
        <v>113</v>
      </c>
      <c r="K11">
        <v>1</v>
      </c>
      <c r="L11">
        <v>88.76</v>
      </c>
      <c r="M11">
        <v>83.68</v>
      </c>
      <c r="N11">
        <v>0.95</v>
      </c>
      <c r="O11">
        <v>1</v>
      </c>
      <c r="P11">
        <v>60738823</v>
      </c>
      <c r="Q11">
        <v>83.68</v>
      </c>
      <c r="R11">
        <v>1</v>
      </c>
      <c r="S11">
        <v>4828493473.2080002</v>
      </c>
      <c r="T11">
        <v>12.9357375</v>
      </c>
    </row>
    <row r="12" spans="1:20" x14ac:dyDescent="0.25">
      <c r="A12" t="s">
        <v>13</v>
      </c>
      <c r="B12" t="s">
        <v>33</v>
      </c>
      <c r="C12" t="s">
        <v>48</v>
      </c>
      <c r="D12">
        <v>1338435363</v>
      </c>
      <c r="E12">
        <v>0.5</v>
      </c>
      <c r="F12">
        <v>1</v>
      </c>
      <c r="G12" t="s">
        <v>50</v>
      </c>
      <c r="H12">
        <v>13.22686</v>
      </c>
      <c r="I12" t="s">
        <v>102</v>
      </c>
      <c r="J12" t="s">
        <v>114</v>
      </c>
      <c r="K12">
        <v>1</v>
      </c>
      <c r="L12">
        <v>31.69</v>
      </c>
      <c r="M12">
        <v>31.21</v>
      </c>
      <c r="N12">
        <v>0.5</v>
      </c>
      <c r="O12">
        <v>1</v>
      </c>
      <c r="P12">
        <v>1338435363</v>
      </c>
      <c r="Q12">
        <v>31.21</v>
      </c>
      <c r="R12">
        <v>1</v>
      </c>
      <c r="S12">
        <v>20886283839.615002</v>
      </c>
      <c r="T12">
        <v>13.22686</v>
      </c>
    </row>
    <row r="13" spans="1:20" x14ac:dyDescent="0.25">
      <c r="A13" t="s">
        <v>9</v>
      </c>
      <c r="B13" t="s">
        <v>29</v>
      </c>
      <c r="C13" t="s">
        <v>48</v>
      </c>
      <c r="D13">
        <v>578131063</v>
      </c>
      <c r="E13">
        <v>1</v>
      </c>
      <c r="F13">
        <v>1</v>
      </c>
      <c r="G13" t="s">
        <v>50</v>
      </c>
      <c r="H13">
        <v>13.22963375</v>
      </c>
      <c r="I13" t="s">
        <v>102</v>
      </c>
      <c r="J13" t="s">
        <v>115</v>
      </c>
      <c r="K13">
        <v>1</v>
      </c>
      <c r="L13">
        <v>176.92</v>
      </c>
      <c r="M13">
        <v>175.02</v>
      </c>
      <c r="N13">
        <v>1</v>
      </c>
      <c r="O13">
        <v>1</v>
      </c>
      <c r="P13">
        <v>578131063</v>
      </c>
      <c r="Q13">
        <v>175.02</v>
      </c>
      <c r="R13">
        <v>1</v>
      </c>
      <c r="S13">
        <v>101184498646.25999</v>
      </c>
      <c r="T13">
        <v>13.22963375</v>
      </c>
    </row>
    <row r="14" spans="1:20" x14ac:dyDescent="0.25">
      <c r="A14" t="s">
        <v>20</v>
      </c>
      <c r="B14" t="s">
        <v>40</v>
      </c>
      <c r="C14" t="s">
        <v>48</v>
      </c>
      <c r="D14">
        <v>500141700</v>
      </c>
      <c r="E14">
        <v>0.5</v>
      </c>
      <c r="F14">
        <v>1</v>
      </c>
      <c r="G14" t="s">
        <v>50</v>
      </c>
      <c r="H14">
        <v>13.88918688</v>
      </c>
      <c r="I14" t="s">
        <v>103</v>
      </c>
      <c r="J14" t="s">
        <v>116</v>
      </c>
      <c r="K14">
        <v>1</v>
      </c>
      <c r="L14">
        <v>487.85</v>
      </c>
      <c r="M14">
        <v>477.35</v>
      </c>
      <c r="N14">
        <v>0.5</v>
      </c>
      <c r="O14">
        <v>1</v>
      </c>
      <c r="P14">
        <v>500141700</v>
      </c>
      <c r="Q14">
        <v>477.35</v>
      </c>
      <c r="R14">
        <v>1</v>
      </c>
      <c r="S14">
        <v>119371320247.5</v>
      </c>
      <c r="T14">
        <v>13.88918688</v>
      </c>
    </row>
    <row r="15" spans="1:20" x14ac:dyDescent="0.25">
      <c r="A15" t="s">
        <v>14</v>
      </c>
      <c r="B15" t="s">
        <v>34</v>
      </c>
      <c r="C15" t="s">
        <v>48</v>
      </c>
      <c r="D15">
        <v>249588059</v>
      </c>
      <c r="E15">
        <v>1</v>
      </c>
      <c r="F15">
        <v>1</v>
      </c>
      <c r="G15" t="s">
        <v>50</v>
      </c>
      <c r="H15">
        <v>14.75429063</v>
      </c>
      <c r="I15" t="s">
        <v>102</v>
      </c>
      <c r="J15" t="s">
        <v>117</v>
      </c>
      <c r="K15">
        <v>1</v>
      </c>
      <c r="L15">
        <v>27.37</v>
      </c>
      <c r="M15">
        <v>26.8</v>
      </c>
      <c r="N15">
        <v>1</v>
      </c>
      <c r="O15">
        <v>1</v>
      </c>
      <c r="P15">
        <v>249588059</v>
      </c>
      <c r="Q15">
        <v>26.8</v>
      </c>
      <c r="R15">
        <v>1</v>
      </c>
      <c r="S15">
        <v>6688959981.1999998</v>
      </c>
      <c r="T15">
        <v>14.75429063</v>
      </c>
    </row>
    <row r="16" spans="1:20" x14ac:dyDescent="0.25">
      <c r="A16" t="s">
        <v>19</v>
      </c>
      <c r="B16" t="s">
        <v>39</v>
      </c>
      <c r="C16" t="s">
        <v>48</v>
      </c>
      <c r="D16">
        <v>262245733</v>
      </c>
      <c r="E16">
        <v>1</v>
      </c>
      <c r="F16">
        <v>1</v>
      </c>
      <c r="G16" t="s">
        <v>50</v>
      </c>
      <c r="H16">
        <v>15.02020063</v>
      </c>
      <c r="I16" t="s">
        <v>102</v>
      </c>
      <c r="J16" t="s">
        <v>118</v>
      </c>
      <c r="K16">
        <v>1</v>
      </c>
      <c r="L16">
        <v>113.75</v>
      </c>
      <c r="M16">
        <v>112</v>
      </c>
      <c r="N16">
        <v>1</v>
      </c>
      <c r="O16">
        <v>1</v>
      </c>
      <c r="P16">
        <v>262245733</v>
      </c>
      <c r="Q16">
        <v>112</v>
      </c>
      <c r="R16">
        <v>1</v>
      </c>
      <c r="S16">
        <v>29371522096</v>
      </c>
      <c r="T16">
        <v>15.02020063</v>
      </c>
    </row>
    <row r="17" spans="1:20" x14ac:dyDescent="0.25">
      <c r="A17" t="s">
        <v>16</v>
      </c>
      <c r="B17" t="s">
        <v>36</v>
      </c>
      <c r="C17" t="s">
        <v>48</v>
      </c>
      <c r="D17">
        <v>192981183</v>
      </c>
      <c r="E17">
        <v>0.65</v>
      </c>
      <c r="F17">
        <v>1</v>
      </c>
      <c r="G17" t="s">
        <v>50</v>
      </c>
      <c r="H17">
        <v>15.154321250000001</v>
      </c>
      <c r="I17" t="s">
        <v>102</v>
      </c>
      <c r="J17" t="s">
        <v>119</v>
      </c>
      <c r="K17">
        <v>1</v>
      </c>
      <c r="L17">
        <v>59.7</v>
      </c>
      <c r="M17">
        <v>60.84</v>
      </c>
      <c r="N17">
        <v>0.65</v>
      </c>
      <c r="O17">
        <v>1</v>
      </c>
      <c r="P17">
        <v>192981183</v>
      </c>
      <c r="Q17">
        <v>60.84</v>
      </c>
      <c r="R17">
        <v>1</v>
      </c>
      <c r="S17">
        <v>7631633862.9180002</v>
      </c>
      <c r="T17">
        <v>15.154321250000001</v>
      </c>
    </row>
    <row r="18" spans="1:20" x14ac:dyDescent="0.25">
      <c r="A18" t="s">
        <v>8</v>
      </c>
      <c r="B18" t="s">
        <v>28</v>
      </c>
      <c r="C18" t="s">
        <v>48</v>
      </c>
      <c r="D18">
        <v>243622860</v>
      </c>
      <c r="E18">
        <v>0.85</v>
      </c>
      <c r="F18">
        <v>1</v>
      </c>
      <c r="G18" t="s">
        <v>50</v>
      </c>
      <c r="H18">
        <v>16.260713750000001</v>
      </c>
      <c r="I18" t="s">
        <v>102</v>
      </c>
      <c r="J18" t="s">
        <v>120</v>
      </c>
      <c r="K18">
        <v>1</v>
      </c>
      <c r="L18">
        <v>47.55</v>
      </c>
      <c r="M18">
        <v>46.04</v>
      </c>
      <c r="N18">
        <v>0.85</v>
      </c>
      <c r="O18">
        <v>1</v>
      </c>
      <c r="P18">
        <v>243622860</v>
      </c>
      <c r="Q18">
        <v>46.04</v>
      </c>
      <c r="R18">
        <v>1</v>
      </c>
      <c r="S18">
        <v>9533937003.2399998</v>
      </c>
      <c r="T18">
        <v>16.260713750000001</v>
      </c>
    </row>
    <row r="19" spans="1:20" x14ac:dyDescent="0.25">
      <c r="A19" t="s">
        <v>10</v>
      </c>
      <c r="B19" t="s">
        <v>30</v>
      </c>
      <c r="C19" t="s">
        <v>48</v>
      </c>
      <c r="D19">
        <v>2200619258</v>
      </c>
      <c r="E19">
        <v>0.85</v>
      </c>
      <c r="F19">
        <v>1</v>
      </c>
      <c r="G19" t="s">
        <v>50</v>
      </c>
      <c r="H19">
        <v>16.28868125</v>
      </c>
      <c r="I19" t="s">
        <v>102</v>
      </c>
      <c r="J19" t="s">
        <v>121</v>
      </c>
      <c r="K19">
        <v>1</v>
      </c>
      <c r="L19">
        <v>42.05</v>
      </c>
      <c r="M19">
        <v>41</v>
      </c>
      <c r="N19">
        <v>0.85</v>
      </c>
      <c r="O19">
        <v>1</v>
      </c>
      <c r="P19">
        <v>2200619258</v>
      </c>
      <c r="Q19">
        <v>41</v>
      </c>
      <c r="R19">
        <v>1</v>
      </c>
      <c r="S19">
        <v>76691581141.300003</v>
      </c>
      <c r="T19">
        <v>16.28868125</v>
      </c>
    </row>
    <row r="20" spans="1:20" x14ac:dyDescent="0.25">
      <c r="A20" t="s">
        <v>15</v>
      </c>
      <c r="B20" t="s">
        <v>35</v>
      </c>
      <c r="C20" t="s">
        <v>48</v>
      </c>
      <c r="D20">
        <v>457318291</v>
      </c>
      <c r="E20">
        <v>0.7</v>
      </c>
      <c r="F20">
        <v>1</v>
      </c>
      <c r="G20" t="s">
        <v>50</v>
      </c>
      <c r="H20">
        <v>16.89364531</v>
      </c>
      <c r="I20" t="s">
        <v>102</v>
      </c>
      <c r="J20" t="s">
        <v>122</v>
      </c>
      <c r="K20">
        <v>1</v>
      </c>
      <c r="L20">
        <v>252.9</v>
      </c>
      <c r="M20">
        <v>233.4</v>
      </c>
      <c r="N20">
        <v>0.7</v>
      </c>
      <c r="O20">
        <v>1</v>
      </c>
      <c r="P20">
        <v>457318291</v>
      </c>
      <c r="Q20">
        <v>233.4</v>
      </c>
      <c r="R20">
        <v>1</v>
      </c>
      <c r="S20">
        <v>74716662383.580002</v>
      </c>
      <c r="T20">
        <v>16.89364531</v>
      </c>
    </row>
    <row r="21" spans="1:20" x14ac:dyDescent="0.25">
      <c r="A21" t="s">
        <v>24</v>
      </c>
      <c r="B21" t="s">
        <v>44</v>
      </c>
      <c r="C21" t="s">
        <v>48</v>
      </c>
      <c r="D21">
        <v>812035548</v>
      </c>
      <c r="E21">
        <v>0.9</v>
      </c>
      <c r="F21">
        <v>1</v>
      </c>
      <c r="G21" t="s">
        <v>50</v>
      </c>
      <c r="H21">
        <v>17.771862500000001</v>
      </c>
      <c r="I21" t="s">
        <v>102</v>
      </c>
      <c r="J21" t="s">
        <v>123</v>
      </c>
      <c r="K21">
        <v>1</v>
      </c>
      <c r="L21">
        <v>52</v>
      </c>
      <c r="M21">
        <v>48.58</v>
      </c>
      <c r="N21">
        <v>0.9</v>
      </c>
      <c r="O21">
        <v>1</v>
      </c>
      <c r="P21">
        <v>812035548</v>
      </c>
      <c r="Q21">
        <v>48.58</v>
      </c>
      <c r="R21">
        <v>1</v>
      </c>
      <c r="S21">
        <v>35503818229.655998</v>
      </c>
      <c r="T21">
        <v>17.771862500000001</v>
      </c>
    </row>
    <row r="22" spans="1:20" x14ac:dyDescent="0.25">
      <c r="A22" t="s">
        <v>57</v>
      </c>
      <c r="B22" t="s">
        <v>68</v>
      </c>
      <c r="C22" t="s">
        <v>48</v>
      </c>
      <c r="D22">
        <v>679553991</v>
      </c>
      <c r="E22">
        <v>0.95</v>
      </c>
      <c r="F22">
        <v>1</v>
      </c>
      <c r="G22" t="s">
        <v>50</v>
      </c>
      <c r="H22">
        <v>18.154221880000001</v>
      </c>
      <c r="I22" t="s">
        <v>102</v>
      </c>
      <c r="J22" t="s">
        <v>149</v>
      </c>
      <c r="K22">
        <v>1</v>
      </c>
      <c r="L22">
        <v>67.94</v>
      </c>
      <c r="M22">
        <v>69.08</v>
      </c>
      <c r="N22">
        <v>0.95</v>
      </c>
      <c r="O22">
        <v>1</v>
      </c>
      <c r="P22">
        <v>679553991</v>
      </c>
      <c r="Q22">
        <v>69.08</v>
      </c>
      <c r="R22">
        <v>1</v>
      </c>
      <c r="S22">
        <v>44596410213.365997</v>
      </c>
      <c r="T22">
        <v>18.154221880000001</v>
      </c>
    </row>
    <row r="23" spans="1:20" x14ac:dyDescent="0.25">
      <c r="A23" t="s">
        <v>124</v>
      </c>
      <c r="B23" t="s">
        <v>136</v>
      </c>
      <c r="C23" t="s">
        <v>48</v>
      </c>
      <c r="D23">
        <v>1268607152</v>
      </c>
      <c r="E23">
        <v>0.9</v>
      </c>
      <c r="F23">
        <v>1</v>
      </c>
      <c r="G23" t="s">
        <v>50</v>
      </c>
      <c r="H23">
        <v>18.71142313</v>
      </c>
      <c r="I23" t="s">
        <v>102</v>
      </c>
      <c r="J23" t="s">
        <v>150</v>
      </c>
      <c r="K23">
        <v>1</v>
      </c>
      <c r="L23">
        <v>83.32</v>
      </c>
      <c r="M23">
        <v>83.29</v>
      </c>
      <c r="N23">
        <v>0.9</v>
      </c>
      <c r="O23">
        <v>1</v>
      </c>
      <c r="P23">
        <v>1268607152</v>
      </c>
      <c r="Q23">
        <v>83.29</v>
      </c>
      <c r="R23">
        <v>1</v>
      </c>
      <c r="S23">
        <v>95096060721.072006</v>
      </c>
      <c r="T23">
        <v>18.71142313</v>
      </c>
    </row>
    <row r="24" spans="1:20" x14ac:dyDescent="0.25">
      <c r="A24" t="s">
        <v>125</v>
      </c>
      <c r="B24" t="s">
        <v>137</v>
      </c>
      <c r="C24" t="s">
        <v>48</v>
      </c>
      <c r="D24">
        <v>253328748</v>
      </c>
      <c r="E24">
        <v>0.8</v>
      </c>
      <c r="F24">
        <v>1</v>
      </c>
      <c r="G24" t="s">
        <v>50</v>
      </c>
      <c r="H24">
        <v>18.722922499999999</v>
      </c>
      <c r="I24" t="s">
        <v>102</v>
      </c>
      <c r="J24" t="s">
        <v>151</v>
      </c>
      <c r="K24">
        <v>1</v>
      </c>
      <c r="L24">
        <v>92.68</v>
      </c>
      <c r="M24">
        <v>89.76</v>
      </c>
      <c r="N24">
        <v>0.8</v>
      </c>
      <c r="O24">
        <v>1</v>
      </c>
      <c r="P24">
        <v>253328748</v>
      </c>
      <c r="Q24">
        <v>89.76</v>
      </c>
      <c r="R24">
        <v>1</v>
      </c>
      <c r="S24">
        <v>18191030736.383999</v>
      </c>
      <c r="T24">
        <v>18.722922499999999</v>
      </c>
    </row>
    <row r="25" spans="1:20" x14ac:dyDescent="0.25">
      <c r="A25" t="s">
        <v>126</v>
      </c>
      <c r="B25" t="s">
        <v>138</v>
      </c>
      <c r="C25" t="s">
        <v>48</v>
      </c>
      <c r="D25">
        <v>504005802</v>
      </c>
      <c r="E25">
        <v>0.9</v>
      </c>
      <c r="F25">
        <v>1</v>
      </c>
      <c r="G25" t="s">
        <v>50</v>
      </c>
      <c r="H25">
        <v>18.866023120000001</v>
      </c>
      <c r="I25" t="s">
        <v>102</v>
      </c>
      <c r="J25" t="s">
        <v>152</v>
      </c>
      <c r="K25">
        <v>1</v>
      </c>
      <c r="L25">
        <v>101.55</v>
      </c>
      <c r="M25">
        <v>97</v>
      </c>
      <c r="N25">
        <v>0.9</v>
      </c>
      <c r="O25">
        <v>1</v>
      </c>
      <c r="P25">
        <v>504005802</v>
      </c>
      <c r="Q25">
        <v>97</v>
      </c>
      <c r="R25">
        <v>1</v>
      </c>
      <c r="S25">
        <v>43999706514.599998</v>
      </c>
      <c r="T25">
        <v>18.866023120000001</v>
      </c>
    </row>
    <row r="26" spans="1:20" x14ac:dyDescent="0.25">
      <c r="A26" t="s">
        <v>60</v>
      </c>
      <c r="B26" t="s">
        <v>71</v>
      </c>
      <c r="C26" t="s">
        <v>48</v>
      </c>
      <c r="D26">
        <v>534955898</v>
      </c>
      <c r="E26">
        <v>0.45</v>
      </c>
      <c r="F26">
        <v>1</v>
      </c>
      <c r="G26" t="s">
        <v>50</v>
      </c>
      <c r="H26">
        <v>19.584248120000002</v>
      </c>
      <c r="I26" t="s">
        <v>102</v>
      </c>
      <c r="J26" t="s">
        <v>153</v>
      </c>
      <c r="K26">
        <v>1</v>
      </c>
      <c r="L26">
        <v>374.35</v>
      </c>
      <c r="M26">
        <v>369.95</v>
      </c>
      <c r="N26">
        <v>0.45</v>
      </c>
      <c r="O26">
        <v>1</v>
      </c>
      <c r="P26">
        <v>534955898</v>
      </c>
      <c r="Q26">
        <v>369.95</v>
      </c>
      <c r="R26">
        <v>1</v>
      </c>
      <c r="S26">
        <v>89058120509.294998</v>
      </c>
      <c r="T26">
        <v>19.584248120000002</v>
      </c>
    </row>
    <row r="27" spans="1:20" x14ac:dyDescent="0.25">
      <c r="A27" t="s">
        <v>56</v>
      </c>
      <c r="B27" t="s">
        <v>67</v>
      </c>
      <c r="C27" t="s">
        <v>48</v>
      </c>
      <c r="D27">
        <v>3025902350</v>
      </c>
      <c r="E27">
        <v>0.3</v>
      </c>
      <c r="F27">
        <v>1</v>
      </c>
      <c r="G27" t="s">
        <v>50</v>
      </c>
      <c r="H27">
        <v>19.71496625</v>
      </c>
      <c r="I27" t="s">
        <v>102</v>
      </c>
      <c r="J27" t="s">
        <v>154</v>
      </c>
      <c r="K27">
        <v>1</v>
      </c>
      <c r="L27">
        <v>16.399999999999999</v>
      </c>
      <c r="M27">
        <v>15.88</v>
      </c>
      <c r="N27">
        <v>0.3</v>
      </c>
      <c r="O27">
        <v>1</v>
      </c>
      <c r="P27">
        <v>3025902350</v>
      </c>
      <c r="Q27">
        <v>15.88</v>
      </c>
      <c r="R27">
        <v>1</v>
      </c>
      <c r="S27">
        <v>14415398795.4</v>
      </c>
      <c r="T27">
        <v>19.71496625</v>
      </c>
    </row>
    <row r="28" spans="1:20" x14ac:dyDescent="0.25">
      <c r="A28" t="s">
        <v>55</v>
      </c>
      <c r="B28" t="s">
        <v>66</v>
      </c>
      <c r="C28" t="s">
        <v>48</v>
      </c>
      <c r="D28">
        <v>677969188</v>
      </c>
      <c r="E28">
        <v>0.8</v>
      </c>
      <c r="F28">
        <v>1</v>
      </c>
      <c r="G28" t="s">
        <v>50</v>
      </c>
      <c r="H28">
        <v>20.37518438</v>
      </c>
      <c r="I28" t="s">
        <v>102</v>
      </c>
      <c r="J28" t="s">
        <v>155</v>
      </c>
      <c r="K28">
        <v>1</v>
      </c>
      <c r="L28">
        <v>12.47</v>
      </c>
      <c r="M28">
        <v>12.28</v>
      </c>
      <c r="N28">
        <v>0.8</v>
      </c>
      <c r="O28">
        <v>1</v>
      </c>
      <c r="P28">
        <v>677969188</v>
      </c>
      <c r="Q28">
        <v>12.28</v>
      </c>
      <c r="R28">
        <v>1</v>
      </c>
      <c r="S28">
        <v>6660369302.9119997</v>
      </c>
      <c r="T28">
        <v>20.37518438</v>
      </c>
    </row>
    <row r="29" spans="1:20" x14ac:dyDescent="0.25">
      <c r="A29" t="s">
        <v>54</v>
      </c>
      <c r="B29" t="s">
        <v>65</v>
      </c>
      <c r="C29" t="s">
        <v>48</v>
      </c>
      <c r="D29">
        <v>1130810671</v>
      </c>
      <c r="E29">
        <v>0.95</v>
      </c>
      <c r="F29">
        <v>1</v>
      </c>
      <c r="G29" t="s">
        <v>50</v>
      </c>
      <c r="H29">
        <v>20.990514999999998</v>
      </c>
      <c r="I29" t="s">
        <v>102</v>
      </c>
      <c r="J29" t="s">
        <v>156</v>
      </c>
      <c r="K29">
        <v>1</v>
      </c>
      <c r="L29">
        <v>78.87</v>
      </c>
      <c r="M29">
        <v>74.88</v>
      </c>
      <c r="N29">
        <v>0.95</v>
      </c>
      <c r="O29">
        <v>1</v>
      </c>
      <c r="P29">
        <v>1130810671</v>
      </c>
      <c r="Q29">
        <v>74.88</v>
      </c>
      <c r="R29">
        <v>1</v>
      </c>
      <c r="S29">
        <v>80441347892.255997</v>
      </c>
      <c r="T29">
        <v>20.990514999999998</v>
      </c>
    </row>
    <row r="30" spans="1:20" x14ac:dyDescent="0.25">
      <c r="A30" t="s">
        <v>127</v>
      </c>
      <c r="B30" t="s">
        <v>139</v>
      </c>
      <c r="C30" t="s">
        <v>48</v>
      </c>
      <c r="D30">
        <v>2660056599</v>
      </c>
      <c r="E30">
        <v>0.7</v>
      </c>
      <c r="F30">
        <v>1</v>
      </c>
      <c r="G30" t="s">
        <v>50</v>
      </c>
      <c r="H30">
        <v>21.600858129999999</v>
      </c>
      <c r="I30" t="s">
        <v>102</v>
      </c>
      <c r="J30" t="s">
        <v>157</v>
      </c>
      <c r="K30">
        <v>1</v>
      </c>
      <c r="L30">
        <v>13.105</v>
      </c>
      <c r="M30">
        <v>13.3</v>
      </c>
      <c r="N30">
        <v>0.7</v>
      </c>
      <c r="O30">
        <v>1</v>
      </c>
      <c r="P30">
        <v>2660056599</v>
      </c>
      <c r="Q30">
        <v>13.3</v>
      </c>
      <c r="R30">
        <v>1</v>
      </c>
      <c r="S30">
        <v>24765126936.689999</v>
      </c>
      <c r="T30">
        <v>21.600858129999999</v>
      </c>
    </row>
    <row r="31" spans="1:20" x14ac:dyDescent="0.25">
      <c r="A31" t="s">
        <v>128</v>
      </c>
      <c r="B31" t="s">
        <v>140</v>
      </c>
      <c r="C31" t="s">
        <v>48</v>
      </c>
      <c r="D31">
        <v>3023129879</v>
      </c>
      <c r="E31">
        <v>0.7</v>
      </c>
      <c r="F31">
        <v>1</v>
      </c>
      <c r="G31" t="s">
        <v>50</v>
      </c>
      <c r="H31">
        <v>21.613996</v>
      </c>
      <c r="I31" t="s">
        <v>102</v>
      </c>
      <c r="J31" t="s">
        <v>158</v>
      </c>
      <c r="K31">
        <v>1</v>
      </c>
      <c r="L31">
        <v>8.6999999999999993</v>
      </c>
      <c r="M31">
        <v>8.577</v>
      </c>
      <c r="N31">
        <v>0.7</v>
      </c>
      <c r="O31">
        <v>1</v>
      </c>
      <c r="P31">
        <v>3023129879</v>
      </c>
      <c r="Q31">
        <v>8.577</v>
      </c>
      <c r="R31">
        <v>1</v>
      </c>
      <c r="S31">
        <v>18150569480.528099</v>
      </c>
      <c r="T31">
        <v>21.613996</v>
      </c>
    </row>
    <row r="32" spans="1:20" x14ac:dyDescent="0.25">
      <c r="A32" t="s">
        <v>61</v>
      </c>
      <c r="B32" t="s">
        <v>72</v>
      </c>
      <c r="C32" t="s">
        <v>48</v>
      </c>
      <c r="D32">
        <v>295722284</v>
      </c>
      <c r="E32">
        <v>0.7</v>
      </c>
      <c r="F32">
        <v>1</v>
      </c>
      <c r="G32" t="s">
        <v>50</v>
      </c>
      <c r="H32">
        <v>23.660861560000001</v>
      </c>
      <c r="I32" t="s">
        <v>102</v>
      </c>
      <c r="J32" t="s">
        <v>159</v>
      </c>
      <c r="K32">
        <v>1</v>
      </c>
      <c r="L32">
        <v>41.18</v>
      </c>
      <c r="M32">
        <v>40.54</v>
      </c>
      <c r="N32">
        <v>0.7</v>
      </c>
      <c r="O32">
        <v>1</v>
      </c>
      <c r="P32">
        <v>295722284</v>
      </c>
      <c r="Q32">
        <v>40.54</v>
      </c>
      <c r="R32">
        <v>1</v>
      </c>
      <c r="S32">
        <v>8392006975.3519993</v>
      </c>
      <c r="T32">
        <v>23.660861560000001</v>
      </c>
    </row>
    <row r="33" spans="1:20" x14ac:dyDescent="0.25">
      <c r="A33" t="s">
        <v>129</v>
      </c>
      <c r="B33" t="s">
        <v>141</v>
      </c>
      <c r="C33" t="s">
        <v>48</v>
      </c>
      <c r="D33">
        <v>792283683</v>
      </c>
      <c r="E33">
        <v>0.75</v>
      </c>
      <c r="F33">
        <v>1</v>
      </c>
      <c r="G33" t="s">
        <v>50</v>
      </c>
      <c r="H33">
        <v>24.069456649999999</v>
      </c>
      <c r="I33" t="s">
        <v>102</v>
      </c>
      <c r="J33" t="s">
        <v>160</v>
      </c>
      <c r="K33">
        <v>1</v>
      </c>
      <c r="L33">
        <v>182.36</v>
      </c>
      <c r="M33">
        <v>175.38</v>
      </c>
      <c r="N33">
        <v>0.75</v>
      </c>
      <c r="O33">
        <v>1</v>
      </c>
      <c r="P33">
        <v>792283683</v>
      </c>
      <c r="Q33">
        <v>175.38</v>
      </c>
      <c r="R33">
        <v>1</v>
      </c>
      <c r="S33">
        <v>104213034243.405</v>
      </c>
      <c r="T33">
        <v>24.069456649999999</v>
      </c>
    </row>
    <row r="34" spans="1:20" x14ac:dyDescent="0.25">
      <c r="A34" t="s">
        <v>62</v>
      </c>
      <c r="B34" t="s">
        <v>73</v>
      </c>
      <c r="C34" t="s">
        <v>48</v>
      </c>
      <c r="D34">
        <v>726148514</v>
      </c>
      <c r="E34">
        <v>0.95</v>
      </c>
      <c r="F34">
        <v>1</v>
      </c>
      <c r="G34" t="s">
        <v>50</v>
      </c>
      <c r="H34">
        <v>25.148967620000001</v>
      </c>
      <c r="I34" t="s">
        <v>102</v>
      </c>
      <c r="J34" t="s">
        <v>161</v>
      </c>
      <c r="K34">
        <v>1</v>
      </c>
      <c r="L34">
        <v>30.61</v>
      </c>
      <c r="M34">
        <v>30.48</v>
      </c>
      <c r="N34">
        <v>0.95</v>
      </c>
      <c r="O34">
        <v>1</v>
      </c>
      <c r="P34">
        <v>726148514</v>
      </c>
      <c r="Q34">
        <v>30.48</v>
      </c>
      <c r="R34">
        <v>1</v>
      </c>
      <c r="S34">
        <v>21026356371.383999</v>
      </c>
      <c r="T34">
        <v>25.148967620000001</v>
      </c>
    </row>
    <row r="35" spans="1:20" x14ac:dyDescent="0.25">
      <c r="A35" t="s">
        <v>130</v>
      </c>
      <c r="B35" t="s">
        <v>142</v>
      </c>
      <c r="C35" t="s">
        <v>48</v>
      </c>
      <c r="D35">
        <v>588519218</v>
      </c>
      <c r="E35">
        <v>0.9</v>
      </c>
      <c r="F35">
        <v>1</v>
      </c>
      <c r="G35" t="s">
        <v>50</v>
      </c>
      <c r="H35">
        <v>25.393780400000001</v>
      </c>
      <c r="I35" t="s">
        <v>102</v>
      </c>
      <c r="J35" t="s">
        <v>162</v>
      </c>
      <c r="K35">
        <v>1</v>
      </c>
      <c r="L35">
        <v>127.05</v>
      </c>
      <c r="M35">
        <v>124.25</v>
      </c>
      <c r="N35">
        <v>0.9</v>
      </c>
      <c r="O35">
        <v>1</v>
      </c>
      <c r="P35">
        <v>588519218</v>
      </c>
      <c r="Q35">
        <v>124.25</v>
      </c>
      <c r="R35">
        <v>1</v>
      </c>
      <c r="S35">
        <v>65811161552.849998</v>
      </c>
      <c r="T35">
        <v>25.393780400000001</v>
      </c>
    </row>
    <row r="36" spans="1:20" x14ac:dyDescent="0.25">
      <c r="A36" t="s">
        <v>131</v>
      </c>
      <c r="B36" t="s">
        <v>143</v>
      </c>
      <c r="C36" t="s">
        <v>48</v>
      </c>
      <c r="D36">
        <v>210210140</v>
      </c>
      <c r="E36">
        <v>0.5</v>
      </c>
      <c r="F36">
        <v>1</v>
      </c>
      <c r="G36" t="s">
        <v>50</v>
      </c>
      <c r="H36">
        <v>27.267248439999999</v>
      </c>
      <c r="I36" t="s">
        <v>102</v>
      </c>
      <c r="J36" t="s">
        <v>163</v>
      </c>
      <c r="K36">
        <v>1</v>
      </c>
      <c r="L36">
        <v>247.9</v>
      </c>
      <c r="M36">
        <v>244.6</v>
      </c>
      <c r="N36">
        <v>0.5</v>
      </c>
      <c r="O36">
        <v>1</v>
      </c>
      <c r="P36">
        <v>210210140</v>
      </c>
      <c r="Q36">
        <v>244.6</v>
      </c>
      <c r="R36">
        <v>1</v>
      </c>
      <c r="S36">
        <v>25708700122</v>
      </c>
      <c r="T36">
        <v>27.267248439999999</v>
      </c>
    </row>
    <row r="37" spans="1:20" x14ac:dyDescent="0.25">
      <c r="A37" t="s">
        <v>132</v>
      </c>
      <c r="B37" t="s">
        <v>144</v>
      </c>
      <c r="C37" t="s">
        <v>48</v>
      </c>
      <c r="D37">
        <v>427260541</v>
      </c>
      <c r="E37">
        <v>0.85</v>
      </c>
      <c r="F37">
        <v>1</v>
      </c>
      <c r="G37" t="s">
        <v>50</v>
      </c>
      <c r="H37">
        <v>28.778571589999999</v>
      </c>
      <c r="I37" t="s">
        <v>102</v>
      </c>
      <c r="J37" t="s">
        <v>164</v>
      </c>
      <c r="K37">
        <v>1</v>
      </c>
      <c r="L37">
        <v>279.60000000000002</v>
      </c>
      <c r="M37">
        <v>269.8</v>
      </c>
      <c r="N37">
        <v>0.85</v>
      </c>
      <c r="O37">
        <v>1</v>
      </c>
      <c r="P37">
        <v>427260541</v>
      </c>
      <c r="Q37">
        <v>269.8</v>
      </c>
      <c r="R37">
        <v>1</v>
      </c>
      <c r="S37">
        <v>97983659867.529999</v>
      </c>
      <c r="T37">
        <v>28.778571589999999</v>
      </c>
    </row>
    <row r="38" spans="1:20" x14ac:dyDescent="0.25">
      <c r="A38" t="s">
        <v>133</v>
      </c>
      <c r="B38" t="s">
        <v>145</v>
      </c>
      <c r="C38" t="s">
        <v>48</v>
      </c>
      <c r="D38">
        <v>2397679661</v>
      </c>
      <c r="E38">
        <v>0.95</v>
      </c>
      <c r="F38">
        <v>1</v>
      </c>
      <c r="G38" t="s">
        <v>50</v>
      </c>
      <c r="H38">
        <v>29.51960515</v>
      </c>
      <c r="I38" t="s">
        <v>103</v>
      </c>
      <c r="J38" t="s">
        <v>165</v>
      </c>
      <c r="K38">
        <v>1</v>
      </c>
      <c r="L38">
        <v>53.28</v>
      </c>
      <c r="M38">
        <v>52.97</v>
      </c>
      <c r="N38">
        <v>0.95</v>
      </c>
      <c r="O38">
        <v>1</v>
      </c>
      <c r="P38">
        <v>2397679661</v>
      </c>
      <c r="Q38">
        <v>52.97</v>
      </c>
      <c r="R38">
        <v>1</v>
      </c>
      <c r="S38">
        <v>120654837061.01151</v>
      </c>
      <c r="T38">
        <v>29.51960515</v>
      </c>
    </row>
    <row r="39" spans="1:20" x14ac:dyDescent="0.25">
      <c r="A39" t="s">
        <v>58</v>
      </c>
      <c r="B39" t="s">
        <v>69</v>
      </c>
      <c r="C39" t="s">
        <v>48</v>
      </c>
      <c r="D39">
        <v>2435285011</v>
      </c>
      <c r="E39">
        <v>0.75</v>
      </c>
      <c r="F39">
        <v>1</v>
      </c>
      <c r="G39" t="s">
        <v>50</v>
      </c>
      <c r="H39">
        <v>30.214637029999999</v>
      </c>
      <c r="I39" t="s">
        <v>102</v>
      </c>
      <c r="J39" t="s">
        <v>166</v>
      </c>
      <c r="K39">
        <v>1</v>
      </c>
      <c r="L39">
        <v>19.78</v>
      </c>
      <c r="M39">
        <v>19.835000000000001</v>
      </c>
      <c r="N39">
        <v>0.75</v>
      </c>
      <c r="O39">
        <v>1</v>
      </c>
      <c r="P39">
        <v>2435285011</v>
      </c>
      <c r="Q39">
        <v>19.835000000000001</v>
      </c>
      <c r="R39">
        <v>1</v>
      </c>
      <c r="S39">
        <v>36227908644.888748</v>
      </c>
      <c r="T39">
        <v>30.214637029999999</v>
      </c>
    </row>
    <row r="40" spans="1:20" x14ac:dyDescent="0.25">
      <c r="A40" t="s">
        <v>134</v>
      </c>
      <c r="B40" t="s">
        <v>146</v>
      </c>
      <c r="C40" t="s">
        <v>48</v>
      </c>
      <c r="D40">
        <v>379243267</v>
      </c>
      <c r="E40">
        <v>0.5</v>
      </c>
      <c r="F40">
        <v>1</v>
      </c>
      <c r="G40" t="s">
        <v>50</v>
      </c>
      <c r="H40">
        <v>32.667832799999999</v>
      </c>
      <c r="I40" t="s">
        <v>102</v>
      </c>
      <c r="J40" t="s">
        <v>167</v>
      </c>
      <c r="K40">
        <v>1</v>
      </c>
      <c r="L40">
        <v>39.35</v>
      </c>
      <c r="M40">
        <v>39.049999999999997</v>
      </c>
      <c r="N40">
        <v>0.5</v>
      </c>
      <c r="O40">
        <v>1</v>
      </c>
      <c r="P40">
        <v>379243267</v>
      </c>
      <c r="Q40">
        <v>39.049999999999997</v>
      </c>
      <c r="R40">
        <v>1</v>
      </c>
      <c r="S40">
        <v>7404724788.1749992</v>
      </c>
      <c r="T40">
        <v>32.667832799999999</v>
      </c>
    </row>
    <row r="41" spans="1:20" x14ac:dyDescent="0.25">
      <c r="A41" t="s">
        <v>135</v>
      </c>
      <c r="B41" t="s">
        <v>147</v>
      </c>
      <c r="C41" t="s">
        <v>148</v>
      </c>
      <c r="D41">
        <v>852809772</v>
      </c>
      <c r="E41">
        <v>0.5</v>
      </c>
      <c r="F41">
        <v>1</v>
      </c>
      <c r="G41" t="s">
        <v>50</v>
      </c>
      <c r="H41">
        <v>35.369550670000002</v>
      </c>
      <c r="I41" t="s">
        <v>102</v>
      </c>
      <c r="J41" t="s">
        <v>168</v>
      </c>
      <c r="K41">
        <v>1</v>
      </c>
      <c r="L41">
        <v>28.59</v>
      </c>
      <c r="M41">
        <v>27.28</v>
      </c>
      <c r="N41">
        <v>0.5</v>
      </c>
      <c r="O41">
        <v>1</v>
      </c>
      <c r="P41">
        <v>852809772</v>
      </c>
      <c r="Q41">
        <v>27.28</v>
      </c>
      <c r="R41">
        <v>1</v>
      </c>
      <c r="S41">
        <v>11632325290.08</v>
      </c>
      <c r="T41">
        <v>35.369550670000002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ENVF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2026-01-04T19:55:03Z</dcterms:created>
  <dcterms:modified xsi:type="dcterms:W3CDTF">2026-01-04T19:55:25Z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2026-01-04T19:55:25Z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0156cb6e-29f6-4577-b681-8fd36a99af15</vt:lpwstr>
  </property>
  <property fmtid="{D5CDD505-2E9C-101B-9397-08002B2CF9AE}" pid="8" name="MSIP_Label_ac0b9ce6-6e99-42a1-af95-429494370cbc_ContentBits">
    <vt:lpwstr>2</vt:lpwstr>
  </property>
</Properties>
</file>