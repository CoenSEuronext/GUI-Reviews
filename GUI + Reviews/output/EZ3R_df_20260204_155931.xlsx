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03E86DAAF99D5E0AC579C4DF9EF799AD69E1FD3" xr6:coauthVersionLast="47" xr6:coauthVersionMax="47" xr10:uidLastSave="{70F45092-7F6C-4804-8125-3732D8FE67A0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<sst xmlns="http://schemas.openxmlformats.org/spreadsheetml/2006/main" count="1960" uniqueCount="515">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</sst>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Z3R_EMS_2026-01-05%2023_59_59_2026-01-06-14-52-17.xlsx" TargetMode="External"/><Relationship Id="rId1" Type="http://schemas.openxmlformats.org/officeDocument/2006/relationships/externalLinkPath" Target="file:///C:\Users\CSonneveld\Downloads\EZ3R_EMS_2026-01-05%2023_59_59_2026-01-06-14-52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NL0012969182</v>
          </cell>
          <cell r="D2">
            <v>31523640</v>
          </cell>
        </row>
        <row r="3">
          <cell r="B3" t="str">
            <v>DE0008404005</v>
          </cell>
          <cell r="D3">
            <v>386166700</v>
          </cell>
        </row>
        <row r="4">
          <cell r="B4" t="str">
            <v>NL0010273215</v>
          </cell>
          <cell r="D4">
            <v>388147674</v>
          </cell>
        </row>
        <row r="5">
          <cell r="B5" t="str">
            <v>FR0000120628</v>
          </cell>
          <cell r="D5">
            <v>2123594281</v>
          </cell>
        </row>
        <row r="6">
          <cell r="B6" t="str">
            <v>ES0113900J37</v>
          </cell>
          <cell r="D6">
            <v>14885325000</v>
          </cell>
        </row>
        <row r="7">
          <cell r="B7" t="str">
            <v>FR0000131104</v>
          </cell>
          <cell r="D7">
            <v>1116784757</v>
          </cell>
        </row>
        <row r="8">
          <cell r="B8" t="str">
            <v>DE0005140008</v>
          </cell>
          <cell r="D8">
            <v>1948252900</v>
          </cell>
        </row>
        <row r="9">
          <cell r="B9" t="str">
            <v>DE0005810055</v>
          </cell>
          <cell r="D9">
            <v>188300000</v>
          </cell>
        </row>
        <row r="10">
          <cell r="B10" t="str">
            <v>DE0005552004</v>
          </cell>
          <cell r="D10">
            <v>1200000000</v>
          </cell>
        </row>
        <row r="11">
          <cell r="B11" t="str">
            <v>AT0000652011</v>
          </cell>
          <cell r="D11">
            <v>410514370</v>
          </cell>
        </row>
        <row r="12">
          <cell r="B12" t="str">
            <v>NL0011585146</v>
          </cell>
          <cell r="D12">
            <v>193923499</v>
          </cell>
        </row>
        <row r="13">
          <cell r="B13" t="str">
            <v>IT0000062072</v>
          </cell>
          <cell r="D13">
            <v>1549784923</v>
          </cell>
        </row>
        <row r="14">
          <cell r="B14" t="str">
            <v>FR0000052292</v>
          </cell>
          <cell r="D14">
            <v>105569412</v>
          </cell>
        </row>
        <row r="15">
          <cell r="B15" t="str">
            <v>ES0148396007</v>
          </cell>
          <cell r="D15">
            <v>3116652000</v>
          </cell>
        </row>
        <row r="16">
          <cell r="B16" t="str">
            <v>DE0006231004</v>
          </cell>
          <cell r="D16">
            <v>1305921100</v>
          </cell>
        </row>
        <row r="17">
          <cell r="B17" t="str">
            <v>NL0011821202</v>
          </cell>
          <cell r="D17">
            <v>3021542868</v>
          </cell>
        </row>
        <row r="18">
          <cell r="B18" t="str">
            <v>IT0000072618</v>
          </cell>
          <cell r="D18">
            <v>17413389613</v>
          </cell>
        </row>
        <row r="19">
          <cell r="B19" t="str">
            <v>FR0010307819</v>
          </cell>
          <cell r="D19">
            <v>262245733</v>
          </cell>
        </row>
        <row r="20">
          <cell r="B20" t="str">
            <v>DE0007100000</v>
          </cell>
          <cell r="D20">
            <v>962903700</v>
          </cell>
        </row>
        <row r="21">
          <cell r="B21" t="str">
            <v>DE0008430026</v>
          </cell>
          <cell r="D21">
            <v>130645070</v>
          </cell>
        </row>
        <row r="22">
          <cell r="B22" t="str">
            <v>FI4000297767</v>
          </cell>
          <cell r="D22">
            <v>3442514600</v>
          </cell>
        </row>
        <row r="23">
          <cell r="B23" t="str">
            <v>NL0013654783</v>
          </cell>
          <cell r="D23">
            <v>2378947836</v>
          </cell>
        </row>
        <row r="24">
          <cell r="B24" t="str">
            <v>IE00BYTBXV33</v>
          </cell>
          <cell r="D24">
            <v>1052132848</v>
          </cell>
        </row>
        <row r="25">
          <cell r="B25" t="str">
            <v>FR0000125007</v>
          </cell>
          <cell r="D25">
            <v>499067417</v>
          </cell>
        </row>
        <row r="26">
          <cell r="B26" t="str">
            <v>DE0007164600</v>
          </cell>
          <cell r="D26">
            <v>1228504300</v>
          </cell>
        </row>
        <row r="27">
          <cell r="B27" t="str">
            <v>FR0000121972</v>
          </cell>
          <cell r="D27">
            <v>577122512</v>
          </cell>
        </row>
        <row r="28">
          <cell r="B28" t="str">
            <v>DE0007236101</v>
          </cell>
          <cell r="D28">
            <v>800000000</v>
          </cell>
        </row>
        <row r="29">
          <cell r="B29" t="str">
            <v>FR0000130809</v>
          </cell>
          <cell r="D29">
            <v>766894786</v>
          </cell>
        </row>
        <row r="30">
          <cell r="B30" t="str">
            <v>IT0005239360</v>
          </cell>
          <cell r="D30">
            <v>1557675176</v>
          </cell>
        </row>
        <row r="31">
          <cell r="B31" t="str">
            <v>FR0000125486</v>
          </cell>
          <cell r="D31">
            <v>586933775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G35" sqref="G3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1.0442833946807659</v>
      </c>
      <c r="G2" t="s">
        <v>74</v>
      </c>
      <c r="H2" t="s">
        <v>75</v>
      </c>
      <c r="I2">
        <f>F2/MAX($F$2:$F$31)</f>
        <v>1</v>
      </c>
      <c r="J2" t="b">
        <f>D2=[1]selection!D2</f>
        <v>1</v>
      </c>
      <c r="K2" t="b">
        <f>ISNUMBER(MATCH(B2,[1]selection!$B$2:$B$31,0))</f>
        <v>1</v>
      </c>
    </row>
    <row r="3" spans="1:11" x14ac:dyDescent="0.25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1.0442833946807659</v>
      </c>
      <c r="G3" t="s">
        <v>74</v>
      </c>
      <c r="H3" t="s">
        <v>75</v>
      </c>
      <c r="I3">
        <f t="shared" ref="I3:I31" si="0">F3/MAX($F$2:$F$31)</f>
        <v>1</v>
      </c>
      <c r="J3" t="b">
        <f>D3=[1]selection!D3</f>
        <v>0</v>
      </c>
      <c r="K3" t="b">
        <f>ISNUMBER(MATCH(B3,[1]selection!$B$2:$B$31,0))</f>
        <v>0</v>
      </c>
    </row>
    <row r="4" spans="1:11" x14ac:dyDescent="0.25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1.0442833946807659</v>
      </c>
      <c r="G4" t="s">
        <v>74</v>
      </c>
      <c r="H4" t="s">
        <v>75</v>
      </c>
      <c r="I4">
        <f t="shared" si="0"/>
        <v>1</v>
      </c>
      <c r="J4" t="b">
        <f>D4=[1]selection!D4</f>
        <v>0</v>
      </c>
      <c r="K4" t="b">
        <f>ISNUMBER(MATCH(B4,[1]selection!$B$2:$B$31,0))</f>
        <v>1</v>
      </c>
    </row>
    <row r="5" spans="1:11" x14ac:dyDescent="0.25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0.72377240429592893</v>
      </c>
      <c r="G5" t="s">
        <v>74</v>
      </c>
      <c r="H5" t="s">
        <v>75</v>
      </c>
      <c r="I5">
        <f t="shared" si="0"/>
        <v>0.69308044921769907</v>
      </c>
      <c r="J5" t="b">
        <f>D5=[1]selection!D5</f>
        <v>0</v>
      </c>
      <c r="K5" t="b">
        <f>ISNUMBER(MATCH(B5,[1]selection!$B$2:$B$31,0))</f>
        <v>1</v>
      </c>
    </row>
    <row r="6" spans="1:11" x14ac:dyDescent="0.25">
      <c r="A6" t="s">
        <v>12</v>
      </c>
      <c r="B6" t="s">
        <v>42</v>
      </c>
      <c r="C6" t="s">
        <v>69</v>
      </c>
      <c r="D6">
        <v>2123594281</v>
      </c>
      <c r="E6">
        <v>0.85000000000000009</v>
      </c>
      <c r="F6">
        <v>1.0442833946807659</v>
      </c>
      <c r="G6" t="s">
        <v>74</v>
      </c>
      <c r="H6" t="s">
        <v>75</v>
      </c>
      <c r="I6">
        <f t="shared" si="0"/>
        <v>1</v>
      </c>
      <c r="J6" t="b">
        <f>D6=[1]selection!D6</f>
        <v>0</v>
      </c>
      <c r="K6" t="b">
        <f>ISNUMBER(MATCH(B6,[1]selection!$B$2:$B$31,0))</f>
        <v>1</v>
      </c>
    </row>
    <row r="7" spans="1:11" x14ac:dyDescent="0.25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1.0442833946807659</v>
      </c>
      <c r="G7" t="s">
        <v>74</v>
      </c>
      <c r="H7" t="s">
        <v>75</v>
      </c>
      <c r="I7">
        <f t="shared" si="0"/>
        <v>1</v>
      </c>
      <c r="J7" t="b">
        <f>D7=[1]selection!D7</f>
        <v>0</v>
      </c>
      <c r="K7" t="b">
        <f>ISNUMBER(MATCH(B7,[1]selection!$B$2:$B$31,0))</f>
        <v>1</v>
      </c>
    </row>
    <row r="8" spans="1:11" x14ac:dyDescent="0.25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1.0442833946807659</v>
      </c>
      <c r="G8" t="s">
        <v>74</v>
      </c>
      <c r="H8" t="s">
        <v>75</v>
      </c>
      <c r="I8">
        <f t="shared" si="0"/>
        <v>1</v>
      </c>
      <c r="J8" t="b">
        <f>D8=[1]selection!D8</f>
        <v>0</v>
      </c>
      <c r="K8" t="b">
        <f>ISNUMBER(MATCH(B8,[1]selection!$B$2:$B$31,0))</f>
        <v>0</v>
      </c>
    </row>
    <row r="9" spans="1:11" x14ac:dyDescent="0.25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1.0442833946807659</v>
      </c>
      <c r="G9" t="s">
        <v>74</v>
      </c>
      <c r="H9" t="s">
        <v>75</v>
      </c>
      <c r="I9">
        <f t="shared" si="0"/>
        <v>1</v>
      </c>
      <c r="J9" t="b">
        <f>D9=[1]selection!D9</f>
        <v>0</v>
      </c>
      <c r="K9" t="b">
        <f>ISNUMBER(MATCH(B9,[1]selection!$B$2:$B$31,0))</f>
        <v>0</v>
      </c>
    </row>
    <row r="10" spans="1:11" x14ac:dyDescent="0.25">
      <c r="A10" t="s">
        <v>16</v>
      </c>
      <c r="B10" t="s">
        <v>46</v>
      </c>
      <c r="C10" t="s">
        <v>69</v>
      </c>
      <c r="D10">
        <v>1116784757</v>
      </c>
      <c r="E10">
        <v>0.95000000000000007</v>
      </c>
      <c r="F10">
        <v>1.0442833946807659</v>
      </c>
      <c r="G10" t="s">
        <v>74</v>
      </c>
      <c r="H10" t="s">
        <v>75</v>
      </c>
      <c r="I10">
        <f t="shared" si="0"/>
        <v>1</v>
      </c>
      <c r="J10" t="b">
        <f>D10=[1]selection!D10</f>
        <v>0</v>
      </c>
      <c r="K10" t="b">
        <f>ISNUMBER(MATCH(B10,[1]selection!$B$2:$B$31,0))</f>
        <v>1</v>
      </c>
    </row>
    <row r="11" spans="1:11" x14ac:dyDescent="0.25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1.0442833946807659</v>
      </c>
      <c r="G11" t="s">
        <v>74</v>
      </c>
      <c r="H11" t="s">
        <v>75</v>
      </c>
      <c r="I11">
        <f t="shared" si="0"/>
        <v>1</v>
      </c>
      <c r="J11" t="b">
        <f>D11=[1]selection!D11</f>
        <v>0</v>
      </c>
      <c r="K11" t="b">
        <f>ISNUMBER(MATCH(B11,[1]selection!$B$2:$B$31,0))</f>
        <v>1</v>
      </c>
    </row>
    <row r="12" spans="1:11" x14ac:dyDescent="0.25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1.0442833946807659</v>
      </c>
      <c r="G12" t="s">
        <v>74</v>
      </c>
      <c r="H12" t="s">
        <v>75</v>
      </c>
      <c r="I12">
        <f t="shared" si="0"/>
        <v>1</v>
      </c>
      <c r="J12" t="b">
        <f>D12=[1]selection!D12</f>
        <v>0</v>
      </c>
      <c r="K12" t="b">
        <f>ISNUMBER(MATCH(B12,[1]selection!$B$2:$B$31,0))</f>
        <v>1</v>
      </c>
    </row>
    <row r="13" spans="1:11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1.0442833946807659</v>
      </c>
      <c r="G13" t="s">
        <v>74</v>
      </c>
      <c r="H13" t="s">
        <v>75</v>
      </c>
      <c r="I13">
        <f t="shared" si="0"/>
        <v>1</v>
      </c>
      <c r="J13" t="b">
        <f>D13=[1]selection!D13</f>
        <v>0</v>
      </c>
      <c r="K13" t="b">
        <f>ISNUMBER(MATCH(B13,[1]selection!$B$2:$B$31,0))</f>
        <v>1</v>
      </c>
    </row>
    <row r="14" spans="1:11" x14ac:dyDescent="0.25">
      <c r="A14" t="s">
        <v>20</v>
      </c>
      <c r="B14" t="s">
        <v>50</v>
      </c>
      <c r="C14" t="s">
        <v>72</v>
      </c>
      <c r="D14">
        <v>193923499</v>
      </c>
      <c r="E14">
        <v>0.60000000000000009</v>
      </c>
      <c r="F14">
        <v>1.0442833946807659</v>
      </c>
      <c r="G14" t="s">
        <v>74</v>
      </c>
      <c r="H14" t="s">
        <v>75</v>
      </c>
      <c r="I14">
        <f t="shared" si="0"/>
        <v>1</v>
      </c>
      <c r="J14" t="b">
        <f>D14=[1]selection!D14</f>
        <v>0</v>
      </c>
      <c r="K14" t="b">
        <f>ISNUMBER(MATCH(B14,[1]selection!$B$2:$B$31,0))</f>
        <v>1</v>
      </c>
    </row>
    <row r="15" spans="1:11" x14ac:dyDescent="0.25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1.0442833946807659</v>
      </c>
      <c r="G15" t="s">
        <v>74</v>
      </c>
      <c r="H15" t="s">
        <v>75</v>
      </c>
      <c r="I15">
        <f t="shared" si="0"/>
        <v>1</v>
      </c>
      <c r="J15" t="b">
        <f>D15=[1]selection!D15</f>
        <v>0</v>
      </c>
      <c r="K15" t="b">
        <f>ISNUMBER(MATCH(B15,[1]selection!$B$2:$B$31,0))</f>
        <v>1</v>
      </c>
    </row>
    <row r="16" spans="1:11" x14ac:dyDescent="0.25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1.0442833946807659</v>
      </c>
      <c r="G16" t="s">
        <v>74</v>
      </c>
      <c r="H16" t="s">
        <v>75</v>
      </c>
      <c r="I16">
        <f t="shared" si="0"/>
        <v>1</v>
      </c>
      <c r="J16" t="b">
        <f>D16=[1]selection!D16</f>
        <v>0</v>
      </c>
      <c r="K16" t="b">
        <f>ISNUMBER(MATCH(B16,[1]selection!$B$2:$B$31,0))</f>
        <v>1</v>
      </c>
    </row>
    <row r="17" spans="1:11" x14ac:dyDescent="0.25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1.0442833946807659</v>
      </c>
      <c r="G17" t="s">
        <v>74</v>
      </c>
      <c r="H17" t="s">
        <v>75</v>
      </c>
      <c r="I17">
        <f t="shared" si="0"/>
        <v>1</v>
      </c>
      <c r="J17" t="b">
        <f>D17=[1]selection!D17</f>
        <v>0</v>
      </c>
      <c r="K17" t="b">
        <f>ISNUMBER(MATCH(B17,[1]selection!$B$2:$B$31,0))</f>
        <v>1</v>
      </c>
    </row>
    <row r="18" spans="1:11" x14ac:dyDescent="0.25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1.0442833946807659</v>
      </c>
      <c r="G18" t="s">
        <v>74</v>
      </c>
      <c r="H18" t="s">
        <v>75</v>
      </c>
      <c r="I18">
        <f t="shared" si="0"/>
        <v>1</v>
      </c>
      <c r="J18" t="b">
        <f>D18=[1]selection!D18</f>
        <v>0</v>
      </c>
      <c r="K18" t="b">
        <f>ISNUMBER(MATCH(B18,[1]selection!$B$2:$B$31,0))</f>
        <v>1</v>
      </c>
    </row>
    <row r="19" spans="1:11" x14ac:dyDescent="0.25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1.0442833946807659</v>
      </c>
      <c r="G19" t="s">
        <v>74</v>
      </c>
      <c r="H19" t="s">
        <v>75</v>
      </c>
      <c r="I19">
        <f t="shared" si="0"/>
        <v>1</v>
      </c>
      <c r="J19" t="b">
        <f>D19=[1]selection!D19</f>
        <v>0</v>
      </c>
      <c r="K19" t="b">
        <f>ISNUMBER(MATCH(B19,[1]selection!$B$2:$B$31,0))</f>
        <v>1</v>
      </c>
    </row>
    <row r="20" spans="1:11" x14ac:dyDescent="0.25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1.0442833946807659</v>
      </c>
      <c r="G20" t="s">
        <v>74</v>
      </c>
      <c r="H20" t="s">
        <v>75</v>
      </c>
      <c r="I20">
        <f t="shared" si="0"/>
        <v>1</v>
      </c>
      <c r="J20" t="b">
        <f>D20=[1]selection!D20</f>
        <v>0</v>
      </c>
      <c r="K20" t="b">
        <f>ISNUMBER(MATCH(B20,[1]selection!$B$2:$B$31,0))</f>
        <v>0</v>
      </c>
    </row>
    <row r="21" spans="1:11" x14ac:dyDescent="0.25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1.0442833946807659</v>
      </c>
      <c r="G21" t="s">
        <v>74</v>
      </c>
      <c r="H21" t="s">
        <v>75</v>
      </c>
      <c r="I21">
        <f t="shared" si="0"/>
        <v>1</v>
      </c>
      <c r="J21" t="b">
        <f>D21=[1]selection!D21</f>
        <v>0</v>
      </c>
      <c r="K21" t="b">
        <f>ISNUMBER(MATCH(B21,[1]selection!$B$2:$B$31,0))</f>
        <v>0</v>
      </c>
    </row>
    <row r="22" spans="1:11" x14ac:dyDescent="0.25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1.0442833946807659</v>
      </c>
      <c r="G22" t="s">
        <v>74</v>
      </c>
      <c r="H22" t="s">
        <v>75</v>
      </c>
      <c r="I22">
        <f t="shared" si="0"/>
        <v>1</v>
      </c>
      <c r="J22" t="b">
        <f>D22=[1]selection!D22</f>
        <v>0</v>
      </c>
      <c r="K22" t="b">
        <f>ISNUMBER(MATCH(B22,[1]selection!$B$2:$B$31,0))</f>
        <v>1</v>
      </c>
    </row>
    <row r="23" spans="1:11" x14ac:dyDescent="0.25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1.0442833946807659</v>
      </c>
      <c r="G23" t="s">
        <v>74</v>
      </c>
      <c r="H23" t="s">
        <v>75</v>
      </c>
      <c r="I23">
        <f t="shared" si="0"/>
        <v>1</v>
      </c>
      <c r="J23" t="b">
        <f>D23=[1]selection!D23</f>
        <v>0</v>
      </c>
      <c r="K23" t="b">
        <f>ISNUMBER(MATCH(B23,[1]selection!$B$2:$B$31,0))</f>
        <v>1</v>
      </c>
    </row>
    <row r="24" spans="1:11" x14ac:dyDescent="0.25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1.0442833946807659</v>
      </c>
      <c r="G24" t="s">
        <v>74</v>
      </c>
      <c r="H24" t="s">
        <v>75</v>
      </c>
      <c r="I24">
        <f t="shared" si="0"/>
        <v>1</v>
      </c>
      <c r="J24" t="b">
        <f>D24=[1]selection!D24</f>
        <v>0</v>
      </c>
      <c r="K24" t="b">
        <f>ISNUMBER(MATCH(B24,[1]selection!$B$2:$B$31,0))</f>
        <v>1</v>
      </c>
    </row>
    <row r="25" spans="1:11" x14ac:dyDescent="0.25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1.0442833946807659</v>
      </c>
      <c r="G25" t="s">
        <v>74</v>
      </c>
      <c r="H25" t="s">
        <v>75</v>
      </c>
      <c r="I25">
        <f t="shared" si="0"/>
        <v>1</v>
      </c>
      <c r="J25" t="b">
        <f>D25=[1]selection!D25</f>
        <v>0</v>
      </c>
      <c r="K25" t="b">
        <f>ISNUMBER(MATCH(B25,[1]selection!$B$2:$B$31,0))</f>
        <v>1</v>
      </c>
    </row>
    <row r="26" spans="1:11" x14ac:dyDescent="0.25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1.0442833946807659</v>
      </c>
      <c r="G26" t="s">
        <v>74</v>
      </c>
      <c r="H26" t="s">
        <v>75</v>
      </c>
      <c r="I26">
        <f t="shared" si="0"/>
        <v>1</v>
      </c>
      <c r="J26" t="b">
        <f>D26=[1]selection!D26</f>
        <v>1</v>
      </c>
      <c r="K26" t="b">
        <f>ISNUMBER(MATCH(B26,[1]selection!$B$2:$B$31,0))</f>
        <v>1</v>
      </c>
    </row>
    <row r="27" spans="1:11" x14ac:dyDescent="0.25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1.0442833946807659</v>
      </c>
      <c r="G27" t="s">
        <v>74</v>
      </c>
      <c r="H27" t="s">
        <v>75</v>
      </c>
      <c r="I27">
        <f t="shared" si="0"/>
        <v>1</v>
      </c>
      <c r="J27" t="b">
        <f>D27=[1]selection!D27</f>
        <v>1</v>
      </c>
      <c r="K27" t="b">
        <f>ISNUMBER(MATCH(B27,[1]selection!$B$2:$B$31,0))</f>
        <v>1</v>
      </c>
    </row>
    <row r="28" spans="1:11" x14ac:dyDescent="0.25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1.0442833946807659</v>
      </c>
      <c r="G28" t="s">
        <v>74</v>
      </c>
      <c r="H28" t="s">
        <v>75</v>
      </c>
      <c r="I28">
        <f t="shared" si="0"/>
        <v>1</v>
      </c>
      <c r="J28" t="b">
        <f>D28=[1]selection!D28</f>
        <v>1</v>
      </c>
      <c r="K28" t="b">
        <f>ISNUMBER(MATCH(B28,[1]selection!$B$2:$B$31,0))</f>
        <v>1</v>
      </c>
    </row>
    <row r="29" spans="1:11" x14ac:dyDescent="0.25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1.0442833946807659</v>
      </c>
      <c r="G29" t="s">
        <v>74</v>
      </c>
      <c r="H29" t="s">
        <v>75</v>
      </c>
      <c r="I29">
        <f t="shared" si="0"/>
        <v>1</v>
      </c>
      <c r="J29" t="b">
        <f>D29=[1]selection!D29</f>
        <v>1</v>
      </c>
      <c r="K29" t="b">
        <f>ISNUMBER(MATCH(B29,[1]selection!$B$2:$B$31,0))</f>
        <v>1</v>
      </c>
    </row>
    <row r="30" spans="1:11" x14ac:dyDescent="0.25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1.0442833946807659</v>
      </c>
      <c r="G30" t="s">
        <v>74</v>
      </c>
      <c r="H30" t="s">
        <v>75</v>
      </c>
      <c r="I30">
        <f t="shared" si="0"/>
        <v>1</v>
      </c>
      <c r="J30" t="b">
        <f>D30=[1]selection!D30</f>
        <v>1</v>
      </c>
      <c r="K30" t="b">
        <f>ISNUMBER(MATCH(B30,[1]selection!$B$2:$B$31,0))</f>
        <v>1</v>
      </c>
    </row>
    <row r="31" spans="1:11" x14ac:dyDescent="0.25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1.0442833946807659</v>
      </c>
      <c r="G31" t="s">
        <v>74</v>
      </c>
      <c r="H31" t="s">
        <v>75</v>
      </c>
      <c r="I31">
        <f t="shared" si="0"/>
        <v>1</v>
      </c>
      <c r="J31" t="b">
        <f>D31=[1]selection!D31</f>
        <v>1</v>
      </c>
      <c r="K31" t="b">
        <f>ISNUMBER(MATCH(B31,[1]selection!$B$2:$B$31,0))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77</v>
      </c>
      <c r="B2" t="s">
        <v>142</v>
      </c>
      <c r="C2" t="s">
        <v>207</v>
      </c>
    </row>
    <row r="3" spans="1:3" x14ac:dyDescent="0.25">
      <c r="A3" t="s">
        <v>78</v>
      </c>
      <c r="B3" t="s">
        <v>143</v>
      </c>
      <c r="C3" t="s">
        <v>68</v>
      </c>
    </row>
    <row r="4" spans="1:3" x14ac:dyDescent="0.25">
      <c r="A4" t="s">
        <v>79</v>
      </c>
      <c r="B4" t="s">
        <v>144</v>
      </c>
      <c r="C4" t="s">
        <v>71</v>
      </c>
    </row>
    <row r="5" spans="1:3" x14ac:dyDescent="0.25">
      <c r="A5" t="s">
        <v>80</v>
      </c>
      <c r="B5" t="s">
        <v>145</v>
      </c>
      <c r="C5" t="s">
        <v>70</v>
      </c>
    </row>
    <row r="6" spans="1:3" x14ac:dyDescent="0.25">
      <c r="A6" t="s">
        <v>81</v>
      </c>
      <c r="B6" t="s">
        <v>146</v>
      </c>
      <c r="C6" t="s">
        <v>71</v>
      </c>
    </row>
    <row r="7" spans="1:3" x14ac:dyDescent="0.25">
      <c r="A7" t="s">
        <v>82</v>
      </c>
      <c r="B7" t="s">
        <v>147</v>
      </c>
      <c r="C7" t="s">
        <v>68</v>
      </c>
    </row>
    <row r="8" spans="1:3" x14ac:dyDescent="0.25">
      <c r="A8" t="s">
        <v>83</v>
      </c>
      <c r="B8" t="s">
        <v>148</v>
      </c>
      <c r="C8" t="s">
        <v>208</v>
      </c>
    </row>
    <row r="9" spans="1:3" x14ac:dyDescent="0.25">
      <c r="A9" t="s">
        <v>9</v>
      </c>
      <c r="B9" t="s">
        <v>39</v>
      </c>
      <c r="C9" t="s">
        <v>69</v>
      </c>
    </row>
    <row r="10" spans="1:3" x14ac:dyDescent="0.25">
      <c r="A10" t="s">
        <v>84</v>
      </c>
      <c r="B10" t="s">
        <v>149</v>
      </c>
      <c r="C10" t="s">
        <v>69</v>
      </c>
    </row>
    <row r="11" spans="1:3" x14ac:dyDescent="0.25">
      <c r="A11" t="s">
        <v>85</v>
      </c>
      <c r="B11" t="s">
        <v>150</v>
      </c>
      <c r="C11" t="s">
        <v>71</v>
      </c>
    </row>
    <row r="12" spans="1:3" x14ac:dyDescent="0.25">
      <c r="A12" t="s">
        <v>86</v>
      </c>
      <c r="B12" t="s">
        <v>151</v>
      </c>
      <c r="C12" t="s">
        <v>207</v>
      </c>
    </row>
    <row r="13" spans="1:3" x14ac:dyDescent="0.25">
      <c r="A13" t="s">
        <v>87</v>
      </c>
      <c r="B13" t="s">
        <v>152</v>
      </c>
      <c r="C13" t="s">
        <v>68</v>
      </c>
    </row>
    <row r="14" spans="1:3" x14ac:dyDescent="0.25">
      <c r="A14" t="s">
        <v>88</v>
      </c>
      <c r="B14" t="s">
        <v>153</v>
      </c>
      <c r="C14" t="s">
        <v>72</v>
      </c>
    </row>
    <row r="15" spans="1:3" x14ac:dyDescent="0.25">
      <c r="A15" t="s">
        <v>89</v>
      </c>
      <c r="B15" t="s">
        <v>154</v>
      </c>
      <c r="C15" t="s">
        <v>71</v>
      </c>
    </row>
    <row r="16" spans="1:3" x14ac:dyDescent="0.25">
      <c r="A16" t="s">
        <v>14</v>
      </c>
      <c r="B16" t="s">
        <v>44</v>
      </c>
      <c r="C16" t="s">
        <v>70</v>
      </c>
    </row>
    <row r="17" spans="1:3" x14ac:dyDescent="0.25">
      <c r="A17" t="s">
        <v>90</v>
      </c>
      <c r="B17" t="s">
        <v>155</v>
      </c>
      <c r="C17" t="s">
        <v>70</v>
      </c>
    </row>
    <row r="18" spans="1:3" x14ac:dyDescent="0.25">
      <c r="A18" t="s">
        <v>15</v>
      </c>
      <c r="B18" t="s">
        <v>45</v>
      </c>
      <c r="C18" t="s">
        <v>71</v>
      </c>
    </row>
    <row r="19" spans="1:3" x14ac:dyDescent="0.25">
      <c r="A19" t="s">
        <v>91</v>
      </c>
      <c r="B19" t="s">
        <v>156</v>
      </c>
      <c r="C19" t="s">
        <v>70</v>
      </c>
    </row>
    <row r="20" spans="1:3" x14ac:dyDescent="0.25">
      <c r="A20" t="s">
        <v>92</v>
      </c>
      <c r="B20" t="s">
        <v>157</v>
      </c>
      <c r="C20" t="s">
        <v>72</v>
      </c>
    </row>
    <row r="21" spans="1:3" x14ac:dyDescent="0.25">
      <c r="A21" t="s">
        <v>93</v>
      </c>
      <c r="B21" t="s">
        <v>158</v>
      </c>
      <c r="C21" t="s">
        <v>71</v>
      </c>
    </row>
    <row r="22" spans="1:3" x14ac:dyDescent="0.25">
      <c r="A22" t="s">
        <v>94</v>
      </c>
      <c r="B22" t="s">
        <v>159</v>
      </c>
      <c r="C22" t="s">
        <v>69</v>
      </c>
    </row>
    <row r="23" spans="1:3" x14ac:dyDescent="0.25">
      <c r="A23" t="s">
        <v>95</v>
      </c>
      <c r="B23" t="s">
        <v>160</v>
      </c>
      <c r="C23" t="s">
        <v>71</v>
      </c>
    </row>
    <row r="24" spans="1:3" x14ac:dyDescent="0.25">
      <c r="A24" t="s">
        <v>96</v>
      </c>
      <c r="B24" t="s">
        <v>161</v>
      </c>
      <c r="C24" t="s">
        <v>70</v>
      </c>
    </row>
    <row r="25" spans="1:3" x14ac:dyDescent="0.25">
      <c r="A25" t="s">
        <v>97</v>
      </c>
      <c r="B25" t="s">
        <v>162</v>
      </c>
      <c r="C25" t="s">
        <v>70</v>
      </c>
    </row>
    <row r="26" spans="1:3" x14ac:dyDescent="0.25">
      <c r="A26" t="s">
        <v>98</v>
      </c>
      <c r="B26" t="s">
        <v>163</v>
      </c>
      <c r="C26" t="s">
        <v>69</v>
      </c>
    </row>
    <row r="27" spans="1:3" x14ac:dyDescent="0.25">
      <c r="A27" t="s">
        <v>99</v>
      </c>
      <c r="B27" t="s">
        <v>164</v>
      </c>
      <c r="C27" t="s">
        <v>69</v>
      </c>
    </row>
    <row r="28" spans="1:3" x14ac:dyDescent="0.25">
      <c r="A28" t="s">
        <v>100</v>
      </c>
      <c r="B28" t="s">
        <v>165</v>
      </c>
      <c r="C28" t="s">
        <v>70</v>
      </c>
    </row>
    <row r="29" spans="1:3" x14ac:dyDescent="0.25">
      <c r="A29" t="s">
        <v>101</v>
      </c>
      <c r="B29" t="s">
        <v>166</v>
      </c>
      <c r="C29" t="s">
        <v>70</v>
      </c>
    </row>
    <row r="30" spans="1:3" x14ac:dyDescent="0.25">
      <c r="A30" t="s">
        <v>102</v>
      </c>
      <c r="B30" t="s">
        <v>167</v>
      </c>
      <c r="C30" t="s">
        <v>72</v>
      </c>
    </row>
    <row r="31" spans="1:3" x14ac:dyDescent="0.25">
      <c r="A31" t="s">
        <v>103</v>
      </c>
      <c r="B31" t="s">
        <v>168</v>
      </c>
      <c r="C31" t="s">
        <v>69</v>
      </c>
    </row>
    <row r="32" spans="1:3" x14ac:dyDescent="0.25">
      <c r="A32" t="s">
        <v>104</v>
      </c>
      <c r="B32" t="s">
        <v>169</v>
      </c>
      <c r="C32" t="s">
        <v>72</v>
      </c>
    </row>
    <row r="33" spans="1:3" x14ac:dyDescent="0.25">
      <c r="A33" t="s">
        <v>105</v>
      </c>
      <c r="B33" t="s">
        <v>170</v>
      </c>
      <c r="C33" t="s">
        <v>69</v>
      </c>
    </row>
    <row r="34" spans="1:3" x14ac:dyDescent="0.25">
      <c r="A34" t="s">
        <v>106</v>
      </c>
      <c r="B34" t="s">
        <v>171</v>
      </c>
      <c r="C34" t="s">
        <v>71</v>
      </c>
    </row>
    <row r="35" spans="1:3" x14ac:dyDescent="0.25">
      <c r="A35" t="s">
        <v>107</v>
      </c>
      <c r="B35" t="s">
        <v>172</v>
      </c>
      <c r="C35" t="s">
        <v>70</v>
      </c>
    </row>
    <row r="36" spans="1:3" x14ac:dyDescent="0.25">
      <c r="A36" t="s">
        <v>108</v>
      </c>
      <c r="B36" t="s">
        <v>173</v>
      </c>
      <c r="C36" t="s">
        <v>70</v>
      </c>
    </row>
    <row r="37" spans="1:3" x14ac:dyDescent="0.25">
      <c r="A37" t="s">
        <v>109</v>
      </c>
      <c r="B37" t="s">
        <v>174</v>
      </c>
      <c r="C37" t="s">
        <v>70</v>
      </c>
    </row>
    <row r="38" spans="1:3" x14ac:dyDescent="0.25">
      <c r="A38" t="s">
        <v>110</v>
      </c>
      <c r="B38" t="s">
        <v>175</v>
      </c>
      <c r="C38" t="s">
        <v>68</v>
      </c>
    </row>
    <row r="39" spans="1:3" x14ac:dyDescent="0.25">
      <c r="A39" t="s">
        <v>111</v>
      </c>
      <c r="B39" t="s">
        <v>176</v>
      </c>
      <c r="C39" t="s">
        <v>71</v>
      </c>
    </row>
    <row r="40" spans="1:3" x14ac:dyDescent="0.25">
      <c r="A40" t="s">
        <v>112</v>
      </c>
      <c r="B40" t="s">
        <v>177</v>
      </c>
      <c r="C40" t="s">
        <v>207</v>
      </c>
    </row>
    <row r="41" spans="1:3" x14ac:dyDescent="0.25">
      <c r="A41" t="s">
        <v>113</v>
      </c>
      <c r="B41" t="s">
        <v>178</v>
      </c>
      <c r="C41" t="s">
        <v>69</v>
      </c>
    </row>
    <row r="42" spans="1:3" x14ac:dyDescent="0.25">
      <c r="A42" t="s">
        <v>114</v>
      </c>
      <c r="B42" t="s">
        <v>179</v>
      </c>
      <c r="C42" t="s">
        <v>73</v>
      </c>
    </row>
    <row r="43" spans="1:3" x14ac:dyDescent="0.25">
      <c r="A43" t="s">
        <v>115</v>
      </c>
      <c r="B43" t="s">
        <v>180</v>
      </c>
      <c r="C43" t="s">
        <v>68</v>
      </c>
    </row>
    <row r="44" spans="1:3" x14ac:dyDescent="0.25">
      <c r="A44" t="s">
        <v>26</v>
      </c>
      <c r="B44" t="s">
        <v>56</v>
      </c>
      <c r="C44" t="s">
        <v>69</v>
      </c>
    </row>
    <row r="45" spans="1:3" x14ac:dyDescent="0.25">
      <c r="A45" t="s">
        <v>116</v>
      </c>
      <c r="B45" t="s">
        <v>181</v>
      </c>
      <c r="C45" t="s">
        <v>72</v>
      </c>
    </row>
    <row r="46" spans="1:3" x14ac:dyDescent="0.25">
      <c r="A46" t="s">
        <v>27</v>
      </c>
      <c r="B46" t="s">
        <v>57</v>
      </c>
      <c r="C46" t="s">
        <v>69</v>
      </c>
    </row>
    <row r="47" spans="1:3" x14ac:dyDescent="0.25">
      <c r="A47" t="s">
        <v>117</v>
      </c>
      <c r="B47" t="s">
        <v>182</v>
      </c>
      <c r="C47" t="s">
        <v>69</v>
      </c>
    </row>
    <row r="48" spans="1:3" x14ac:dyDescent="0.25">
      <c r="A48" t="s">
        <v>118</v>
      </c>
      <c r="B48" t="s">
        <v>183</v>
      </c>
      <c r="C48" t="s">
        <v>70</v>
      </c>
    </row>
    <row r="49" spans="1:3" x14ac:dyDescent="0.25">
      <c r="A49" t="s">
        <v>119</v>
      </c>
      <c r="B49" t="s">
        <v>184</v>
      </c>
      <c r="C49" t="s">
        <v>68</v>
      </c>
    </row>
    <row r="50" spans="1:3" x14ac:dyDescent="0.25">
      <c r="A50" t="s">
        <v>120</v>
      </c>
      <c r="B50" t="s">
        <v>185</v>
      </c>
      <c r="C50" t="s">
        <v>73</v>
      </c>
    </row>
    <row r="51" spans="1:3" x14ac:dyDescent="0.25">
      <c r="A51" t="s">
        <v>121</v>
      </c>
      <c r="B51" t="s">
        <v>186</v>
      </c>
      <c r="C51" t="s">
        <v>69</v>
      </c>
    </row>
    <row r="52" spans="1:3" x14ac:dyDescent="0.25">
      <c r="A52" t="s">
        <v>122</v>
      </c>
      <c r="B52" t="s">
        <v>187</v>
      </c>
      <c r="C52" t="s">
        <v>69</v>
      </c>
    </row>
    <row r="53" spans="1:3" x14ac:dyDescent="0.25">
      <c r="A53" t="s">
        <v>123</v>
      </c>
      <c r="B53" t="s">
        <v>188</v>
      </c>
      <c r="C53" t="s">
        <v>68</v>
      </c>
    </row>
    <row r="54" spans="1:3" x14ac:dyDescent="0.25">
      <c r="A54" t="s">
        <v>124</v>
      </c>
      <c r="B54" t="s">
        <v>189</v>
      </c>
      <c r="C54" t="s">
        <v>72</v>
      </c>
    </row>
    <row r="55" spans="1:3" x14ac:dyDescent="0.25">
      <c r="A55" t="s">
        <v>125</v>
      </c>
      <c r="B55" t="s">
        <v>190</v>
      </c>
      <c r="C55" t="s">
        <v>69</v>
      </c>
    </row>
    <row r="56" spans="1:3" x14ac:dyDescent="0.25">
      <c r="A56" t="s">
        <v>126</v>
      </c>
      <c r="B56" t="s">
        <v>191</v>
      </c>
      <c r="C56" t="s">
        <v>71</v>
      </c>
    </row>
    <row r="57" spans="1:3" x14ac:dyDescent="0.25">
      <c r="A57" t="s">
        <v>127</v>
      </c>
      <c r="B57" t="s">
        <v>192</v>
      </c>
      <c r="C57" t="s">
        <v>70</v>
      </c>
    </row>
    <row r="58" spans="1:3" x14ac:dyDescent="0.25">
      <c r="A58" t="s">
        <v>128</v>
      </c>
      <c r="B58" t="s">
        <v>193</v>
      </c>
      <c r="C58" t="s">
        <v>70</v>
      </c>
    </row>
    <row r="59" spans="1:3" x14ac:dyDescent="0.25">
      <c r="A59" t="s">
        <v>129</v>
      </c>
      <c r="B59" t="s">
        <v>194</v>
      </c>
      <c r="C59" t="s">
        <v>69</v>
      </c>
    </row>
    <row r="60" spans="1:3" x14ac:dyDescent="0.25">
      <c r="A60" t="s">
        <v>130</v>
      </c>
      <c r="B60" t="s">
        <v>195</v>
      </c>
      <c r="C60" t="s">
        <v>73</v>
      </c>
    </row>
    <row r="61" spans="1:3" x14ac:dyDescent="0.25">
      <c r="A61" t="s">
        <v>131</v>
      </c>
      <c r="B61" t="s">
        <v>196</v>
      </c>
      <c r="C61" t="s">
        <v>69</v>
      </c>
    </row>
    <row r="62" spans="1:3" x14ac:dyDescent="0.25">
      <c r="A62" t="s">
        <v>132</v>
      </c>
      <c r="B62" t="s">
        <v>197</v>
      </c>
      <c r="C62" t="s">
        <v>70</v>
      </c>
    </row>
    <row r="63" spans="1:3" x14ac:dyDescent="0.25">
      <c r="A63" t="s">
        <v>133</v>
      </c>
      <c r="B63" t="s">
        <v>198</v>
      </c>
      <c r="C63" t="s">
        <v>72</v>
      </c>
    </row>
    <row r="64" spans="1:3" x14ac:dyDescent="0.25">
      <c r="A64" t="s">
        <v>134</v>
      </c>
      <c r="B64" t="s">
        <v>199</v>
      </c>
      <c r="C64" t="s">
        <v>69</v>
      </c>
    </row>
    <row r="65" spans="1:3" x14ac:dyDescent="0.25">
      <c r="A65" t="s">
        <v>135</v>
      </c>
      <c r="B65" t="s">
        <v>200</v>
      </c>
      <c r="C65" t="s">
        <v>69</v>
      </c>
    </row>
    <row r="66" spans="1:3" x14ac:dyDescent="0.25">
      <c r="A66" t="s">
        <v>136</v>
      </c>
      <c r="B66" t="s">
        <v>201</v>
      </c>
      <c r="C66" t="s">
        <v>207</v>
      </c>
    </row>
    <row r="67" spans="1:3" x14ac:dyDescent="0.25">
      <c r="A67" t="s">
        <v>137</v>
      </c>
      <c r="B67" t="s">
        <v>202</v>
      </c>
      <c r="C67" t="s">
        <v>68</v>
      </c>
    </row>
    <row r="68" spans="1:3" x14ac:dyDescent="0.25">
      <c r="A68" t="s">
        <v>138</v>
      </c>
      <c r="B68" t="s">
        <v>203</v>
      </c>
      <c r="C68" t="s">
        <v>69</v>
      </c>
    </row>
    <row r="69" spans="1:3" x14ac:dyDescent="0.25">
      <c r="A69" t="s">
        <v>139</v>
      </c>
      <c r="B69" t="s">
        <v>204</v>
      </c>
      <c r="C69" t="s">
        <v>70</v>
      </c>
    </row>
    <row r="70" spans="1:3" x14ac:dyDescent="0.25">
      <c r="A70" t="s">
        <v>140</v>
      </c>
      <c r="B70" t="s">
        <v>205</v>
      </c>
      <c r="C70" t="s">
        <v>70</v>
      </c>
    </row>
    <row r="71" spans="1:3" x14ac:dyDescent="0.25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101"/>
  <sheetViews>
    <sheetView tabSelected="1" topLeftCell="A44" workbookViewId="0">
      <selection activeCell="U85" sqref="U85"/>
    </sheetView>
  </sheetViews>
  <sheetFormatPr defaultRowHeight="15" x14ac:dyDescent="0.25"/>
  <sheetData>
    <row r="1" spans="1:87" x14ac:dyDescent="0.25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 x14ac:dyDescent="0.25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 x14ac:dyDescent="0.25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 x14ac:dyDescent="0.25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 x14ac:dyDescent="0.25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74</v>
      </c>
      <c r="U5" t="s">
        <v>403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 x14ac:dyDescent="0.25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 x14ac:dyDescent="0.25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75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74</v>
      </c>
      <c r="U7" t="s">
        <v>405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 x14ac:dyDescent="0.25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128294334417.60001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 x14ac:dyDescent="0.25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188719257.51472899</v>
      </c>
      <c r="J9">
        <v>167291165.44933301</v>
      </c>
      <c r="M9">
        <v>170951676.26156101</v>
      </c>
      <c r="N9">
        <v>21.418990000000001</v>
      </c>
      <c r="O9">
        <v>20.605274000000001</v>
      </c>
      <c r="P9">
        <v>167366310.91666001</v>
      </c>
      <c r="Q9">
        <v>28.784521000000002</v>
      </c>
      <c r="R9">
        <v>168850631.615242</v>
      </c>
      <c r="S9">
        <v>196902206.79192001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 x14ac:dyDescent="0.25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 x14ac:dyDescent="0.25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17.934999999999999</v>
      </c>
      <c r="H11" t="s">
        <v>75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 x14ac:dyDescent="0.25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17.704999999999998</v>
      </c>
      <c r="H12" t="s">
        <v>75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 x14ac:dyDescent="0.25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86.32</v>
      </c>
      <c r="H13" t="s">
        <v>75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0.95000000000000007</v>
      </c>
      <c r="Z13">
        <v>20103015</v>
      </c>
      <c r="AA13">
        <v>0.95000000000000007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 x14ac:dyDescent="0.25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74</v>
      </c>
      <c r="U14" t="s">
        <v>412</v>
      </c>
      <c r="V14">
        <v>1</v>
      </c>
      <c r="W14">
        <v>263.39999999999998</v>
      </c>
      <c r="X14">
        <v>263.39999999999998</v>
      </c>
      <c r="Y14">
        <v>0.70000000000000007</v>
      </c>
      <c r="Z14">
        <v>20102015</v>
      </c>
      <c r="AA14">
        <v>0.70000000000000007</v>
      </c>
      <c r="AB14" t="b">
        <v>1</v>
      </c>
      <c r="AC14">
        <v>99205772311.800003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 x14ac:dyDescent="0.25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74</v>
      </c>
      <c r="U15" t="s">
        <v>413</v>
      </c>
      <c r="V15">
        <v>1</v>
      </c>
      <c r="W15">
        <v>71.400000000000006</v>
      </c>
      <c r="X15">
        <v>71.400000000000006</v>
      </c>
      <c r="Y15">
        <v>1</v>
      </c>
      <c r="Z15">
        <v>30101010</v>
      </c>
      <c r="AA15">
        <v>1</v>
      </c>
      <c r="AB15" t="b">
        <v>1</v>
      </c>
      <c r="AC15">
        <v>97899884811.600006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 x14ac:dyDescent="0.25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 x14ac:dyDescent="0.25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94836951193.600006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 x14ac:dyDescent="0.25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289.39999999999998</v>
      </c>
      <c r="H18" t="s">
        <v>75</v>
      </c>
      <c r="I18">
        <v>149366068.56733301</v>
      </c>
      <c r="J18">
        <v>122167439.483787</v>
      </c>
      <c r="M18">
        <v>133110218.095415</v>
      </c>
      <c r="N18">
        <v>20.578779999999998</v>
      </c>
      <c r="O18">
        <v>20.293333000000001</v>
      </c>
      <c r="P18">
        <v>131784930.993448</v>
      </c>
      <c r="Q18">
        <v>28.38711</v>
      </c>
      <c r="R18">
        <v>133887965.56734499</v>
      </c>
      <c r="S18">
        <v>156120652.26238501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91949453008.349991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 x14ac:dyDescent="0.25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23.904568000000001</v>
      </c>
      <c r="P19">
        <v>112340319.76193599</v>
      </c>
      <c r="Q19">
        <v>25.882712999999999</v>
      </c>
      <c r="R19">
        <v>120144617.37831201</v>
      </c>
      <c r="S19">
        <v>140136487.22382599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86833153429.199997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 x14ac:dyDescent="0.25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5.6189999999999998</v>
      </c>
      <c r="H20" t="s">
        <v>75</v>
      </c>
      <c r="I20">
        <v>293767090.16672999</v>
      </c>
      <c r="J20">
        <v>325066381.92893302</v>
      </c>
      <c r="M20">
        <v>268153499.05000001</v>
      </c>
      <c r="N20">
        <v>23.324428999999999</v>
      </c>
      <c r="O20">
        <v>24.010738</v>
      </c>
      <c r="P20">
        <v>268929667.19718999</v>
      </c>
      <c r="Q20">
        <v>28.28163</v>
      </c>
      <c r="R20">
        <v>282868481.63398498</v>
      </c>
      <c r="S20">
        <v>329523646.21244597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78276668988.357605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 x14ac:dyDescent="0.25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272690777.11666697</v>
      </c>
      <c r="M21">
        <v>210262953.379848</v>
      </c>
      <c r="N21">
        <v>45.854773999999999</v>
      </c>
      <c r="O21">
        <v>48.048842999999998</v>
      </c>
      <c r="P21">
        <v>213577981.57269999</v>
      </c>
      <c r="Q21">
        <v>48.263446999999999</v>
      </c>
      <c r="R21">
        <v>232526896.06818199</v>
      </c>
      <c r="S21">
        <v>271067388.24797499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 x14ac:dyDescent="0.25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193406350.51875299</v>
      </c>
      <c r="M22">
        <v>196214994.42096701</v>
      </c>
      <c r="N22">
        <v>26.853807</v>
      </c>
      <c r="O22">
        <v>27.375444000000002</v>
      </c>
      <c r="P22">
        <v>192976695.211927</v>
      </c>
      <c r="Q22">
        <v>30.013380000000002</v>
      </c>
      <c r="R22">
        <v>208626228.82238901</v>
      </c>
      <c r="S22">
        <v>243014105.80956301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0.95000000000000007</v>
      </c>
      <c r="Z22">
        <v>30101010</v>
      </c>
      <c r="AA22">
        <v>0.95000000000000007</v>
      </c>
      <c r="AB22" t="b">
        <v>1</v>
      </c>
      <c r="AC22">
        <v>74764830734.500504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 x14ac:dyDescent="0.25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441109219.53063202</v>
      </c>
      <c r="J23">
        <v>428647618.11666697</v>
      </c>
      <c r="M23">
        <v>450486791.65151501</v>
      </c>
      <c r="N23">
        <v>42.579740000000001</v>
      </c>
      <c r="O23">
        <v>39.891370000000002</v>
      </c>
      <c r="P23">
        <v>406969931.77499998</v>
      </c>
      <c r="Q23">
        <v>47.267519999999998</v>
      </c>
      <c r="R23">
        <v>395799948.12121201</v>
      </c>
      <c r="S23">
        <v>461550881.07191098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 x14ac:dyDescent="0.25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130284135.80833299</v>
      </c>
      <c r="N24">
        <v>21.038910000000001</v>
      </c>
      <c r="O24">
        <v>21.719397000000001</v>
      </c>
      <c r="P24">
        <v>125067300.40700001</v>
      </c>
      <c r="Q24">
        <v>25.573225000000001</v>
      </c>
      <c r="R24">
        <v>126417449.87424199</v>
      </c>
      <c r="S24">
        <v>147461314.67462799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 x14ac:dyDescent="0.25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159939019.05349001</v>
      </c>
      <c r="J25">
        <v>162393494.675733</v>
      </c>
      <c r="M25">
        <v>151563173.118258</v>
      </c>
      <c r="N25">
        <v>20.694818000000001</v>
      </c>
      <c r="O25">
        <v>21.842217999999999</v>
      </c>
      <c r="P25">
        <v>144296844.14829999</v>
      </c>
      <c r="Q25">
        <v>23.645367</v>
      </c>
      <c r="R25">
        <v>151847210.35128799</v>
      </c>
      <c r="S25">
        <v>176913247.69380099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0.85000000000000009</v>
      </c>
      <c r="Z25">
        <v>30302010</v>
      </c>
      <c r="AA25">
        <v>0.85000000000000009</v>
      </c>
      <c r="AB25" t="b">
        <v>1</v>
      </c>
      <c r="AC25">
        <v>68844802995.739014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 x14ac:dyDescent="0.25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131511670.27002899</v>
      </c>
      <c r="J26">
        <v>107177149.638</v>
      </c>
      <c r="M26">
        <v>115867344.15424199</v>
      </c>
      <c r="N26">
        <v>23.927814000000001</v>
      </c>
      <c r="O26">
        <v>24.204713999999999</v>
      </c>
      <c r="P26">
        <v>111492686.25077499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67348013237.160004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 x14ac:dyDescent="0.25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99979651.600199997</v>
      </c>
      <c r="M27">
        <v>119493976.65531699</v>
      </c>
      <c r="N27">
        <v>26.302942000000002</v>
      </c>
      <c r="O27">
        <v>28.087807000000002</v>
      </c>
      <c r="P27">
        <v>114540131.815018</v>
      </c>
      <c r="Q27">
        <v>27.303678999999999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67268829326.400009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 x14ac:dyDescent="0.25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8.7840000000000007</v>
      </c>
      <c r="H28" t="s">
        <v>75</v>
      </c>
      <c r="I28">
        <v>178472124.09025201</v>
      </c>
      <c r="J28">
        <v>166540023.89559999</v>
      </c>
      <c r="M28">
        <v>151513143.60681701</v>
      </c>
      <c r="N28">
        <v>12.591810000000001</v>
      </c>
      <c r="O28">
        <v>12.996295999999999</v>
      </c>
      <c r="P28">
        <v>149832237.82745501</v>
      </c>
      <c r="Q28">
        <v>17.718805</v>
      </c>
      <c r="R28">
        <v>148575094.24025801</v>
      </c>
      <c r="S28">
        <v>173125633.060821</v>
      </c>
      <c r="T28" t="s">
        <v>74</v>
      </c>
      <c r="U28" t="s">
        <v>426</v>
      </c>
      <c r="V28">
        <v>1</v>
      </c>
      <c r="W28">
        <v>9.0649999999999995</v>
      </c>
      <c r="X28">
        <v>9.0649999999999995</v>
      </c>
      <c r="Y28">
        <v>0.75</v>
      </c>
      <c r="Z28">
        <v>65101015</v>
      </c>
      <c r="AA28">
        <v>0.75</v>
      </c>
      <c r="AB28" t="b">
        <v>1</v>
      </c>
      <c r="AC28">
        <v>66978087484.248009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 x14ac:dyDescent="0.25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21.515000000000001</v>
      </c>
      <c r="H29" t="s">
        <v>75</v>
      </c>
      <c r="I29">
        <v>170408597.703926</v>
      </c>
      <c r="J29">
        <v>152586669.825167</v>
      </c>
      <c r="M29">
        <v>155114984.77874199</v>
      </c>
      <c r="N29">
        <v>20.634764000000001</v>
      </c>
      <c r="O29">
        <v>21.073732</v>
      </c>
      <c r="P29">
        <v>153214078.20695001</v>
      </c>
      <c r="Q29">
        <v>26.629899999999999</v>
      </c>
      <c r="R29">
        <v>159444477.67242399</v>
      </c>
      <c r="S29">
        <v>185876374.37553799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65008494805.019997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 x14ac:dyDescent="0.25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113543783.84716199</v>
      </c>
      <c r="J30">
        <v>82508689.396653295</v>
      </c>
      <c r="M30">
        <v>105480357.709933</v>
      </c>
      <c r="N30">
        <v>19.922636000000001</v>
      </c>
      <c r="O30">
        <v>21.265522000000001</v>
      </c>
      <c r="P30">
        <v>100628671.517362</v>
      </c>
      <c r="Q30">
        <v>20.998957000000001</v>
      </c>
      <c r="R30">
        <v>102877582.43767001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 x14ac:dyDescent="0.25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29.385000000000002</v>
      </c>
      <c r="H31" t="s">
        <v>75</v>
      </c>
      <c r="I31">
        <v>170153144.36817199</v>
      </c>
      <c r="J31">
        <v>162831730.796</v>
      </c>
      <c r="M31">
        <v>168472774.81662899</v>
      </c>
      <c r="N31">
        <v>30.730796999999999</v>
      </c>
      <c r="O31">
        <v>30.842863000000001</v>
      </c>
      <c r="P31">
        <v>170715450.21277499</v>
      </c>
      <c r="Q31">
        <v>36.20055</v>
      </c>
      <c r="R31">
        <v>177981689.83113599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 x14ac:dyDescent="0.25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99692315.117411703</v>
      </c>
      <c r="J32">
        <v>86159215.122666702</v>
      </c>
      <c r="M32">
        <v>85234178.569962099</v>
      </c>
      <c r="N32">
        <v>24.127241000000001</v>
      </c>
      <c r="O32">
        <v>26.022393999999998</v>
      </c>
      <c r="P32">
        <v>76696295.864549994</v>
      </c>
      <c r="Q32">
        <v>23.205466999999999</v>
      </c>
      <c r="R32">
        <v>73898708.7979545</v>
      </c>
      <c r="S32">
        <v>86128671.132137001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0.55000000000000004</v>
      </c>
      <c r="Z32">
        <v>45101010</v>
      </c>
      <c r="AA32">
        <v>0.55000000000000004</v>
      </c>
      <c r="AB32" t="b">
        <v>1</v>
      </c>
      <c r="AC32">
        <v>53772223192.160004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 x14ac:dyDescent="0.25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78.459999999999994</v>
      </c>
      <c r="H33" t="s">
        <v>75</v>
      </c>
      <c r="I33">
        <v>89187470.845429093</v>
      </c>
      <c r="J33">
        <v>77875664.540000007</v>
      </c>
      <c r="M33">
        <v>76458845.763063699</v>
      </c>
      <c r="N33">
        <v>18.218976999999999</v>
      </c>
      <c r="O33">
        <v>19.518609999999999</v>
      </c>
      <c r="P33">
        <v>75441701.222443998</v>
      </c>
      <c r="Q33">
        <v>19.109919999999999</v>
      </c>
      <c r="R33">
        <v>74833743.850218207</v>
      </c>
      <c r="S33">
        <v>87189947.560488701</v>
      </c>
      <c r="T33" t="s">
        <v>74</v>
      </c>
      <c r="U33" t="s">
        <v>431</v>
      </c>
      <c r="V33">
        <v>1</v>
      </c>
      <c r="W33">
        <v>74.400000000000006</v>
      </c>
      <c r="X33">
        <v>74.400000000000006</v>
      </c>
      <c r="Y33">
        <v>0.95000000000000007</v>
      </c>
      <c r="Z33">
        <v>45102020</v>
      </c>
      <c r="AA33">
        <v>0.95000000000000007</v>
      </c>
      <c r="AB33" t="b">
        <v>1</v>
      </c>
      <c r="AC33">
        <v>50789100579.370987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 x14ac:dyDescent="0.25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142026480.02399999</v>
      </c>
      <c r="M34">
        <v>106887525.11382601</v>
      </c>
      <c r="N34">
        <v>23.16405</v>
      </c>
      <c r="O34">
        <v>23.343883999999999</v>
      </c>
      <c r="P34">
        <v>107928229.6776</v>
      </c>
      <c r="Q34">
        <v>25.288754999999998</v>
      </c>
      <c r="R34">
        <v>121435820.174242</v>
      </c>
      <c r="S34">
        <v>141326631.93808499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 x14ac:dyDescent="0.25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49963237.465294197</v>
      </c>
      <c r="J35">
        <v>55411929.293333299</v>
      </c>
      <c r="M35">
        <v>56477555.834469698</v>
      </c>
      <c r="N35">
        <v>32.719334000000003</v>
      </c>
      <c r="O35">
        <v>33.887419999999999</v>
      </c>
      <c r="P35">
        <v>62904879.689000003</v>
      </c>
      <c r="Q35">
        <v>36.607117000000002</v>
      </c>
      <c r="R35">
        <v>71799660.425757498</v>
      </c>
      <c r="S35">
        <v>83818950.664562598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49279768370.400002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 x14ac:dyDescent="0.25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66453499.368433803</v>
      </c>
      <c r="J36">
        <v>63414555.982666701</v>
      </c>
      <c r="M36">
        <v>54290958.423692301</v>
      </c>
      <c r="N36">
        <v>18.596834000000001</v>
      </c>
      <c r="O36">
        <v>18.859200999999999</v>
      </c>
      <c r="P36">
        <v>52763447.971100003</v>
      </c>
      <c r="Q36">
        <v>23.394123</v>
      </c>
      <c r="R36">
        <v>54685575.574848503</v>
      </c>
      <c r="S36">
        <v>63718870.813999698</v>
      </c>
      <c r="T36" t="s">
        <v>74</v>
      </c>
      <c r="U36" t="s">
        <v>434</v>
      </c>
      <c r="V36">
        <v>1</v>
      </c>
      <c r="W36">
        <v>16.440000000000001</v>
      </c>
      <c r="X36">
        <v>16.440000000000001</v>
      </c>
      <c r="Y36">
        <v>0.95</v>
      </c>
      <c r="Z36">
        <v>30101010</v>
      </c>
      <c r="AA36">
        <v>0.95</v>
      </c>
      <c r="AB36" t="b">
        <v>1</v>
      </c>
      <c r="AC36">
        <v>48042012500.300003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 x14ac:dyDescent="0.25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87052822.919011801</v>
      </c>
      <c r="J37">
        <v>78161804.726999998</v>
      </c>
      <c r="M37">
        <v>68178803.427992404</v>
      </c>
      <c r="N37">
        <v>23.509927999999999</v>
      </c>
      <c r="O37">
        <v>24.419294000000001</v>
      </c>
      <c r="P37">
        <v>63448323.867550001</v>
      </c>
      <c r="Q37">
        <v>26.919172</v>
      </c>
      <c r="R37">
        <v>61781740.444696903</v>
      </c>
      <c r="S37">
        <v>71999492.791794896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 x14ac:dyDescent="0.25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142818936.84270799</v>
      </c>
      <c r="J38">
        <v>154722964.08966699</v>
      </c>
      <c r="M38">
        <v>130403003.532235</v>
      </c>
      <c r="N38">
        <v>32.71463</v>
      </c>
      <c r="O38">
        <v>34.115989999999996</v>
      </c>
      <c r="P38">
        <v>126611680.444575</v>
      </c>
      <c r="Q38">
        <v>38.333489999999998</v>
      </c>
      <c r="R38">
        <v>125630830.533409</v>
      </c>
      <c r="S38">
        <v>146351395.30293599</v>
      </c>
      <c r="T38" t="s">
        <v>74</v>
      </c>
      <c r="U38" t="s">
        <v>436</v>
      </c>
      <c r="V38">
        <v>1</v>
      </c>
      <c r="W38">
        <v>39.909999999999997</v>
      </c>
      <c r="X38">
        <v>39.909999999999997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 x14ac:dyDescent="0.25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92217904.973122507</v>
      </c>
      <c r="J39">
        <v>87659123.730000004</v>
      </c>
      <c r="M39">
        <v>82567655.923484802</v>
      </c>
      <c r="N39">
        <v>18.901009999999999</v>
      </c>
      <c r="O39">
        <v>19.265366</v>
      </c>
      <c r="P39">
        <v>80430486.472000003</v>
      </c>
      <c r="Q39">
        <v>23.373327</v>
      </c>
      <c r="R39">
        <v>80560922.512878805</v>
      </c>
      <c r="S39">
        <v>93941883.061751395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 x14ac:dyDescent="0.25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25.013836000000001</v>
      </c>
      <c r="O40">
        <v>25.060022</v>
      </c>
      <c r="P40">
        <v>108855975.98317499</v>
      </c>
      <c r="Q40">
        <v>27.681898</v>
      </c>
      <c r="R40">
        <v>111281305.090985</v>
      </c>
      <c r="S40">
        <v>129699924.29912101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 x14ac:dyDescent="0.25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95677391.346666694</v>
      </c>
      <c r="M41">
        <v>104933001.11287899</v>
      </c>
      <c r="N41">
        <v>32.805312999999998</v>
      </c>
      <c r="O41">
        <v>33.215983999999999</v>
      </c>
      <c r="P41">
        <v>99682518.983999893</v>
      </c>
      <c r="Q41">
        <v>35.799624999999999</v>
      </c>
      <c r="R41">
        <v>91669504.327272698</v>
      </c>
      <c r="S41">
        <v>106864711.33240899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 x14ac:dyDescent="0.25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91648028.187862799</v>
      </c>
      <c r="J42">
        <v>104576195.347067</v>
      </c>
      <c r="M42">
        <v>79798898.469393998</v>
      </c>
      <c r="N42">
        <v>16.273924000000001</v>
      </c>
      <c r="O42">
        <v>16.579367000000001</v>
      </c>
      <c r="P42">
        <v>77569150.878999993</v>
      </c>
      <c r="Q42">
        <v>19.988634000000001</v>
      </c>
      <c r="R42">
        <v>80919661.931818202</v>
      </c>
      <c r="S42">
        <v>94211911.034526795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39488146453.365013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 x14ac:dyDescent="0.25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159191933.28095201</v>
      </c>
      <c r="J43">
        <v>196710223.32333401</v>
      </c>
      <c r="M43">
        <v>161076798.34389299</v>
      </c>
      <c r="N43">
        <v>36.226227000000002</v>
      </c>
      <c r="O43">
        <v>39.110584000000003</v>
      </c>
      <c r="P43">
        <v>175205141.329</v>
      </c>
      <c r="Q43">
        <v>34.986396999999997</v>
      </c>
      <c r="R43">
        <v>196771513.91818199</v>
      </c>
      <c r="S43">
        <v>228887602.858601</v>
      </c>
      <c r="T43" t="s">
        <v>74</v>
      </c>
      <c r="U43" t="s">
        <v>441</v>
      </c>
      <c r="V43">
        <v>1</v>
      </c>
      <c r="W43">
        <v>321.39999999999998</v>
      </c>
      <c r="X43">
        <v>321.39999999999998</v>
      </c>
      <c r="Y43">
        <v>0.60000000000000009</v>
      </c>
      <c r="Z43">
        <v>40101020</v>
      </c>
      <c r="AA43">
        <v>0.60000000000000009</v>
      </c>
      <c r="AB43" t="b">
        <v>1</v>
      </c>
      <c r="AC43">
        <v>39234602317.680008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 x14ac:dyDescent="0.25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99043942.280333295</v>
      </c>
      <c r="M44">
        <v>102948988.85159101</v>
      </c>
      <c r="N44">
        <v>24.359500000000001</v>
      </c>
      <c r="O44">
        <v>24.48902</v>
      </c>
      <c r="P44">
        <v>102183569.09805</v>
      </c>
      <c r="Q44">
        <v>26.716286</v>
      </c>
      <c r="R44">
        <v>92868303.067121193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 x14ac:dyDescent="0.25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116670932.84463499</v>
      </c>
      <c r="J45">
        <v>106274498.25399999</v>
      </c>
      <c r="M45">
        <v>110451050.100033</v>
      </c>
      <c r="N45">
        <v>31.680330000000001</v>
      </c>
      <c r="O45">
        <v>32.316142999999997</v>
      </c>
      <c r="P45">
        <v>112619549.641993</v>
      </c>
      <c r="Q45">
        <v>34.544589999999999</v>
      </c>
      <c r="R45">
        <v>120101190.28756499</v>
      </c>
      <c r="S45">
        <v>139982609.69790301</v>
      </c>
      <c r="T45" t="s">
        <v>74</v>
      </c>
      <c r="U45" t="s">
        <v>443</v>
      </c>
      <c r="V45">
        <v>1</v>
      </c>
      <c r="W45">
        <v>70.319999999999993</v>
      </c>
      <c r="X45">
        <v>70.319999999999993</v>
      </c>
      <c r="Y45">
        <v>0.9</v>
      </c>
      <c r="Z45">
        <v>30101010</v>
      </c>
      <c r="AA45">
        <v>0.9</v>
      </c>
      <c r="AB45" t="b">
        <v>1</v>
      </c>
      <c r="AC45">
        <v>39024208080.396004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 x14ac:dyDescent="0.25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82994862.638079897</v>
      </c>
      <c r="M46">
        <v>86660199.673592404</v>
      </c>
      <c r="N46">
        <v>28.463395999999999</v>
      </c>
      <c r="O46">
        <v>28.772099999999998</v>
      </c>
      <c r="P46">
        <v>87159863.752391994</v>
      </c>
      <c r="Q46">
        <v>32.910170000000001</v>
      </c>
      <c r="R46">
        <v>90561594.383093998</v>
      </c>
      <c r="S46">
        <v>105516015.84645601</v>
      </c>
      <c r="T46" t="s">
        <v>74</v>
      </c>
      <c r="U46" t="s">
        <v>444</v>
      </c>
      <c r="V46">
        <v>1</v>
      </c>
      <c r="W46">
        <v>85.24</v>
      </c>
      <c r="X46">
        <v>85.24</v>
      </c>
      <c r="Y46">
        <v>0.9</v>
      </c>
      <c r="Z46">
        <v>50101035</v>
      </c>
      <c r="AA46">
        <v>0.9</v>
      </c>
      <c r="AB46" t="b">
        <v>1</v>
      </c>
      <c r="AC46">
        <v>36516762901.889999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 x14ac:dyDescent="0.25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75787240.674851805</v>
      </c>
      <c r="J47">
        <v>68178826.370000005</v>
      </c>
      <c r="M47">
        <v>64558929.0889204</v>
      </c>
      <c r="N47">
        <v>16.391392</v>
      </c>
      <c r="O47">
        <v>16.318871999999999</v>
      </c>
      <c r="P47">
        <v>59693199.148474999</v>
      </c>
      <c r="Q47">
        <v>19.656117999999999</v>
      </c>
      <c r="R47">
        <v>59440270.1259849</v>
      </c>
      <c r="S47">
        <v>69301798.764840096</v>
      </c>
      <c r="T47" t="s">
        <v>74</v>
      </c>
      <c r="U47" t="s">
        <v>445</v>
      </c>
      <c r="V47">
        <v>1</v>
      </c>
      <c r="W47">
        <v>16.344999999999999</v>
      </c>
      <c r="X47">
        <v>16.344999999999999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 x14ac:dyDescent="0.25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65263619.848812602</v>
      </c>
      <c r="J48">
        <v>97086327.625039905</v>
      </c>
      <c r="M48">
        <v>70383967.219751507</v>
      </c>
      <c r="N48">
        <v>29.225881999999999</v>
      </c>
      <c r="O48">
        <v>31.214537</v>
      </c>
      <c r="P48">
        <v>75273279.681071997</v>
      </c>
      <c r="Q48">
        <v>29.133050000000001</v>
      </c>
      <c r="R48">
        <v>80639088.683821201</v>
      </c>
      <c r="S48">
        <v>93970508.512403801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33265871231.049999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 x14ac:dyDescent="0.25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75523745.457000002</v>
      </c>
      <c r="M49">
        <v>91219974.853320599</v>
      </c>
      <c r="N49">
        <v>17.125050000000002</v>
      </c>
      <c r="O49">
        <v>17.546258999999999</v>
      </c>
      <c r="P49">
        <v>73615634.569900006</v>
      </c>
      <c r="Q49">
        <v>21.65898</v>
      </c>
      <c r="R49">
        <v>74009122.535757601</v>
      </c>
      <c r="S49">
        <v>86287613.120007694</v>
      </c>
      <c r="T49" t="s">
        <v>74</v>
      </c>
      <c r="U49" t="s">
        <v>447</v>
      </c>
      <c r="V49">
        <v>1</v>
      </c>
      <c r="W49">
        <v>36.130000000000003</v>
      </c>
      <c r="X49">
        <v>36.130000000000003</v>
      </c>
      <c r="Y49">
        <v>0.65</v>
      </c>
      <c r="Z49">
        <v>30302010</v>
      </c>
      <c r="AA49">
        <v>0.65</v>
      </c>
      <c r="AB49" t="b">
        <v>1</v>
      </c>
      <c r="AC49">
        <v>33252960200.349499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 x14ac:dyDescent="0.25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166761658.73912701</v>
      </c>
      <c r="J50">
        <v>142515621.64340001</v>
      </c>
      <c r="M50">
        <v>155468087.447649</v>
      </c>
      <c r="N50">
        <v>14.851141999999999</v>
      </c>
      <c r="O50">
        <v>14.622597000000001</v>
      </c>
      <c r="P50">
        <v>151581012.86406001</v>
      </c>
      <c r="Q50">
        <v>21.121368</v>
      </c>
      <c r="R50">
        <v>161055156.45449999</v>
      </c>
      <c r="S50">
        <v>187677318.683135</v>
      </c>
      <c r="T50" t="s">
        <v>74</v>
      </c>
      <c r="U50" t="s">
        <v>448</v>
      </c>
      <c r="V50">
        <v>1</v>
      </c>
      <c r="W50">
        <v>16.600000000000001</v>
      </c>
      <c r="X50">
        <v>16.600000000000001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 x14ac:dyDescent="0.25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9.2539999999999996</v>
      </c>
      <c r="H51" t="s">
        <v>75</v>
      </c>
      <c r="I51">
        <v>62448678.087694898</v>
      </c>
      <c r="J51">
        <v>135073762.49853301</v>
      </c>
      <c r="M51">
        <v>58951377.241015203</v>
      </c>
      <c r="N51">
        <v>22.261782</v>
      </c>
      <c r="O51">
        <v>21.866230000000002</v>
      </c>
      <c r="P51">
        <v>59991050.236759998</v>
      </c>
      <c r="Q51">
        <v>29.400314000000002</v>
      </c>
      <c r="R51">
        <v>67273797.403015196</v>
      </c>
      <c r="S51">
        <v>78123008.163468003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32784911105.799999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 x14ac:dyDescent="0.25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72184738.335451007</v>
      </c>
      <c r="J52">
        <v>58839060.653666697</v>
      </c>
      <c r="M52">
        <v>61311080.764507599</v>
      </c>
      <c r="N52">
        <v>13.654821</v>
      </c>
      <c r="O52">
        <v>13.567313</v>
      </c>
      <c r="P52">
        <v>59486377.781999998</v>
      </c>
      <c r="Q52">
        <v>16.369812</v>
      </c>
      <c r="R52">
        <v>58854184.471287899</v>
      </c>
      <c r="S52">
        <v>68591726.965471104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31679902009.759998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 x14ac:dyDescent="0.25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77436450.368181795</v>
      </c>
      <c r="J53">
        <v>95247136.475999996</v>
      </c>
      <c r="M53">
        <v>68392421.3998864</v>
      </c>
      <c r="N53">
        <v>22.598922999999999</v>
      </c>
      <c r="O53">
        <v>24.297080000000001</v>
      </c>
      <c r="P53">
        <v>66190049.507799998</v>
      </c>
      <c r="Q53">
        <v>23.352789000000001</v>
      </c>
      <c r="R53">
        <v>71529820.676515102</v>
      </c>
      <c r="S53">
        <v>83313798.456460893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29482889803.200001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 x14ac:dyDescent="0.25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46280059.667941198</v>
      </c>
      <c r="J54">
        <v>71796824.333333299</v>
      </c>
      <c r="M54">
        <v>47399485.4778409</v>
      </c>
      <c r="N54">
        <v>35.705143</v>
      </c>
      <c r="O54">
        <v>37.489359999999998</v>
      </c>
      <c r="P54">
        <v>50837791.406499997</v>
      </c>
      <c r="Q54">
        <v>40.620586000000003</v>
      </c>
      <c r="R54">
        <v>58454084.428030297</v>
      </c>
      <c r="S54">
        <v>68076770.024208993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29457881904.099998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 x14ac:dyDescent="0.25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89.1</v>
      </c>
      <c r="H55" t="s">
        <v>75</v>
      </c>
      <c r="I55">
        <v>31702419.823537499</v>
      </c>
      <c r="J55">
        <v>25312122.309999999</v>
      </c>
      <c r="M55">
        <v>28344772.147348501</v>
      </c>
      <c r="N55">
        <v>24.85248</v>
      </c>
      <c r="O55">
        <v>25.278890000000001</v>
      </c>
      <c r="P55">
        <v>26797077.719000001</v>
      </c>
      <c r="Q55">
        <v>31.482230000000001</v>
      </c>
      <c r="R55">
        <v>27409353.796969701</v>
      </c>
      <c r="S55">
        <v>31962163.378448799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29261464293.599998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 x14ac:dyDescent="0.25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60440865.205615401</v>
      </c>
      <c r="N56">
        <v>44.634284999999998</v>
      </c>
      <c r="O56">
        <v>48.75582</v>
      </c>
      <c r="P56">
        <v>67323848.028799996</v>
      </c>
      <c r="Q56">
        <v>42.792059999999999</v>
      </c>
      <c r="R56">
        <v>83697742.174999997</v>
      </c>
      <c r="S56">
        <v>97482564.918623894</v>
      </c>
      <c r="T56" t="s">
        <v>74</v>
      </c>
      <c r="U56" t="s">
        <v>454</v>
      </c>
      <c r="V56">
        <v>1</v>
      </c>
      <c r="W56">
        <v>5.5640000000000001</v>
      </c>
      <c r="X56">
        <v>5.5640000000000001</v>
      </c>
      <c r="Y56">
        <v>0.95</v>
      </c>
      <c r="Z56">
        <v>15101010</v>
      </c>
      <c r="AA56">
        <v>0.95</v>
      </c>
      <c r="AB56" t="b">
        <v>1</v>
      </c>
      <c r="AC56">
        <v>27984805177.950001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 x14ac:dyDescent="0.25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51215041.609991297</v>
      </c>
      <c r="J57">
        <v>40648881.130053297</v>
      </c>
      <c r="M57">
        <v>57538913.375477999</v>
      </c>
      <c r="N57">
        <v>26.424123999999999</v>
      </c>
      <c r="O57">
        <v>26.347276999999998</v>
      </c>
      <c r="P57">
        <v>42718725.341025002</v>
      </c>
      <c r="Q57">
        <v>28.947744</v>
      </c>
      <c r="R57">
        <v>45869902.577095501</v>
      </c>
      <c r="S57">
        <v>53505816.884655297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27923605785.919998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 x14ac:dyDescent="0.25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47681926.781686299</v>
      </c>
      <c r="J58">
        <v>42585387.600000001</v>
      </c>
      <c r="M58">
        <v>41836326.664696999</v>
      </c>
      <c r="N58">
        <v>20.287405</v>
      </c>
      <c r="O58">
        <v>18.934443000000002</v>
      </c>
      <c r="P58">
        <v>39456026.0022</v>
      </c>
      <c r="Q58">
        <v>25.379947999999999</v>
      </c>
      <c r="R58">
        <v>40071937.1187879</v>
      </c>
      <c r="S58">
        <v>46709167.596201099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 x14ac:dyDescent="0.25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27.585000000000001</v>
      </c>
      <c r="H59" t="s">
        <v>75</v>
      </c>
      <c r="I59">
        <v>80528977.131104693</v>
      </c>
      <c r="J59">
        <v>64711634.033</v>
      </c>
      <c r="M59">
        <v>70798654.328465894</v>
      </c>
      <c r="N59">
        <v>32.553542999999998</v>
      </c>
      <c r="O59">
        <v>32.919840000000001</v>
      </c>
      <c r="P59">
        <v>65891736.374425001</v>
      </c>
      <c r="Q59">
        <v>36.567383</v>
      </c>
      <c r="R59">
        <v>59831212.094962098</v>
      </c>
      <c r="S59">
        <v>69761047.993120596</v>
      </c>
      <c r="T59" t="s">
        <v>74</v>
      </c>
      <c r="U59" t="s">
        <v>457</v>
      </c>
      <c r="V59">
        <v>1</v>
      </c>
      <c r="W59">
        <v>38.200000000000003</v>
      </c>
      <c r="X59">
        <v>38.200000000000003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 x14ac:dyDescent="0.25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107899259.43547399</v>
      </c>
      <c r="J60">
        <v>89920548.676666707</v>
      </c>
      <c r="M60">
        <v>100136664.235227</v>
      </c>
      <c r="N60">
        <v>33.168934</v>
      </c>
      <c r="O60">
        <v>34.763446999999999</v>
      </c>
      <c r="P60">
        <v>102936456.99225</v>
      </c>
      <c r="Q60">
        <v>35.543674000000003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 x14ac:dyDescent="0.25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51002020.729353704</v>
      </c>
      <c r="J61">
        <v>58492804.093999997</v>
      </c>
      <c r="M61">
        <v>54577960.631919697</v>
      </c>
      <c r="N61">
        <v>15.262444</v>
      </c>
      <c r="O61">
        <v>16.152155</v>
      </c>
      <c r="P61">
        <v>54200476.420649998</v>
      </c>
      <c r="Q61">
        <v>20.350206</v>
      </c>
      <c r="R61">
        <v>66943113.751287803</v>
      </c>
      <c r="S61">
        <v>78004976.785517395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25812047461.200001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 x14ac:dyDescent="0.25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69702260.553656206</v>
      </c>
      <c r="J62">
        <v>72000492.670000002</v>
      </c>
      <c r="M62">
        <v>66718540.974431798</v>
      </c>
      <c r="N62">
        <v>30.315538</v>
      </c>
      <c r="O62">
        <v>29.516715999999999</v>
      </c>
      <c r="P62">
        <v>62431880.27375</v>
      </c>
      <c r="Q62">
        <v>34.222735999999998</v>
      </c>
      <c r="R62">
        <v>61645977.8102272</v>
      </c>
      <c r="S62">
        <v>71836006.321187899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25767186051.599998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 x14ac:dyDescent="0.25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9.9540000000000006</v>
      </c>
      <c r="H63" t="s">
        <v>75</v>
      </c>
      <c r="I63">
        <v>29063627.203413598</v>
      </c>
      <c r="J63">
        <v>30247059.484666701</v>
      </c>
      <c r="M63">
        <v>27726956.0843077</v>
      </c>
      <c r="N63">
        <v>13.247197999999999</v>
      </c>
      <c r="O63">
        <v>13.865957999999999</v>
      </c>
      <c r="P63">
        <v>27315858.8838</v>
      </c>
      <c r="Q63">
        <v>17.619641999999999</v>
      </c>
      <c r="R63">
        <v>27913699.4480303</v>
      </c>
      <c r="S63">
        <v>32527837.379808702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25245994750.200001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 x14ac:dyDescent="0.25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46598460.615490198</v>
      </c>
      <c r="J64">
        <v>39786466.410666697</v>
      </c>
      <c r="M64">
        <v>47611055.378674202</v>
      </c>
      <c r="N64">
        <v>25.067509000000001</v>
      </c>
      <c r="O64">
        <v>25.950218</v>
      </c>
      <c r="P64">
        <v>39603259.70025</v>
      </c>
      <c r="Q64">
        <v>26.648779999999999</v>
      </c>
      <c r="R64">
        <v>39325563.061590903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0.60000000000000009</v>
      </c>
      <c r="Z64">
        <v>40301035</v>
      </c>
      <c r="AA64">
        <v>0.60000000000000009</v>
      </c>
      <c r="AB64" t="b">
        <v>1</v>
      </c>
      <c r="AC64">
        <v>24882506961.563999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 x14ac:dyDescent="0.25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39495466.120313801</v>
      </c>
      <c r="J65">
        <v>40066030.393333301</v>
      </c>
      <c r="M65">
        <v>36083655.993257597</v>
      </c>
      <c r="N65">
        <v>19.155403</v>
      </c>
      <c r="O65">
        <v>19.713436000000002</v>
      </c>
      <c r="P65">
        <v>36288231.053900003</v>
      </c>
      <c r="Q65">
        <v>24.682182000000001</v>
      </c>
      <c r="R65">
        <v>37189984.759242401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0.55000000000000004</v>
      </c>
      <c r="Z65">
        <v>30101010</v>
      </c>
      <c r="AA65">
        <v>0.55000000000000004</v>
      </c>
      <c r="AB65" t="b">
        <v>1</v>
      </c>
      <c r="AC65">
        <v>24193551969.317501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 x14ac:dyDescent="0.25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48459845.354386702</v>
      </c>
      <c r="M66">
        <v>61756594.0257046</v>
      </c>
      <c r="N66">
        <v>17.694931</v>
      </c>
      <c r="O66">
        <v>17.979196999999999</v>
      </c>
      <c r="P66">
        <v>59153987.216454998</v>
      </c>
      <c r="Q66">
        <v>18.257435000000001</v>
      </c>
      <c r="R66">
        <v>56226846.004855998</v>
      </c>
      <c r="S66">
        <v>65550218.294033103</v>
      </c>
      <c r="T66" t="s">
        <v>74</v>
      </c>
      <c r="U66" t="s">
        <v>464</v>
      </c>
      <c r="V66">
        <v>1</v>
      </c>
      <c r="W66">
        <v>14.154999999999999</v>
      </c>
      <c r="X66">
        <v>14.154999999999999</v>
      </c>
      <c r="Y66">
        <v>0.65</v>
      </c>
      <c r="Z66">
        <v>15102015</v>
      </c>
      <c r="AA66">
        <v>0.65</v>
      </c>
      <c r="AB66" t="b">
        <v>1</v>
      </c>
      <c r="AC66">
        <v>24111418027.485748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 x14ac:dyDescent="0.25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78425732.163829401</v>
      </c>
      <c r="J67">
        <v>95228454.573333398</v>
      </c>
      <c r="M67">
        <v>76796458.360076398</v>
      </c>
      <c r="N67">
        <v>31.866934000000001</v>
      </c>
      <c r="O67">
        <v>32.119689999999999</v>
      </c>
      <c r="P67">
        <v>82630527.644299999</v>
      </c>
      <c r="Q67">
        <v>39.058166999999997</v>
      </c>
      <c r="R67">
        <v>88246995.895454496</v>
      </c>
      <c r="S67">
        <v>102784721.398377</v>
      </c>
      <c r="T67" t="s">
        <v>74</v>
      </c>
      <c r="U67" t="s">
        <v>465</v>
      </c>
      <c r="V67">
        <v>1</v>
      </c>
      <c r="W67">
        <v>91.54</v>
      </c>
      <c r="X67">
        <v>91.54</v>
      </c>
      <c r="Y67">
        <v>1</v>
      </c>
      <c r="Z67">
        <v>50202010</v>
      </c>
      <c r="AA67">
        <v>1</v>
      </c>
      <c r="AB67" t="b">
        <v>1</v>
      </c>
      <c r="AC67">
        <v>23949228918.400002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 x14ac:dyDescent="0.25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96091436.636086807</v>
      </c>
      <c r="J68">
        <v>70224766.568000004</v>
      </c>
      <c r="M68">
        <v>83732697.914090902</v>
      </c>
      <c r="N68">
        <v>28.764462999999999</v>
      </c>
      <c r="O68">
        <v>28.80359</v>
      </c>
      <c r="P68">
        <v>86135291.106600001</v>
      </c>
      <c r="Q68">
        <v>31.023952000000001</v>
      </c>
      <c r="R68">
        <v>83149015.699697003</v>
      </c>
      <c r="S68">
        <v>96887741.330895305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 x14ac:dyDescent="0.25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79359002.633333296</v>
      </c>
      <c r="J69">
        <v>71844740.079999998</v>
      </c>
      <c r="M69">
        <v>75521118.170454606</v>
      </c>
      <c r="N69">
        <v>38.023650000000004</v>
      </c>
      <c r="O69">
        <v>40.219543000000002</v>
      </c>
      <c r="P69">
        <v>77123750.350999996</v>
      </c>
      <c r="Q69">
        <v>39.99456</v>
      </c>
      <c r="R69">
        <v>80390254.263636395</v>
      </c>
      <c r="S69">
        <v>93759694.750503898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23445858864.400002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 x14ac:dyDescent="0.25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24952677.513333298</v>
      </c>
      <c r="M70">
        <v>26147586.283538502</v>
      </c>
      <c r="N70">
        <v>15.563115</v>
      </c>
      <c r="O70">
        <v>16.449133</v>
      </c>
      <c r="P70">
        <v>26657606.0101</v>
      </c>
      <c r="Q70">
        <v>18.864716000000001</v>
      </c>
      <c r="R70">
        <v>28671765.237272698</v>
      </c>
      <c r="S70">
        <v>33426966.275331799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22134112616.330002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 x14ac:dyDescent="0.25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82748117.804730594</v>
      </c>
      <c r="J71">
        <v>83916918.500019997</v>
      </c>
      <c r="M71">
        <v>81308641.942017406</v>
      </c>
      <c r="N71">
        <v>42.064529999999998</v>
      </c>
      <c r="O71">
        <v>38.086544000000004</v>
      </c>
      <c r="P71">
        <v>81692566.344312996</v>
      </c>
      <c r="Q71">
        <v>44.721760000000003</v>
      </c>
      <c r="R71">
        <v>94416000.267671198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0.60000000000000009</v>
      </c>
      <c r="Z71">
        <v>40204020</v>
      </c>
      <c r="AA71">
        <v>0.60000000000000009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 x14ac:dyDescent="0.25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</v>
      </c>
      <c r="H72" t="s">
        <v>75</v>
      </c>
      <c r="I72">
        <v>89760213.108254895</v>
      </c>
      <c r="J72">
        <v>92817046.1503333</v>
      </c>
      <c r="M72">
        <v>85672332.305719703</v>
      </c>
      <c r="N72">
        <v>29.477754999999998</v>
      </c>
      <c r="O72">
        <v>31.801214000000002</v>
      </c>
      <c r="P72">
        <v>85708924.989800006</v>
      </c>
      <c r="Q72">
        <v>27.697527000000001</v>
      </c>
      <c r="R72">
        <v>84694846.164469704</v>
      </c>
      <c r="S72">
        <v>98733923.395418704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21568198352.279999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 x14ac:dyDescent="0.25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104576397.55599999</v>
      </c>
      <c r="M73">
        <v>124180519.554583</v>
      </c>
      <c r="N73">
        <v>37.409230000000001</v>
      </c>
      <c r="O73">
        <v>38.505290000000002</v>
      </c>
      <c r="P73">
        <v>127560834.85535</v>
      </c>
      <c r="Q73">
        <v>38.903309999999998</v>
      </c>
      <c r="R73">
        <v>118183874.52378801</v>
      </c>
      <c r="S73">
        <v>137861147.53916299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21539687404.799999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 x14ac:dyDescent="0.25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69087379.125162795</v>
      </c>
      <c r="J74">
        <v>55917788.865000099</v>
      </c>
      <c r="M74">
        <v>64935701.041981198</v>
      </c>
      <c r="N74">
        <v>29.593423999999999</v>
      </c>
      <c r="O74">
        <v>28.835087000000001</v>
      </c>
      <c r="P74">
        <v>59951230.420415103</v>
      </c>
      <c r="Q74">
        <v>32.040750000000003</v>
      </c>
      <c r="R74">
        <v>62307304.815780297</v>
      </c>
      <c r="S74">
        <v>72690523.382163197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21027699026.865002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 x14ac:dyDescent="0.25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70.680000000000007</v>
      </c>
      <c r="H75" t="s">
        <v>75</v>
      </c>
      <c r="I75">
        <v>59610234.200705901</v>
      </c>
      <c r="J75">
        <v>46694337.714000002</v>
      </c>
      <c r="M75">
        <v>57381019.319090903</v>
      </c>
      <c r="N75">
        <v>21.789797</v>
      </c>
      <c r="O75">
        <v>20.817098999999999</v>
      </c>
      <c r="P75">
        <v>57580976.658299997</v>
      </c>
      <c r="Q75">
        <v>21.569004</v>
      </c>
      <c r="R75">
        <v>55443952.526212104</v>
      </c>
      <c r="S75">
        <v>64625963.888559699</v>
      </c>
      <c r="T75" t="s">
        <v>74</v>
      </c>
      <c r="U75" t="s">
        <v>473</v>
      </c>
      <c r="V75">
        <v>1</v>
      </c>
      <c r="W75">
        <v>68.040000000000006</v>
      </c>
      <c r="X75">
        <v>68.040000000000006</v>
      </c>
      <c r="Y75">
        <v>0.5</v>
      </c>
      <c r="Z75">
        <v>45101010</v>
      </c>
      <c r="AA75">
        <v>0.5</v>
      </c>
      <c r="AB75" t="b">
        <v>1</v>
      </c>
      <c r="AC75">
        <v>20355932343.419998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 x14ac:dyDescent="0.25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84.1</v>
      </c>
      <c r="H76" t="s">
        <v>75</v>
      </c>
      <c r="I76">
        <v>53786231.729810603</v>
      </c>
      <c r="J76">
        <v>43991494.3490467</v>
      </c>
      <c r="M76">
        <v>52016744.5958841</v>
      </c>
      <c r="N76">
        <v>25.559087999999999</v>
      </c>
      <c r="O76">
        <v>24.497368000000002</v>
      </c>
      <c r="P76">
        <v>50153992.784267001</v>
      </c>
      <c r="Q76">
        <v>28.126394000000001</v>
      </c>
      <c r="R76">
        <v>44678395.794343904</v>
      </c>
      <c r="S76">
        <v>52070196.316010803</v>
      </c>
      <c r="T76" t="s">
        <v>74</v>
      </c>
      <c r="U76" t="s">
        <v>474</v>
      </c>
      <c r="V76">
        <v>1</v>
      </c>
      <c r="W76">
        <v>87.82</v>
      </c>
      <c r="X76">
        <v>87.82</v>
      </c>
      <c r="Y76">
        <v>0.95000000000000007</v>
      </c>
      <c r="Z76">
        <v>40301020</v>
      </c>
      <c r="AA76">
        <v>0.95000000000000007</v>
      </c>
      <c r="AB76" t="b">
        <v>1</v>
      </c>
      <c r="AC76">
        <v>20318246054.700001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 x14ac:dyDescent="0.25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37738159.059604697</v>
      </c>
      <c r="J77">
        <v>36352445.630666703</v>
      </c>
      <c r="M77">
        <v>33091482.436704598</v>
      </c>
      <c r="N77">
        <v>17.504190000000001</v>
      </c>
      <c r="O77">
        <v>17.747108000000001</v>
      </c>
      <c r="P77">
        <v>33009553.495099999</v>
      </c>
      <c r="Q77">
        <v>21.602419999999999</v>
      </c>
      <c r="R77">
        <v>32629837.190757599</v>
      </c>
      <c r="S77">
        <v>38009452.814037599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 x14ac:dyDescent="0.25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51737207.335516103</v>
      </c>
      <c r="J78">
        <v>59824734.747820102</v>
      </c>
      <c r="M78">
        <v>46849294.650959097</v>
      </c>
      <c r="N78">
        <v>22.235147000000001</v>
      </c>
      <c r="O78">
        <v>23.342983</v>
      </c>
      <c r="P78">
        <v>48230999.140515998</v>
      </c>
      <c r="Q78">
        <v>24.702656000000001</v>
      </c>
      <c r="R78">
        <v>53278726.615402997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19652832093.419998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 x14ac:dyDescent="0.25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77857253.620666698</v>
      </c>
      <c r="M79">
        <v>92138931.579280198</v>
      </c>
      <c r="N79">
        <v>26.58747</v>
      </c>
      <c r="O79">
        <v>27.139807000000001</v>
      </c>
      <c r="P79">
        <v>94898815.369749993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19531779276.799999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 x14ac:dyDescent="0.25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68618805.063947499</v>
      </c>
      <c r="J80">
        <v>50440521.519066699</v>
      </c>
      <c r="M80">
        <v>57786122.206868201</v>
      </c>
      <c r="N80">
        <v>29.167458</v>
      </c>
      <c r="O80">
        <v>30.909140000000001</v>
      </c>
      <c r="P80">
        <v>58167259.959066004</v>
      </c>
      <c r="Q80">
        <v>31.147483999999999</v>
      </c>
      <c r="R80">
        <v>54330509.319797002</v>
      </c>
      <c r="S80">
        <v>63352843.131319202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0.85000000000000009</v>
      </c>
      <c r="Z80">
        <v>10101010</v>
      </c>
      <c r="AA80">
        <v>0.85000000000000009</v>
      </c>
      <c r="AB80" t="b">
        <v>1</v>
      </c>
      <c r="AC80">
        <v>19152363571.025002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 x14ac:dyDescent="0.25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70900219.141936794</v>
      </c>
      <c r="J81">
        <v>64892531.855666697</v>
      </c>
      <c r="M81">
        <v>59305191.750909097</v>
      </c>
      <c r="N81">
        <v>19.689352</v>
      </c>
      <c r="O81">
        <v>19.257833000000002</v>
      </c>
      <c r="P81">
        <v>56007882.788149998</v>
      </c>
      <c r="Q81">
        <v>24.525839000000001</v>
      </c>
      <c r="R81">
        <v>54950206.889924198</v>
      </c>
      <c r="S81">
        <v>64013895.233723097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18772080026.775002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 x14ac:dyDescent="0.25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47259076.806521699</v>
      </c>
      <c r="J82">
        <v>44143374.1133333</v>
      </c>
      <c r="M82">
        <v>44819134.711742401</v>
      </c>
      <c r="N82">
        <v>25.211673999999999</v>
      </c>
      <c r="O82">
        <v>25.682967999999999</v>
      </c>
      <c r="P82">
        <v>43049156.994499996</v>
      </c>
      <c r="Q82">
        <v>31.613240999999999</v>
      </c>
      <c r="R82">
        <v>42760035.616666697</v>
      </c>
      <c r="S82">
        <v>49830169.221571296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 x14ac:dyDescent="0.25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154808178.62900001</v>
      </c>
      <c r="M83">
        <v>157570240.05633599</v>
      </c>
      <c r="N83">
        <v>40.725814999999997</v>
      </c>
      <c r="O83">
        <v>41.131774999999998</v>
      </c>
      <c r="P83">
        <v>152622164.83995</v>
      </c>
      <c r="Q83">
        <v>44.153632999999999</v>
      </c>
      <c r="R83">
        <v>150931707.70424199</v>
      </c>
      <c r="S83">
        <v>175977655.27555001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0.70000000000000007</v>
      </c>
      <c r="Z83">
        <v>50201020</v>
      </c>
      <c r="AA83">
        <v>0.70000000000000007</v>
      </c>
      <c r="AB83" t="b">
        <v>1</v>
      </c>
      <c r="AC83">
        <v>18632630930.060001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 x14ac:dyDescent="0.25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39174317.974490203</v>
      </c>
      <c r="J84">
        <v>32619392.986666601</v>
      </c>
      <c r="M84">
        <v>34216113.830606103</v>
      </c>
      <c r="N84">
        <v>26.182175000000001</v>
      </c>
      <c r="O84">
        <v>26.881195000000002</v>
      </c>
      <c r="P84">
        <v>32729478.7487</v>
      </c>
      <c r="Q84">
        <v>27.408553999999999</v>
      </c>
      <c r="R84">
        <v>32230025.666818202</v>
      </c>
      <c r="S84">
        <v>37563228.149794899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18095195120.543999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 x14ac:dyDescent="0.25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58896826.106892198</v>
      </c>
      <c r="J85">
        <v>46180184.9393133</v>
      </c>
      <c r="M85">
        <v>50096507.089337103</v>
      </c>
      <c r="N85">
        <v>16.383662999999999</v>
      </c>
      <c r="O85">
        <v>17.2179</v>
      </c>
      <c r="P85">
        <v>46294505.968924999</v>
      </c>
      <c r="Q85">
        <v>21.446539999999999</v>
      </c>
      <c r="R85">
        <v>46730857.720113598</v>
      </c>
      <c r="S85">
        <v>54455934.867097497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0.85000000000000009</v>
      </c>
      <c r="Z85">
        <v>65102030</v>
      </c>
      <c r="AA85">
        <v>0.85000000000000009</v>
      </c>
      <c r="AB85" t="b">
        <v>1</v>
      </c>
      <c r="AC85">
        <v>17968250261.325001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 x14ac:dyDescent="0.25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8.3849999999999998</v>
      </c>
      <c r="H86" t="s">
        <v>75</v>
      </c>
      <c r="I86">
        <v>34265749.081349202</v>
      </c>
      <c r="J86">
        <v>33623690.338653304</v>
      </c>
      <c r="M86">
        <v>31078317.808056802</v>
      </c>
      <c r="N86">
        <v>25.314684</v>
      </c>
      <c r="O86">
        <v>25.073443999999999</v>
      </c>
      <c r="P86">
        <v>30250354.957504999</v>
      </c>
      <c r="Q86">
        <v>32.461468000000004</v>
      </c>
      <c r="R86">
        <v>33113797.439849999</v>
      </c>
      <c r="S86">
        <v>38604765.560353503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 x14ac:dyDescent="0.25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61525438.021741197</v>
      </c>
      <c r="J87">
        <v>58728985.977366701</v>
      </c>
      <c r="M87">
        <v>63147040.436012097</v>
      </c>
      <c r="N87">
        <v>21.564209999999999</v>
      </c>
      <c r="O87">
        <v>21.742211999999999</v>
      </c>
      <c r="P87">
        <v>58111880.668295003</v>
      </c>
      <c r="Q87">
        <v>25.062836000000001</v>
      </c>
      <c r="R87">
        <v>56722036.635921203</v>
      </c>
      <c r="S87">
        <v>66115113.262213998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 x14ac:dyDescent="0.25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39706025.309029497</v>
      </c>
      <c r="J88">
        <v>28281240.473333299</v>
      </c>
      <c r="M88">
        <v>37325011.397935599</v>
      </c>
      <c r="N88">
        <v>20.283370999999999</v>
      </c>
      <c r="O88">
        <v>21.414873</v>
      </c>
      <c r="P88">
        <v>29919751.029375002</v>
      </c>
      <c r="Q88">
        <v>21.801853000000001</v>
      </c>
      <c r="R88">
        <v>32059232.1465909</v>
      </c>
      <c r="S88">
        <v>37403210.168830097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 x14ac:dyDescent="0.25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8.4529999999999994</v>
      </c>
      <c r="H89" t="s">
        <v>75</v>
      </c>
      <c r="I89">
        <v>219821756.141139</v>
      </c>
      <c r="J89">
        <v>178513768.01339999</v>
      </c>
      <c r="M89">
        <v>213967400.78360301</v>
      </c>
      <c r="N89">
        <v>46.304189999999998</v>
      </c>
      <c r="O89">
        <v>48.161459999999998</v>
      </c>
      <c r="P89">
        <v>221281151.13585499</v>
      </c>
      <c r="Q89">
        <v>47.984062000000002</v>
      </c>
      <c r="R89">
        <v>234617162.41391701</v>
      </c>
      <c r="S89">
        <v>273553778.58005297</v>
      </c>
      <c r="T89" t="s">
        <v>74</v>
      </c>
      <c r="U89" t="s">
        <v>487</v>
      </c>
      <c r="V89">
        <v>1</v>
      </c>
      <c r="W89">
        <v>9.6080000000000005</v>
      </c>
      <c r="X89">
        <v>9.6080000000000005</v>
      </c>
      <c r="Y89">
        <v>0.70000000000000007</v>
      </c>
      <c r="Z89">
        <v>40101020</v>
      </c>
      <c r="AA89">
        <v>0.70000000000000007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 x14ac:dyDescent="0.25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8.4130000000000003</v>
      </c>
      <c r="H90" t="s">
        <v>75</v>
      </c>
      <c r="I90">
        <v>154877686.02612901</v>
      </c>
      <c r="J90">
        <v>279798875.79470003</v>
      </c>
      <c r="M90">
        <v>176112107.98606101</v>
      </c>
      <c r="N90">
        <v>30.940843999999998</v>
      </c>
      <c r="O90">
        <v>30.540946999999999</v>
      </c>
      <c r="P90">
        <v>202184074.34628999</v>
      </c>
      <c r="Q90">
        <v>37.461320000000001</v>
      </c>
      <c r="R90">
        <v>245862528.75407499</v>
      </c>
      <c r="S90">
        <v>286921509.29607397</v>
      </c>
      <c r="T90" t="s">
        <v>74</v>
      </c>
      <c r="U90" t="s">
        <v>488</v>
      </c>
      <c r="V90">
        <v>1</v>
      </c>
      <c r="W90">
        <v>9.2490000000000006</v>
      </c>
      <c r="X90">
        <v>9.2490000000000006</v>
      </c>
      <c r="Y90">
        <v>0.65</v>
      </c>
      <c r="Z90">
        <v>30101010</v>
      </c>
      <c r="AA90">
        <v>0.65</v>
      </c>
      <c r="AB90" t="b">
        <v>1</v>
      </c>
      <c r="AC90">
        <v>16615437912.826349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 x14ac:dyDescent="0.25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58477164.856031001</v>
      </c>
      <c r="J91">
        <v>45299528.785333298</v>
      </c>
      <c r="M91">
        <v>51741142.203999199</v>
      </c>
      <c r="N91">
        <v>27.100142000000002</v>
      </c>
      <c r="O91">
        <v>26.243893</v>
      </c>
      <c r="P91">
        <v>52609602.074979</v>
      </c>
      <c r="Q91">
        <v>26.95833</v>
      </c>
      <c r="R91">
        <v>53980023.169816703</v>
      </c>
      <c r="S91">
        <v>62995884.734736897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 x14ac:dyDescent="0.25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35.549999999999997</v>
      </c>
      <c r="H92" t="s">
        <v>75</v>
      </c>
      <c r="I92">
        <v>52595254.2658301</v>
      </c>
      <c r="J92">
        <v>44550194.223999999</v>
      </c>
      <c r="M92">
        <v>44311122.3355681</v>
      </c>
      <c r="N92">
        <v>30.24823</v>
      </c>
      <c r="O92">
        <v>29.740227000000001</v>
      </c>
      <c r="P92">
        <v>42833332.2733</v>
      </c>
      <c r="Q92">
        <v>31.390463</v>
      </c>
      <c r="R92">
        <v>40637190.203030303</v>
      </c>
      <c r="S92">
        <v>47356527.306202903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 x14ac:dyDescent="0.25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62479204.487451002</v>
      </c>
      <c r="J93">
        <v>60705309.911666602</v>
      </c>
      <c r="M93">
        <v>64391116.950265102</v>
      </c>
      <c r="N93">
        <v>22.814223999999999</v>
      </c>
      <c r="O93">
        <v>23.861287999999998</v>
      </c>
      <c r="P93">
        <v>62986226.871799998</v>
      </c>
      <c r="Q93">
        <v>26.866129999999998</v>
      </c>
      <c r="R93">
        <v>63475442.832197003</v>
      </c>
      <c r="S93">
        <v>74011533.285271406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 x14ac:dyDescent="0.25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53612171.262199603</v>
      </c>
      <c r="J94">
        <v>50799496.072606601</v>
      </c>
      <c r="M94">
        <v>49073401.304173499</v>
      </c>
      <c r="N94">
        <v>29.123843999999998</v>
      </c>
      <c r="O94">
        <v>31.38166</v>
      </c>
      <c r="P94">
        <v>48129517.322958998</v>
      </c>
      <c r="Q94">
        <v>29.081903000000001</v>
      </c>
      <c r="R94">
        <v>50366548.276301503</v>
      </c>
      <c r="S94">
        <v>58683000.949091703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15755401483.424999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 x14ac:dyDescent="0.25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3.0939999999999999</v>
      </c>
      <c r="H95" t="s">
        <v>75</v>
      </c>
      <c r="I95">
        <v>42258777.3951298</v>
      </c>
      <c r="J95">
        <v>52006493.146866702</v>
      </c>
      <c r="M95">
        <v>46430482.898830302</v>
      </c>
      <c r="N95">
        <v>28.580698000000002</v>
      </c>
      <c r="O95">
        <v>29.244661000000001</v>
      </c>
      <c r="P95">
        <v>48183965.247700997</v>
      </c>
      <c r="Q95">
        <v>32.883209999999998</v>
      </c>
      <c r="R95">
        <v>48883824.0883727</v>
      </c>
      <c r="S95">
        <v>57007826.622915402</v>
      </c>
      <c r="T95" t="s">
        <v>74</v>
      </c>
      <c r="U95" t="s">
        <v>493</v>
      </c>
      <c r="V95">
        <v>1</v>
      </c>
      <c r="W95">
        <v>3.4340000000000002</v>
      </c>
      <c r="X95">
        <v>3.4340000000000002</v>
      </c>
      <c r="Y95">
        <v>1</v>
      </c>
      <c r="Z95">
        <v>30101010</v>
      </c>
      <c r="AA95">
        <v>1</v>
      </c>
      <c r="AB95" t="b">
        <v>1</v>
      </c>
      <c r="AC95">
        <v>15543258803.799999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 x14ac:dyDescent="0.25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27579731.541333299</v>
      </c>
      <c r="M96">
        <v>35065780.337575696</v>
      </c>
      <c r="N96">
        <v>15.632864</v>
      </c>
      <c r="O96">
        <v>16.346111000000001</v>
      </c>
      <c r="P96">
        <v>32862378.903000001</v>
      </c>
      <c r="Q96">
        <v>19.825168999999999</v>
      </c>
      <c r="R96">
        <v>31486046.267727301</v>
      </c>
      <c r="S96">
        <v>36729280.716433503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0.95000000000000007</v>
      </c>
      <c r="Z96">
        <v>30301010</v>
      </c>
      <c r="AA96">
        <v>0.95000000000000007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 x14ac:dyDescent="0.25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44715686.855999999</v>
      </c>
      <c r="M97">
        <v>31797454.522727299</v>
      </c>
      <c r="N97">
        <v>20.983460000000001</v>
      </c>
      <c r="O97">
        <v>21.673152999999999</v>
      </c>
      <c r="P97">
        <v>30198140.196899999</v>
      </c>
      <c r="Q97">
        <v>25.224395999999999</v>
      </c>
      <c r="R97">
        <v>30521395.460227299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15390919826.700001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 x14ac:dyDescent="0.25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27907164.986363702</v>
      </c>
      <c r="J98">
        <v>26163772.666666701</v>
      </c>
      <c r="M98">
        <v>24838025.306060601</v>
      </c>
      <c r="N98">
        <v>18.355081999999999</v>
      </c>
      <c r="O98">
        <v>19.463856</v>
      </c>
      <c r="P98">
        <v>25449524.059</v>
      </c>
      <c r="Q98">
        <v>22.801618999999999</v>
      </c>
      <c r="R98">
        <v>25959879.548484799</v>
      </c>
      <c r="S98">
        <v>30252378.632888999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 x14ac:dyDescent="0.25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35658391.302615702</v>
      </c>
      <c r="J99">
        <v>32373195.695466701</v>
      </c>
      <c r="M99">
        <v>35087463.435541697</v>
      </c>
      <c r="N99">
        <v>15.176304</v>
      </c>
      <c r="O99">
        <v>15.927899</v>
      </c>
      <c r="P99">
        <v>33374075.161474999</v>
      </c>
      <c r="Q99">
        <v>17.283166999999999</v>
      </c>
      <c r="R99">
        <v>32497206.350340899</v>
      </c>
      <c r="S99">
        <v>37882663.331041902</v>
      </c>
      <c r="T99" t="s">
        <v>74</v>
      </c>
      <c r="U99" t="s">
        <v>497</v>
      </c>
      <c r="V99">
        <v>1</v>
      </c>
      <c r="W99">
        <v>3.9569999999999999</v>
      </c>
      <c r="X99">
        <v>3.9569999999999999</v>
      </c>
      <c r="Y99">
        <v>1</v>
      </c>
      <c r="Z99">
        <v>15102015</v>
      </c>
      <c r="AA99">
        <v>1</v>
      </c>
      <c r="AB99" t="b">
        <v>1</v>
      </c>
      <c r="AC99">
        <v>15283496558.459999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 x14ac:dyDescent="0.25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118002533.07871599</v>
      </c>
      <c r="J100">
        <v>138615756.881567</v>
      </c>
      <c r="M100">
        <v>117505340.483454</v>
      </c>
      <c r="N100">
        <v>29.015180000000001</v>
      </c>
      <c r="O100">
        <v>29.567595000000001</v>
      </c>
      <c r="P100">
        <v>128384546.882495</v>
      </c>
      <c r="Q100">
        <v>33.109596000000003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 x14ac:dyDescent="0.25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29953648.618333299</v>
      </c>
      <c r="M101">
        <v>20198479.027867399</v>
      </c>
      <c r="N101">
        <v>24.410724999999999</v>
      </c>
      <c r="O101">
        <v>25.172602000000001</v>
      </c>
      <c r="P101">
        <v>20028280.788249999</v>
      </c>
      <c r="Q101">
        <v>26.763634</v>
      </c>
      <c r="R101">
        <v>22012304.692802999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67"/>
  <sheetViews>
    <sheetView workbookViewId="0"/>
  </sheetViews>
  <sheetFormatPr defaultRowHeight="15" x14ac:dyDescent="0.25"/>
  <sheetData>
    <row r="1" spans="1:90" x14ac:dyDescent="0.25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 x14ac:dyDescent="0.25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 x14ac:dyDescent="0.25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 x14ac:dyDescent="0.25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 x14ac:dyDescent="0.25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74</v>
      </c>
      <c r="U5" t="s">
        <v>403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 x14ac:dyDescent="0.25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 x14ac:dyDescent="0.25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75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74</v>
      </c>
      <c r="U7" t="s">
        <v>405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 x14ac:dyDescent="0.25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128294334417.60001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 x14ac:dyDescent="0.25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17.704999999999998</v>
      </c>
      <c r="H9" t="s">
        <v>75</v>
      </c>
      <c r="I9">
        <v>135662523.73262399</v>
      </c>
      <c r="J9">
        <v>367133785.72883302</v>
      </c>
      <c r="M9">
        <v>143930722.37119299</v>
      </c>
      <c r="N9">
        <v>27.777552</v>
      </c>
      <c r="O9">
        <v>28.950481</v>
      </c>
      <c r="P9">
        <v>154705054.66154999</v>
      </c>
      <c r="Q9">
        <v>31.000454000000001</v>
      </c>
      <c r="R9">
        <v>178076885.36534101</v>
      </c>
      <c r="S9">
        <v>206870092.04022601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 x14ac:dyDescent="0.25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359104838.19417602</v>
      </c>
      <c r="J10">
        <v>333318301.37566602</v>
      </c>
      <c r="M10">
        <v>314367458.98908401</v>
      </c>
      <c r="N10">
        <v>26.839243</v>
      </c>
      <c r="O10">
        <v>26.80322</v>
      </c>
      <c r="P10">
        <v>320104027.33350003</v>
      </c>
      <c r="Q10">
        <v>33.478299999999997</v>
      </c>
      <c r="R10">
        <v>320233546.05310601</v>
      </c>
      <c r="S10">
        <v>373375769.30038702</v>
      </c>
      <c r="T10" t="s">
        <v>74</v>
      </c>
      <c r="U10" t="s">
        <v>413</v>
      </c>
      <c r="V10">
        <v>1</v>
      </c>
      <c r="W10">
        <v>71.400000000000006</v>
      </c>
      <c r="X10">
        <v>71.400000000000006</v>
      </c>
      <c r="Y10">
        <v>1</v>
      </c>
      <c r="Z10">
        <v>30101010</v>
      </c>
      <c r="AA10">
        <v>1</v>
      </c>
      <c r="AB10" t="b">
        <v>1</v>
      </c>
      <c r="AC10">
        <v>97899884811.600006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 x14ac:dyDescent="0.25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92896515.384959996</v>
      </c>
      <c r="M11">
        <v>103003521.114912</v>
      </c>
      <c r="N11">
        <v>14.127079999999999</v>
      </c>
      <c r="O11">
        <v>14.407667</v>
      </c>
      <c r="P11">
        <v>96960052.230783895</v>
      </c>
      <c r="Q11">
        <v>18.233885000000001</v>
      </c>
      <c r="R11">
        <v>98286987.256642297</v>
      </c>
      <c r="S11">
        <v>114554343.79323301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 x14ac:dyDescent="0.25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23.904568000000001</v>
      </c>
      <c r="P12">
        <v>112340319.76193599</v>
      </c>
      <c r="Q12">
        <v>25.882712999999999</v>
      </c>
      <c r="R12">
        <v>120144617.37831201</v>
      </c>
      <c r="S12">
        <v>140136487.22382599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86833153429.199997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 x14ac:dyDescent="0.25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5.6189999999999998</v>
      </c>
      <c r="H13" t="s">
        <v>75</v>
      </c>
      <c r="I13">
        <v>293767090.16672999</v>
      </c>
      <c r="J13">
        <v>325066381.92893302</v>
      </c>
      <c r="M13">
        <v>268153499.05000001</v>
      </c>
      <c r="N13">
        <v>23.324428999999999</v>
      </c>
      <c r="O13">
        <v>24.010738</v>
      </c>
      <c r="P13">
        <v>268929667.19718999</v>
      </c>
      <c r="Q13">
        <v>28.28163</v>
      </c>
      <c r="R13">
        <v>282868481.63398498</v>
      </c>
      <c r="S13">
        <v>329523646.21244597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78276668988.357605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 x14ac:dyDescent="0.25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193406350.51875299</v>
      </c>
      <c r="M14">
        <v>196214994.42096701</v>
      </c>
      <c r="N14">
        <v>26.853807</v>
      </c>
      <c r="O14">
        <v>27.375444000000002</v>
      </c>
      <c r="P14">
        <v>192976695.211927</v>
      </c>
      <c r="Q14">
        <v>30.013380000000002</v>
      </c>
      <c r="R14">
        <v>208626228.82238901</v>
      </c>
      <c r="S14">
        <v>243014105.80956301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0.95000000000000007</v>
      </c>
      <c r="Z14">
        <v>30101010</v>
      </c>
      <c r="AA14">
        <v>0.95000000000000007</v>
      </c>
      <c r="AB14" t="b">
        <v>1</v>
      </c>
      <c r="AC14">
        <v>74764830734.500504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 x14ac:dyDescent="0.25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130284135.80833299</v>
      </c>
      <c r="N15">
        <v>21.038910000000001</v>
      </c>
      <c r="O15">
        <v>21.719397000000001</v>
      </c>
      <c r="P15">
        <v>125067300.40700001</v>
      </c>
      <c r="Q15">
        <v>25.573225000000001</v>
      </c>
      <c r="R15">
        <v>126417449.87424199</v>
      </c>
      <c r="S15">
        <v>147461314.67462799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 x14ac:dyDescent="0.25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159939019.05349001</v>
      </c>
      <c r="J16">
        <v>162393494.675733</v>
      </c>
      <c r="M16">
        <v>151563173.118258</v>
      </c>
      <c r="N16">
        <v>20.694818000000001</v>
      </c>
      <c r="O16">
        <v>21.842217999999999</v>
      </c>
      <c r="P16">
        <v>144296844.14829999</v>
      </c>
      <c r="Q16">
        <v>23.645367</v>
      </c>
      <c r="R16">
        <v>151847210.35128799</v>
      </c>
      <c r="S16">
        <v>176913247.69380099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0.85000000000000009</v>
      </c>
      <c r="Z16">
        <v>30302010</v>
      </c>
      <c r="AA16">
        <v>0.85000000000000009</v>
      </c>
      <c r="AB16" t="b">
        <v>1</v>
      </c>
      <c r="AC16">
        <v>68844802995.739014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 x14ac:dyDescent="0.25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131511670.27002899</v>
      </c>
      <c r="J17">
        <v>107177149.638</v>
      </c>
      <c r="M17">
        <v>115867344.15424199</v>
      </c>
      <c r="N17">
        <v>23.927814000000001</v>
      </c>
      <c r="O17">
        <v>24.204713999999999</v>
      </c>
      <c r="P17">
        <v>111492686.25077499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67348013237.160004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 x14ac:dyDescent="0.25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99979651.600199997</v>
      </c>
      <c r="M18">
        <v>119493976.65531699</v>
      </c>
      <c r="N18">
        <v>26.302942000000002</v>
      </c>
      <c r="O18">
        <v>28.087807000000002</v>
      </c>
      <c r="P18">
        <v>114540131.815018</v>
      </c>
      <c r="Q18">
        <v>27.303678999999999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67268829326.400009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 x14ac:dyDescent="0.25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21.515000000000001</v>
      </c>
      <c r="H19" t="s">
        <v>75</v>
      </c>
      <c r="I19">
        <v>170408597.703926</v>
      </c>
      <c r="J19">
        <v>152586669.825167</v>
      </c>
      <c r="M19">
        <v>155114984.77874199</v>
      </c>
      <c r="N19">
        <v>20.634764000000001</v>
      </c>
      <c r="O19">
        <v>21.073732</v>
      </c>
      <c r="P19">
        <v>153214078.20695001</v>
      </c>
      <c r="Q19">
        <v>26.629899999999999</v>
      </c>
      <c r="R19">
        <v>159444477.67242399</v>
      </c>
      <c r="S19">
        <v>185876374.37553799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65008494805.019997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 x14ac:dyDescent="0.25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113543783.84716199</v>
      </c>
      <c r="J20">
        <v>82508689.396653295</v>
      </c>
      <c r="M20">
        <v>105480357.709933</v>
      </c>
      <c r="N20">
        <v>19.922636000000001</v>
      </c>
      <c r="O20">
        <v>21.265522000000001</v>
      </c>
      <c r="P20">
        <v>100628671.517362</v>
      </c>
      <c r="Q20">
        <v>20.998957000000001</v>
      </c>
      <c r="R20">
        <v>102877582.43767001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 x14ac:dyDescent="0.25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29.385000000000002</v>
      </c>
      <c r="H21" t="s">
        <v>75</v>
      </c>
      <c r="I21">
        <v>170153144.36817199</v>
      </c>
      <c r="J21">
        <v>162831730.796</v>
      </c>
      <c r="M21">
        <v>168472774.81662899</v>
      </c>
      <c r="N21">
        <v>30.730796999999999</v>
      </c>
      <c r="O21">
        <v>30.842863000000001</v>
      </c>
      <c r="P21">
        <v>170715450.21277499</v>
      </c>
      <c r="Q21">
        <v>36.20055</v>
      </c>
      <c r="R21">
        <v>177981689.83113599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 x14ac:dyDescent="0.25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142026480.02399999</v>
      </c>
      <c r="M22">
        <v>106887525.11382601</v>
      </c>
      <c r="N22">
        <v>23.16405</v>
      </c>
      <c r="O22">
        <v>23.343883999999999</v>
      </c>
      <c r="P22">
        <v>107928229.6776</v>
      </c>
      <c r="Q22">
        <v>25.288754999999998</v>
      </c>
      <c r="R22">
        <v>121435820.174242</v>
      </c>
      <c r="S22">
        <v>141326631.93808499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 x14ac:dyDescent="0.25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66453499.368433803</v>
      </c>
      <c r="J23">
        <v>63414555.982666701</v>
      </c>
      <c r="M23">
        <v>54290958.423692301</v>
      </c>
      <c r="N23">
        <v>18.596834000000001</v>
      </c>
      <c r="O23">
        <v>18.859200999999999</v>
      </c>
      <c r="P23">
        <v>52763447.971100003</v>
      </c>
      <c r="Q23">
        <v>23.394123</v>
      </c>
      <c r="R23">
        <v>54685575.574848503</v>
      </c>
      <c r="S23">
        <v>63718870.813999698</v>
      </c>
      <c r="T23" t="s">
        <v>74</v>
      </c>
      <c r="U23" t="s">
        <v>434</v>
      </c>
      <c r="V23">
        <v>1</v>
      </c>
      <c r="W23">
        <v>16.440000000000001</v>
      </c>
      <c r="X23">
        <v>16.440000000000001</v>
      </c>
      <c r="Y23">
        <v>0.95</v>
      </c>
      <c r="Z23">
        <v>30101010</v>
      </c>
      <c r="AA23">
        <v>0.95</v>
      </c>
      <c r="AB23" t="b">
        <v>1</v>
      </c>
      <c r="AC23">
        <v>48042012500.300003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 x14ac:dyDescent="0.25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87052822.919011801</v>
      </c>
      <c r="J24">
        <v>78161804.726999998</v>
      </c>
      <c r="M24">
        <v>68178803.427992404</v>
      </c>
      <c r="N24">
        <v>23.509927999999999</v>
      </c>
      <c r="O24">
        <v>24.419294000000001</v>
      </c>
      <c r="P24">
        <v>63448323.867550001</v>
      </c>
      <c r="Q24">
        <v>26.919172</v>
      </c>
      <c r="R24">
        <v>61781740.444696903</v>
      </c>
      <c r="S24">
        <v>71999492.791794896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 x14ac:dyDescent="0.25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142818936.84270799</v>
      </c>
      <c r="J25">
        <v>154722964.08966699</v>
      </c>
      <c r="M25">
        <v>130403003.532235</v>
      </c>
      <c r="N25">
        <v>32.71463</v>
      </c>
      <c r="O25">
        <v>34.115989999999996</v>
      </c>
      <c r="P25">
        <v>126611680.444575</v>
      </c>
      <c r="Q25">
        <v>38.333489999999998</v>
      </c>
      <c r="R25">
        <v>125630830.533409</v>
      </c>
      <c r="S25">
        <v>146351395.30293599</v>
      </c>
      <c r="T25" t="s">
        <v>74</v>
      </c>
      <c r="U25" t="s">
        <v>436</v>
      </c>
      <c r="V25">
        <v>1</v>
      </c>
      <c r="W25">
        <v>39.909999999999997</v>
      </c>
      <c r="X25">
        <v>39.909999999999997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 x14ac:dyDescent="0.25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92217904.973122507</v>
      </c>
      <c r="J26">
        <v>87659123.730000004</v>
      </c>
      <c r="M26">
        <v>82567655.923484802</v>
      </c>
      <c r="N26">
        <v>18.901009999999999</v>
      </c>
      <c r="O26">
        <v>19.265366</v>
      </c>
      <c r="P26">
        <v>80430486.472000003</v>
      </c>
      <c r="Q26">
        <v>23.373327</v>
      </c>
      <c r="R26">
        <v>80560922.512878805</v>
      </c>
      <c r="S26">
        <v>93941883.061751395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 x14ac:dyDescent="0.25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25.013836000000001</v>
      </c>
      <c r="O27">
        <v>25.060022</v>
      </c>
      <c r="P27">
        <v>108855975.98317499</v>
      </c>
      <c r="Q27">
        <v>27.681898</v>
      </c>
      <c r="R27">
        <v>111281305.090985</v>
      </c>
      <c r="S27">
        <v>129699924.29912101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 x14ac:dyDescent="0.25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95677391.346666694</v>
      </c>
      <c r="M28">
        <v>104933001.11287899</v>
      </c>
      <c r="N28">
        <v>32.805312999999998</v>
      </c>
      <c r="O28">
        <v>33.215983999999999</v>
      </c>
      <c r="P28">
        <v>99682518.983999893</v>
      </c>
      <c r="Q28">
        <v>35.799624999999999</v>
      </c>
      <c r="R28">
        <v>91669504.327272698</v>
      </c>
      <c r="S28">
        <v>106864711.33240899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 x14ac:dyDescent="0.25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159191933.28095201</v>
      </c>
      <c r="J29">
        <v>196710223.32333401</v>
      </c>
      <c r="M29">
        <v>161076798.34389299</v>
      </c>
      <c r="N29">
        <v>36.226227000000002</v>
      </c>
      <c r="O29">
        <v>39.110584000000003</v>
      </c>
      <c r="P29">
        <v>175205141.329</v>
      </c>
      <c r="Q29">
        <v>34.986396999999997</v>
      </c>
      <c r="R29">
        <v>196771513.91818199</v>
      </c>
      <c r="S29">
        <v>228887602.858601</v>
      </c>
      <c r="T29" t="s">
        <v>74</v>
      </c>
      <c r="U29" t="s">
        <v>441</v>
      </c>
      <c r="V29">
        <v>1</v>
      </c>
      <c r="W29">
        <v>321.39999999999998</v>
      </c>
      <c r="X29">
        <v>321.39999999999998</v>
      </c>
      <c r="Y29">
        <v>0.60000000000000009</v>
      </c>
      <c r="Z29">
        <v>40101020</v>
      </c>
      <c r="AA29">
        <v>0.60000000000000009</v>
      </c>
      <c r="AB29" t="b">
        <v>1</v>
      </c>
      <c r="AC29">
        <v>39234602317.680008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 x14ac:dyDescent="0.25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99043942.280333295</v>
      </c>
      <c r="M30">
        <v>102948988.85159101</v>
      </c>
      <c r="N30">
        <v>24.359500000000001</v>
      </c>
      <c r="O30">
        <v>24.48902</v>
      </c>
      <c r="P30">
        <v>102183569.09805</v>
      </c>
      <c r="Q30">
        <v>26.716286</v>
      </c>
      <c r="R30">
        <v>92868303.067121193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 x14ac:dyDescent="0.25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116670932.84463499</v>
      </c>
      <c r="J31">
        <v>106274498.25399999</v>
      </c>
      <c r="M31">
        <v>110451050.100033</v>
      </c>
      <c r="N31">
        <v>31.680330000000001</v>
      </c>
      <c r="O31">
        <v>32.316142999999997</v>
      </c>
      <c r="P31">
        <v>112619549.641993</v>
      </c>
      <c r="Q31">
        <v>34.544589999999999</v>
      </c>
      <c r="R31">
        <v>120101190.28756499</v>
      </c>
      <c r="S31">
        <v>139982609.69790301</v>
      </c>
      <c r="T31" t="s">
        <v>74</v>
      </c>
      <c r="U31" t="s">
        <v>443</v>
      </c>
      <c r="V31">
        <v>1</v>
      </c>
      <c r="W31">
        <v>70.319999999999993</v>
      </c>
      <c r="X31">
        <v>70.319999999999993</v>
      </c>
      <c r="Y31">
        <v>0.9</v>
      </c>
      <c r="Z31">
        <v>30101010</v>
      </c>
      <c r="AA31">
        <v>0.9</v>
      </c>
      <c r="AB31" t="b">
        <v>1</v>
      </c>
      <c r="AC31">
        <v>39024208080.396004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 x14ac:dyDescent="0.25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82994862.638079897</v>
      </c>
      <c r="M32">
        <v>86660199.673592404</v>
      </c>
      <c r="N32">
        <v>28.463395999999999</v>
      </c>
      <c r="O32">
        <v>28.772099999999998</v>
      </c>
      <c r="P32">
        <v>87159863.752391994</v>
      </c>
      <c r="Q32">
        <v>32.910170000000001</v>
      </c>
      <c r="R32">
        <v>90561594.383093998</v>
      </c>
      <c r="S32">
        <v>105516015.84645601</v>
      </c>
      <c r="T32" t="s">
        <v>74</v>
      </c>
      <c r="U32" t="s">
        <v>444</v>
      </c>
      <c r="V32">
        <v>1</v>
      </c>
      <c r="W32">
        <v>85.24</v>
      </c>
      <c r="X32">
        <v>85.24</v>
      </c>
      <c r="Y32">
        <v>0.9</v>
      </c>
      <c r="Z32">
        <v>50101035</v>
      </c>
      <c r="AA32">
        <v>0.9</v>
      </c>
      <c r="AB32" t="b">
        <v>1</v>
      </c>
      <c r="AC32">
        <v>36516762901.889999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 x14ac:dyDescent="0.25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65263619.848812602</v>
      </c>
      <c r="J33">
        <v>97086327.625039905</v>
      </c>
      <c r="M33">
        <v>70383967.219751507</v>
      </c>
      <c r="N33">
        <v>29.225881999999999</v>
      </c>
      <c r="O33">
        <v>31.214537</v>
      </c>
      <c r="P33">
        <v>75273279.681071997</v>
      </c>
      <c r="Q33">
        <v>29.133050000000001</v>
      </c>
      <c r="R33">
        <v>80639088.683821201</v>
      </c>
      <c r="S33">
        <v>93970508.512403801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33265871231.049999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 x14ac:dyDescent="0.25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 t="s">
        <v>74</v>
      </c>
      <c r="U34" t="s">
        <v>447</v>
      </c>
      <c r="V34">
        <v>1</v>
      </c>
      <c r="W34">
        <v>36.130000000000003</v>
      </c>
      <c r="X34">
        <v>36.130000000000003</v>
      </c>
      <c r="Y34">
        <v>0.65</v>
      </c>
      <c r="Z34">
        <v>30302010</v>
      </c>
      <c r="AA34">
        <v>0.65</v>
      </c>
      <c r="AB34" t="b">
        <v>1</v>
      </c>
      <c r="AC34">
        <v>33252960200.349499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 x14ac:dyDescent="0.25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9.2539999999999996</v>
      </c>
      <c r="H35" t="s">
        <v>75</v>
      </c>
      <c r="I35">
        <v>62448678.087694898</v>
      </c>
      <c r="J35">
        <v>135073762.49853301</v>
      </c>
      <c r="M35">
        <v>58951377.241015203</v>
      </c>
      <c r="N35">
        <v>22.261782</v>
      </c>
      <c r="O35">
        <v>21.866230000000002</v>
      </c>
      <c r="P35">
        <v>59991050.236759998</v>
      </c>
      <c r="Q35">
        <v>29.400314000000002</v>
      </c>
      <c r="R35">
        <v>67273797.403015196</v>
      </c>
      <c r="S35">
        <v>78123008.163468003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32784911105.799999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 x14ac:dyDescent="0.25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89.1</v>
      </c>
      <c r="H36" t="s">
        <v>75</v>
      </c>
      <c r="I36">
        <v>31702419.823537499</v>
      </c>
      <c r="J36">
        <v>25312122.309999999</v>
      </c>
      <c r="M36">
        <v>28344772.147348501</v>
      </c>
      <c r="N36">
        <v>24.85248</v>
      </c>
      <c r="O36">
        <v>25.278890000000001</v>
      </c>
      <c r="P36">
        <v>26797077.719000001</v>
      </c>
      <c r="Q36">
        <v>31.482230000000001</v>
      </c>
      <c r="R36">
        <v>27409353.796969701</v>
      </c>
      <c r="S36">
        <v>31962163.378448799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29261464293.599998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 x14ac:dyDescent="0.25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51215041.609991297</v>
      </c>
      <c r="J37">
        <v>40648881.130053297</v>
      </c>
      <c r="M37">
        <v>57538913.375477999</v>
      </c>
      <c r="N37">
        <v>26.424123999999999</v>
      </c>
      <c r="O37">
        <v>26.347276999999998</v>
      </c>
      <c r="P37">
        <v>42718725.341025002</v>
      </c>
      <c r="Q37">
        <v>28.947744</v>
      </c>
      <c r="R37">
        <v>45869902.577095501</v>
      </c>
      <c r="S37">
        <v>53505816.884655297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27923605785.919998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 x14ac:dyDescent="0.25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47681926.781686299</v>
      </c>
      <c r="J38">
        <v>42585387.600000001</v>
      </c>
      <c r="M38">
        <v>41836326.664696999</v>
      </c>
      <c r="N38">
        <v>20.287405</v>
      </c>
      <c r="O38">
        <v>18.934443000000002</v>
      </c>
      <c r="P38">
        <v>39456026.0022</v>
      </c>
      <c r="Q38">
        <v>25.379947999999999</v>
      </c>
      <c r="R38">
        <v>40071937.1187879</v>
      </c>
      <c r="S38">
        <v>46709167.596201099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 x14ac:dyDescent="0.25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107899259.43547399</v>
      </c>
      <c r="J39">
        <v>89920548.676666707</v>
      </c>
      <c r="M39">
        <v>100136664.235227</v>
      </c>
      <c r="N39">
        <v>33.168934</v>
      </c>
      <c r="O39">
        <v>34.763446999999999</v>
      </c>
      <c r="P39">
        <v>102936456.99225</v>
      </c>
      <c r="Q39">
        <v>35.543674000000003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 x14ac:dyDescent="0.25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51002020.729353704</v>
      </c>
      <c r="J40">
        <v>58492804.093999997</v>
      </c>
      <c r="M40">
        <v>54577960.631919697</v>
      </c>
      <c r="N40">
        <v>15.262444</v>
      </c>
      <c r="O40">
        <v>16.152155</v>
      </c>
      <c r="P40">
        <v>54200476.420649998</v>
      </c>
      <c r="Q40">
        <v>20.350206</v>
      </c>
      <c r="R40">
        <v>66943113.751287803</v>
      </c>
      <c r="S40">
        <v>78004976.785517395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25812047461.200001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 x14ac:dyDescent="0.25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69702260.553656206</v>
      </c>
      <c r="J41">
        <v>72000492.670000002</v>
      </c>
      <c r="M41">
        <v>66718540.974431798</v>
      </c>
      <c r="N41">
        <v>30.315538</v>
      </c>
      <c r="O41">
        <v>29.516715999999999</v>
      </c>
      <c r="P41">
        <v>62431880.27375</v>
      </c>
      <c r="Q41">
        <v>34.222735999999998</v>
      </c>
      <c r="R41">
        <v>61645977.8102272</v>
      </c>
      <c r="S41">
        <v>71836006.321187899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25767186051.599998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 x14ac:dyDescent="0.25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9.9540000000000006</v>
      </c>
      <c r="H42" t="s">
        <v>75</v>
      </c>
      <c r="I42">
        <v>29063627.203413598</v>
      </c>
      <c r="J42">
        <v>30247059.484666701</v>
      </c>
      <c r="M42">
        <v>27726956.0843077</v>
      </c>
      <c r="N42">
        <v>13.247197999999999</v>
      </c>
      <c r="O42">
        <v>13.865957999999999</v>
      </c>
      <c r="P42">
        <v>27315858.8838</v>
      </c>
      <c r="Q42">
        <v>17.619641999999999</v>
      </c>
      <c r="R42">
        <v>27913699.4480303</v>
      </c>
      <c r="S42">
        <v>32527837.379808702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25245994750.200001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 x14ac:dyDescent="0.25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46598460.615490198</v>
      </c>
      <c r="J43">
        <v>39786466.410666697</v>
      </c>
      <c r="M43">
        <v>47611055.378674202</v>
      </c>
      <c r="N43">
        <v>25.067509000000001</v>
      </c>
      <c r="O43">
        <v>25.950218</v>
      </c>
      <c r="P43">
        <v>39603259.70025</v>
      </c>
      <c r="Q43">
        <v>26.648779999999999</v>
      </c>
      <c r="R43">
        <v>39325563.061590903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0.60000000000000009</v>
      </c>
      <c r="Z43">
        <v>40301035</v>
      </c>
      <c r="AA43">
        <v>0.60000000000000009</v>
      </c>
      <c r="AB43" t="b">
        <v>1</v>
      </c>
      <c r="AC43">
        <v>24882506961.563999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 x14ac:dyDescent="0.25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39495466.120313801</v>
      </c>
      <c r="J44">
        <v>40066030.393333301</v>
      </c>
      <c r="M44">
        <v>36083655.993257597</v>
      </c>
      <c r="N44">
        <v>19.155403</v>
      </c>
      <c r="O44">
        <v>19.713436000000002</v>
      </c>
      <c r="P44">
        <v>36288231.053900003</v>
      </c>
      <c r="Q44">
        <v>24.682182000000001</v>
      </c>
      <c r="R44">
        <v>37189984.759242401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0.55000000000000004</v>
      </c>
      <c r="Z44">
        <v>30101010</v>
      </c>
      <c r="AA44">
        <v>0.55000000000000004</v>
      </c>
      <c r="AB44" t="b">
        <v>1</v>
      </c>
      <c r="AC44">
        <v>24193551969.317501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 x14ac:dyDescent="0.25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78425732.163829401</v>
      </c>
      <c r="J45">
        <v>95228454.573333398</v>
      </c>
      <c r="M45">
        <v>76796458.360076398</v>
      </c>
      <c r="N45">
        <v>31.866934000000001</v>
      </c>
      <c r="O45">
        <v>32.119689999999999</v>
      </c>
      <c r="P45">
        <v>82630527.644299999</v>
      </c>
      <c r="Q45">
        <v>39.058166999999997</v>
      </c>
      <c r="R45">
        <v>88246995.895454496</v>
      </c>
      <c r="S45">
        <v>102784721.398377</v>
      </c>
      <c r="T45" t="s">
        <v>74</v>
      </c>
      <c r="U45" t="s">
        <v>465</v>
      </c>
      <c r="V45">
        <v>1</v>
      </c>
      <c r="W45">
        <v>91.54</v>
      </c>
      <c r="X45">
        <v>91.54</v>
      </c>
      <c r="Y45">
        <v>1</v>
      </c>
      <c r="Z45">
        <v>50202010</v>
      </c>
      <c r="AA45">
        <v>1</v>
      </c>
      <c r="AB45" t="b">
        <v>1</v>
      </c>
      <c r="AC45">
        <v>23949228918.400002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 x14ac:dyDescent="0.25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96091436.636086807</v>
      </c>
      <c r="J46">
        <v>70224766.568000004</v>
      </c>
      <c r="M46">
        <v>83732697.914090902</v>
      </c>
      <c r="N46">
        <v>28.764462999999999</v>
      </c>
      <c r="O46">
        <v>28.80359</v>
      </c>
      <c r="P46">
        <v>86135291.106600001</v>
      </c>
      <c r="Q46">
        <v>31.023952000000001</v>
      </c>
      <c r="R46">
        <v>83149015.699697003</v>
      </c>
      <c r="S46">
        <v>96887741.330895305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 x14ac:dyDescent="0.25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79359002.633333296</v>
      </c>
      <c r="J47">
        <v>71844740.079999998</v>
      </c>
      <c r="M47">
        <v>75521118.170454606</v>
      </c>
      <c r="N47">
        <v>38.023650000000004</v>
      </c>
      <c r="O47">
        <v>40.219543000000002</v>
      </c>
      <c r="P47">
        <v>77123750.350999996</v>
      </c>
      <c r="Q47">
        <v>39.99456</v>
      </c>
      <c r="R47">
        <v>80390254.263636395</v>
      </c>
      <c r="S47">
        <v>93759694.750503898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23445858864.400002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 x14ac:dyDescent="0.25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24952677.513333298</v>
      </c>
      <c r="M48">
        <v>26147586.283538502</v>
      </c>
      <c r="N48">
        <v>15.563115</v>
      </c>
      <c r="O48">
        <v>16.449133</v>
      </c>
      <c r="P48">
        <v>26657606.0101</v>
      </c>
      <c r="Q48">
        <v>18.864716000000001</v>
      </c>
      <c r="R48">
        <v>28671765.237272698</v>
      </c>
      <c r="S48">
        <v>33426966.275331799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22134112616.330002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 x14ac:dyDescent="0.25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82748117.804730594</v>
      </c>
      <c r="J49">
        <v>83916918.500019997</v>
      </c>
      <c r="M49">
        <v>81308641.942017406</v>
      </c>
      <c r="N49">
        <v>42.064529999999998</v>
      </c>
      <c r="O49">
        <v>38.086544000000004</v>
      </c>
      <c r="P49">
        <v>81692566.344312996</v>
      </c>
      <c r="Q49">
        <v>44.721760000000003</v>
      </c>
      <c r="R49">
        <v>94416000.267671198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0.60000000000000009</v>
      </c>
      <c r="Z49">
        <v>40204020</v>
      </c>
      <c r="AA49">
        <v>0.60000000000000009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 x14ac:dyDescent="0.25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</v>
      </c>
      <c r="H50" t="s">
        <v>75</v>
      </c>
      <c r="I50">
        <v>89760213.108254895</v>
      </c>
      <c r="J50">
        <v>92817046.1503333</v>
      </c>
      <c r="M50">
        <v>85672332.305719703</v>
      </c>
      <c r="N50">
        <v>29.477754999999998</v>
      </c>
      <c r="O50">
        <v>31.801214000000002</v>
      </c>
      <c r="P50">
        <v>85708924.989800006</v>
      </c>
      <c r="Q50">
        <v>27.697527000000001</v>
      </c>
      <c r="R50">
        <v>84694846.164469704</v>
      </c>
      <c r="S50">
        <v>98733923.395418704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21568198352.279999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 x14ac:dyDescent="0.25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104576397.55599999</v>
      </c>
      <c r="M51">
        <v>124180519.554583</v>
      </c>
      <c r="N51">
        <v>37.409230000000001</v>
      </c>
      <c r="O51">
        <v>38.505290000000002</v>
      </c>
      <c r="P51">
        <v>127560834.85535</v>
      </c>
      <c r="Q51">
        <v>38.903309999999998</v>
      </c>
      <c r="R51">
        <v>118183874.52378801</v>
      </c>
      <c r="S51">
        <v>137861147.53916299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21539687404.799999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 x14ac:dyDescent="0.25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84.1</v>
      </c>
      <c r="H52" t="s">
        <v>75</v>
      </c>
      <c r="I52">
        <v>53786231.729810603</v>
      </c>
      <c r="J52">
        <v>43991494.3490467</v>
      </c>
      <c r="M52">
        <v>52016744.5958841</v>
      </c>
      <c r="N52">
        <v>25.559087999999999</v>
      </c>
      <c r="O52">
        <v>24.497368000000002</v>
      </c>
      <c r="P52">
        <v>50153992.784267001</v>
      </c>
      <c r="Q52">
        <v>28.126394000000001</v>
      </c>
      <c r="R52">
        <v>44678395.794343904</v>
      </c>
      <c r="S52">
        <v>52070196.316010803</v>
      </c>
      <c r="T52" t="s">
        <v>74</v>
      </c>
      <c r="U52" t="s">
        <v>474</v>
      </c>
      <c r="V52">
        <v>1</v>
      </c>
      <c r="W52">
        <v>87.82</v>
      </c>
      <c r="X52">
        <v>87.82</v>
      </c>
      <c r="Y52">
        <v>0.95000000000000007</v>
      </c>
      <c r="Z52">
        <v>40301020</v>
      </c>
      <c r="AA52">
        <v>0.95000000000000007</v>
      </c>
      <c r="AB52" t="b">
        <v>1</v>
      </c>
      <c r="AC52">
        <v>20318246054.700001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 x14ac:dyDescent="0.25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51737207.335516103</v>
      </c>
      <c r="J53">
        <v>59824734.747820102</v>
      </c>
      <c r="M53">
        <v>46849294.650959097</v>
      </c>
      <c r="N53">
        <v>22.235147000000001</v>
      </c>
      <c r="O53">
        <v>23.342983</v>
      </c>
      <c r="P53">
        <v>48230999.140515998</v>
      </c>
      <c r="Q53">
        <v>24.702656000000001</v>
      </c>
      <c r="R53">
        <v>53278726.615402997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19652832093.419998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 x14ac:dyDescent="0.25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68618805.063947499</v>
      </c>
      <c r="J54">
        <v>50440521.519066699</v>
      </c>
      <c r="M54">
        <v>57786122.206868201</v>
      </c>
      <c r="N54">
        <v>29.167458</v>
      </c>
      <c r="O54">
        <v>30.909140000000001</v>
      </c>
      <c r="P54">
        <v>58167259.959066004</v>
      </c>
      <c r="Q54">
        <v>31.147483999999999</v>
      </c>
      <c r="R54">
        <v>54330509.319797002</v>
      </c>
      <c r="S54">
        <v>63352843.131319202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0.85000000000000009</v>
      </c>
      <c r="Z54">
        <v>10101010</v>
      </c>
      <c r="AA54">
        <v>0.85000000000000009</v>
      </c>
      <c r="AB54" t="b">
        <v>1</v>
      </c>
      <c r="AC54">
        <v>19152363571.025002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 x14ac:dyDescent="0.25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70900219.141936794</v>
      </c>
      <c r="J55">
        <v>64892531.855666697</v>
      </c>
      <c r="M55">
        <v>59305191.750909097</v>
      </c>
      <c r="N55">
        <v>19.689352</v>
      </c>
      <c r="O55">
        <v>19.257833000000002</v>
      </c>
      <c r="P55">
        <v>56007882.788149998</v>
      </c>
      <c r="Q55">
        <v>24.525839000000001</v>
      </c>
      <c r="R55">
        <v>54950206.889924198</v>
      </c>
      <c r="S55">
        <v>64013895.233723097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18772080026.775002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 x14ac:dyDescent="0.25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8.3849999999999998</v>
      </c>
      <c r="H56" t="s">
        <v>75</v>
      </c>
      <c r="I56">
        <v>34265749.081349202</v>
      </c>
      <c r="J56">
        <v>33623690.338653304</v>
      </c>
      <c r="M56">
        <v>31078317.808056802</v>
      </c>
      <c r="N56">
        <v>25.314684</v>
      </c>
      <c r="O56">
        <v>25.073443999999999</v>
      </c>
      <c r="P56">
        <v>30250354.957504999</v>
      </c>
      <c r="Q56">
        <v>32.461468000000004</v>
      </c>
      <c r="R56">
        <v>33113797.439849999</v>
      </c>
      <c r="S56">
        <v>38604765.560353503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 x14ac:dyDescent="0.25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39706025.309029497</v>
      </c>
      <c r="J57">
        <v>28281240.473333299</v>
      </c>
      <c r="M57">
        <v>37325011.397935599</v>
      </c>
      <c r="N57">
        <v>20.283370999999999</v>
      </c>
      <c r="O57">
        <v>21.414873</v>
      </c>
      <c r="P57">
        <v>29919751.029375002</v>
      </c>
      <c r="Q57">
        <v>21.801853000000001</v>
      </c>
      <c r="R57">
        <v>32059232.1465909</v>
      </c>
      <c r="S57">
        <v>37403210.168830097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 x14ac:dyDescent="0.25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8.4529999999999994</v>
      </c>
      <c r="H58" t="s">
        <v>75</v>
      </c>
      <c r="I58">
        <v>219821756.141139</v>
      </c>
      <c r="J58">
        <v>178513768.01339999</v>
      </c>
      <c r="M58">
        <v>213967400.78360301</v>
      </c>
      <c r="N58">
        <v>46.304189999999998</v>
      </c>
      <c r="O58">
        <v>48.161459999999998</v>
      </c>
      <c r="P58">
        <v>221281151.13585499</v>
      </c>
      <c r="Q58">
        <v>47.984062000000002</v>
      </c>
      <c r="R58">
        <v>234617162.41391701</v>
      </c>
      <c r="S58">
        <v>273553778.58005297</v>
      </c>
      <c r="T58" t="s">
        <v>74</v>
      </c>
      <c r="U58" t="s">
        <v>487</v>
      </c>
      <c r="V58">
        <v>1</v>
      </c>
      <c r="W58">
        <v>9.6080000000000005</v>
      </c>
      <c r="X58">
        <v>9.6080000000000005</v>
      </c>
      <c r="Y58">
        <v>0.70000000000000007</v>
      </c>
      <c r="Z58">
        <v>40101020</v>
      </c>
      <c r="AA58">
        <v>0.70000000000000007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 x14ac:dyDescent="0.25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8.4130000000000003</v>
      </c>
      <c r="H59" t="s">
        <v>75</v>
      </c>
      <c r="I59">
        <v>154877686.02612901</v>
      </c>
      <c r="J59">
        <v>279798875.79470003</v>
      </c>
      <c r="M59">
        <v>176112107.98606101</v>
      </c>
      <c r="N59">
        <v>30.940843999999998</v>
      </c>
      <c r="O59">
        <v>30.540946999999999</v>
      </c>
      <c r="P59">
        <v>202184074.34628999</v>
      </c>
      <c r="Q59">
        <v>37.461320000000001</v>
      </c>
      <c r="R59">
        <v>245862528.75407499</v>
      </c>
      <c r="S59">
        <v>286921509.29607397</v>
      </c>
      <c r="T59" t="s">
        <v>74</v>
      </c>
      <c r="U59" t="s">
        <v>488</v>
      </c>
      <c r="V59">
        <v>1</v>
      </c>
      <c r="W59">
        <v>9.2490000000000006</v>
      </c>
      <c r="X59">
        <v>9.2490000000000006</v>
      </c>
      <c r="Y59">
        <v>0.65</v>
      </c>
      <c r="Z59">
        <v>30101010</v>
      </c>
      <c r="AA59">
        <v>0.65</v>
      </c>
      <c r="AB59" t="b">
        <v>1</v>
      </c>
      <c r="AC59">
        <v>16615437912.826349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 x14ac:dyDescent="0.25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35.549999999999997</v>
      </c>
      <c r="H60" t="s">
        <v>75</v>
      </c>
      <c r="I60">
        <v>52595254.2658301</v>
      </c>
      <c r="J60">
        <v>44550194.223999999</v>
      </c>
      <c r="M60">
        <v>44311122.3355681</v>
      </c>
      <c r="N60">
        <v>30.24823</v>
      </c>
      <c r="O60">
        <v>29.740227000000001</v>
      </c>
      <c r="P60">
        <v>42833332.2733</v>
      </c>
      <c r="Q60">
        <v>31.390463</v>
      </c>
      <c r="R60">
        <v>40637190.203030303</v>
      </c>
      <c r="S60">
        <v>47356527.306202903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 x14ac:dyDescent="0.25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62479204.487451002</v>
      </c>
      <c r="J61">
        <v>60705309.911666602</v>
      </c>
      <c r="M61">
        <v>64391116.950265102</v>
      </c>
      <c r="N61">
        <v>22.814223999999999</v>
      </c>
      <c r="O61">
        <v>23.861287999999998</v>
      </c>
      <c r="P61">
        <v>62986226.871799998</v>
      </c>
      <c r="Q61">
        <v>26.866129999999998</v>
      </c>
      <c r="R61">
        <v>63475442.832197003</v>
      </c>
      <c r="S61">
        <v>74011533.285271406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 x14ac:dyDescent="0.25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53612171.262199603</v>
      </c>
      <c r="J62">
        <v>50799496.072606601</v>
      </c>
      <c r="M62">
        <v>49073401.304173499</v>
      </c>
      <c r="N62">
        <v>29.123843999999998</v>
      </c>
      <c r="O62">
        <v>31.38166</v>
      </c>
      <c r="P62">
        <v>48129517.322958998</v>
      </c>
      <c r="Q62">
        <v>29.081903000000001</v>
      </c>
      <c r="R62">
        <v>50366548.276301503</v>
      </c>
      <c r="S62">
        <v>58683000.949091703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15755401483.424999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 x14ac:dyDescent="0.25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3.0939999999999999</v>
      </c>
      <c r="H63" t="s">
        <v>75</v>
      </c>
      <c r="I63">
        <v>42258777.3951298</v>
      </c>
      <c r="J63">
        <v>52006493.146866702</v>
      </c>
      <c r="M63">
        <v>46430482.898830302</v>
      </c>
      <c r="N63">
        <v>28.580698000000002</v>
      </c>
      <c r="O63">
        <v>29.244661000000001</v>
      </c>
      <c r="P63">
        <v>48183965.247700997</v>
      </c>
      <c r="Q63">
        <v>32.883209999999998</v>
      </c>
      <c r="R63">
        <v>48883824.0883727</v>
      </c>
      <c r="S63">
        <v>57007826.622915402</v>
      </c>
      <c r="T63" t="s">
        <v>74</v>
      </c>
      <c r="U63" t="s">
        <v>493</v>
      </c>
      <c r="V63">
        <v>1</v>
      </c>
      <c r="W63">
        <v>3.4340000000000002</v>
      </c>
      <c r="X63">
        <v>3.4340000000000002</v>
      </c>
      <c r="Y63">
        <v>1</v>
      </c>
      <c r="Z63">
        <v>30101010</v>
      </c>
      <c r="AA63">
        <v>1</v>
      </c>
      <c r="AB63" t="b">
        <v>1</v>
      </c>
      <c r="AC63">
        <v>15543258803.799999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 x14ac:dyDescent="0.25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27579731.541333299</v>
      </c>
      <c r="M64">
        <v>35065780.337575696</v>
      </c>
      <c r="N64">
        <v>15.632864</v>
      </c>
      <c r="O64">
        <v>16.346111000000001</v>
      </c>
      <c r="P64">
        <v>32862378.903000001</v>
      </c>
      <c r="Q64">
        <v>19.825168999999999</v>
      </c>
      <c r="R64">
        <v>31486046.267727301</v>
      </c>
      <c r="S64">
        <v>36729280.716433503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0.95000000000000007</v>
      </c>
      <c r="Z64">
        <v>30301010</v>
      </c>
      <c r="AA64">
        <v>0.95000000000000007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 x14ac:dyDescent="0.25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27907164.986363702</v>
      </c>
      <c r="J65">
        <v>26163772.666666701</v>
      </c>
      <c r="M65">
        <v>24838025.306060601</v>
      </c>
      <c r="N65">
        <v>18.355081999999999</v>
      </c>
      <c r="O65">
        <v>19.463856</v>
      </c>
      <c r="P65">
        <v>25449524.059</v>
      </c>
      <c r="Q65">
        <v>22.801618999999999</v>
      </c>
      <c r="R65">
        <v>25959879.548484799</v>
      </c>
      <c r="S65">
        <v>30252378.632888999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 x14ac:dyDescent="0.25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118002533.07871599</v>
      </c>
      <c r="J66">
        <v>138615756.881567</v>
      </c>
      <c r="M66">
        <v>117505340.483454</v>
      </c>
      <c r="N66">
        <v>29.015180000000001</v>
      </c>
      <c r="O66">
        <v>29.567595000000001</v>
      </c>
      <c r="P66">
        <v>128384546.882495</v>
      </c>
      <c r="Q66">
        <v>33.109596000000003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 x14ac:dyDescent="0.25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29953648.618333299</v>
      </c>
      <c r="M67">
        <v>20198479.027867399</v>
      </c>
      <c r="N67">
        <v>24.410724999999999</v>
      </c>
      <c r="O67">
        <v>25.172602000000001</v>
      </c>
      <c r="P67">
        <v>20028280.788249999</v>
      </c>
      <c r="Q67">
        <v>26.763634</v>
      </c>
      <c r="R67">
        <v>22012304.692802999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514</v>
      </c>
    </row>
    <row r="2" spans="1:1" x14ac:dyDescent="0.25">
      <c r="A2">
        <v>2517884033787.7959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2026-02-04T14:59:31Z</dcterms:created>
  <dcterms:modified xsi:type="dcterms:W3CDTF">2026-02-04T15:05:51Z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2026-02-04T15:03:57Z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0cc3c6bf-ebc9-4359-94c5-2d3df3edf15e</vt:lpwstr>
  </property>
  <property fmtid="{D5CDD505-2E9C-101B-9397-08002B2CF9AE}" pid="8" name="MSIP_Label_ac0b9ce6-6e99-42a1-af95-429494370cbc_ContentBits">
    <vt:lpwstr>2</vt:lpwstr>
  </property>
</Properties>
</file>